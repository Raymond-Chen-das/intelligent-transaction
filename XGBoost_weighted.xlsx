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7BA549EC-B5C2-4DC8-8A28-CBEE7CF5245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F25" i="7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E25" i="7"/>
  <c r="D25" i="7"/>
  <c r="F24" i="7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D24" i="7"/>
  <c r="E24" i="7" s="1"/>
  <c r="D23" i="7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D22" i="7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O21" i="7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D21" i="7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D20" i="7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D18" i="7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E16" i="7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D16" i="7"/>
  <c r="CA15" i="7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D14" i="7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I8" i="7"/>
  <c r="DV8" i="7"/>
  <c r="DU8" i="7"/>
  <c r="DN8" i="7"/>
  <c r="DM8" i="7"/>
  <c r="DJ8" i="7"/>
  <c r="DH8" i="7"/>
  <c r="DF8" i="7"/>
  <c r="DE8" i="7"/>
  <c r="DB8" i="7"/>
  <c r="CU8" i="7"/>
  <c r="CT8" i="7"/>
  <c r="CO8" i="7"/>
  <c r="CN8" i="7"/>
  <c r="CK8" i="7"/>
  <c r="CJ8" i="7"/>
  <c r="CI8" i="7"/>
  <c r="CH8" i="7"/>
  <c r="CC8" i="7"/>
  <c r="CB8" i="7"/>
  <c r="CA8" i="7"/>
  <c r="BQ8" i="7"/>
  <c r="BP8" i="7"/>
  <c r="BN8" i="7"/>
  <c r="BM8" i="7"/>
  <c r="BK8" i="7"/>
  <c r="BG8" i="7"/>
  <c r="BE8" i="7"/>
  <c r="BB8" i="7"/>
  <c r="BA8" i="7"/>
  <c r="AI8" i="7"/>
  <c r="AH8" i="7"/>
  <c r="AG8" i="7"/>
  <c r="AF8" i="7"/>
  <c r="AE8" i="7"/>
  <c r="AD8" i="7"/>
  <c r="AC8" i="7"/>
  <c r="AA8" i="7"/>
  <c r="Z8" i="7"/>
  <c r="S8" i="7"/>
  <c r="G8" i="7"/>
  <c r="F8" i="7"/>
  <c r="C8" i="7"/>
  <c r="EI7" i="7"/>
  <c r="EF7" i="7"/>
  <c r="EC7" i="7"/>
  <c r="EB7" i="7"/>
  <c r="EA7" i="7"/>
  <c r="DW7" i="7"/>
  <c r="DV7" i="7"/>
  <c r="DU7" i="7"/>
  <c r="DO7" i="7"/>
  <c r="DN7" i="7"/>
  <c r="DJ7" i="7"/>
  <c r="DB7" i="7"/>
  <c r="DA7" i="7"/>
  <c r="CV7" i="7"/>
  <c r="CL7" i="7"/>
  <c r="CI7" i="7"/>
  <c r="CH7" i="7"/>
  <c r="CG7" i="7"/>
  <c r="CE7" i="7"/>
  <c r="CD7" i="7"/>
  <c r="CC7" i="7"/>
  <c r="CB7" i="7"/>
  <c r="CA7" i="7"/>
  <c r="BZ7" i="7"/>
  <c r="BN7" i="7"/>
  <c r="BM7" i="7"/>
  <c r="BE7" i="7"/>
  <c r="BD7" i="7"/>
  <c r="BC7" i="7"/>
  <c r="BB7" i="7"/>
  <c r="BA7" i="7"/>
  <c r="AY7" i="7"/>
  <c r="AR7" i="7"/>
  <c r="AQ7" i="7"/>
  <c r="AP7" i="7"/>
  <c r="AO7" i="7"/>
  <c r="AF7" i="7"/>
  <c r="S7" i="7"/>
  <c r="R7" i="7"/>
  <c r="Q7" i="7"/>
  <c r="P7" i="7"/>
  <c r="O7" i="7"/>
  <c r="N7" i="7"/>
  <c r="M7" i="7"/>
  <c r="G7" i="7"/>
  <c r="F7" i="7"/>
  <c r="EL6" i="7" a="1"/>
  <c r="EL6" i="7"/>
  <c r="EK6" i="7" a="1"/>
  <c r="EK6" i="7" s="1"/>
  <c r="EJ6" i="7" a="1"/>
  <c r="EJ6" i="7" s="1"/>
  <c r="EI6" i="7" a="1"/>
  <c r="EI6" i="7"/>
  <c r="EH6" i="7" a="1"/>
  <c r="EH6" i="7"/>
  <c r="EG6" i="7" a="1"/>
  <c r="EG6" i="7"/>
  <c r="EF6" i="7" a="1"/>
  <c r="EF6" i="7"/>
  <c r="EF8" i="7" s="1"/>
  <c r="EE6" i="7" a="1"/>
  <c r="EE6" i="7"/>
  <c r="ED6" i="7" a="1"/>
  <c r="ED6" i="7" s="1"/>
  <c r="ED8" i="7" s="1"/>
  <c r="EC6" i="7" a="1"/>
  <c r="EC6" i="7"/>
  <c r="EC8" i="7" s="1"/>
  <c r="EB6" i="7" a="1"/>
  <c r="EB6" i="7" s="1"/>
  <c r="EB8" i="7" s="1"/>
  <c r="EA6" i="7" a="1"/>
  <c r="EA6" i="7" s="1"/>
  <c r="EA8" i="7" s="1"/>
  <c r="DZ6" i="7" a="1"/>
  <c r="DZ6" i="7"/>
  <c r="DY6" i="7" a="1"/>
  <c r="DY6" i="7"/>
  <c r="DX6" i="7" a="1"/>
  <c r="DX6" i="7"/>
  <c r="DW6" i="7" a="1"/>
  <c r="DW6" i="7" s="1"/>
  <c r="DW8" i="7" s="1"/>
  <c r="DV6" i="7" a="1"/>
  <c r="DV6" i="7"/>
  <c r="DU6" i="7" a="1"/>
  <c r="DU6" i="7"/>
  <c r="DT6" i="7" a="1"/>
  <c r="DT6" i="7"/>
  <c r="DS6" i="7" a="1"/>
  <c r="DS6" i="7"/>
  <c r="DS7" i="7" s="1"/>
  <c r="DR6" i="7" a="1"/>
  <c r="DR6" i="7" s="1"/>
  <c r="DR7" i="7" s="1"/>
  <c r="DQ6" i="7" a="1"/>
  <c r="DQ6" i="7" s="1"/>
  <c r="DP6" i="7" a="1"/>
  <c r="DP6" i="7" s="1"/>
  <c r="DO6" i="7" a="1"/>
  <c r="DO6" i="7"/>
  <c r="DO8" i="7" s="1"/>
  <c r="DN6" i="7" a="1"/>
  <c r="DN6" i="7" s="1"/>
  <c r="DM6" i="7" a="1"/>
  <c r="DM6" i="7"/>
  <c r="DM7" i="7" s="1"/>
  <c r="DL6" i="7" a="1"/>
  <c r="DL6" i="7"/>
  <c r="DL8" i="7" s="1"/>
  <c r="DK6" i="7" a="1"/>
  <c r="DK6" i="7" s="1"/>
  <c r="DJ6" i="7" a="1"/>
  <c r="DJ6" i="7"/>
  <c r="DI6" i="7" a="1"/>
  <c r="DI6" i="7" s="1"/>
  <c r="DH6" i="7" a="1"/>
  <c r="DH6" i="7"/>
  <c r="DH7" i="7" s="1"/>
  <c r="DG6" i="7" a="1"/>
  <c r="DG6" i="7"/>
  <c r="DF6" i="7" a="1"/>
  <c r="DF6" i="7" s="1"/>
  <c r="DF7" i="7" s="1"/>
  <c r="DE6" i="7" a="1"/>
  <c r="DE6" i="7"/>
  <c r="DE7" i="7" s="1"/>
  <c r="DD6" i="7" a="1"/>
  <c r="DD6" i="7"/>
  <c r="DC6" i="7" a="1"/>
  <c r="DC6" i="7"/>
  <c r="DB6" i="7" a="1"/>
  <c r="DB6" i="7"/>
  <c r="DA6" i="7" a="1"/>
  <c r="DA6" i="7"/>
  <c r="DA8" i="7" s="1"/>
  <c r="CZ6" i="7" a="1"/>
  <c r="CZ6" i="7"/>
  <c r="CY6" i="7" a="1"/>
  <c r="CY6" i="7" s="1"/>
  <c r="CX6" i="7" a="1"/>
  <c r="CX6" i="7"/>
  <c r="CW6" i="7" a="1"/>
  <c r="CW6" i="7" s="1"/>
  <c r="CV6" i="7" a="1"/>
  <c r="CV6" i="7"/>
  <c r="CV8" i="7" s="1"/>
  <c r="CU6" i="7" a="1"/>
  <c r="CU6" i="7" s="1"/>
  <c r="CU7" i="7" s="1"/>
  <c r="CT6" i="7" a="1"/>
  <c r="CT6" i="7" s="1"/>
  <c r="CT7" i="7" s="1"/>
  <c r="CS6" i="7" a="1"/>
  <c r="CS6" i="7"/>
  <c r="CS8" i="7" s="1"/>
  <c r="CR6" i="7" a="1"/>
  <c r="CR6" i="7"/>
  <c r="CQ6" i="7" a="1"/>
  <c r="CQ6" i="7" s="1"/>
  <c r="CQ8" i="7" s="1"/>
  <c r="CP6" i="7" a="1"/>
  <c r="CP6" i="7" s="1"/>
  <c r="CO6" i="7" a="1"/>
  <c r="CO6" i="7"/>
  <c r="CO7" i="7" s="1"/>
  <c r="CN6" i="7" a="1"/>
  <c r="CN6" i="7"/>
  <c r="CN7" i="7" s="1"/>
  <c r="CM6" i="7" a="1"/>
  <c r="CM6" i="7"/>
  <c r="CL6" i="7" a="1"/>
  <c r="CL6" i="7"/>
  <c r="CL8" i="7" s="1"/>
  <c r="CK6" i="7" a="1"/>
  <c r="CK6" i="7"/>
  <c r="CK7" i="7" s="1"/>
  <c r="CJ6" i="7" a="1"/>
  <c r="CJ6" i="7" s="1"/>
  <c r="CJ7" i="7" s="1"/>
  <c r="CI6" i="7" a="1"/>
  <c r="CI6" i="7"/>
  <c r="CH6" i="7" a="1"/>
  <c r="CH6" i="7" s="1"/>
  <c r="CG6" i="7" a="1"/>
  <c r="CG6" i="7"/>
  <c r="CG8" i="7" s="1"/>
  <c r="CF6" i="7" a="1"/>
  <c r="CF6" i="7"/>
  <c r="CE6" i="7" a="1"/>
  <c r="CE6" i="7"/>
  <c r="CE8" i="7" s="1"/>
  <c r="CD6" i="7" a="1"/>
  <c r="CD6" i="7" s="1"/>
  <c r="CD8" i="7" s="1"/>
  <c r="CC6" i="7" a="1"/>
  <c r="CC6" i="7"/>
  <c r="CB6" i="7" a="1"/>
  <c r="CB6" i="7"/>
  <c r="CA6" i="7" a="1"/>
  <c r="CA6" i="7"/>
  <c r="BZ6" i="7" a="1"/>
  <c r="BZ6" i="7"/>
  <c r="BZ8" i="7" s="1"/>
  <c r="BY6" i="7" a="1"/>
  <c r="BY6" i="7" s="1"/>
  <c r="BX6" i="7" a="1"/>
  <c r="BX6" i="7" s="1"/>
  <c r="BW6" i="7" a="1"/>
  <c r="BW6" i="7"/>
  <c r="BV6" i="7" a="1"/>
  <c r="BV6" i="7"/>
  <c r="BU6" i="7" a="1"/>
  <c r="BU6" i="7"/>
  <c r="BT6" i="7" a="1"/>
  <c r="BT6" i="7" s="1"/>
  <c r="BS6" i="7" a="1"/>
  <c r="BS6" i="7"/>
  <c r="BR6" i="7" a="1"/>
  <c r="BR6" i="7"/>
  <c r="BQ6" i="7" a="1"/>
  <c r="BQ6" i="7"/>
  <c r="BQ7" i="7" s="1"/>
  <c r="BP6" i="7" a="1"/>
  <c r="BP6" i="7"/>
  <c r="BP7" i="7" s="1"/>
  <c r="BO6" i="7" a="1"/>
  <c r="BO6" i="7"/>
  <c r="BN6" i="7" a="1"/>
  <c r="BN6" i="7" s="1"/>
  <c r="BM6" i="7" a="1"/>
  <c r="BM6" i="7"/>
  <c r="BL6" i="7" a="1"/>
  <c r="BL6" i="7" s="1"/>
  <c r="BK6" i="7" a="1"/>
  <c r="BK6" i="7"/>
  <c r="BK7" i="7" s="1"/>
  <c r="BJ6" i="7" a="1"/>
  <c r="BJ6" i="7"/>
  <c r="BI6" i="7" a="1"/>
  <c r="BI6" i="7"/>
  <c r="BH6" i="7" a="1"/>
  <c r="BH6" i="7"/>
  <c r="BG6" i="7" a="1"/>
  <c r="BG6" i="7"/>
  <c r="BG7" i="7" s="1"/>
  <c r="BF6" i="7" a="1"/>
  <c r="BF6" i="7" s="1"/>
  <c r="BE6" i="7" a="1"/>
  <c r="BE6" i="7"/>
  <c r="BD6" i="7" a="1"/>
  <c r="BD6" i="7"/>
  <c r="BD8" i="7" s="1"/>
  <c r="BC6" i="7" a="1"/>
  <c r="BC6" i="7" s="1"/>
  <c r="BC8" i="7" s="1"/>
  <c r="BB6" i="7" a="1"/>
  <c r="BB6" i="7"/>
  <c r="BA6" i="7" a="1"/>
  <c r="BA6" i="7"/>
  <c r="AZ6" i="7" a="1"/>
  <c r="AZ6" i="7" s="1"/>
  <c r="AY6" i="7" a="1"/>
  <c r="AY6" i="7" s="1"/>
  <c r="AY8" i="7" s="1"/>
  <c r="AX6" i="7" a="1"/>
  <c r="AX6" i="7"/>
  <c r="AW6" i="7" a="1"/>
  <c r="AW6" i="7" s="1"/>
  <c r="AV6" i="7" a="1"/>
  <c r="AV6" i="7" s="1"/>
  <c r="AU6" i="7" a="1"/>
  <c r="AU6" i="7"/>
  <c r="AT6" i="7" a="1"/>
  <c r="AT6" i="7"/>
  <c r="AT8" i="7" s="1"/>
  <c r="AS6" i="7" a="1"/>
  <c r="AS6" i="7"/>
  <c r="AR6" i="7" a="1"/>
  <c r="AR6" i="7" s="1"/>
  <c r="AR8" i="7" s="1"/>
  <c r="AQ6" i="7" a="1"/>
  <c r="AQ6" i="7"/>
  <c r="AQ8" i="7" s="1"/>
  <c r="AP6" i="7" a="1"/>
  <c r="AP6" i="7" s="1"/>
  <c r="AP8" i="7" s="1"/>
  <c r="AO6" i="7" a="1"/>
  <c r="AO6" i="7"/>
  <c r="AO8" i="7" s="1"/>
  <c r="AN6" i="7" a="1"/>
  <c r="AN6" i="7"/>
  <c r="AM6" i="7" a="1"/>
  <c r="AM6" i="7" s="1"/>
  <c r="AL6" i="7" a="1"/>
  <c r="AL6" i="7"/>
  <c r="AK6" i="7" a="1"/>
  <c r="AK6" i="7"/>
  <c r="AJ6" i="7" a="1"/>
  <c r="AJ6" i="7"/>
  <c r="AI6" i="7" a="1"/>
  <c r="AI6" i="7"/>
  <c r="AI7" i="7" s="1"/>
  <c r="AH6" i="7" a="1"/>
  <c r="AH6" i="7"/>
  <c r="AH7" i="7" s="1"/>
  <c r="AG6" i="7" a="1"/>
  <c r="AG6" i="7" s="1"/>
  <c r="AG7" i="7" s="1"/>
  <c r="AF6" i="7" a="1"/>
  <c r="AF6" i="7"/>
  <c r="AE6" i="7" a="1"/>
  <c r="AE6" i="7"/>
  <c r="AE7" i="7" s="1"/>
  <c r="AD6" i="7" a="1"/>
  <c r="AD6" i="7" s="1"/>
  <c r="AD7" i="7" s="1"/>
  <c r="AC6" i="7" a="1"/>
  <c r="AC6" i="7"/>
  <c r="AC7" i="7" s="1"/>
  <c r="AB6" i="7" a="1"/>
  <c r="AB6" i="7" s="1"/>
  <c r="AA6" i="7" a="1"/>
  <c r="AA6" i="7"/>
  <c r="AA7" i="7" s="1"/>
  <c r="Z6" i="7" a="1"/>
  <c r="Z6" i="7" s="1"/>
  <c r="Z7" i="7" s="1"/>
  <c r="Y6" i="7" a="1"/>
  <c r="Y6" i="7"/>
  <c r="X6" i="7" a="1"/>
  <c r="X6" i="7"/>
  <c r="W6" i="7" a="1"/>
  <c r="W6" i="7" s="1"/>
  <c r="V6" i="7" a="1"/>
  <c r="V6" i="7" s="1"/>
  <c r="U6" i="7" a="1"/>
  <c r="U6" i="7"/>
  <c r="T6" i="7" a="1"/>
  <c r="T6" i="7" s="1"/>
  <c r="S6" i="7" a="1"/>
  <c r="S6" i="7"/>
  <c r="R6" i="7" a="1"/>
  <c r="R6" i="7" s="1"/>
  <c r="R8" i="7" s="1"/>
  <c r="Q6" i="7" a="1"/>
  <c r="Q6" i="7"/>
  <c r="Q8" i="7" s="1"/>
  <c r="P6" i="7" a="1"/>
  <c r="P6" i="7"/>
  <c r="P8" i="7" s="1"/>
  <c r="O6" i="7" a="1"/>
  <c r="O6" i="7"/>
  <c r="O8" i="7" s="1"/>
  <c r="N6" i="7" a="1"/>
  <c r="N6" i="7"/>
  <c r="N8" i="7" s="1"/>
  <c r="M6" i="7" a="1"/>
  <c r="M6" i="7"/>
  <c r="M8" i="7" s="1"/>
  <c r="L6" i="7" a="1"/>
  <c r="L6" i="7"/>
  <c r="K6" i="7" a="1"/>
  <c r="K6" i="7" s="1"/>
  <c r="J6" i="7" a="1"/>
  <c r="J6" i="7" s="1"/>
  <c r="I6" i="7" a="1"/>
  <c r="I6" i="7"/>
  <c r="H6" i="7" a="1"/>
  <c r="H6" i="7" s="1"/>
  <c r="G6" i="7" a="1"/>
  <c r="G6" i="7"/>
  <c r="F6" i="7" a="1"/>
  <c r="F6" i="7"/>
  <c r="E6" i="7" a="1"/>
  <c r="E6" i="7"/>
  <c r="D6" i="7" a="1"/>
  <c r="D6" i="7" s="1"/>
  <c r="C6" i="7" a="1"/>
  <c r="C6" i="7" s="1"/>
  <c r="C7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B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B22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B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B20" i="4"/>
  <c r="F19" i="4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E19" i="4"/>
  <c r="D19" i="4"/>
  <c r="B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B18" i="4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B15" i="4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14" i="4"/>
  <c r="B14" i="4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D13" i="4"/>
  <c r="B13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B12" i="4"/>
  <c r="ED8" i="4"/>
  <c r="EA8" i="4"/>
  <c r="DY8" i="4"/>
  <c r="DX8" i="4"/>
  <c r="DV8" i="4"/>
  <c r="DU8" i="4"/>
  <c r="DT8" i="4"/>
  <c r="DS8" i="4"/>
  <c r="DR8" i="4"/>
  <c r="DQ8" i="4"/>
  <c r="DP8" i="4"/>
  <c r="DJ8" i="4"/>
  <c r="DI8" i="4"/>
  <c r="DH8" i="4"/>
  <c r="DG8" i="4"/>
  <c r="DE8" i="4"/>
  <c r="CY8" i="4"/>
  <c r="CX8" i="4"/>
  <c r="CW8" i="4"/>
  <c r="CV8" i="4"/>
  <c r="CU8" i="4"/>
  <c r="CT8" i="4"/>
  <c r="CS8" i="4"/>
  <c r="CL8" i="4"/>
  <c r="CK8" i="4"/>
  <c r="CJ8" i="4"/>
  <c r="CI8" i="4"/>
  <c r="CH8" i="4"/>
  <c r="CG8" i="4"/>
  <c r="CA8" i="4"/>
  <c r="BX8" i="4"/>
  <c r="BW8" i="4"/>
  <c r="BV8" i="4"/>
  <c r="BU8" i="4"/>
  <c r="BO8" i="4"/>
  <c r="BN8" i="4"/>
  <c r="BM8" i="4"/>
  <c r="BK8" i="4"/>
  <c r="BJ8" i="4"/>
  <c r="BI8" i="4"/>
  <c r="BB8" i="4"/>
  <c r="BA8" i="4"/>
  <c r="AR8" i="4"/>
  <c r="AQ8" i="4"/>
  <c r="AP8" i="4"/>
  <c r="AO8" i="4"/>
  <c r="AN8" i="4"/>
  <c r="AM8" i="4"/>
  <c r="AL8" i="4"/>
  <c r="AK8" i="4"/>
  <c r="AJ8" i="4"/>
  <c r="AI8" i="4"/>
  <c r="AF8" i="4"/>
  <c r="AA8" i="4"/>
  <c r="Y8" i="4"/>
  <c r="U8" i="4"/>
  <c r="S8" i="4"/>
  <c r="O8" i="4"/>
  <c r="J8" i="4"/>
  <c r="H8" i="4"/>
  <c r="G8" i="4"/>
  <c r="F8" i="4"/>
  <c r="E8" i="4"/>
  <c r="EL7" i="4"/>
  <c r="EH7" i="4"/>
  <c r="EG7" i="4"/>
  <c r="EF7" i="4"/>
  <c r="EE7" i="4"/>
  <c r="ED7" i="4"/>
  <c r="EA7" i="4"/>
  <c r="DV7" i="4"/>
  <c r="DU7" i="4"/>
  <c r="DT7" i="4"/>
  <c r="DS7" i="4"/>
  <c r="DP7" i="4"/>
  <c r="DH7" i="4"/>
  <c r="DG7" i="4"/>
  <c r="DF7" i="4"/>
  <c r="DE7" i="4"/>
  <c r="CY7" i="4"/>
  <c r="CX7" i="4"/>
  <c r="CW7" i="4"/>
  <c r="CU7" i="4"/>
  <c r="CT7" i="4"/>
  <c r="CS7" i="4"/>
  <c r="CR7" i="4"/>
  <c r="CN7" i="4"/>
  <c r="CL7" i="4"/>
  <c r="CK7" i="4"/>
  <c r="CI7" i="4"/>
  <c r="CH7" i="4"/>
  <c r="CC7" i="4"/>
  <c r="CB7" i="4"/>
  <c r="BX7" i="4"/>
  <c r="BQ7" i="4"/>
  <c r="BP7" i="4"/>
  <c r="BO7" i="4"/>
  <c r="BN7" i="4"/>
  <c r="BM7" i="4"/>
  <c r="BL7" i="4"/>
  <c r="BK7" i="4"/>
  <c r="BC7" i="4"/>
  <c r="BB7" i="4"/>
  <c r="BA7" i="4"/>
  <c r="AY7" i="4"/>
  <c r="AR7" i="4"/>
  <c r="AQ7" i="4"/>
  <c r="AP7" i="4"/>
  <c r="AM7" i="4"/>
  <c r="AL7" i="4"/>
  <c r="AK7" i="4"/>
  <c r="AG7" i="4"/>
  <c r="AF7" i="4"/>
  <c r="AE7" i="4"/>
  <c r="AD7" i="4"/>
  <c r="AC7" i="4"/>
  <c r="AB7" i="4"/>
  <c r="AA7" i="4"/>
  <c r="U7" i="4"/>
  <c r="T7" i="4"/>
  <c r="J7" i="4"/>
  <c r="G7" i="4"/>
  <c r="E7" i="4"/>
  <c r="D7" i="4"/>
  <c r="EL6" i="4" a="1"/>
  <c r="EL6" i="4"/>
  <c r="EL8" i="4" s="1"/>
  <c r="EK6" i="4" a="1"/>
  <c r="EK6" i="4"/>
  <c r="EJ6" i="4" a="1"/>
  <c r="EJ6" i="4"/>
  <c r="EI6" i="4" a="1"/>
  <c r="EI6" i="4"/>
  <c r="EH6" i="4" a="1"/>
  <c r="EH6" i="4" s="1"/>
  <c r="EH8" i="4" s="1"/>
  <c r="EG6" i="4" a="1"/>
  <c r="EG6" i="4"/>
  <c r="EG8" i="4" s="1"/>
  <c r="EF6" i="4" a="1"/>
  <c r="EF6" i="4"/>
  <c r="EF8" i="4" s="1"/>
  <c r="EE6" i="4" a="1"/>
  <c r="EE6" i="4"/>
  <c r="EE8" i="4" s="1"/>
  <c r="ED6" i="4" a="1"/>
  <c r="ED6" i="4"/>
  <c r="EC6" i="4" a="1"/>
  <c r="EC6" i="4"/>
  <c r="EB6" i="4" a="1"/>
  <c r="EB6" i="4" s="1"/>
  <c r="EA6" i="4" a="1"/>
  <c r="EA6" i="4"/>
  <c r="DZ6" i="4" a="1"/>
  <c r="DZ6" i="4" s="1"/>
  <c r="DY6" i="4" a="1"/>
  <c r="DY6" i="4"/>
  <c r="DY7" i="4" s="1"/>
  <c r="DX6" i="4" a="1"/>
  <c r="DX6" i="4"/>
  <c r="DX7" i="4" s="1"/>
  <c r="DW6" i="4" a="1"/>
  <c r="DW6" i="4"/>
  <c r="DW8" i="4" s="1"/>
  <c r="DV6" i="4" a="1"/>
  <c r="DV6" i="4"/>
  <c r="DU6" i="4" a="1"/>
  <c r="DU6" i="4"/>
  <c r="DT6" i="4" a="1"/>
  <c r="DT6" i="4"/>
  <c r="DS6" i="4" a="1"/>
  <c r="DS6" i="4" s="1"/>
  <c r="DR6" i="4" a="1"/>
  <c r="DR6" i="4"/>
  <c r="DR7" i="4" s="1"/>
  <c r="DQ6" i="4" a="1"/>
  <c r="DQ6" i="4" s="1"/>
  <c r="DQ7" i="4" s="1"/>
  <c r="DP6" i="4" a="1"/>
  <c r="DP6" i="4"/>
  <c r="DO6" i="4" a="1"/>
  <c r="DO6" i="4"/>
  <c r="DO7" i="4" s="1"/>
  <c r="DN6" i="4" a="1"/>
  <c r="DN6" i="4" s="1"/>
  <c r="DM6" i="4" a="1"/>
  <c r="DM6" i="4"/>
  <c r="DL6" i="4" a="1"/>
  <c r="DL6" i="4"/>
  <c r="DK6" i="4" a="1"/>
  <c r="DK6" i="4"/>
  <c r="DJ6" i="4" a="1"/>
  <c r="DJ6" i="4"/>
  <c r="DJ7" i="4" s="1"/>
  <c r="DI6" i="4" a="1"/>
  <c r="DI6" i="4" s="1"/>
  <c r="DI7" i="4" s="1"/>
  <c r="DH6" i="4" a="1"/>
  <c r="DH6" i="4"/>
  <c r="DG6" i="4" a="1"/>
  <c r="DG6" i="4"/>
  <c r="DF6" i="4" a="1"/>
  <c r="DF6" i="4" s="1"/>
  <c r="DF8" i="4" s="1"/>
  <c r="DE6" i="4" a="1"/>
  <c r="DE6" i="4"/>
  <c r="DD6" i="4" a="1"/>
  <c r="DD6" i="4"/>
  <c r="DC6" i="4" a="1"/>
  <c r="DC6" i="4"/>
  <c r="DB6" i="4" a="1"/>
  <c r="DB6" i="4" s="1"/>
  <c r="DA6" i="4" a="1"/>
  <c r="DA6" i="4"/>
  <c r="CZ6" i="4" a="1"/>
  <c r="CZ6" i="4"/>
  <c r="CY6" i="4" a="1"/>
  <c r="CY6" i="4"/>
  <c r="CX6" i="4" a="1"/>
  <c r="CX6" i="4"/>
  <c r="CW6" i="4" a="1"/>
  <c r="CW6" i="4"/>
  <c r="CV6" i="4" a="1"/>
  <c r="CV6" i="4" s="1"/>
  <c r="CV7" i="4" s="1"/>
  <c r="CU6" i="4" a="1"/>
  <c r="CU6" i="4" s="1"/>
  <c r="CT6" i="4" a="1"/>
  <c r="CT6" i="4"/>
  <c r="CS6" i="4" a="1"/>
  <c r="CS6" i="4"/>
  <c r="CR6" i="4" a="1"/>
  <c r="CR6" i="4"/>
  <c r="CR8" i="4" s="1"/>
  <c r="CQ6" i="4" a="1"/>
  <c r="CQ6" i="4"/>
  <c r="CP6" i="4" a="1"/>
  <c r="CP6" i="4" s="1"/>
  <c r="CO6" i="4" a="1"/>
  <c r="CO6" i="4"/>
  <c r="CN6" i="4" a="1"/>
  <c r="CN6" i="4"/>
  <c r="CN8" i="4" s="1"/>
  <c r="CM6" i="4" a="1"/>
  <c r="CM6" i="4" s="1"/>
  <c r="CL6" i="4" a="1"/>
  <c r="CL6" i="4"/>
  <c r="CK6" i="4" a="1"/>
  <c r="CK6" i="4"/>
  <c r="CJ6" i="4" a="1"/>
  <c r="CJ6" i="4" s="1"/>
  <c r="CJ7" i="4" s="1"/>
  <c r="CI6" i="4" a="1"/>
  <c r="CI6" i="4"/>
  <c r="CH6" i="4" a="1"/>
  <c r="CH6" i="4"/>
  <c r="CG6" i="4" a="1"/>
  <c r="CG6" i="4"/>
  <c r="CG7" i="4" s="1"/>
  <c r="CF6" i="4" a="1"/>
  <c r="CF6" i="4"/>
  <c r="CE6" i="4" a="1"/>
  <c r="CE6" i="4"/>
  <c r="CD6" i="4" a="1"/>
  <c r="CD6" i="4" s="1"/>
  <c r="CC6" i="4" a="1"/>
  <c r="CC6" i="4"/>
  <c r="CC8" i="4" s="1"/>
  <c r="CB6" i="4" a="1"/>
  <c r="CB6" i="4"/>
  <c r="CB8" i="4" s="1"/>
  <c r="CA6" i="4" a="1"/>
  <c r="CA6" i="4"/>
  <c r="CA7" i="4" s="1"/>
  <c r="BZ6" i="4" a="1"/>
  <c r="BZ6" i="4" s="1"/>
  <c r="BY6" i="4" a="1"/>
  <c r="BY6" i="4" s="1"/>
  <c r="BY7" i="4" s="1"/>
  <c r="BX6" i="4" a="1"/>
  <c r="BX6" i="4"/>
  <c r="BW6" i="4" a="1"/>
  <c r="BW6" i="4"/>
  <c r="BW7" i="4" s="1"/>
  <c r="BV6" i="4" a="1"/>
  <c r="BV6" i="4"/>
  <c r="BV7" i="4" s="1"/>
  <c r="BU6" i="4" a="1"/>
  <c r="BU6" i="4"/>
  <c r="BU7" i="4" s="1"/>
  <c r="BT6" i="4" a="1"/>
  <c r="BT6" i="4"/>
  <c r="BS6" i="4" a="1"/>
  <c r="BS6" i="4"/>
  <c r="BR6" i="4" a="1"/>
  <c r="BR6" i="4"/>
  <c r="BQ6" i="4" a="1"/>
  <c r="BQ6" i="4"/>
  <c r="BQ8" i="4" s="1"/>
  <c r="BP6" i="4" a="1"/>
  <c r="BP6" i="4" s="1"/>
  <c r="BP8" i="4" s="1"/>
  <c r="BO6" i="4" a="1"/>
  <c r="BO6" i="4"/>
  <c r="BN6" i="4" a="1"/>
  <c r="BN6" i="4" s="1"/>
  <c r="BM6" i="4" a="1"/>
  <c r="BM6" i="4"/>
  <c r="BL6" i="4" a="1"/>
  <c r="BL6" i="4"/>
  <c r="BL8" i="4" s="1"/>
  <c r="BK6" i="4" a="1"/>
  <c r="BK6" i="4"/>
  <c r="BJ6" i="4" a="1"/>
  <c r="BJ6" i="4"/>
  <c r="BJ7" i="4" s="1"/>
  <c r="BI6" i="4" a="1"/>
  <c r="BI6" i="4"/>
  <c r="BI7" i="4" s="1"/>
  <c r="BH6" i="4" a="1"/>
  <c r="BH6" i="4"/>
  <c r="BG6" i="4" a="1"/>
  <c r="BG6" i="4"/>
  <c r="BF6" i="4" a="1"/>
  <c r="BF6" i="4" s="1"/>
  <c r="BE6" i="4" a="1"/>
  <c r="BE6" i="4"/>
  <c r="BD6" i="4" a="1"/>
  <c r="BD6" i="4"/>
  <c r="BC6" i="4" a="1"/>
  <c r="BC6" i="4" s="1"/>
  <c r="BC8" i="4" s="1"/>
  <c r="BB6" i="4" a="1"/>
  <c r="BB6" i="4"/>
  <c r="BA6" i="4" a="1"/>
  <c r="BA6" i="4"/>
  <c r="AZ6" i="4" a="1"/>
  <c r="AZ6" i="4" s="1"/>
  <c r="AY6" i="4" a="1"/>
  <c r="AY6" i="4"/>
  <c r="AY8" i="4" s="1"/>
  <c r="AX6" i="4" a="1"/>
  <c r="AX6" i="4"/>
  <c r="AW6" i="4" a="1"/>
  <c r="AW6" i="4"/>
  <c r="AV6" i="4" a="1"/>
  <c r="AV6" i="4"/>
  <c r="AU6" i="4" a="1"/>
  <c r="AU6" i="4"/>
  <c r="AT6" i="4" a="1"/>
  <c r="AT6" i="4" s="1"/>
  <c r="AS6" i="4" a="1"/>
  <c r="AS6" i="4" s="1"/>
  <c r="AR6" i="4" a="1"/>
  <c r="AR6" i="4" s="1"/>
  <c r="AQ6" i="4" a="1"/>
  <c r="AQ6" i="4"/>
  <c r="AP6" i="4" a="1"/>
  <c r="AP6" i="4" s="1"/>
  <c r="AO6" i="4" a="1"/>
  <c r="AO6" i="4"/>
  <c r="AO7" i="4" s="1"/>
  <c r="AN6" i="4" a="1"/>
  <c r="AN6" i="4"/>
  <c r="AN7" i="4" s="1"/>
  <c r="AM6" i="4" a="1"/>
  <c r="AM6" i="4"/>
  <c r="AL6" i="4" a="1"/>
  <c r="AL6" i="4"/>
  <c r="AK6" i="4" a="1"/>
  <c r="AK6" i="4"/>
  <c r="AJ6" i="4" a="1"/>
  <c r="AJ6" i="4"/>
  <c r="AJ7" i="4" s="1"/>
  <c r="AI6" i="4" a="1"/>
  <c r="AI6" i="4"/>
  <c r="AI7" i="4" s="1"/>
  <c r="AH6" i="4" a="1"/>
  <c r="AH6" i="4"/>
  <c r="AH7" i="4" s="1"/>
  <c r="AG6" i="4" a="1"/>
  <c r="AG6" i="4" s="1"/>
  <c r="AG8" i="4" s="1"/>
  <c r="AF6" i="4" a="1"/>
  <c r="AF6" i="4"/>
  <c r="AE6" i="4" a="1"/>
  <c r="AE6" i="4" s="1"/>
  <c r="AE8" i="4" s="1"/>
  <c r="AD6" i="4" a="1"/>
  <c r="AD6" i="4"/>
  <c r="AD8" i="4" s="1"/>
  <c r="AC6" i="4" a="1"/>
  <c r="AC6" i="4"/>
  <c r="AC8" i="4" s="1"/>
  <c r="AB6" i="4" a="1"/>
  <c r="AB6" i="4"/>
  <c r="AB8" i="4" s="1"/>
  <c r="AA6" i="4" a="1"/>
  <c r="AA6" i="4"/>
  <c r="Z6" i="4" a="1"/>
  <c r="Z6" i="4"/>
  <c r="Y6" i="4" a="1"/>
  <c r="Y6" i="4"/>
  <c r="Y7" i="4" s="1"/>
  <c r="X6" i="4" a="1"/>
  <c r="X6" i="4"/>
  <c r="W6" i="4" a="1"/>
  <c r="W6" i="4"/>
  <c r="V6" i="4" a="1"/>
  <c r="V6" i="4" s="1"/>
  <c r="U6" i="4" a="1"/>
  <c r="U6" i="4"/>
  <c r="T6" i="4" a="1"/>
  <c r="T6" i="4"/>
  <c r="T8" i="4" s="1"/>
  <c r="S6" i="4" a="1"/>
  <c r="S6" i="4" s="1"/>
  <c r="S7" i="4" s="1"/>
  <c r="R6" i="4" a="1"/>
  <c r="R6" i="4"/>
  <c r="R7" i="4" s="1"/>
  <c r="Q6" i="4" a="1"/>
  <c r="Q6" i="4"/>
  <c r="P6" i="4" a="1"/>
  <c r="P6" i="4"/>
  <c r="O6" i="4" a="1"/>
  <c r="O6" i="4"/>
  <c r="O7" i="4" s="1"/>
  <c r="N6" i="4" a="1"/>
  <c r="N6" i="4"/>
  <c r="N7" i="4" s="1"/>
  <c r="M6" i="4" a="1"/>
  <c r="M6" i="4"/>
  <c r="M7" i="4" s="1"/>
  <c r="L6" i="4" a="1"/>
  <c r="L6" i="4"/>
  <c r="K6" i="4" a="1"/>
  <c r="K6" i="4" s="1"/>
  <c r="J6" i="4" a="1"/>
  <c r="J6" i="4"/>
  <c r="I6" i="4" a="1"/>
  <c r="I6" i="4" s="1"/>
  <c r="H6" i="4" a="1"/>
  <c r="H6" i="4"/>
  <c r="H7" i="4" s="1"/>
  <c r="G6" i="4" a="1"/>
  <c r="G6" i="4"/>
  <c r="F6" i="4" a="1"/>
  <c r="F6" i="4"/>
  <c r="F7" i="4" s="1"/>
  <c r="E6" i="4" a="1"/>
  <c r="E6" i="4"/>
  <c r="D6" i="4" a="1"/>
  <c r="D6" i="4"/>
  <c r="D8" i="4" s="1"/>
  <c r="C6" i="4" a="1"/>
  <c r="C6" i="4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EM24" i="3" s="1"/>
  <c r="EN24" i="3" s="1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M22" i="3" s="1"/>
  <c r="EN22" i="3" s="1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M20" i="3" s="1"/>
  <c r="EN20" i="3" s="1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EM18" i="3" s="1"/>
  <c r="EN18" i="3" s="1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M17" i="3" s="1"/>
  <c r="EN17" i="3" s="1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EM12" i="3" s="1"/>
  <c r="EN12" i="3" s="1"/>
  <c r="I12" i="3"/>
  <c r="H12" i="3"/>
  <c r="G12" i="3"/>
  <c r="F12" i="3"/>
  <c r="E12" i="3"/>
  <c r="D12" i="3"/>
  <c r="C12" i="3"/>
  <c r="B12" i="3"/>
  <c r="EJ8" i="3"/>
  <c r="EI8" i="3"/>
  <c r="EH8" i="3"/>
  <c r="EG8" i="3"/>
  <c r="DX8" i="3"/>
  <c r="DW8" i="3"/>
  <c r="DS8" i="3"/>
  <c r="DR8" i="3"/>
  <c r="DQ8" i="3"/>
  <c r="DP8" i="3"/>
  <c r="DO8" i="3"/>
  <c r="DN8" i="3"/>
  <c r="DI8" i="3"/>
  <c r="DH8" i="3"/>
  <c r="DG8" i="3"/>
  <c r="CV8" i="3"/>
  <c r="CU8" i="3"/>
  <c r="CM8" i="3"/>
  <c r="CL8" i="3"/>
  <c r="CI8" i="3"/>
  <c r="CH8" i="3"/>
  <c r="CG8" i="3"/>
  <c r="CF8" i="3"/>
  <c r="CE8" i="3"/>
  <c r="CC8" i="3"/>
  <c r="BS8" i="3"/>
  <c r="BQ8" i="3"/>
  <c r="BP8" i="3"/>
  <c r="BO8" i="3"/>
  <c r="BN8" i="3"/>
  <c r="BM8" i="3"/>
  <c r="BL8" i="3"/>
  <c r="BB8" i="3"/>
  <c r="BA8" i="3"/>
  <c r="AZ8" i="3"/>
  <c r="AY8" i="3"/>
  <c r="AX8" i="3"/>
  <c r="AS8" i="3"/>
  <c r="AR8" i="3"/>
  <c r="AP8" i="3"/>
  <c r="AO8" i="3"/>
  <c r="AN8" i="3"/>
  <c r="AM8" i="3"/>
  <c r="AL8" i="3"/>
  <c r="AI8" i="3"/>
  <c r="AC8" i="3"/>
  <c r="AB8" i="3"/>
  <c r="AA8" i="3"/>
  <c r="V8" i="3"/>
  <c r="T8" i="3"/>
  <c r="R8" i="3"/>
  <c r="N8" i="3"/>
  <c r="F8" i="3"/>
  <c r="E8" i="3"/>
  <c r="C8" i="3"/>
  <c r="EJ7" i="3"/>
  <c r="EH7" i="3"/>
  <c r="EG7" i="3"/>
  <c r="EF7" i="3"/>
  <c r="ED7" i="3"/>
  <c r="DV7" i="3"/>
  <c r="DU7" i="3"/>
  <c r="DT7" i="3"/>
  <c r="DL7" i="3"/>
  <c r="DK7" i="3"/>
  <c r="DJ7" i="3"/>
  <c r="DI7" i="3"/>
  <c r="DH7" i="3"/>
  <c r="DG7" i="3"/>
  <c r="CX7" i="3"/>
  <c r="CM7" i="3"/>
  <c r="CL7" i="3"/>
  <c r="CK7" i="3"/>
  <c r="CJ7" i="3"/>
  <c r="CI7" i="3"/>
  <c r="CH7" i="3"/>
  <c r="CG7" i="3"/>
  <c r="CF7" i="3"/>
  <c r="BZ7" i="3"/>
  <c r="BY7" i="3"/>
  <c r="BX7" i="3"/>
  <c r="BW7" i="3"/>
  <c r="BP7" i="3"/>
  <c r="BO7" i="3"/>
  <c r="BM7" i="3"/>
  <c r="BL7" i="3"/>
  <c r="BD7" i="3"/>
  <c r="BC7" i="3"/>
  <c r="BB7" i="3"/>
  <c r="BA7" i="3"/>
  <c r="AZ7" i="3"/>
  <c r="AY7" i="3"/>
  <c r="AX7" i="3"/>
  <c r="AW7" i="3"/>
  <c r="AV7" i="3"/>
  <c r="AU7" i="3"/>
  <c r="AT7" i="3"/>
  <c r="AS7" i="3"/>
  <c r="AG7" i="3"/>
  <c r="AC7" i="3"/>
  <c r="AB7" i="3"/>
  <c r="AA7" i="3"/>
  <c r="V7" i="3"/>
  <c r="T7" i="3"/>
  <c r="P7" i="3"/>
  <c r="J7" i="3"/>
  <c r="H7" i="3"/>
  <c r="F7" i="3"/>
  <c r="E7" i="3"/>
  <c r="D7" i="3"/>
  <c r="C7" i="3"/>
  <c r="EM6" i="3" a="1"/>
  <c r="EM6" i="3"/>
  <c r="EL6" i="3" a="1"/>
  <c r="EL6" i="3"/>
  <c r="EK6" i="3" a="1"/>
  <c r="EK6" i="3" s="1"/>
  <c r="EJ6" i="3" a="1"/>
  <c r="EJ6" i="3"/>
  <c r="EI6" i="3" a="1"/>
  <c r="EI6" i="3"/>
  <c r="EI7" i="3" s="1"/>
  <c r="EH6" i="3" a="1"/>
  <c r="EH6" i="3" s="1"/>
  <c r="EG6" i="3" a="1"/>
  <c r="EG6" i="3"/>
  <c r="EF6" i="3" a="1"/>
  <c r="EF6" i="3"/>
  <c r="EF8" i="3" s="1"/>
  <c r="EE6" i="3" a="1"/>
  <c r="EE6" i="3" s="1"/>
  <c r="ED6" i="3" a="1"/>
  <c r="ED6" i="3"/>
  <c r="ED8" i="3" s="1"/>
  <c r="EC6" i="3" a="1"/>
  <c r="EC6" i="3"/>
  <c r="EB6" i="3" a="1"/>
  <c r="EB6" i="3"/>
  <c r="EA6" i="3" a="1"/>
  <c r="EA6" i="3"/>
  <c r="DZ6" i="3" a="1"/>
  <c r="DZ6" i="3"/>
  <c r="DY6" i="3" a="1"/>
  <c r="DY6" i="3" s="1"/>
  <c r="DX6" i="3" a="1"/>
  <c r="DX6" i="3"/>
  <c r="DX7" i="3" s="1"/>
  <c r="DW6" i="3" a="1"/>
  <c r="DW6" i="3" s="1"/>
  <c r="DW7" i="3" s="1"/>
  <c r="DV6" i="3" a="1"/>
  <c r="DV6" i="3" s="1"/>
  <c r="DV8" i="3" s="1"/>
  <c r="DU6" i="3" a="1"/>
  <c r="DU6" i="3"/>
  <c r="DU8" i="3" s="1"/>
  <c r="DT6" i="3" a="1"/>
  <c r="DT6" i="3"/>
  <c r="DT8" i="3" s="1"/>
  <c r="DS6" i="3" a="1"/>
  <c r="DS6" i="3" s="1"/>
  <c r="DS7" i="3" s="1"/>
  <c r="DR6" i="3" a="1"/>
  <c r="DR6" i="3"/>
  <c r="DR7" i="3" s="1"/>
  <c r="DQ6" i="3" a="1"/>
  <c r="DQ6" i="3"/>
  <c r="DQ7" i="3" s="1"/>
  <c r="DP6" i="3" a="1"/>
  <c r="DP6" i="3"/>
  <c r="DP7" i="3" s="1"/>
  <c r="DO6" i="3" a="1"/>
  <c r="DO6" i="3"/>
  <c r="DO7" i="3" s="1"/>
  <c r="DN6" i="3" a="1"/>
  <c r="DN6" i="3"/>
  <c r="DN7" i="3" s="1"/>
  <c r="DM6" i="3" a="1"/>
  <c r="DM6" i="3"/>
  <c r="DL6" i="3" a="1"/>
  <c r="DL6" i="3" s="1"/>
  <c r="DL8" i="3" s="1"/>
  <c r="DK6" i="3" a="1"/>
  <c r="DK6" i="3"/>
  <c r="DK8" i="3" s="1"/>
  <c r="DJ6" i="3" a="1"/>
  <c r="DJ6" i="3"/>
  <c r="DJ8" i="3" s="1"/>
  <c r="DI6" i="3" a="1"/>
  <c r="DI6" i="3"/>
  <c r="DH6" i="3" a="1"/>
  <c r="DH6" i="3"/>
  <c r="DG6" i="3" a="1"/>
  <c r="DG6" i="3"/>
  <c r="DF6" i="3" a="1"/>
  <c r="DF6" i="3"/>
  <c r="DF8" i="3" s="1"/>
  <c r="DE6" i="3" a="1"/>
  <c r="DE6" i="3"/>
  <c r="DE8" i="3" s="1"/>
  <c r="DD6" i="3" a="1"/>
  <c r="DD6" i="3"/>
  <c r="DD8" i="3" s="1"/>
  <c r="DC6" i="3" a="1"/>
  <c r="DC6" i="3"/>
  <c r="DB6" i="3" a="1"/>
  <c r="DB6" i="3"/>
  <c r="DA6" i="3" a="1"/>
  <c r="DA6" i="3" s="1"/>
  <c r="CZ6" i="3" a="1"/>
  <c r="CZ6" i="3" s="1"/>
  <c r="CY6" i="3" a="1"/>
  <c r="CY6" i="3" s="1"/>
  <c r="CY8" i="3" s="1"/>
  <c r="CX6" i="3" a="1"/>
  <c r="CX6" i="3"/>
  <c r="CX8" i="3" s="1"/>
  <c r="CW6" i="3" a="1"/>
  <c r="CW6" i="3" s="1"/>
  <c r="CV6" i="3" a="1"/>
  <c r="CV6" i="3"/>
  <c r="CV7" i="3" s="1"/>
  <c r="CU6" i="3" a="1"/>
  <c r="CU6" i="3"/>
  <c r="CU7" i="3" s="1"/>
  <c r="CT6" i="3" a="1"/>
  <c r="CT6" i="3"/>
  <c r="CS6" i="3" a="1"/>
  <c r="CS6" i="3"/>
  <c r="CR6" i="3" a="1"/>
  <c r="CR6" i="3"/>
  <c r="CR7" i="3" s="1"/>
  <c r="CQ6" i="3" a="1"/>
  <c r="CQ6" i="3"/>
  <c r="CQ7" i="3" s="1"/>
  <c r="CP6" i="3" a="1"/>
  <c r="CP6" i="3" s="1"/>
  <c r="CP7" i="3" s="1"/>
  <c r="CO6" i="3" a="1"/>
  <c r="CO6" i="3"/>
  <c r="CN6" i="3" a="1"/>
  <c r="CN6" i="3"/>
  <c r="CM6" i="3" a="1"/>
  <c r="CM6" i="3"/>
  <c r="CL6" i="3" a="1"/>
  <c r="CL6" i="3"/>
  <c r="CK6" i="3" a="1"/>
  <c r="CK6" i="3"/>
  <c r="CK8" i="3" s="1"/>
  <c r="CJ6" i="3" a="1"/>
  <c r="CJ6" i="3" s="1"/>
  <c r="CJ8" i="3" s="1"/>
  <c r="CI6" i="3" a="1"/>
  <c r="CI6" i="3"/>
  <c r="CH6" i="3" a="1"/>
  <c r="CH6" i="3"/>
  <c r="CG6" i="3" a="1"/>
  <c r="CG6" i="3"/>
  <c r="CF6" i="3" a="1"/>
  <c r="CF6" i="3"/>
  <c r="CE6" i="3" a="1"/>
  <c r="CE6" i="3" s="1"/>
  <c r="CE7" i="3" s="1"/>
  <c r="CD6" i="3" a="1"/>
  <c r="CD6" i="3"/>
  <c r="CD7" i="3" s="1"/>
  <c r="CC6" i="3" a="1"/>
  <c r="CC6" i="3"/>
  <c r="CC7" i="3" s="1"/>
  <c r="CB6" i="3" a="1"/>
  <c r="CB6" i="3" s="1"/>
  <c r="CA6" i="3" a="1"/>
  <c r="CA6" i="3"/>
  <c r="CA7" i="3" s="1"/>
  <c r="BZ6" i="3" a="1"/>
  <c r="BZ6" i="3"/>
  <c r="BZ8" i="3" s="1"/>
  <c r="BY6" i="3" a="1"/>
  <c r="BY6" i="3"/>
  <c r="BY8" i="3" s="1"/>
  <c r="BX6" i="3" a="1"/>
  <c r="BX6" i="3" s="1"/>
  <c r="BX8" i="3" s="1"/>
  <c r="BW6" i="3" a="1"/>
  <c r="BW6" i="3"/>
  <c r="BW8" i="3" s="1"/>
  <c r="BV6" i="3" a="1"/>
  <c r="BV6" i="3"/>
  <c r="BV8" i="3" s="1"/>
  <c r="BU6" i="3" a="1"/>
  <c r="BU6" i="3"/>
  <c r="BT6" i="3" a="1"/>
  <c r="BT6" i="3" s="1"/>
  <c r="BS6" i="3" a="1"/>
  <c r="BS6" i="3"/>
  <c r="BS7" i="3" s="1"/>
  <c r="BR6" i="3" a="1"/>
  <c r="BR6" i="3"/>
  <c r="BQ6" i="3" a="1"/>
  <c r="BQ6" i="3"/>
  <c r="BQ7" i="3" s="1"/>
  <c r="BP6" i="3" a="1"/>
  <c r="BP6" i="3"/>
  <c r="BO6" i="3" a="1"/>
  <c r="BO6" i="3"/>
  <c r="BN6" i="3" a="1"/>
  <c r="BN6" i="3" s="1"/>
  <c r="BN7" i="3" s="1"/>
  <c r="BM6" i="3" a="1"/>
  <c r="BM6" i="3"/>
  <c r="BL6" i="3" a="1"/>
  <c r="BL6" i="3"/>
  <c r="BK6" i="3" a="1"/>
  <c r="BK6" i="3"/>
  <c r="BJ6" i="3" a="1"/>
  <c r="BJ6" i="3"/>
  <c r="BI6" i="3" a="1"/>
  <c r="BI6" i="3" s="1"/>
  <c r="BH6" i="3" a="1"/>
  <c r="BH6" i="3"/>
  <c r="BG6" i="3" a="1"/>
  <c r="BG6" i="3"/>
  <c r="BG7" i="3" s="1"/>
  <c r="BF6" i="3" a="1"/>
  <c r="BF6" i="3"/>
  <c r="BF7" i="3" s="1"/>
  <c r="BE6" i="3" a="1"/>
  <c r="BE6" i="3" s="1"/>
  <c r="BD6" i="3" a="1"/>
  <c r="BD6" i="3"/>
  <c r="BD8" i="3" s="1"/>
  <c r="BC6" i="3" a="1"/>
  <c r="BC6" i="3"/>
  <c r="BC8" i="3" s="1"/>
  <c r="BB6" i="3" a="1"/>
  <c r="BB6" i="3" s="1"/>
  <c r="BA6" i="3" a="1"/>
  <c r="BA6" i="3"/>
  <c r="AZ6" i="3" a="1"/>
  <c r="AZ6" i="3"/>
  <c r="AY6" i="3" a="1"/>
  <c r="AY6" i="3"/>
  <c r="AX6" i="3" a="1"/>
  <c r="AX6" i="3" s="1"/>
  <c r="AW6" i="3" a="1"/>
  <c r="AW6" i="3"/>
  <c r="AW8" i="3" s="1"/>
  <c r="AV6" i="3" a="1"/>
  <c r="AV6" i="3"/>
  <c r="AV8" i="3" s="1"/>
  <c r="AU6" i="3" a="1"/>
  <c r="AU6" i="3"/>
  <c r="AU8" i="3" s="1"/>
  <c r="AT6" i="3" a="1"/>
  <c r="AT6" i="3"/>
  <c r="AT8" i="3" s="1"/>
  <c r="AS6" i="3" a="1"/>
  <c r="AS6" i="3"/>
  <c r="AR6" i="3" a="1"/>
  <c r="AR6" i="3"/>
  <c r="AR7" i="3" s="1"/>
  <c r="AQ6" i="3" a="1"/>
  <c r="AQ6" i="3"/>
  <c r="AP6" i="3" a="1"/>
  <c r="AP6" i="3"/>
  <c r="AP7" i="3" s="1"/>
  <c r="AO6" i="3" a="1"/>
  <c r="AO6" i="3" s="1"/>
  <c r="AO7" i="3" s="1"/>
  <c r="AN6" i="3" a="1"/>
  <c r="AN6" i="3"/>
  <c r="AN7" i="3" s="1"/>
  <c r="AM6" i="3" a="1"/>
  <c r="AM6" i="3" s="1"/>
  <c r="AM7" i="3" s="1"/>
  <c r="AL6" i="3" a="1"/>
  <c r="AL6" i="3"/>
  <c r="AL7" i="3" s="1"/>
  <c r="AK6" i="3" a="1"/>
  <c r="AK6" i="3"/>
  <c r="AJ6" i="3" a="1"/>
  <c r="AJ6" i="3"/>
  <c r="AI6" i="3" a="1"/>
  <c r="AI6" i="3"/>
  <c r="AI7" i="3" s="1"/>
  <c r="AH6" i="3" a="1"/>
  <c r="AH6" i="3" s="1"/>
  <c r="AG6" i="3" a="1"/>
  <c r="AG6" i="3"/>
  <c r="AG8" i="3" s="1"/>
  <c r="AF6" i="3" a="1"/>
  <c r="AF6" i="3" s="1"/>
  <c r="AF8" i="3" s="1"/>
  <c r="AE6" i="3" a="1"/>
  <c r="AE6" i="3"/>
  <c r="AD6" i="3" a="1"/>
  <c r="AD6" i="3" s="1"/>
  <c r="AC6" i="3" a="1"/>
  <c r="AC6" i="3"/>
  <c r="AB6" i="3" a="1"/>
  <c r="AB6" i="3" s="1"/>
  <c r="AA6" i="3" a="1"/>
  <c r="AA6" i="3"/>
  <c r="Z6" i="3" a="1"/>
  <c r="Z6" i="3"/>
  <c r="Z8" i="3" s="1"/>
  <c r="Y6" i="3" a="1"/>
  <c r="Y6" i="3"/>
  <c r="X6" i="3" a="1"/>
  <c r="X6" i="3"/>
  <c r="W6" i="3" a="1"/>
  <c r="W6" i="3"/>
  <c r="W7" i="3" s="1"/>
  <c r="V6" i="3" a="1"/>
  <c r="V6" i="3"/>
  <c r="U6" i="3" a="1"/>
  <c r="U6" i="3"/>
  <c r="U7" i="3" s="1"/>
  <c r="T6" i="3" a="1"/>
  <c r="T6" i="3"/>
  <c r="S6" i="3" a="1"/>
  <c r="S6" i="3"/>
  <c r="R6" i="3" a="1"/>
  <c r="R6" i="3"/>
  <c r="R7" i="3" s="1"/>
  <c r="Q6" i="3" a="1"/>
  <c r="Q6" i="3" s="1"/>
  <c r="Q7" i="3" s="1"/>
  <c r="P6" i="3" a="1"/>
  <c r="P6" i="3"/>
  <c r="P8" i="3" s="1"/>
  <c r="O6" i="3" a="1"/>
  <c r="O6" i="3"/>
  <c r="N6" i="3" a="1"/>
  <c r="N6" i="3"/>
  <c r="N7" i="3" s="1"/>
  <c r="M6" i="3" a="1"/>
  <c r="M6" i="3"/>
  <c r="M7" i="3" s="1"/>
  <c r="L6" i="3" a="1"/>
  <c r="L6" i="3"/>
  <c r="L7" i="3" s="1"/>
  <c r="K6" i="3" a="1"/>
  <c r="K6" i="3" s="1"/>
  <c r="J6" i="3" a="1"/>
  <c r="J6" i="3"/>
  <c r="J8" i="3" s="1"/>
  <c r="I6" i="3" a="1"/>
  <c r="I6" i="3"/>
  <c r="H6" i="3" a="1"/>
  <c r="H6" i="3"/>
  <c r="H8" i="3" s="1"/>
  <c r="G6" i="3" a="1"/>
  <c r="G6" i="3"/>
  <c r="F6" i="3" a="1"/>
  <c r="F6" i="3" s="1"/>
  <c r="E6" i="3" a="1"/>
  <c r="E6" i="3"/>
  <c r="D6" i="3" a="1"/>
  <c r="D6" i="3"/>
  <c r="D8" i="3" s="1"/>
  <c r="C6" i="3" a="1"/>
  <c r="C6" i="3"/>
  <c r="EN25" i="2"/>
  <c r="EM25" i="2"/>
  <c r="EO25" i="2" s="1"/>
  <c r="EN24" i="2"/>
  <c r="B24" i="2"/>
  <c r="EN23" i="2"/>
  <c r="B23" i="2"/>
  <c r="EN22" i="2"/>
  <c r="B22" i="2"/>
  <c r="EN21" i="2"/>
  <c r="B21" i="2"/>
  <c r="EN20" i="2"/>
  <c r="B20" i="2"/>
  <c r="EN19" i="2"/>
  <c r="EO19" i="2" s="1"/>
  <c r="B19" i="2"/>
  <c r="EN18" i="2"/>
  <c r="EO18" i="2" s="1"/>
  <c r="B18" i="2"/>
  <c r="EN17" i="2"/>
  <c r="EO17" i="2" s="1"/>
  <c r="B17" i="2"/>
  <c r="EN16" i="2"/>
  <c r="B16" i="2"/>
  <c r="EN15" i="2"/>
  <c r="EO15" i="2" s="1"/>
  <c r="B15" i="2"/>
  <c r="EN14" i="2"/>
  <c r="EO14" i="2" s="1"/>
  <c r="B14" i="2"/>
  <c r="EO13" i="2"/>
  <c r="EN13" i="2"/>
  <c r="B13" i="2"/>
  <c r="EN12" i="2"/>
  <c r="EO12" i="2" s="1"/>
  <c r="B12" i="2"/>
  <c r="EK8" i="2"/>
  <c r="EJ8" i="2"/>
  <c r="EH8" i="2"/>
  <c r="DZ8" i="2"/>
  <c r="DY8" i="2"/>
  <c r="DW8" i="2"/>
  <c r="DU8" i="2"/>
  <c r="DT8" i="2"/>
  <c r="DN8" i="2"/>
  <c r="DM8" i="2"/>
  <c r="DB8" i="2"/>
  <c r="DA8" i="2"/>
  <c r="CY8" i="2"/>
  <c r="CX8" i="2"/>
  <c r="CW8" i="2"/>
  <c r="CV8" i="2"/>
  <c r="CQ8" i="2"/>
  <c r="CP8" i="2"/>
  <c r="CN8" i="2"/>
  <c r="CL8" i="2"/>
  <c r="CK8" i="2"/>
  <c r="CE8" i="2"/>
  <c r="BZ8" i="2"/>
  <c r="BY8" i="2"/>
  <c r="BX8" i="2"/>
  <c r="BW8" i="2"/>
  <c r="BU8" i="2"/>
  <c r="BT8" i="2"/>
  <c r="BQ8" i="2"/>
  <c r="BN8" i="2"/>
  <c r="BJ8" i="2"/>
  <c r="BG8" i="2"/>
  <c r="BF8" i="2"/>
  <c r="BE8" i="2"/>
  <c r="AW8" i="2"/>
  <c r="AV8" i="2"/>
  <c r="AU8" i="2"/>
  <c r="AT8" i="2"/>
  <c r="AQ8" i="2"/>
  <c r="AM8" i="2"/>
  <c r="AK8" i="2"/>
  <c r="AJ8" i="2"/>
  <c r="AI8" i="2"/>
  <c r="AH8" i="2"/>
  <c r="AF8" i="2"/>
  <c r="AC8" i="2"/>
  <c r="Z8" i="2"/>
  <c r="X8" i="2"/>
  <c r="W8" i="2"/>
  <c r="V8" i="2"/>
  <c r="U8" i="2"/>
  <c r="N8" i="2"/>
  <c r="L8" i="2"/>
  <c r="K8" i="2"/>
  <c r="J8" i="2"/>
  <c r="I8" i="2"/>
  <c r="H8" i="2"/>
  <c r="G8" i="2"/>
  <c r="F8" i="2"/>
  <c r="E8" i="2"/>
  <c r="D8" i="2"/>
  <c r="C8" i="2"/>
  <c r="EK7" i="2"/>
  <c r="EJ7" i="2"/>
  <c r="DY7" i="2"/>
  <c r="DW7" i="2"/>
  <c r="DV7" i="2"/>
  <c r="DQ7" i="2"/>
  <c r="DP7" i="2"/>
  <c r="DO7" i="2"/>
  <c r="DN7" i="2"/>
  <c r="DM7" i="2"/>
  <c r="DL7" i="2"/>
  <c r="DB7" i="2"/>
  <c r="DA7" i="2"/>
  <c r="CX7" i="2"/>
  <c r="CW7" i="2"/>
  <c r="CV7" i="2"/>
  <c r="CU7" i="2"/>
  <c r="CT7" i="2"/>
  <c r="CS7" i="2"/>
  <c r="CQ7" i="2"/>
  <c r="CP7" i="2"/>
  <c r="CN7" i="2"/>
  <c r="CE7" i="2"/>
  <c r="BW7" i="2"/>
  <c r="BU7" i="2"/>
  <c r="BT7" i="2"/>
  <c r="BS7" i="2"/>
  <c r="BR7" i="2"/>
  <c r="BL7" i="2"/>
  <c r="BJ7" i="2"/>
  <c r="BI7" i="2"/>
  <c r="BH7" i="2"/>
  <c r="BG7" i="2"/>
  <c r="BF7" i="2"/>
  <c r="BE7" i="2"/>
  <c r="BD7" i="2"/>
  <c r="AW7" i="2"/>
  <c r="AV7" i="2"/>
  <c r="AS7" i="2"/>
  <c r="AO7" i="2"/>
  <c r="AN7" i="2"/>
  <c r="AL7" i="2"/>
  <c r="AK7" i="2"/>
  <c r="AJ7" i="2"/>
  <c r="AI7" i="2"/>
  <c r="AH7" i="2"/>
  <c r="AG7" i="2"/>
  <c r="AF7" i="2"/>
  <c r="AE7" i="2"/>
  <c r="AD7" i="2"/>
  <c r="AC7" i="2"/>
  <c r="AB7" i="2"/>
  <c r="Z7" i="2"/>
  <c r="W7" i="2"/>
  <c r="N7" i="2"/>
  <c r="L7" i="2"/>
  <c r="K7" i="2"/>
  <c r="J7" i="2"/>
  <c r="I7" i="2"/>
  <c r="E7" i="2"/>
  <c r="D7" i="2"/>
  <c r="EM6" i="2" a="1"/>
  <c r="EM6" i="2"/>
  <c r="EM8" i="2" s="1"/>
  <c r="EL6" i="2" a="1"/>
  <c r="EL6" i="2" s="1"/>
  <c r="EK6" i="2" a="1"/>
  <c r="EK6" i="2"/>
  <c r="EJ6" i="2" a="1"/>
  <c r="EJ6" i="2"/>
  <c r="EI6" i="2" a="1"/>
  <c r="EI6" i="2"/>
  <c r="EI8" i="2" s="1"/>
  <c r="EH6" i="2" a="1"/>
  <c r="EH6" i="2"/>
  <c r="EH7" i="2" s="1"/>
  <c r="EG6" i="2" a="1"/>
  <c r="EG6" i="2"/>
  <c r="EG7" i="2" s="1"/>
  <c r="EF6" i="2" a="1"/>
  <c r="EF6" i="2"/>
  <c r="EF7" i="2" s="1"/>
  <c r="EE6" i="2" a="1"/>
  <c r="EE6" i="2"/>
  <c r="ED6" i="2" a="1"/>
  <c r="ED6" i="2"/>
  <c r="EC6" i="2" a="1"/>
  <c r="EC6" i="2" s="1"/>
  <c r="EB6" i="2" a="1"/>
  <c r="EB6" i="2"/>
  <c r="EB8" i="2" s="1"/>
  <c r="EA6" i="2" a="1"/>
  <c r="EA6" i="2"/>
  <c r="EA8" i="2" s="1"/>
  <c r="DZ6" i="2" a="1"/>
  <c r="DZ6" i="2" s="1"/>
  <c r="DZ7" i="2" s="1"/>
  <c r="DY6" i="2" a="1"/>
  <c r="DY6" i="2"/>
  <c r="DX6" i="2" a="1"/>
  <c r="DX6" i="2" s="1"/>
  <c r="DW6" i="2" a="1"/>
  <c r="DW6" i="2"/>
  <c r="DV6" i="2" a="1"/>
  <c r="DV6" i="2"/>
  <c r="DV8" i="2" s="1"/>
  <c r="DU6" i="2" a="1"/>
  <c r="DU6" i="2"/>
  <c r="DU7" i="2" s="1"/>
  <c r="DT6" i="2" a="1"/>
  <c r="DT6" i="2"/>
  <c r="DT7" i="2" s="1"/>
  <c r="DS6" i="2" a="1"/>
  <c r="DS6" i="2"/>
  <c r="DR6" i="2" a="1"/>
  <c r="DR6" i="2" s="1"/>
  <c r="DQ6" i="2" a="1"/>
  <c r="DQ6" i="2"/>
  <c r="DQ8" i="2" s="1"/>
  <c r="DP6" i="2" a="1"/>
  <c r="DP6" i="2"/>
  <c r="DP8" i="2" s="1"/>
  <c r="DO6" i="2" a="1"/>
  <c r="DO6" i="2"/>
  <c r="DO8" i="2" s="1"/>
  <c r="DN6" i="2" a="1"/>
  <c r="DN6" i="2"/>
  <c r="DM6" i="2" a="1"/>
  <c r="DM6" i="2"/>
  <c r="DL6" i="2" a="1"/>
  <c r="DL6" i="2"/>
  <c r="DL8" i="2" s="1"/>
  <c r="DK6" i="2" a="1"/>
  <c r="DK6" i="2"/>
  <c r="DJ6" i="2" a="1"/>
  <c r="DJ6" i="2"/>
  <c r="DI6" i="2" a="1"/>
  <c r="DI6" i="2"/>
  <c r="DH6" i="2" a="1"/>
  <c r="DH6" i="2"/>
  <c r="DG6" i="2" a="1"/>
  <c r="DG6" i="2" s="1"/>
  <c r="DF6" i="2" a="1"/>
  <c r="DF6" i="2"/>
  <c r="DE6" i="2" a="1"/>
  <c r="DE6" i="2"/>
  <c r="DD6" i="2" a="1"/>
  <c r="DD6" i="2"/>
  <c r="DC6" i="2" a="1"/>
  <c r="DC6" i="2" s="1"/>
  <c r="DC7" i="2" s="1"/>
  <c r="DB6" i="2" a="1"/>
  <c r="DB6" i="2"/>
  <c r="DA6" i="2" a="1"/>
  <c r="DA6" i="2"/>
  <c r="CZ6" i="2" a="1"/>
  <c r="CZ6" i="2"/>
  <c r="CY6" i="2" a="1"/>
  <c r="CY6" i="2"/>
  <c r="CY7" i="2" s="1"/>
  <c r="CX6" i="2" a="1"/>
  <c r="CX6" i="2"/>
  <c r="CW6" i="2" a="1"/>
  <c r="CW6" i="2"/>
  <c r="CV6" i="2" a="1"/>
  <c r="CV6" i="2" s="1"/>
  <c r="CU6" i="2" a="1"/>
  <c r="CU6" i="2"/>
  <c r="CU8" i="2" s="1"/>
  <c r="CT6" i="2" a="1"/>
  <c r="CT6" i="2"/>
  <c r="CT8" i="2" s="1"/>
  <c r="CS6" i="2" a="1"/>
  <c r="CS6" i="2"/>
  <c r="CS8" i="2" s="1"/>
  <c r="CR6" i="2" a="1"/>
  <c r="CR6" i="2"/>
  <c r="CR8" i="2" s="1"/>
  <c r="CQ6" i="2" a="1"/>
  <c r="CQ6" i="2"/>
  <c r="CP6" i="2" a="1"/>
  <c r="CP6" i="2"/>
  <c r="CO6" i="2" a="1"/>
  <c r="CO6" i="2" s="1"/>
  <c r="CN6" i="2" a="1"/>
  <c r="CN6" i="2"/>
  <c r="CM6" i="2" a="1"/>
  <c r="CM6" i="2" s="1"/>
  <c r="CL6" i="2" a="1"/>
  <c r="CL6" i="2"/>
  <c r="CL7" i="2" s="1"/>
  <c r="CK6" i="2" a="1"/>
  <c r="CK6" i="2" s="1"/>
  <c r="CK7" i="2" s="1"/>
  <c r="CJ6" i="2" a="1"/>
  <c r="CJ6" i="2"/>
  <c r="CI6" i="2" a="1"/>
  <c r="CI6" i="2"/>
  <c r="CH6" i="2" a="1"/>
  <c r="CH6" i="2"/>
  <c r="CG6" i="2" a="1"/>
  <c r="CG6" i="2"/>
  <c r="CF6" i="2" a="1"/>
  <c r="CF6" i="2" s="1"/>
  <c r="CF8" i="2" s="1"/>
  <c r="CE6" i="2" a="1"/>
  <c r="CE6" i="2"/>
  <c r="CD6" i="2" a="1"/>
  <c r="CD6" i="2"/>
  <c r="CD8" i="2" s="1"/>
  <c r="CC6" i="2" a="1"/>
  <c r="CC6" i="2" s="1"/>
  <c r="CB6" i="2" a="1"/>
  <c r="CB6" i="2"/>
  <c r="CB7" i="2" s="1"/>
  <c r="CA6" i="2" a="1"/>
  <c r="CA6" i="2"/>
  <c r="BZ6" i="2" a="1"/>
  <c r="BZ6" i="2" s="1"/>
  <c r="BZ7" i="2" s="1"/>
  <c r="BY6" i="2" a="1"/>
  <c r="BY6" i="2"/>
  <c r="BY7" i="2" s="1"/>
  <c r="BX6" i="2" a="1"/>
  <c r="BX6" i="2"/>
  <c r="BX7" i="2" s="1"/>
  <c r="BW6" i="2" a="1"/>
  <c r="BW6" i="2"/>
  <c r="BV6" i="2" a="1"/>
  <c r="BV6" i="2" s="1"/>
  <c r="BU6" i="2" a="1"/>
  <c r="BU6" i="2"/>
  <c r="BT6" i="2" a="1"/>
  <c r="BT6" i="2"/>
  <c r="BS6" i="2" a="1"/>
  <c r="BS6" i="2"/>
  <c r="BS8" i="2" s="1"/>
  <c r="BR6" i="2" a="1"/>
  <c r="BR6" i="2"/>
  <c r="BR8" i="2" s="1"/>
  <c r="BQ6" i="2" a="1"/>
  <c r="BQ6" i="2"/>
  <c r="BQ7" i="2" s="1"/>
  <c r="BP6" i="2" a="1"/>
  <c r="BP6" i="2"/>
  <c r="BP8" i="2" s="1"/>
  <c r="BO6" i="2" a="1"/>
  <c r="BO6" i="2" s="1"/>
  <c r="BO7" i="2" s="1"/>
  <c r="BN6" i="2" a="1"/>
  <c r="BN6" i="2"/>
  <c r="BN7" i="2" s="1"/>
  <c r="BM6" i="2" a="1"/>
  <c r="BM6" i="2"/>
  <c r="BL6" i="2" a="1"/>
  <c r="BL6" i="2"/>
  <c r="BL8" i="2" s="1"/>
  <c r="BK6" i="2" a="1"/>
  <c r="BK6" i="2"/>
  <c r="BJ6" i="2" a="1"/>
  <c r="BJ6" i="2"/>
  <c r="BI6" i="2" a="1"/>
  <c r="BI6" i="2" s="1"/>
  <c r="BI8" i="2" s="1"/>
  <c r="BH6" i="2" a="1"/>
  <c r="BH6" i="2"/>
  <c r="BH8" i="2" s="1"/>
  <c r="BG6" i="2" a="1"/>
  <c r="BG6" i="2"/>
  <c r="BF6" i="2" a="1"/>
  <c r="BF6" i="2"/>
  <c r="BE6" i="2" a="1"/>
  <c r="BE6" i="2"/>
  <c r="BD6" i="2" a="1"/>
  <c r="BD6" i="2" s="1"/>
  <c r="BD8" i="2" s="1"/>
  <c r="BC6" i="2" a="1"/>
  <c r="BC6" i="2"/>
  <c r="BB6" i="2" a="1"/>
  <c r="BB6" i="2"/>
  <c r="BA6" i="2" a="1"/>
  <c r="BA6" i="2"/>
  <c r="AZ6" i="2" a="1"/>
  <c r="AZ6" i="2"/>
  <c r="AY6" i="2" a="1"/>
  <c r="AY6" i="2"/>
  <c r="AX6" i="2" a="1"/>
  <c r="AX6" i="2"/>
  <c r="AW6" i="2" a="1"/>
  <c r="AW6" i="2"/>
  <c r="AV6" i="2" a="1"/>
  <c r="AV6" i="2"/>
  <c r="AU6" i="2" a="1"/>
  <c r="AU6" i="2"/>
  <c r="AU7" i="2" s="1"/>
  <c r="AT6" i="2" a="1"/>
  <c r="AT6" i="2" s="1"/>
  <c r="AT7" i="2" s="1"/>
  <c r="AS6" i="2" a="1"/>
  <c r="AS6" i="2" s="1"/>
  <c r="AS8" i="2" s="1"/>
  <c r="AR6" i="2" a="1"/>
  <c r="AR6" i="2"/>
  <c r="AQ6" i="2" a="1"/>
  <c r="AQ6" i="2"/>
  <c r="AQ7" i="2" s="1"/>
  <c r="AP6" i="2" a="1"/>
  <c r="AP6" i="2"/>
  <c r="AO6" i="2" a="1"/>
  <c r="AO6" i="2"/>
  <c r="AO8" i="2" s="1"/>
  <c r="AN6" i="2" a="1"/>
  <c r="AN6" i="2"/>
  <c r="AN8" i="2" s="1"/>
  <c r="AM6" i="2" a="1"/>
  <c r="AM6" i="2"/>
  <c r="AM7" i="2" s="1"/>
  <c r="AL6" i="2" a="1"/>
  <c r="AL6" i="2" s="1"/>
  <c r="AL8" i="2" s="1"/>
  <c r="AK6" i="2" a="1"/>
  <c r="AK6" i="2"/>
  <c r="AJ6" i="2" a="1"/>
  <c r="AJ6" i="2" s="1"/>
  <c r="AI6" i="2" a="1"/>
  <c r="AI6" i="2"/>
  <c r="AH6" i="2" a="1"/>
  <c r="AH6" i="2" s="1"/>
  <c r="AG6" i="2" a="1"/>
  <c r="AG6" i="2" s="1"/>
  <c r="AG8" i="2" s="1"/>
  <c r="AF6" i="2" a="1"/>
  <c r="AF6" i="2"/>
  <c r="AE6" i="2" a="1"/>
  <c r="AE6" i="2"/>
  <c r="AE8" i="2" s="1"/>
  <c r="AD6" i="2" a="1"/>
  <c r="AD6" i="2"/>
  <c r="AD8" i="2" s="1"/>
  <c r="AC6" i="2" a="1"/>
  <c r="AC6" i="2"/>
  <c r="AB6" i="2" a="1"/>
  <c r="AB6" i="2"/>
  <c r="AB8" i="2" s="1"/>
  <c r="AA6" i="2" a="1"/>
  <c r="AA6" i="2"/>
  <c r="Z6" i="2" a="1"/>
  <c r="Z6" i="2"/>
  <c r="Y6" i="2" a="1"/>
  <c r="Y6" i="2"/>
  <c r="X6" i="2" a="1"/>
  <c r="X6" i="2"/>
  <c r="X7" i="2" s="1"/>
  <c r="W6" i="2" a="1"/>
  <c r="W6" i="2" s="1"/>
  <c r="V6" i="2" a="1"/>
  <c r="V6" i="2"/>
  <c r="V7" i="2" s="1"/>
  <c r="U6" i="2" a="1"/>
  <c r="U6" i="2"/>
  <c r="U7" i="2" s="1"/>
  <c r="T6" i="2" a="1"/>
  <c r="T6" i="2"/>
  <c r="S6" i="2" a="1"/>
  <c r="S6" i="2"/>
  <c r="R6" i="2" a="1"/>
  <c r="R6" i="2" s="1"/>
  <c r="Q6" i="2" a="1"/>
  <c r="Q6" i="2"/>
  <c r="P6" i="2" a="1"/>
  <c r="P6" i="2"/>
  <c r="P8" i="2" s="1"/>
  <c r="O6" i="2" a="1"/>
  <c r="O6" i="2" s="1"/>
  <c r="O8" i="2" s="1"/>
  <c r="N6" i="2" a="1"/>
  <c r="N6" i="2"/>
  <c r="M6" i="2" a="1"/>
  <c r="M6" i="2" s="1"/>
  <c r="L6" i="2" a="1"/>
  <c r="L6" i="2" s="1"/>
  <c r="K6" i="2" a="1"/>
  <c r="K6" i="2"/>
  <c r="J6" i="2" a="1"/>
  <c r="J6" i="2"/>
  <c r="I6" i="2" a="1"/>
  <c r="I6" i="2"/>
  <c r="H6" i="2" a="1"/>
  <c r="H6" i="2"/>
  <c r="H7" i="2" s="1"/>
  <c r="G6" i="2" a="1"/>
  <c r="G6" i="2"/>
  <c r="G7" i="2" s="1"/>
  <c r="F6" i="2" a="1"/>
  <c r="F6" i="2" s="1"/>
  <c r="F7" i="2" s="1"/>
  <c r="E6" i="2" a="1"/>
  <c r="E6" i="2"/>
  <c r="D6" i="2" a="1"/>
  <c r="D6" i="2"/>
  <c r="C6" i="2" a="1"/>
  <c r="C6" i="2"/>
  <c r="C7" i="2" s="1"/>
  <c r="EN25" i="1"/>
  <c r="EM25" i="1"/>
  <c r="EO25" i="1" s="1"/>
  <c r="EN24" i="1"/>
  <c r="EM24" i="1"/>
  <c r="B24" i="1"/>
  <c r="EN23" i="1"/>
  <c r="EM23" i="1"/>
  <c r="EO23" i="1" s="1"/>
  <c r="B23" i="1"/>
  <c r="EN22" i="1"/>
  <c r="EM22" i="1"/>
  <c r="EO22" i="1" s="1"/>
  <c r="B22" i="1"/>
  <c r="EN21" i="1"/>
  <c r="EM21" i="1"/>
  <c r="EO21" i="1" s="1"/>
  <c r="B21" i="1"/>
  <c r="EN20" i="1"/>
  <c r="EO20" i="1" s="1"/>
  <c r="EM20" i="1"/>
  <c r="B20" i="1"/>
  <c r="EN19" i="1"/>
  <c r="EO19" i="1" s="1"/>
  <c r="EM19" i="1"/>
  <c r="B19" i="1"/>
  <c r="EO18" i="1"/>
  <c r="EN18" i="1"/>
  <c r="EM18" i="1"/>
  <c r="B18" i="1"/>
  <c r="EN17" i="1"/>
  <c r="EM17" i="1"/>
  <c r="EO17" i="1" s="1"/>
  <c r="B17" i="1"/>
  <c r="EN16" i="1"/>
  <c r="EM16" i="1"/>
  <c r="EO16" i="1" s="1"/>
  <c r="B16" i="1"/>
  <c r="EN15" i="1"/>
  <c r="EM15" i="1"/>
  <c r="EO15" i="1" s="1"/>
  <c r="B15" i="1"/>
  <c r="EN14" i="1"/>
  <c r="EM14" i="1"/>
  <c r="EO14" i="1" s="1"/>
  <c r="B14" i="1"/>
  <c r="EN13" i="1"/>
  <c r="EM13" i="1"/>
  <c r="EO13" i="1" s="1"/>
  <c r="B13" i="1"/>
  <c r="EO12" i="1"/>
  <c r="EN12" i="1"/>
  <c r="EM12" i="1"/>
  <c r="B12" i="1"/>
  <c r="EK8" i="1"/>
  <c r="EJ8" i="1"/>
  <c r="EI8" i="1"/>
  <c r="DX8" i="1"/>
  <c r="DW8" i="1"/>
  <c r="DV8" i="1"/>
  <c r="DU8" i="1"/>
  <c r="DN8" i="1"/>
  <c r="DM8" i="1"/>
  <c r="DA8" i="1"/>
  <c r="CZ8" i="1"/>
  <c r="CY8" i="1"/>
  <c r="CX8" i="1"/>
  <c r="CW8" i="1"/>
  <c r="CV8" i="1"/>
  <c r="CU8" i="1"/>
  <c r="CT8" i="1"/>
  <c r="CS8" i="1"/>
  <c r="CR8" i="1"/>
  <c r="CQ8" i="1"/>
  <c r="BV8" i="1"/>
  <c r="BS8" i="1"/>
  <c r="BR8" i="1"/>
  <c r="BQ8" i="1"/>
  <c r="BN8" i="1"/>
  <c r="BM8" i="1"/>
  <c r="BL8" i="1"/>
  <c r="BG8" i="1"/>
  <c r="BF8" i="1"/>
  <c r="BE8" i="1"/>
  <c r="AZ8" i="1"/>
  <c r="AX8" i="1"/>
  <c r="AW8" i="1"/>
  <c r="AV8" i="1"/>
  <c r="AU8" i="1"/>
  <c r="AT8" i="1"/>
  <c r="AI8" i="1"/>
  <c r="AH8" i="1"/>
  <c r="AG8" i="1"/>
  <c r="AD8" i="1"/>
  <c r="V8" i="1"/>
  <c r="U8" i="1"/>
  <c r="T8" i="1"/>
  <c r="R8" i="1"/>
  <c r="Q8" i="1"/>
  <c r="M8" i="1"/>
  <c r="J8" i="1"/>
  <c r="I8" i="1"/>
  <c r="H8" i="1"/>
  <c r="G8" i="1"/>
  <c r="F8" i="1"/>
  <c r="EL7" i="1"/>
  <c r="EJ7" i="1"/>
  <c r="DZ7" i="1"/>
  <c r="DY7" i="1"/>
  <c r="DX7" i="1"/>
  <c r="DO7" i="1"/>
  <c r="DN7" i="1"/>
  <c r="DM7" i="1"/>
  <c r="DK7" i="1"/>
  <c r="DJ7" i="1"/>
  <c r="DI7" i="1"/>
  <c r="DC7" i="1"/>
  <c r="DB7" i="1"/>
  <c r="CR7" i="1"/>
  <c r="CQ7" i="1"/>
  <c r="CO7" i="1"/>
  <c r="CN7" i="1"/>
  <c r="CM7" i="1"/>
  <c r="CL7" i="1"/>
  <c r="CK7" i="1"/>
  <c r="CG7" i="1"/>
  <c r="CF7" i="1"/>
  <c r="CE7" i="1"/>
  <c r="CD7" i="1"/>
  <c r="BV7" i="1"/>
  <c r="BS7" i="1"/>
  <c r="BR7" i="1"/>
  <c r="BK7" i="1"/>
  <c r="BH7" i="1"/>
  <c r="BG7" i="1"/>
  <c r="BF7" i="1"/>
  <c r="BE7" i="1"/>
  <c r="BD7" i="1"/>
  <c r="AZ7" i="1"/>
  <c r="AU7" i="1"/>
  <c r="AT7" i="1"/>
  <c r="AS7" i="1"/>
  <c r="AR7" i="1"/>
  <c r="AQ7" i="1"/>
  <c r="AM7" i="1"/>
  <c r="AL7" i="1"/>
  <c r="AK7" i="1"/>
  <c r="AI7" i="1"/>
  <c r="AD7" i="1"/>
  <c r="N7" i="1"/>
  <c r="M7" i="1"/>
  <c r="L7" i="1"/>
  <c r="K7" i="1"/>
  <c r="J7" i="1"/>
  <c r="I7" i="1"/>
  <c r="H7" i="1"/>
  <c r="G7" i="1"/>
  <c r="E7" i="1"/>
  <c r="D7" i="1"/>
  <c r="C7" i="1"/>
  <c r="EM6" i="1" a="1"/>
  <c r="EM6" i="1"/>
  <c r="EL6" i="1" a="1"/>
  <c r="EL6" i="1"/>
  <c r="EL8" i="1" s="1"/>
  <c r="EK6" i="1" a="1"/>
  <c r="EK6" i="1" s="1"/>
  <c r="EK7" i="1" s="1"/>
  <c r="EJ6" i="1" a="1"/>
  <c r="EJ6" i="1"/>
  <c r="EI6" i="1" a="1"/>
  <c r="EI6" i="1"/>
  <c r="EI7" i="1" s="1"/>
  <c r="EH6" i="1" a="1"/>
  <c r="EH6" i="1"/>
  <c r="EH7" i="1" s="1"/>
  <c r="EG6" i="1" a="1"/>
  <c r="EG6" i="1"/>
  <c r="EG7" i="1" s="1"/>
  <c r="EF6" i="1" a="1"/>
  <c r="EF6" i="1"/>
  <c r="EF7" i="1" s="1"/>
  <c r="EE6" i="1" a="1"/>
  <c r="EE6" i="1"/>
  <c r="EE7" i="1" s="1"/>
  <c r="ED6" i="1" a="1"/>
  <c r="ED6" i="1"/>
  <c r="ED7" i="1" s="1"/>
  <c r="EC6" i="1" a="1"/>
  <c r="EC6" i="1"/>
  <c r="EC7" i="1" s="1"/>
  <c r="EB6" i="1" a="1"/>
  <c r="EB6" i="1"/>
  <c r="EA6" i="1" a="1"/>
  <c r="EA6" i="1" s="1"/>
  <c r="DZ6" i="1" a="1"/>
  <c r="DZ6" i="1" s="1"/>
  <c r="DZ8" i="1" s="1"/>
  <c r="DY6" i="1" a="1"/>
  <c r="DY6" i="1"/>
  <c r="DY8" i="1" s="1"/>
  <c r="DX6" i="1" a="1"/>
  <c r="DX6" i="1"/>
  <c r="DW6" i="1" a="1"/>
  <c r="DW6" i="1"/>
  <c r="DW7" i="1" s="1"/>
  <c r="DV6" i="1" a="1"/>
  <c r="DV6" i="1"/>
  <c r="DV7" i="1" s="1"/>
  <c r="DU6" i="1" a="1"/>
  <c r="DU6" i="1"/>
  <c r="DU7" i="1" s="1"/>
  <c r="DT6" i="1" a="1"/>
  <c r="DT6" i="1"/>
  <c r="DT8" i="1" s="1"/>
  <c r="DS6" i="1" a="1"/>
  <c r="DS6" i="1"/>
  <c r="DS8" i="1" s="1"/>
  <c r="DR6" i="1" a="1"/>
  <c r="DR6" i="1"/>
  <c r="DR8" i="1" s="1"/>
  <c r="DQ6" i="1" a="1"/>
  <c r="DQ6" i="1"/>
  <c r="DQ8" i="1" s="1"/>
  <c r="DP6" i="1" a="1"/>
  <c r="DP6" i="1"/>
  <c r="DP8" i="1" s="1"/>
  <c r="DO6" i="1" a="1"/>
  <c r="DO6" i="1" s="1"/>
  <c r="DO8" i="1" s="1"/>
  <c r="DN6" i="1" a="1"/>
  <c r="DN6" i="1"/>
  <c r="DM6" i="1" a="1"/>
  <c r="DM6" i="1"/>
  <c r="DL6" i="1" a="1"/>
  <c r="DL6" i="1"/>
  <c r="DL7" i="1" s="1"/>
  <c r="DK6" i="1" a="1"/>
  <c r="DK6" i="1"/>
  <c r="DK8" i="1" s="1"/>
  <c r="DJ6" i="1" a="1"/>
  <c r="DJ6" i="1"/>
  <c r="DJ8" i="1" s="1"/>
  <c r="DI6" i="1" a="1"/>
  <c r="DI6" i="1"/>
  <c r="DI8" i="1" s="1"/>
  <c r="DH6" i="1" a="1"/>
  <c r="DH6" i="1"/>
  <c r="DG6" i="1" a="1"/>
  <c r="DG6" i="1"/>
  <c r="DF6" i="1" a="1"/>
  <c r="DF6" i="1"/>
  <c r="DE6" i="1" a="1"/>
  <c r="DE6" i="1"/>
  <c r="DD6" i="1" a="1"/>
  <c r="DD6" i="1" s="1"/>
  <c r="DC6" i="1" a="1"/>
  <c r="DC6" i="1"/>
  <c r="DC8" i="1" s="1"/>
  <c r="DB6" i="1" a="1"/>
  <c r="DB6" i="1"/>
  <c r="DB8" i="1" s="1"/>
  <c r="DA6" i="1" a="1"/>
  <c r="DA6" i="1" s="1"/>
  <c r="DA7" i="1" s="1"/>
  <c r="CZ6" i="1" a="1"/>
  <c r="CZ6" i="1"/>
  <c r="CZ7" i="1" s="1"/>
  <c r="CY6" i="1" a="1"/>
  <c r="CY6" i="1"/>
  <c r="CY7" i="1" s="1"/>
  <c r="CX6" i="1" a="1"/>
  <c r="CX6" i="1"/>
  <c r="CX7" i="1" s="1"/>
  <c r="CW6" i="1" a="1"/>
  <c r="CW6" i="1"/>
  <c r="CW7" i="1" s="1"/>
  <c r="CV6" i="1" a="1"/>
  <c r="CV6" i="1"/>
  <c r="CV7" i="1" s="1"/>
  <c r="CU6" i="1" a="1"/>
  <c r="CU6" i="1"/>
  <c r="CU7" i="1" s="1"/>
  <c r="CT6" i="1" a="1"/>
  <c r="CT6" i="1"/>
  <c r="CT7" i="1" s="1"/>
  <c r="CS6" i="1" a="1"/>
  <c r="CS6" i="1" s="1"/>
  <c r="CS7" i="1" s="1"/>
  <c r="CR6" i="1" a="1"/>
  <c r="CR6" i="1"/>
  <c r="CQ6" i="1" a="1"/>
  <c r="CQ6" i="1"/>
  <c r="CP6" i="1" a="1"/>
  <c r="CP6" i="1"/>
  <c r="CO6" i="1" a="1"/>
  <c r="CO6" i="1"/>
  <c r="CO8" i="1" s="1"/>
  <c r="CN6" i="1" a="1"/>
  <c r="CN6" i="1"/>
  <c r="CN8" i="1" s="1"/>
  <c r="CM6" i="1" a="1"/>
  <c r="CM6" i="1"/>
  <c r="CM8" i="1" s="1"/>
  <c r="CL6" i="1" a="1"/>
  <c r="CL6" i="1"/>
  <c r="CL8" i="1" s="1"/>
  <c r="CK6" i="1" a="1"/>
  <c r="CK6" i="1"/>
  <c r="CK8" i="1" s="1"/>
  <c r="CJ6" i="1" a="1"/>
  <c r="CJ6" i="1"/>
  <c r="CI6" i="1" a="1"/>
  <c r="CI6" i="1"/>
  <c r="CH6" i="1" a="1"/>
  <c r="CH6" i="1" s="1"/>
  <c r="CG6" i="1" a="1"/>
  <c r="CG6" i="1"/>
  <c r="CG8" i="1" s="1"/>
  <c r="CF6" i="1" a="1"/>
  <c r="CF6" i="1"/>
  <c r="CF8" i="1" s="1"/>
  <c r="CE6" i="1" a="1"/>
  <c r="CE6" i="1"/>
  <c r="CE8" i="1" s="1"/>
  <c r="CD6" i="1" a="1"/>
  <c r="CD6" i="1" s="1"/>
  <c r="CD8" i="1" s="1"/>
  <c r="CC6" i="1" a="1"/>
  <c r="CC6" i="1"/>
  <c r="CC7" i="1" s="1"/>
  <c r="CB6" i="1" a="1"/>
  <c r="CB6" i="1"/>
  <c r="CA6" i="1" a="1"/>
  <c r="CA6" i="1"/>
  <c r="BZ6" i="1" a="1"/>
  <c r="BZ6" i="1"/>
  <c r="BY6" i="1" a="1"/>
  <c r="BY6" i="1"/>
  <c r="BX6" i="1" a="1"/>
  <c r="BX6" i="1"/>
  <c r="BW6" i="1" a="1"/>
  <c r="BW6" i="1" s="1"/>
  <c r="BV6" i="1" a="1"/>
  <c r="BV6" i="1"/>
  <c r="BU6" i="1" a="1"/>
  <c r="BU6" i="1"/>
  <c r="BU8" i="1" s="1"/>
  <c r="BT6" i="1" a="1"/>
  <c r="BT6" i="1" s="1"/>
  <c r="BS6" i="1" a="1"/>
  <c r="BS6" i="1"/>
  <c r="BR6" i="1" a="1"/>
  <c r="BR6" i="1"/>
  <c r="BQ6" i="1" a="1"/>
  <c r="BQ6" i="1"/>
  <c r="BQ7" i="1" s="1"/>
  <c r="BP6" i="1" a="1"/>
  <c r="BP6" i="1"/>
  <c r="BO6" i="1" a="1"/>
  <c r="BO6" i="1"/>
  <c r="BN6" i="1" a="1"/>
  <c r="BN6" i="1"/>
  <c r="BN7" i="1" s="1"/>
  <c r="BM6" i="1" a="1"/>
  <c r="BM6" i="1"/>
  <c r="BM7" i="1" s="1"/>
  <c r="BL6" i="1" a="1"/>
  <c r="BL6" i="1" s="1"/>
  <c r="BL7" i="1" s="1"/>
  <c r="BK6" i="1" a="1"/>
  <c r="BK6" i="1"/>
  <c r="BK8" i="1" s="1"/>
  <c r="BJ6" i="1" a="1"/>
  <c r="BJ6" i="1"/>
  <c r="BI6" i="1" a="1"/>
  <c r="BI6" i="1"/>
  <c r="BH6" i="1" a="1"/>
  <c r="BH6" i="1"/>
  <c r="BH8" i="1" s="1"/>
  <c r="BG6" i="1" a="1"/>
  <c r="BG6" i="1" s="1"/>
  <c r="BF6" i="1" a="1"/>
  <c r="BF6" i="1"/>
  <c r="BE6" i="1" a="1"/>
  <c r="BE6" i="1"/>
  <c r="BD6" i="1" a="1"/>
  <c r="BD6" i="1"/>
  <c r="BD8" i="1" s="1"/>
  <c r="BC6" i="1" a="1"/>
  <c r="BC6" i="1"/>
  <c r="BB6" i="1" a="1"/>
  <c r="BB6" i="1"/>
  <c r="BA6" i="1" a="1"/>
  <c r="BA6" i="1" s="1"/>
  <c r="AZ6" i="1" a="1"/>
  <c r="AZ6" i="1"/>
  <c r="AY6" i="1" a="1"/>
  <c r="AY6" i="1"/>
  <c r="AX6" i="1" a="1"/>
  <c r="AX6" i="1"/>
  <c r="AX7" i="1" s="1"/>
  <c r="AW6" i="1" a="1"/>
  <c r="AW6" i="1" s="1"/>
  <c r="AW7" i="1" s="1"/>
  <c r="AV6" i="1" a="1"/>
  <c r="AV6" i="1"/>
  <c r="AV7" i="1" s="1"/>
  <c r="AU6" i="1" a="1"/>
  <c r="AU6" i="1"/>
  <c r="AT6" i="1" a="1"/>
  <c r="AT6" i="1"/>
  <c r="AS6" i="1" a="1"/>
  <c r="AS6" i="1"/>
  <c r="AS8" i="1" s="1"/>
  <c r="AR6" i="1" a="1"/>
  <c r="AR6" i="1"/>
  <c r="AR8" i="1" s="1"/>
  <c r="AQ6" i="1" a="1"/>
  <c r="AQ6" i="1"/>
  <c r="AQ8" i="1" s="1"/>
  <c r="AP6" i="1" a="1"/>
  <c r="AP6" i="1" s="1"/>
  <c r="AO6" i="1" a="1"/>
  <c r="AO6" i="1"/>
  <c r="AO8" i="1" s="1"/>
  <c r="AN6" i="1" a="1"/>
  <c r="AN6" i="1"/>
  <c r="AM6" i="1" a="1"/>
  <c r="AM6" i="1"/>
  <c r="AM8" i="1" s="1"/>
  <c r="AL6" i="1" a="1"/>
  <c r="AL6" i="1"/>
  <c r="AL8" i="1" s="1"/>
  <c r="AK6" i="1" a="1"/>
  <c r="AK6" i="1"/>
  <c r="AK8" i="1" s="1"/>
  <c r="AJ6" i="1" a="1"/>
  <c r="AJ6" i="1" s="1"/>
  <c r="AJ8" i="1" s="1"/>
  <c r="AI6" i="1" a="1"/>
  <c r="AI6" i="1"/>
  <c r="AH6" i="1" a="1"/>
  <c r="AH6" i="1"/>
  <c r="AH7" i="1" s="1"/>
  <c r="AG6" i="1" a="1"/>
  <c r="AG6" i="1"/>
  <c r="AG7" i="1" s="1"/>
  <c r="AF6" i="1" a="1"/>
  <c r="AF6" i="1"/>
  <c r="AF7" i="1" s="1"/>
  <c r="AE6" i="1" a="1"/>
  <c r="AE6" i="1" s="1"/>
  <c r="AE7" i="1" s="1"/>
  <c r="AD6" i="1" a="1"/>
  <c r="AD6" i="1"/>
  <c r="AC6" i="1" a="1"/>
  <c r="AC6" i="1"/>
  <c r="AC7" i="1" s="1"/>
  <c r="AB6" i="1" a="1"/>
  <c r="AB6" i="1"/>
  <c r="AA6" i="1" a="1"/>
  <c r="AA6" i="1"/>
  <c r="AA8" i="1" s="1"/>
  <c r="Z6" i="1" a="1"/>
  <c r="Z6" i="1" s="1"/>
  <c r="Y6" i="1" a="1"/>
  <c r="Y6" i="1"/>
  <c r="Y7" i="1" s="1"/>
  <c r="X6" i="1" a="1"/>
  <c r="X6" i="1"/>
  <c r="X7" i="1" s="1"/>
  <c r="W6" i="1" a="1"/>
  <c r="W6" i="1"/>
  <c r="V6" i="1" a="1"/>
  <c r="V6" i="1"/>
  <c r="V7" i="1" s="1"/>
  <c r="U6" i="1" a="1"/>
  <c r="U6" i="1"/>
  <c r="U7" i="1" s="1"/>
  <c r="T6" i="1" a="1"/>
  <c r="T6" i="1" s="1"/>
  <c r="T7" i="1" s="1"/>
  <c r="S6" i="1" a="1"/>
  <c r="S6" i="1"/>
  <c r="S8" i="1" s="1"/>
  <c r="R6" i="1" a="1"/>
  <c r="R6" i="1"/>
  <c r="R7" i="1" s="1"/>
  <c r="Q6" i="1" a="1"/>
  <c r="Q6" i="1"/>
  <c r="Q7" i="1" s="1"/>
  <c r="P6" i="1" a="1"/>
  <c r="P6" i="1"/>
  <c r="O6" i="1" a="1"/>
  <c r="O6" i="1"/>
  <c r="O8" i="1" s="1"/>
  <c r="N6" i="1" a="1"/>
  <c r="N6" i="1"/>
  <c r="N8" i="1" s="1"/>
  <c r="M6" i="1" a="1"/>
  <c r="M6" i="1"/>
  <c r="L6" i="1" a="1"/>
  <c r="L6" i="1"/>
  <c r="L8" i="1" s="1"/>
  <c r="K6" i="1" a="1"/>
  <c r="K6" i="1"/>
  <c r="K8" i="1" s="1"/>
  <c r="J6" i="1" a="1"/>
  <c r="J6" i="1"/>
  <c r="I6" i="1" a="1"/>
  <c r="I6" i="1" s="1"/>
  <c r="H6" i="1" a="1"/>
  <c r="H6" i="1"/>
  <c r="G6" i="1" a="1"/>
  <c r="G6" i="1"/>
  <c r="F6" i="1" a="1"/>
  <c r="F6" i="1"/>
  <c r="F7" i="1" s="1"/>
  <c r="E6" i="1" a="1"/>
  <c r="E6" i="1"/>
  <c r="E8" i="1" s="1"/>
  <c r="D6" i="1" a="1"/>
  <c r="D6" i="1"/>
  <c r="D8" i="1" s="1"/>
  <c r="C6" i="1" a="1"/>
  <c r="C6" i="1" s="1"/>
  <c r="C8" i="1" s="1"/>
  <c r="EO20" i="2" l="1"/>
  <c r="EO24" i="2"/>
  <c r="EO16" i="2"/>
  <c r="EO21" i="2"/>
  <c r="EO22" i="2"/>
  <c r="EO23" i="2"/>
  <c r="W7" i="7"/>
  <c r="W8" i="7"/>
  <c r="DK7" i="7"/>
  <c r="DK8" i="7"/>
  <c r="J8" i="7"/>
  <c r="J7" i="7"/>
  <c r="DN8" i="4"/>
  <c r="DN7" i="4"/>
  <c r="DB7" i="4"/>
  <c r="DB8" i="4"/>
  <c r="AQ7" i="3"/>
  <c r="AQ8" i="3"/>
  <c r="CN8" i="3"/>
  <c r="CN7" i="3"/>
  <c r="DM8" i="3"/>
  <c r="DM7" i="3"/>
  <c r="CP8" i="4"/>
  <c r="CP7" i="4"/>
  <c r="DC8" i="4"/>
  <c r="DC7" i="4"/>
  <c r="EB7" i="4"/>
  <c r="EB8" i="4"/>
  <c r="CO7" i="3"/>
  <c r="CO8" i="3"/>
  <c r="DD8" i="4"/>
  <c r="DD7" i="4"/>
  <c r="DO8" i="4"/>
  <c r="CF8" i="4"/>
  <c r="CF7" i="4"/>
  <c r="EA8" i="1"/>
  <c r="EA7" i="1"/>
  <c r="EM8" i="1"/>
  <c r="EM7" i="1"/>
  <c r="K8" i="7"/>
  <c r="K7" i="7"/>
  <c r="X8" i="7"/>
  <c r="X7" i="7"/>
  <c r="AK7" i="7"/>
  <c r="AK8" i="7"/>
  <c r="BX8" i="7"/>
  <c r="BX7" i="7"/>
  <c r="CY7" i="7"/>
  <c r="CY8" i="7"/>
  <c r="EM15" i="3"/>
  <c r="EN15" i="3" s="1"/>
  <c r="L8" i="7"/>
  <c r="L7" i="7"/>
  <c r="DZ8" i="4"/>
  <c r="DZ7" i="4"/>
  <c r="EK8" i="3"/>
  <c r="EK7" i="3"/>
  <c r="DY7" i="3"/>
  <c r="DY8" i="3"/>
  <c r="EL8" i="3"/>
  <c r="EL7" i="3"/>
  <c r="DA7" i="3"/>
  <c r="DA8" i="3"/>
  <c r="AD8" i="3"/>
  <c r="AD7" i="3"/>
  <c r="CB8" i="3"/>
  <c r="CB7" i="3"/>
  <c r="DB7" i="3"/>
  <c r="DB8" i="3"/>
  <c r="EM8" i="3"/>
  <c r="EM7" i="3"/>
  <c r="CD8" i="4"/>
  <c r="CD7" i="4"/>
  <c r="CQ7" i="4"/>
  <c r="CQ8" i="4"/>
  <c r="G8" i="3"/>
  <c r="G7" i="3"/>
  <c r="S8" i="3"/>
  <c r="S7" i="3"/>
  <c r="AE8" i="3"/>
  <c r="AE7" i="3"/>
  <c r="EA7" i="3"/>
  <c r="EA8" i="3"/>
  <c r="BF8" i="4"/>
  <c r="BF7" i="4"/>
  <c r="CE8" i="4"/>
  <c r="CE7" i="4"/>
  <c r="DC8" i="3"/>
  <c r="DC7" i="3"/>
  <c r="AT8" i="4"/>
  <c r="AT7" i="4"/>
  <c r="BG8" i="4"/>
  <c r="BG7" i="4"/>
  <c r="BS8" i="4"/>
  <c r="BS7" i="4"/>
  <c r="BV8" i="2"/>
  <c r="BV7" i="2"/>
  <c r="CI8" i="2"/>
  <c r="CI7" i="2"/>
  <c r="I7" i="4"/>
  <c r="I8" i="4"/>
  <c r="AU8" i="4"/>
  <c r="AU7" i="4"/>
  <c r="AH8" i="4"/>
  <c r="M8" i="2"/>
  <c r="M7" i="2"/>
  <c r="AY7" i="2"/>
  <c r="AY8" i="2"/>
  <c r="BK8" i="2"/>
  <c r="BK7" i="2"/>
  <c r="EM16" i="3"/>
  <c r="EN16" i="3" s="1"/>
  <c r="V8" i="4"/>
  <c r="V7" i="4"/>
  <c r="BH8" i="4"/>
  <c r="BH7" i="4"/>
  <c r="BT7" i="4"/>
  <c r="BT8" i="4"/>
  <c r="W8" i="4"/>
  <c r="W7" i="4"/>
  <c r="AV8" i="4"/>
  <c r="AV7" i="4"/>
  <c r="K7" i="4"/>
  <c r="K8" i="4"/>
  <c r="EM14" i="3"/>
  <c r="EN14" i="3" s="1"/>
  <c r="AV7" i="7"/>
  <c r="AV8" i="7"/>
  <c r="BJ7" i="7"/>
  <c r="BJ8" i="7"/>
  <c r="CW8" i="7"/>
  <c r="CW7" i="7"/>
  <c r="EJ8" i="7"/>
  <c r="EJ7" i="7"/>
  <c r="AJ8" i="7"/>
  <c r="AJ7" i="7"/>
  <c r="AW7" i="7"/>
  <c r="AW8" i="7"/>
  <c r="DX8" i="7"/>
  <c r="DX7" i="7"/>
  <c r="EK7" i="7"/>
  <c r="EK8" i="7"/>
  <c r="DZ7" i="3"/>
  <c r="DZ8" i="3"/>
  <c r="AX7" i="7"/>
  <c r="AX8" i="7"/>
  <c r="EL8" i="7"/>
  <c r="EL7" i="7"/>
  <c r="BT7" i="1"/>
  <c r="BT8" i="1"/>
  <c r="DD8" i="1"/>
  <c r="DD7" i="1"/>
  <c r="EB8" i="1"/>
  <c r="EB7" i="1"/>
  <c r="BE7" i="3"/>
  <c r="BE8" i="3"/>
  <c r="CD8" i="3"/>
  <c r="L7" i="4"/>
  <c r="L8" i="4"/>
  <c r="BL7" i="7"/>
  <c r="BL8" i="7"/>
  <c r="BI8" i="1"/>
  <c r="BI7" i="1"/>
  <c r="DE8" i="1"/>
  <c r="DE7" i="1"/>
  <c r="EB7" i="3"/>
  <c r="EB8" i="3"/>
  <c r="AZ8" i="7"/>
  <c r="AZ7" i="7"/>
  <c r="I8" i="3"/>
  <c r="I7" i="3"/>
  <c r="BJ8" i="1"/>
  <c r="BJ7" i="1"/>
  <c r="CM7" i="2"/>
  <c r="CM8" i="2"/>
  <c r="R8" i="2"/>
  <c r="R7" i="2"/>
  <c r="BC7" i="2"/>
  <c r="BC8" i="2"/>
  <c r="CA7" i="2"/>
  <c r="CA8" i="2"/>
  <c r="AY7" i="1"/>
  <c r="AY8" i="1"/>
  <c r="BW7" i="1"/>
  <c r="BW8" i="1"/>
  <c r="DG7" i="1"/>
  <c r="DG8" i="1"/>
  <c r="S8" i="2"/>
  <c r="S7" i="2"/>
  <c r="DX7" i="2"/>
  <c r="DX8" i="2"/>
  <c r="BP7" i="2"/>
  <c r="BT7" i="3"/>
  <c r="BT8" i="3"/>
  <c r="CS7" i="3"/>
  <c r="CS8" i="3"/>
  <c r="DD7" i="3"/>
  <c r="CJ7" i="1"/>
  <c r="CJ8" i="1"/>
  <c r="AR7" i="2"/>
  <c r="AR8" i="2"/>
  <c r="K8" i="3"/>
  <c r="K7" i="3"/>
  <c r="DE7" i="3"/>
  <c r="P8" i="1"/>
  <c r="P7" i="1"/>
  <c r="DH7" i="1"/>
  <c r="DH8" i="1"/>
  <c r="BI7" i="3"/>
  <c r="BI8" i="3"/>
  <c r="CT7" i="3"/>
  <c r="CT8" i="3"/>
  <c r="EE8" i="3"/>
  <c r="EE7" i="3"/>
  <c r="DF7" i="3"/>
  <c r="AZ8" i="4"/>
  <c r="AZ7" i="4"/>
  <c r="B21" i="6"/>
  <c r="DP7" i="7"/>
  <c r="DP8" i="7"/>
  <c r="ED7" i="7"/>
  <c r="EL7" i="2"/>
  <c r="EL8" i="2"/>
  <c r="X8" i="3"/>
  <c r="X7" i="3"/>
  <c r="AK7" i="3"/>
  <c r="AK8" i="3"/>
  <c r="BJ8" i="3"/>
  <c r="BJ7" i="3"/>
  <c r="P7" i="4"/>
  <c r="P8" i="4"/>
  <c r="CP7" i="7"/>
  <c r="CP8" i="7"/>
  <c r="DQ8" i="7"/>
  <c r="DQ7" i="7"/>
  <c r="EE7" i="7"/>
  <c r="EE8" i="7"/>
  <c r="BA7" i="1"/>
  <c r="BA8" i="1"/>
  <c r="CP8" i="3"/>
  <c r="BB7" i="1"/>
  <c r="BB8" i="1"/>
  <c r="BZ7" i="1"/>
  <c r="BZ8" i="1"/>
  <c r="BO8" i="2"/>
  <c r="DC8" i="2"/>
  <c r="Y7" i="3"/>
  <c r="Y8" i="3"/>
  <c r="BK8" i="3"/>
  <c r="BK7" i="3"/>
  <c r="L8" i="3"/>
  <c r="CQ8" i="3"/>
  <c r="C16" i="8"/>
  <c r="AP7" i="1"/>
  <c r="AP8" i="1"/>
  <c r="DP7" i="1"/>
  <c r="DD8" i="2"/>
  <c r="DD7" i="2"/>
  <c r="M8" i="3"/>
  <c r="CR8" i="3"/>
  <c r="DK8" i="4"/>
  <c r="DK7" i="4"/>
  <c r="EI7" i="4"/>
  <c r="EI8" i="4"/>
  <c r="BF8" i="7"/>
  <c r="BF7" i="7"/>
  <c r="BC7" i="1"/>
  <c r="BC8" i="1"/>
  <c r="BO8" i="1"/>
  <c r="BO7" i="1"/>
  <c r="CA7" i="1"/>
  <c r="CA8" i="1"/>
  <c r="BU7" i="1"/>
  <c r="DQ7" i="1"/>
  <c r="BV7" i="3"/>
  <c r="CM8" i="4"/>
  <c r="CM7" i="4"/>
  <c r="CF7" i="7"/>
  <c r="CF8" i="7"/>
  <c r="AE8" i="1"/>
  <c r="EE8" i="1"/>
  <c r="DE8" i="2"/>
  <c r="DE7" i="2"/>
  <c r="EC8" i="2"/>
  <c r="EC7" i="2"/>
  <c r="CF7" i="2"/>
  <c r="EA7" i="2"/>
  <c r="CZ7" i="4"/>
  <c r="CZ8" i="4"/>
  <c r="DL8" i="4"/>
  <c r="DL7" i="4"/>
  <c r="DG7" i="7"/>
  <c r="DG8" i="7"/>
  <c r="CQ7" i="7"/>
  <c r="T7" i="7"/>
  <c r="T8" i="7"/>
  <c r="BH7" i="7"/>
  <c r="BH8" i="7"/>
  <c r="BT7" i="7"/>
  <c r="BT8" i="7"/>
  <c r="CS7" i="7"/>
  <c r="U8" i="3"/>
  <c r="BE7" i="4"/>
  <c r="BE8" i="4"/>
  <c r="CO8" i="4"/>
  <c r="CO7" i="4"/>
  <c r="DA7" i="4"/>
  <c r="DA8" i="4"/>
  <c r="DM8" i="4"/>
  <c r="DM7" i="4"/>
  <c r="EK7" i="4"/>
  <c r="EK8" i="4"/>
  <c r="H7" i="7"/>
  <c r="H8" i="7"/>
  <c r="U8" i="7"/>
  <c r="U7" i="7"/>
  <c r="AU7" i="7"/>
  <c r="AU8" i="7"/>
  <c r="BU8" i="7"/>
  <c r="BU7" i="7"/>
  <c r="AJ7" i="1"/>
  <c r="Y7" i="2"/>
  <c r="Y8" i="2"/>
  <c r="AX7" i="2"/>
  <c r="AX8" i="2"/>
  <c r="DR8" i="2"/>
  <c r="DR7" i="2"/>
  <c r="EE7" i="2"/>
  <c r="EE8" i="2"/>
  <c r="AF7" i="3"/>
  <c r="AS8" i="4"/>
  <c r="AS7" i="4"/>
  <c r="DW7" i="4"/>
  <c r="I7" i="7"/>
  <c r="I8" i="7"/>
  <c r="BI8" i="7"/>
  <c r="BI7" i="7"/>
  <c r="AT7" i="7"/>
  <c r="X8" i="4"/>
  <c r="X7" i="4"/>
  <c r="BR8" i="3"/>
  <c r="BR7" i="3"/>
  <c r="CH8" i="1"/>
  <c r="CH7" i="1"/>
  <c r="DF7" i="1"/>
  <c r="DF8" i="1"/>
  <c r="AH8" i="3"/>
  <c r="AH7" i="3"/>
  <c r="EC7" i="3"/>
  <c r="EC8" i="3"/>
  <c r="Z7" i="1"/>
  <c r="Z8" i="1"/>
  <c r="CI7" i="1"/>
  <c r="CI8" i="1"/>
  <c r="BH7" i="3"/>
  <c r="BH8" i="3"/>
  <c r="BX7" i="1"/>
  <c r="BX8" i="1"/>
  <c r="CO7" i="2"/>
  <c r="CO8" i="2"/>
  <c r="AJ7" i="3"/>
  <c r="AJ8" i="3"/>
  <c r="BU7" i="3"/>
  <c r="BU8" i="3"/>
  <c r="AB7" i="1"/>
  <c r="AB8" i="1"/>
  <c r="AN7" i="1"/>
  <c r="AN8" i="1"/>
  <c r="T7" i="2"/>
  <c r="T8" i="2"/>
  <c r="BY7" i="1"/>
  <c r="BY8" i="1"/>
  <c r="CC7" i="2"/>
  <c r="CC8" i="2"/>
  <c r="DD8" i="7"/>
  <c r="DD7" i="7"/>
  <c r="Q7" i="4"/>
  <c r="Q8" i="4"/>
  <c r="BZ7" i="4"/>
  <c r="BZ8" i="4"/>
  <c r="BR8" i="7"/>
  <c r="BR7" i="7"/>
  <c r="CR7" i="7"/>
  <c r="CR8" i="7"/>
  <c r="AC8" i="1"/>
  <c r="EC8" i="1"/>
  <c r="EM23" i="3"/>
  <c r="EN23" i="3" s="1"/>
  <c r="DR8" i="7"/>
  <c r="O7" i="1"/>
  <c r="ED8" i="1"/>
  <c r="BF8" i="3"/>
  <c r="BS8" i="7"/>
  <c r="BS7" i="7"/>
  <c r="DT8" i="7"/>
  <c r="DT7" i="7"/>
  <c r="EG7" i="7"/>
  <c r="EG8" i="7"/>
  <c r="DS8" i="7"/>
  <c r="AA7" i="1"/>
  <c r="DR7" i="1"/>
  <c r="BG8" i="3"/>
  <c r="EJ7" i="4"/>
  <c r="EJ8" i="4"/>
  <c r="BP8" i="1"/>
  <c r="BP7" i="1"/>
  <c r="CB7" i="1"/>
  <c r="CB8" i="1"/>
  <c r="DS7" i="1"/>
  <c r="AF8" i="1"/>
  <c r="EF8" i="1"/>
  <c r="CG8" i="2"/>
  <c r="CG7" i="2"/>
  <c r="ED8" i="2"/>
  <c r="ED7" i="2"/>
  <c r="EB7" i="2"/>
  <c r="DT7" i="1"/>
  <c r="EG8" i="1"/>
  <c r="DF8" i="2"/>
  <c r="DF7" i="2"/>
  <c r="EM21" i="3"/>
  <c r="EN21" i="3" s="1"/>
  <c r="EH8" i="1"/>
  <c r="CH8" i="2"/>
  <c r="CH7" i="2"/>
  <c r="DG8" i="2"/>
  <c r="DG7" i="2"/>
  <c r="DS8" i="2"/>
  <c r="DS7" i="2"/>
  <c r="CR7" i="2"/>
  <c r="EM7" i="2"/>
  <c r="CZ7" i="3"/>
  <c r="CZ8" i="3"/>
  <c r="W8" i="3"/>
  <c r="EM19" i="3"/>
  <c r="EN19" i="3" s="1"/>
  <c r="BR8" i="4"/>
  <c r="BR7" i="4"/>
  <c r="V7" i="7"/>
  <c r="V8" i="7"/>
  <c r="BV8" i="7"/>
  <c r="BV7" i="7"/>
  <c r="DI7" i="7"/>
  <c r="DI8" i="7"/>
  <c r="CZ8" i="7"/>
  <c r="CZ7" i="7"/>
  <c r="DY8" i="7"/>
  <c r="DY7" i="7"/>
  <c r="DH7" i="2"/>
  <c r="DH8" i="2"/>
  <c r="AA7" i="2"/>
  <c r="AA8" i="2"/>
  <c r="DI7" i="2"/>
  <c r="DI8" i="2"/>
  <c r="O7" i="3"/>
  <c r="O8" i="3"/>
  <c r="CW7" i="3"/>
  <c r="CW8" i="3"/>
  <c r="M8" i="4"/>
  <c r="AB8" i="7"/>
  <c r="AB7" i="7"/>
  <c r="BA7" i="2"/>
  <c r="BA8" i="2"/>
  <c r="AP8" i="2"/>
  <c r="AP7" i="2"/>
  <c r="BB7" i="2"/>
  <c r="BB8" i="2"/>
  <c r="P7" i="2"/>
  <c r="EF8" i="2"/>
  <c r="Z7" i="3"/>
  <c r="CY7" i="3"/>
  <c r="C7" i="4"/>
  <c r="C8" i="4"/>
  <c r="D8" i="7"/>
  <c r="D7" i="7"/>
  <c r="DC8" i="7"/>
  <c r="DC7" i="7"/>
  <c r="DL7" i="7"/>
  <c r="AW7" i="4"/>
  <c r="AW8" i="4"/>
  <c r="EC7" i="4"/>
  <c r="EC8" i="4"/>
  <c r="CM7" i="7"/>
  <c r="CM8" i="7"/>
  <c r="AZ7" i="2"/>
  <c r="AZ8" i="2"/>
  <c r="CJ8" i="2"/>
  <c r="CJ7" i="2"/>
  <c r="BO8" i="7"/>
  <c r="BO7" i="7"/>
  <c r="C20" i="8"/>
  <c r="AX7" i="4"/>
  <c r="AX8" i="4"/>
  <c r="BM8" i="2"/>
  <c r="BM7" i="2"/>
  <c r="Z8" i="4"/>
  <c r="Z7" i="4"/>
  <c r="N8" i="4"/>
  <c r="Q8" i="2"/>
  <c r="Q7" i="2"/>
  <c r="DJ7" i="2"/>
  <c r="DJ8" i="2"/>
  <c r="O7" i="2"/>
  <c r="W7" i="1"/>
  <c r="W8" i="1"/>
  <c r="DK7" i="2"/>
  <c r="DK8" i="2"/>
  <c r="EG8" i="2"/>
  <c r="E7" i="7"/>
  <c r="E8" i="7"/>
  <c r="EM13" i="3"/>
  <c r="EN13" i="3" s="1"/>
  <c r="BW7" i="7"/>
  <c r="BW8" i="7"/>
  <c r="CZ8" i="2"/>
  <c r="CZ7" i="2"/>
  <c r="CB8" i="2"/>
  <c r="BY8" i="4"/>
  <c r="AL7" i="7"/>
  <c r="AL8" i="7"/>
  <c r="EH7" i="7"/>
  <c r="EH8" i="7"/>
  <c r="Y8" i="1"/>
  <c r="CC8" i="1"/>
  <c r="EI7" i="2"/>
  <c r="Q8" i="3"/>
  <c r="R8" i="4"/>
  <c r="Y7" i="7"/>
  <c r="Y8" i="7"/>
  <c r="X8" i="1"/>
  <c r="CP7" i="1"/>
  <c r="CP8" i="1"/>
  <c r="AM8" i="7"/>
  <c r="AM7" i="7"/>
  <c r="CD7" i="2"/>
  <c r="BD7" i="4"/>
  <c r="BD8" i="4"/>
  <c r="AN8" i="7"/>
  <c r="AN7" i="7"/>
  <c r="BY8" i="7"/>
  <c r="BY7" i="7"/>
  <c r="CX8" i="7"/>
  <c r="CX7" i="7"/>
  <c r="DL8" i="1"/>
  <c r="EO24" i="1"/>
  <c r="C24" i="8"/>
  <c r="DZ8" i="7"/>
  <c r="DZ7" i="7"/>
  <c r="AO7" i="1"/>
  <c r="CA8" i="3"/>
  <c r="AS7" i="7"/>
  <c r="AS8" i="7"/>
  <c r="S7" i="1"/>
  <c r="C28" i="8"/>
  <c r="C30" i="8" l="1"/>
  <c r="C32" i="8"/>
  <c r="C31" i="8"/>
  <c r="C33" i="8" s="1"/>
</calcChain>
</file>

<file path=xl/sharedStrings.xml><?xml version="1.0" encoding="utf-8"?>
<sst xmlns="http://schemas.openxmlformats.org/spreadsheetml/2006/main" count="2654" uniqueCount="321">
  <si>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</si>
  <si>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</si>
  <si>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</si>
  <si>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</si>
  <si>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</si>
  <si>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</si>
  <si>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</si>
  <si>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</si>
  <si>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</si>
  <si>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</si>
  <si>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</si>
  <si>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</si>
  <si>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</si>
  <si>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</si>
  <si>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</si>
  <si>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</si>
  <si>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</si>
  <si>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</si>
  <si>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</si>
  <si>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</si>
  <si>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</si>
  <si>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</si>
  <si>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</si>
  <si>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</si>
  <si>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</si>
  <si>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</si>
  <si>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</si>
  <si>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</si>
  <si>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</si>
  <si>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</si>
  <si>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</si>
  <si>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</si>
  <si>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</si>
  <si>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</si>
  <si>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</si>
  <si>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</si>
  <si>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</si>
  <si>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</si>
  <si>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</si>
  <si>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</si>
  <si>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</si>
  <si>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</si>
  <si>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</si>
  <si>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</si>
  <si>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</si>
  <si>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</si>
  <si>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</si>
  <si>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</si>
  <si>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</si>
  <si>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</si>
  <si>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</si>
  <si>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</si>
  <si>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</si>
  <si>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</si>
  <si>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</si>
  <si>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</si>
  <si>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</si>
  <si>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</si>
  <si>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</si>
  <si>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</si>
  <si>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</si>
  <si>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</si>
  <si>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</si>
  <si>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</si>
  <si>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</si>
  <si>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</si>
  <si>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</si>
  <si>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</si>
  <si>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</si>
  <si>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</si>
  <si>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</si>
  <si>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</si>
  <si>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</si>
  <si>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</si>
  <si>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</si>
  <si>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</si>
  <si>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</si>
  <si>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</si>
  <si>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</si>
  <si>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</si>
  <si>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</si>
  <si>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</si>
  <si>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</si>
  <si>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</si>
  <si>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</si>
  <si>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</si>
  <si>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</si>
  <si>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</si>
  <si>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</si>
  <si>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</si>
  <si>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</si>
  <si>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</si>
  <si>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</si>
  <si>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</si>
  <si>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</si>
  <si>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</si>
  <si>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</si>
  <si>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</si>
  <si>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</si>
  <si>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</si>
  <si>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</si>
  <si>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</si>
  <si>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</si>
  <si>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</si>
  <si>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</si>
  <si>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</si>
  <si>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</si>
  <si>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</si>
  <si>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</si>
  <si>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</si>
  <si>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</si>
  <si>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</si>
  <si>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</si>
  <si>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</si>
  <si>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</si>
  <si>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</si>
  <si>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</si>
  <si>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</si>
  <si>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</si>
  <si>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</si>
  <si>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</si>
  <si>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</si>
  <si>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</si>
  <si>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</si>
  <si>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</si>
  <si>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</si>
  <si>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</si>
  <si>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</si>
  <si>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</si>
  <si>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</si>
  <si>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</si>
  <si>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</si>
  <si>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</si>
  <si>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</si>
  <si>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</si>
  <si>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</si>
  <si>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</si>
  <si>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</si>
  <si>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</si>
  <si>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</si>
  <si>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</si>
  <si>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</si>
  <si>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</si>
  <si>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</si>
  <si>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</si>
  <si>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</si>
  <si>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</si>
  <si>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</si>
  <si>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</si>
  <si>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</si>
  <si>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</si>
  <si>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</si>
  <si>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</si>
  <si>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</si>
  <si>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</si>
  <si>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</si>
  <si>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</si>
  <si>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3043</t>
  </si>
  <si>
    <t>5455</t>
  </si>
  <si>
    <t>8097</t>
  </si>
  <si>
    <t>6291</t>
  </si>
  <si>
    <t>9906</t>
  </si>
  <si>
    <t>6114</t>
  </si>
  <si>
    <t>6103</t>
  </si>
  <si>
    <t>5324</t>
  </si>
  <si>
    <t>3176</t>
  </si>
  <si>
    <t>2388</t>
  </si>
  <si>
    <t>2028</t>
  </si>
  <si>
    <t>6225</t>
  </si>
  <si>
    <t>8044</t>
  </si>
  <si>
    <t>6259</t>
  </si>
  <si>
    <t>6228</t>
  </si>
  <si>
    <t>3205</t>
  </si>
  <si>
    <t>3095</t>
  </si>
  <si>
    <t>3064</t>
  </si>
  <si>
    <t>6165</t>
  </si>
  <si>
    <t>8067</t>
  </si>
  <si>
    <t>3288</t>
  </si>
  <si>
    <t>1475</t>
  </si>
  <si>
    <t>4303</t>
  </si>
  <si>
    <t>5310</t>
  </si>
  <si>
    <t>5475</t>
  </si>
  <si>
    <t>1472</t>
  </si>
  <si>
    <t>8087</t>
  </si>
  <si>
    <t>4304</t>
  </si>
  <si>
    <t>8070</t>
  </si>
  <si>
    <t>3228</t>
  </si>
  <si>
    <t>3191</t>
  </si>
  <si>
    <t>5348</t>
  </si>
  <si>
    <t>3138</t>
  </si>
  <si>
    <t>1538</t>
  </si>
  <si>
    <t>5314</t>
  </si>
  <si>
    <t>3093</t>
  </si>
  <si>
    <t>3443</t>
  </si>
  <si>
    <t>5345</t>
  </si>
  <si>
    <t>5364</t>
  </si>
  <si>
    <t>2321</t>
  </si>
  <si>
    <t>2482</t>
  </si>
  <si>
    <t>9950</t>
  </si>
  <si>
    <t>1519</t>
  </si>
  <si>
    <t>1808</t>
  </si>
  <si>
    <t>1101</t>
  </si>
  <si>
    <t>科風</t>
  </si>
  <si>
    <t>昇益</t>
  </si>
  <si>
    <t>常珵</t>
  </si>
  <si>
    <t>沛亨</t>
  </si>
  <si>
    <t>欣巴巴</t>
  </si>
  <si>
    <t>久威</t>
  </si>
  <si>
    <t>合邦</t>
  </si>
  <si>
    <t>士開</t>
  </si>
  <si>
    <t>基亞</t>
  </si>
  <si>
    <t>威盛</t>
  </si>
  <si>
    <t>威致</t>
  </si>
  <si>
    <t>天瀚</t>
  </si>
  <si>
    <t>網家</t>
  </si>
  <si>
    <t>百徽</t>
  </si>
  <si>
    <t>全譜</t>
  </si>
  <si>
    <t>佰研</t>
  </si>
  <si>
    <t>及成</t>
  </si>
  <si>
    <t>泰偉</t>
  </si>
  <si>
    <t>浪凡</t>
  </si>
  <si>
    <t>志旭</t>
  </si>
  <si>
    <t>點晶</t>
  </si>
  <si>
    <t>業旺</t>
  </si>
  <si>
    <t>信立</t>
  </si>
  <si>
    <t>天剛</t>
  </si>
  <si>
    <t>德宏</t>
  </si>
  <si>
    <t>三洋實業</t>
  </si>
  <si>
    <t>麗升能源</t>
  </si>
  <si>
    <t>勝昱</t>
  </si>
  <si>
    <t>長華*</t>
  </si>
  <si>
    <t>金麗科</t>
  </si>
  <si>
    <t>雲嘉南</t>
  </si>
  <si>
    <t>正能量智能</t>
  </si>
  <si>
    <t>耀登</t>
  </si>
  <si>
    <t>正峰</t>
  </si>
  <si>
    <t>世紀*</t>
  </si>
  <si>
    <t>港建*</t>
  </si>
  <si>
    <t>創意</t>
  </si>
  <si>
    <t>馥鴻</t>
  </si>
  <si>
    <t>力麗店</t>
  </si>
  <si>
    <t>東訊</t>
  </si>
  <si>
    <t>連宇</t>
  </si>
  <si>
    <t>萬國通</t>
  </si>
  <si>
    <t>華城</t>
  </si>
  <si>
    <t>潤隆</t>
  </si>
  <si>
    <t>台泥</t>
  </si>
  <si>
    <t>2540</t>
  </si>
  <si>
    <t>2330</t>
  </si>
  <si>
    <t>2323</t>
  </si>
  <si>
    <t>2408</t>
  </si>
  <si>
    <t>4502</t>
  </si>
  <si>
    <t>2496</t>
  </si>
  <si>
    <t>2337</t>
  </si>
  <si>
    <t>3252</t>
  </si>
  <si>
    <t>1906</t>
  </si>
  <si>
    <t>6150</t>
  </si>
  <si>
    <t>2342</t>
  </si>
  <si>
    <t>9958</t>
  </si>
  <si>
    <t>8085</t>
  </si>
  <si>
    <t>1529</t>
  </si>
  <si>
    <t>2429</t>
  </si>
  <si>
    <t>3067</t>
  </si>
  <si>
    <t>1325</t>
  </si>
  <si>
    <t>1314</t>
  </si>
  <si>
    <t>9103</t>
  </si>
  <si>
    <t>2609</t>
  </si>
  <si>
    <t>2603</t>
  </si>
  <si>
    <t>6144</t>
  </si>
  <si>
    <t>1312</t>
  </si>
  <si>
    <t>8937</t>
  </si>
  <si>
    <t>9962</t>
  </si>
  <si>
    <t>愛山林</t>
  </si>
  <si>
    <t>台積電</t>
  </si>
  <si>
    <t>中環</t>
  </si>
  <si>
    <t>南亞科</t>
  </si>
  <si>
    <t>健信</t>
  </si>
  <si>
    <t>卓越</t>
  </si>
  <si>
    <t>旺宏</t>
  </si>
  <si>
    <t>海灣</t>
  </si>
  <si>
    <t>寶隆</t>
  </si>
  <si>
    <t>撼訊</t>
  </si>
  <si>
    <t>茂矽</t>
  </si>
  <si>
    <t>世紀鋼</t>
  </si>
  <si>
    <t>福華</t>
  </si>
  <si>
    <t>樂事綠能</t>
  </si>
  <si>
    <t>銘旺科</t>
  </si>
  <si>
    <t>全域</t>
  </si>
  <si>
    <t>恒大</t>
  </si>
  <si>
    <t>中石化</t>
  </si>
  <si>
    <t>美德醫療-DR</t>
  </si>
  <si>
    <t>陽明</t>
  </si>
  <si>
    <t>長榮</t>
  </si>
  <si>
    <t>得利影</t>
  </si>
  <si>
    <t>國喬</t>
  </si>
  <si>
    <t>合騏</t>
  </si>
  <si>
    <t>有益</t>
  </si>
  <si>
    <t>sum</t>
  </si>
  <si>
    <t>勝率</t>
  </si>
  <si>
    <t>XGBoost</t>
  </si>
  <si>
    <t>差距平方</t>
  </si>
  <si>
    <t>真實平方</t>
  </si>
  <si>
    <t>R-Square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</si>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</sst>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0.10901871198619975</c:v>
                </c:pt>
                <c:pt idx="2">
                  <c:v>0.14767591317389889</c:v>
                </c:pt>
                <c:pt idx="3">
                  <c:v>0.12286529771809315</c:v>
                </c:pt>
                <c:pt idx="4">
                  <c:v>0.12746508506080534</c:v>
                </c:pt>
                <c:pt idx="5">
                  <c:v>0.15252978421913141</c:v>
                </c:pt>
                <c:pt idx="6">
                  <c:v>0.1875369831662631</c:v>
                </c:pt>
                <c:pt idx="7">
                  <c:v>0.15975692570202896</c:v>
                </c:pt>
                <c:pt idx="8">
                  <c:v>0.17844712327578974</c:v>
                </c:pt>
                <c:pt idx="9">
                  <c:v>0.17677257737374713</c:v>
                </c:pt>
                <c:pt idx="10">
                  <c:v>0.17086070102501597</c:v>
                </c:pt>
                <c:pt idx="11">
                  <c:v>0.24677327492448381</c:v>
                </c:pt>
                <c:pt idx="12">
                  <c:v>0.27837271552920506</c:v>
                </c:pt>
                <c:pt idx="13">
                  <c:v>0.26882634893732837</c:v>
                </c:pt>
                <c:pt idx="14">
                  <c:v>0.28700646928345447</c:v>
                </c:pt>
                <c:pt idx="15">
                  <c:v>0.29939534211290997</c:v>
                </c:pt>
                <c:pt idx="16">
                  <c:v>0.28066687272332713</c:v>
                </c:pt>
                <c:pt idx="17">
                  <c:v>0.30000598553603447</c:v>
                </c:pt>
                <c:pt idx="18">
                  <c:v>0.31258194099931291</c:v>
                </c:pt>
                <c:pt idx="19">
                  <c:v>0.30809765142889328</c:v>
                </c:pt>
                <c:pt idx="20">
                  <c:v>0.25512871594403008</c:v>
                </c:pt>
                <c:pt idx="21">
                  <c:v>0.26633604949604051</c:v>
                </c:pt>
                <c:pt idx="22">
                  <c:v>0.23627875215147193</c:v>
                </c:pt>
                <c:pt idx="23">
                  <c:v>0.28543312852360009</c:v>
                </c:pt>
                <c:pt idx="24">
                  <c:v>0.3056490728689274</c:v>
                </c:pt>
                <c:pt idx="25">
                  <c:v>0.32924860924715316</c:v>
                </c:pt>
                <c:pt idx="26">
                  <c:v>0.30338089526388629</c:v>
                </c:pt>
                <c:pt idx="27">
                  <c:v>0.31786937356823186</c:v>
                </c:pt>
                <c:pt idx="28">
                  <c:v>0.28636393442130081</c:v>
                </c:pt>
                <c:pt idx="29">
                  <c:v>0.31644923007870263</c:v>
                </c:pt>
                <c:pt idx="30">
                  <c:v>0.28116561365814086</c:v>
                </c:pt>
                <c:pt idx="31">
                  <c:v>0.31434850492361899</c:v>
                </c:pt>
                <c:pt idx="32">
                  <c:v>0.3346812670035117</c:v>
                </c:pt>
                <c:pt idx="33">
                  <c:v>0.35544879517517369</c:v>
                </c:pt>
                <c:pt idx="34">
                  <c:v>0.3763406939728835</c:v>
                </c:pt>
                <c:pt idx="35">
                  <c:v>0.39786107108988422</c:v>
                </c:pt>
                <c:pt idx="36">
                  <c:v>0.43092220365155715</c:v>
                </c:pt>
                <c:pt idx="37">
                  <c:v>0.50227704349389624</c:v>
                </c:pt>
                <c:pt idx="38">
                  <c:v>0.52623305150721089</c:v>
                </c:pt>
                <c:pt idx="39">
                  <c:v>0.50762078619532791</c:v>
                </c:pt>
                <c:pt idx="40">
                  <c:v>0.49913698444673044</c:v>
                </c:pt>
                <c:pt idx="41">
                  <c:v>0.49385349404491941</c:v>
                </c:pt>
                <c:pt idx="42">
                  <c:v>0.51292151578103096</c:v>
                </c:pt>
                <c:pt idx="43">
                  <c:v>0.56408801087014671</c:v>
                </c:pt>
                <c:pt idx="44">
                  <c:v>0.62097742921925381</c:v>
                </c:pt>
                <c:pt idx="45">
                  <c:v>0.62896431822790311</c:v>
                </c:pt>
                <c:pt idx="46">
                  <c:v>0.67141172011783623</c:v>
                </c:pt>
                <c:pt idx="47">
                  <c:v>0.63454472088242142</c:v>
                </c:pt>
                <c:pt idx="48">
                  <c:v>0.64012544728115184</c:v>
                </c:pt>
                <c:pt idx="49">
                  <c:v>0.65647391874787853</c:v>
                </c:pt>
                <c:pt idx="50">
                  <c:v>0.69596756452278541</c:v>
                </c:pt>
                <c:pt idx="51">
                  <c:v>0.72013189880194506</c:v>
                </c:pt>
                <c:pt idx="52">
                  <c:v>0.72422433243967566</c:v>
                </c:pt>
                <c:pt idx="53">
                  <c:v>0.74946041028623234</c:v>
                </c:pt>
                <c:pt idx="54">
                  <c:v>0.71616793464290573</c:v>
                </c:pt>
                <c:pt idx="55">
                  <c:v>0.7237964518747142</c:v>
                </c:pt>
                <c:pt idx="56">
                  <c:v>0.75058452233938955</c:v>
                </c:pt>
                <c:pt idx="57">
                  <c:v>0.81824365433289226</c:v>
                </c:pt>
                <c:pt idx="58">
                  <c:v>0.86730379569131666</c:v>
                </c:pt>
                <c:pt idx="59">
                  <c:v>0.85264080550064203</c:v>
                </c:pt>
                <c:pt idx="60">
                  <c:v>0.83658187220058489</c:v>
                </c:pt>
                <c:pt idx="61">
                  <c:v>0.85841023326985988</c:v>
                </c:pt>
                <c:pt idx="62">
                  <c:v>0.84770277016341455</c:v>
                </c:pt>
                <c:pt idx="63">
                  <c:v>0.84618446308101258</c:v>
                </c:pt>
                <c:pt idx="64">
                  <c:v>0.86269070221554434</c:v>
                </c:pt>
                <c:pt idx="65">
                  <c:v>0.8838972817926295</c:v>
                </c:pt>
                <c:pt idx="66">
                  <c:v>0.88845509228267949</c:v>
                </c:pt>
                <c:pt idx="67">
                  <c:v>0.87393494588113285</c:v>
                </c:pt>
                <c:pt idx="68">
                  <c:v>0.85491643042313747</c:v>
                </c:pt>
                <c:pt idx="69">
                  <c:v>0.84749951394467904</c:v>
                </c:pt>
                <c:pt idx="70">
                  <c:v>0.83635291118179855</c:v>
                </c:pt>
                <c:pt idx="71">
                  <c:v>0.86390637870907894</c:v>
                </c:pt>
                <c:pt idx="72">
                  <c:v>0.81901427665727289</c:v>
                </c:pt>
                <c:pt idx="73">
                  <c:v>0.83064787778141314</c:v>
                </c:pt>
                <c:pt idx="74">
                  <c:v>0.78158170881228273</c:v>
                </c:pt>
                <c:pt idx="75">
                  <c:v>0.82814844444872693</c:v>
                </c:pt>
                <c:pt idx="76">
                  <c:v>0.83470343397809399</c:v>
                </c:pt>
                <c:pt idx="77">
                  <c:v>0.84299434971741471</c:v>
                </c:pt>
                <c:pt idx="78">
                  <c:v>0.89688156052591639</c:v>
                </c:pt>
                <c:pt idx="79">
                  <c:v>0.930676021642448</c:v>
                </c:pt>
                <c:pt idx="80">
                  <c:v>1.0733239732814668</c:v>
                </c:pt>
                <c:pt idx="81">
                  <c:v>1.0969034563176285</c:v>
                </c:pt>
                <c:pt idx="82">
                  <c:v>1.1093917852724253</c:v>
                </c:pt>
                <c:pt idx="83">
                  <c:v>1.1654568435654777</c:v>
                </c:pt>
                <c:pt idx="84">
                  <c:v>1.1643137022144481</c:v>
                </c:pt>
                <c:pt idx="85">
                  <c:v>1.1281278749112109</c:v>
                </c:pt>
                <c:pt idx="86">
                  <c:v>1.0952122441655427</c:v>
                </c:pt>
                <c:pt idx="87">
                  <c:v>1.1731145665146105</c:v>
                </c:pt>
                <c:pt idx="88">
                  <c:v>1.1086046158023128</c:v>
                </c:pt>
                <c:pt idx="89">
                  <c:v>1.1224162383392382</c:v>
                </c:pt>
                <c:pt idx="90">
                  <c:v>1.060777463043965</c:v>
                </c:pt>
                <c:pt idx="91">
                  <c:v>1.073746408718641</c:v>
                </c:pt>
                <c:pt idx="92">
                  <c:v>1.0884841466406638</c:v>
                </c:pt>
                <c:pt idx="93">
                  <c:v>1.0249818292344406</c:v>
                </c:pt>
                <c:pt idx="94">
                  <c:v>1.0062373639687605</c:v>
                </c:pt>
                <c:pt idx="95">
                  <c:v>1.0510760758160915</c:v>
                </c:pt>
                <c:pt idx="96">
                  <c:v>1.0442887159348897</c:v>
                </c:pt>
                <c:pt idx="97">
                  <c:v>1.0420898089985917</c:v>
                </c:pt>
                <c:pt idx="98">
                  <c:v>1.0328723130074033</c:v>
                </c:pt>
                <c:pt idx="99">
                  <c:v>1.116238695781961</c:v>
                </c:pt>
                <c:pt idx="100">
                  <c:v>1.1203625193143159</c:v>
                </c:pt>
                <c:pt idx="101">
                  <c:v>1.2234538412961655</c:v>
                </c:pt>
                <c:pt idx="102">
                  <c:v>1.2533520339862441</c:v>
                </c:pt>
                <c:pt idx="103">
                  <c:v>1.3265340260905116</c:v>
                </c:pt>
                <c:pt idx="104">
                  <c:v>1.3496962378974535</c:v>
                </c:pt>
                <c:pt idx="105">
                  <c:v>1.3244454982526748</c:v>
                </c:pt>
                <c:pt idx="106">
                  <c:v>1.2933994391341104</c:v>
                </c:pt>
                <c:pt idx="107">
                  <c:v>1.3440686235258807</c:v>
                </c:pt>
                <c:pt idx="108">
                  <c:v>1.3017268320616011</c:v>
                </c:pt>
                <c:pt idx="109">
                  <c:v>1.3282144075463076</c:v>
                </c:pt>
                <c:pt idx="110">
                  <c:v>1.2807881848329206</c:v>
                </c:pt>
                <c:pt idx="111">
                  <c:v>1.306305848057022</c:v>
                </c:pt>
                <c:pt idx="112">
                  <c:v>1.2665111118702517</c:v>
                </c:pt>
                <c:pt idx="113">
                  <c:v>1.2786779239990174</c:v>
                </c:pt>
                <c:pt idx="114">
                  <c:v>1.3114416551668031</c:v>
                </c:pt>
                <c:pt idx="115">
                  <c:v>1.3115981758148585</c:v>
                </c:pt>
                <c:pt idx="116">
                  <c:v>1.2765302684118873</c:v>
                </c:pt>
                <c:pt idx="117">
                  <c:v>1.319730860068641</c:v>
                </c:pt>
                <c:pt idx="118">
                  <c:v>1.2723610245624004</c:v>
                </c:pt>
                <c:pt idx="119">
                  <c:v>1.2921997812808179</c:v>
                </c:pt>
                <c:pt idx="120">
                  <c:v>1.2485766885419174</c:v>
                </c:pt>
                <c:pt idx="121">
                  <c:v>1.2526573849210854</c:v>
                </c:pt>
                <c:pt idx="122">
                  <c:v>1.2130052510245388</c:v>
                </c:pt>
                <c:pt idx="123">
                  <c:v>1.197601728107262</c:v>
                </c:pt>
                <c:pt idx="124">
                  <c:v>1.2108117196593837</c:v>
                </c:pt>
                <c:pt idx="125">
                  <c:v>1.2335946232280339</c:v>
                </c:pt>
                <c:pt idx="126">
                  <c:v>1.292721205394715</c:v>
                </c:pt>
                <c:pt idx="127">
                  <c:v>1.3054126193121942</c:v>
                </c:pt>
                <c:pt idx="128">
                  <c:v>1.3395725449301361</c:v>
                </c:pt>
                <c:pt idx="129">
                  <c:v>1.3476133055117443</c:v>
                </c:pt>
                <c:pt idx="130">
                  <c:v>1.3519164963765105</c:v>
                </c:pt>
                <c:pt idx="131">
                  <c:v>1.3177748985166957</c:v>
                </c:pt>
                <c:pt idx="132">
                  <c:v>1.3257706563097491</c:v>
                </c:pt>
                <c:pt idx="133">
                  <c:v>1.333202031347011</c:v>
                </c:pt>
                <c:pt idx="134">
                  <c:v>1.4198001404587113</c:v>
                </c:pt>
                <c:pt idx="135">
                  <c:v>1.4191591339905787</c:v>
                </c:pt>
                <c:pt idx="136">
                  <c:v>1.3998458313023101</c:v>
                </c:pt>
                <c:pt idx="137">
                  <c:v>1.3648302657344111</c:v>
                </c:pt>
                <c:pt idx="138">
                  <c:v>1.4182308392242473</c:v>
                </c:pt>
                <c:pt idx="139">
                  <c:v>1.4029634944394815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1-40E9-AC80-EE30E38E7D1C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8.9502648184937583E-2</c:v>
                </c:pt>
                <c:pt idx="2">
                  <c:v>0.14689471203419324</c:v>
                </c:pt>
                <c:pt idx="3">
                  <c:v>9.3285773521383356E-2</c:v>
                </c:pt>
                <c:pt idx="4">
                  <c:v>0.12092544434471024</c:v>
                </c:pt>
                <c:pt idx="5">
                  <c:v>0.15120186132662866</c:v>
                </c:pt>
                <c:pt idx="6">
                  <c:v>0.18732787331456427</c:v>
                </c:pt>
                <c:pt idx="7">
                  <c:v>0.1371809282123064</c:v>
                </c:pt>
                <c:pt idx="8">
                  <c:v>0.12120740046684615</c:v>
                </c:pt>
                <c:pt idx="9">
                  <c:v>0.10586084526653536</c:v>
                </c:pt>
                <c:pt idx="10">
                  <c:v>0.10965721517726622</c:v>
                </c:pt>
                <c:pt idx="11">
                  <c:v>0.19080357541586612</c:v>
                </c:pt>
                <c:pt idx="12">
                  <c:v>0.22907797062083768</c:v>
                </c:pt>
                <c:pt idx="13">
                  <c:v>0.22620147186779604</c:v>
                </c:pt>
                <c:pt idx="14">
                  <c:v>0.24543023244161483</c:v>
                </c:pt>
                <c:pt idx="15">
                  <c:v>0.2743116502906699</c:v>
                </c:pt>
                <c:pt idx="16">
                  <c:v>0.26759224872848264</c:v>
                </c:pt>
                <c:pt idx="17">
                  <c:v>0.29447875560412023</c:v>
                </c:pt>
                <c:pt idx="18">
                  <c:v>0.30494380412119182</c:v>
                </c:pt>
                <c:pt idx="19">
                  <c:v>0.28515040176075584</c:v>
                </c:pt>
                <c:pt idx="20">
                  <c:v>0.22528384625497855</c:v>
                </c:pt>
                <c:pt idx="21">
                  <c:v>0.2293513580872398</c:v>
                </c:pt>
                <c:pt idx="22">
                  <c:v>0.19649936833978826</c:v>
                </c:pt>
                <c:pt idx="23">
                  <c:v>0.26572826224784751</c:v>
                </c:pt>
                <c:pt idx="24">
                  <c:v>0.29889558048903109</c:v>
                </c:pt>
                <c:pt idx="25">
                  <c:v>0.3286337637919019</c:v>
                </c:pt>
                <c:pt idx="26">
                  <c:v>0.32795171414369578</c:v>
                </c:pt>
                <c:pt idx="27">
                  <c:v>0.33946874997225907</c:v>
                </c:pt>
                <c:pt idx="28">
                  <c:v>0.31896542193396993</c:v>
                </c:pt>
                <c:pt idx="29">
                  <c:v>0.36067192270773163</c:v>
                </c:pt>
                <c:pt idx="30">
                  <c:v>0.33975808917374378</c:v>
                </c:pt>
                <c:pt idx="31">
                  <c:v>0.36756138813272293</c:v>
                </c:pt>
                <c:pt idx="32">
                  <c:v>0.39571259340197507</c:v>
                </c:pt>
                <c:pt idx="33">
                  <c:v>0.415073283111833</c:v>
                </c:pt>
                <c:pt idx="34">
                  <c:v>0.4413053601622276</c:v>
                </c:pt>
                <c:pt idx="35">
                  <c:v>0.45778654381410994</c:v>
                </c:pt>
                <c:pt idx="36">
                  <c:v>0.46961270975965336</c:v>
                </c:pt>
                <c:pt idx="37">
                  <c:v>0.56828103226334636</c:v>
                </c:pt>
                <c:pt idx="38">
                  <c:v>0.60395307807972209</c:v>
                </c:pt>
                <c:pt idx="39">
                  <c:v>0.58501414922347705</c:v>
                </c:pt>
                <c:pt idx="40">
                  <c:v>0.5711842178379265</c:v>
                </c:pt>
                <c:pt idx="41">
                  <c:v>0.55881373498776332</c:v>
                </c:pt>
                <c:pt idx="42">
                  <c:v>0.57105534952888137</c:v>
                </c:pt>
                <c:pt idx="43">
                  <c:v>0.6387620189413773</c:v>
                </c:pt>
                <c:pt idx="44">
                  <c:v>0.70235854011792487</c:v>
                </c:pt>
                <c:pt idx="45">
                  <c:v>0.71898887252452703</c:v>
                </c:pt>
                <c:pt idx="46">
                  <c:v>0.75078437859292524</c:v>
                </c:pt>
                <c:pt idx="47">
                  <c:v>0.71035167814435529</c:v>
                </c:pt>
                <c:pt idx="48">
                  <c:v>0.68127396118478467</c:v>
                </c:pt>
                <c:pt idx="49">
                  <c:v>0.71151064836329692</c:v>
                </c:pt>
                <c:pt idx="50">
                  <c:v>0.77257849114755828</c:v>
                </c:pt>
                <c:pt idx="51">
                  <c:v>0.80998370899375338</c:v>
                </c:pt>
                <c:pt idx="52">
                  <c:v>0.80595507463489413</c:v>
                </c:pt>
                <c:pt idx="53">
                  <c:v>0.85782177387522396</c:v>
                </c:pt>
                <c:pt idx="54">
                  <c:v>0.83612896181933372</c:v>
                </c:pt>
                <c:pt idx="55">
                  <c:v>0.85190386836541743</c:v>
                </c:pt>
                <c:pt idx="56">
                  <c:v>0.89417634374401289</c:v>
                </c:pt>
                <c:pt idx="57">
                  <c:v>0.98376263395197483</c:v>
                </c:pt>
                <c:pt idx="58">
                  <c:v>1.0164205478764492</c:v>
                </c:pt>
                <c:pt idx="59">
                  <c:v>1.0167122649781073</c:v>
                </c:pt>
                <c:pt idx="60">
                  <c:v>1.0001522788698729</c:v>
                </c:pt>
                <c:pt idx="61">
                  <c:v>1.0306564450667055</c:v>
                </c:pt>
                <c:pt idx="62">
                  <c:v>1.0419919401163991</c:v>
                </c:pt>
                <c:pt idx="63">
                  <c:v>1.0531527643306755</c:v>
                </c:pt>
                <c:pt idx="64">
                  <c:v>1.0683158069171372</c:v>
                </c:pt>
                <c:pt idx="65">
                  <c:v>1.1032664119248363</c:v>
                </c:pt>
                <c:pt idx="66">
                  <c:v>1.1169277396929687</c:v>
                </c:pt>
                <c:pt idx="67">
                  <c:v>1.0983940662565084</c:v>
                </c:pt>
                <c:pt idx="68">
                  <c:v>1.0861284673530771</c:v>
                </c:pt>
                <c:pt idx="69">
                  <c:v>1.0630943535416595</c:v>
                </c:pt>
                <c:pt idx="70">
                  <c:v>1.0071245800862341</c:v>
                </c:pt>
                <c:pt idx="71">
                  <c:v>1.0230741894096806</c:v>
                </c:pt>
                <c:pt idx="72">
                  <c:v>0.95341819035647413</c:v>
                </c:pt>
                <c:pt idx="73">
                  <c:v>0.97441720690786326</c:v>
                </c:pt>
                <c:pt idx="74">
                  <c:v>0.92007817436780837</c:v>
                </c:pt>
                <c:pt idx="75">
                  <c:v>0.98020320413341444</c:v>
                </c:pt>
                <c:pt idx="76">
                  <c:v>0.99889411754088042</c:v>
                </c:pt>
                <c:pt idx="77">
                  <c:v>1.0093163700047063</c:v>
                </c:pt>
                <c:pt idx="78">
                  <c:v>1.0615771399220018</c:v>
                </c:pt>
                <c:pt idx="79">
                  <c:v>1.0941850104723354</c:v>
                </c:pt>
                <c:pt idx="80">
                  <c:v>1.2553636691352725</c:v>
                </c:pt>
                <c:pt idx="81">
                  <c:v>1.285625133735262</c:v>
                </c:pt>
                <c:pt idx="82">
                  <c:v>1.2965830798946087</c:v>
                </c:pt>
                <c:pt idx="83">
                  <c:v>1.3764865597875433</c:v>
                </c:pt>
                <c:pt idx="84">
                  <c:v>1.3761271190522821</c:v>
                </c:pt>
                <c:pt idx="85">
                  <c:v>1.32928631532477</c:v>
                </c:pt>
                <c:pt idx="86">
                  <c:v>1.3154611712249289</c:v>
                </c:pt>
                <c:pt idx="87">
                  <c:v>1.3713927241865871</c:v>
                </c:pt>
                <c:pt idx="88">
                  <c:v>1.3049430645779183</c:v>
                </c:pt>
                <c:pt idx="89">
                  <c:v>1.3218399552682667</c:v>
                </c:pt>
                <c:pt idx="90">
                  <c:v>1.2335013092504101</c:v>
                </c:pt>
                <c:pt idx="91">
                  <c:v>1.2420462869029345</c:v>
                </c:pt>
                <c:pt idx="92">
                  <c:v>1.2531229546023981</c:v>
                </c:pt>
                <c:pt idx="93">
                  <c:v>1.1443129659154148</c:v>
                </c:pt>
                <c:pt idx="94">
                  <c:v>1.1308491618863969</c:v>
                </c:pt>
                <c:pt idx="95">
                  <c:v>1.1566582370993328</c:v>
                </c:pt>
                <c:pt idx="96">
                  <c:v>1.1327494712027224</c:v>
                </c:pt>
                <c:pt idx="97">
                  <c:v>1.1108357936464599</c:v>
                </c:pt>
                <c:pt idx="98">
                  <c:v>1.1006100807438353</c:v>
                </c:pt>
                <c:pt idx="99">
                  <c:v>1.2184279187005189</c:v>
                </c:pt>
                <c:pt idx="100">
                  <c:v>1.2234324346116987</c:v>
                </c:pt>
                <c:pt idx="101">
                  <c:v>1.3535143277094077</c:v>
                </c:pt>
                <c:pt idx="102">
                  <c:v>1.388136285147237</c:v>
                </c:pt>
                <c:pt idx="103">
                  <c:v>1.4864033226018358</c:v>
                </c:pt>
                <c:pt idx="104">
                  <c:v>1.5299899488343496</c:v>
                </c:pt>
                <c:pt idx="105">
                  <c:v>1.4714701061900282</c:v>
                </c:pt>
                <c:pt idx="106">
                  <c:v>1.4505791744115126</c:v>
                </c:pt>
                <c:pt idx="107">
                  <c:v>1.5389733562931327</c:v>
                </c:pt>
                <c:pt idx="108">
                  <c:v>1.4888362417699028</c:v>
                </c:pt>
                <c:pt idx="109">
                  <c:v>1.5171798815067243</c:v>
                </c:pt>
                <c:pt idx="110">
                  <c:v>1.4981077065748332</c:v>
                </c:pt>
                <c:pt idx="111">
                  <c:v>1.5012947456003543</c:v>
                </c:pt>
                <c:pt idx="112">
                  <c:v>1.4859627333337113</c:v>
                </c:pt>
                <c:pt idx="113">
                  <c:v>1.5146544955957146</c:v>
                </c:pt>
                <c:pt idx="114">
                  <c:v>1.5619684058687171</c:v>
                </c:pt>
                <c:pt idx="115">
                  <c:v>1.5696039544661207</c:v>
                </c:pt>
                <c:pt idx="116">
                  <c:v>1.5063905603697272</c:v>
                </c:pt>
                <c:pt idx="117">
                  <c:v>1.5489956736594022</c:v>
                </c:pt>
                <c:pt idx="118">
                  <c:v>1.5024784620336959</c:v>
                </c:pt>
                <c:pt idx="119">
                  <c:v>1.5230195956119563</c:v>
                </c:pt>
                <c:pt idx="120">
                  <c:v>1.4962758257765816</c:v>
                </c:pt>
                <c:pt idx="121">
                  <c:v>1.5158501573054339</c:v>
                </c:pt>
                <c:pt idx="122">
                  <c:v>1.463730949920776</c:v>
                </c:pt>
                <c:pt idx="123">
                  <c:v>1.4404415726466502</c:v>
                </c:pt>
                <c:pt idx="124">
                  <c:v>1.4617083748424189</c:v>
                </c:pt>
                <c:pt idx="125">
                  <c:v>1.4896470467595546</c:v>
                </c:pt>
                <c:pt idx="126">
                  <c:v>1.571132485515309</c:v>
                </c:pt>
                <c:pt idx="127">
                  <c:v>1.5546770951211168</c:v>
                </c:pt>
                <c:pt idx="128">
                  <c:v>1.5884580431589181</c:v>
                </c:pt>
                <c:pt idx="129">
                  <c:v>1.5696800146839771</c:v>
                </c:pt>
                <c:pt idx="130">
                  <c:v>1.5933375917486177</c:v>
                </c:pt>
                <c:pt idx="131">
                  <c:v>1.5381087242661866</c:v>
                </c:pt>
                <c:pt idx="132">
                  <c:v>1.5425160799674547</c:v>
                </c:pt>
                <c:pt idx="133">
                  <c:v>1.5510389897711225</c:v>
                </c:pt>
                <c:pt idx="134">
                  <c:v>1.6525040878256123</c:v>
                </c:pt>
                <c:pt idx="135">
                  <c:v>1.6516033435308883</c:v>
                </c:pt>
                <c:pt idx="136">
                  <c:v>1.6249420192525046</c:v>
                </c:pt>
                <c:pt idx="137">
                  <c:v>1.5939973167628148</c:v>
                </c:pt>
                <c:pt idx="138">
                  <c:v>1.6351865142047386</c:v>
                </c:pt>
                <c:pt idx="139">
                  <c:v>1.6242652562028901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1-40E9-AC80-EE30E38E7D1C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9.7000950289166776E-2</c:v>
                </c:pt>
                <c:pt idx="2">
                  <c:v>0.1236761746602051</c:v>
                </c:pt>
                <c:pt idx="3">
                  <c:v>0.11511810525017339</c:v>
                </c:pt>
                <c:pt idx="4">
                  <c:v>0.25865087233427597</c:v>
                </c:pt>
                <c:pt idx="5">
                  <c:v>0.30295188203707873</c:v>
                </c:pt>
                <c:pt idx="6">
                  <c:v>0.35932602141146192</c:v>
                </c:pt>
                <c:pt idx="7">
                  <c:v>0.33897547905787551</c:v>
                </c:pt>
                <c:pt idx="8">
                  <c:v>0.293486810175074</c:v>
                </c:pt>
                <c:pt idx="9">
                  <c:v>0.25172316850107734</c:v>
                </c:pt>
                <c:pt idx="10">
                  <c:v>0.27165368588745126</c:v>
                </c:pt>
                <c:pt idx="11">
                  <c:v>0.36046299099607593</c:v>
                </c:pt>
                <c:pt idx="12">
                  <c:v>0.40164804591203174</c:v>
                </c:pt>
                <c:pt idx="13">
                  <c:v>0.43569183343340934</c:v>
                </c:pt>
                <c:pt idx="14">
                  <c:v>0.47629203969341061</c:v>
                </c:pt>
                <c:pt idx="15">
                  <c:v>0.5285525939277288</c:v>
                </c:pt>
                <c:pt idx="16">
                  <c:v>0.55880796827990187</c:v>
                </c:pt>
                <c:pt idx="17">
                  <c:v>0.52302292529947758</c:v>
                </c:pt>
                <c:pt idx="18">
                  <c:v>0.48314051657390333</c:v>
                </c:pt>
                <c:pt idx="19">
                  <c:v>0.43275308006843827</c:v>
                </c:pt>
                <c:pt idx="20">
                  <c:v>0.38341196362601748</c:v>
                </c:pt>
                <c:pt idx="21">
                  <c:v>0.35805220309547547</c:v>
                </c:pt>
                <c:pt idx="22">
                  <c:v>0.29389207533949757</c:v>
                </c:pt>
                <c:pt idx="23">
                  <c:v>0.37929621217959136</c:v>
                </c:pt>
                <c:pt idx="24">
                  <c:v>0.45231572435127121</c:v>
                </c:pt>
                <c:pt idx="25">
                  <c:v>0.48692638563499041</c:v>
                </c:pt>
                <c:pt idx="26">
                  <c:v>0.47170352671174653</c:v>
                </c:pt>
                <c:pt idx="27">
                  <c:v>0.44818921699872516</c:v>
                </c:pt>
                <c:pt idx="28">
                  <c:v>0.42522224347162679</c:v>
                </c:pt>
                <c:pt idx="29">
                  <c:v>0.43294618134297203</c:v>
                </c:pt>
                <c:pt idx="30">
                  <c:v>0.42345843468422145</c:v>
                </c:pt>
                <c:pt idx="31">
                  <c:v>0.44717426997694742</c:v>
                </c:pt>
                <c:pt idx="32">
                  <c:v>0.51141418954418205</c:v>
                </c:pt>
                <c:pt idx="33">
                  <c:v>0.53865023013945645</c:v>
                </c:pt>
                <c:pt idx="34">
                  <c:v>0.55084144897072762</c:v>
                </c:pt>
                <c:pt idx="35">
                  <c:v>0.56183196984137151</c:v>
                </c:pt>
                <c:pt idx="36">
                  <c:v>0.584808081261178</c:v>
                </c:pt>
                <c:pt idx="37">
                  <c:v>0.68360828907828342</c:v>
                </c:pt>
                <c:pt idx="38">
                  <c:v>0.70334047157452528</c:v>
                </c:pt>
                <c:pt idx="39">
                  <c:v>0.65460161402813755</c:v>
                </c:pt>
                <c:pt idx="40">
                  <c:v>0.65728444331976621</c:v>
                </c:pt>
                <c:pt idx="41">
                  <c:v>0.63574724452083931</c:v>
                </c:pt>
                <c:pt idx="42">
                  <c:v>0.64416533312434343</c:v>
                </c:pt>
                <c:pt idx="43">
                  <c:v>0.75758454938315223</c:v>
                </c:pt>
                <c:pt idx="44">
                  <c:v>0.79732591427005828</c:v>
                </c:pt>
                <c:pt idx="45">
                  <c:v>0.78549779542734433</c:v>
                </c:pt>
                <c:pt idx="46">
                  <c:v>0.82600374107724095</c:v>
                </c:pt>
                <c:pt idx="47">
                  <c:v>0.77269078632347699</c:v>
                </c:pt>
                <c:pt idx="48">
                  <c:v>0.75221606296131105</c:v>
                </c:pt>
                <c:pt idx="49">
                  <c:v>0.75194644241081909</c:v>
                </c:pt>
                <c:pt idx="50">
                  <c:v>0.81068936113206225</c:v>
                </c:pt>
                <c:pt idx="51">
                  <c:v>0.855063553704414</c:v>
                </c:pt>
                <c:pt idx="52">
                  <c:v>0.8607667573998401</c:v>
                </c:pt>
                <c:pt idx="53">
                  <c:v>0.88593404319454983</c:v>
                </c:pt>
                <c:pt idx="54">
                  <c:v>0.85584183897609578</c:v>
                </c:pt>
                <c:pt idx="55">
                  <c:v>0.88307959395978786</c:v>
                </c:pt>
                <c:pt idx="56">
                  <c:v>0.94785704417083916</c:v>
                </c:pt>
                <c:pt idx="57">
                  <c:v>1.0414354891981747</c:v>
                </c:pt>
                <c:pt idx="58">
                  <c:v>1.0646250926954575</c:v>
                </c:pt>
                <c:pt idx="59">
                  <c:v>1.0531837998675087</c:v>
                </c:pt>
                <c:pt idx="60">
                  <c:v>1.0677567307064439</c:v>
                </c:pt>
                <c:pt idx="61">
                  <c:v>1.102360187642611</c:v>
                </c:pt>
                <c:pt idx="62">
                  <c:v>1.078260288559824</c:v>
                </c:pt>
                <c:pt idx="63">
                  <c:v>1.1304644507618524</c:v>
                </c:pt>
                <c:pt idx="64">
                  <c:v>1.1597424300414461</c:v>
                </c:pt>
                <c:pt idx="65">
                  <c:v>1.2115355894648838</c:v>
                </c:pt>
                <c:pt idx="66">
                  <c:v>1.1971718491402059</c:v>
                </c:pt>
                <c:pt idx="67">
                  <c:v>1.1892374018465284</c:v>
                </c:pt>
                <c:pt idx="68">
                  <c:v>1.1996930505067376</c:v>
                </c:pt>
                <c:pt idx="69">
                  <c:v>1.1238286132113242</c:v>
                </c:pt>
                <c:pt idx="70">
                  <c:v>1.0259766562291965</c:v>
                </c:pt>
                <c:pt idx="71">
                  <c:v>1.0744441159529674</c:v>
                </c:pt>
                <c:pt idx="72">
                  <c:v>0.90146179417622219</c:v>
                </c:pt>
                <c:pt idx="73">
                  <c:v>0.99006268772800798</c:v>
                </c:pt>
                <c:pt idx="74">
                  <c:v>0.94706843397639062</c:v>
                </c:pt>
                <c:pt idx="75">
                  <c:v>1.0174793429959132</c:v>
                </c:pt>
                <c:pt idx="76">
                  <c:v>1.0192010805875054</c:v>
                </c:pt>
                <c:pt idx="77">
                  <c:v>1.0343510374659926</c:v>
                </c:pt>
                <c:pt idx="78">
                  <c:v>1.0724312501730766</c:v>
                </c:pt>
                <c:pt idx="79">
                  <c:v>1.0697900385965819</c:v>
                </c:pt>
                <c:pt idx="80">
                  <c:v>1.165013155549627</c:v>
                </c:pt>
                <c:pt idx="81">
                  <c:v>1.1724603790631853</c:v>
                </c:pt>
                <c:pt idx="82">
                  <c:v>1.2201369479925446</c:v>
                </c:pt>
                <c:pt idx="83">
                  <c:v>1.3736587357310057</c:v>
                </c:pt>
                <c:pt idx="84">
                  <c:v>1.3540363850496557</c:v>
                </c:pt>
                <c:pt idx="85">
                  <c:v>1.2918591627991352</c:v>
                </c:pt>
                <c:pt idx="86">
                  <c:v>1.2055494359984054</c:v>
                </c:pt>
                <c:pt idx="87">
                  <c:v>1.2779939757986081</c:v>
                </c:pt>
                <c:pt idx="88">
                  <c:v>1.2465758273812522</c:v>
                </c:pt>
                <c:pt idx="89">
                  <c:v>1.2570161973647447</c:v>
                </c:pt>
                <c:pt idx="90">
                  <c:v>1.1158538925803017</c:v>
                </c:pt>
                <c:pt idx="91">
                  <c:v>1.1451385973144825</c:v>
                </c:pt>
                <c:pt idx="92">
                  <c:v>1.1730124937188695</c:v>
                </c:pt>
                <c:pt idx="93">
                  <c:v>0.9644164699081057</c:v>
                </c:pt>
                <c:pt idx="94">
                  <c:v>0.91586991369131832</c:v>
                </c:pt>
                <c:pt idx="95">
                  <c:v>0.95949797662479996</c:v>
                </c:pt>
                <c:pt idx="96">
                  <c:v>0.92542785773755354</c:v>
                </c:pt>
                <c:pt idx="97">
                  <c:v>0.89043931382038255</c:v>
                </c:pt>
                <c:pt idx="98">
                  <c:v>0.8503577088971831</c:v>
                </c:pt>
                <c:pt idx="99">
                  <c:v>0.99565551672274766</c:v>
                </c:pt>
                <c:pt idx="100">
                  <c:v>0.98917968342412543</c:v>
                </c:pt>
                <c:pt idx="101">
                  <c:v>1.17117955134982</c:v>
                </c:pt>
                <c:pt idx="102">
                  <c:v>1.2329653428637455</c:v>
                </c:pt>
                <c:pt idx="103">
                  <c:v>1.276174372046563</c:v>
                </c:pt>
                <c:pt idx="104">
                  <c:v>1.3175851163957322</c:v>
                </c:pt>
                <c:pt idx="105">
                  <c:v>1.2737249131363599</c:v>
                </c:pt>
                <c:pt idx="106">
                  <c:v>1.2662075502252821</c:v>
                </c:pt>
                <c:pt idx="107">
                  <c:v>1.339001406066765</c:v>
                </c:pt>
                <c:pt idx="108">
                  <c:v>1.2930179706463958</c:v>
                </c:pt>
                <c:pt idx="109">
                  <c:v>1.3718213991875974</c:v>
                </c:pt>
                <c:pt idx="110">
                  <c:v>1.3666278017451066</c:v>
                </c:pt>
                <c:pt idx="111">
                  <c:v>1.3856063074428779</c:v>
                </c:pt>
                <c:pt idx="112">
                  <c:v>1.3332535532887522</c:v>
                </c:pt>
                <c:pt idx="113">
                  <c:v>1.334662159357751</c:v>
                </c:pt>
                <c:pt idx="114">
                  <c:v>1.3920831031854444</c:v>
                </c:pt>
                <c:pt idx="115">
                  <c:v>1.4343786790861941</c:v>
                </c:pt>
                <c:pt idx="116">
                  <c:v>1.3117524719167386</c:v>
                </c:pt>
                <c:pt idx="117">
                  <c:v>1.3201058040664269</c:v>
                </c:pt>
                <c:pt idx="118">
                  <c:v>1.3004806596724838</c:v>
                </c:pt>
                <c:pt idx="119">
                  <c:v>1.3055769962243007</c:v>
                </c:pt>
                <c:pt idx="120">
                  <c:v>1.2758144598385395</c:v>
                </c:pt>
                <c:pt idx="121">
                  <c:v>1.2737588858441939</c:v>
                </c:pt>
                <c:pt idx="122">
                  <c:v>1.2321453792143591</c:v>
                </c:pt>
                <c:pt idx="123">
                  <c:v>1.1914680697274651</c:v>
                </c:pt>
                <c:pt idx="124">
                  <c:v>1.2439468294207279</c:v>
                </c:pt>
                <c:pt idx="125">
                  <c:v>1.3108063922139741</c:v>
                </c:pt>
                <c:pt idx="126">
                  <c:v>1.4040767831613195</c:v>
                </c:pt>
                <c:pt idx="127">
                  <c:v>1.3962700109340223</c:v>
                </c:pt>
                <c:pt idx="128">
                  <c:v>1.442291531893457</c:v>
                </c:pt>
                <c:pt idx="129">
                  <c:v>1.4233642471345422</c:v>
                </c:pt>
                <c:pt idx="130">
                  <c:v>1.4584626373302452</c:v>
                </c:pt>
                <c:pt idx="131">
                  <c:v>1.3913414516832234</c:v>
                </c:pt>
                <c:pt idx="132">
                  <c:v>1.3923262510099186</c:v>
                </c:pt>
                <c:pt idx="133">
                  <c:v>1.3684661171643278</c:v>
                </c:pt>
                <c:pt idx="134">
                  <c:v>1.5205877284115346</c:v>
                </c:pt>
                <c:pt idx="135">
                  <c:v>1.5288604287994416</c:v>
                </c:pt>
                <c:pt idx="136">
                  <c:v>1.4790493078684863</c:v>
                </c:pt>
                <c:pt idx="137">
                  <c:v>1.436302301051072</c:v>
                </c:pt>
                <c:pt idx="138">
                  <c:v>1.4818346141335534</c:v>
                </c:pt>
                <c:pt idx="139">
                  <c:v>1.4776525934595555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1-40E9-AC80-EE30E38E7D1C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8.0919344496346315E-2</c:v>
                </c:pt>
                <c:pt idx="2">
                  <c:v>0.11132876331910618</c:v>
                </c:pt>
                <c:pt idx="3">
                  <c:v>9.5181771968293055E-2</c:v>
                </c:pt>
                <c:pt idx="4">
                  <c:v>0.26831971012766187</c:v>
                </c:pt>
                <c:pt idx="5">
                  <c:v>0.25515264663158721</c:v>
                </c:pt>
                <c:pt idx="6">
                  <c:v>0.35826281769504698</c:v>
                </c:pt>
                <c:pt idx="7">
                  <c:v>0.34925252894418768</c:v>
                </c:pt>
                <c:pt idx="8">
                  <c:v>0.4090250648309528</c:v>
                </c:pt>
                <c:pt idx="9">
                  <c:v>0.37696504536252995</c:v>
                </c:pt>
                <c:pt idx="10">
                  <c:v>0.40835245149020682</c:v>
                </c:pt>
                <c:pt idx="11">
                  <c:v>0.52991247447215417</c:v>
                </c:pt>
                <c:pt idx="12">
                  <c:v>0.59032460707330991</c:v>
                </c:pt>
                <c:pt idx="13">
                  <c:v>0.60855494861661086</c:v>
                </c:pt>
                <c:pt idx="14">
                  <c:v>0.67118178857778554</c:v>
                </c:pt>
                <c:pt idx="15">
                  <c:v>0.80886660634399121</c:v>
                </c:pt>
                <c:pt idx="16">
                  <c:v>0.81571905946173573</c:v>
                </c:pt>
                <c:pt idx="17">
                  <c:v>0.81101883890455062</c:v>
                </c:pt>
                <c:pt idx="18">
                  <c:v>0.7575270114668804</c:v>
                </c:pt>
                <c:pt idx="19">
                  <c:v>0.68499986006026214</c:v>
                </c:pt>
                <c:pt idx="20">
                  <c:v>0.59233696374684996</c:v>
                </c:pt>
                <c:pt idx="21">
                  <c:v>0.57894825702736252</c:v>
                </c:pt>
                <c:pt idx="22">
                  <c:v>0.48515130642197757</c:v>
                </c:pt>
                <c:pt idx="23">
                  <c:v>0.5277165022241419</c:v>
                </c:pt>
                <c:pt idx="24">
                  <c:v>0.63248162363361504</c:v>
                </c:pt>
                <c:pt idx="25">
                  <c:v>0.69028786868484215</c:v>
                </c:pt>
                <c:pt idx="26">
                  <c:v>0.72354458892234241</c:v>
                </c:pt>
                <c:pt idx="27">
                  <c:v>0.66673774707114453</c:v>
                </c:pt>
                <c:pt idx="28">
                  <c:v>0.64222229372566353</c:v>
                </c:pt>
                <c:pt idx="29">
                  <c:v>0.63146954988073845</c:v>
                </c:pt>
                <c:pt idx="30">
                  <c:v>0.60225705072497293</c:v>
                </c:pt>
                <c:pt idx="31">
                  <c:v>0.68625972073666153</c:v>
                </c:pt>
                <c:pt idx="32">
                  <c:v>0.72359072961387327</c:v>
                </c:pt>
                <c:pt idx="33">
                  <c:v>0.74454487451189066</c:v>
                </c:pt>
                <c:pt idx="34">
                  <c:v>0.74497813341796348</c:v>
                </c:pt>
                <c:pt idx="35">
                  <c:v>0.74363857167864489</c:v>
                </c:pt>
                <c:pt idx="36">
                  <c:v>0.7505933378816344</c:v>
                </c:pt>
                <c:pt idx="37">
                  <c:v>0.86428498437752432</c:v>
                </c:pt>
                <c:pt idx="38">
                  <c:v>0.88530475096459027</c:v>
                </c:pt>
                <c:pt idx="39">
                  <c:v>0.83085367325727033</c:v>
                </c:pt>
                <c:pt idx="40">
                  <c:v>0.83272256616823193</c:v>
                </c:pt>
                <c:pt idx="41">
                  <c:v>0.83407148651289842</c:v>
                </c:pt>
                <c:pt idx="42">
                  <c:v>0.78238372093812014</c:v>
                </c:pt>
                <c:pt idx="43">
                  <c:v>0.94066440226117143</c:v>
                </c:pt>
                <c:pt idx="44">
                  <c:v>0.95641226228979848</c:v>
                </c:pt>
                <c:pt idx="45">
                  <c:v>0.93047168287076831</c:v>
                </c:pt>
                <c:pt idx="46">
                  <c:v>1.012330038301364</c:v>
                </c:pt>
                <c:pt idx="47">
                  <c:v>0.91453760203180745</c:v>
                </c:pt>
                <c:pt idx="48">
                  <c:v>0.90535995369037259</c:v>
                </c:pt>
                <c:pt idx="49">
                  <c:v>0.95066994166946439</c:v>
                </c:pt>
                <c:pt idx="50">
                  <c:v>0.96541485974755958</c:v>
                </c:pt>
                <c:pt idx="51">
                  <c:v>0.94164709814128444</c:v>
                </c:pt>
                <c:pt idx="52">
                  <c:v>0.97842089812336108</c:v>
                </c:pt>
                <c:pt idx="53">
                  <c:v>0.98894317673157039</c:v>
                </c:pt>
                <c:pt idx="54">
                  <c:v>0.96314684035090703</c:v>
                </c:pt>
                <c:pt idx="55">
                  <c:v>0.94687725001820566</c:v>
                </c:pt>
                <c:pt idx="56">
                  <c:v>1.0143043052568788</c:v>
                </c:pt>
                <c:pt idx="57">
                  <c:v>1.1374100022695968</c:v>
                </c:pt>
                <c:pt idx="58">
                  <c:v>1.157347447709546</c:v>
                </c:pt>
                <c:pt idx="59">
                  <c:v>1.1678082374864127</c:v>
                </c:pt>
                <c:pt idx="60">
                  <c:v>1.2313153134202164</c:v>
                </c:pt>
                <c:pt idx="61">
                  <c:v>1.2628186329697768</c:v>
                </c:pt>
                <c:pt idx="62">
                  <c:v>1.2301706192599036</c:v>
                </c:pt>
                <c:pt idx="63">
                  <c:v>1.2972609705318918</c:v>
                </c:pt>
                <c:pt idx="64">
                  <c:v>1.3058259574265845</c:v>
                </c:pt>
                <c:pt idx="65">
                  <c:v>1.3760030865184258</c:v>
                </c:pt>
                <c:pt idx="66">
                  <c:v>1.3720748067543291</c:v>
                </c:pt>
                <c:pt idx="67">
                  <c:v>1.4153897405591984</c:v>
                </c:pt>
                <c:pt idx="68">
                  <c:v>1.4207823649084972</c:v>
                </c:pt>
                <c:pt idx="69">
                  <c:v>1.3812534988972494</c:v>
                </c:pt>
                <c:pt idx="70">
                  <c:v>1.2863650675961831</c:v>
                </c:pt>
                <c:pt idx="71">
                  <c:v>1.34118494379338</c:v>
                </c:pt>
                <c:pt idx="72">
                  <c:v>1.0227610031680847</c:v>
                </c:pt>
                <c:pt idx="73">
                  <c:v>1.0792852099073433</c:v>
                </c:pt>
                <c:pt idx="74">
                  <c:v>0.99740303420043042</c:v>
                </c:pt>
                <c:pt idx="75">
                  <c:v>1.1370048909758113</c:v>
                </c:pt>
                <c:pt idx="76">
                  <c:v>1.1507783475779854</c:v>
                </c:pt>
                <c:pt idx="77">
                  <c:v>1.2465439644357439</c:v>
                </c:pt>
                <c:pt idx="78">
                  <c:v>1.2984318254052047</c:v>
                </c:pt>
                <c:pt idx="79">
                  <c:v>1.3046946842456282</c:v>
                </c:pt>
                <c:pt idx="80">
                  <c:v>1.3860207786795185</c:v>
                </c:pt>
                <c:pt idx="81">
                  <c:v>1.4004897209672624</c:v>
                </c:pt>
                <c:pt idx="82">
                  <c:v>1.4345194449835714</c:v>
                </c:pt>
                <c:pt idx="83">
                  <c:v>1.6005162226216401</c:v>
                </c:pt>
                <c:pt idx="84">
                  <c:v>1.5130222008380958</c:v>
                </c:pt>
                <c:pt idx="85">
                  <c:v>1.3817292028103403</c:v>
                </c:pt>
                <c:pt idx="86">
                  <c:v>1.2908682935930742</c:v>
                </c:pt>
                <c:pt idx="87">
                  <c:v>1.2712297867553126</c:v>
                </c:pt>
                <c:pt idx="88">
                  <c:v>1.2696892085860234</c:v>
                </c:pt>
                <c:pt idx="89">
                  <c:v>1.2688155229920519</c:v>
                </c:pt>
                <c:pt idx="90">
                  <c:v>0.99487139725363571</c:v>
                </c:pt>
                <c:pt idx="91">
                  <c:v>1.0487202435101275</c:v>
                </c:pt>
                <c:pt idx="92">
                  <c:v>1.0878375130232167</c:v>
                </c:pt>
                <c:pt idx="93">
                  <c:v>1.0463016728054322</c:v>
                </c:pt>
                <c:pt idx="94">
                  <c:v>0.99243017778624976</c:v>
                </c:pt>
                <c:pt idx="95">
                  <c:v>0.98108114077655695</c:v>
                </c:pt>
                <c:pt idx="96">
                  <c:v>0.96256783472389496</c:v>
                </c:pt>
                <c:pt idx="97">
                  <c:v>0.88875464076903143</c:v>
                </c:pt>
                <c:pt idx="98">
                  <c:v>0.86590855194893313</c:v>
                </c:pt>
                <c:pt idx="99">
                  <c:v>0.99468545510285367</c:v>
                </c:pt>
                <c:pt idx="100">
                  <c:v>0.97460538546224607</c:v>
                </c:pt>
                <c:pt idx="101">
                  <c:v>1.1689004907339364</c:v>
                </c:pt>
                <c:pt idx="102">
                  <c:v>1.2909374219923162</c:v>
                </c:pt>
                <c:pt idx="103">
                  <c:v>1.3271006694567435</c:v>
                </c:pt>
                <c:pt idx="104">
                  <c:v>1.3950362535015273</c:v>
                </c:pt>
                <c:pt idx="105">
                  <c:v>1.3026864867187158</c:v>
                </c:pt>
                <c:pt idx="106">
                  <c:v>1.2601703358988456</c:v>
                </c:pt>
                <c:pt idx="107">
                  <c:v>1.3569559273161853</c:v>
                </c:pt>
                <c:pt idx="108">
                  <c:v>1.3006797632948579</c:v>
                </c:pt>
                <c:pt idx="109">
                  <c:v>1.3393127831781215</c:v>
                </c:pt>
                <c:pt idx="110">
                  <c:v>1.3266112080165784</c:v>
                </c:pt>
                <c:pt idx="111">
                  <c:v>1.3951696751289564</c:v>
                </c:pt>
                <c:pt idx="112">
                  <c:v>1.3265665927338322</c:v>
                </c:pt>
                <c:pt idx="113">
                  <c:v>1.3473981947834974</c:v>
                </c:pt>
                <c:pt idx="114">
                  <c:v>1.4023354563318065</c:v>
                </c:pt>
                <c:pt idx="115">
                  <c:v>1.4215702855177021</c:v>
                </c:pt>
                <c:pt idx="116">
                  <c:v>1.207597008210145</c:v>
                </c:pt>
                <c:pt idx="117">
                  <c:v>1.2434972633236716</c:v>
                </c:pt>
                <c:pt idx="118">
                  <c:v>1.1839952776580116</c:v>
                </c:pt>
                <c:pt idx="119">
                  <c:v>1.1525611990059279</c:v>
                </c:pt>
                <c:pt idx="120">
                  <c:v>1.0660463192770671</c:v>
                </c:pt>
                <c:pt idx="121">
                  <c:v>1.0585015093093</c:v>
                </c:pt>
                <c:pt idx="122">
                  <c:v>1.0502298393994427</c:v>
                </c:pt>
                <c:pt idx="123">
                  <c:v>0.90046296665421621</c:v>
                </c:pt>
                <c:pt idx="124">
                  <c:v>0.97239175931172217</c:v>
                </c:pt>
                <c:pt idx="125">
                  <c:v>1.0551492529365492</c:v>
                </c:pt>
                <c:pt idx="126">
                  <c:v>1.2190434533051258</c:v>
                </c:pt>
                <c:pt idx="127">
                  <c:v>1.1828202191440795</c:v>
                </c:pt>
                <c:pt idx="128">
                  <c:v>1.1793008691274647</c:v>
                </c:pt>
                <c:pt idx="129">
                  <c:v>1.1185243787234629</c:v>
                </c:pt>
                <c:pt idx="130">
                  <c:v>1.1630480102281293</c:v>
                </c:pt>
                <c:pt idx="131">
                  <c:v>1.0311975553308994</c:v>
                </c:pt>
                <c:pt idx="132">
                  <c:v>1.0473972040848667</c:v>
                </c:pt>
                <c:pt idx="133">
                  <c:v>0.97292677773292779</c:v>
                </c:pt>
                <c:pt idx="134">
                  <c:v>1.236802668971875</c:v>
                </c:pt>
                <c:pt idx="135">
                  <c:v>1.2679522237668801</c:v>
                </c:pt>
                <c:pt idx="136">
                  <c:v>1.1963668437938626</c:v>
                </c:pt>
                <c:pt idx="137">
                  <c:v>1.1337985275650528</c:v>
                </c:pt>
                <c:pt idx="138">
                  <c:v>1.1602896893978911</c:v>
                </c:pt>
                <c:pt idx="139">
                  <c:v>1.1653899915448618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E1-40E9-AC80-EE30E38E7D1C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7.9909884470312803E-2</c:v>
                </c:pt>
                <c:pt idx="2">
                  <c:v>0.10678203196614666</c:v>
                </c:pt>
                <c:pt idx="3">
                  <c:v>4.8642036620187325E-2</c:v>
                </c:pt>
                <c:pt idx="4">
                  <c:v>0.17727668688622583</c:v>
                </c:pt>
                <c:pt idx="5">
                  <c:v>0.10902167055433404</c:v>
                </c:pt>
                <c:pt idx="6">
                  <c:v>0.20159410962972854</c:v>
                </c:pt>
                <c:pt idx="7">
                  <c:v>0.2033495215503239</c:v>
                </c:pt>
                <c:pt idx="8">
                  <c:v>0.26441316096122952</c:v>
                </c:pt>
                <c:pt idx="9">
                  <c:v>0.23246894721694991</c:v>
                </c:pt>
                <c:pt idx="10">
                  <c:v>0.2664398681780823</c:v>
                </c:pt>
                <c:pt idx="11">
                  <c:v>0.3974170894901769</c:v>
                </c:pt>
                <c:pt idx="12">
                  <c:v>0.45866973177047671</c:v>
                </c:pt>
                <c:pt idx="13">
                  <c:v>0.48005077384589767</c:v>
                </c:pt>
                <c:pt idx="14">
                  <c:v>0.55491679738988009</c:v>
                </c:pt>
                <c:pt idx="15">
                  <c:v>0.70639964601531002</c:v>
                </c:pt>
                <c:pt idx="16">
                  <c:v>0.71661143583021658</c:v>
                </c:pt>
                <c:pt idx="17">
                  <c:v>0.64415339847782005</c:v>
                </c:pt>
                <c:pt idx="18">
                  <c:v>0.5184615545103024</c:v>
                </c:pt>
                <c:pt idx="19">
                  <c:v>0.43162070624271737</c:v>
                </c:pt>
                <c:pt idx="20">
                  <c:v>0.35006830914449205</c:v>
                </c:pt>
                <c:pt idx="21">
                  <c:v>0.36620022101766547</c:v>
                </c:pt>
                <c:pt idx="22">
                  <c:v>0.2770218633569595</c:v>
                </c:pt>
                <c:pt idx="23">
                  <c:v>0.31896417416545891</c:v>
                </c:pt>
                <c:pt idx="24">
                  <c:v>0.41241418005762659</c:v>
                </c:pt>
                <c:pt idx="25">
                  <c:v>0.47950308472479652</c:v>
                </c:pt>
                <c:pt idx="26">
                  <c:v>0.50779260260316217</c:v>
                </c:pt>
                <c:pt idx="27">
                  <c:v>0.44637551203007814</c:v>
                </c:pt>
                <c:pt idx="28">
                  <c:v>0.44068560032861293</c:v>
                </c:pt>
                <c:pt idx="29">
                  <c:v>0.43087174321086724</c:v>
                </c:pt>
                <c:pt idx="30">
                  <c:v>0.37326886030129602</c:v>
                </c:pt>
                <c:pt idx="31">
                  <c:v>0.42698074331199487</c:v>
                </c:pt>
                <c:pt idx="32">
                  <c:v>0.46575698549449163</c:v>
                </c:pt>
                <c:pt idx="33">
                  <c:v>0.49251694313342664</c:v>
                </c:pt>
                <c:pt idx="34">
                  <c:v>0.49951474106053045</c:v>
                </c:pt>
                <c:pt idx="35">
                  <c:v>0.49508120771456693</c:v>
                </c:pt>
                <c:pt idx="36">
                  <c:v>0.50608988335031579</c:v>
                </c:pt>
                <c:pt idx="37">
                  <c:v>0.61968025057050147</c:v>
                </c:pt>
                <c:pt idx="38">
                  <c:v>0.64608766532805095</c:v>
                </c:pt>
                <c:pt idx="39">
                  <c:v>0.59371041171995842</c:v>
                </c:pt>
                <c:pt idx="40">
                  <c:v>0.59489256465885132</c:v>
                </c:pt>
                <c:pt idx="41">
                  <c:v>0.59984420245168968</c:v>
                </c:pt>
                <c:pt idx="42">
                  <c:v>0.59646491650120004</c:v>
                </c:pt>
                <c:pt idx="43">
                  <c:v>0.7610748099000495</c:v>
                </c:pt>
                <c:pt idx="44">
                  <c:v>0.77590966658317384</c:v>
                </c:pt>
                <c:pt idx="45">
                  <c:v>0.73654322350342016</c:v>
                </c:pt>
                <c:pt idx="46">
                  <c:v>0.81927308733171111</c:v>
                </c:pt>
                <c:pt idx="47">
                  <c:v>0.68472286261437398</c:v>
                </c:pt>
                <c:pt idx="48">
                  <c:v>0.67585181268740213</c:v>
                </c:pt>
                <c:pt idx="49">
                  <c:v>0.7253147618681266</c:v>
                </c:pt>
                <c:pt idx="50">
                  <c:v>0.73562061134516121</c:v>
                </c:pt>
                <c:pt idx="51">
                  <c:v>0.70811686461336909</c:v>
                </c:pt>
                <c:pt idx="52">
                  <c:v>0.73563461860849022</c:v>
                </c:pt>
                <c:pt idx="53">
                  <c:v>0.80137601903626132</c:v>
                </c:pt>
                <c:pt idx="54">
                  <c:v>0.77698159171374159</c:v>
                </c:pt>
                <c:pt idx="55">
                  <c:v>0.75866425087517997</c:v>
                </c:pt>
                <c:pt idx="56">
                  <c:v>0.81815433488603806</c:v>
                </c:pt>
                <c:pt idx="57">
                  <c:v>0.93036984226937391</c:v>
                </c:pt>
                <c:pt idx="58">
                  <c:v>0.9333833967248002</c:v>
                </c:pt>
                <c:pt idx="59">
                  <c:v>0.94167468716226321</c:v>
                </c:pt>
                <c:pt idx="60">
                  <c:v>1.0051212135895062</c:v>
                </c:pt>
                <c:pt idx="61">
                  <c:v>1.0361482489847154</c:v>
                </c:pt>
                <c:pt idx="62">
                  <c:v>0.98874761248427867</c:v>
                </c:pt>
                <c:pt idx="63">
                  <c:v>1.0652747607900961</c:v>
                </c:pt>
                <c:pt idx="64">
                  <c:v>1.0745274461063776</c:v>
                </c:pt>
                <c:pt idx="65">
                  <c:v>1.1499847120750259</c:v>
                </c:pt>
                <c:pt idx="66">
                  <c:v>1.1329166157085664</c:v>
                </c:pt>
                <c:pt idx="67">
                  <c:v>1.1946151371728457</c:v>
                </c:pt>
                <c:pt idx="68">
                  <c:v>1.1946956600381746</c:v>
                </c:pt>
                <c:pt idx="69">
                  <c:v>1.1582303975714918</c:v>
                </c:pt>
                <c:pt idx="70">
                  <c:v>1.0473145827308543</c:v>
                </c:pt>
                <c:pt idx="71">
                  <c:v>1.109576806518682</c:v>
                </c:pt>
                <c:pt idx="72">
                  <c:v>0.78648925640902312</c:v>
                </c:pt>
                <c:pt idx="73">
                  <c:v>0.8622787163848693</c:v>
                </c:pt>
                <c:pt idx="74">
                  <c:v>0.8065144372184061</c:v>
                </c:pt>
                <c:pt idx="75">
                  <c:v>0.94016812837772978</c:v>
                </c:pt>
                <c:pt idx="76">
                  <c:v>0.9532774489808693</c:v>
                </c:pt>
                <c:pt idx="77">
                  <c:v>1.0493773608604811</c:v>
                </c:pt>
                <c:pt idx="78">
                  <c:v>1.1151861585652005</c:v>
                </c:pt>
                <c:pt idx="79">
                  <c:v>1.1255272267769194</c:v>
                </c:pt>
                <c:pt idx="80">
                  <c:v>1.2084748820443911</c:v>
                </c:pt>
                <c:pt idx="81">
                  <c:v>1.2194148792462427</c:v>
                </c:pt>
                <c:pt idx="82">
                  <c:v>1.2582245078621932</c:v>
                </c:pt>
                <c:pt idx="83">
                  <c:v>1.3591648485572911</c:v>
                </c:pt>
                <c:pt idx="84">
                  <c:v>1.2420197055885143</c:v>
                </c:pt>
                <c:pt idx="85">
                  <c:v>1.1075050067722507</c:v>
                </c:pt>
                <c:pt idx="86">
                  <c:v>0.99867030683263747</c:v>
                </c:pt>
                <c:pt idx="87">
                  <c:v>0.9725451050003473</c:v>
                </c:pt>
                <c:pt idx="88">
                  <c:v>0.9766242876535014</c:v>
                </c:pt>
                <c:pt idx="89">
                  <c:v>0.9812251157933054</c:v>
                </c:pt>
                <c:pt idx="90">
                  <c:v>0.68883705597928369</c:v>
                </c:pt>
                <c:pt idx="91">
                  <c:v>0.74645305301872389</c:v>
                </c:pt>
                <c:pt idx="92">
                  <c:v>0.79553637236741093</c:v>
                </c:pt>
                <c:pt idx="93">
                  <c:v>0.7628811408921784</c:v>
                </c:pt>
                <c:pt idx="94">
                  <c:v>0.7025756851334356</c:v>
                </c:pt>
                <c:pt idx="95">
                  <c:v>0.69137943897027676</c:v>
                </c:pt>
                <c:pt idx="96">
                  <c:v>0.65868809115549987</c:v>
                </c:pt>
                <c:pt idx="97">
                  <c:v>0.55875474813941572</c:v>
                </c:pt>
                <c:pt idx="98">
                  <c:v>0.54499882227099372</c:v>
                </c:pt>
                <c:pt idx="99">
                  <c:v>0.65299511668680377</c:v>
                </c:pt>
                <c:pt idx="100">
                  <c:v>0.63897396476981561</c:v>
                </c:pt>
                <c:pt idx="101">
                  <c:v>0.85607001737139754</c:v>
                </c:pt>
                <c:pt idx="102">
                  <c:v>0.96728898314572653</c:v>
                </c:pt>
                <c:pt idx="103">
                  <c:v>1.0068963202084915</c:v>
                </c:pt>
                <c:pt idx="104">
                  <c:v>1.0745513451478397</c:v>
                </c:pt>
                <c:pt idx="105">
                  <c:v>0.96892826049921854</c:v>
                </c:pt>
                <c:pt idx="106">
                  <c:v>0.92998447437633314</c:v>
                </c:pt>
                <c:pt idx="107">
                  <c:v>1.0273257661223598</c:v>
                </c:pt>
                <c:pt idx="108">
                  <c:v>0.982155388068222</c:v>
                </c:pt>
                <c:pt idx="109">
                  <c:v>1.0215871172307451</c:v>
                </c:pt>
                <c:pt idx="110">
                  <c:v>1.0512987240552363</c:v>
                </c:pt>
                <c:pt idx="111">
                  <c:v>1.1132860864427221</c:v>
                </c:pt>
                <c:pt idx="112">
                  <c:v>1.0503527633558603</c:v>
                </c:pt>
                <c:pt idx="113">
                  <c:v>1.0569088319458761</c:v>
                </c:pt>
                <c:pt idx="114">
                  <c:v>1.1203000385832096</c:v>
                </c:pt>
                <c:pt idx="115">
                  <c:v>1.1381830169457203</c:v>
                </c:pt>
                <c:pt idx="116">
                  <c:v>0.92327547471103544</c:v>
                </c:pt>
                <c:pt idx="117">
                  <c:v>0.95944399169481109</c:v>
                </c:pt>
                <c:pt idx="118">
                  <c:v>0.88871324544675412</c:v>
                </c:pt>
                <c:pt idx="119">
                  <c:v>0.85891560714034598</c:v>
                </c:pt>
                <c:pt idx="120">
                  <c:v>0.75873645008340196</c:v>
                </c:pt>
                <c:pt idx="121">
                  <c:v>0.74981077171830512</c:v>
                </c:pt>
                <c:pt idx="122">
                  <c:v>0.7636053761716638</c:v>
                </c:pt>
                <c:pt idx="123">
                  <c:v>0.62155765079768965</c:v>
                </c:pt>
                <c:pt idx="124">
                  <c:v>0.68832299945781694</c:v>
                </c:pt>
                <c:pt idx="125">
                  <c:v>0.78131023723625004</c:v>
                </c:pt>
                <c:pt idx="126">
                  <c:v>0.9579094905223724</c:v>
                </c:pt>
                <c:pt idx="127">
                  <c:v>0.95120642733837502</c:v>
                </c:pt>
                <c:pt idx="128">
                  <c:v>0.90084988734433447</c:v>
                </c:pt>
                <c:pt idx="129">
                  <c:v>0.84008678508196266</c:v>
                </c:pt>
                <c:pt idx="130">
                  <c:v>0.88271743995944441</c:v>
                </c:pt>
                <c:pt idx="131">
                  <c:v>0.75764623116845209</c:v>
                </c:pt>
                <c:pt idx="132">
                  <c:v>0.7747977246037443</c:v>
                </c:pt>
                <c:pt idx="133">
                  <c:v>0.71849306467984042</c:v>
                </c:pt>
                <c:pt idx="134">
                  <c:v>1.0284410889296982</c:v>
                </c:pt>
                <c:pt idx="135">
                  <c:v>1.0678366659799474</c:v>
                </c:pt>
                <c:pt idx="136">
                  <c:v>1.0287279180042173</c:v>
                </c:pt>
                <c:pt idx="137">
                  <c:v>0.95951323701352742</c:v>
                </c:pt>
                <c:pt idx="138">
                  <c:v>0.98680799541186104</c:v>
                </c:pt>
                <c:pt idx="139">
                  <c:v>0.99579831239198879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E1-40E9-AC80-EE30E38E7D1C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4.4380933165702019E-2</c:v>
                </c:pt>
                <c:pt idx="2">
                  <c:v>7.843350577430741E-2</c:v>
                </c:pt>
                <c:pt idx="3">
                  <c:v>3.6161647661785951E-2</c:v>
                </c:pt>
                <c:pt idx="4">
                  <c:v>0.18107755286751845</c:v>
                </c:pt>
                <c:pt idx="5">
                  <c:v>0.12048025951902773</c:v>
                </c:pt>
                <c:pt idx="6">
                  <c:v>0.21067217029381921</c:v>
                </c:pt>
                <c:pt idx="7">
                  <c:v>0.21602208393180222</c:v>
                </c:pt>
                <c:pt idx="8">
                  <c:v>0.26014140353088833</c:v>
                </c:pt>
                <c:pt idx="9">
                  <c:v>0.22655495506003931</c:v>
                </c:pt>
                <c:pt idx="10">
                  <c:v>0.26488519538639688</c:v>
                </c:pt>
                <c:pt idx="11">
                  <c:v>0.39847018387419531</c:v>
                </c:pt>
                <c:pt idx="12">
                  <c:v>0.44709093263933625</c:v>
                </c:pt>
                <c:pt idx="13">
                  <c:v>0.47381100051672609</c:v>
                </c:pt>
                <c:pt idx="14">
                  <c:v>0.47993021601039609</c:v>
                </c:pt>
                <c:pt idx="15">
                  <c:v>0.65221874662136226</c:v>
                </c:pt>
                <c:pt idx="16">
                  <c:v>0.67200166698666741</c:v>
                </c:pt>
                <c:pt idx="17">
                  <c:v>0.61850306288801948</c:v>
                </c:pt>
                <c:pt idx="18">
                  <c:v>0.4616379431095452</c:v>
                </c:pt>
                <c:pt idx="19">
                  <c:v>0.3586071240166599</c:v>
                </c:pt>
                <c:pt idx="20">
                  <c:v>0.29317923849098571</c:v>
                </c:pt>
                <c:pt idx="21">
                  <c:v>0.29794772008827242</c:v>
                </c:pt>
                <c:pt idx="22">
                  <c:v>0.20221821900548959</c:v>
                </c:pt>
                <c:pt idx="23">
                  <c:v>0.25496431906230671</c:v>
                </c:pt>
                <c:pt idx="24">
                  <c:v>0.34511782218507325</c:v>
                </c:pt>
                <c:pt idx="25">
                  <c:v>0.40416261990190111</c:v>
                </c:pt>
                <c:pt idx="26">
                  <c:v>0.41407851071122315</c:v>
                </c:pt>
                <c:pt idx="27">
                  <c:v>0.34216735905586843</c:v>
                </c:pt>
                <c:pt idx="28">
                  <c:v>0.30379255651600984</c:v>
                </c:pt>
                <c:pt idx="29">
                  <c:v>0.29315760161181426</c:v>
                </c:pt>
                <c:pt idx="30">
                  <c:v>0.24213057643092234</c:v>
                </c:pt>
                <c:pt idx="31">
                  <c:v>0.27011726416779114</c:v>
                </c:pt>
                <c:pt idx="32">
                  <c:v>0.30707325300889771</c:v>
                </c:pt>
                <c:pt idx="33">
                  <c:v>0.34688445353287567</c:v>
                </c:pt>
                <c:pt idx="34">
                  <c:v>0.39043478285672895</c:v>
                </c:pt>
                <c:pt idx="35">
                  <c:v>0.38898509883436805</c:v>
                </c:pt>
                <c:pt idx="36">
                  <c:v>0.40475220904201803</c:v>
                </c:pt>
                <c:pt idx="37">
                  <c:v>0.52417679292468411</c:v>
                </c:pt>
                <c:pt idx="38">
                  <c:v>0.55246139219589296</c:v>
                </c:pt>
                <c:pt idx="39">
                  <c:v>0.4970955575780816</c:v>
                </c:pt>
                <c:pt idx="40">
                  <c:v>0.48567326760157659</c:v>
                </c:pt>
                <c:pt idx="41">
                  <c:v>0.50299861297659421</c:v>
                </c:pt>
                <c:pt idx="42">
                  <c:v>0.48651975115594098</c:v>
                </c:pt>
                <c:pt idx="43">
                  <c:v>0.67069463260193996</c:v>
                </c:pt>
                <c:pt idx="44">
                  <c:v>0.69266692326866985</c:v>
                </c:pt>
                <c:pt idx="45">
                  <c:v>0.655439846487613</c:v>
                </c:pt>
                <c:pt idx="46">
                  <c:v>0.74532351959940135</c:v>
                </c:pt>
                <c:pt idx="47">
                  <c:v>0.5855131323405931</c:v>
                </c:pt>
                <c:pt idx="48">
                  <c:v>0.59742076051093718</c:v>
                </c:pt>
                <c:pt idx="49">
                  <c:v>0.65464005962001504</c:v>
                </c:pt>
                <c:pt idx="50">
                  <c:v>0.66474341933958003</c:v>
                </c:pt>
                <c:pt idx="51">
                  <c:v>0.63711000449495148</c:v>
                </c:pt>
                <c:pt idx="52">
                  <c:v>0.66595020424565243</c:v>
                </c:pt>
                <c:pt idx="53">
                  <c:v>0.72803595378139485</c:v>
                </c:pt>
                <c:pt idx="54">
                  <c:v>0.69983319479640893</c:v>
                </c:pt>
                <c:pt idx="55">
                  <c:v>0.68681405456373634</c:v>
                </c:pt>
                <c:pt idx="56">
                  <c:v>0.74274933310440738</c:v>
                </c:pt>
                <c:pt idx="57">
                  <c:v>0.83088142614565275</c:v>
                </c:pt>
                <c:pt idx="58">
                  <c:v>0.84491325150295848</c:v>
                </c:pt>
                <c:pt idx="59">
                  <c:v>0.85695932435473898</c:v>
                </c:pt>
                <c:pt idx="60">
                  <c:v>0.87892337430779754</c:v>
                </c:pt>
                <c:pt idx="61">
                  <c:v>0.91116652779450558</c:v>
                </c:pt>
                <c:pt idx="62">
                  <c:v>0.83129977850124381</c:v>
                </c:pt>
                <c:pt idx="63">
                  <c:v>0.89372521311697106</c:v>
                </c:pt>
                <c:pt idx="64">
                  <c:v>0.90539961197407259</c:v>
                </c:pt>
                <c:pt idx="65">
                  <c:v>0.98281820956059662</c:v>
                </c:pt>
                <c:pt idx="66">
                  <c:v>0.97979280254796641</c:v>
                </c:pt>
                <c:pt idx="67">
                  <c:v>1.0271373876725969</c:v>
                </c:pt>
                <c:pt idx="68">
                  <c:v>1.0189275035161576</c:v>
                </c:pt>
                <c:pt idx="69">
                  <c:v>0.98093508165434951</c:v>
                </c:pt>
                <c:pt idx="70">
                  <c:v>0.86463658046871827</c:v>
                </c:pt>
                <c:pt idx="71">
                  <c:v>0.92366772017034837</c:v>
                </c:pt>
                <c:pt idx="72">
                  <c:v>0.56879988913232327</c:v>
                </c:pt>
                <c:pt idx="73">
                  <c:v>0.66209423389476318</c:v>
                </c:pt>
                <c:pt idx="74">
                  <c:v>0.58142266013257293</c:v>
                </c:pt>
                <c:pt idx="75">
                  <c:v>0.72840504695059383</c:v>
                </c:pt>
                <c:pt idx="76">
                  <c:v>0.75171678318225099</c:v>
                </c:pt>
                <c:pt idx="77">
                  <c:v>0.86561425297458738</c:v>
                </c:pt>
                <c:pt idx="78">
                  <c:v>0.9626154922730078</c:v>
                </c:pt>
                <c:pt idx="79">
                  <c:v>0.96374639745569757</c:v>
                </c:pt>
                <c:pt idx="80">
                  <c:v>1.0558719661052345</c:v>
                </c:pt>
                <c:pt idx="81">
                  <c:v>1.0697888006802345</c:v>
                </c:pt>
                <c:pt idx="82">
                  <c:v>1.1253587982904025</c:v>
                </c:pt>
                <c:pt idx="83">
                  <c:v>1.2131030453959473</c:v>
                </c:pt>
                <c:pt idx="84">
                  <c:v>1.0982975054464661</c:v>
                </c:pt>
                <c:pt idx="85">
                  <c:v>0.93436670036598191</c:v>
                </c:pt>
                <c:pt idx="86">
                  <c:v>0.80913662319575885</c:v>
                </c:pt>
                <c:pt idx="87">
                  <c:v>0.7770648852213925</c:v>
                </c:pt>
                <c:pt idx="88">
                  <c:v>0.78119459338783437</c:v>
                </c:pt>
                <c:pt idx="89">
                  <c:v>0.78714452132610402</c:v>
                </c:pt>
                <c:pt idx="90">
                  <c:v>0.4728818264498148</c:v>
                </c:pt>
                <c:pt idx="91">
                  <c:v>0.55550265320661318</c:v>
                </c:pt>
                <c:pt idx="92">
                  <c:v>0.61284082322119615</c:v>
                </c:pt>
                <c:pt idx="93">
                  <c:v>0.6058278293965168</c:v>
                </c:pt>
                <c:pt idx="94">
                  <c:v>0.55641013085073587</c:v>
                </c:pt>
                <c:pt idx="95">
                  <c:v>0.57651239216333439</c:v>
                </c:pt>
                <c:pt idx="96">
                  <c:v>0.53411088822442909</c:v>
                </c:pt>
                <c:pt idx="97">
                  <c:v>0.42197651980381312</c:v>
                </c:pt>
                <c:pt idx="98">
                  <c:v>0.40916912664692395</c:v>
                </c:pt>
                <c:pt idx="99">
                  <c:v>0.52736398159594811</c:v>
                </c:pt>
                <c:pt idx="100">
                  <c:v>0.51156196995415992</c:v>
                </c:pt>
                <c:pt idx="101">
                  <c:v>0.74904874226474849</c:v>
                </c:pt>
                <c:pt idx="102">
                  <c:v>0.87866271800929341</c:v>
                </c:pt>
                <c:pt idx="103">
                  <c:v>0.90786170993608717</c:v>
                </c:pt>
                <c:pt idx="104">
                  <c:v>0.98481198670064907</c:v>
                </c:pt>
                <c:pt idx="105">
                  <c:v>0.88037607696015485</c:v>
                </c:pt>
                <c:pt idx="106">
                  <c:v>0.84387913010106985</c:v>
                </c:pt>
                <c:pt idx="107">
                  <c:v>0.9606729742158524</c:v>
                </c:pt>
                <c:pt idx="108">
                  <c:v>0.92032170122610701</c:v>
                </c:pt>
                <c:pt idx="109">
                  <c:v>0.96772178336847792</c:v>
                </c:pt>
                <c:pt idx="110">
                  <c:v>1.0155810146714217</c:v>
                </c:pt>
                <c:pt idx="111">
                  <c:v>1.0410528251507465</c:v>
                </c:pt>
                <c:pt idx="112">
                  <c:v>0.97575802082881768</c:v>
                </c:pt>
                <c:pt idx="113">
                  <c:v>0.97542831739265745</c:v>
                </c:pt>
                <c:pt idx="114">
                  <c:v>1.0510270830116306</c:v>
                </c:pt>
                <c:pt idx="115">
                  <c:v>1.0793138322313365</c:v>
                </c:pt>
                <c:pt idx="116">
                  <c:v>0.82821838561751604</c:v>
                </c:pt>
                <c:pt idx="117">
                  <c:v>0.8668257974826743</c:v>
                </c:pt>
                <c:pt idx="118">
                  <c:v>0.78777108893018821</c:v>
                </c:pt>
                <c:pt idx="119">
                  <c:v>0.77685462972326669</c:v>
                </c:pt>
                <c:pt idx="120">
                  <c:v>0.66836125783349454</c:v>
                </c:pt>
                <c:pt idx="121">
                  <c:v>0.66428800443880709</c:v>
                </c:pt>
                <c:pt idx="122">
                  <c:v>0.67040744280015296</c:v>
                </c:pt>
                <c:pt idx="123">
                  <c:v>0.51804658735242382</c:v>
                </c:pt>
                <c:pt idx="124">
                  <c:v>0.59332114738127306</c:v>
                </c:pt>
                <c:pt idx="125">
                  <c:v>0.68916186739811103</c:v>
                </c:pt>
                <c:pt idx="126">
                  <c:v>0.90427037178287606</c:v>
                </c:pt>
                <c:pt idx="127">
                  <c:v>0.88501465949312486</c:v>
                </c:pt>
                <c:pt idx="128">
                  <c:v>0.83566117914563054</c:v>
                </c:pt>
                <c:pt idx="129">
                  <c:v>0.76103136871019461</c:v>
                </c:pt>
                <c:pt idx="130">
                  <c:v>0.80209333371888125</c:v>
                </c:pt>
                <c:pt idx="131">
                  <c:v>0.66218360694312606</c:v>
                </c:pt>
                <c:pt idx="132">
                  <c:v>0.67494264305639096</c:v>
                </c:pt>
                <c:pt idx="133">
                  <c:v>0.60786052855066464</c:v>
                </c:pt>
                <c:pt idx="134">
                  <c:v>0.93939634195942157</c:v>
                </c:pt>
                <c:pt idx="135">
                  <c:v>0.98475465852307131</c:v>
                </c:pt>
                <c:pt idx="136">
                  <c:v>0.93916996431459199</c:v>
                </c:pt>
                <c:pt idx="137">
                  <c:v>0.87552411725878732</c:v>
                </c:pt>
                <c:pt idx="138">
                  <c:v>0.91525010451892319</c:v>
                </c:pt>
                <c:pt idx="139">
                  <c:v>0.92700269373441413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E1-40E9-AC80-EE30E38E7D1C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0.13226923817620007</c:v>
                </c:pt>
                <c:pt idx="2">
                  <c:v>0.16937461194154751</c:v>
                </c:pt>
                <c:pt idx="3">
                  <c:v>0.18588259826956657</c:v>
                </c:pt>
                <c:pt idx="4">
                  <c:v>0.3330739054403945</c:v>
                </c:pt>
                <c:pt idx="5">
                  <c:v>0.30029795472909715</c:v>
                </c:pt>
                <c:pt idx="6">
                  <c:v>0.38575791658227182</c:v>
                </c:pt>
                <c:pt idx="7">
                  <c:v>0.39520570030704805</c:v>
                </c:pt>
                <c:pt idx="8">
                  <c:v>0.43765135637711494</c:v>
                </c:pt>
                <c:pt idx="9">
                  <c:v>0.42960326385102576</c:v>
                </c:pt>
                <c:pt idx="10">
                  <c:v>0.48971198888472256</c:v>
                </c:pt>
                <c:pt idx="11">
                  <c:v>0.6320256305435985</c:v>
                </c:pt>
                <c:pt idx="12">
                  <c:v>0.69711550717998072</c:v>
                </c:pt>
                <c:pt idx="13">
                  <c:v>0.73082783397344464</c:v>
                </c:pt>
                <c:pt idx="14">
                  <c:v>0.74185380170043436</c:v>
                </c:pt>
                <c:pt idx="15">
                  <c:v>0.85980387941776582</c:v>
                </c:pt>
                <c:pt idx="16">
                  <c:v>0.88000590648664268</c:v>
                </c:pt>
                <c:pt idx="17">
                  <c:v>0.86025043372803445</c:v>
                </c:pt>
                <c:pt idx="18">
                  <c:v>0.72658870267164044</c:v>
                </c:pt>
                <c:pt idx="19">
                  <c:v>0.6416462166321858</c:v>
                </c:pt>
                <c:pt idx="20">
                  <c:v>0.58120691515059841</c:v>
                </c:pt>
                <c:pt idx="21">
                  <c:v>0.60662648089464521</c:v>
                </c:pt>
                <c:pt idx="22">
                  <c:v>0.51639671210886029</c:v>
                </c:pt>
                <c:pt idx="23">
                  <c:v>0.56287399037293795</c:v>
                </c:pt>
                <c:pt idx="24">
                  <c:v>0.66070150207333711</c:v>
                </c:pt>
                <c:pt idx="25">
                  <c:v>0.72929468833493738</c:v>
                </c:pt>
                <c:pt idx="26">
                  <c:v>0.75656835942940015</c:v>
                </c:pt>
                <c:pt idx="27">
                  <c:v>0.67997258655488357</c:v>
                </c:pt>
                <c:pt idx="28">
                  <c:v>0.64131611359011942</c:v>
                </c:pt>
                <c:pt idx="29">
                  <c:v>0.6390474312660932</c:v>
                </c:pt>
                <c:pt idx="30">
                  <c:v>0.61400980638001812</c:v>
                </c:pt>
                <c:pt idx="31">
                  <c:v>0.64580612645000202</c:v>
                </c:pt>
                <c:pt idx="32">
                  <c:v>0.69365491059146811</c:v>
                </c:pt>
                <c:pt idx="33">
                  <c:v>0.74828518687381773</c:v>
                </c:pt>
                <c:pt idx="34">
                  <c:v>0.7636663260256491</c:v>
                </c:pt>
                <c:pt idx="35">
                  <c:v>0.76112566726255282</c:v>
                </c:pt>
                <c:pt idx="36">
                  <c:v>0.79464449843534091</c:v>
                </c:pt>
                <c:pt idx="37">
                  <c:v>0.92981149178660161</c:v>
                </c:pt>
                <c:pt idx="38">
                  <c:v>0.93497721423190849</c:v>
                </c:pt>
                <c:pt idx="39">
                  <c:v>0.87168583373320352</c:v>
                </c:pt>
                <c:pt idx="40">
                  <c:v>0.92388411232296419</c:v>
                </c:pt>
                <c:pt idx="41">
                  <c:v>0.93931970521491615</c:v>
                </c:pt>
                <c:pt idx="42">
                  <c:v>0.87475984466707868</c:v>
                </c:pt>
                <c:pt idx="43">
                  <c:v>1.0570267126828656</c:v>
                </c:pt>
                <c:pt idx="44">
                  <c:v>1.0783897006012684</c:v>
                </c:pt>
                <c:pt idx="45">
                  <c:v>1.0499910741640162</c:v>
                </c:pt>
                <c:pt idx="46">
                  <c:v>1.1395240453031086</c:v>
                </c:pt>
                <c:pt idx="47">
                  <c:v>0.97321217853541842</c:v>
                </c:pt>
                <c:pt idx="48">
                  <c:v>0.98452027416882992</c:v>
                </c:pt>
                <c:pt idx="49">
                  <c:v>1.0394902610138661</c:v>
                </c:pt>
                <c:pt idx="50">
                  <c:v>1.0497716633061249</c:v>
                </c:pt>
                <c:pt idx="51">
                  <c:v>1.0249299627231685</c:v>
                </c:pt>
                <c:pt idx="52">
                  <c:v>1.0627318163477759</c:v>
                </c:pt>
                <c:pt idx="53">
                  <c:v>1.1022178991829799</c:v>
                </c:pt>
                <c:pt idx="54">
                  <c:v>1.0895454269623757</c:v>
                </c:pt>
                <c:pt idx="55">
                  <c:v>1.0746506507120697</c:v>
                </c:pt>
                <c:pt idx="56">
                  <c:v>1.1491914137790804</c:v>
                </c:pt>
                <c:pt idx="57">
                  <c:v>1.2260641820595728</c:v>
                </c:pt>
                <c:pt idx="58">
                  <c:v>1.2194054298941064</c:v>
                </c:pt>
                <c:pt idx="59">
                  <c:v>1.2599609748251688</c:v>
                </c:pt>
                <c:pt idx="60">
                  <c:v>1.2772686055928879</c:v>
                </c:pt>
                <c:pt idx="61">
                  <c:v>1.3111721322251226</c:v>
                </c:pt>
                <c:pt idx="62">
                  <c:v>1.2158607729551592</c:v>
                </c:pt>
                <c:pt idx="63">
                  <c:v>1.2366695965984653</c:v>
                </c:pt>
                <c:pt idx="64">
                  <c:v>1.2519554313002641</c:v>
                </c:pt>
                <c:pt idx="65">
                  <c:v>1.3929032673731203</c:v>
                </c:pt>
                <c:pt idx="66">
                  <c:v>1.3926241203306822</c:v>
                </c:pt>
                <c:pt idx="67">
                  <c:v>1.4678324026925933</c:v>
                </c:pt>
                <c:pt idx="68">
                  <c:v>1.4532421547354364</c:v>
                </c:pt>
                <c:pt idx="69">
                  <c:v>1.3878980313828848</c:v>
                </c:pt>
                <c:pt idx="70">
                  <c:v>1.2969370093617638</c:v>
                </c:pt>
                <c:pt idx="71">
                  <c:v>1.3598609838824764</c:v>
                </c:pt>
                <c:pt idx="72">
                  <c:v>0.95318601406158276</c:v>
                </c:pt>
                <c:pt idx="73">
                  <c:v>1.0601304874701509</c:v>
                </c:pt>
                <c:pt idx="74">
                  <c:v>0.9382292941301803</c:v>
                </c:pt>
                <c:pt idx="75">
                  <c:v>1.091497499179271</c:v>
                </c:pt>
                <c:pt idx="76">
                  <c:v>1.1375954083005198</c:v>
                </c:pt>
                <c:pt idx="77">
                  <c:v>1.22437949976078</c:v>
                </c:pt>
                <c:pt idx="78">
                  <c:v>1.2877738501003917</c:v>
                </c:pt>
                <c:pt idx="79">
                  <c:v>1.287637171263996</c:v>
                </c:pt>
                <c:pt idx="80">
                  <c:v>1.3822752937215588</c:v>
                </c:pt>
                <c:pt idx="81">
                  <c:v>1.3870753214280176</c:v>
                </c:pt>
                <c:pt idx="82">
                  <c:v>1.4657214994606111</c:v>
                </c:pt>
                <c:pt idx="83">
                  <c:v>1.498360729132127</c:v>
                </c:pt>
                <c:pt idx="84">
                  <c:v>1.3622880114253513</c:v>
                </c:pt>
                <c:pt idx="85">
                  <c:v>1.215980483401397</c:v>
                </c:pt>
                <c:pt idx="86">
                  <c:v>1.11204370400351</c:v>
                </c:pt>
                <c:pt idx="87">
                  <c:v>1.0385860424063229</c:v>
                </c:pt>
                <c:pt idx="88">
                  <c:v>1.0538788063143196</c:v>
                </c:pt>
                <c:pt idx="89">
                  <c:v>1.0725146777465353</c:v>
                </c:pt>
                <c:pt idx="90">
                  <c:v>0.73043215415251472</c:v>
                </c:pt>
                <c:pt idx="91">
                  <c:v>0.82451482351816219</c:v>
                </c:pt>
                <c:pt idx="92">
                  <c:v>0.90073819689831791</c:v>
                </c:pt>
                <c:pt idx="93">
                  <c:v>0.89674048071645374</c:v>
                </c:pt>
                <c:pt idx="94">
                  <c:v>0.87947564559339664</c:v>
                </c:pt>
                <c:pt idx="95">
                  <c:v>0.89619794655563467</c:v>
                </c:pt>
                <c:pt idx="96">
                  <c:v>0.84678340384747919</c:v>
                </c:pt>
                <c:pt idx="97">
                  <c:v>0.75759895830531532</c:v>
                </c:pt>
                <c:pt idx="98">
                  <c:v>0.77845159144410514</c:v>
                </c:pt>
                <c:pt idx="99">
                  <c:v>0.91041093178683707</c:v>
                </c:pt>
                <c:pt idx="100">
                  <c:v>0.89906392595635176</c:v>
                </c:pt>
                <c:pt idx="101">
                  <c:v>1.1435794013577518</c:v>
                </c:pt>
                <c:pt idx="102">
                  <c:v>1.2833037439142414</c:v>
                </c:pt>
                <c:pt idx="103">
                  <c:v>1.332439246729568</c:v>
                </c:pt>
                <c:pt idx="104">
                  <c:v>1.4177180821103623</c:v>
                </c:pt>
                <c:pt idx="105">
                  <c:v>1.2984640546058039</c:v>
                </c:pt>
                <c:pt idx="106">
                  <c:v>1.2594433648550063</c:v>
                </c:pt>
                <c:pt idx="107">
                  <c:v>1.3786012702731782</c:v>
                </c:pt>
                <c:pt idx="108">
                  <c:v>1.3442460135482965</c:v>
                </c:pt>
                <c:pt idx="109">
                  <c:v>1.3960868645540714</c:v>
                </c:pt>
                <c:pt idx="110">
                  <c:v>1.4480174889155992</c:v>
                </c:pt>
                <c:pt idx="111">
                  <c:v>1.489118765389849</c:v>
                </c:pt>
                <c:pt idx="112">
                  <c:v>1.4169299857296922</c:v>
                </c:pt>
                <c:pt idx="113">
                  <c:v>1.4187729822923347</c:v>
                </c:pt>
                <c:pt idx="114">
                  <c:v>1.4492091586462392</c:v>
                </c:pt>
                <c:pt idx="115">
                  <c:v>1.4903931983353289</c:v>
                </c:pt>
                <c:pt idx="116">
                  <c:v>1.2200771606072949</c:v>
                </c:pt>
                <c:pt idx="117">
                  <c:v>1.2566206677613507</c:v>
                </c:pt>
                <c:pt idx="118">
                  <c:v>1.1835167101986679</c:v>
                </c:pt>
                <c:pt idx="119">
                  <c:v>1.1641542511373371</c:v>
                </c:pt>
                <c:pt idx="120">
                  <c:v>1.044349138579459</c:v>
                </c:pt>
                <c:pt idx="121">
                  <c:v>1.0405924674008968</c:v>
                </c:pt>
                <c:pt idx="122">
                  <c:v>1.0469889817623463</c:v>
                </c:pt>
                <c:pt idx="123">
                  <c:v>0.88772190869513568</c:v>
                </c:pt>
                <c:pt idx="124">
                  <c:v>0.89786643698474611</c:v>
                </c:pt>
                <c:pt idx="125">
                  <c:v>0.98792375185964143</c:v>
                </c:pt>
                <c:pt idx="126">
                  <c:v>1.2337222362030704</c:v>
                </c:pt>
                <c:pt idx="127">
                  <c:v>1.2295039826657883</c:v>
                </c:pt>
                <c:pt idx="128">
                  <c:v>1.1839640124534294</c:v>
                </c:pt>
                <c:pt idx="129">
                  <c:v>1.1016642859640373</c:v>
                </c:pt>
                <c:pt idx="130">
                  <c:v>1.1396550629560414</c:v>
                </c:pt>
                <c:pt idx="131">
                  <c:v>1.0087660586838723</c:v>
                </c:pt>
                <c:pt idx="132">
                  <c:v>1.0297201996762493</c:v>
                </c:pt>
                <c:pt idx="133">
                  <c:v>0.96039005521308685</c:v>
                </c:pt>
                <c:pt idx="134">
                  <c:v>1.356563046164216</c:v>
                </c:pt>
                <c:pt idx="135">
                  <c:v>1.3721665523805304</c:v>
                </c:pt>
                <c:pt idx="136">
                  <c:v>1.3235178434891852</c:v>
                </c:pt>
                <c:pt idx="137">
                  <c:v>1.2586498297882156</c:v>
                </c:pt>
                <c:pt idx="138">
                  <c:v>1.357727372792541</c:v>
                </c:pt>
                <c:pt idx="139">
                  <c:v>1.3553394942443964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E1-40E9-AC80-EE30E38E7D1C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0.10786986591904861</c:v>
                </c:pt>
                <c:pt idx="2">
                  <c:v>0.17213165303278094</c:v>
                </c:pt>
                <c:pt idx="3">
                  <c:v>0.22314691148011878</c:v>
                </c:pt>
                <c:pt idx="4">
                  <c:v>0.3400398006591045</c:v>
                </c:pt>
                <c:pt idx="5">
                  <c:v>0.29710944372221981</c:v>
                </c:pt>
                <c:pt idx="6">
                  <c:v>0.39712166065914412</c:v>
                </c:pt>
                <c:pt idx="7">
                  <c:v>0.41045307147632848</c:v>
                </c:pt>
                <c:pt idx="8">
                  <c:v>0.46349997028924617</c:v>
                </c:pt>
                <c:pt idx="9">
                  <c:v>0.4134915164960567</c:v>
                </c:pt>
                <c:pt idx="10">
                  <c:v>0.47255772933072193</c:v>
                </c:pt>
                <c:pt idx="11">
                  <c:v>0.60901723919909023</c:v>
                </c:pt>
                <c:pt idx="12">
                  <c:v>0.67031157707117928</c:v>
                </c:pt>
                <c:pt idx="13">
                  <c:v>0.71970660955935606</c:v>
                </c:pt>
                <c:pt idx="14">
                  <c:v>0.73564252218898374</c:v>
                </c:pt>
                <c:pt idx="15">
                  <c:v>0.87785195520027137</c:v>
                </c:pt>
                <c:pt idx="16">
                  <c:v>0.89645505434806683</c:v>
                </c:pt>
                <c:pt idx="17">
                  <c:v>0.86199802251227819</c:v>
                </c:pt>
                <c:pt idx="18">
                  <c:v>0.70507159123871477</c:v>
                </c:pt>
                <c:pt idx="19">
                  <c:v>0.60250491675581863</c:v>
                </c:pt>
                <c:pt idx="20">
                  <c:v>0.65604044572077214</c:v>
                </c:pt>
                <c:pt idx="21">
                  <c:v>0.69219744194763078</c:v>
                </c:pt>
                <c:pt idx="22">
                  <c:v>0.66941794317161385</c:v>
                </c:pt>
                <c:pt idx="23">
                  <c:v>0.73300236790735862</c:v>
                </c:pt>
                <c:pt idx="24">
                  <c:v>0.84225053975172537</c:v>
                </c:pt>
                <c:pt idx="25">
                  <c:v>0.91084768452306208</c:v>
                </c:pt>
                <c:pt idx="26">
                  <c:v>0.90394683448127111</c:v>
                </c:pt>
                <c:pt idx="27">
                  <c:v>0.81651473386883378</c:v>
                </c:pt>
                <c:pt idx="28">
                  <c:v>0.77823981230318839</c:v>
                </c:pt>
                <c:pt idx="29">
                  <c:v>0.75530578744710675</c:v>
                </c:pt>
                <c:pt idx="30">
                  <c:v>0.70011125984722189</c:v>
                </c:pt>
                <c:pt idx="31">
                  <c:v>0.69268100111321373</c:v>
                </c:pt>
                <c:pt idx="32">
                  <c:v>0.73357876033515834</c:v>
                </c:pt>
                <c:pt idx="33">
                  <c:v>0.68282245319987755</c:v>
                </c:pt>
                <c:pt idx="34">
                  <c:v>0.66829288007640419</c:v>
                </c:pt>
                <c:pt idx="35">
                  <c:v>0.68433178158030372</c:v>
                </c:pt>
                <c:pt idx="36">
                  <c:v>0.70117632980299749</c:v>
                </c:pt>
                <c:pt idx="37">
                  <c:v>0.83350056777335568</c:v>
                </c:pt>
                <c:pt idx="38">
                  <c:v>0.82507182016002967</c:v>
                </c:pt>
                <c:pt idx="39">
                  <c:v>0.74726169217607918</c:v>
                </c:pt>
                <c:pt idx="40">
                  <c:v>0.80765421002912696</c:v>
                </c:pt>
                <c:pt idx="41">
                  <c:v>0.76408854017738936</c:v>
                </c:pt>
                <c:pt idx="42">
                  <c:v>0.68164760943920921</c:v>
                </c:pt>
                <c:pt idx="43">
                  <c:v>0.88794945282426319</c:v>
                </c:pt>
                <c:pt idx="44">
                  <c:v>0.89937764461669178</c:v>
                </c:pt>
                <c:pt idx="45">
                  <c:v>0.8631894005964561</c:v>
                </c:pt>
                <c:pt idx="46">
                  <c:v>0.89777371080933432</c:v>
                </c:pt>
                <c:pt idx="47">
                  <c:v>0.72961873554225565</c:v>
                </c:pt>
                <c:pt idx="48">
                  <c:v>0.79503657099948755</c:v>
                </c:pt>
                <c:pt idx="49">
                  <c:v>0.84598560991432847</c:v>
                </c:pt>
                <c:pt idx="50">
                  <c:v>0.8691356283521372</c:v>
                </c:pt>
                <c:pt idx="51">
                  <c:v>0.83231989320816835</c:v>
                </c:pt>
                <c:pt idx="52">
                  <c:v>0.88195834968062436</c:v>
                </c:pt>
                <c:pt idx="53">
                  <c:v>0.90373895001896098</c:v>
                </c:pt>
                <c:pt idx="54">
                  <c:v>0.90479965656082884</c:v>
                </c:pt>
                <c:pt idx="55">
                  <c:v>0.8742721925125807</c:v>
                </c:pt>
                <c:pt idx="56">
                  <c:v>0.93274098975124753</c:v>
                </c:pt>
                <c:pt idx="57">
                  <c:v>1.0058803597764832</c:v>
                </c:pt>
                <c:pt idx="58">
                  <c:v>1.0521627776526801</c:v>
                </c:pt>
                <c:pt idx="59">
                  <c:v>1.0950793517385518</c:v>
                </c:pt>
                <c:pt idx="60">
                  <c:v>1.1102460004596642</c:v>
                </c:pt>
                <c:pt idx="61">
                  <c:v>1.1447088639517513</c:v>
                </c:pt>
                <c:pt idx="62">
                  <c:v>1.0345594545282824</c:v>
                </c:pt>
                <c:pt idx="63">
                  <c:v>1.0772461429017903</c:v>
                </c:pt>
                <c:pt idx="64">
                  <c:v>1.0628566867093248</c:v>
                </c:pt>
                <c:pt idx="65">
                  <c:v>1.226531225212705</c:v>
                </c:pt>
                <c:pt idx="66">
                  <c:v>1.2225156800801709</c:v>
                </c:pt>
                <c:pt idx="67">
                  <c:v>1.3190177518620296</c:v>
                </c:pt>
                <c:pt idx="68">
                  <c:v>1.293450632076369</c:v>
                </c:pt>
                <c:pt idx="69">
                  <c:v>1.2408604464169732</c:v>
                </c:pt>
                <c:pt idx="70">
                  <c:v>1.1342557762095375</c:v>
                </c:pt>
                <c:pt idx="71">
                  <c:v>1.1715005905885092</c:v>
                </c:pt>
                <c:pt idx="72">
                  <c:v>0.68292444615401027</c:v>
                </c:pt>
                <c:pt idx="73">
                  <c:v>0.81959256323382323</c:v>
                </c:pt>
                <c:pt idx="74">
                  <c:v>0.69317068884914057</c:v>
                </c:pt>
                <c:pt idx="75">
                  <c:v>0.86028204624735216</c:v>
                </c:pt>
                <c:pt idx="76">
                  <c:v>0.89422034493051517</c:v>
                </c:pt>
                <c:pt idx="77">
                  <c:v>0.96870485660789396</c:v>
                </c:pt>
                <c:pt idx="78">
                  <c:v>0.96426145563749854</c:v>
                </c:pt>
                <c:pt idx="79">
                  <c:v>0.95646980093901524</c:v>
                </c:pt>
                <c:pt idx="80">
                  <c:v>1.0588581896951159</c:v>
                </c:pt>
                <c:pt idx="81">
                  <c:v>1.059523384146885</c:v>
                </c:pt>
                <c:pt idx="82">
                  <c:v>1.1270357628864216</c:v>
                </c:pt>
                <c:pt idx="83">
                  <c:v>1.1079695272725685</c:v>
                </c:pt>
                <c:pt idx="84">
                  <c:v>0.95977663605680619</c:v>
                </c:pt>
                <c:pt idx="85">
                  <c:v>0.78692037999000741</c:v>
                </c:pt>
                <c:pt idx="86">
                  <c:v>0.62863491242210745</c:v>
                </c:pt>
                <c:pt idx="87">
                  <c:v>0.47606045829208521</c:v>
                </c:pt>
                <c:pt idx="88">
                  <c:v>0.49718567286908522</c:v>
                </c:pt>
                <c:pt idx="89">
                  <c:v>0.52720845071378786</c:v>
                </c:pt>
                <c:pt idx="90">
                  <c:v>0.15835651296244435</c:v>
                </c:pt>
                <c:pt idx="91">
                  <c:v>0.20638789758073481</c:v>
                </c:pt>
                <c:pt idx="92">
                  <c:v>0.30929047550350403</c:v>
                </c:pt>
                <c:pt idx="93">
                  <c:v>0.33586248370324334</c:v>
                </c:pt>
                <c:pt idx="94">
                  <c:v>0.31352865351453357</c:v>
                </c:pt>
                <c:pt idx="95">
                  <c:v>0.29873972679311162</c:v>
                </c:pt>
                <c:pt idx="96">
                  <c:v>0.26817441520980939</c:v>
                </c:pt>
                <c:pt idx="97">
                  <c:v>0.2016614471741629</c:v>
                </c:pt>
                <c:pt idx="98">
                  <c:v>0.26392538533372584</c:v>
                </c:pt>
                <c:pt idx="99">
                  <c:v>0.34804321698058144</c:v>
                </c:pt>
                <c:pt idx="100">
                  <c:v>0.33490422729047709</c:v>
                </c:pt>
                <c:pt idx="101">
                  <c:v>0.62704610834778529</c:v>
                </c:pt>
                <c:pt idx="102">
                  <c:v>0.75654533906616428</c:v>
                </c:pt>
                <c:pt idx="103">
                  <c:v>0.79229891809009678</c:v>
                </c:pt>
                <c:pt idx="104">
                  <c:v>0.88244485213050339</c:v>
                </c:pt>
                <c:pt idx="105">
                  <c:v>0.78984732956299686</c:v>
                </c:pt>
                <c:pt idx="106">
                  <c:v>0.74808563350299351</c:v>
                </c:pt>
                <c:pt idx="107">
                  <c:v>0.86742719004559588</c:v>
                </c:pt>
                <c:pt idx="108">
                  <c:v>0.83319227899401616</c:v>
                </c:pt>
                <c:pt idx="109">
                  <c:v>0.88469328051374363</c:v>
                </c:pt>
                <c:pt idx="110">
                  <c:v>0.91746832378902998</c:v>
                </c:pt>
                <c:pt idx="111">
                  <c:v>0.96432258867110621</c:v>
                </c:pt>
                <c:pt idx="112">
                  <c:v>0.88185395288729929</c:v>
                </c:pt>
                <c:pt idx="113">
                  <c:v>0.89201447483825036</c:v>
                </c:pt>
                <c:pt idx="114">
                  <c:v>0.92824019423437054</c:v>
                </c:pt>
                <c:pt idx="115">
                  <c:v>1.0392467265481276</c:v>
                </c:pt>
                <c:pt idx="116">
                  <c:v>0.74881048884654244</c:v>
                </c:pt>
                <c:pt idx="117">
                  <c:v>0.78742944269816317</c:v>
                </c:pt>
                <c:pt idx="118">
                  <c:v>0.71713158983630887</c:v>
                </c:pt>
                <c:pt idx="119">
                  <c:v>0.71123657258902051</c:v>
                </c:pt>
                <c:pt idx="120">
                  <c:v>0.55684459932514307</c:v>
                </c:pt>
                <c:pt idx="121">
                  <c:v>0.55091753055130643</c:v>
                </c:pt>
                <c:pt idx="122">
                  <c:v>0.57056685627350245</c:v>
                </c:pt>
                <c:pt idx="123">
                  <c:v>0.40830069531949675</c:v>
                </c:pt>
                <c:pt idx="124">
                  <c:v>0.44834186743080057</c:v>
                </c:pt>
                <c:pt idx="125">
                  <c:v>0.47313818104814442</c:v>
                </c:pt>
                <c:pt idx="126">
                  <c:v>0.75361676999514771</c:v>
                </c:pt>
                <c:pt idx="127">
                  <c:v>0.76401649665023719</c:v>
                </c:pt>
                <c:pt idx="128">
                  <c:v>0.73995953565930705</c:v>
                </c:pt>
                <c:pt idx="129">
                  <c:v>0.63725914932881134</c:v>
                </c:pt>
                <c:pt idx="130">
                  <c:v>0.66898339885321856</c:v>
                </c:pt>
                <c:pt idx="131">
                  <c:v>0.5517466133705573</c:v>
                </c:pt>
                <c:pt idx="132">
                  <c:v>0.56277364443774092</c:v>
                </c:pt>
                <c:pt idx="133">
                  <c:v>0.47766810283834771</c:v>
                </c:pt>
                <c:pt idx="134">
                  <c:v>0.94050972166585933</c:v>
                </c:pt>
                <c:pt idx="135">
                  <c:v>0.9505974997624087</c:v>
                </c:pt>
                <c:pt idx="136">
                  <c:v>0.88427937736292717</c:v>
                </c:pt>
                <c:pt idx="137">
                  <c:v>0.83960016902677159</c:v>
                </c:pt>
                <c:pt idx="138">
                  <c:v>0.94365239103015897</c:v>
                </c:pt>
                <c:pt idx="139">
                  <c:v>0.91933690624134401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E1-40E9-AC80-EE30E38E7D1C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-2.905367867495165E-3</c:v>
                </c:pt>
                <c:pt idx="2">
                  <c:v>2.1486425239467845E-2</c:v>
                </c:pt>
                <c:pt idx="3">
                  <c:v>5.9362393377361052E-2</c:v>
                </c:pt>
                <c:pt idx="4">
                  <c:v>0.14429056218033012</c:v>
                </c:pt>
                <c:pt idx="5">
                  <c:v>4.3185380893121822E-2</c:v>
                </c:pt>
                <c:pt idx="6">
                  <c:v>0.16918907511938472</c:v>
                </c:pt>
                <c:pt idx="7">
                  <c:v>0.12221842237091327</c:v>
                </c:pt>
                <c:pt idx="8">
                  <c:v>0.19123004192632354</c:v>
                </c:pt>
                <c:pt idx="9">
                  <c:v>9.9019967502020106E-2</c:v>
                </c:pt>
                <c:pt idx="10">
                  <c:v>0.10938728840761602</c:v>
                </c:pt>
                <c:pt idx="11">
                  <c:v>0.26064616646732086</c:v>
                </c:pt>
                <c:pt idx="12">
                  <c:v>0.3215178884962025</c:v>
                </c:pt>
                <c:pt idx="13">
                  <c:v>0.38120634426558736</c:v>
                </c:pt>
                <c:pt idx="14">
                  <c:v>0.35964960874198165</c:v>
                </c:pt>
                <c:pt idx="15">
                  <c:v>0.51043700625813671</c:v>
                </c:pt>
                <c:pt idx="16">
                  <c:v>0.52502265137551096</c:v>
                </c:pt>
                <c:pt idx="17">
                  <c:v>0.49658371491860454</c:v>
                </c:pt>
                <c:pt idx="18">
                  <c:v>0.31948370927661313</c:v>
                </c:pt>
                <c:pt idx="19">
                  <c:v>0.20463905139342342</c:v>
                </c:pt>
                <c:pt idx="20">
                  <c:v>0.24414348512185907</c:v>
                </c:pt>
                <c:pt idx="21">
                  <c:v>0.27479726162186108</c:v>
                </c:pt>
                <c:pt idx="22">
                  <c:v>0.23252000001342663</c:v>
                </c:pt>
                <c:pt idx="23">
                  <c:v>0.29256854903657437</c:v>
                </c:pt>
                <c:pt idx="24">
                  <c:v>0.37209279330154355</c:v>
                </c:pt>
                <c:pt idx="25">
                  <c:v>0.46869844462730176</c:v>
                </c:pt>
                <c:pt idx="26">
                  <c:v>0.44163106061031182</c:v>
                </c:pt>
                <c:pt idx="27">
                  <c:v>0.33888581572827431</c:v>
                </c:pt>
                <c:pt idx="28">
                  <c:v>0.28899892714074471</c:v>
                </c:pt>
                <c:pt idx="29">
                  <c:v>0.26153439156140296</c:v>
                </c:pt>
                <c:pt idx="30">
                  <c:v>0.16230745877972125</c:v>
                </c:pt>
                <c:pt idx="31">
                  <c:v>0.17743682183812984</c:v>
                </c:pt>
                <c:pt idx="32">
                  <c:v>0.17573902222308549</c:v>
                </c:pt>
                <c:pt idx="33">
                  <c:v>0.1310979288435177</c:v>
                </c:pt>
                <c:pt idx="34">
                  <c:v>0.11408159923434938</c:v>
                </c:pt>
                <c:pt idx="35">
                  <c:v>0.12854640962958236</c:v>
                </c:pt>
                <c:pt idx="36">
                  <c:v>0.12101015084673683</c:v>
                </c:pt>
                <c:pt idx="37">
                  <c:v>0.26815218254086115</c:v>
                </c:pt>
                <c:pt idx="38">
                  <c:v>0.25355272143432356</c:v>
                </c:pt>
                <c:pt idx="39">
                  <c:v>0.15859048156412339</c:v>
                </c:pt>
                <c:pt idx="40">
                  <c:v>0.21222006684271294</c:v>
                </c:pt>
                <c:pt idx="41">
                  <c:v>0.16706291263981959</c:v>
                </c:pt>
                <c:pt idx="42">
                  <c:v>6.175245870269809E-2</c:v>
                </c:pt>
                <c:pt idx="43">
                  <c:v>0.31235655449746857</c:v>
                </c:pt>
                <c:pt idx="44">
                  <c:v>0.33485115795404258</c:v>
                </c:pt>
                <c:pt idx="45">
                  <c:v>0.29324626698105477</c:v>
                </c:pt>
                <c:pt idx="46">
                  <c:v>0.34999437317031623</c:v>
                </c:pt>
                <c:pt idx="47">
                  <c:v>0.13534364380294972</c:v>
                </c:pt>
                <c:pt idx="48">
                  <c:v>0.2863509476436763</c:v>
                </c:pt>
                <c:pt idx="49">
                  <c:v>0.35304620255611519</c:v>
                </c:pt>
                <c:pt idx="50">
                  <c:v>0.38312318518646549</c:v>
                </c:pt>
                <c:pt idx="51">
                  <c:v>0.34995498717363938</c:v>
                </c:pt>
                <c:pt idx="52">
                  <c:v>0.42656700580083706</c:v>
                </c:pt>
                <c:pt idx="53">
                  <c:v>0.37203194227540798</c:v>
                </c:pt>
                <c:pt idx="54">
                  <c:v>0.38044840664606522</c:v>
                </c:pt>
                <c:pt idx="55">
                  <c:v>0.35656807219515757</c:v>
                </c:pt>
                <c:pt idx="56">
                  <c:v>0.43374262315306378</c:v>
                </c:pt>
                <c:pt idx="57">
                  <c:v>0.46137447932171671</c:v>
                </c:pt>
                <c:pt idx="58">
                  <c:v>0.5253124296845666</c:v>
                </c:pt>
                <c:pt idx="59">
                  <c:v>0.55029802471867872</c:v>
                </c:pt>
                <c:pt idx="60">
                  <c:v>0.56994217060122143</c:v>
                </c:pt>
                <c:pt idx="61">
                  <c:v>0.56877296872497807</c:v>
                </c:pt>
                <c:pt idx="62">
                  <c:v>0.47236951993741161</c:v>
                </c:pt>
                <c:pt idx="63">
                  <c:v>0.47546971815278949</c:v>
                </c:pt>
                <c:pt idx="64">
                  <c:v>0.46009052060698097</c:v>
                </c:pt>
                <c:pt idx="65">
                  <c:v>0.62225346633383405</c:v>
                </c:pt>
                <c:pt idx="66">
                  <c:v>0.59768901357762483</c:v>
                </c:pt>
                <c:pt idx="67">
                  <c:v>0.69367397239647233</c:v>
                </c:pt>
                <c:pt idx="68">
                  <c:v>0.64364049496711806</c:v>
                </c:pt>
                <c:pt idx="69">
                  <c:v>0.58448596112921658</c:v>
                </c:pt>
                <c:pt idx="70">
                  <c:v>0.48851513316907369</c:v>
                </c:pt>
                <c:pt idx="71">
                  <c:v>0.55890494368585375</c:v>
                </c:pt>
                <c:pt idx="72">
                  <c:v>-1.970017893138043E-2</c:v>
                </c:pt>
                <c:pt idx="73">
                  <c:v>0.11501335421295397</c:v>
                </c:pt>
                <c:pt idx="74">
                  <c:v>-4.3637332287786296E-3</c:v>
                </c:pt>
                <c:pt idx="75">
                  <c:v>0.16499341390992689</c:v>
                </c:pt>
                <c:pt idx="76">
                  <c:v>0.17919473080541984</c:v>
                </c:pt>
                <c:pt idx="77">
                  <c:v>0.27111977382859731</c:v>
                </c:pt>
                <c:pt idx="78">
                  <c:v>0.24256106415909445</c:v>
                </c:pt>
                <c:pt idx="79">
                  <c:v>0.22218916185383689</c:v>
                </c:pt>
                <c:pt idx="80">
                  <c:v>0.36466566493025038</c:v>
                </c:pt>
                <c:pt idx="81">
                  <c:v>0.36509581613876907</c:v>
                </c:pt>
                <c:pt idx="82">
                  <c:v>0.49874945316567065</c:v>
                </c:pt>
                <c:pt idx="83">
                  <c:v>0.45040836573810217</c:v>
                </c:pt>
                <c:pt idx="84">
                  <c:v>0.25775023462212909</c:v>
                </c:pt>
                <c:pt idx="85">
                  <c:v>0.11856969486758379</c:v>
                </c:pt>
                <c:pt idx="86">
                  <c:v>-6.7071321439461207E-2</c:v>
                </c:pt>
                <c:pt idx="87">
                  <c:v>-0.26779112886907253</c:v>
                </c:pt>
                <c:pt idx="88">
                  <c:v>-0.22256885642879246</c:v>
                </c:pt>
                <c:pt idx="89">
                  <c:v>-0.20015664271520539</c:v>
                </c:pt>
                <c:pt idx="90">
                  <c:v>-0.54660167556054096</c:v>
                </c:pt>
                <c:pt idx="91">
                  <c:v>-0.37777945089187204</c:v>
                </c:pt>
                <c:pt idx="92">
                  <c:v>-0.23498622961037943</c:v>
                </c:pt>
                <c:pt idx="93">
                  <c:v>-0.16639787869333261</c:v>
                </c:pt>
                <c:pt idx="94">
                  <c:v>-0.18981095787870944</c:v>
                </c:pt>
                <c:pt idx="95">
                  <c:v>-0.20895964118588883</c:v>
                </c:pt>
                <c:pt idx="96">
                  <c:v>-0.28028788101018032</c:v>
                </c:pt>
                <c:pt idx="97">
                  <c:v>-0.34996980379034187</c:v>
                </c:pt>
                <c:pt idx="98">
                  <c:v>-0.27782275237388254</c:v>
                </c:pt>
                <c:pt idx="99">
                  <c:v>-0.19287988617284549</c:v>
                </c:pt>
                <c:pt idx="100">
                  <c:v>-0.21417650513200559</c:v>
                </c:pt>
                <c:pt idx="101">
                  <c:v>0.13729059853924513</c:v>
                </c:pt>
                <c:pt idx="102">
                  <c:v>0.28322045128186035</c:v>
                </c:pt>
                <c:pt idx="103">
                  <c:v>0.34389961968940674</c:v>
                </c:pt>
                <c:pt idx="104">
                  <c:v>0.44558003708405647</c:v>
                </c:pt>
                <c:pt idx="105">
                  <c:v>0.35228896250042402</c:v>
                </c:pt>
                <c:pt idx="106">
                  <c:v>0.3023013695825888</c:v>
                </c:pt>
                <c:pt idx="107">
                  <c:v>0.44733635662679683</c:v>
                </c:pt>
                <c:pt idx="108">
                  <c:v>0.40152448539591545</c:v>
                </c:pt>
                <c:pt idx="109">
                  <c:v>0.4490968749232459</c:v>
                </c:pt>
                <c:pt idx="110">
                  <c:v>0.45164504741151273</c:v>
                </c:pt>
                <c:pt idx="111">
                  <c:v>0.50393322115211681</c:v>
                </c:pt>
                <c:pt idx="112">
                  <c:v>0.40666847880896573</c:v>
                </c:pt>
                <c:pt idx="113">
                  <c:v>0.43873503480823411</c:v>
                </c:pt>
                <c:pt idx="114">
                  <c:v>0.53968159099875535</c:v>
                </c:pt>
                <c:pt idx="115">
                  <c:v>0.66833803235074063</c:v>
                </c:pt>
                <c:pt idx="116">
                  <c:v>0.33740760064346875</c:v>
                </c:pt>
                <c:pt idx="117">
                  <c:v>0.38665948746588935</c:v>
                </c:pt>
                <c:pt idx="118">
                  <c:v>0.31349981687801648</c:v>
                </c:pt>
                <c:pt idx="119">
                  <c:v>0.28903457325495624</c:v>
                </c:pt>
                <c:pt idx="120">
                  <c:v>0.11505403593998775</c:v>
                </c:pt>
                <c:pt idx="121">
                  <c:v>0.10194054503353137</c:v>
                </c:pt>
                <c:pt idx="122">
                  <c:v>0.13279098484354823</c:v>
                </c:pt>
                <c:pt idx="123">
                  <c:v>-2.1521923091721379E-2</c:v>
                </c:pt>
                <c:pt idx="124">
                  <c:v>1.9267775960719519E-2</c:v>
                </c:pt>
                <c:pt idx="125">
                  <c:v>2.5274092079436459E-2</c:v>
                </c:pt>
                <c:pt idx="126">
                  <c:v>0.33135028201773786</c:v>
                </c:pt>
                <c:pt idx="127">
                  <c:v>0.32671097700855312</c:v>
                </c:pt>
                <c:pt idx="128">
                  <c:v>0.29071679104770287</c:v>
                </c:pt>
                <c:pt idx="129">
                  <c:v>0.16573340392221117</c:v>
                </c:pt>
                <c:pt idx="130">
                  <c:v>0.19738090085652141</c:v>
                </c:pt>
                <c:pt idx="131">
                  <c:v>7.1040639992899918E-2</c:v>
                </c:pt>
                <c:pt idx="132">
                  <c:v>8.256876284517331E-2</c:v>
                </c:pt>
                <c:pt idx="133">
                  <c:v>-4.0999997318905385E-2</c:v>
                </c:pt>
                <c:pt idx="134">
                  <c:v>0.51497556292475932</c:v>
                </c:pt>
                <c:pt idx="135">
                  <c:v>0.42410828093238911</c:v>
                </c:pt>
                <c:pt idx="136">
                  <c:v>0.36859323477957073</c:v>
                </c:pt>
                <c:pt idx="137">
                  <c:v>0.30894071638073312</c:v>
                </c:pt>
                <c:pt idx="138">
                  <c:v>0.37468559452521844</c:v>
                </c:pt>
                <c:pt idx="139">
                  <c:v>0.36262261249980482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E1-40E9-AC80-EE30E38E7D1C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6.9408729570006072E-2</c:v>
                </c:pt>
                <c:pt idx="2">
                  <c:v>0.10190295249340701</c:v>
                </c:pt>
                <c:pt idx="3">
                  <c:v>0.21440459296531142</c:v>
                </c:pt>
                <c:pt idx="4">
                  <c:v>0.29792725012794857</c:v>
                </c:pt>
                <c:pt idx="5">
                  <c:v>0.19266987552160009</c:v>
                </c:pt>
                <c:pt idx="6">
                  <c:v>0.3182525950771059</c:v>
                </c:pt>
                <c:pt idx="7">
                  <c:v>0.29472064682027238</c:v>
                </c:pt>
                <c:pt idx="8">
                  <c:v>0.36720367560990574</c:v>
                </c:pt>
                <c:pt idx="9">
                  <c:v>0.24131743860866625</c:v>
                </c:pt>
                <c:pt idx="10">
                  <c:v>6.2273317778031578E-3</c:v>
                </c:pt>
                <c:pt idx="11">
                  <c:v>0.15356541378779207</c:v>
                </c:pt>
                <c:pt idx="12">
                  <c:v>0.20991487108214629</c:v>
                </c:pt>
                <c:pt idx="13">
                  <c:v>0.2797726867680877</c:v>
                </c:pt>
                <c:pt idx="14">
                  <c:v>0.26527315785955741</c:v>
                </c:pt>
                <c:pt idx="15">
                  <c:v>0.4601083536558635</c:v>
                </c:pt>
                <c:pt idx="16">
                  <c:v>0.53011340631557091</c:v>
                </c:pt>
                <c:pt idx="17">
                  <c:v>0.51308697317362706</c:v>
                </c:pt>
                <c:pt idx="18">
                  <c:v>0.38273839154752637</c:v>
                </c:pt>
                <c:pt idx="19">
                  <c:v>0.26135292789396986</c:v>
                </c:pt>
                <c:pt idx="20">
                  <c:v>0.34015327516635496</c:v>
                </c:pt>
                <c:pt idx="21">
                  <c:v>0.36382987164790787</c:v>
                </c:pt>
                <c:pt idx="22">
                  <c:v>0.31240152980503977</c:v>
                </c:pt>
                <c:pt idx="23">
                  <c:v>0.40468399711330411</c:v>
                </c:pt>
                <c:pt idx="24">
                  <c:v>0.44153956576001419</c:v>
                </c:pt>
                <c:pt idx="25">
                  <c:v>0.53730951979623331</c:v>
                </c:pt>
                <c:pt idx="26">
                  <c:v>0.48343023549311387</c:v>
                </c:pt>
                <c:pt idx="27">
                  <c:v>0.46276751342781292</c:v>
                </c:pt>
                <c:pt idx="28">
                  <c:v>0.39879772633274035</c:v>
                </c:pt>
                <c:pt idx="29">
                  <c:v>0.37037766457157772</c:v>
                </c:pt>
                <c:pt idx="30">
                  <c:v>0.26311313901354283</c:v>
                </c:pt>
                <c:pt idx="31">
                  <c:v>0.27205954767067608</c:v>
                </c:pt>
                <c:pt idx="32">
                  <c:v>0.26191390707814083</c:v>
                </c:pt>
                <c:pt idx="33">
                  <c:v>0.19789560589923835</c:v>
                </c:pt>
                <c:pt idx="34">
                  <c:v>0.15661272531064035</c:v>
                </c:pt>
                <c:pt idx="35">
                  <c:v>0.18304132738454007</c:v>
                </c:pt>
                <c:pt idx="36">
                  <c:v>0.18033643247224324</c:v>
                </c:pt>
                <c:pt idx="37">
                  <c:v>0.34650285803885122</c:v>
                </c:pt>
                <c:pt idx="38">
                  <c:v>0.28370305471574542</c:v>
                </c:pt>
                <c:pt idx="39">
                  <c:v>0.20884688166265575</c:v>
                </c:pt>
                <c:pt idx="40">
                  <c:v>0.19195366321025692</c:v>
                </c:pt>
                <c:pt idx="41">
                  <c:v>0.10689941514386442</c:v>
                </c:pt>
                <c:pt idx="42">
                  <c:v>-3.5232286686130376E-2</c:v>
                </c:pt>
                <c:pt idx="43">
                  <c:v>1.5947496954465512E-2</c:v>
                </c:pt>
                <c:pt idx="44">
                  <c:v>2.1381458699378394E-2</c:v>
                </c:pt>
                <c:pt idx="45">
                  <c:v>-1.5252896013486568E-2</c:v>
                </c:pt>
                <c:pt idx="46">
                  <c:v>1.7046844503956701E-2</c:v>
                </c:pt>
                <c:pt idx="47">
                  <c:v>-0.20759397441994459</c:v>
                </c:pt>
                <c:pt idx="48">
                  <c:v>-1.3023498323286087E-2</c:v>
                </c:pt>
                <c:pt idx="49">
                  <c:v>6.5644117765101873E-2</c:v>
                </c:pt>
                <c:pt idx="50">
                  <c:v>7.1879386817519944E-2</c:v>
                </c:pt>
                <c:pt idx="51">
                  <c:v>1.7883568732595091E-2</c:v>
                </c:pt>
                <c:pt idx="52">
                  <c:v>9.7609073013544434E-2</c:v>
                </c:pt>
                <c:pt idx="53">
                  <c:v>5.5342808155537604E-2</c:v>
                </c:pt>
                <c:pt idx="54">
                  <c:v>7.1292469209369783E-2</c:v>
                </c:pt>
                <c:pt idx="55">
                  <c:v>3.8509800583898045E-2</c:v>
                </c:pt>
                <c:pt idx="56">
                  <c:v>7.5748920833641056E-2</c:v>
                </c:pt>
                <c:pt idx="57">
                  <c:v>1.3613468803123766E-2</c:v>
                </c:pt>
                <c:pt idx="58">
                  <c:v>6.0146347401353259E-2</c:v>
                </c:pt>
                <c:pt idx="59">
                  <c:v>4.8836087580241258E-2</c:v>
                </c:pt>
                <c:pt idx="60">
                  <c:v>7.6449412042328274E-2</c:v>
                </c:pt>
                <c:pt idx="61">
                  <c:v>7.4355327104413782E-2</c:v>
                </c:pt>
                <c:pt idx="62">
                  <c:v>-6.403953892437772E-2</c:v>
                </c:pt>
                <c:pt idx="63">
                  <c:v>-5.6214761936007537E-2</c:v>
                </c:pt>
                <c:pt idx="64">
                  <c:v>-2.6791590037256147E-2</c:v>
                </c:pt>
                <c:pt idx="65">
                  <c:v>0.15960721783598467</c:v>
                </c:pt>
                <c:pt idx="66">
                  <c:v>0.11457913621003694</c:v>
                </c:pt>
                <c:pt idx="67">
                  <c:v>0.19099409858906707</c:v>
                </c:pt>
                <c:pt idx="68">
                  <c:v>0.15388976285810069</c:v>
                </c:pt>
                <c:pt idx="69">
                  <c:v>9.4267220064298676E-2</c:v>
                </c:pt>
                <c:pt idx="70">
                  <c:v>-9.1463149686384221E-3</c:v>
                </c:pt>
                <c:pt idx="71">
                  <c:v>6.8896862187234939E-2</c:v>
                </c:pt>
                <c:pt idx="72">
                  <c:v>-0.62450497172892538</c:v>
                </c:pt>
                <c:pt idx="73">
                  <c:v>-0.5137948741961299</c:v>
                </c:pt>
                <c:pt idx="74">
                  <c:v>-0.69531264421403571</c:v>
                </c:pt>
                <c:pt idx="75">
                  <c:v>-0.51805366233233663</c:v>
                </c:pt>
                <c:pt idx="76">
                  <c:v>-0.53059655195534405</c:v>
                </c:pt>
                <c:pt idx="77">
                  <c:v>-0.43666896971628244</c:v>
                </c:pt>
                <c:pt idx="78">
                  <c:v>-0.50611740208772915</c:v>
                </c:pt>
                <c:pt idx="79">
                  <c:v>-0.43078098089762912</c:v>
                </c:pt>
                <c:pt idx="80">
                  <c:v>-0.26893187954323006</c:v>
                </c:pt>
                <c:pt idx="81">
                  <c:v>-0.24811584269460613</c:v>
                </c:pt>
                <c:pt idx="82">
                  <c:v>-6.2437536075888339E-2</c:v>
                </c:pt>
                <c:pt idx="83">
                  <c:v>-6.9489050486554446E-2</c:v>
                </c:pt>
                <c:pt idx="84">
                  <c:v>-0.25504358272267924</c:v>
                </c:pt>
                <c:pt idx="85">
                  <c:v>-0.43286687454241635</c:v>
                </c:pt>
                <c:pt idx="86">
                  <c:v>-0.69457566513795999</c:v>
                </c:pt>
                <c:pt idx="87">
                  <c:v>-0.7822606553983622</c:v>
                </c:pt>
                <c:pt idx="88">
                  <c:v>-0.7675774181535171</c:v>
                </c:pt>
                <c:pt idx="89">
                  <c:v>-0.73708115455242518</c:v>
                </c:pt>
                <c:pt idx="90">
                  <c:v>-1.086479822463241</c:v>
                </c:pt>
                <c:pt idx="91">
                  <c:v>-0.97297067949733318</c:v>
                </c:pt>
                <c:pt idx="92">
                  <c:v>-0.79973197244861571</c:v>
                </c:pt>
                <c:pt idx="93">
                  <c:v>-0.72036929006852624</c:v>
                </c:pt>
                <c:pt idx="94">
                  <c:v>-0.72864885044039451</c:v>
                </c:pt>
                <c:pt idx="95">
                  <c:v>-0.74750032215205642</c:v>
                </c:pt>
                <c:pt idx="96">
                  <c:v>-0.83814710861344788</c:v>
                </c:pt>
                <c:pt idx="97">
                  <c:v>-0.84849651252611258</c:v>
                </c:pt>
                <c:pt idx="98">
                  <c:v>-0.77986740235488883</c:v>
                </c:pt>
                <c:pt idx="99">
                  <c:v>-0.69592266751774168</c:v>
                </c:pt>
                <c:pt idx="100">
                  <c:v>-0.72940974489355792</c:v>
                </c:pt>
                <c:pt idx="101">
                  <c:v>-0.41341259342035175</c:v>
                </c:pt>
                <c:pt idx="102">
                  <c:v>-0.23604133220421084</c:v>
                </c:pt>
                <c:pt idx="103">
                  <c:v>-0.1718099449046446</c:v>
                </c:pt>
                <c:pt idx="104">
                  <c:v>-5.3103916580984498E-2</c:v>
                </c:pt>
                <c:pt idx="105">
                  <c:v>-0.11422913717752023</c:v>
                </c:pt>
                <c:pt idx="106">
                  <c:v>-0.18688916921288057</c:v>
                </c:pt>
                <c:pt idx="107">
                  <c:v>-1.9524697223577858E-2</c:v>
                </c:pt>
                <c:pt idx="108">
                  <c:v>-6.9566821443390242E-2</c:v>
                </c:pt>
                <c:pt idx="109">
                  <c:v>-1.2507813027824652E-2</c:v>
                </c:pt>
                <c:pt idx="110">
                  <c:v>-3.5812963125603017E-2</c:v>
                </c:pt>
                <c:pt idx="111">
                  <c:v>4.476493282190859E-2</c:v>
                </c:pt>
                <c:pt idx="112">
                  <c:v>-8.8654980866918323E-2</c:v>
                </c:pt>
                <c:pt idx="113">
                  <c:v>-5.6198670121575284E-2</c:v>
                </c:pt>
                <c:pt idx="114">
                  <c:v>-4.3614872195216793E-2</c:v>
                </c:pt>
                <c:pt idx="115">
                  <c:v>0.1654822821006833</c:v>
                </c:pt>
                <c:pt idx="116">
                  <c:v>-0.19140840849613652</c:v>
                </c:pt>
                <c:pt idx="117">
                  <c:v>-0.15413758048893483</c:v>
                </c:pt>
                <c:pt idx="118">
                  <c:v>-0.23243740329595716</c:v>
                </c:pt>
                <c:pt idx="119">
                  <c:v>-0.30195781480644102</c:v>
                </c:pt>
                <c:pt idx="120">
                  <c:v>-0.46267158831450395</c:v>
                </c:pt>
                <c:pt idx="121">
                  <c:v>-0.47158395131481207</c:v>
                </c:pt>
                <c:pt idx="122">
                  <c:v>-0.40105767034066608</c:v>
                </c:pt>
                <c:pt idx="123">
                  <c:v>-0.55631933623641294</c:v>
                </c:pt>
                <c:pt idx="124">
                  <c:v>-0.63448727239737668</c:v>
                </c:pt>
                <c:pt idx="125">
                  <c:v>-0.63141587651418052</c:v>
                </c:pt>
                <c:pt idx="126">
                  <c:v>-0.32558459164089915</c:v>
                </c:pt>
                <c:pt idx="127">
                  <c:v>-0.35664280390767805</c:v>
                </c:pt>
                <c:pt idx="128">
                  <c:v>-0.40022185018841039</c:v>
                </c:pt>
                <c:pt idx="129">
                  <c:v>-0.52076828462894964</c:v>
                </c:pt>
                <c:pt idx="130">
                  <c:v>-0.47529207224418163</c:v>
                </c:pt>
                <c:pt idx="131">
                  <c:v>-0.59194570191071016</c:v>
                </c:pt>
                <c:pt idx="132">
                  <c:v>-0.59430546737881351</c:v>
                </c:pt>
                <c:pt idx="133">
                  <c:v>-0.71023891281929119</c:v>
                </c:pt>
                <c:pt idx="134">
                  <c:v>-0.12607302119349828</c:v>
                </c:pt>
                <c:pt idx="135">
                  <c:v>-0.11341052469551405</c:v>
                </c:pt>
                <c:pt idx="136">
                  <c:v>-0.19562765598342463</c:v>
                </c:pt>
                <c:pt idx="137">
                  <c:v>-0.24151674421171482</c:v>
                </c:pt>
                <c:pt idx="138">
                  <c:v>-0.17302064374903423</c:v>
                </c:pt>
                <c:pt idx="139">
                  <c:v>-0.2005735709101692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E1-40E9-AC80-EE30E38E7D1C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5.170873743723868E-2</c:v>
                </c:pt>
                <c:pt idx="2">
                  <c:v>0.20105959628901288</c:v>
                </c:pt>
                <c:pt idx="3">
                  <c:v>0.42733129625025429</c:v>
                </c:pt>
                <c:pt idx="4">
                  <c:v>0.46566735487742911</c:v>
                </c:pt>
                <c:pt idx="5">
                  <c:v>0.37893570740126886</c:v>
                </c:pt>
                <c:pt idx="6">
                  <c:v>0.53885742947524484</c:v>
                </c:pt>
                <c:pt idx="7">
                  <c:v>0.59586979140149576</c:v>
                </c:pt>
                <c:pt idx="8">
                  <c:v>0.70191966756092095</c:v>
                </c:pt>
                <c:pt idx="9">
                  <c:v>0.56407981928638051</c:v>
                </c:pt>
                <c:pt idx="10">
                  <c:v>0.27306222895033933</c:v>
                </c:pt>
                <c:pt idx="11">
                  <c:v>0.4177155451971557</c:v>
                </c:pt>
                <c:pt idx="12">
                  <c:v>0.52572118600511863</c:v>
                </c:pt>
                <c:pt idx="13">
                  <c:v>0.56334985487841771</c:v>
                </c:pt>
                <c:pt idx="14">
                  <c:v>0.57088857400415927</c:v>
                </c:pt>
                <c:pt idx="15">
                  <c:v>0.82444899780473113</c:v>
                </c:pt>
                <c:pt idx="16">
                  <c:v>0.95075650210208906</c:v>
                </c:pt>
                <c:pt idx="17">
                  <c:v>0.96778382536219232</c:v>
                </c:pt>
                <c:pt idx="18">
                  <c:v>0.81370300681639529</c:v>
                </c:pt>
                <c:pt idx="19">
                  <c:v>0.70401959232057443</c:v>
                </c:pt>
                <c:pt idx="20">
                  <c:v>0.5895438581657011</c:v>
                </c:pt>
                <c:pt idx="21">
                  <c:v>0.54674692120318003</c:v>
                </c:pt>
                <c:pt idx="22">
                  <c:v>0.55930699700917652</c:v>
                </c:pt>
                <c:pt idx="23">
                  <c:v>0.58812910024557197</c:v>
                </c:pt>
                <c:pt idx="24">
                  <c:v>0.61158324996068947</c:v>
                </c:pt>
                <c:pt idx="25">
                  <c:v>0.71739395659267924</c:v>
                </c:pt>
                <c:pt idx="26">
                  <c:v>0.64685980609577098</c:v>
                </c:pt>
                <c:pt idx="27">
                  <c:v>0.63837465648472913</c:v>
                </c:pt>
                <c:pt idx="28">
                  <c:v>0.56324763978349635</c:v>
                </c:pt>
                <c:pt idx="29">
                  <c:v>0.55000303227764991</c:v>
                </c:pt>
                <c:pt idx="30">
                  <c:v>0.34177062523671209</c:v>
                </c:pt>
                <c:pt idx="31">
                  <c:v>0.31996176395577897</c:v>
                </c:pt>
                <c:pt idx="32">
                  <c:v>0.29701415994081426</c:v>
                </c:pt>
                <c:pt idx="33">
                  <c:v>0.22398244400542672</c:v>
                </c:pt>
                <c:pt idx="34">
                  <c:v>0.20804752409478111</c:v>
                </c:pt>
                <c:pt idx="35">
                  <c:v>0.2418223793453429</c:v>
                </c:pt>
                <c:pt idx="36">
                  <c:v>0.22905527683647062</c:v>
                </c:pt>
                <c:pt idx="37">
                  <c:v>0.39724338944608928</c:v>
                </c:pt>
                <c:pt idx="38">
                  <c:v>0.35764303998457603</c:v>
                </c:pt>
                <c:pt idx="39">
                  <c:v>0.25115662175424935</c:v>
                </c:pt>
                <c:pt idx="40">
                  <c:v>0.2763574020553794</c:v>
                </c:pt>
                <c:pt idx="41">
                  <c:v>0.15318232208442978</c:v>
                </c:pt>
                <c:pt idx="42">
                  <c:v>9.9325669819940107E-2</c:v>
                </c:pt>
                <c:pt idx="43">
                  <c:v>2.1633863670607226E-2</c:v>
                </c:pt>
                <c:pt idx="44">
                  <c:v>2.728805307960518E-2</c:v>
                </c:pt>
                <c:pt idx="45">
                  <c:v>-3.0874906012531202E-2</c:v>
                </c:pt>
                <c:pt idx="46">
                  <c:v>2.4997721347190544E-2</c:v>
                </c:pt>
                <c:pt idx="47">
                  <c:v>2.5642885477065839E-2</c:v>
                </c:pt>
                <c:pt idx="48">
                  <c:v>1.053823657281334E-2</c:v>
                </c:pt>
                <c:pt idx="49">
                  <c:v>7.8952602190257654E-2</c:v>
                </c:pt>
                <c:pt idx="50">
                  <c:v>0.22131206693197836</c:v>
                </c:pt>
                <c:pt idx="51">
                  <c:v>0.22556475176109161</c:v>
                </c:pt>
                <c:pt idx="52">
                  <c:v>0.25555798028076787</c:v>
                </c:pt>
                <c:pt idx="53">
                  <c:v>0.27610237092209272</c:v>
                </c:pt>
                <c:pt idx="54">
                  <c:v>0.31166969632571356</c:v>
                </c:pt>
                <c:pt idx="55">
                  <c:v>0.25695702696344885</c:v>
                </c:pt>
                <c:pt idx="56">
                  <c:v>0.29785555207053455</c:v>
                </c:pt>
                <c:pt idx="57">
                  <c:v>0.18222434720781225</c:v>
                </c:pt>
                <c:pt idx="58">
                  <c:v>0.23005138955532822</c:v>
                </c:pt>
                <c:pt idx="59">
                  <c:v>0.13230800233496071</c:v>
                </c:pt>
                <c:pt idx="60">
                  <c:v>0.13985784978286611</c:v>
                </c:pt>
                <c:pt idx="61">
                  <c:v>0.13121763331534364</c:v>
                </c:pt>
                <c:pt idx="62">
                  <c:v>-0.11865696035628495</c:v>
                </c:pt>
                <c:pt idx="63">
                  <c:v>-1.8462355267769751E-2</c:v>
                </c:pt>
                <c:pt idx="64">
                  <c:v>-1.2469550300589962E-2</c:v>
                </c:pt>
                <c:pt idx="65">
                  <c:v>1.1697352860878998E-2</c:v>
                </c:pt>
                <c:pt idx="66">
                  <c:v>-0.11286746670518599</c:v>
                </c:pt>
                <c:pt idx="67">
                  <c:v>-2.6132219148751329E-2</c:v>
                </c:pt>
                <c:pt idx="68">
                  <c:v>-0.10536356463810415</c:v>
                </c:pt>
                <c:pt idx="69">
                  <c:v>-0.16683058660876354</c:v>
                </c:pt>
                <c:pt idx="70">
                  <c:v>-0.22784428262693643</c:v>
                </c:pt>
                <c:pt idx="71">
                  <c:v>-0.15261989645982865</c:v>
                </c:pt>
                <c:pt idx="72">
                  <c:v>-0.7074160583449679</c:v>
                </c:pt>
                <c:pt idx="73">
                  <c:v>-0.53467011524728292</c:v>
                </c:pt>
                <c:pt idx="74">
                  <c:v>-0.66479543183120848</c:v>
                </c:pt>
                <c:pt idx="75">
                  <c:v>-0.44059542151169867</c:v>
                </c:pt>
                <c:pt idx="76">
                  <c:v>-0.45168257908938891</c:v>
                </c:pt>
                <c:pt idx="77">
                  <c:v>-0.31295926609519165</c:v>
                </c:pt>
                <c:pt idx="78">
                  <c:v>-0.42622487414370386</c:v>
                </c:pt>
                <c:pt idx="79">
                  <c:v>-0.29111153861370487</c:v>
                </c:pt>
                <c:pt idx="80">
                  <c:v>-0.13266608998244667</c:v>
                </c:pt>
                <c:pt idx="81">
                  <c:v>-0.15382436723228241</c:v>
                </c:pt>
                <c:pt idx="82">
                  <c:v>-4.5546324835398111E-2</c:v>
                </c:pt>
                <c:pt idx="83">
                  <c:v>-2.2368693182849352E-2</c:v>
                </c:pt>
                <c:pt idx="84">
                  <c:v>-0.21679987587559893</c:v>
                </c:pt>
                <c:pt idx="85">
                  <c:v>-0.4300011872903502</c:v>
                </c:pt>
                <c:pt idx="86">
                  <c:v>-0.73681463697208138</c:v>
                </c:pt>
                <c:pt idx="87">
                  <c:v>-0.84990510411784914</c:v>
                </c:pt>
                <c:pt idx="88">
                  <c:v>-0.89518418074810702</c:v>
                </c:pt>
                <c:pt idx="89">
                  <c:v>-0.84888605348389934</c:v>
                </c:pt>
                <c:pt idx="90">
                  <c:v>-1.291882943268059</c:v>
                </c:pt>
                <c:pt idx="91">
                  <c:v>-1.1389017016688148</c:v>
                </c:pt>
                <c:pt idx="92">
                  <c:v>-0.9447791445335757</c:v>
                </c:pt>
                <c:pt idx="93">
                  <c:v>-0.81129413146771601</c:v>
                </c:pt>
                <c:pt idx="94">
                  <c:v>-0.83379408412318112</c:v>
                </c:pt>
                <c:pt idx="95">
                  <c:v>-0.90609760444134746</c:v>
                </c:pt>
                <c:pt idx="96">
                  <c:v>-0.97523621487053924</c:v>
                </c:pt>
                <c:pt idx="97">
                  <c:v>-0.99211627483774945</c:v>
                </c:pt>
                <c:pt idx="98">
                  <c:v>-0.88029652400838243</c:v>
                </c:pt>
                <c:pt idx="99">
                  <c:v>-0.73875960349184799</c:v>
                </c:pt>
                <c:pt idx="100">
                  <c:v>-0.77284988670790544</c:v>
                </c:pt>
                <c:pt idx="101">
                  <c:v>-0.44419954528890065</c:v>
                </c:pt>
                <c:pt idx="102">
                  <c:v>-0.17647236519621484</c:v>
                </c:pt>
                <c:pt idx="103">
                  <c:v>-0.11020375410322575</c:v>
                </c:pt>
                <c:pt idx="104">
                  <c:v>5.1356714018196359E-2</c:v>
                </c:pt>
                <c:pt idx="105">
                  <c:v>1.1578512065237578E-2</c:v>
                </c:pt>
                <c:pt idx="106">
                  <c:v>-8.7167848573506831E-2</c:v>
                </c:pt>
                <c:pt idx="107">
                  <c:v>0.13919154738131895</c:v>
                </c:pt>
                <c:pt idx="108">
                  <c:v>7.9791907464450765E-2</c:v>
                </c:pt>
                <c:pt idx="109">
                  <c:v>0.15038906834496876</c:v>
                </c:pt>
                <c:pt idx="110">
                  <c:v>0.12963300967008934</c:v>
                </c:pt>
                <c:pt idx="111">
                  <c:v>0.20420557113109333</c:v>
                </c:pt>
                <c:pt idx="112">
                  <c:v>3.4977810268846721E-2</c:v>
                </c:pt>
                <c:pt idx="113">
                  <c:v>4.9831720184809192E-2</c:v>
                </c:pt>
                <c:pt idx="114">
                  <c:v>7.6762030615522767E-2</c:v>
                </c:pt>
                <c:pt idx="115">
                  <c:v>0.41283619159940627</c:v>
                </c:pt>
                <c:pt idx="116">
                  <c:v>-1.2072036512959128E-2</c:v>
                </c:pt>
                <c:pt idx="117">
                  <c:v>-3.9478536028139791E-2</c:v>
                </c:pt>
                <c:pt idx="118">
                  <c:v>-0.14088780850773638</c:v>
                </c:pt>
                <c:pt idx="119">
                  <c:v>-0.21936703226317697</c:v>
                </c:pt>
                <c:pt idx="120">
                  <c:v>-0.44676684551725876</c:v>
                </c:pt>
                <c:pt idx="121">
                  <c:v>-0.4625307899125411</c:v>
                </c:pt>
                <c:pt idx="122">
                  <c:v>-0.43845742954489325</c:v>
                </c:pt>
                <c:pt idx="123">
                  <c:v>-0.59371123738856768</c:v>
                </c:pt>
                <c:pt idx="124">
                  <c:v>-0.82307942593961592</c:v>
                </c:pt>
                <c:pt idx="125">
                  <c:v>-0.90973544208579771</c:v>
                </c:pt>
                <c:pt idx="126">
                  <c:v>-0.59012609553372108</c:v>
                </c:pt>
                <c:pt idx="127">
                  <c:v>-0.59859388640344235</c:v>
                </c:pt>
                <c:pt idx="128">
                  <c:v>-0.66622257597212442</c:v>
                </c:pt>
                <c:pt idx="129">
                  <c:v>-0.80543527305427542</c:v>
                </c:pt>
                <c:pt idx="130">
                  <c:v>-0.74110150923022411</c:v>
                </c:pt>
                <c:pt idx="131">
                  <c:v>-0.84820313584156459</c:v>
                </c:pt>
                <c:pt idx="132">
                  <c:v>-0.84597302915574113</c:v>
                </c:pt>
                <c:pt idx="133">
                  <c:v>-0.98901281655394102</c:v>
                </c:pt>
                <c:pt idx="134">
                  <c:v>-0.26823921646858362</c:v>
                </c:pt>
                <c:pt idx="135">
                  <c:v>-0.28040642406120597</c:v>
                </c:pt>
                <c:pt idx="136">
                  <c:v>-0.33652172132410962</c:v>
                </c:pt>
                <c:pt idx="137">
                  <c:v>-0.37675630710010688</c:v>
                </c:pt>
                <c:pt idx="138">
                  <c:v>-0.26876721132050768</c:v>
                </c:pt>
                <c:pt idx="139">
                  <c:v>-0.19668016389208209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E1-40E9-AC80-EE30E38E7D1C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1.3891861254297647E-2</c:v>
                </c:pt>
                <c:pt idx="2">
                  <c:v>0.23869359057072204</c:v>
                </c:pt>
                <c:pt idx="3">
                  <c:v>0.60733888565198613</c:v>
                </c:pt>
                <c:pt idx="4">
                  <c:v>0.57415218357724029</c:v>
                </c:pt>
                <c:pt idx="5">
                  <c:v>0.44169006096364882</c:v>
                </c:pt>
                <c:pt idx="6">
                  <c:v>0.49462499663060999</c:v>
                </c:pt>
                <c:pt idx="7">
                  <c:v>0.53834770406593435</c:v>
                </c:pt>
                <c:pt idx="8">
                  <c:v>0.64680480747081481</c:v>
                </c:pt>
                <c:pt idx="9">
                  <c:v>0.51374861230422619</c:v>
                </c:pt>
                <c:pt idx="10">
                  <c:v>0.36356877646729302</c:v>
                </c:pt>
                <c:pt idx="11">
                  <c:v>0.42946598170233735</c:v>
                </c:pt>
                <c:pt idx="12">
                  <c:v>0.49118687694057411</c:v>
                </c:pt>
                <c:pt idx="13">
                  <c:v>0.48859097593053602</c:v>
                </c:pt>
                <c:pt idx="14">
                  <c:v>0.45928714779754232</c:v>
                </c:pt>
                <c:pt idx="15">
                  <c:v>0.72802436127019066</c:v>
                </c:pt>
                <c:pt idx="16">
                  <c:v>0.79681178856326973</c:v>
                </c:pt>
                <c:pt idx="17">
                  <c:v>0.85457895100120207</c:v>
                </c:pt>
                <c:pt idx="18">
                  <c:v>0.5286068911367181</c:v>
                </c:pt>
                <c:pt idx="19">
                  <c:v>0.51941154217416918</c:v>
                </c:pt>
                <c:pt idx="20">
                  <c:v>0.30595066907278567</c:v>
                </c:pt>
                <c:pt idx="21">
                  <c:v>0.31638665704136681</c:v>
                </c:pt>
                <c:pt idx="22">
                  <c:v>0.34860280088220663</c:v>
                </c:pt>
                <c:pt idx="23">
                  <c:v>0.39268594428236764</c:v>
                </c:pt>
                <c:pt idx="24">
                  <c:v>0.54806939176177938</c:v>
                </c:pt>
                <c:pt idx="25">
                  <c:v>0.66438314412316624</c:v>
                </c:pt>
                <c:pt idx="26">
                  <c:v>0.49171499724487083</c:v>
                </c:pt>
                <c:pt idx="27">
                  <c:v>0.53599698320749778</c:v>
                </c:pt>
                <c:pt idx="28">
                  <c:v>0.48925206896509515</c:v>
                </c:pt>
                <c:pt idx="29">
                  <c:v>0.48239668975812622</c:v>
                </c:pt>
                <c:pt idx="30">
                  <c:v>0.18826226965047393</c:v>
                </c:pt>
                <c:pt idx="31">
                  <c:v>0.15990195921615452</c:v>
                </c:pt>
                <c:pt idx="32">
                  <c:v>0.1346423675314298</c:v>
                </c:pt>
                <c:pt idx="33">
                  <c:v>4.7835225617384264E-2</c:v>
                </c:pt>
                <c:pt idx="34">
                  <c:v>3.183658147225045E-2</c:v>
                </c:pt>
                <c:pt idx="35">
                  <c:v>5.8642155771667773E-2</c:v>
                </c:pt>
                <c:pt idx="36">
                  <c:v>-4.2154342251353033E-3</c:v>
                </c:pt>
                <c:pt idx="37">
                  <c:v>0.20928961022701981</c:v>
                </c:pt>
                <c:pt idx="38">
                  <c:v>0.15519454921316511</c:v>
                </c:pt>
                <c:pt idx="39">
                  <c:v>2.0746768267026122E-2</c:v>
                </c:pt>
                <c:pt idx="40">
                  <c:v>5.676222253492258E-2</c:v>
                </c:pt>
                <c:pt idx="41">
                  <c:v>-0.12699245734435172</c:v>
                </c:pt>
                <c:pt idx="42">
                  <c:v>-0.14121800583662122</c:v>
                </c:pt>
                <c:pt idx="43">
                  <c:v>-0.2163384751439541</c:v>
                </c:pt>
                <c:pt idx="44">
                  <c:v>-0.19425786328979092</c:v>
                </c:pt>
                <c:pt idx="45">
                  <c:v>-0.22835404211701416</c:v>
                </c:pt>
                <c:pt idx="46">
                  <c:v>-0.10904446700456885</c:v>
                </c:pt>
                <c:pt idx="47">
                  <c:v>-0.15789340204285224</c:v>
                </c:pt>
                <c:pt idx="48">
                  <c:v>-0.29027499742265372</c:v>
                </c:pt>
                <c:pt idx="49">
                  <c:v>-0.18163502071397281</c:v>
                </c:pt>
                <c:pt idx="50">
                  <c:v>-0.12354385564294301</c:v>
                </c:pt>
                <c:pt idx="51">
                  <c:v>-0.11496218166531498</c:v>
                </c:pt>
                <c:pt idx="52">
                  <c:v>-2.7280619833720043E-2</c:v>
                </c:pt>
                <c:pt idx="53">
                  <c:v>-1.3149413214956973E-2</c:v>
                </c:pt>
                <c:pt idx="54">
                  <c:v>-2.7256346996312693E-2</c:v>
                </c:pt>
                <c:pt idx="55">
                  <c:v>-5.6816375612222247E-2</c:v>
                </c:pt>
                <c:pt idx="56">
                  <c:v>-3.6513276014621399E-4</c:v>
                </c:pt>
                <c:pt idx="57">
                  <c:v>-0.1486732530820663</c:v>
                </c:pt>
                <c:pt idx="58">
                  <c:v>7.5362681739743892E-2</c:v>
                </c:pt>
                <c:pt idx="59">
                  <c:v>4.1285762324338629E-2</c:v>
                </c:pt>
                <c:pt idx="60">
                  <c:v>3.8938489000845636E-2</c:v>
                </c:pt>
                <c:pt idx="61">
                  <c:v>8.1614122113276483E-2</c:v>
                </c:pt>
                <c:pt idx="62">
                  <c:v>0.16466486330168403</c:v>
                </c:pt>
                <c:pt idx="63">
                  <c:v>0.22608648564652289</c:v>
                </c:pt>
                <c:pt idx="64">
                  <c:v>0.33262798744553956</c:v>
                </c:pt>
                <c:pt idx="65">
                  <c:v>0.42670034089156006</c:v>
                </c:pt>
                <c:pt idx="66">
                  <c:v>0.44080471981336455</c:v>
                </c:pt>
                <c:pt idx="67">
                  <c:v>0.55228812079450817</c:v>
                </c:pt>
                <c:pt idx="68">
                  <c:v>0.478084135160951</c:v>
                </c:pt>
                <c:pt idx="69">
                  <c:v>0.3987956066834023</c:v>
                </c:pt>
                <c:pt idx="70">
                  <c:v>0.38073959724358392</c:v>
                </c:pt>
                <c:pt idx="71">
                  <c:v>0.46813429901908082</c:v>
                </c:pt>
                <c:pt idx="72">
                  <c:v>-0.22123848328661971</c:v>
                </c:pt>
                <c:pt idx="73">
                  <c:v>-0.13255331993092029</c:v>
                </c:pt>
                <c:pt idx="74">
                  <c:v>-0.3454274896831539</c:v>
                </c:pt>
                <c:pt idx="75">
                  <c:v>-0.11364079265567559</c:v>
                </c:pt>
                <c:pt idx="76">
                  <c:v>-0.16507543850757733</c:v>
                </c:pt>
                <c:pt idx="77">
                  <c:v>-2.2838914014560729E-2</c:v>
                </c:pt>
                <c:pt idx="78">
                  <c:v>-0.18762069095405823</c:v>
                </c:pt>
                <c:pt idx="79">
                  <c:v>-1.3370932742986535E-2</c:v>
                </c:pt>
                <c:pt idx="80">
                  <c:v>4.5703702531090927E-2</c:v>
                </c:pt>
                <c:pt idx="81">
                  <c:v>6.0728318417135947E-2</c:v>
                </c:pt>
                <c:pt idx="82">
                  <c:v>0.10190621874643496</c:v>
                </c:pt>
                <c:pt idx="83">
                  <c:v>0.16347785171024287</c:v>
                </c:pt>
                <c:pt idx="84">
                  <c:v>-2.3120211396281315E-2</c:v>
                </c:pt>
                <c:pt idx="85">
                  <c:v>-0.22122039014663522</c:v>
                </c:pt>
                <c:pt idx="86">
                  <c:v>-0.58309890117707786</c:v>
                </c:pt>
                <c:pt idx="87">
                  <c:v>-0.7646061176175637</c:v>
                </c:pt>
                <c:pt idx="88">
                  <c:v>-0.91326370075056473</c:v>
                </c:pt>
                <c:pt idx="89">
                  <c:v>-0.8811565551580236</c:v>
                </c:pt>
                <c:pt idx="90">
                  <c:v>-1.0424431877811706</c:v>
                </c:pt>
                <c:pt idx="91">
                  <c:v>-0.86171733712052223</c:v>
                </c:pt>
                <c:pt idx="92">
                  <c:v>-0.5446300132967572</c:v>
                </c:pt>
                <c:pt idx="93">
                  <c:v>-0.3237741523787776</c:v>
                </c:pt>
                <c:pt idx="94">
                  <c:v>-0.38553420050105125</c:v>
                </c:pt>
                <c:pt idx="95">
                  <c:v>-0.45874059964511493</c:v>
                </c:pt>
                <c:pt idx="96">
                  <c:v>-0.52707979037144903</c:v>
                </c:pt>
                <c:pt idx="97">
                  <c:v>-0.53937525645522599</c:v>
                </c:pt>
                <c:pt idx="98">
                  <c:v>-0.44668890591440696</c:v>
                </c:pt>
                <c:pt idx="99">
                  <c:v>-0.31417978178884737</c:v>
                </c:pt>
                <c:pt idx="100">
                  <c:v>-0.38165763986245227</c:v>
                </c:pt>
                <c:pt idx="101">
                  <c:v>-4.1811248838856285E-2</c:v>
                </c:pt>
                <c:pt idx="102">
                  <c:v>0.30067619940947909</c:v>
                </c:pt>
                <c:pt idx="103">
                  <c:v>0.3428882257799612</c:v>
                </c:pt>
                <c:pt idx="104">
                  <c:v>0.51989597509506136</c:v>
                </c:pt>
                <c:pt idx="105">
                  <c:v>0.50311013900732893</c:v>
                </c:pt>
                <c:pt idx="106">
                  <c:v>0.39579438864527422</c:v>
                </c:pt>
                <c:pt idx="107">
                  <c:v>0.62342205826578012</c:v>
                </c:pt>
                <c:pt idx="108">
                  <c:v>0.51721378405529272</c:v>
                </c:pt>
                <c:pt idx="109">
                  <c:v>0.61273763755713151</c:v>
                </c:pt>
                <c:pt idx="110">
                  <c:v>0.4559509036690812</c:v>
                </c:pt>
                <c:pt idx="111">
                  <c:v>0.53888267068966389</c:v>
                </c:pt>
                <c:pt idx="112">
                  <c:v>0.31644592753302592</c:v>
                </c:pt>
                <c:pt idx="113">
                  <c:v>0.38034442256001066</c:v>
                </c:pt>
                <c:pt idx="114">
                  <c:v>0.38875399170268959</c:v>
                </c:pt>
                <c:pt idx="115">
                  <c:v>0.54569569527137618</c:v>
                </c:pt>
                <c:pt idx="116">
                  <c:v>-5.6908118172480537E-2</c:v>
                </c:pt>
                <c:pt idx="117">
                  <c:v>-0.13748449821405073</c:v>
                </c:pt>
                <c:pt idx="118">
                  <c:v>-0.19935687984769832</c:v>
                </c:pt>
                <c:pt idx="119">
                  <c:v>-0.27687633359740793</c:v>
                </c:pt>
                <c:pt idx="120">
                  <c:v>-0.65037304428175724</c:v>
                </c:pt>
                <c:pt idx="121">
                  <c:v>-0.71674801151375356</c:v>
                </c:pt>
                <c:pt idx="122">
                  <c:v>-0.61201636636718049</c:v>
                </c:pt>
                <c:pt idx="123">
                  <c:v>-0.80495650709864408</c:v>
                </c:pt>
                <c:pt idx="124">
                  <c:v>-1.0651635624920734</c:v>
                </c:pt>
                <c:pt idx="125">
                  <c:v>-1.1961360238086909</c:v>
                </c:pt>
                <c:pt idx="126">
                  <c:v>-0.96389570049737894</c:v>
                </c:pt>
                <c:pt idx="127">
                  <c:v>-0.93551961022862595</c:v>
                </c:pt>
                <c:pt idx="128">
                  <c:v>-1.0316981186337233</c:v>
                </c:pt>
                <c:pt idx="129">
                  <c:v>-1.1490305064386872</c:v>
                </c:pt>
                <c:pt idx="130">
                  <c:v>-1.1213215085578401</c:v>
                </c:pt>
                <c:pt idx="131">
                  <c:v>-1.1723736441774</c:v>
                </c:pt>
                <c:pt idx="132">
                  <c:v>-1.171035261304086</c:v>
                </c:pt>
                <c:pt idx="133">
                  <c:v>-1.2693307194858441</c:v>
                </c:pt>
                <c:pt idx="134">
                  <c:v>-0.15261468541629508</c:v>
                </c:pt>
                <c:pt idx="135">
                  <c:v>-5.3405313759514503E-2</c:v>
                </c:pt>
                <c:pt idx="136">
                  <c:v>-0.10277815320404268</c:v>
                </c:pt>
                <c:pt idx="137">
                  <c:v>-0.14573318702358612</c:v>
                </c:pt>
                <c:pt idx="138">
                  <c:v>-3.3399950044634724E-2</c:v>
                </c:pt>
                <c:pt idx="139">
                  <c:v>-3.3176549890630985E-2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E1-40E9-AC80-EE30E38E7D1C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4.2363756360087303E-2</c:v>
                </c:pt>
                <c:pt idx="2">
                  <c:v>0.1416857830975366</c:v>
                </c:pt>
                <c:pt idx="3">
                  <c:v>0.29977502650372323</c:v>
                </c:pt>
                <c:pt idx="4">
                  <c:v>0.29137161570734382</c:v>
                </c:pt>
                <c:pt idx="5">
                  <c:v>0.26601747478714799</c:v>
                </c:pt>
                <c:pt idx="6">
                  <c:v>0.35515942631579844</c:v>
                </c:pt>
                <c:pt idx="7">
                  <c:v>0.26379616182371141</c:v>
                </c:pt>
                <c:pt idx="8">
                  <c:v>0.3991425729717944</c:v>
                </c:pt>
                <c:pt idx="9">
                  <c:v>0.2817918295516903</c:v>
                </c:pt>
                <c:pt idx="10">
                  <c:v>0.21921447789934265</c:v>
                </c:pt>
                <c:pt idx="11">
                  <c:v>0.3045843228520988</c:v>
                </c:pt>
                <c:pt idx="12">
                  <c:v>0.34123311359164255</c:v>
                </c:pt>
                <c:pt idx="13">
                  <c:v>0.38825968305758995</c:v>
                </c:pt>
                <c:pt idx="14">
                  <c:v>0.51266491455559604</c:v>
                </c:pt>
                <c:pt idx="15">
                  <c:v>1.1818482152174719</c:v>
                </c:pt>
                <c:pt idx="16">
                  <c:v>1.4900334780471063</c:v>
                </c:pt>
                <c:pt idx="17">
                  <c:v>1.4157306884654484</c:v>
                </c:pt>
                <c:pt idx="18">
                  <c:v>0.99986948640777418</c:v>
                </c:pt>
                <c:pt idx="19">
                  <c:v>1.1282686382322287</c:v>
                </c:pt>
                <c:pt idx="20">
                  <c:v>0.76336350446726675</c:v>
                </c:pt>
                <c:pt idx="21">
                  <c:v>0.43074229795922103</c:v>
                </c:pt>
                <c:pt idx="22">
                  <c:v>0.49166150292923677</c:v>
                </c:pt>
                <c:pt idx="23">
                  <c:v>0.59370547955620756</c:v>
                </c:pt>
                <c:pt idx="24">
                  <c:v>0.79390629655041256</c:v>
                </c:pt>
                <c:pt idx="25">
                  <c:v>1.0183314640815415</c:v>
                </c:pt>
                <c:pt idx="26">
                  <c:v>1.0747425041719054</c:v>
                </c:pt>
                <c:pt idx="27">
                  <c:v>1.1871941801551955</c:v>
                </c:pt>
                <c:pt idx="28">
                  <c:v>1.1924015132604981</c:v>
                </c:pt>
                <c:pt idx="29">
                  <c:v>1.2437270074874098</c:v>
                </c:pt>
                <c:pt idx="30">
                  <c:v>0.75451054748279212</c:v>
                </c:pt>
                <c:pt idx="31">
                  <c:v>0.67162288767702449</c:v>
                </c:pt>
                <c:pt idx="32">
                  <c:v>0.66050089149365532</c:v>
                </c:pt>
                <c:pt idx="33">
                  <c:v>0.7062838849939157</c:v>
                </c:pt>
                <c:pt idx="34">
                  <c:v>0.75860053273431727</c:v>
                </c:pt>
                <c:pt idx="35">
                  <c:v>0.75827177847516292</c:v>
                </c:pt>
                <c:pt idx="36">
                  <c:v>0.67391753130642207</c:v>
                </c:pt>
                <c:pt idx="37">
                  <c:v>0.80897358264416808</c:v>
                </c:pt>
                <c:pt idx="38">
                  <c:v>0.76452182007333425</c:v>
                </c:pt>
                <c:pt idx="39">
                  <c:v>0.68666764826800586</c:v>
                </c:pt>
                <c:pt idx="40">
                  <c:v>0.76894340985333287</c:v>
                </c:pt>
                <c:pt idx="41">
                  <c:v>0.69659983640421186</c:v>
                </c:pt>
                <c:pt idx="42">
                  <c:v>0.67050445311213192</c:v>
                </c:pt>
                <c:pt idx="43">
                  <c:v>0.86181132733434018</c:v>
                </c:pt>
                <c:pt idx="44">
                  <c:v>0.86181132733434018</c:v>
                </c:pt>
                <c:pt idx="45">
                  <c:v>0.70973354707089764</c:v>
                </c:pt>
                <c:pt idx="46">
                  <c:v>0.83003647047774587</c:v>
                </c:pt>
                <c:pt idx="47">
                  <c:v>0.85340432659295684</c:v>
                </c:pt>
                <c:pt idx="48">
                  <c:v>0.6482234756529196</c:v>
                </c:pt>
                <c:pt idx="49">
                  <c:v>0.64559649127530017</c:v>
                </c:pt>
                <c:pt idx="50">
                  <c:v>0.62466568706289216</c:v>
                </c:pt>
                <c:pt idx="51">
                  <c:v>0.69857903553814582</c:v>
                </c:pt>
                <c:pt idx="52">
                  <c:v>0.79425399859763623</c:v>
                </c:pt>
                <c:pt idx="53">
                  <c:v>0.57653007795223343</c:v>
                </c:pt>
                <c:pt idx="54">
                  <c:v>0.90799728832288595</c:v>
                </c:pt>
                <c:pt idx="55">
                  <c:v>0.77755448442345942</c:v>
                </c:pt>
                <c:pt idx="56">
                  <c:v>0.81446257962257818</c:v>
                </c:pt>
                <c:pt idx="57">
                  <c:v>0.87910052575235986</c:v>
                </c:pt>
                <c:pt idx="58">
                  <c:v>1.0550163212662629</c:v>
                </c:pt>
                <c:pt idx="59">
                  <c:v>1.0474297367579117</c:v>
                </c:pt>
                <c:pt idx="60">
                  <c:v>1.0655316950007958</c:v>
                </c:pt>
                <c:pt idx="61">
                  <c:v>1.1743420102635569</c:v>
                </c:pt>
                <c:pt idx="62">
                  <c:v>1.3329605522921166</c:v>
                </c:pt>
                <c:pt idx="63">
                  <c:v>1.3389424836384922</c:v>
                </c:pt>
                <c:pt idx="64">
                  <c:v>1.5470188158696148</c:v>
                </c:pt>
                <c:pt idx="65">
                  <c:v>1.5788129201995045</c:v>
                </c:pt>
                <c:pt idx="66">
                  <c:v>1.6709973222637231</c:v>
                </c:pt>
                <c:pt idx="67">
                  <c:v>1.6806967193524367</c:v>
                </c:pt>
                <c:pt idx="68">
                  <c:v>1.5531302366204709</c:v>
                </c:pt>
                <c:pt idx="69">
                  <c:v>1.5011037604611721</c:v>
                </c:pt>
                <c:pt idx="70">
                  <c:v>1.7064719507961039</c:v>
                </c:pt>
                <c:pt idx="71">
                  <c:v>1.6726745712128133</c:v>
                </c:pt>
                <c:pt idx="72">
                  <c:v>0.56366250117545125</c:v>
                </c:pt>
                <c:pt idx="73">
                  <c:v>0.49622777979146088</c:v>
                </c:pt>
                <c:pt idx="74">
                  <c:v>0.16378348708294316</c:v>
                </c:pt>
                <c:pt idx="75">
                  <c:v>0.39374702582231547</c:v>
                </c:pt>
                <c:pt idx="76">
                  <c:v>0.34087975509047441</c:v>
                </c:pt>
                <c:pt idx="77">
                  <c:v>0.40106567162218471</c:v>
                </c:pt>
                <c:pt idx="78">
                  <c:v>0.10825593685611062</c:v>
                </c:pt>
                <c:pt idx="79">
                  <c:v>0.25465377919815613</c:v>
                </c:pt>
                <c:pt idx="80">
                  <c:v>0.12326861201153802</c:v>
                </c:pt>
                <c:pt idx="81">
                  <c:v>0.12259121292155148</c:v>
                </c:pt>
                <c:pt idx="82">
                  <c:v>0.40620644720506349</c:v>
                </c:pt>
                <c:pt idx="83">
                  <c:v>0.30530360008683671</c:v>
                </c:pt>
                <c:pt idx="84">
                  <c:v>-3.5747632070064095E-2</c:v>
                </c:pt>
                <c:pt idx="85">
                  <c:v>2.5680430620163099E-2</c:v>
                </c:pt>
                <c:pt idx="86">
                  <c:v>-0.2208092222233807</c:v>
                </c:pt>
                <c:pt idx="87">
                  <c:v>0.20394835124775798</c:v>
                </c:pt>
                <c:pt idx="88">
                  <c:v>0.15925981292382599</c:v>
                </c:pt>
                <c:pt idx="89">
                  <c:v>0.23838807924312849</c:v>
                </c:pt>
                <c:pt idx="90">
                  <c:v>-5.8297993262606707E-2</c:v>
                </c:pt>
                <c:pt idx="91">
                  <c:v>0.20716094240446398</c:v>
                </c:pt>
                <c:pt idx="92">
                  <c:v>0.81159171884292691</c:v>
                </c:pt>
                <c:pt idx="93">
                  <c:v>1.1738692544220481</c:v>
                </c:pt>
                <c:pt idx="94">
                  <c:v>1.1488031628205904</c:v>
                </c:pt>
                <c:pt idx="95">
                  <c:v>1.1293977531261379</c:v>
                </c:pt>
                <c:pt idx="96">
                  <c:v>0.93675676296284616</c:v>
                </c:pt>
                <c:pt idx="97">
                  <c:v>0.84113803883158966</c:v>
                </c:pt>
                <c:pt idx="98">
                  <c:v>1.0972810961382906</c:v>
                </c:pt>
                <c:pt idx="99">
                  <c:v>1.2389284364571183</c:v>
                </c:pt>
                <c:pt idx="100">
                  <c:v>1.151844170513777</c:v>
                </c:pt>
                <c:pt idx="101">
                  <c:v>1.3765593078814577</c:v>
                </c:pt>
                <c:pt idx="102">
                  <c:v>2.0115390133801458</c:v>
                </c:pt>
                <c:pt idx="103">
                  <c:v>2.1203545192452693</c:v>
                </c:pt>
                <c:pt idx="104">
                  <c:v>2.4669617191477835</c:v>
                </c:pt>
                <c:pt idx="105">
                  <c:v>2.6532794463748508</c:v>
                </c:pt>
                <c:pt idx="106">
                  <c:v>2.6052826182248148</c:v>
                </c:pt>
                <c:pt idx="107">
                  <c:v>2.7091248975052964</c:v>
                </c:pt>
                <c:pt idx="108">
                  <c:v>2.5771359925225124</c:v>
                </c:pt>
                <c:pt idx="109">
                  <c:v>2.6937441700057714</c:v>
                </c:pt>
                <c:pt idx="110">
                  <c:v>2.6577439339208344</c:v>
                </c:pt>
                <c:pt idx="111">
                  <c:v>2.4294151454791599</c:v>
                </c:pt>
                <c:pt idx="112">
                  <c:v>2.3659317859378168</c:v>
                </c:pt>
                <c:pt idx="113">
                  <c:v>2.4177389733142101</c:v>
                </c:pt>
                <c:pt idx="114">
                  <c:v>2.375385922863448</c:v>
                </c:pt>
                <c:pt idx="115">
                  <c:v>2.4393308894548005</c:v>
                </c:pt>
                <c:pt idx="116">
                  <c:v>2.3251896051812926</c:v>
                </c:pt>
                <c:pt idx="117">
                  <c:v>2.3162068809994225</c:v>
                </c:pt>
                <c:pt idx="118">
                  <c:v>2.2391410527157851</c:v>
                </c:pt>
                <c:pt idx="119">
                  <c:v>2.2182614347317768</c:v>
                </c:pt>
                <c:pt idx="120">
                  <c:v>1.9901805307333176</c:v>
                </c:pt>
                <c:pt idx="121">
                  <c:v>1.8911981723405455</c:v>
                </c:pt>
                <c:pt idx="122">
                  <c:v>1.7669332138313456</c:v>
                </c:pt>
                <c:pt idx="123">
                  <c:v>1.3735184464426373</c:v>
                </c:pt>
                <c:pt idx="124">
                  <c:v>1.160425230981929</c:v>
                </c:pt>
                <c:pt idx="125">
                  <c:v>0.9866879005338498</c:v>
                </c:pt>
                <c:pt idx="126">
                  <c:v>1.3504744418726444</c:v>
                </c:pt>
                <c:pt idx="127">
                  <c:v>1.22453855849819</c:v>
                </c:pt>
                <c:pt idx="128">
                  <c:v>1.1696183746566875</c:v>
                </c:pt>
                <c:pt idx="129">
                  <c:v>1.0640457524262974</c:v>
                </c:pt>
                <c:pt idx="130">
                  <c:v>1.1001157062834992</c:v>
                </c:pt>
                <c:pt idx="131">
                  <c:v>1.0287745648173734</c:v>
                </c:pt>
                <c:pt idx="132">
                  <c:v>1.0526633227711084</c:v>
                </c:pt>
                <c:pt idx="133">
                  <c:v>1.0019119216909369</c:v>
                </c:pt>
                <c:pt idx="134">
                  <c:v>0.97045254435774597</c:v>
                </c:pt>
                <c:pt idx="135">
                  <c:v>1.1758381230502599</c:v>
                </c:pt>
                <c:pt idx="136">
                  <c:v>1.0640938420288271</c:v>
                </c:pt>
                <c:pt idx="137">
                  <c:v>0.91118045839617046</c:v>
                </c:pt>
                <c:pt idx="138">
                  <c:v>0.98570623748738706</c:v>
                </c:pt>
                <c:pt idx="139">
                  <c:v>0.97812086609813031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E1-40E9-AC80-EE30E38E7D1C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E1-40E9-AC80-EE30E38E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O29" sqref="EO29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2.1384622901678089E-2</v>
      </c>
      <c r="D3" s="2">
        <v>6.2085315585136414E-3</v>
      </c>
      <c r="E3" s="2">
        <v>3.5493887960910797E-2</v>
      </c>
      <c r="F3" s="2">
        <v>2.6995036751031879E-2</v>
      </c>
      <c r="G3" s="2">
        <v>1.9322143867611889E-2</v>
      </c>
      <c r="H3" s="2">
        <v>-4.8867595614865422E-4</v>
      </c>
      <c r="I3" s="2">
        <v>2.2219710052013401E-2</v>
      </c>
      <c r="J3" s="2">
        <v>8.1882821395993233E-3</v>
      </c>
      <c r="K3" s="2">
        <v>3.7730719894170761E-2</v>
      </c>
      <c r="L3" s="2">
        <v>8.0356046557426453E-2</v>
      </c>
      <c r="M3" s="2">
        <v>3.820226714015007E-2</v>
      </c>
      <c r="N3" s="2">
        <v>3.3819951117038727E-2</v>
      </c>
      <c r="O3" s="2">
        <v>2.6821058243513111E-2</v>
      </c>
      <c r="P3" s="2">
        <v>4.8989016562700272E-2</v>
      </c>
      <c r="Q3" s="2">
        <v>5.1116403192281723E-2</v>
      </c>
      <c r="R3" s="2">
        <v>2.8836483135819439E-2</v>
      </c>
      <c r="S3" s="2">
        <v>-1.1045613326132299E-2</v>
      </c>
      <c r="T3" s="2">
        <v>-5.4997783154249191E-3</v>
      </c>
      <c r="U3" s="2">
        <v>1.916555501520634E-2</v>
      </c>
      <c r="V3" s="2">
        <v>-2.3617833852767941E-2</v>
      </c>
      <c r="W3" s="2">
        <v>1.6766401007771489E-2</v>
      </c>
      <c r="X3" s="2">
        <v>6.8642176687717438E-2</v>
      </c>
      <c r="Y3" s="2">
        <v>3.7944957613945007E-2</v>
      </c>
      <c r="Z3" s="2">
        <v>2.6601735502481461E-2</v>
      </c>
      <c r="AA3" s="2">
        <v>-1.044304668903351E-2</v>
      </c>
      <c r="AB3" s="2">
        <v>6.0451116412878043E-2</v>
      </c>
      <c r="AC3" s="2">
        <v>1.2645645998418329E-2</v>
      </c>
      <c r="AD3" s="2">
        <v>3.1133845448493961E-2</v>
      </c>
      <c r="AE3" s="2">
        <v>3.1886115670204163E-2</v>
      </c>
      <c r="AF3" s="2">
        <v>6.3942134380340576E-2</v>
      </c>
      <c r="AG3" s="2">
        <v>-1.074034254997969E-2</v>
      </c>
      <c r="AH3" s="2">
        <v>1.93442776799202E-2</v>
      </c>
      <c r="AI3" s="2">
        <v>4.4364981353282928E-2</v>
      </c>
      <c r="AJ3" s="2">
        <v>5.9207383543252938E-2</v>
      </c>
      <c r="AK3" s="2">
        <v>3.8927238434553153E-2</v>
      </c>
      <c r="AL3" s="2">
        <v>5.3689334541559219E-2</v>
      </c>
      <c r="AM3" s="2">
        <v>5.2407745271921158E-2</v>
      </c>
      <c r="AN3" s="2">
        <v>5.1848378032445908E-2</v>
      </c>
      <c r="AO3" s="2">
        <v>5.6688833981752403E-2</v>
      </c>
      <c r="AP3" s="2">
        <v>7.7263422310352325E-2</v>
      </c>
      <c r="AQ3" s="2">
        <v>4.8698432743549347E-2</v>
      </c>
      <c r="AR3" s="2">
        <v>3.1827423721551902E-2</v>
      </c>
      <c r="AS3" s="2">
        <v>-5.3263027220964432E-3</v>
      </c>
      <c r="AT3" s="2">
        <v>6.8274345248937607E-3</v>
      </c>
      <c r="AU3" s="2">
        <v>2.8391312807798389E-2</v>
      </c>
      <c r="AV3" s="2">
        <v>6.589217483997345E-2</v>
      </c>
      <c r="AW3" s="2">
        <v>3.1806275248527527E-2</v>
      </c>
      <c r="AX3" s="2">
        <v>2.3136453703045849E-2</v>
      </c>
      <c r="AY3" s="2">
        <v>1.720385625958443E-2</v>
      </c>
      <c r="AZ3" s="2">
        <v>4.8162486404180527E-2</v>
      </c>
      <c r="BA3" s="2">
        <v>4.5020870864391327E-2</v>
      </c>
      <c r="BB3" s="2">
        <v>5.8584816753864288E-2</v>
      </c>
      <c r="BC3" s="2">
        <v>3.2960090786218643E-2</v>
      </c>
      <c r="BD3" s="2">
        <v>1.4948392286896711E-2</v>
      </c>
      <c r="BE3" s="2">
        <v>1.206005364656448E-2</v>
      </c>
      <c r="BF3" s="2">
        <v>4.1460148990154273E-2</v>
      </c>
      <c r="BG3" s="2">
        <v>2.717349678277969E-2</v>
      </c>
      <c r="BH3" s="2">
        <v>4.8242643475532532E-2</v>
      </c>
      <c r="BI3" s="2">
        <v>5.7555802166461938E-2</v>
      </c>
      <c r="BJ3" s="2">
        <v>5.4008647799491882E-2</v>
      </c>
      <c r="BK3" s="2">
        <v>5.9487193822860718E-2</v>
      </c>
      <c r="BL3" s="2">
        <v>4.4882841408252723E-2</v>
      </c>
      <c r="BM3" s="2">
        <v>1.869392208755016E-2</v>
      </c>
      <c r="BN3" s="2">
        <v>2.8275258839130402E-2</v>
      </c>
      <c r="BO3" s="2">
        <v>1.656997017562389E-2</v>
      </c>
      <c r="BP3" s="2">
        <v>3.0568450689315799E-2</v>
      </c>
      <c r="BQ3" s="2">
        <v>3.1830046325922012E-2</v>
      </c>
      <c r="BR3" s="2">
        <v>2.2769121453166011E-2</v>
      </c>
      <c r="BS3" s="2">
        <v>2.8570586815476421E-2</v>
      </c>
      <c r="BT3" s="2">
        <v>3.9114817976951599E-2</v>
      </c>
      <c r="BU3" s="2">
        <v>8.9526018127799034E-3</v>
      </c>
      <c r="BV3" s="2">
        <v>1.219893246889114E-2</v>
      </c>
      <c r="BW3" s="2">
        <v>2.1470315754413601E-2</v>
      </c>
      <c r="BX3" s="2">
        <v>2.493099682033062E-2</v>
      </c>
      <c r="BY3" s="2">
        <v>1.2077592313289641E-2</v>
      </c>
      <c r="BZ3" s="2">
        <v>3.645806759595871E-2</v>
      </c>
      <c r="CA3" s="2">
        <v>1.6028642654418949E-2</v>
      </c>
      <c r="CB3" s="2">
        <v>2.7871729806065559E-2</v>
      </c>
      <c r="CC3" s="2">
        <v>-1.566923339851201E-3</v>
      </c>
      <c r="CD3" s="2">
        <v>6.1749620363116256E-3</v>
      </c>
      <c r="CE3" s="2">
        <v>6.4363791607320309E-3</v>
      </c>
      <c r="CF3" s="2">
        <v>6.619059294462204E-2</v>
      </c>
      <c r="CG3" s="2">
        <v>2.8865136206150051E-2</v>
      </c>
      <c r="CH3" s="2">
        <v>5.1061570644378662E-2</v>
      </c>
      <c r="CI3" s="2">
        <v>5.7563208043575287E-2</v>
      </c>
      <c r="CJ3" s="2">
        <v>8.8996067643165588E-2</v>
      </c>
      <c r="CK3" s="2">
        <v>2.3406891152262691E-2</v>
      </c>
      <c r="CL3" s="2">
        <v>3.9076175540685647E-2</v>
      </c>
      <c r="CM3" s="2">
        <v>4.4518075883388519E-2</v>
      </c>
      <c r="CN3" s="2">
        <v>0.11028569936752319</v>
      </c>
      <c r="CO3" s="2">
        <v>3.7435531616210938E-2</v>
      </c>
      <c r="CP3" s="2">
        <v>1.222133636474609E-2</v>
      </c>
      <c r="CQ3" s="2">
        <v>2.380294352769852E-2</v>
      </c>
      <c r="CR3" s="2">
        <v>7.6876550912857056E-2</v>
      </c>
      <c r="CS3" s="2">
        <v>0.10389680415391921</v>
      </c>
      <c r="CT3" s="2">
        <v>6.6643297672271729E-2</v>
      </c>
      <c r="CU3" s="2">
        <v>4.6993248164653778E-2</v>
      </c>
      <c r="CV3" s="2">
        <v>2.871822752058506E-2</v>
      </c>
      <c r="CW3" s="2">
        <v>7.0636175572872162E-2</v>
      </c>
      <c r="CX3" s="2">
        <v>4.5363247394561768E-2</v>
      </c>
      <c r="CY3" s="2">
        <v>6.0462243854999542E-2</v>
      </c>
      <c r="CZ3" s="2">
        <v>6.0128804296255112E-2</v>
      </c>
      <c r="DA3" s="2">
        <v>4.1078437119722373E-2</v>
      </c>
      <c r="DB3" s="2">
        <v>2.6134224608540532E-2</v>
      </c>
      <c r="DC3" s="2">
        <v>4.5154552906751633E-2</v>
      </c>
      <c r="DD3" s="2">
        <v>4.1204877197742462E-2</v>
      </c>
      <c r="DE3" s="2">
        <v>7.9255074262619019E-2</v>
      </c>
      <c r="DF3" s="2">
        <v>3.7982180714607239E-2</v>
      </c>
      <c r="DG3" s="2">
        <v>1.8428875133395198E-2</v>
      </c>
      <c r="DH3" s="2">
        <v>3.6969806998968117E-2</v>
      </c>
      <c r="DI3" s="2">
        <v>1.331676170229912E-2</v>
      </c>
      <c r="DJ3" s="2">
        <v>1.356823276728392E-2</v>
      </c>
      <c r="DK3" s="2">
        <v>1.8075281754136089E-2</v>
      </c>
      <c r="DL3" s="2">
        <v>1.831196807324886E-2</v>
      </c>
      <c r="DM3" s="2">
        <v>-5.2976803854107857E-3</v>
      </c>
      <c r="DN3" s="2">
        <v>3.1424559652805328E-2</v>
      </c>
      <c r="DO3" s="2">
        <v>-5.9854225255548954E-3</v>
      </c>
      <c r="DP3" s="2">
        <v>3.073384054005146E-2</v>
      </c>
      <c r="DQ3" s="2">
        <v>3.8263808935880661E-2</v>
      </c>
      <c r="DR3" s="2">
        <v>5.8564659208059311E-2</v>
      </c>
      <c r="DS3" s="2">
        <v>3.6518916487693787E-2</v>
      </c>
      <c r="DT3" s="2">
        <v>2.9084345325827599E-2</v>
      </c>
      <c r="DU3" s="2">
        <v>9.2715034261345863E-3</v>
      </c>
      <c r="DV3" s="2">
        <v>-2.876596711575985E-2</v>
      </c>
      <c r="DW3" s="2">
        <v>6.1656545847654343E-2</v>
      </c>
      <c r="DX3" s="2">
        <v>3.319497918710113E-3</v>
      </c>
      <c r="DY3" s="2">
        <v>1.3810926117002961E-2</v>
      </c>
      <c r="DZ3" s="2">
        <v>-3.2365705817937851E-2</v>
      </c>
      <c r="EA3" s="2">
        <v>2.656497759744525E-3</v>
      </c>
      <c r="EB3" s="2">
        <v>5.3087126463651657E-2</v>
      </c>
      <c r="EC3" s="2">
        <v>7.0435956120491028E-2</v>
      </c>
      <c r="ED3" s="2">
        <v>7.5781151652336121E-2</v>
      </c>
      <c r="EE3" s="2">
        <v>7.4293278157711029E-2</v>
      </c>
      <c r="EF3" s="2">
        <v>-2.3859791457653049E-2</v>
      </c>
      <c r="EG3" s="2">
        <v>2.0955521613359451E-2</v>
      </c>
      <c r="EH3" s="2">
        <v>-4.9046785570681104E-3</v>
      </c>
      <c r="EI3" s="2">
        <v>1.7493529245257381E-2</v>
      </c>
      <c r="EJ3" s="2">
        <v>2.7235755696892738E-3</v>
      </c>
      <c r="EK3" s="2">
        <v>2.5114959571510549E-3</v>
      </c>
      <c r="EL3" s="2">
        <v>-3.6372389644384377E-2</v>
      </c>
      <c r="EM3" s="2">
        <v>-3.071239218115807E-3</v>
      </c>
    </row>
    <row r="4" spans="1:145" x14ac:dyDescent="0.3">
      <c r="B4" s="6" t="s">
        <v>144</v>
      </c>
      <c r="C4" s="2">
        <v>-2.0116182044148449E-2</v>
      </c>
      <c r="D4" s="2">
        <v>-4.1433513164520257E-2</v>
      </c>
      <c r="E4" s="2">
        <v>-0.1054108068346977</v>
      </c>
      <c r="F4" s="2">
        <v>-0.14115726947784421</v>
      </c>
      <c r="G4" s="2">
        <v>-0.1358892023563385</v>
      </c>
      <c r="H4" s="2">
        <v>-3.2324142754077911E-2</v>
      </c>
      <c r="I4" s="2">
        <v>-5.608823150396347E-2</v>
      </c>
      <c r="J4" s="2">
        <v>-6.0880199074745178E-2</v>
      </c>
      <c r="K4" s="2">
        <v>-4.1457630693912513E-2</v>
      </c>
      <c r="L4" s="2">
        <v>-1.8936943262815479E-2</v>
      </c>
      <c r="M4" s="2">
        <v>-4.3679680675268173E-2</v>
      </c>
      <c r="N4" s="2">
        <v>-2.1250296384096149E-2</v>
      </c>
      <c r="O4" s="2">
        <v>3.028000239282846E-3</v>
      </c>
      <c r="P4" s="2">
        <v>-5.2210021764039993E-2</v>
      </c>
      <c r="Q4" s="2">
        <v>-6.0307271778583527E-2</v>
      </c>
      <c r="R4" s="2">
        <v>-1.6635529696941379E-2</v>
      </c>
      <c r="S4" s="2">
        <v>-3.5245604813098907E-2</v>
      </c>
      <c r="T4" s="2">
        <v>-2.4626178666949269E-2</v>
      </c>
      <c r="U4" s="2">
        <v>4.8858420923352242E-3</v>
      </c>
      <c r="V4" s="2">
        <v>4.4351727701723584E-3</v>
      </c>
      <c r="W4" s="2">
        <v>2.1335095167160031E-2</v>
      </c>
      <c r="X4" s="2">
        <v>1.1508151888847349E-2</v>
      </c>
      <c r="Y4" s="2">
        <v>-3.3528175204992287E-2</v>
      </c>
      <c r="Z4" s="2">
        <v>-3.5066407173871987E-2</v>
      </c>
      <c r="AA4" s="2">
        <v>-1.8956955522298809E-2</v>
      </c>
      <c r="AB4" s="2">
        <v>-2.0634789019823071E-2</v>
      </c>
      <c r="AC4" s="2">
        <v>4.5430758036673069E-3</v>
      </c>
      <c r="AD4" s="2">
        <v>-7.8803729265928268E-3</v>
      </c>
      <c r="AE4" s="2">
        <v>-9.6710836514830589E-3</v>
      </c>
      <c r="AF4" s="2">
        <v>-3.119556233286858E-2</v>
      </c>
      <c r="AG4" s="2">
        <v>1.9589569419622421E-2</v>
      </c>
      <c r="AH4" s="2">
        <v>-2.1153058856725689E-2</v>
      </c>
      <c r="AI4" s="2">
        <v>-1.8485292792320251E-2</v>
      </c>
      <c r="AJ4" s="2">
        <v>-4.4810216873884201E-2</v>
      </c>
      <c r="AK4" s="2">
        <v>-3.8480717688798897E-2</v>
      </c>
      <c r="AL4" s="2">
        <v>-2.8241811320185661E-2</v>
      </c>
      <c r="AM4" s="2">
        <v>1.071570627391338E-2</v>
      </c>
      <c r="AN4" s="2">
        <v>-3.4469529986381531E-2</v>
      </c>
      <c r="AO4" s="2">
        <v>-2.5418078526854519E-2</v>
      </c>
      <c r="AP4" s="2">
        <v>-3.076112270355225E-2</v>
      </c>
      <c r="AQ4" s="2">
        <v>-3.7217754870653152E-2</v>
      </c>
      <c r="AR4" s="2">
        <v>-2.5028873234987259E-2</v>
      </c>
      <c r="AS4" s="2">
        <v>-2.6712249964475632E-2</v>
      </c>
      <c r="AT4" s="2">
        <v>1.9948748871684071E-2</v>
      </c>
      <c r="AU4" s="2">
        <v>-3.4190982580184943E-2</v>
      </c>
      <c r="AV4" s="2">
        <v>-1.5953699126839641E-2</v>
      </c>
      <c r="AW4" s="2">
        <v>-8.0705069005489349E-2</v>
      </c>
      <c r="AX4" s="2">
        <v>-1.6966873779892921E-2</v>
      </c>
      <c r="AY4" s="2">
        <v>-2.6864064857363701E-2</v>
      </c>
      <c r="AZ4" s="2">
        <v>-1.3301976025104519E-2</v>
      </c>
      <c r="BA4" s="2">
        <v>-2.7144066989421841E-2</v>
      </c>
      <c r="BB4" s="2">
        <v>-5.8215323835611343E-2</v>
      </c>
      <c r="BC4" s="2">
        <v>-3.1292259693145752E-2</v>
      </c>
      <c r="BD4" s="2">
        <v>-1.7290608957409859E-2</v>
      </c>
      <c r="BE4" s="2">
        <v>-4.8348080366849899E-2</v>
      </c>
      <c r="BF4" s="2">
        <v>-4.3041668832302087E-2</v>
      </c>
      <c r="BG4" s="2">
        <v>5.6051533669233322E-2</v>
      </c>
      <c r="BH4" s="2">
        <v>1.3574806973338131E-2</v>
      </c>
      <c r="BI4" s="2">
        <v>1.954366452991962E-3</v>
      </c>
      <c r="BJ4" s="2">
        <v>1.611663959920406E-2</v>
      </c>
      <c r="BK4" s="2">
        <v>-3.4451618790626533E-2</v>
      </c>
      <c r="BL4" s="2">
        <v>-4.8494916409254067E-2</v>
      </c>
      <c r="BM4" s="2">
        <v>1.8059739843010899E-2</v>
      </c>
      <c r="BN4" s="2">
        <v>-4.6812752261757851E-3</v>
      </c>
      <c r="BO4" s="2">
        <v>1.687155920080841E-3</v>
      </c>
      <c r="BP4" s="2">
        <v>3.3530544489622123E-2</v>
      </c>
      <c r="BQ4" s="2">
        <v>9.9907955154776573E-3</v>
      </c>
      <c r="BR4" s="2">
        <v>4.0667824447154999E-2</v>
      </c>
      <c r="BS4" s="2">
        <v>2.3329269140958789E-2</v>
      </c>
      <c r="BT4" s="2">
        <v>-4.4324260205030441E-2</v>
      </c>
      <c r="BU4" s="2">
        <v>-7.1650400757789612E-2</v>
      </c>
      <c r="BV4" s="2">
        <v>-1.7102757468819622E-2</v>
      </c>
      <c r="BW4" s="2">
        <v>4.0029857307672501E-2</v>
      </c>
      <c r="BX4" s="2">
        <v>1.7527525778859849E-3</v>
      </c>
      <c r="BY4" s="2">
        <v>-2.404789254069328E-2</v>
      </c>
      <c r="BZ4" s="2">
        <v>-3.7445716559886932E-2</v>
      </c>
      <c r="CA4" s="2">
        <v>-4.6248454600572593E-2</v>
      </c>
      <c r="CB4" s="2">
        <v>-9.6187498420476913E-3</v>
      </c>
      <c r="CC4" s="2">
        <v>-4.7657586634159088E-2</v>
      </c>
      <c r="CD4" s="2">
        <v>-4.3317254632711411E-2</v>
      </c>
      <c r="CE4" s="2">
        <v>-6.9234132766723633E-2</v>
      </c>
      <c r="CF4" s="2">
        <v>-3.8890421390533447E-2</v>
      </c>
      <c r="CG4" s="2">
        <v>-5.9534341096878052E-2</v>
      </c>
      <c r="CH4" s="2">
        <v>-5.0186887383460999E-2</v>
      </c>
      <c r="CI4" s="2">
        <v>-5.3663581609725952E-2</v>
      </c>
      <c r="CJ4" s="2">
        <v>-3.3301092684268951E-2</v>
      </c>
      <c r="CK4" s="2">
        <v>-2.4340655654668811E-2</v>
      </c>
      <c r="CL4" s="2">
        <v>-1.6147250309586521E-2</v>
      </c>
      <c r="CM4" s="2">
        <v>-4.1242804378271103E-2</v>
      </c>
      <c r="CN4" s="2">
        <v>-3.162054717540741E-2</v>
      </c>
      <c r="CO4" s="2">
        <v>3.3149775117635727E-2</v>
      </c>
      <c r="CP4" s="2">
        <v>6.3154622912406921E-2</v>
      </c>
      <c r="CQ4" s="2">
        <v>-4.0926769375801093E-2</v>
      </c>
      <c r="CR4" s="2">
        <v>4.1355922818183899E-2</v>
      </c>
      <c r="CS4" s="2">
        <v>-9.8862186074256897E-2</v>
      </c>
      <c r="CT4" s="2">
        <v>-6.5789952874183655E-2</v>
      </c>
      <c r="CU4" s="2">
        <v>-5.2493758499622338E-2</v>
      </c>
      <c r="CV4" s="2">
        <v>1.4395703328773379E-3</v>
      </c>
      <c r="CW4" s="2">
        <v>-2.5382401421666149E-2</v>
      </c>
      <c r="CX4" s="2">
        <v>-1.497303880751133E-2</v>
      </c>
      <c r="CY4" s="2">
        <v>-2.5147143751382831E-2</v>
      </c>
      <c r="CZ4" s="2">
        <v>-3.8899973034858697E-2</v>
      </c>
      <c r="DA4" s="2">
        <v>-6.6368021070957184E-2</v>
      </c>
      <c r="DB4" s="2">
        <v>-9.9088206887245178E-2</v>
      </c>
      <c r="DC4" s="2">
        <v>-8.7841019034385681E-2</v>
      </c>
      <c r="DD4" s="2">
        <v>-9.5149271190166473E-2</v>
      </c>
      <c r="DE4" s="2">
        <v>-7.5684666633605957E-2</v>
      </c>
      <c r="DF4" s="2">
        <v>-6.1269368976354599E-2</v>
      </c>
      <c r="DG4" s="2">
        <v>-6.4791887998580933E-2</v>
      </c>
      <c r="DH4" s="2">
        <v>-4.2990855872631073E-2</v>
      </c>
      <c r="DI4" s="2">
        <v>1.6611326485872269E-2</v>
      </c>
      <c r="DJ4" s="2">
        <v>-5.498785525560379E-2</v>
      </c>
      <c r="DK4" s="2">
        <v>-8.0709442496299744E-2</v>
      </c>
      <c r="DL4" s="2">
        <v>-8.7292157113552094E-2</v>
      </c>
      <c r="DM4" s="2">
        <v>2.5429284200072289E-2</v>
      </c>
      <c r="DN4" s="2">
        <v>1.348613388836384E-2</v>
      </c>
      <c r="DO4" s="2">
        <v>2.691176533699036E-2</v>
      </c>
      <c r="DP4" s="2">
        <v>-2.0206337794661518E-2</v>
      </c>
      <c r="DQ4" s="2">
        <v>-2.807299792766571E-2</v>
      </c>
      <c r="DR4" s="2">
        <v>-7.4518457055091858E-2</v>
      </c>
      <c r="DS4" s="2">
        <v>-1.5364203136414289E-4</v>
      </c>
      <c r="DT4" s="2">
        <v>-3.2376378774642937E-2</v>
      </c>
      <c r="DU4" s="2">
        <v>-4.4630087912082672E-2</v>
      </c>
      <c r="DV4" s="2">
        <v>-6.5195851027965546E-2</v>
      </c>
      <c r="DW4" s="2">
        <v>9.7361684311181307E-4</v>
      </c>
      <c r="DX4" s="2">
        <v>-4.8191780224442482E-3</v>
      </c>
      <c r="DY4" s="2">
        <v>-6.2778793275356293E-2</v>
      </c>
      <c r="DZ4" s="2">
        <v>-3.5209164023399353E-2</v>
      </c>
      <c r="EA4" s="2">
        <v>-6.0484454035758972E-2</v>
      </c>
      <c r="EB4" s="2">
        <v>-6.5868578851222992E-2</v>
      </c>
      <c r="EC4" s="2">
        <v>-6.4344577491283417E-2</v>
      </c>
      <c r="ED4" s="2">
        <v>-6.2420867383480072E-2</v>
      </c>
      <c r="EE4" s="2">
        <v>-3.765815868973732E-2</v>
      </c>
      <c r="EF4" s="2">
        <v>-1.969143562018871E-2</v>
      </c>
      <c r="EG4" s="2">
        <v>1.0347722098231321E-2</v>
      </c>
      <c r="EH4" s="2">
        <v>-7.5388825498521328E-3</v>
      </c>
      <c r="EI4" s="2">
        <v>-3.7975464016199112E-2</v>
      </c>
      <c r="EJ4" s="2">
        <v>-2.6498528197407719E-2</v>
      </c>
      <c r="EK4" s="2">
        <v>2.7714299038052559E-2</v>
      </c>
      <c r="EL4" s="2">
        <v>5.3217515349388123E-2</v>
      </c>
      <c r="EM4" s="2">
        <v>8.3066843450069427E-2</v>
      </c>
    </row>
    <row r="5" spans="1:145" x14ac:dyDescent="0.3">
      <c r="B5" s="1" t="s">
        <v>145</v>
      </c>
      <c r="C5" s="2">
        <v>5.5741846561431878E-2</v>
      </c>
      <c r="D5" s="2">
        <v>1.5730537474155429E-2</v>
      </c>
      <c r="E5" s="2">
        <v>-8.4050968289375305E-3</v>
      </c>
      <c r="F5" s="2">
        <v>7.0764519274234772E-2</v>
      </c>
      <c r="G5" s="2">
        <v>6.1796344816684723E-2</v>
      </c>
      <c r="H5" s="2">
        <v>1.9191207364201549E-2</v>
      </c>
      <c r="I5" s="2">
        <v>2.7801195159554482E-2</v>
      </c>
      <c r="J5" s="2">
        <v>6.3844837248325348E-2</v>
      </c>
      <c r="K5" s="2">
        <v>8.7833143770694733E-3</v>
      </c>
      <c r="L5" s="2">
        <v>2.9632467776536942E-2</v>
      </c>
      <c r="M5" s="2">
        <v>3.1051227822899818E-2</v>
      </c>
      <c r="N5" s="2">
        <v>8.4429970011115074E-3</v>
      </c>
      <c r="O5" s="2">
        <v>3.6712147295475013E-2</v>
      </c>
      <c r="P5" s="2">
        <v>1.7434984445571899E-2</v>
      </c>
      <c r="Q5" s="2">
        <v>3.7053599953651428E-2</v>
      </c>
      <c r="R5" s="2">
        <v>2.1478258073329929E-2</v>
      </c>
      <c r="S5" s="2">
        <v>4.6521492302417762E-2</v>
      </c>
      <c r="T5" s="2">
        <v>1.8265387043356899E-2</v>
      </c>
      <c r="U5" s="2">
        <v>2.9996473342180249E-2</v>
      </c>
      <c r="V5" s="2">
        <v>8.2199856638908386E-2</v>
      </c>
      <c r="W5" s="2">
        <v>5.1936138421297073E-2</v>
      </c>
      <c r="X5" s="2">
        <v>1.8651567399501801E-2</v>
      </c>
      <c r="Y5" s="2">
        <v>-2.8840977698564529E-2</v>
      </c>
      <c r="Z5" s="2">
        <v>-4.8936635255813599E-2</v>
      </c>
      <c r="AA5" s="2">
        <v>7.4104063212871552E-2</v>
      </c>
      <c r="AB5" s="2">
        <v>-7.9052217304706573E-2</v>
      </c>
      <c r="AC5" s="2">
        <v>4.592437669634819E-2</v>
      </c>
      <c r="AD5" s="2">
        <v>-1.2192311696708201E-2</v>
      </c>
      <c r="AE5" s="2">
        <v>6.8174158222973347E-3</v>
      </c>
      <c r="AF5" s="2">
        <v>2.5050153955817219E-2</v>
      </c>
      <c r="AG5" s="2">
        <v>4.8616897314786911E-2</v>
      </c>
      <c r="AH5" s="2">
        <v>1.1846562847495079E-3</v>
      </c>
      <c r="AI5" s="2">
        <v>-2.8516151360236108E-4</v>
      </c>
      <c r="AJ5" s="2">
        <v>5.6431600823998451E-3</v>
      </c>
      <c r="AK5" s="2">
        <v>3.1767126172780991E-2</v>
      </c>
      <c r="AL5" s="2">
        <v>2.2000886965543032E-3</v>
      </c>
      <c r="AM5" s="2">
        <v>1.528516598045826E-2</v>
      </c>
      <c r="AN5" s="2">
        <v>-1.262857671827078E-2</v>
      </c>
      <c r="AO5" s="2">
        <v>2.365807443857193E-2</v>
      </c>
      <c r="AP5" s="2">
        <v>4.5001458376646042E-2</v>
      </c>
      <c r="AQ5" s="2">
        <v>4.8620425164699548E-2</v>
      </c>
      <c r="AR5" s="2">
        <v>5.3666368126869202E-2</v>
      </c>
      <c r="AS5" s="2">
        <v>3.9547394961118698E-2</v>
      </c>
      <c r="AT5" s="2">
        <v>2.9460180550813671E-2</v>
      </c>
      <c r="AU5" s="2">
        <v>2.2005906328558918E-2</v>
      </c>
      <c r="AV5" s="2">
        <v>5.57871013879776E-2</v>
      </c>
      <c r="AW5" s="2">
        <v>4.1573628783226013E-2</v>
      </c>
      <c r="AX5" s="2">
        <v>5.7690292596817017E-2</v>
      </c>
      <c r="AY5" s="2">
        <v>5.2581634372472763E-2</v>
      </c>
      <c r="AZ5" s="2">
        <v>-8.5635492578148842E-3</v>
      </c>
      <c r="BA5" s="2">
        <v>4.225115105509758E-2</v>
      </c>
      <c r="BB5" s="2">
        <v>-1.6324453055858609E-2</v>
      </c>
      <c r="BC5" s="2">
        <v>6.4180669141933322E-4</v>
      </c>
      <c r="BD5" s="2">
        <v>-5.6817673146724701E-2</v>
      </c>
      <c r="BE5" s="2">
        <v>-2.9879733920097351E-2</v>
      </c>
      <c r="BF5" s="2">
        <v>1.893253996968269E-2</v>
      </c>
      <c r="BG5" s="2">
        <v>-3.5026323050260537E-2</v>
      </c>
      <c r="BH5" s="2">
        <v>-6.5759293735027313E-2</v>
      </c>
      <c r="BI5" s="2">
        <v>-7.9368360340595245E-2</v>
      </c>
      <c r="BJ5" s="2">
        <v>-8.5684239864349365E-2</v>
      </c>
      <c r="BK5" s="2">
        <v>-4.9413099884986877E-2</v>
      </c>
      <c r="BL5" s="2">
        <v>-1.1686298530548811E-3</v>
      </c>
      <c r="BM5" s="2">
        <v>-2.3616783320903782E-2</v>
      </c>
      <c r="BN5" s="2">
        <v>-3.0536096543073651E-2</v>
      </c>
      <c r="BO5" s="2">
        <v>2.686824090778828E-2</v>
      </c>
      <c r="BP5" s="2">
        <v>2.7123436331748959E-2</v>
      </c>
      <c r="BQ5" s="2">
        <v>9.7388895228505135E-3</v>
      </c>
      <c r="BR5" s="2">
        <v>2.0006326958537098E-2</v>
      </c>
      <c r="BS5" s="2">
        <v>1.4250755775719881E-3</v>
      </c>
      <c r="BT5" s="2">
        <v>4.8925049602985382E-2</v>
      </c>
      <c r="BU5" s="2">
        <v>4.7599527984857559E-2</v>
      </c>
      <c r="BV5" s="2">
        <v>-2.8521495405584569E-3</v>
      </c>
      <c r="BW5" s="2">
        <v>3.047716990113258E-2</v>
      </c>
      <c r="BX5" s="2">
        <v>3.2435460016131401E-3</v>
      </c>
      <c r="BY5" s="2">
        <v>-4.4437490403652191E-2</v>
      </c>
      <c r="BZ5" s="2">
        <v>3.372203791514039E-4</v>
      </c>
      <c r="CA5" s="2">
        <v>5.1361106336116791E-2</v>
      </c>
      <c r="CB5" s="2">
        <v>4.0368124842643738E-2</v>
      </c>
      <c r="CC5" s="2">
        <v>2.743220329284668E-2</v>
      </c>
      <c r="CD5" s="2">
        <v>2.207928895950317E-2</v>
      </c>
      <c r="CE5" s="2">
        <v>2.3870967328548431E-2</v>
      </c>
      <c r="CF5" s="2">
        <v>-3.202897310256958E-2</v>
      </c>
      <c r="CG5" s="2">
        <v>-7.1231015026569366E-2</v>
      </c>
      <c r="CH5" s="2">
        <v>-4.6868059784173972E-2</v>
      </c>
      <c r="CI5" s="2">
        <v>-6.7858822643756866E-2</v>
      </c>
      <c r="CJ5" s="2">
        <v>-6.4342252910137177E-2</v>
      </c>
      <c r="CK5" s="2">
        <v>-5.9413556009531021E-2</v>
      </c>
      <c r="CL5" s="2">
        <v>8.4330163896083832E-2</v>
      </c>
      <c r="CM5" s="2">
        <v>6.5344303846359253E-2</v>
      </c>
      <c r="CN5" s="2">
        <v>4.4891763478517532E-2</v>
      </c>
      <c r="CO5" s="2">
        <v>1.0420361533761019E-2</v>
      </c>
      <c r="CP5" s="2">
        <v>0.1182377934455872</v>
      </c>
      <c r="CQ5" s="2">
        <v>5.0723213702440262E-2</v>
      </c>
      <c r="CR5" s="2">
        <v>3.3173959702253342E-2</v>
      </c>
      <c r="CS5" s="2">
        <v>-3.7132888101041321E-3</v>
      </c>
      <c r="CT5" s="2">
        <v>-1.008150540292263E-2</v>
      </c>
      <c r="CU5" s="2">
        <v>4.6655397862195969E-2</v>
      </c>
      <c r="CV5" s="2">
        <v>-5.5946167558431634E-3</v>
      </c>
      <c r="CW5" s="2">
        <v>-0.1470402330160141</v>
      </c>
      <c r="CX5" s="2">
        <v>-2.894680388271809E-2</v>
      </c>
      <c r="CY5" s="2">
        <v>8.4989266470074654E-3</v>
      </c>
      <c r="CZ5" s="2">
        <v>-2.2278601303696629E-2</v>
      </c>
      <c r="DA5" s="2">
        <v>3.0063033103942871E-2</v>
      </c>
      <c r="DB5" s="2">
        <v>-1.368775591254234E-2</v>
      </c>
      <c r="DC5" s="2">
        <v>3.7013180553913123E-2</v>
      </c>
      <c r="DD5" s="2">
        <v>4.2487449944019318E-2</v>
      </c>
      <c r="DE5" s="2">
        <v>3.5419993102550507E-2</v>
      </c>
      <c r="DF5" s="2">
        <v>5.0845975056290627E-3</v>
      </c>
      <c r="DG5" s="2">
        <v>3.7272726185619831E-3</v>
      </c>
      <c r="DH5" s="2">
        <v>-6.6102910786867142E-3</v>
      </c>
      <c r="DI5" s="2">
        <v>-5.582159012556076E-2</v>
      </c>
      <c r="DJ5" s="2">
        <v>4.8400323837995529E-2</v>
      </c>
      <c r="DK5" s="2">
        <v>1.1602438054978849E-2</v>
      </c>
      <c r="DL5" s="2">
        <v>1.8670994788408279E-2</v>
      </c>
      <c r="DM5" s="2">
        <v>1.2823298573493959E-2</v>
      </c>
      <c r="DN5" s="2">
        <v>3.3588364720344543E-2</v>
      </c>
      <c r="DO5" s="2">
        <v>3.080024570226669E-2</v>
      </c>
      <c r="DP5" s="2">
        <v>4.4318786822259426E-3</v>
      </c>
      <c r="DQ5" s="2">
        <v>-2.750279009342194E-2</v>
      </c>
      <c r="DR5" s="2">
        <v>-0.1000711172819138</v>
      </c>
      <c r="DS5" s="2">
        <v>2.2957990877330299E-3</v>
      </c>
      <c r="DT5" s="2">
        <v>4.5962766744196406E-3</v>
      </c>
      <c r="DU5" s="2">
        <v>4.9048192799091339E-2</v>
      </c>
      <c r="DV5" s="2">
        <v>4.9711555242538452E-2</v>
      </c>
      <c r="DW5" s="2">
        <v>6.2132958322763443E-2</v>
      </c>
      <c r="DX5" s="2">
        <v>3.4120500087738037E-2</v>
      </c>
      <c r="DY5" s="2">
        <v>-4.3345347046852112E-2</v>
      </c>
      <c r="DZ5" s="2">
        <v>1.6171941533684731E-2</v>
      </c>
      <c r="EA5" s="2">
        <v>2.0687229931354519E-2</v>
      </c>
      <c r="EB5" s="2">
        <v>2.4651791900396351E-2</v>
      </c>
      <c r="EC5" s="2">
        <v>-7.1213126182556152E-2</v>
      </c>
      <c r="ED5" s="2">
        <v>-6.88604936003685E-2</v>
      </c>
      <c r="EE5" s="2">
        <v>-2.8207767754793171E-2</v>
      </c>
      <c r="EF5" s="2">
        <v>1.9379980862140659E-2</v>
      </c>
      <c r="EG5" s="2">
        <v>-1.8364094197750092E-2</v>
      </c>
      <c r="EH5" s="2">
        <v>-4.4609863311052322E-2</v>
      </c>
      <c r="EI5" s="2">
        <v>-8.8491691276431084E-3</v>
      </c>
      <c r="EJ5" s="2">
        <v>1.1057978495955471E-2</v>
      </c>
      <c r="EK5" s="2">
        <v>-3.502532839775085E-3</v>
      </c>
      <c r="EL5" s="2">
        <v>1.083044148981571E-2</v>
      </c>
      <c r="EM5" s="2">
        <v>7.6744821853935719E-3</v>
      </c>
    </row>
    <row r="6" spans="1:145" x14ac:dyDescent="0.3">
      <c r="A6" s="20" t="s">
        <v>146</v>
      </c>
      <c r="B6" s="21"/>
      <c r="C6" s="2">
        <f t="array" ref="C6">MATCH(MAX(ABS(C3:C5)), ABS(C3:C5), 0)</f>
        <v>3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2</v>
      </c>
      <c r="H6" s="2">
        <f t="array" ref="H6">MATCH(MAX(ABS(H3:H5)), ABS(H3:H5), 0)</f>
        <v>2</v>
      </c>
      <c r="I6" s="2">
        <f t="array" ref="I6">MATCH(MAX(ABS(I3:I5)), ABS(I3:I5), 0)</f>
        <v>2</v>
      </c>
      <c r="J6" s="2">
        <f t="array" ref="J6">MATCH(MAX(ABS(J3:J5)), ABS(J3:J5), 0)</f>
        <v>3</v>
      </c>
      <c r="K6" s="2">
        <f t="array" ref="K6">MATCH(MAX(ABS(K3:K5)), ABS(K3:K5), 0)</f>
        <v>2</v>
      </c>
      <c r="L6" s="2">
        <f t="array" ref="L6">MATCH(MAX(ABS(L3:L5)), ABS(L3:L5), 0)</f>
        <v>1</v>
      </c>
      <c r="M6" s="2">
        <f t="array" ref="M6">MATCH(MAX(ABS(M3:M5)), ABS(M3:M5), 0)</f>
        <v>2</v>
      </c>
      <c r="N6" s="2">
        <f t="array" ref="N6">MATCH(MAX(ABS(N3:N5)), ABS(N3:N5), 0)</f>
        <v>1</v>
      </c>
      <c r="O6" s="2">
        <f t="array" ref="O6">MATCH(MAX(ABS(O3:O5)), ABS(O3:O5), 0)</f>
        <v>3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2</v>
      </c>
      <c r="U6" s="2">
        <f t="array" ref="U6">MATCH(MAX(ABS(U3:U5)), ABS(U3:U5), 0)</f>
        <v>3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1</v>
      </c>
      <c r="Y6" s="2">
        <f t="array" ref="Y6">MATCH(MAX(ABS(Y3:Y5)), ABS(Y3:Y5), 0)</f>
        <v>1</v>
      </c>
      <c r="Z6" s="2">
        <f t="array" ref="Z6">MATCH(MAX(ABS(Z3:Z5)), ABS(Z3:Z5), 0)</f>
        <v>3</v>
      </c>
      <c r="AA6" s="2">
        <f t="array" ref="AA6">MATCH(MAX(ABS(AA3:AA5)), ABS(AA3:AA5), 0)</f>
        <v>3</v>
      </c>
      <c r="AB6" s="2">
        <f t="array" ref="AB6">MATCH(MAX(ABS(AB3:AB5)), ABS(AB3:AB5), 0)</f>
        <v>3</v>
      </c>
      <c r="AC6" s="2">
        <f t="array" ref="AC6">MATCH(MAX(ABS(AC3:AC5)), ABS(AC3:AC5), 0)</f>
        <v>3</v>
      </c>
      <c r="AD6" s="2">
        <f t="array" ref="AD6">MATCH(MAX(ABS(AD3:AD5)), ABS(AD3:AD5), 0)</f>
        <v>1</v>
      </c>
      <c r="AE6" s="2">
        <f t="array" ref="AE6">MATCH(MAX(ABS(AE3:AE5)), ABS(AE3:AE5), 0)</f>
        <v>1</v>
      </c>
      <c r="AF6" s="2">
        <f t="array" ref="AF6">MATCH(MAX(ABS(AF3:AF5)), ABS(AF3:AF5), 0)</f>
        <v>1</v>
      </c>
      <c r="AG6" s="2">
        <f t="array" ref="AG6">MATCH(MAX(ABS(AG3:AG5)), ABS(AG3:AG5), 0)</f>
        <v>3</v>
      </c>
      <c r="AH6" s="2">
        <f t="array" ref="AH6">MATCH(MAX(ABS(AH3:AH5)), ABS(AH3:AH5), 0)</f>
        <v>2</v>
      </c>
      <c r="AI6" s="2">
        <f t="array" ref="AI6">MATCH(MAX(ABS(AI3:AI5)), ABS(AI3:AI5), 0)</f>
        <v>1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1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3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1</v>
      </c>
      <c r="AW6" s="2">
        <f t="array" ref="AW6">MATCH(MAX(ABS(AW3:AW5)), ABS(AW3:AW5), 0)</f>
        <v>2</v>
      </c>
      <c r="AX6" s="2">
        <f t="array" ref="AX6">MATCH(MAX(ABS(AX3:AX5)), ABS(AX3:AX5), 0)</f>
        <v>3</v>
      </c>
      <c r="AY6" s="2">
        <f t="array" ref="AY6">MATCH(MAX(ABS(AY3:AY5)), ABS(AY3:AY5), 0)</f>
        <v>3</v>
      </c>
      <c r="AZ6" s="2">
        <f t="array" ref="AZ6">MATCH(MAX(ABS(AZ3:AZ5)), ABS(AZ3:AZ5), 0)</f>
        <v>1</v>
      </c>
      <c r="BA6" s="2">
        <f t="array" ref="BA6">MATCH(MAX(ABS(BA3:BA5)), ABS(BA3:BA5), 0)</f>
        <v>1</v>
      </c>
      <c r="BB6" s="2">
        <f t="array" ref="BB6">MATCH(MAX(ABS(BB3:BB5)), ABS(BB3:BB5), 0)</f>
        <v>1</v>
      </c>
      <c r="BC6" s="2">
        <f t="array" ref="BC6">MATCH(MAX(ABS(BC3:BC5)), ABS(BC3:BC5), 0)</f>
        <v>1</v>
      </c>
      <c r="BD6" s="2">
        <f t="array" ref="BD6">MATCH(MAX(ABS(BD3:BD5)), ABS(BD3:BD5), 0)</f>
        <v>3</v>
      </c>
      <c r="BE6" s="2">
        <f t="array" ref="BE6">MATCH(MAX(ABS(BE3:BE5)), ABS(BE3:BE5), 0)</f>
        <v>2</v>
      </c>
      <c r="BF6" s="2">
        <f t="array" ref="BF6">MATCH(MAX(ABS(BF3:BF5)), ABS(BF3:BF5), 0)</f>
        <v>2</v>
      </c>
      <c r="BG6" s="2">
        <f t="array" ref="BG6">MATCH(MAX(ABS(BG3:BG5)), ABS(BG3:BG5), 0)</f>
        <v>2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3</v>
      </c>
      <c r="BK6" s="2">
        <f t="array" ref="BK6">MATCH(MAX(ABS(BK3:BK5)), ABS(BK3:BK5), 0)</f>
        <v>1</v>
      </c>
      <c r="BL6" s="2">
        <f t="array" ref="BL6">MATCH(MAX(ABS(BL3:BL5)), ABS(BL3:BL5), 0)</f>
        <v>2</v>
      </c>
      <c r="BM6" s="2">
        <f t="array" ref="BM6">MATCH(MAX(ABS(BM3:BM5)), ABS(BM3:BM5), 0)</f>
        <v>3</v>
      </c>
      <c r="BN6" s="2">
        <f t="array" ref="BN6">MATCH(MAX(ABS(BN3:BN5)), ABS(BN3:BN5), 0)</f>
        <v>3</v>
      </c>
      <c r="BO6" s="2">
        <f t="array" ref="BO6">MATCH(MAX(ABS(BO3:BO5)), ABS(BO3:BO5), 0)</f>
        <v>3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2</v>
      </c>
      <c r="BS6" s="2">
        <f t="array" ref="BS6">MATCH(MAX(ABS(BS3:BS5)), ABS(BS3:BS5), 0)</f>
        <v>1</v>
      </c>
      <c r="BT6" s="2">
        <f t="array" ref="BT6">MATCH(MAX(ABS(BT3:BT5)), ABS(BT3:BT5), 0)</f>
        <v>3</v>
      </c>
      <c r="BU6" s="2">
        <f t="array" ref="BU6">MATCH(MAX(ABS(BU3:BU5)), ABS(BU3:BU5), 0)</f>
        <v>2</v>
      </c>
      <c r="BV6" s="2">
        <f t="array" ref="BV6">MATCH(MAX(ABS(BV3:BV5)), ABS(BV3:BV5), 0)</f>
        <v>2</v>
      </c>
      <c r="BW6" s="2">
        <f t="array" ref="BW6">MATCH(MAX(ABS(BW3:BW5)), ABS(BW3:BW5), 0)</f>
        <v>2</v>
      </c>
      <c r="BX6" s="2">
        <f t="array" ref="BX6">MATCH(MAX(ABS(BX3:BX5)), ABS(BX3:BX5), 0)</f>
        <v>1</v>
      </c>
      <c r="BY6" s="2">
        <f t="array" ref="BY6">MATCH(MAX(ABS(BY3:BY5)), ABS(BY3:BY5), 0)</f>
        <v>3</v>
      </c>
      <c r="BZ6" s="2">
        <f t="array" ref="BZ6">MATCH(MAX(ABS(BZ3:BZ5)), ABS(BZ3:BZ5), 0)</f>
        <v>2</v>
      </c>
      <c r="CA6" s="2">
        <f t="array" ref="CA6">MATCH(MAX(ABS(CA3:CA5)), ABS(CA3:CA5), 0)</f>
        <v>3</v>
      </c>
      <c r="CB6" s="2">
        <f t="array" ref="CB6">MATCH(MAX(ABS(CB3:CB5)), ABS(CB3:CB5), 0)</f>
        <v>3</v>
      </c>
      <c r="CC6" s="2">
        <f t="array" ref="CC6">MATCH(MAX(ABS(CC3:CC5)), ABS(CC3:CC5), 0)</f>
        <v>2</v>
      </c>
      <c r="CD6" s="2">
        <f t="array" ref="CD6">MATCH(MAX(ABS(CD3:CD5)), ABS(CD3:CD5), 0)</f>
        <v>2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3</v>
      </c>
      <c r="CJ6" s="2">
        <f t="array" ref="CJ6">MATCH(MAX(ABS(CJ3:CJ5)), ABS(CJ3:CJ5), 0)</f>
        <v>1</v>
      </c>
      <c r="CK6" s="2">
        <f t="array" ref="CK6">MATCH(MAX(ABS(CK3:CK5)), ABS(CK3:CK5), 0)</f>
        <v>3</v>
      </c>
      <c r="CL6" s="2">
        <f t="array" ref="CL6">MATCH(MAX(ABS(CL3:CL5)), ABS(CL3:CL5), 0)</f>
        <v>3</v>
      </c>
      <c r="CM6" s="2">
        <f t="array" ref="CM6">MATCH(MAX(ABS(CM3:CM5)), ABS(CM3:CM5), 0)</f>
        <v>3</v>
      </c>
      <c r="CN6" s="2">
        <f t="array" ref="CN6">MATCH(MAX(ABS(CN3:CN5)), ABS(CN3:CN5), 0)</f>
        <v>1</v>
      </c>
      <c r="CO6" s="2">
        <f t="array" ref="CO6">MATCH(MAX(ABS(CO3:CO5)), ABS(CO3:CO5), 0)</f>
        <v>1</v>
      </c>
      <c r="CP6" s="2">
        <f t="array" ref="CP6">MATCH(MAX(ABS(CP3:CP5)), ABS(CP3:CP5), 0)</f>
        <v>3</v>
      </c>
      <c r="CQ6" s="2">
        <f t="array" ref="CQ6">MATCH(MAX(ABS(CQ3:CQ5)), ABS(CQ3:CQ5), 0)</f>
        <v>3</v>
      </c>
      <c r="CR6" s="2">
        <f t="array" ref="CR6">MATCH(MAX(ABS(CR3:CR5)), ABS(CR3:CR5), 0)</f>
        <v>1</v>
      </c>
      <c r="CS6" s="2">
        <f t="array" ref="CS6">MATCH(MAX(ABS(CS3:CS5)), ABS(CS3:CS5), 0)</f>
        <v>1</v>
      </c>
      <c r="CT6" s="2">
        <f t="array" ref="CT6">MATCH(MAX(ABS(CT3:CT5)), ABS(CT3:CT5), 0)</f>
        <v>1</v>
      </c>
      <c r="CU6" s="2">
        <f t="array" ref="CU6">MATCH(MAX(ABS(CU3:CU5)), ABS(CU3:CU5), 0)</f>
        <v>2</v>
      </c>
      <c r="CV6" s="2">
        <f t="array" ref="CV6">MATCH(MAX(ABS(CV3:CV5)), ABS(CV3:CV5), 0)</f>
        <v>1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1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2</v>
      </c>
      <c r="DD6" s="2">
        <f t="array" ref="DD6">MATCH(MAX(ABS(DD3:DD5)), ABS(DD3:DD5), 0)</f>
        <v>2</v>
      </c>
      <c r="DE6" s="2">
        <f t="array" ref="DE6">MATCH(MAX(ABS(DE3:DE5)), ABS(DE3:DE5), 0)</f>
        <v>1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3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2</v>
      </c>
      <c r="DM6" s="2">
        <f t="array" ref="DM6">MATCH(MAX(ABS(DM3:DM5)), ABS(DM3:DM5), 0)</f>
        <v>2</v>
      </c>
      <c r="DN6" s="2">
        <f t="array" ref="DN6">MATCH(MAX(ABS(DN3:DN5)), ABS(DN3:DN5), 0)</f>
        <v>3</v>
      </c>
      <c r="DO6" s="2">
        <f t="array" ref="DO6">MATCH(MAX(ABS(DO3:DO5)), ABS(DO3:DO5), 0)</f>
        <v>3</v>
      </c>
      <c r="DP6" s="2">
        <f t="array" ref="DP6">MATCH(MAX(ABS(DP3:DP5)), ABS(DP3:DP5), 0)</f>
        <v>1</v>
      </c>
      <c r="DQ6" s="2">
        <f t="array" ref="DQ6">MATCH(MAX(ABS(DQ3:DQ5)), ABS(DQ3:DQ5), 0)</f>
        <v>1</v>
      </c>
      <c r="DR6" s="2">
        <f t="array" ref="DR6">MATCH(MAX(ABS(DR3:DR5)), ABS(DR3:DR5), 0)</f>
        <v>3</v>
      </c>
      <c r="DS6" s="2">
        <f t="array" ref="DS6">MATCH(MAX(ABS(DS3:DS5)), ABS(DS3:DS5), 0)</f>
        <v>1</v>
      </c>
      <c r="DT6" s="2">
        <f t="array" ref="DT6">MATCH(MAX(ABS(DT3:DT5)), ABS(DT3:DT5), 0)</f>
        <v>2</v>
      </c>
      <c r="DU6" s="2">
        <f t="array" ref="DU6">MATCH(MAX(ABS(DU3:DU5)), ABS(DU3:DU5), 0)</f>
        <v>3</v>
      </c>
      <c r="DV6" s="2">
        <f t="array" ref="DV6">MATCH(MAX(ABS(DV3:DV5)), ABS(DV3:DV5), 0)</f>
        <v>2</v>
      </c>
      <c r="DW6" s="2">
        <f t="array" ref="DW6">MATCH(MAX(ABS(DW3:DW5)), ABS(DW3:DW5), 0)</f>
        <v>3</v>
      </c>
      <c r="DX6" s="2">
        <f t="array" ref="DX6">MATCH(MAX(ABS(DX3:DX5)), ABS(DX3:DX5), 0)</f>
        <v>3</v>
      </c>
      <c r="DY6" s="2">
        <f t="array" ref="DY6">MATCH(MAX(ABS(DY3:DY5)), ABS(DY3:DY5), 0)</f>
        <v>2</v>
      </c>
      <c r="DZ6" s="2">
        <f t="array" ref="DZ6">MATCH(MAX(ABS(DZ3:DZ5)), ABS(DZ3:DZ5), 0)</f>
        <v>2</v>
      </c>
      <c r="EA6" s="2">
        <f t="array" ref="EA6">MATCH(MAX(ABS(EA3:EA5)), ABS(EA3:EA5), 0)</f>
        <v>2</v>
      </c>
      <c r="EB6" s="2">
        <f t="array" ref="EB6">MATCH(MAX(ABS(EB3:EB5)), ABS(EB3:EB5), 0)</f>
        <v>2</v>
      </c>
      <c r="EC6" s="2">
        <f t="array" ref="EC6">MATCH(MAX(ABS(EC3:EC5)), ABS(EC3:EC5), 0)</f>
        <v>3</v>
      </c>
      <c r="ED6" s="2">
        <f t="array" ref="ED6">MATCH(MAX(ABS(ED3:ED5)), ABS(ED3:ED5), 0)</f>
        <v>1</v>
      </c>
      <c r="EE6" s="2">
        <f t="array" ref="EE6">MATCH(MAX(ABS(EE3:EE5)), ABS(EE3:EE5), 0)</f>
        <v>1</v>
      </c>
      <c r="EF6" s="2">
        <f t="array" ref="EF6">MATCH(MAX(ABS(EF3:EF5)), ABS(EF3:EF5), 0)</f>
        <v>1</v>
      </c>
      <c r="EG6" s="2">
        <f t="array" ref="EG6">MATCH(MAX(ABS(EG3:EG5)), ABS(EG3:EG5), 0)</f>
        <v>1</v>
      </c>
      <c r="EH6" s="2">
        <f t="array" ref="EH6">MATCH(MAX(ABS(EH3:EH5)), ABS(EH3:EH5), 0)</f>
        <v>3</v>
      </c>
      <c r="EI6" s="2">
        <f t="array" ref="EI6">MATCH(MAX(ABS(EI3:EI5)), ABS(EI3:EI5), 0)</f>
        <v>2</v>
      </c>
      <c r="EJ6" s="2">
        <f t="array" ref="EJ6">MATCH(MAX(ABS(EJ3:EJ5)), ABS(EJ3:EJ5), 0)</f>
        <v>2</v>
      </c>
      <c r="EK6" s="2">
        <f t="array" ref="EK6">MATCH(MAX(ABS(EK3:EK5)), ABS(EK3:EK5), 0)</f>
        <v>2</v>
      </c>
      <c r="EL6" s="2">
        <f t="array" ref="EL6">MATCH(MAX(ABS(EL3:EL5)), ABS(EL3:EL5), 0)</f>
        <v>2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mom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size</v>
      </c>
      <c r="H7" s="2" t="str">
        <f t="shared" si="0"/>
        <v>size</v>
      </c>
      <c r="I7" s="2" t="str">
        <f t="shared" si="0"/>
        <v>size</v>
      </c>
      <c r="J7" s="2" t="str">
        <f t="shared" si="0"/>
        <v>mom</v>
      </c>
      <c r="K7" s="2" t="str">
        <f t="shared" si="0"/>
        <v>size</v>
      </c>
      <c r="L7" s="2" t="str">
        <f t="shared" si="0"/>
        <v>bm</v>
      </c>
      <c r="M7" s="2" t="str">
        <f t="shared" si="0"/>
        <v>size</v>
      </c>
      <c r="N7" s="2" t="str">
        <f t="shared" si="0"/>
        <v>bm</v>
      </c>
      <c r="O7" s="2" t="str">
        <f t="shared" si="0"/>
        <v>mom</v>
      </c>
      <c r="P7" s="2" t="str">
        <f t="shared" si="0"/>
        <v>size</v>
      </c>
      <c r="Q7" s="2" t="str">
        <f t="shared" si="0"/>
        <v>size</v>
      </c>
      <c r="R7" s="2" t="str">
        <f t="shared" si="0"/>
        <v>bm</v>
      </c>
      <c r="S7" s="2" t="str">
        <f t="shared" si="0"/>
        <v>mom</v>
      </c>
      <c r="T7" s="2" t="str">
        <f t="shared" si="0"/>
        <v>size</v>
      </c>
      <c r="U7" s="2" t="str">
        <f t="shared" si="0"/>
        <v>mom</v>
      </c>
      <c r="V7" s="2" t="str">
        <f t="shared" si="0"/>
        <v>mom</v>
      </c>
      <c r="W7" s="2" t="str">
        <f t="shared" si="0"/>
        <v>mom</v>
      </c>
      <c r="X7" s="2" t="str">
        <f t="shared" si="0"/>
        <v>bm</v>
      </c>
      <c r="Y7" s="2" t="str">
        <f t="shared" si="0"/>
        <v>bm</v>
      </c>
      <c r="Z7" s="2" t="str">
        <f t="shared" si="0"/>
        <v>mom</v>
      </c>
      <c r="AA7" s="2" t="str">
        <f t="shared" si="0"/>
        <v>mom</v>
      </c>
      <c r="AB7" s="2" t="str">
        <f t="shared" si="0"/>
        <v>mom</v>
      </c>
      <c r="AC7" s="2" t="str">
        <f t="shared" si="0"/>
        <v>mom</v>
      </c>
      <c r="AD7" s="2" t="str">
        <f t="shared" si="0"/>
        <v>bm</v>
      </c>
      <c r="AE7" s="2" t="str">
        <f t="shared" si="0"/>
        <v>bm</v>
      </c>
      <c r="AF7" s="2" t="str">
        <f t="shared" si="0"/>
        <v>bm</v>
      </c>
      <c r="AG7" s="2" t="str">
        <f t="shared" si="0"/>
        <v>mom</v>
      </c>
      <c r="AH7" s="2" t="str">
        <f t="shared" si="0"/>
        <v>size</v>
      </c>
      <c r="AI7" s="2" t="str">
        <f t="shared" ref="AI7:BN7" si="1">IF(AI6=1,"bm",IF(AI6=2,"size",IF(AI6=3,"mom")))</f>
        <v>bm</v>
      </c>
      <c r="AJ7" s="2" t="str">
        <f t="shared" si="1"/>
        <v>bm</v>
      </c>
      <c r="AK7" s="2" t="str">
        <f t="shared" si="1"/>
        <v>bm</v>
      </c>
      <c r="AL7" s="2" t="str">
        <f t="shared" si="1"/>
        <v>bm</v>
      </c>
      <c r="AM7" s="2" t="str">
        <f t="shared" si="1"/>
        <v>bm</v>
      </c>
      <c r="AN7" s="2" t="str">
        <f t="shared" si="1"/>
        <v>bm</v>
      </c>
      <c r="AO7" s="2" t="str">
        <f t="shared" si="1"/>
        <v>bm</v>
      </c>
      <c r="AP7" s="2" t="str">
        <f t="shared" si="1"/>
        <v>bm</v>
      </c>
      <c r="AQ7" s="2" t="str">
        <f t="shared" si="1"/>
        <v>bm</v>
      </c>
      <c r="AR7" s="2" t="str">
        <f t="shared" si="1"/>
        <v>mom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bm</v>
      </c>
      <c r="AW7" s="2" t="str">
        <f t="shared" si="1"/>
        <v>size</v>
      </c>
      <c r="AX7" s="2" t="str">
        <f t="shared" si="1"/>
        <v>mom</v>
      </c>
      <c r="AY7" s="2" t="str">
        <f t="shared" si="1"/>
        <v>mom</v>
      </c>
      <c r="AZ7" s="2" t="str">
        <f t="shared" si="1"/>
        <v>bm</v>
      </c>
      <c r="BA7" s="2" t="str">
        <f t="shared" si="1"/>
        <v>bm</v>
      </c>
      <c r="BB7" s="2" t="str">
        <f t="shared" si="1"/>
        <v>bm</v>
      </c>
      <c r="BC7" s="2" t="str">
        <f t="shared" si="1"/>
        <v>bm</v>
      </c>
      <c r="BD7" s="2" t="str">
        <f t="shared" si="1"/>
        <v>mom</v>
      </c>
      <c r="BE7" s="2" t="str">
        <f t="shared" si="1"/>
        <v>size</v>
      </c>
      <c r="BF7" s="2" t="str">
        <f t="shared" si="1"/>
        <v>size</v>
      </c>
      <c r="BG7" s="2" t="str">
        <f t="shared" si="1"/>
        <v>size</v>
      </c>
      <c r="BH7" s="2" t="str">
        <f t="shared" si="1"/>
        <v>mom</v>
      </c>
      <c r="BI7" s="2" t="str">
        <f t="shared" si="1"/>
        <v>mom</v>
      </c>
      <c r="BJ7" s="2" t="str">
        <f t="shared" si="1"/>
        <v>mom</v>
      </c>
      <c r="BK7" s="2" t="str">
        <f t="shared" si="1"/>
        <v>bm</v>
      </c>
      <c r="BL7" s="2" t="str">
        <f t="shared" si="1"/>
        <v>size</v>
      </c>
      <c r="BM7" s="2" t="str">
        <f t="shared" si="1"/>
        <v>mom</v>
      </c>
      <c r="BN7" s="2" t="str">
        <f t="shared" si="1"/>
        <v>mom</v>
      </c>
      <c r="BO7" s="2" t="str">
        <f t="shared" ref="BO7:CT7" si="2">IF(BO6=1,"bm",IF(BO6=2,"size",IF(BO6=3,"mom")))</f>
        <v>mom</v>
      </c>
      <c r="BP7" s="2" t="str">
        <f t="shared" si="2"/>
        <v>size</v>
      </c>
      <c r="BQ7" s="2" t="str">
        <f t="shared" si="2"/>
        <v>bm</v>
      </c>
      <c r="BR7" s="2" t="str">
        <f t="shared" si="2"/>
        <v>size</v>
      </c>
      <c r="BS7" s="2" t="str">
        <f t="shared" si="2"/>
        <v>bm</v>
      </c>
      <c r="BT7" s="2" t="str">
        <f t="shared" si="2"/>
        <v>mom</v>
      </c>
      <c r="BU7" s="2" t="str">
        <f t="shared" si="2"/>
        <v>size</v>
      </c>
      <c r="BV7" s="2" t="str">
        <f t="shared" si="2"/>
        <v>size</v>
      </c>
      <c r="BW7" s="2" t="str">
        <f t="shared" si="2"/>
        <v>size</v>
      </c>
      <c r="BX7" s="2" t="str">
        <f t="shared" si="2"/>
        <v>bm</v>
      </c>
      <c r="BY7" s="2" t="str">
        <f t="shared" si="2"/>
        <v>mom</v>
      </c>
      <c r="BZ7" s="2" t="str">
        <f t="shared" si="2"/>
        <v>size</v>
      </c>
      <c r="CA7" s="2" t="str">
        <f t="shared" si="2"/>
        <v>mom</v>
      </c>
      <c r="CB7" s="2" t="str">
        <f t="shared" si="2"/>
        <v>mom</v>
      </c>
      <c r="CC7" s="2" t="str">
        <f t="shared" si="2"/>
        <v>size</v>
      </c>
      <c r="CD7" s="2" t="str">
        <f t="shared" si="2"/>
        <v>size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mom</v>
      </c>
      <c r="CJ7" s="2" t="str">
        <f t="shared" si="2"/>
        <v>bm</v>
      </c>
      <c r="CK7" s="2" t="str">
        <f t="shared" si="2"/>
        <v>mom</v>
      </c>
      <c r="CL7" s="2" t="str">
        <f t="shared" si="2"/>
        <v>mom</v>
      </c>
      <c r="CM7" s="2" t="str">
        <f t="shared" si="2"/>
        <v>mom</v>
      </c>
      <c r="CN7" s="2" t="str">
        <f t="shared" si="2"/>
        <v>bm</v>
      </c>
      <c r="CO7" s="2" t="str">
        <f t="shared" si="2"/>
        <v>bm</v>
      </c>
      <c r="CP7" s="2" t="str">
        <f t="shared" si="2"/>
        <v>mom</v>
      </c>
      <c r="CQ7" s="2" t="str">
        <f t="shared" si="2"/>
        <v>mom</v>
      </c>
      <c r="CR7" s="2" t="str">
        <f t="shared" si="2"/>
        <v>bm</v>
      </c>
      <c r="CS7" s="2" t="str">
        <f t="shared" si="2"/>
        <v>bm</v>
      </c>
      <c r="CT7" s="2" t="str">
        <f t="shared" si="2"/>
        <v>bm</v>
      </c>
      <c r="CU7" s="2" t="str">
        <f t="shared" ref="CU7:DZ7" si="3">IF(CU6=1,"bm",IF(CU6=2,"size",IF(CU6=3,"mom")))</f>
        <v>size</v>
      </c>
      <c r="CV7" s="2" t="str">
        <f t="shared" si="3"/>
        <v>bm</v>
      </c>
      <c r="CW7" s="2" t="str">
        <f t="shared" si="3"/>
        <v>mom</v>
      </c>
      <c r="CX7" s="2" t="str">
        <f t="shared" si="3"/>
        <v>bm</v>
      </c>
      <c r="CY7" s="2" t="str">
        <f t="shared" si="3"/>
        <v>bm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size</v>
      </c>
      <c r="DD7" s="2" t="str">
        <f t="shared" si="3"/>
        <v>size</v>
      </c>
      <c r="DE7" s="2" t="str">
        <f t="shared" si="3"/>
        <v>bm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mom</v>
      </c>
      <c r="DJ7" s="2" t="str">
        <f t="shared" si="3"/>
        <v>size</v>
      </c>
      <c r="DK7" s="2" t="str">
        <f t="shared" si="3"/>
        <v>size</v>
      </c>
      <c r="DL7" s="2" t="str">
        <f t="shared" si="3"/>
        <v>size</v>
      </c>
      <c r="DM7" s="2" t="str">
        <f t="shared" si="3"/>
        <v>size</v>
      </c>
      <c r="DN7" s="2" t="str">
        <f t="shared" si="3"/>
        <v>mom</v>
      </c>
      <c r="DO7" s="2" t="str">
        <f t="shared" si="3"/>
        <v>mom</v>
      </c>
      <c r="DP7" s="2" t="str">
        <f t="shared" si="3"/>
        <v>bm</v>
      </c>
      <c r="DQ7" s="2" t="str">
        <f t="shared" si="3"/>
        <v>bm</v>
      </c>
      <c r="DR7" s="2" t="str">
        <f t="shared" si="3"/>
        <v>mom</v>
      </c>
      <c r="DS7" s="2" t="str">
        <f t="shared" si="3"/>
        <v>bm</v>
      </c>
      <c r="DT7" s="2" t="str">
        <f t="shared" si="3"/>
        <v>size</v>
      </c>
      <c r="DU7" s="2" t="str">
        <f t="shared" si="3"/>
        <v>mom</v>
      </c>
      <c r="DV7" s="2" t="str">
        <f t="shared" si="3"/>
        <v>size</v>
      </c>
      <c r="DW7" s="2" t="str">
        <f t="shared" si="3"/>
        <v>mom</v>
      </c>
      <c r="DX7" s="2" t="str">
        <f t="shared" si="3"/>
        <v>mom</v>
      </c>
      <c r="DY7" s="2" t="str">
        <f t="shared" si="3"/>
        <v>size</v>
      </c>
      <c r="DZ7" s="2" t="str">
        <f t="shared" si="3"/>
        <v>size</v>
      </c>
      <c r="EA7" s="2" t="str">
        <f t="shared" ref="EA7:FF7" si="4">IF(EA6=1,"bm",IF(EA6=2,"size",IF(EA6=3,"mom")))</f>
        <v>size</v>
      </c>
      <c r="EB7" s="2" t="str">
        <f t="shared" si="4"/>
        <v>size</v>
      </c>
      <c r="EC7" s="2" t="str">
        <f t="shared" si="4"/>
        <v>mom</v>
      </c>
      <c r="ED7" s="2" t="str">
        <f t="shared" si="4"/>
        <v>bm</v>
      </c>
      <c r="EE7" s="2" t="str">
        <f t="shared" si="4"/>
        <v>bm</v>
      </c>
      <c r="EF7" s="2" t="str">
        <f t="shared" si="4"/>
        <v>bm</v>
      </c>
      <c r="EG7" s="2" t="str">
        <f t="shared" si="4"/>
        <v>bm</v>
      </c>
      <c r="EH7" s="2" t="str">
        <f t="shared" si="4"/>
        <v>mom</v>
      </c>
      <c r="EI7" s="2" t="str">
        <f t="shared" si="4"/>
        <v>size</v>
      </c>
      <c r="EJ7" s="2" t="str">
        <f t="shared" si="4"/>
        <v>size</v>
      </c>
      <c r="EK7" s="2" t="str">
        <f t="shared" si="4"/>
        <v>size</v>
      </c>
      <c r="EL7" s="2" t="str">
        <f t="shared" si="4"/>
        <v>size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5.5741846561431878E-2</v>
      </c>
      <c r="D8" s="2">
        <f t="shared" si="5"/>
        <v>-4.1433513164520257E-2</v>
      </c>
      <c r="E8" s="2">
        <f t="shared" si="5"/>
        <v>-0.1054108068346977</v>
      </c>
      <c r="F8" s="2">
        <f t="shared" si="5"/>
        <v>-0.14115726947784421</v>
      </c>
      <c r="G8" s="2">
        <f t="shared" si="5"/>
        <v>-0.1358892023563385</v>
      </c>
      <c r="H8" s="2">
        <f t="shared" si="5"/>
        <v>-3.2324142754077911E-2</v>
      </c>
      <c r="I8" s="2">
        <f t="shared" si="5"/>
        <v>-5.608823150396347E-2</v>
      </c>
      <c r="J8" s="2">
        <f t="shared" si="5"/>
        <v>6.3844837248325348E-2</v>
      </c>
      <c r="K8" s="2">
        <f t="shared" si="5"/>
        <v>-4.1457630693912513E-2</v>
      </c>
      <c r="L8" s="2">
        <f t="shared" si="5"/>
        <v>8.0356046557426453E-2</v>
      </c>
      <c r="M8" s="2">
        <f t="shared" si="5"/>
        <v>-4.3679680675268173E-2</v>
      </c>
      <c r="N8" s="2">
        <f t="shared" si="5"/>
        <v>3.3819951117038727E-2</v>
      </c>
      <c r="O8" s="2">
        <f t="shared" si="5"/>
        <v>3.6712147295475013E-2</v>
      </c>
      <c r="P8" s="2">
        <f t="shared" si="5"/>
        <v>-5.2210021764039993E-2</v>
      </c>
      <c r="Q8" s="2">
        <f t="shared" si="5"/>
        <v>-6.0307271778583527E-2</v>
      </c>
      <c r="R8" s="2">
        <f t="shared" si="5"/>
        <v>2.8836483135819439E-2</v>
      </c>
      <c r="S8" s="2">
        <f t="shared" si="5"/>
        <v>4.6521492302417762E-2</v>
      </c>
      <c r="T8" s="2">
        <f t="shared" si="5"/>
        <v>-2.4626178666949269E-2</v>
      </c>
      <c r="U8" s="2">
        <f t="shared" si="5"/>
        <v>2.9996473342180249E-2</v>
      </c>
      <c r="V8" s="2">
        <f t="shared" si="5"/>
        <v>8.2199856638908386E-2</v>
      </c>
      <c r="W8" s="2">
        <f t="shared" si="5"/>
        <v>5.1936138421297073E-2</v>
      </c>
      <c r="X8" s="2">
        <f t="shared" si="5"/>
        <v>6.8642176687717438E-2</v>
      </c>
      <c r="Y8" s="2">
        <f t="shared" si="5"/>
        <v>3.7944957613945007E-2</v>
      </c>
      <c r="Z8" s="2">
        <f t="shared" si="5"/>
        <v>-4.8936635255813599E-2</v>
      </c>
      <c r="AA8" s="2">
        <f t="shared" si="5"/>
        <v>7.4104063212871552E-2</v>
      </c>
      <c r="AB8" s="2">
        <f t="shared" si="5"/>
        <v>-7.9052217304706573E-2</v>
      </c>
      <c r="AC8" s="2">
        <f t="shared" si="5"/>
        <v>4.592437669634819E-2</v>
      </c>
      <c r="AD8" s="2">
        <f t="shared" si="5"/>
        <v>3.1133845448493961E-2</v>
      </c>
      <c r="AE8" s="2">
        <f t="shared" si="5"/>
        <v>3.1886115670204163E-2</v>
      </c>
      <c r="AF8" s="2">
        <f t="shared" si="5"/>
        <v>6.3942134380340576E-2</v>
      </c>
      <c r="AG8" s="2">
        <f t="shared" si="5"/>
        <v>4.8616897314786911E-2</v>
      </c>
      <c r="AH8" s="2">
        <f t="shared" si="5"/>
        <v>-2.1153058856725689E-2</v>
      </c>
      <c r="AI8" s="2">
        <f t="shared" ref="AI8:BN8" si="6">IF(AI6=1,AI3,IF(AI6=2,AI4,IF(AI6=3,AI5)))</f>
        <v>4.4364981353282928E-2</v>
      </c>
      <c r="AJ8" s="2">
        <f t="shared" si="6"/>
        <v>5.9207383543252938E-2</v>
      </c>
      <c r="AK8" s="2">
        <f t="shared" si="6"/>
        <v>3.8927238434553153E-2</v>
      </c>
      <c r="AL8" s="2">
        <f t="shared" si="6"/>
        <v>5.3689334541559219E-2</v>
      </c>
      <c r="AM8" s="2">
        <f t="shared" si="6"/>
        <v>5.2407745271921158E-2</v>
      </c>
      <c r="AN8" s="2">
        <f t="shared" si="6"/>
        <v>5.1848378032445908E-2</v>
      </c>
      <c r="AO8" s="2">
        <f t="shared" si="6"/>
        <v>5.6688833981752403E-2</v>
      </c>
      <c r="AP8" s="2">
        <f t="shared" si="6"/>
        <v>7.7263422310352325E-2</v>
      </c>
      <c r="AQ8" s="2">
        <f t="shared" si="6"/>
        <v>4.8698432743549347E-2</v>
      </c>
      <c r="AR8" s="2">
        <f t="shared" si="6"/>
        <v>5.3666368126869202E-2</v>
      </c>
      <c r="AS8" s="2">
        <f t="shared" si="6"/>
        <v>3.9547394961118698E-2</v>
      </c>
      <c r="AT8" s="2">
        <f t="shared" si="6"/>
        <v>2.9460180550813671E-2</v>
      </c>
      <c r="AU8" s="2">
        <f t="shared" si="6"/>
        <v>-3.4190982580184943E-2</v>
      </c>
      <c r="AV8" s="2">
        <f t="shared" si="6"/>
        <v>6.589217483997345E-2</v>
      </c>
      <c r="AW8" s="2">
        <f t="shared" si="6"/>
        <v>-8.0705069005489349E-2</v>
      </c>
      <c r="AX8" s="2">
        <f t="shared" si="6"/>
        <v>5.7690292596817017E-2</v>
      </c>
      <c r="AY8" s="2">
        <f t="shared" si="6"/>
        <v>5.2581634372472763E-2</v>
      </c>
      <c r="AZ8" s="2">
        <f t="shared" si="6"/>
        <v>4.8162486404180527E-2</v>
      </c>
      <c r="BA8" s="2">
        <f t="shared" si="6"/>
        <v>4.5020870864391327E-2</v>
      </c>
      <c r="BB8" s="2">
        <f t="shared" si="6"/>
        <v>5.8584816753864288E-2</v>
      </c>
      <c r="BC8" s="2">
        <f t="shared" si="6"/>
        <v>3.2960090786218643E-2</v>
      </c>
      <c r="BD8" s="2">
        <f t="shared" si="6"/>
        <v>-5.6817673146724701E-2</v>
      </c>
      <c r="BE8" s="2">
        <f t="shared" si="6"/>
        <v>-4.8348080366849899E-2</v>
      </c>
      <c r="BF8" s="2">
        <f t="shared" si="6"/>
        <v>-4.3041668832302087E-2</v>
      </c>
      <c r="BG8" s="2">
        <f t="shared" si="6"/>
        <v>5.6051533669233322E-2</v>
      </c>
      <c r="BH8" s="2">
        <f t="shared" si="6"/>
        <v>-6.5759293735027313E-2</v>
      </c>
      <c r="BI8" s="2">
        <f t="shared" si="6"/>
        <v>-7.9368360340595245E-2</v>
      </c>
      <c r="BJ8" s="2">
        <f t="shared" si="6"/>
        <v>-8.5684239864349365E-2</v>
      </c>
      <c r="BK8" s="2">
        <f t="shared" si="6"/>
        <v>5.9487193822860718E-2</v>
      </c>
      <c r="BL8" s="2">
        <f t="shared" si="6"/>
        <v>-4.8494916409254067E-2</v>
      </c>
      <c r="BM8" s="2">
        <f t="shared" si="6"/>
        <v>-2.3616783320903782E-2</v>
      </c>
      <c r="BN8" s="2">
        <f t="shared" si="6"/>
        <v>-3.0536096543073651E-2</v>
      </c>
      <c r="BO8" s="2">
        <f t="shared" ref="BO8:CT8" si="7">IF(BO6=1,BO3,IF(BO6=2,BO4,IF(BO6=3,BO5)))</f>
        <v>2.686824090778828E-2</v>
      </c>
      <c r="BP8" s="2">
        <f t="shared" si="7"/>
        <v>3.3530544489622123E-2</v>
      </c>
      <c r="BQ8" s="2">
        <f t="shared" si="7"/>
        <v>3.1830046325922012E-2</v>
      </c>
      <c r="BR8" s="2">
        <f t="shared" si="7"/>
        <v>4.0667824447154999E-2</v>
      </c>
      <c r="BS8" s="2">
        <f t="shared" si="7"/>
        <v>2.8570586815476421E-2</v>
      </c>
      <c r="BT8" s="2">
        <f t="shared" si="7"/>
        <v>4.8925049602985382E-2</v>
      </c>
      <c r="BU8" s="2">
        <f t="shared" si="7"/>
        <v>-7.1650400757789612E-2</v>
      </c>
      <c r="BV8" s="2">
        <f t="shared" si="7"/>
        <v>-1.7102757468819622E-2</v>
      </c>
      <c r="BW8" s="2">
        <f t="shared" si="7"/>
        <v>4.0029857307672501E-2</v>
      </c>
      <c r="BX8" s="2">
        <f t="shared" si="7"/>
        <v>2.493099682033062E-2</v>
      </c>
      <c r="BY8" s="2">
        <f t="shared" si="7"/>
        <v>-4.4437490403652191E-2</v>
      </c>
      <c r="BZ8" s="2">
        <f t="shared" si="7"/>
        <v>-3.7445716559886932E-2</v>
      </c>
      <c r="CA8" s="2">
        <f t="shared" si="7"/>
        <v>5.1361106336116791E-2</v>
      </c>
      <c r="CB8" s="2">
        <f t="shared" si="7"/>
        <v>4.0368124842643738E-2</v>
      </c>
      <c r="CC8" s="2">
        <f t="shared" si="7"/>
        <v>-4.7657586634159088E-2</v>
      </c>
      <c r="CD8" s="2">
        <f t="shared" si="7"/>
        <v>-4.3317254632711411E-2</v>
      </c>
      <c r="CE8" s="2">
        <f t="shared" si="7"/>
        <v>-6.9234132766723633E-2</v>
      </c>
      <c r="CF8" s="2">
        <f t="shared" si="7"/>
        <v>6.619059294462204E-2</v>
      </c>
      <c r="CG8" s="2">
        <f t="shared" si="7"/>
        <v>-7.1231015026569366E-2</v>
      </c>
      <c r="CH8" s="2">
        <f t="shared" si="7"/>
        <v>5.1061570644378662E-2</v>
      </c>
      <c r="CI8" s="2">
        <f t="shared" si="7"/>
        <v>-6.7858822643756866E-2</v>
      </c>
      <c r="CJ8" s="2">
        <f t="shared" si="7"/>
        <v>8.8996067643165588E-2</v>
      </c>
      <c r="CK8" s="2">
        <f t="shared" si="7"/>
        <v>-5.9413556009531021E-2</v>
      </c>
      <c r="CL8" s="2">
        <f t="shared" si="7"/>
        <v>8.4330163896083832E-2</v>
      </c>
      <c r="CM8" s="2">
        <f t="shared" si="7"/>
        <v>6.5344303846359253E-2</v>
      </c>
      <c r="CN8" s="2">
        <f t="shared" si="7"/>
        <v>0.11028569936752319</v>
      </c>
      <c r="CO8" s="2">
        <f t="shared" si="7"/>
        <v>3.7435531616210938E-2</v>
      </c>
      <c r="CP8" s="2">
        <f t="shared" si="7"/>
        <v>0.1182377934455872</v>
      </c>
      <c r="CQ8" s="2">
        <f t="shared" si="7"/>
        <v>5.0723213702440262E-2</v>
      </c>
      <c r="CR8" s="2">
        <f t="shared" si="7"/>
        <v>7.6876550912857056E-2</v>
      </c>
      <c r="CS8" s="2">
        <f t="shared" si="7"/>
        <v>0.10389680415391921</v>
      </c>
      <c r="CT8" s="2">
        <f t="shared" si="7"/>
        <v>6.6643297672271729E-2</v>
      </c>
      <c r="CU8" s="2">
        <f t="shared" ref="CU8:DZ8" si="8">IF(CU6=1,CU3,IF(CU6=2,CU4,IF(CU6=3,CU5)))</f>
        <v>-5.2493758499622338E-2</v>
      </c>
      <c r="CV8" s="2">
        <f t="shared" si="8"/>
        <v>2.871822752058506E-2</v>
      </c>
      <c r="CW8" s="2">
        <f t="shared" si="8"/>
        <v>-0.1470402330160141</v>
      </c>
      <c r="CX8" s="2">
        <f t="shared" si="8"/>
        <v>4.5363247394561768E-2</v>
      </c>
      <c r="CY8" s="2">
        <f t="shared" si="8"/>
        <v>6.0462243854999542E-2</v>
      </c>
      <c r="CZ8" s="2">
        <f t="shared" si="8"/>
        <v>6.0128804296255112E-2</v>
      </c>
      <c r="DA8" s="2">
        <f t="shared" si="8"/>
        <v>-6.6368021070957184E-2</v>
      </c>
      <c r="DB8" s="2">
        <f t="shared" si="8"/>
        <v>-9.9088206887245178E-2</v>
      </c>
      <c r="DC8" s="2">
        <f t="shared" si="8"/>
        <v>-8.7841019034385681E-2</v>
      </c>
      <c r="DD8" s="2">
        <f t="shared" si="8"/>
        <v>-9.5149271190166473E-2</v>
      </c>
      <c r="DE8" s="2">
        <f t="shared" si="8"/>
        <v>7.9255074262619019E-2</v>
      </c>
      <c r="DF8" s="2">
        <f t="shared" si="8"/>
        <v>-6.1269368976354599E-2</v>
      </c>
      <c r="DG8" s="2">
        <f t="shared" si="8"/>
        <v>-6.4791887998580933E-2</v>
      </c>
      <c r="DH8" s="2">
        <f t="shared" si="8"/>
        <v>-4.2990855872631073E-2</v>
      </c>
      <c r="DI8" s="2">
        <f t="shared" si="8"/>
        <v>-5.582159012556076E-2</v>
      </c>
      <c r="DJ8" s="2">
        <f t="shared" si="8"/>
        <v>-5.498785525560379E-2</v>
      </c>
      <c r="DK8" s="2">
        <f t="shared" si="8"/>
        <v>-8.0709442496299744E-2</v>
      </c>
      <c r="DL8" s="2">
        <f t="shared" si="8"/>
        <v>-8.7292157113552094E-2</v>
      </c>
      <c r="DM8" s="2">
        <f t="shared" si="8"/>
        <v>2.5429284200072289E-2</v>
      </c>
      <c r="DN8" s="2">
        <f t="shared" si="8"/>
        <v>3.3588364720344543E-2</v>
      </c>
      <c r="DO8" s="2">
        <f t="shared" si="8"/>
        <v>3.080024570226669E-2</v>
      </c>
      <c r="DP8" s="2">
        <f t="shared" si="8"/>
        <v>3.073384054005146E-2</v>
      </c>
      <c r="DQ8" s="2">
        <f t="shared" si="8"/>
        <v>3.8263808935880661E-2</v>
      </c>
      <c r="DR8" s="2">
        <f t="shared" si="8"/>
        <v>-0.1000711172819138</v>
      </c>
      <c r="DS8" s="2">
        <f t="shared" si="8"/>
        <v>3.6518916487693787E-2</v>
      </c>
      <c r="DT8" s="2">
        <f t="shared" si="8"/>
        <v>-3.2376378774642937E-2</v>
      </c>
      <c r="DU8" s="2">
        <f t="shared" si="8"/>
        <v>4.9048192799091339E-2</v>
      </c>
      <c r="DV8" s="2">
        <f t="shared" si="8"/>
        <v>-6.5195851027965546E-2</v>
      </c>
      <c r="DW8" s="2">
        <f t="shared" si="8"/>
        <v>6.2132958322763443E-2</v>
      </c>
      <c r="DX8" s="2">
        <f t="shared" si="8"/>
        <v>3.4120500087738037E-2</v>
      </c>
      <c r="DY8" s="2">
        <f t="shared" si="8"/>
        <v>-6.2778793275356293E-2</v>
      </c>
      <c r="DZ8" s="2">
        <f t="shared" si="8"/>
        <v>-3.5209164023399353E-2</v>
      </c>
      <c r="EA8" s="2">
        <f t="shared" ref="EA8:EM8" si="9">IF(EA6=1,EA3,IF(EA6=2,EA4,IF(EA6=3,EA5)))</f>
        <v>-6.0484454035758972E-2</v>
      </c>
      <c r="EB8" s="2">
        <f t="shared" si="9"/>
        <v>-6.5868578851222992E-2</v>
      </c>
      <c r="EC8" s="2">
        <f t="shared" si="9"/>
        <v>-7.1213126182556152E-2</v>
      </c>
      <c r="ED8" s="2">
        <f t="shared" si="9"/>
        <v>7.5781151652336121E-2</v>
      </c>
      <c r="EE8" s="2">
        <f t="shared" si="9"/>
        <v>7.4293278157711029E-2</v>
      </c>
      <c r="EF8" s="2">
        <f t="shared" si="9"/>
        <v>-2.3859791457653049E-2</v>
      </c>
      <c r="EG8" s="2">
        <f t="shared" si="9"/>
        <v>2.0955521613359451E-2</v>
      </c>
      <c r="EH8" s="2">
        <f t="shared" si="9"/>
        <v>-4.4609863311052322E-2</v>
      </c>
      <c r="EI8" s="2">
        <f t="shared" si="9"/>
        <v>-3.7975464016199112E-2</v>
      </c>
      <c r="EJ8" s="2">
        <f t="shared" si="9"/>
        <v>-2.6498528197407719E-2</v>
      </c>
      <c r="EK8" s="2">
        <f t="shared" si="9"/>
        <v>2.7714299038052559E-2</v>
      </c>
      <c r="EL8" s="2">
        <f t="shared" si="9"/>
        <v>5.3217515349388123E-2</v>
      </c>
      <c r="EM8" s="2">
        <f t="shared" si="9"/>
        <v>8.3066843450069427E-2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6.4837053386905236E-2</v>
      </c>
      <c r="D12" s="3">
        <v>0.1009336325522817</v>
      </c>
      <c r="E12" s="3">
        <v>3.8657201187699129E-2</v>
      </c>
      <c r="F12" s="3">
        <v>-2.4810615455805742E-2</v>
      </c>
      <c r="G12" s="3">
        <v>4.599787342712186E-3</v>
      </c>
      <c r="H12" s="3">
        <v>2.5064699158326081E-2</v>
      </c>
      <c r="I12" s="3">
        <v>3.500719894713171E-2</v>
      </c>
      <c r="J12" s="3">
        <v>-2.7780057464234158E-2</v>
      </c>
      <c r="K12" s="3">
        <v>1.869019757376077E-2</v>
      </c>
      <c r="L12" s="3">
        <v>-1.674545902042607E-3</v>
      </c>
      <c r="M12" s="3">
        <v>-5.9118763487311559E-3</v>
      </c>
      <c r="N12" s="3">
        <v>7.5912573899467845E-2</v>
      </c>
      <c r="O12" s="3">
        <v>3.1599440604721273E-2</v>
      </c>
      <c r="P12" s="3">
        <v>-9.5463665918766975E-3</v>
      </c>
      <c r="Q12" s="3">
        <v>1.818012034612607E-2</v>
      </c>
      <c r="R12" s="3">
        <v>1.238887282945552E-2</v>
      </c>
      <c r="S12" s="3">
        <v>-1.872846938958286E-2</v>
      </c>
      <c r="T12" s="3">
        <v>1.9339112812707351E-2</v>
      </c>
      <c r="U12" s="3">
        <v>1.257595546327844E-2</v>
      </c>
      <c r="V12" s="3">
        <v>-4.4842895704196436E-3</v>
      </c>
      <c r="W12" s="3">
        <v>-5.2968935484863193E-2</v>
      </c>
      <c r="X12" s="3">
        <v>1.1207333552010401E-2</v>
      </c>
      <c r="Y12" s="3">
        <v>-3.0057297344568589E-2</v>
      </c>
      <c r="Z12" s="3">
        <v>4.9154376372128147E-2</v>
      </c>
      <c r="AA12" s="3">
        <v>2.021594434532728E-2</v>
      </c>
      <c r="AB12" s="3">
        <v>2.359953637822574E-2</v>
      </c>
      <c r="AC12" s="3">
        <v>-2.5867713983266889E-2</v>
      </c>
      <c r="AD12" s="3">
        <v>1.4488478304345581E-2</v>
      </c>
      <c r="AE12" s="3">
        <v>-3.1505439146931068E-2</v>
      </c>
      <c r="AF12" s="3">
        <v>3.0085295657401801E-2</v>
      </c>
      <c r="AG12" s="3">
        <v>-3.5283616420561797E-2</v>
      </c>
      <c r="AH12" s="3">
        <v>3.3182891265478152E-2</v>
      </c>
      <c r="AI12" s="3">
        <v>2.0332762079892711E-2</v>
      </c>
      <c r="AJ12" s="3">
        <v>2.076752817166198E-2</v>
      </c>
      <c r="AK12" s="3">
        <v>2.089189879770981E-2</v>
      </c>
      <c r="AL12" s="3">
        <v>2.1520377117000729E-2</v>
      </c>
      <c r="AM12" s="3">
        <v>3.306113256167293E-2</v>
      </c>
      <c r="AN12" s="3">
        <v>7.1354839842339091E-2</v>
      </c>
      <c r="AO12" s="3">
        <v>2.3956008013314701E-2</v>
      </c>
      <c r="AP12" s="3">
        <v>-1.861226531188296E-2</v>
      </c>
      <c r="AQ12" s="3">
        <v>-8.4838017485974592E-3</v>
      </c>
      <c r="AR12" s="3">
        <v>-5.2834904018110376E-3</v>
      </c>
      <c r="AS12" s="3">
        <v>1.90680217361116E-2</v>
      </c>
      <c r="AT12" s="3">
        <v>5.116649508911579E-2</v>
      </c>
      <c r="AU12" s="3">
        <v>5.6889418349107157E-2</v>
      </c>
      <c r="AV12" s="3">
        <v>7.9868890086493474E-3</v>
      </c>
      <c r="AW12" s="3">
        <v>4.244740188993313E-2</v>
      </c>
      <c r="AX12" s="3">
        <v>-3.6866999235414852E-2</v>
      </c>
      <c r="AY12" s="3">
        <v>5.5807263987304317E-3</v>
      </c>
      <c r="AZ12" s="3">
        <v>1.634847146672664E-2</v>
      </c>
      <c r="BA12" s="3">
        <v>3.9493645774906883E-2</v>
      </c>
      <c r="BB12" s="3">
        <v>2.4164334279159691E-2</v>
      </c>
      <c r="BC12" s="3">
        <v>4.0924336377305831E-3</v>
      </c>
      <c r="BD12" s="3">
        <v>2.5236077846556688E-2</v>
      </c>
      <c r="BE12" s="3">
        <v>-3.3292475643326637E-2</v>
      </c>
      <c r="BF12" s="3">
        <v>7.6285172318084887E-3</v>
      </c>
      <c r="BG12" s="3">
        <v>2.6788070464675372E-2</v>
      </c>
      <c r="BH12" s="3">
        <v>6.765913199350268E-2</v>
      </c>
      <c r="BI12" s="3">
        <v>4.9060141358424431E-2</v>
      </c>
      <c r="BJ12" s="3">
        <v>-1.4662990190674619E-2</v>
      </c>
      <c r="BK12" s="3">
        <v>-1.6058933300057171E-2</v>
      </c>
      <c r="BL12" s="3">
        <v>2.1828361069274969E-2</v>
      </c>
      <c r="BM12" s="3">
        <v>-1.070746310644528E-2</v>
      </c>
      <c r="BN12" s="3">
        <v>-1.5183070824019329E-3</v>
      </c>
      <c r="BO12" s="3">
        <v>1.6506239134531722E-2</v>
      </c>
      <c r="BP12" s="3">
        <v>2.1206579577085181E-2</v>
      </c>
      <c r="BQ12" s="3">
        <v>4.557810490049951E-3</v>
      </c>
      <c r="BR12" s="3">
        <v>-1.452014640154666E-2</v>
      </c>
      <c r="BS12" s="3">
        <v>-1.9018515457995398E-2</v>
      </c>
      <c r="BT12" s="3">
        <v>-7.4169164784584109E-3</v>
      </c>
      <c r="BU12" s="3">
        <v>-1.1146602762880519E-2</v>
      </c>
      <c r="BV12" s="3">
        <v>2.7553467527280429E-2</v>
      </c>
      <c r="BW12" s="3">
        <v>-4.4892102051806097E-2</v>
      </c>
      <c r="BX12" s="3">
        <v>1.1633601124140259E-2</v>
      </c>
      <c r="BY12" s="3">
        <v>-4.9066168969130408E-2</v>
      </c>
      <c r="BZ12" s="3">
        <v>4.6566735636444173E-2</v>
      </c>
      <c r="CA12" s="3">
        <v>6.554989529367115E-3</v>
      </c>
      <c r="CB12" s="3">
        <v>8.2909157393206909E-3</v>
      </c>
      <c r="CC12" s="3">
        <v>5.3887210808501722E-2</v>
      </c>
      <c r="CD12" s="3">
        <v>3.3794461116531622E-2</v>
      </c>
      <c r="CE12" s="3">
        <v>0.14264795163901889</v>
      </c>
      <c r="CF12" s="3">
        <v>2.3579483036161801E-2</v>
      </c>
      <c r="CG12" s="3">
        <v>1.2488328954796721E-2</v>
      </c>
      <c r="CH12" s="3">
        <v>5.6065058293052382E-2</v>
      </c>
      <c r="CI12" s="3">
        <v>-1.143141351029608E-3</v>
      </c>
      <c r="CJ12" s="3">
        <v>-3.6185827303237203E-2</v>
      </c>
      <c r="CK12" s="3">
        <v>-3.2915630745668119E-2</v>
      </c>
      <c r="CL12" s="3">
        <v>7.7902322349067854E-2</v>
      </c>
      <c r="CM12" s="3">
        <v>-6.4509950712297703E-2</v>
      </c>
      <c r="CN12" s="3">
        <v>1.381162253692542E-2</v>
      </c>
      <c r="CO12" s="3">
        <v>-6.1638775295273118E-2</v>
      </c>
      <c r="CP12" s="3">
        <v>1.2968945674676E-2</v>
      </c>
      <c r="CQ12" s="3">
        <v>1.473773792202277E-2</v>
      </c>
      <c r="CR12" s="3">
        <v>-6.3502317406223141E-2</v>
      </c>
      <c r="CS12" s="3">
        <v>-1.8744465265680001E-2</v>
      </c>
      <c r="CT12" s="3">
        <v>4.4838711847331111E-2</v>
      </c>
      <c r="CU12" s="3">
        <v>-6.787359881201889E-3</v>
      </c>
      <c r="CV12" s="3">
        <v>-2.1989069362978969E-3</v>
      </c>
      <c r="CW12" s="3">
        <v>-9.2174959911882747E-3</v>
      </c>
      <c r="CX12" s="3">
        <v>8.3366382774557657E-2</v>
      </c>
      <c r="CY12" s="3">
        <v>4.1238235323548689E-3</v>
      </c>
      <c r="CZ12" s="3">
        <v>0.1030913219818496</v>
      </c>
      <c r="DA12" s="3">
        <v>2.9898192690078491E-2</v>
      </c>
      <c r="DB12" s="3">
        <v>7.3181992104267457E-2</v>
      </c>
      <c r="DC12" s="3">
        <v>2.316221180694189E-2</v>
      </c>
      <c r="DD12" s="3">
        <v>-2.5250739644778791E-2</v>
      </c>
      <c r="DE12" s="3">
        <v>-3.1046059118564329E-2</v>
      </c>
      <c r="DF12" s="3">
        <v>5.0669184391770303E-2</v>
      </c>
      <c r="DG12" s="3">
        <v>-4.2341791464279611E-2</v>
      </c>
      <c r="DH12" s="3">
        <v>2.6487575484706458E-2</v>
      </c>
      <c r="DI12" s="3">
        <v>-4.7426222713386937E-2</v>
      </c>
      <c r="DJ12" s="3">
        <v>2.5517663224101431E-2</v>
      </c>
      <c r="DK12" s="3">
        <v>-3.9794736186770277E-2</v>
      </c>
      <c r="DL12" s="3">
        <v>1.21668121287656E-2</v>
      </c>
      <c r="DM12" s="3">
        <v>3.2763731167785852E-2</v>
      </c>
      <c r="DN12" s="3">
        <v>1.5652064805533189E-4</v>
      </c>
      <c r="DO12" s="3">
        <v>-3.5067907402971069E-2</v>
      </c>
      <c r="DP12" s="3">
        <v>4.3200591656753662E-2</v>
      </c>
      <c r="DQ12" s="3">
        <v>-4.7369835506240542E-2</v>
      </c>
      <c r="DR12" s="3">
        <v>1.9838756718417429E-2</v>
      </c>
      <c r="DS12" s="3">
        <v>-4.362309273890061E-2</v>
      </c>
      <c r="DT12" s="3">
        <v>4.0806963791678594E-3</v>
      </c>
      <c r="DU12" s="3">
        <v>-3.9652133896546642E-2</v>
      </c>
      <c r="DV12" s="3">
        <v>-1.5403522917276809E-2</v>
      </c>
      <c r="DW12" s="3">
        <v>1.3209991552121859E-2</v>
      </c>
      <c r="DX12" s="3">
        <v>2.2782903568650158E-2</v>
      </c>
      <c r="DY12" s="3">
        <v>5.9126582166681173E-2</v>
      </c>
      <c r="DZ12" s="3">
        <v>1.2691413917479209E-2</v>
      </c>
      <c r="EA12" s="3">
        <v>3.4159925617941893E-2</v>
      </c>
      <c r="EB12" s="3">
        <v>8.0407605816081012E-3</v>
      </c>
      <c r="EC12" s="3">
        <v>4.3031908647661356E-3</v>
      </c>
      <c r="ED12" s="3">
        <v>-3.4141597859814722E-2</v>
      </c>
      <c r="EE12" s="3">
        <v>7.995757793053393E-3</v>
      </c>
      <c r="EF12" s="3">
        <v>7.4313750372618356E-3</v>
      </c>
      <c r="EG12" s="3">
        <v>8.659810911170028E-2</v>
      </c>
      <c r="EH12" s="3">
        <v>-6.4100646813261553E-4</v>
      </c>
      <c r="EI12" s="3">
        <v>-1.9313302688268599E-2</v>
      </c>
      <c r="EJ12" s="3">
        <v>-3.5015565567899053E-2</v>
      </c>
      <c r="EK12" s="3">
        <v>5.3400573489836213E-2</v>
      </c>
      <c r="EL12" s="3">
        <v>-1.526734478476568E-2</v>
      </c>
      <c r="EM12">
        <f t="shared" ref="EM12:EM24" si="11">AVERAGE(C12:EL12)</f>
        <v>1.0426539059946206E-2</v>
      </c>
      <c r="EN12">
        <f t="shared" ref="EN12:EN25" si="12">STDEV(C12:EL12)</f>
        <v>3.623166371156699E-2</v>
      </c>
      <c r="EO12">
        <f t="shared" ref="EO12:EO25" si="13">EM12/EN12</f>
        <v>0.28777422817096648</v>
      </c>
    </row>
    <row r="13" spans="1:145" x14ac:dyDescent="0.3">
      <c r="A13" s="18">
        <v>20</v>
      </c>
      <c r="B13" s="18">
        <f t="shared" si="10"/>
        <v>53</v>
      </c>
      <c r="C13" s="3">
        <v>7.9398901732842864E-2</v>
      </c>
      <c r="D13" s="3">
        <v>0.11900724271796401</v>
      </c>
      <c r="E13" s="3">
        <v>5.7392063849255659E-2</v>
      </c>
      <c r="F13" s="3">
        <v>-5.3608938512809887E-2</v>
      </c>
      <c r="G13" s="3">
        <v>2.763967082332688E-2</v>
      </c>
      <c r="H13" s="3">
        <v>3.0276416981918412E-2</v>
      </c>
      <c r="I13" s="3">
        <v>3.6126011987935601E-2</v>
      </c>
      <c r="J13" s="3">
        <v>-5.0146945102257867E-2</v>
      </c>
      <c r="K13" s="3">
        <v>-1.597352774546025E-2</v>
      </c>
      <c r="L13" s="3">
        <v>-1.534655520031079E-2</v>
      </c>
      <c r="M13" s="3">
        <v>3.79636991073086E-3</v>
      </c>
      <c r="N13" s="3">
        <v>8.1146360238599891E-2</v>
      </c>
      <c r="O13" s="3">
        <v>3.8274395204971542E-2</v>
      </c>
      <c r="P13" s="3">
        <v>-2.876498753041648E-3</v>
      </c>
      <c r="Q13" s="3">
        <v>1.9228760573818789E-2</v>
      </c>
      <c r="R13" s="3">
        <v>2.8881417849055069E-2</v>
      </c>
      <c r="S13" s="3">
        <v>-6.7194015621872411E-3</v>
      </c>
      <c r="T13" s="3">
        <v>2.6886506875637581E-2</v>
      </c>
      <c r="U13" s="3">
        <v>1.0465048517071611E-2</v>
      </c>
      <c r="V13" s="3">
        <v>-1.979340236043596E-2</v>
      </c>
      <c r="W13" s="3">
        <v>-5.9866555505777283E-2</v>
      </c>
      <c r="X13" s="3">
        <v>4.0675118322612558E-3</v>
      </c>
      <c r="Y13" s="3">
        <v>-3.285198974745155E-2</v>
      </c>
      <c r="Z13" s="3">
        <v>6.9228893908059266E-2</v>
      </c>
      <c r="AA13" s="3">
        <v>3.3167318241183567E-2</v>
      </c>
      <c r="AB13" s="3">
        <v>2.973818330287082E-2</v>
      </c>
      <c r="AC13" s="3">
        <v>-6.8204964820613688E-4</v>
      </c>
      <c r="AD13" s="3">
        <v>1.15170358285633E-2</v>
      </c>
      <c r="AE13" s="3">
        <v>-2.0503328038289109E-2</v>
      </c>
      <c r="AF13" s="3">
        <v>4.1706500773761708E-2</v>
      </c>
      <c r="AG13" s="3">
        <v>-2.0913833533987861E-2</v>
      </c>
      <c r="AH13" s="3">
        <v>2.7803298958979161E-2</v>
      </c>
      <c r="AI13" s="3">
        <v>2.8151205269252119E-2</v>
      </c>
      <c r="AJ13" s="3">
        <v>1.9360689709857961E-2</v>
      </c>
      <c r="AK13" s="3">
        <v>2.6232077050394591E-2</v>
      </c>
      <c r="AL13" s="3">
        <v>1.6481183651882361E-2</v>
      </c>
      <c r="AM13" s="3">
        <v>1.1826165945543411E-2</v>
      </c>
      <c r="AN13" s="3">
        <v>9.8668322503693021E-2</v>
      </c>
      <c r="AO13" s="3">
        <v>3.5672045816375772E-2</v>
      </c>
      <c r="AP13" s="3">
        <v>-1.893892885624501E-2</v>
      </c>
      <c r="AQ13" s="3">
        <v>-1.38299313855505E-2</v>
      </c>
      <c r="AR13" s="3">
        <v>-1.237048285016315E-2</v>
      </c>
      <c r="AS13" s="3">
        <v>1.2241614541118009E-2</v>
      </c>
      <c r="AT13" s="3">
        <v>6.7706669412495923E-2</v>
      </c>
      <c r="AU13" s="3">
        <v>6.3596521176547516E-2</v>
      </c>
      <c r="AV13" s="3">
        <v>1.6630332406602132E-2</v>
      </c>
      <c r="AW13" s="3">
        <v>3.179550606839817E-2</v>
      </c>
      <c r="AX13" s="3">
        <v>-4.0432700448569933E-2</v>
      </c>
      <c r="AY13" s="3">
        <v>-2.907771695957059E-2</v>
      </c>
      <c r="AZ13" s="3">
        <v>3.023668717851229E-2</v>
      </c>
      <c r="BA13" s="3">
        <v>6.1067842784261347E-2</v>
      </c>
      <c r="BB13" s="3">
        <v>3.7405217846195063E-2</v>
      </c>
      <c r="BC13" s="3">
        <v>-4.0286343588592163E-3</v>
      </c>
      <c r="BD13" s="3">
        <v>5.1866699240329779E-2</v>
      </c>
      <c r="BE13" s="3">
        <v>-2.169281205589026E-2</v>
      </c>
      <c r="BF13" s="3">
        <v>1.577490654608368E-2</v>
      </c>
      <c r="BG13" s="3">
        <v>4.2272475378595492E-2</v>
      </c>
      <c r="BH13" s="3">
        <v>8.9586290207961938E-2</v>
      </c>
      <c r="BI13" s="3">
        <v>3.2657913924474299E-2</v>
      </c>
      <c r="BJ13" s="3">
        <v>2.9171710165802611E-4</v>
      </c>
      <c r="BK13" s="3">
        <v>-1.6559986108234431E-2</v>
      </c>
      <c r="BL13" s="3">
        <v>3.0504166196832699E-2</v>
      </c>
      <c r="BM13" s="3">
        <v>1.1335495049693471E-2</v>
      </c>
      <c r="BN13" s="3">
        <v>1.1160824214276459E-2</v>
      </c>
      <c r="BO13" s="3">
        <v>1.516304258646162E-2</v>
      </c>
      <c r="BP13" s="3">
        <v>3.4950605007699038E-2</v>
      </c>
      <c r="BQ13" s="3">
        <v>1.366132776813243E-2</v>
      </c>
      <c r="BR13" s="3">
        <v>-1.8533673436460282E-2</v>
      </c>
      <c r="BS13" s="3">
        <v>-1.226559890343131E-2</v>
      </c>
      <c r="BT13" s="3">
        <v>-2.3034113811417688E-2</v>
      </c>
      <c r="BU13" s="3">
        <v>-5.5969773455425482E-2</v>
      </c>
      <c r="BV13" s="3">
        <v>1.594960932344661E-2</v>
      </c>
      <c r="BW13" s="3">
        <v>-6.965599905320656E-2</v>
      </c>
      <c r="BX13" s="3">
        <v>2.0999016551389159E-2</v>
      </c>
      <c r="BY13" s="3">
        <v>-5.4339032540054871E-2</v>
      </c>
      <c r="BZ13" s="3">
        <v>6.0125029765606082E-2</v>
      </c>
      <c r="CA13" s="3">
        <v>1.8690913407465939E-2</v>
      </c>
      <c r="CB13" s="3">
        <v>1.042225246382586E-2</v>
      </c>
      <c r="CC13" s="3">
        <v>5.2260769917295342E-2</v>
      </c>
      <c r="CD13" s="3">
        <v>3.2607870550333547E-2</v>
      </c>
      <c r="CE13" s="3">
        <v>0.16117865866293721</v>
      </c>
      <c r="CF13" s="3">
        <v>3.0261464599989438E-2</v>
      </c>
      <c r="CG13" s="3">
        <v>1.095794615934678E-2</v>
      </c>
      <c r="CH13" s="3">
        <v>7.9903479892934615E-2</v>
      </c>
      <c r="CI13" s="3">
        <v>-3.5944073526125031E-4</v>
      </c>
      <c r="CJ13" s="3">
        <v>-4.6840803727512051E-2</v>
      </c>
      <c r="CK13" s="3">
        <v>-1.3825144099841209E-2</v>
      </c>
      <c r="CL13" s="3">
        <v>5.593155296165829E-2</v>
      </c>
      <c r="CM13" s="3">
        <v>-6.6449659608668721E-2</v>
      </c>
      <c r="CN13" s="3">
        <v>1.6896890690348491E-2</v>
      </c>
      <c r="CO13" s="3">
        <v>-8.833864601785664E-2</v>
      </c>
      <c r="CP13" s="3">
        <v>8.5449776525244256E-3</v>
      </c>
      <c r="CQ13" s="3">
        <v>1.107666769946365E-2</v>
      </c>
      <c r="CR13" s="3">
        <v>-0.1088099886869833</v>
      </c>
      <c r="CS13" s="3">
        <v>-1.346380402901772E-2</v>
      </c>
      <c r="CT13" s="3">
        <v>2.580907521293594E-2</v>
      </c>
      <c r="CU13" s="3">
        <v>-2.3908765896610361E-2</v>
      </c>
      <c r="CV13" s="3">
        <v>-2.191367755626249E-2</v>
      </c>
      <c r="CW13" s="3">
        <v>-1.02257129026246E-2</v>
      </c>
      <c r="CX13" s="3">
        <v>0.1178178379566836</v>
      </c>
      <c r="CY13" s="3">
        <v>5.0045159111797204E-3</v>
      </c>
      <c r="CZ13" s="3">
        <v>0.13008189309770901</v>
      </c>
      <c r="DA13" s="3">
        <v>3.4621957437829261E-2</v>
      </c>
      <c r="DB13" s="3">
        <v>9.8267037454598902E-2</v>
      </c>
      <c r="DC13" s="3">
        <v>4.3586626232513748E-2</v>
      </c>
      <c r="DD13" s="3">
        <v>-5.8519842644321501E-2</v>
      </c>
      <c r="DE13" s="3">
        <v>-2.0890931778515601E-2</v>
      </c>
      <c r="DF13" s="3">
        <v>8.8394181881620099E-2</v>
      </c>
      <c r="DG13" s="3">
        <v>-5.0137114523229998E-2</v>
      </c>
      <c r="DH13" s="3">
        <v>2.8343639736821521E-2</v>
      </c>
      <c r="DI13" s="3">
        <v>-1.9072174931891249E-2</v>
      </c>
      <c r="DJ13" s="3">
        <v>3.187039025521139E-3</v>
      </c>
      <c r="DK13" s="3">
        <v>-1.5332012266642979E-2</v>
      </c>
      <c r="DL13" s="3">
        <v>2.8691762262003338E-2</v>
      </c>
      <c r="DM13" s="3">
        <v>4.731391027300251E-2</v>
      </c>
      <c r="DN13" s="3">
        <v>7.6355485974035457E-3</v>
      </c>
      <c r="DO13" s="3">
        <v>-6.321339409639358E-2</v>
      </c>
      <c r="DP13" s="3">
        <v>4.2605113289675048E-2</v>
      </c>
      <c r="DQ13" s="3">
        <v>-4.6517211625706309E-2</v>
      </c>
      <c r="DR13" s="3">
        <v>2.054113357826047E-2</v>
      </c>
      <c r="DS13" s="3">
        <v>-2.6743769835374669E-2</v>
      </c>
      <c r="DT13" s="3">
        <v>1.9574331528852341E-2</v>
      </c>
      <c r="DU13" s="3">
        <v>-5.2119207384657987E-2</v>
      </c>
      <c r="DV13" s="3">
        <v>-2.3289377274125882E-2</v>
      </c>
      <c r="DW13" s="3">
        <v>2.126680219576866E-2</v>
      </c>
      <c r="DX13" s="3">
        <v>2.793867191713581E-2</v>
      </c>
      <c r="DY13" s="3">
        <v>8.1485438755754397E-2</v>
      </c>
      <c r="DZ13" s="3">
        <v>-1.6455390394192099E-2</v>
      </c>
      <c r="EA13" s="3">
        <v>3.3780948037801239E-2</v>
      </c>
      <c r="EB13" s="3">
        <v>-1.877802847494105E-2</v>
      </c>
      <c r="EC13" s="3">
        <v>2.3657577064640549E-2</v>
      </c>
      <c r="ED13" s="3">
        <v>-5.522886748243104E-2</v>
      </c>
      <c r="EE13" s="3">
        <v>4.4073557012680566E-3</v>
      </c>
      <c r="EF13" s="3">
        <v>8.5229098036679607E-3</v>
      </c>
      <c r="EG13" s="3">
        <v>0.10146509805448981</v>
      </c>
      <c r="EH13" s="3">
        <v>-9.0074429472396939E-4</v>
      </c>
      <c r="EI13" s="3">
        <v>-2.666132427838367E-2</v>
      </c>
      <c r="EJ13" s="3">
        <v>-3.0944702489689752E-2</v>
      </c>
      <c r="EK13" s="3">
        <v>4.1189197441923897E-2</v>
      </c>
      <c r="EL13" s="3">
        <v>-1.092125800184846E-2</v>
      </c>
      <c r="EM13">
        <f t="shared" si="11"/>
        <v>1.2379776803348279E-2</v>
      </c>
      <c r="EN13">
        <f t="shared" si="12"/>
        <v>4.4463298861038475E-2</v>
      </c>
      <c r="EO13">
        <f t="shared" si="13"/>
        <v>0.27842686261401567</v>
      </c>
    </row>
    <row r="14" spans="1:145" x14ac:dyDescent="0.3">
      <c r="A14" s="18">
        <v>50</v>
      </c>
      <c r="B14" s="18">
        <f t="shared" si="10"/>
        <v>21</v>
      </c>
      <c r="C14" s="3">
        <v>7.6585876627941182E-2</v>
      </c>
      <c r="D14" s="3">
        <v>0.15385421381971609</v>
      </c>
      <c r="E14" s="3">
        <v>2.6675224371038319E-2</v>
      </c>
      <c r="F14" s="3">
        <v>-8.5580694100317045E-3</v>
      </c>
      <c r="G14" s="3">
        <v>0.14353276708410259</v>
      </c>
      <c r="H14" s="3">
        <v>4.4301009702802777E-2</v>
      </c>
      <c r="I14" s="3">
        <v>5.6374139374383167E-2</v>
      </c>
      <c r="J14" s="3">
        <v>-2.0350542353586399E-2</v>
      </c>
      <c r="K14" s="3">
        <v>-4.5488668882801522E-2</v>
      </c>
      <c r="L14" s="3">
        <v>-4.1763641673996647E-2</v>
      </c>
      <c r="M14" s="3">
        <v>1.993051738637391E-2</v>
      </c>
      <c r="N14" s="3">
        <v>8.8809305108624698E-2</v>
      </c>
      <c r="O14" s="3">
        <v>4.1185054915955831E-2</v>
      </c>
      <c r="P14" s="3">
        <v>3.4043787521377621E-2</v>
      </c>
      <c r="Q14" s="3">
        <v>4.0600206260001291E-2</v>
      </c>
      <c r="R14" s="3">
        <v>5.2260554234318149E-2</v>
      </c>
      <c r="S14" s="3">
        <v>3.0255374352173049E-2</v>
      </c>
      <c r="T14" s="3">
        <v>-3.5785042980424328E-2</v>
      </c>
      <c r="U14" s="3">
        <v>-3.988240872557422E-2</v>
      </c>
      <c r="V14" s="3">
        <v>-5.0387436505465073E-2</v>
      </c>
      <c r="W14" s="3">
        <v>-4.9341116442420799E-2</v>
      </c>
      <c r="X14" s="3">
        <v>-2.5359760530542019E-2</v>
      </c>
      <c r="Y14" s="3">
        <v>-6.4160127755977903E-2</v>
      </c>
      <c r="Z14" s="3">
        <v>8.5404136840093792E-2</v>
      </c>
      <c r="AA14" s="3">
        <v>7.3019512171679846E-2</v>
      </c>
      <c r="AB14" s="3">
        <v>3.4610661283719202E-2</v>
      </c>
      <c r="AC14" s="3">
        <v>-1.52228589232439E-2</v>
      </c>
      <c r="AD14" s="3">
        <v>-2.3514309713021389E-2</v>
      </c>
      <c r="AE14" s="3">
        <v>-2.296697352709836E-2</v>
      </c>
      <c r="AF14" s="3">
        <v>7.7239378713452062E-3</v>
      </c>
      <c r="AG14" s="3">
        <v>-9.4877466587505802E-3</v>
      </c>
      <c r="AH14" s="3">
        <v>2.3715835292726001E-2</v>
      </c>
      <c r="AI14" s="3">
        <v>6.4239919567234585E-2</v>
      </c>
      <c r="AJ14" s="3">
        <v>2.723604059527444E-2</v>
      </c>
      <c r="AK14" s="3">
        <v>1.219121883127121E-2</v>
      </c>
      <c r="AL14" s="3">
        <v>1.099052087064389E-2</v>
      </c>
      <c r="AM14" s="3">
        <v>2.2976111419806499E-2</v>
      </c>
      <c r="AN14" s="3">
        <v>9.880020781710544E-2</v>
      </c>
      <c r="AO14" s="3">
        <v>1.9732182496241889E-2</v>
      </c>
      <c r="AP14" s="3">
        <v>-4.8738857546387709E-2</v>
      </c>
      <c r="AQ14" s="3">
        <v>2.6828292916286881E-3</v>
      </c>
      <c r="AR14" s="3">
        <v>-2.1537198798926929E-2</v>
      </c>
      <c r="AS14" s="3">
        <v>8.4180886035041692E-3</v>
      </c>
      <c r="AT14" s="3">
        <v>0.1134192162588088</v>
      </c>
      <c r="AU14" s="3">
        <v>3.9741364886906043E-2</v>
      </c>
      <c r="AV14" s="3">
        <v>-1.182811884271396E-2</v>
      </c>
      <c r="AW14" s="3">
        <v>4.0505945649896569E-2</v>
      </c>
      <c r="AX14" s="3">
        <v>-5.331295475376395E-2</v>
      </c>
      <c r="AY14" s="3">
        <v>-2.0474723362165909E-2</v>
      </c>
      <c r="AZ14" s="3">
        <v>-2.6962055049200781E-4</v>
      </c>
      <c r="BA14" s="3">
        <v>5.8742918721243161E-2</v>
      </c>
      <c r="BB14" s="3">
        <v>4.4374192572351798E-2</v>
      </c>
      <c r="BC14" s="3">
        <v>5.7032036954261086E-3</v>
      </c>
      <c r="BD14" s="3">
        <v>2.5167285794709761E-2</v>
      </c>
      <c r="BE14" s="3">
        <v>-3.0092204218454072E-2</v>
      </c>
      <c r="BF14" s="3">
        <v>2.7237754983692079E-2</v>
      </c>
      <c r="BG14" s="3">
        <v>6.4777450211051343E-2</v>
      </c>
      <c r="BH14" s="3">
        <v>9.3578445027335505E-2</v>
      </c>
      <c r="BI14" s="3">
        <v>2.3189603497282701E-2</v>
      </c>
      <c r="BJ14" s="3">
        <v>-1.1441292827948811E-2</v>
      </c>
      <c r="BK14" s="3">
        <v>1.4572930838935251E-2</v>
      </c>
      <c r="BL14" s="3">
        <v>3.4603456936167017E-2</v>
      </c>
      <c r="BM14" s="3">
        <v>-2.4099899082786942E-2</v>
      </c>
      <c r="BN14" s="3">
        <v>5.2204162202028358E-2</v>
      </c>
      <c r="BO14" s="3">
        <v>2.9277979279593701E-2</v>
      </c>
      <c r="BP14" s="3">
        <v>5.1793159423437783E-2</v>
      </c>
      <c r="BQ14" s="3">
        <v>-1.436374032467788E-2</v>
      </c>
      <c r="BR14" s="3">
        <v>-7.9344472936775171E-3</v>
      </c>
      <c r="BS14" s="3">
        <v>1.0455648660209191E-2</v>
      </c>
      <c r="BT14" s="3">
        <v>-7.5864437295413367E-2</v>
      </c>
      <c r="BU14" s="3">
        <v>-9.7851956982127758E-2</v>
      </c>
      <c r="BV14" s="3">
        <v>4.8467459723770971E-2</v>
      </c>
      <c r="BW14" s="3">
        <v>-0.17298232177674519</v>
      </c>
      <c r="BX14" s="3">
        <v>8.8600893551785784E-2</v>
      </c>
      <c r="BY14" s="3">
        <v>-4.2994253751617417E-2</v>
      </c>
      <c r="BZ14" s="3">
        <v>7.0410909019522738E-2</v>
      </c>
      <c r="CA14" s="3">
        <v>1.721737591592195E-3</v>
      </c>
      <c r="CB14" s="3">
        <v>1.5149956878487209E-2</v>
      </c>
      <c r="CC14" s="3">
        <v>3.8080212707083991E-2</v>
      </c>
      <c r="CD14" s="3">
        <v>-2.641211576494606E-3</v>
      </c>
      <c r="CE14" s="3">
        <v>9.5223116953045014E-2</v>
      </c>
      <c r="CF14" s="3">
        <v>7.447223513558204E-3</v>
      </c>
      <c r="CG14" s="3">
        <v>4.7676568929359189E-2</v>
      </c>
      <c r="CH14" s="3">
        <v>0.15352178773846109</v>
      </c>
      <c r="CI14" s="3">
        <v>-1.9622350681349911E-2</v>
      </c>
      <c r="CJ14" s="3">
        <v>-6.2177222250520657E-2</v>
      </c>
      <c r="CK14" s="3">
        <v>-8.6309726800729736E-2</v>
      </c>
      <c r="CL14" s="3">
        <v>7.2444539800202795E-2</v>
      </c>
      <c r="CM14" s="3">
        <v>-3.1418148417355879E-2</v>
      </c>
      <c r="CN14" s="3">
        <v>1.044036998349248E-2</v>
      </c>
      <c r="CO14" s="3">
        <v>-0.14116230478444311</v>
      </c>
      <c r="CP14" s="3">
        <v>2.928470473418077E-2</v>
      </c>
      <c r="CQ14" s="3">
        <v>2.7873896404386971E-2</v>
      </c>
      <c r="CR14" s="3">
        <v>-0.20859602381076381</v>
      </c>
      <c r="CS14" s="3">
        <v>-4.8546556216787419E-2</v>
      </c>
      <c r="CT14" s="3">
        <v>4.36280629334816E-2</v>
      </c>
      <c r="CU14" s="3">
        <v>-3.4070118887246433E-2</v>
      </c>
      <c r="CV14" s="3">
        <v>-3.4988543917171017E-2</v>
      </c>
      <c r="CW14" s="3">
        <v>-4.0081604923199413E-2</v>
      </c>
      <c r="CX14" s="3">
        <v>0.14529780782556451</v>
      </c>
      <c r="CY14" s="3">
        <v>-6.4758332986222444E-3</v>
      </c>
      <c r="CZ14" s="3">
        <v>0.18199986792569459</v>
      </c>
      <c r="DA14" s="3">
        <v>6.1785791513925527E-2</v>
      </c>
      <c r="DB14" s="3">
        <v>4.3209029182817597E-2</v>
      </c>
      <c r="DC14" s="3">
        <v>4.1410744349169228E-2</v>
      </c>
      <c r="DD14" s="3">
        <v>-4.3860203259372163E-2</v>
      </c>
      <c r="DE14" s="3">
        <v>-7.5173629110779072E-3</v>
      </c>
      <c r="DF14" s="3">
        <v>7.2793855841482846E-2</v>
      </c>
      <c r="DG14" s="3">
        <v>-4.5983435420369201E-2</v>
      </c>
      <c r="DH14" s="3">
        <v>7.8803428541201703E-2</v>
      </c>
      <c r="DI14" s="3">
        <v>-5.1935974424909062E-3</v>
      </c>
      <c r="DJ14" s="3">
        <v>1.8978505697771479E-2</v>
      </c>
      <c r="DK14" s="3">
        <v>-5.2352754154125693E-2</v>
      </c>
      <c r="DL14" s="3">
        <v>1.4086060689987999E-3</v>
      </c>
      <c r="DM14" s="3">
        <v>5.742094382769334E-2</v>
      </c>
      <c r="DN14" s="3">
        <v>4.2295575900749623E-2</v>
      </c>
      <c r="DO14" s="3">
        <v>-0.1226262071694554</v>
      </c>
      <c r="DP14" s="3">
        <v>8.3533321496883049E-3</v>
      </c>
      <c r="DQ14" s="3">
        <v>-1.9625144393943111E-2</v>
      </c>
      <c r="DR14" s="3">
        <v>5.0963365518169532E-3</v>
      </c>
      <c r="DS14" s="3">
        <v>-2.9762536385761169E-2</v>
      </c>
      <c r="DT14" s="3">
        <v>-2.0555739943456108E-3</v>
      </c>
      <c r="DU14" s="3">
        <v>-4.1613506629834929E-2</v>
      </c>
      <c r="DV14" s="3">
        <v>-4.0677309486893853E-2</v>
      </c>
      <c r="DW14" s="3">
        <v>5.2478759693262877E-2</v>
      </c>
      <c r="DX14" s="3">
        <v>6.6859562793246258E-2</v>
      </c>
      <c r="DY14" s="3">
        <v>9.3270390947345294E-2</v>
      </c>
      <c r="DZ14" s="3">
        <v>-7.8067722272972496E-3</v>
      </c>
      <c r="EA14" s="3">
        <v>4.6021520959434778E-2</v>
      </c>
      <c r="EB14" s="3">
        <v>-1.8927284758914701E-2</v>
      </c>
      <c r="EC14" s="3">
        <v>3.5098390195702947E-2</v>
      </c>
      <c r="ED14" s="3">
        <v>-6.7121185647021658E-2</v>
      </c>
      <c r="EE14" s="3">
        <v>9.847993266950553E-4</v>
      </c>
      <c r="EF14" s="3">
        <v>-2.386013384559078E-2</v>
      </c>
      <c r="EG14" s="3">
        <v>0.15212161124720669</v>
      </c>
      <c r="EH14" s="3">
        <v>8.2727003879070199E-3</v>
      </c>
      <c r="EI14" s="3">
        <v>-4.9811120930955237E-2</v>
      </c>
      <c r="EJ14" s="3">
        <v>-4.2747006817414238E-2</v>
      </c>
      <c r="EK14" s="3">
        <v>4.553231308248136E-2</v>
      </c>
      <c r="EL14" s="3">
        <v>-4.1820206739979701E-3</v>
      </c>
      <c r="EM14">
        <f t="shared" si="11"/>
        <v>1.1507798097271755E-2</v>
      </c>
      <c r="EN14">
        <f t="shared" si="12"/>
        <v>6.0263034003747884E-2</v>
      </c>
      <c r="EO14">
        <f t="shared" si="13"/>
        <v>0.19095948764471535</v>
      </c>
    </row>
    <row r="15" spans="1:145" x14ac:dyDescent="0.3">
      <c r="A15" s="18">
        <v>110</v>
      </c>
      <c r="B15" s="18">
        <f t="shared" si="10"/>
        <v>10</v>
      </c>
      <c r="C15" s="3">
        <v>0.14400528719776401</v>
      </c>
      <c r="D15" s="3">
        <v>0.17595688008012461</v>
      </c>
      <c r="E15" s="3">
        <v>3.0409418822759871E-2</v>
      </c>
      <c r="F15" s="3">
        <v>-1.6146991350813131E-2</v>
      </c>
      <c r="G15" s="3">
        <v>0.17313793815936879</v>
      </c>
      <c r="H15" s="3">
        <v>-1.316706349607466E-2</v>
      </c>
      <c r="I15" s="3">
        <v>0.10311017106345979</v>
      </c>
      <c r="J15" s="3">
        <v>-9.0102887508592966E-3</v>
      </c>
      <c r="K15" s="3">
        <v>5.9772535886765142E-2</v>
      </c>
      <c r="L15" s="3">
        <v>-3.2060019468422879E-2</v>
      </c>
      <c r="M15" s="3">
        <v>3.1387406127676903E-2</v>
      </c>
      <c r="N15" s="3">
        <v>0.1215600229819474</v>
      </c>
      <c r="O15" s="3">
        <v>6.0412132601155702E-2</v>
      </c>
      <c r="P15" s="3">
        <v>1.8230341543300999E-2</v>
      </c>
      <c r="Q15" s="3">
        <v>6.2626839961174727E-2</v>
      </c>
      <c r="R15" s="3">
        <v>0.1376848177662057</v>
      </c>
      <c r="S15" s="3">
        <v>6.8524531177444666E-3</v>
      </c>
      <c r="T15" s="3">
        <v>-4.7002205571851519E-3</v>
      </c>
      <c r="U15" s="3">
        <v>-5.3491827437670281E-2</v>
      </c>
      <c r="V15" s="3">
        <v>-7.2527151406618265E-2</v>
      </c>
      <c r="W15" s="3">
        <v>-9.266289631341218E-2</v>
      </c>
      <c r="X15" s="3">
        <v>-1.338870671948744E-2</v>
      </c>
      <c r="Y15" s="3">
        <v>-9.3796950605384927E-2</v>
      </c>
      <c r="Z15" s="3">
        <v>4.2565195802164293E-2</v>
      </c>
      <c r="AA15" s="3">
        <v>0.1047651214094731</v>
      </c>
      <c r="AB15" s="3">
        <v>5.7806245051227063E-2</v>
      </c>
      <c r="AC15" s="3">
        <v>3.3256720237500252E-2</v>
      </c>
      <c r="AD15" s="3">
        <v>-5.6806841851197908E-2</v>
      </c>
      <c r="AE15" s="3">
        <v>-2.4515453345480959E-2</v>
      </c>
      <c r="AF15" s="3">
        <v>-1.0752743844925101E-2</v>
      </c>
      <c r="AG15" s="3">
        <v>-2.9212499155765469E-2</v>
      </c>
      <c r="AH15" s="3">
        <v>8.4002670011688554E-2</v>
      </c>
      <c r="AI15" s="3">
        <v>3.7331008877211767E-2</v>
      </c>
      <c r="AJ15" s="3">
        <v>2.095414489801738E-2</v>
      </c>
      <c r="AK15" s="3">
        <v>4.3325890607282669E-4</v>
      </c>
      <c r="AL15" s="3">
        <v>-1.33956173931862E-3</v>
      </c>
      <c r="AM15" s="3">
        <v>6.9547662029895221E-3</v>
      </c>
      <c r="AN15" s="3">
        <v>0.11369164649588991</v>
      </c>
      <c r="AO15" s="3">
        <v>2.1019766587065919E-2</v>
      </c>
      <c r="AP15" s="3">
        <v>-5.4451077707319898E-2</v>
      </c>
      <c r="AQ15" s="3">
        <v>1.8688929109615809E-3</v>
      </c>
      <c r="AR15" s="3">
        <v>1.3489203446665069E-3</v>
      </c>
      <c r="AS15" s="3">
        <v>-5.1687765574778222E-2</v>
      </c>
      <c r="AT15" s="3">
        <v>0.15828068132305129</v>
      </c>
      <c r="AU15" s="3">
        <v>1.5747860028627068E-2</v>
      </c>
      <c r="AV15" s="3">
        <v>-2.5940579419030212E-2</v>
      </c>
      <c r="AW15" s="3">
        <v>8.1858355430595733E-2</v>
      </c>
      <c r="AX15" s="3">
        <v>-9.7792436269556582E-2</v>
      </c>
      <c r="AY15" s="3">
        <v>-9.1776483414348284E-3</v>
      </c>
      <c r="AZ15" s="3">
        <v>4.5309987979091797E-2</v>
      </c>
      <c r="BA15" s="3">
        <v>1.474491807809516E-2</v>
      </c>
      <c r="BB15" s="3">
        <v>-2.376776160627516E-2</v>
      </c>
      <c r="BC15" s="3">
        <v>3.677379998207659E-2</v>
      </c>
      <c r="BD15" s="3">
        <v>1.052227860820933E-2</v>
      </c>
      <c r="BE15" s="3">
        <v>-2.5796336380663379E-2</v>
      </c>
      <c r="BF15" s="3">
        <v>-1.6269590332701339E-2</v>
      </c>
      <c r="BG15" s="3">
        <v>6.7427055238673164E-2</v>
      </c>
      <c r="BH15" s="3">
        <v>0.1231056970127181</v>
      </c>
      <c r="BI15" s="3">
        <v>1.993744543994928E-2</v>
      </c>
      <c r="BJ15" s="3">
        <v>1.046078977686664E-2</v>
      </c>
      <c r="BK15" s="3">
        <v>6.3507075933803711E-2</v>
      </c>
      <c r="BL15" s="3">
        <v>3.1503319549560413E-2</v>
      </c>
      <c r="BM15" s="3">
        <v>-3.2648013709873337E-2</v>
      </c>
      <c r="BN15" s="3">
        <v>6.709035127198823E-2</v>
      </c>
      <c r="BO15" s="3">
        <v>8.5649868946927436E-3</v>
      </c>
      <c r="BP15" s="3">
        <v>7.0177129091841442E-2</v>
      </c>
      <c r="BQ15" s="3">
        <v>-3.9282797640966902E-3</v>
      </c>
      <c r="BR15" s="3">
        <v>4.3314933804869248E-2</v>
      </c>
      <c r="BS15" s="3">
        <v>5.3926243492986789E-3</v>
      </c>
      <c r="BT15" s="3">
        <v>-3.9528866011247783E-2</v>
      </c>
      <c r="BU15" s="3">
        <v>-9.4888431301066375E-2</v>
      </c>
      <c r="BV15" s="3">
        <v>5.4819876197196957E-2</v>
      </c>
      <c r="BW15" s="3">
        <v>-0.31842394062529539</v>
      </c>
      <c r="BX15" s="3">
        <v>5.6524206739258717E-2</v>
      </c>
      <c r="BY15" s="3">
        <v>-8.1882175706912919E-2</v>
      </c>
      <c r="BZ15" s="3">
        <v>0.13960185677538081</v>
      </c>
      <c r="CA15" s="3">
        <v>1.377345660217404E-2</v>
      </c>
      <c r="CB15" s="3">
        <v>9.5765616857758598E-2</v>
      </c>
      <c r="CC15" s="3">
        <v>5.1887860969460797E-2</v>
      </c>
      <c r="CD15" s="3">
        <v>6.2628588404235117E-3</v>
      </c>
      <c r="CE15" s="3">
        <v>8.1326094433890272E-2</v>
      </c>
      <c r="CF15" s="3">
        <v>1.446894228774393E-2</v>
      </c>
      <c r="CG15" s="3">
        <v>3.4029724016308993E-2</v>
      </c>
      <c r="CH15" s="3">
        <v>0.16599677763806869</v>
      </c>
      <c r="CI15" s="3">
        <v>-8.7494021783544276E-2</v>
      </c>
      <c r="CJ15" s="3">
        <v>-0.13129299802775549</v>
      </c>
      <c r="CK15" s="3">
        <v>-9.0860909217266028E-2</v>
      </c>
      <c r="CL15" s="3">
        <v>-1.9638506837761641E-2</v>
      </c>
      <c r="CM15" s="3">
        <v>-1.540578169289139E-3</v>
      </c>
      <c r="CN15" s="3">
        <v>-8.736855939715793E-4</v>
      </c>
      <c r="CO15" s="3">
        <v>-0.2739441257384162</v>
      </c>
      <c r="CP15" s="3">
        <v>5.3848846256491861E-2</v>
      </c>
      <c r="CQ15" s="3">
        <v>3.9117269513089283E-2</v>
      </c>
      <c r="CR15" s="3">
        <v>-4.1535840217784593E-2</v>
      </c>
      <c r="CS15" s="3">
        <v>-5.3871495019182439E-2</v>
      </c>
      <c r="CT15" s="3">
        <v>-1.134903700969285E-2</v>
      </c>
      <c r="CU15" s="3">
        <v>-1.851330605266201E-2</v>
      </c>
      <c r="CV15" s="3">
        <v>-7.3813193954863549E-2</v>
      </c>
      <c r="CW15" s="3">
        <v>-2.2846088820098351E-2</v>
      </c>
      <c r="CX15" s="3">
        <v>0.12877690315392051</v>
      </c>
      <c r="CY15" s="3">
        <v>-2.0080069640607549E-2</v>
      </c>
      <c r="CZ15" s="3">
        <v>0.1942951052716903</v>
      </c>
      <c r="DA15" s="3">
        <v>0.1220369312583798</v>
      </c>
      <c r="DB15" s="3">
        <v>3.6163247464427263E-2</v>
      </c>
      <c r="DC15" s="3">
        <v>6.7935584044783684E-2</v>
      </c>
      <c r="DD15" s="3">
        <v>-9.2349766782811413E-2</v>
      </c>
      <c r="DE15" s="3">
        <v>-4.2516150819870042E-2</v>
      </c>
      <c r="DF15" s="3">
        <v>9.6785591417339639E-2</v>
      </c>
      <c r="DG15" s="3">
        <v>-5.6276164021327423E-2</v>
      </c>
      <c r="DH15" s="3">
        <v>3.8633019883263522E-2</v>
      </c>
      <c r="DI15" s="3">
        <v>-1.270157516154303E-2</v>
      </c>
      <c r="DJ15" s="3">
        <v>6.8558467112378105E-2</v>
      </c>
      <c r="DK15" s="3">
        <v>-6.8603082395124165E-2</v>
      </c>
      <c r="DL15" s="3">
        <v>2.0831602049665329E-2</v>
      </c>
      <c r="DM15" s="3">
        <v>5.4937261548309073E-2</v>
      </c>
      <c r="DN15" s="3">
        <v>1.92348291858957E-2</v>
      </c>
      <c r="DO15" s="3">
        <v>-0.21397327730755719</v>
      </c>
      <c r="DP15" s="3">
        <v>3.5900255113526569E-2</v>
      </c>
      <c r="DQ15" s="3">
        <v>-5.9501985665660048E-2</v>
      </c>
      <c r="DR15" s="3">
        <v>-3.1434078652083593E-2</v>
      </c>
      <c r="DS15" s="3">
        <v>-8.6514879728860933E-2</v>
      </c>
      <c r="DT15" s="3">
        <v>-7.5448099677671021E-3</v>
      </c>
      <c r="DU15" s="3">
        <v>-8.2716699098573099E-3</v>
      </c>
      <c r="DV15" s="3">
        <v>-0.14976687274522649</v>
      </c>
      <c r="DW15" s="3">
        <v>7.192879265750593E-2</v>
      </c>
      <c r="DX15" s="3">
        <v>8.2757493624827011E-2</v>
      </c>
      <c r="DY15" s="3">
        <v>0.16389420036857669</v>
      </c>
      <c r="DZ15" s="3">
        <v>-3.622323416104628E-2</v>
      </c>
      <c r="EA15" s="3">
        <v>-3.51935001661477E-3</v>
      </c>
      <c r="EB15" s="3">
        <v>-6.07764904040018E-2</v>
      </c>
      <c r="EC15" s="3">
        <v>4.4523631504666511E-2</v>
      </c>
      <c r="ED15" s="3">
        <v>-0.13185045489722999</v>
      </c>
      <c r="EE15" s="3">
        <v>1.6199648753967389E-2</v>
      </c>
      <c r="EF15" s="3">
        <v>-7.4470426351938915E-2</v>
      </c>
      <c r="EG15" s="3">
        <v>0.26387589123894711</v>
      </c>
      <c r="EH15" s="3">
        <v>3.114955479500521E-2</v>
      </c>
      <c r="EI15" s="3">
        <v>-7.1585379973017518E-2</v>
      </c>
      <c r="EJ15" s="3">
        <v>-6.2568316228809845E-2</v>
      </c>
      <c r="EK15" s="3">
        <v>2.6491161832838318E-2</v>
      </c>
      <c r="EL15" s="3">
        <v>5.1003021469706172E-3</v>
      </c>
      <c r="EM15">
        <f t="shared" si="11"/>
        <v>1.0031662959474313E-2</v>
      </c>
      <c r="EN15">
        <f t="shared" si="12"/>
        <v>8.2599215926917144E-2</v>
      </c>
      <c r="EO15">
        <f t="shared" si="13"/>
        <v>0.12144985696172002</v>
      </c>
    </row>
    <row r="16" spans="1:145" x14ac:dyDescent="0.3">
      <c r="A16" s="18">
        <v>120</v>
      </c>
      <c r="B16" s="18">
        <f t="shared" si="10"/>
        <v>9</v>
      </c>
      <c r="C16" s="3">
        <v>0.1401409668010434</v>
      </c>
      <c r="D16" s="3">
        <v>0.1770779222134472</v>
      </c>
      <c r="E16" s="3">
        <v>2.6872147495833859E-2</v>
      </c>
      <c r="F16" s="3">
        <v>-5.8139995345959337E-2</v>
      </c>
      <c r="G16" s="3">
        <v>0.12863465026603851</v>
      </c>
      <c r="H16" s="3">
        <v>-6.8255016331891794E-2</v>
      </c>
      <c r="I16" s="3">
        <v>9.2572439075394503E-2</v>
      </c>
      <c r="J16" s="3">
        <v>1.755411920595362E-3</v>
      </c>
      <c r="K16" s="3">
        <v>6.1063639410905597E-2</v>
      </c>
      <c r="L16" s="3">
        <v>-3.1944213744279602E-2</v>
      </c>
      <c r="M16" s="3">
        <v>3.3970920961132377E-2</v>
      </c>
      <c r="N16" s="3">
        <v>0.1309772213120946</v>
      </c>
      <c r="O16" s="3">
        <v>6.1252642280299807E-2</v>
      </c>
      <c r="P16" s="3">
        <v>2.1381042075420988E-2</v>
      </c>
      <c r="Q16" s="3">
        <v>7.4866023543982405E-2</v>
      </c>
      <c r="R16" s="3">
        <v>0.15148284862542991</v>
      </c>
      <c r="S16" s="3">
        <v>1.021178981490656E-2</v>
      </c>
      <c r="T16" s="3">
        <v>-7.2458037352396504E-2</v>
      </c>
      <c r="U16" s="3">
        <v>-0.12569184396751759</v>
      </c>
      <c r="V16" s="3">
        <v>-8.684084826758505E-2</v>
      </c>
      <c r="W16" s="3">
        <v>-8.1552397098225315E-2</v>
      </c>
      <c r="X16" s="3">
        <v>1.6131911873173439E-2</v>
      </c>
      <c r="Y16" s="3">
        <v>-8.917835766070599E-2</v>
      </c>
      <c r="Z16" s="3">
        <v>4.1942310808499403E-2</v>
      </c>
      <c r="AA16" s="3">
        <v>9.3450005892167662E-2</v>
      </c>
      <c r="AB16" s="3">
        <v>6.7088904667169935E-2</v>
      </c>
      <c r="AC16" s="3">
        <v>2.828951787836561E-2</v>
      </c>
      <c r="AD16" s="3">
        <v>-6.1417090573084039E-2</v>
      </c>
      <c r="AE16" s="3">
        <v>-5.6899117014652077E-3</v>
      </c>
      <c r="AF16" s="3">
        <v>-9.8138571177456869E-3</v>
      </c>
      <c r="AG16" s="3">
        <v>-5.7602882909571218E-2</v>
      </c>
      <c r="AH16" s="3">
        <v>5.3711883010698819E-2</v>
      </c>
      <c r="AI16" s="3">
        <v>3.8776242182496763E-2</v>
      </c>
      <c r="AJ16" s="3">
        <v>2.675995763893502E-2</v>
      </c>
      <c r="AK16" s="3">
        <v>6.9977979271038104E-3</v>
      </c>
      <c r="AL16" s="3">
        <v>-4.4335333459635043E-3</v>
      </c>
      <c r="AM16" s="3">
        <v>1.1008675635748869E-2</v>
      </c>
      <c r="AN16" s="3">
        <v>0.1135903672201857</v>
      </c>
      <c r="AO16" s="3">
        <v>2.640741475754943E-2</v>
      </c>
      <c r="AP16" s="3">
        <v>-5.2377253608092547E-2</v>
      </c>
      <c r="AQ16" s="3">
        <v>1.1821529388929451E-3</v>
      </c>
      <c r="AR16" s="3">
        <v>4.9516377928383454E-3</v>
      </c>
      <c r="AS16" s="3">
        <v>-3.3792859504895929E-3</v>
      </c>
      <c r="AT16" s="3">
        <v>0.16460989339884941</v>
      </c>
      <c r="AU16" s="3">
        <v>1.483485668312438E-2</v>
      </c>
      <c r="AV16" s="3">
        <v>-3.9366443079753642E-2</v>
      </c>
      <c r="AW16" s="3">
        <v>8.272986382829095E-2</v>
      </c>
      <c r="AX16" s="3">
        <v>-0.1345502247173371</v>
      </c>
      <c r="AY16" s="3">
        <v>-8.8710499269718177E-3</v>
      </c>
      <c r="AZ16" s="3">
        <v>4.9462949180724462E-2</v>
      </c>
      <c r="BA16" s="3">
        <v>1.03058494770346E-2</v>
      </c>
      <c r="BB16" s="3">
        <v>-2.7503746731792109E-2</v>
      </c>
      <c r="BC16" s="3">
        <v>2.7517753995121141E-2</v>
      </c>
      <c r="BD16" s="3">
        <v>6.5741400427771046E-2</v>
      </c>
      <c r="BE16" s="3">
        <v>-2.4394427322519719E-2</v>
      </c>
      <c r="BF16" s="3">
        <v>-1.831734083856168E-2</v>
      </c>
      <c r="BG16" s="3">
        <v>5.9490084010858077E-2</v>
      </c>
      <c r="BH16" s="3">
        <v>0.1122155073833359</v>
      </c>
      <c r="BI16" s="3">
        <v>3.0135544554262261E-3</v>
      </c>
      <c r="BJ16" s="3">
        <v>8.2912904374630378E-3</v>
      </c>
      <c r="BK16" s="3">
        <v>6.3446526427242966E-2</v>
      </c>
      <c r="BL16" s="3">
        <v>3.1027035395209211E-2</v>
      </c>
      <c r="BM16" s="3">
        <v>-4.740063650043666E-2</v>
      </c>
      <c r="BN16" s="3">
        <v>7.6527148305817347E-2</v>
      </c>
      <c r="BO16" s="3">
        <v>9.252685316281626E-3</v>
      </c>
      <c r="BP16" s="3">
        <v>7.5457265968648365E-2</v>
      </c>
      <c r="BQ16" s="3">
        <v>-1.7068096366459558E-2</v>
      </c>
      <c r="BR16" s="3">
        <v>6.1698521464279288E-2</v>
      </c>
      <c r="BS16" s="3">
        <v>8.0522865328825927E-5</v>
      </c>
      <c r="BT16" s="3">
        <v>-3.6465262466682719E-2</v>
      </c>
      <c r="BU16" s="3">
        <v>-0.1109158148406376</v>
      </c>
      <c r="BV16" s="3">
        <v>6.2262223787827628E-2</v>
      </c>
      <c r="BW16" s="3">
        <v>-0.32308755010965878</v>
      </c>
      <c r="BX16" s="3">
        <v>7.5789459975846185E-2</v>
      </c>
      <c r="BY16" s="3">
        <v>-5.576427916646326E-2</v>
      </c>
      <c r="BZ16" s="3">
        <v>0.13365369115932371</v>
      </c>
      <c r="CA16" s="3">
        <v>1.3109320603139501E-2</v>
      </c>
      <c r="CB16" s="3">
        <v>9.6099911879611852E-2</v>
      </c>
      <c r="CC16" s="3">
        <v>6.5808797704719382E-2</v>
      </c>
      <c r="CD16" s="3">
        <v>1.034106821171895E-2</v>
      </c>
      <c r="CE16" s="3">
        <v>8.2947655267471665E-2</v>
      </c>
      <c r="CF16" s="3">
        <v>1.093999720185161E-2</v>
      </c>
      <c r="CG16" s="3">
        <v>3.8809628615950442E-2</v>
      </c>
      <c r="CH16" s="3">
        <v>0.1009403406950979</v>
      </c>
      <c r="CI16" s="3">
        <v>-0.1171451429687768</v>
      </c>
      <c r="CJ16" s="3">
        <v>-0.13451469881626349</v>
      </c>
      <c r="CK16" s="3">
        <v>-0.1088346999396133</v>
      </c>
      <c r="CL16" s="3">
        <v>-2.6125201832290171E-2</v>
      </c>
      <c r="CM16" s="3">
        <v>4.0791826531541217E-3</v>
      </c>
      <c r="CN16" s="3">
        <v>4.6008281398040359E-3</v>
      </c>
      <c r="CO16" s="3">
        <v>-0.29238805981402172</v>
      </c>
      <c r="CP16" s="3">
        <v>5.7615997039440182E-2</v>
      </c>
      <c r="CQ16" s="3">
        <v>4.9083319348687003E-2</v>
      </c>
      <c r="CR16" s="3">
        <v>-3.2655231475232561E-2</v>
      </c>
      <c r="CS16" s="3">
        <v>-6.0305455758742812E-2</v>
      </c>
      <c r="CT16" s="3">
        <v>-1.1196246163158809E-2</v>
      </c>
      <c r="CU16" s="3">
        <v>-3.2691347814776901E-2</v>
      </c>
      <c r="CV16" s="3">
        <v>-9.9933343016084183E-2</v>
      </c>
      <c r="CW16" s="3">
        <v>-1.375592586842197E-2</v>
      </c>
      <c r="CX16" s="3">
        <v>0.1079962944158101</v>
      </c>
      <c r="CY16" s="3">
        <v>-1.4021151916988149E-2</v>
      </c>
      <c r="CZ16" s="3">
        <v>0.21709605260158191</v>
      </c>
      <c r="DA16" s="3">
        <v>0.11121896577432901</v>
      </c>
      <c r="DB16" s="3">
        <v>3.9607337062765008E-2</v>
      </c>
      <c r="DC16" s="3">
        <v>6.7655024939348218E-2</v>
      </c>
      <c r="DD16" s="3">
        <v>-0.10562308464862109</v>
      </c>
      <c r="DE16" s="3">
        <v>-3.8943786122885453E-2</v>
      </c>
      <c r="DF16" s="3">
        <v>9.7341291746026654E-2</v>
      </c>
      <c r="DG16" s="3">
        <v>-4.5170378054137823E-2</v>
      </c>
      <c r="DH16" s="3">
        <v>3.9431729162523209E-2</v>
      </c>
      <c r="DI16" s="3">
        <v>2.9711606824491098E-2</v>
      </c>
      <c r="DJ16" s="3">
        <v>6.1987362387485742E-2</v>
      </c>
      <c r="DK16" s="3">
        <v>-6.2933323086861739E-2</v>
      </c>
      <c r="DL16" s="3">
        <v>6.5560685900160056E-3</v>
      </c>
      <c r="DM16" s="3">
        <v>6.3391206637333358E-2</v>
      </c>
      <c r="DN16" s="3">
        <v>1.7882978362510769E-2</v>
      </c>
      <c r="DO16" s="3">
        <v>-0.21490754223468489</v>
      </c>
      <c r="DP16" s="3">
        <v>3.6168516983775649E-2</v>
      </c>
      <c r="DQ16" s="3">
        <v>-7.0730746248056975E-2</v>
      </c>
      <c r="DR16" s="3">
        <v>-2.9797638306408161E-2</v>
      </c>
      <c r="DS16" s="3">
        <v>-0.100179157056944</v>
      </c>
      <c r="DT16" s="3">
        <v>-8.9256783650968341E-3</v>
      </c>
      <c r="DU16" s="3">
        <v>1.379460445335866E-2</v>
      </c>
      <c r="DV16" s="3">
        <v>-0.14204772537397409</v>
      </c>
      <c r="DW16" s="3">
        <v>6.6765348660127302E-2</v>
      </c>
      <c r="DX16" s="3">
        <v>9.2987237778433054E-2</v>
      </c>
      <c r="DY16" s="3">
        <v>0.1765992532861223</v>
      </c>
      <c r="DZ16" s="3">
        <v>-6.7030631839973889E-3</v>
      </c>
      <c r="EA16" s="3">
        <v>-5.0356539994040571E-2</v>
      </c>
      <c r="EB16" s="3">
        <v>-6.0763102262371749E-2</v>
      </c>
      <c r="EC16" s="3">
        <v>4.2630654877481793E-2</v>
      </c>
      <c r="ED16" s="3">
        <v>-0.12507120879099229</v>
      </c>
      <c r="EE16" s="3">
        <v>1.7151493435292209E-2</v>
      </c>
      <c r="EF16" s="3">
        <v>-5.6304659923903891E-2</v>
      </c>
      <c r="EG16" s="3">
        <v>0.30994802424985779</v>
      </c>
      <c r="EH16" s="3">
        <v>3.939557705024925E-2</v>
      </c>
      <c r="EI16" s="3">
        <v>-3.9108747975730267E-2</v>
      </c>
      <c r="EJ16" s="3">
        <v>-6.9214680990689822E-2</v>
      </c>
      <c r="EK16" s="3">
        <v>2.7294758398333591E-2</v>
      </c>
      <c r="EL16" s="3">
        <v>8.9903169801277133E-3</v>
      </c>
      <c r="EM16">
        <f t="shared" si="11"/>
        <v>8.8079094066869038E-3</v>
      </c>
      <c r="EN16">
        <f t="shared" si="12"/>
        <v>8.6070720200866285E-2</v>
      </c>
      <c r="EO16">
        <f t="shared" si="13"/>
        <v>0.1023333996291837</v>
      </c>
    </row>
    <row r="17" spans="1:145" x14ac:dyDescent="0.3">
      <c r="A17" s="18">
        <v>130</v>
      </c>
      <c r="B17" s="18">
        <f t="shared" si="10"/>
        <v>8</v>
      </c>
      <c r="C17" s="3">
        <v>0.1505905372492963</v>
      </c>
      <c r="D17" s="3">
        <v>0.15286635102868831</v>
      </c>
      <c r="E17" s="3">
        <v>3.4052572608605391E-2</v>
      </c>
      <c r="F17" s="3">
        <v>-4.227185811252146E-2</v>
      </c>
      <c r="G17" s="3">
        <v>0.1449159052057325</v>
      </c>
      <c r="H17" s="3">
        <v>-6.0597293348490719E-2</v>
      </c>
      <c r="I17" s="3">
        <v>9.0191910774791481E-2</v>
      </c>
      <c r="J17" s="3">
        <v>5.3499136379830167E-3</v>
      </c>
      <c r="K17" s="3">
        <v>4.411931959908609E-2</v>
      </c>
      <c r="L17" s="3">
        <v>-3.358644847084901E-2</v>
      </c>
      <c r="M17" s="3">
        <v>3.8330240326357561E-2</v>
      </c>
      <c r="N17" s="3">
        <v>0.1335849884877984</v>
      </c>
      <c r="O17" s="3">
        <v>4.8620748765140928E-2</v>
      </c>
      <c r="P17" s="3">
        <v>2.6720067877389821E-2</v>
      </c>
      <c r="Q17" s="3">
        <v>6.1192154936700292E-3</v>
      </c>
      <c r="R17" s="3">
        <v>0.17228853061096619</v>
      </c>
      <c r="S17" s="3">
        <v>1.978292036530516E-2</v>
      </c>
      <c r="T17" s="3">
        <v>-5.3498604098647949E-2</v>
      </c>
      <c r="U17" s="3">
        <v>-0.15686511977847431</v>
      </c>
      <c r="V17" s="3">
        <v>-0.10303081909288531</v>
      </c>
      <c r="W17" s="3">
        <v>-6.542788552567419E-2</v>
      </c>
      <c r="X17" s="3">
        <v>4.7684815972867112E-3</v>
      </c>
      <c r="Y17" s="3">
        <v>-9.5729501082782817E-2</v>
      </c>
      <c r="Z17" s="3">
        <v>5.2746100056817118E-2</v>
      </c>
      <c r="AA17" s="3">
        <v>9.0153503122766571E-2</v>
      </c>
      <c r="AB17" s="3">
        <v>5.9044797716827857E-2</v>
      </c>
      <c r="AC17" s="3">
        <v>9.9158908093220505E-3</v>
      </c>
      <c r="AD17" s="3">
        <v>-7.1911151655354735E-2</v>
      </c>
      <c r="AE17" s="3">
        <v>-3.8374802539858609E-2</v>
      </c>
      <c r="AF17" s="3">
        <v>-1.0634954904195601E-2</v>
      </c>
      <c r="AG17" s="3">
        <v>-5.1027025180891902E-2</v>
      </c>
      <c r="AH17" s="3">
        <v>2.7986687736868771E-2</v>
      </c>
      <c r="AI17" s="3">
        <v>3.6955988841106582E-2</v>
      </c>
      <c r="AJ17" s="3">
        <v>3.9811200523977942E-2</v>
      </c>
      <c r="AK17" s="3">
        <v>4.3550329323853297E-2</v>
      </c>
      <c r="AL17" s="3">
        <v>-1.449684022360873E-3</v>
      </c>
      <c r="AM17" s="3">
        <v>1.5767110207649971E-2</v>
      </c>
      <c r="AN17" s="3">
        <v>0.11942458388266609</v>
      </c>
      <c r="AO17" s="3">
        <v>2.8284599271208799E-2</v>
      </c>
      <c r="AP17" s="3">
        <v>-5.536583461781136E-2</v>
      </c>
      <c r="AQ17" s="3">
        <v>-1.142228997650499E-2</v>
      </c>
      <c r="AR17" s="3">
        <v>1.7325345375017578E-2</v>
      </c>
      <c r="AS17" s="3">
        <v>-1.6478861820653241E-2</v>
      </c>
      <c r="AT17" s="3">
        <v>0.184174881445999</v>
      </c>
      <c r="AU17" s="3">
        <v>2.1972290666729909E-2</v>
      </c>
      <c r="AV17" s="3">
        <v>-3.72270767810568E-2</v>
      </c>
      <c r="AW17" s="3">
        <v>8.9883673111788354E-2</v>
      </c>
      <c r="AX17" s="3">
        <v>-0.1598103872588082</v>
      </c>
      <c r="AY17" s="3">
        <v>1.1907628170344081E-2</v>
      </c>
      <c r="AZ17" s="3">
        <v>5.7219299109077817E-2</v>
      </c>
      <c r="BA17" s="3">
        <v>1.010335971956503E-2</v>
      </c>
      <c r="BB17" s="3">
        <v>-2.7633414844628609E-2</v>
      </c>
      <c r="BC17" s="3">
        <v>2.8840199750700912E-2</v>
      </c>
      <c r="BD17" s="3">
        <v>6.2085749535742467E-2</v>
      </c>
      <c r="BE17" s="3">
        <v>-2.8202758984985969E-2</v>
      </c>
      <c r="BF17" s="3">
        <v>-1.301914023267263E-2</v>
      </c>
      <c r="BG17" s="3">
        <v>5.5935278540671068E-2</v>
      </c>
      <c r="BH17" s="3">
        <v>8.8132093041245391E-2</v>
      </c>
      <c r="BI17" s="3">
        <v>1.403182535730577E-2</v>
      </c>
      <c r="BJ17" s="3">
        <v>1.204607285178051E-2</v>
      </c>
      <c r="BK17" s="3">
        <v>2.196404995305859E-2</v>
      </c>
      <c r="BL17" s="3">
        <v>3.224315348670799E-2</v>
      </c>
      <c r="BM17" s="3">
        <v>-7.9866749293261763E-2</v>
      </c>
      <c r="BN17" s="3">
        <v>6.2425434615727207E-2</v>
      </c>
      <c r="BO17" s="3">
        <v>1.167439885710155E-2</v>
      </c>
      <c r="BP17" s="3">
        <v>7.7418597586524002E-2</v>
      </c>
      <c r="BQ17" s="3">
        <v>-3.025407012630221E-3</v>
      </c>
      <c r="BR17" s="3">
        <v>4.7344585124630467E-2</v>
      </c>
      <c r="BS17" s="3">
        <v>-8.209884156439376E-3</v>
      </c>
      <c r="BT17" s="3">
        <v>-3.7992421861808033E-2</v>
      </c>
      <c r="BU17" s="3">
        <v>-0.1162985011856312</v>
      </c>
      <c r="BV17" s="3">
        <v>5.903113970163007E-2</v>
      </c>
      <c r="BW17" s="3">
        <v>-0.35486783103802511</v>
      </c>
      <c r="BX17" s="3">
        <v>9.3294344762439946E-2</v>
      </c>
      <c r="BY17" s="3">
        <v>-8.0671573762190252E-2</v>
      </c>
      <c r="BZ17" s="3">
        <v>0.14698238681802089</v>
      </c>
      <c r="CA17" s="3">
        <v>2.3311736231657158E-2</v>
      </c>
      <c r="CB17" s="3">
        <v>0.11389746979233641</v>
      </c>
      <c r="CC17" s="3">
        <v>9.7001239298420444E-2</v>
      </c>
      <c r="CD17" s="3">
        <v>1.1309051826897539E-3</v>
      </c>
      <c r="CE17" s="3">
        <v>9.2125568649537012E-2</v>
      </c>
      <c r="CF17" s="3">
        <v>1.3916834575000101E-2</v>
      </c>
      <c r="CG17" s="3">
        <v>5.5569997610168058E-2</v>
      </c>
      <c r="CH17" s="3">
        <v>8.7744247105544654E-2</v>
      </c>
      <c r="CI17" s="3">
        <v>-0.1148055399494811</v>
      </c>
      <c r="CJ17" s="3">
        <v>-0.16393080508048419</v>
      </c>
      <c r="CK17" s="3">
        <v>-0.12523007717022311</v>
      </c>
      <c r="CL17" s="3">
        <v>-3.2071737974366341E-2</v>
      </c>
      <c r="CM17" s="3">
        <v>4.1297081664418769E-3</v>
      </c>
      <c r="CN17" s="3">
        <v>5.9499279382696849E-3</v>
      </c>
      <c r="CO17" s="3">
        <v>-0.31426269487628922</v>
      </c>
      <c r="CP17" s="3">
        <v>8.2620826756798327E-2</v>
      </c>
      <c r="CQ17" s="3">
        <v>5.7338170014582968E-2</v>
      </c>
      <c r="CR17" s="3">
        <v>-7.0129938246793694E-3</v>
      </c>
      <c r="CS17" s="3">
        <v>-4.941769854578091E-2</v>
      </c>
      <c r="CT17" s="3">
        <v>2.0102261312598471E-2</v>
      </c>
      <c r="CU17" s="3">
        <v>-4.2401503938905287E-2</v>
      </c>
      <c r="CV17" s="3">
        <v>-0.112134368420616</v>
      </c>
      <c r="CW17" s="3">
        <v>-1.280739315688917E-2</v>
      </c>
      <c r="CX17" s="3">
        <v>0.11819485494902419</v>
      </c>
      <c r="CY17" s="3">
        <v>-1.5802011641788169E-2</v>
      </c>
      <c r="CZ17" s="3">
        <v>0.23748677231058851</v>
      </c>
      <c r="DA17" s="3">
        <v>0.12961397574454489</v>
      </c>
      <c r="DB17" s="3">
        <v>2.9198991926793809E-2</v>
      </c>
      <c r="DC17" s="3">
        <v>7.6950276764561926E-2</v>
      </c>
      <c r="DD17" s="3">
        <v>-0.1044359097404942</v>
      </c>
      <c r="DE17" s="3">
        <v>-3.6496946859085042E-2</v>
      </c>
      <c r="DF17" s="3">
        <v>0.1167938441147825</v>
      </c>
      <c r="DG17" s="3">
        <v>-4.0351272989745363E-2</v>
      </c>
      <c r="DH17" s="3">
        <v>4.7400082142370931E-2</v>
      </c>
      <c r="DI17" s="3">
        <v>4.7859231302943887E-2</v>
      </c>
      <c r="DJ17" s="3">
        <v>2.5471810479324761E-2</v>
      </c>
      <c r="DK17" s="3">
        <v>-6.5294804321928746E-2</v>
      </c>
      <c r="DL17" s="3">
        <v>-3.2970343616021448E-4</v>
      </c>
      <c r="DM17" s="3">
        <v>7.5598765618973218E-2</v>
      </c>
      <c r="DN17" s="3">
        <v>2.8286749219705819E-2</v>
      </c>
      <c r="DO17" s="3">
        <v>-0.25109544661382038</v>
      </c>
      <c r="DP17" s="3">
        <v>3.8607411865158259E-2</v>
      </c>
      <c r="DQ17" s="3">
        <v>-7.9054708552486058E-2</v>
      </c>
      <c r="DR17" s="3">
        <v>-1.091645920692149E-2</v>
      </c>
      <c r="DS17" s="3">
        <v>-0.10849337188977209</v>
      </c>
      <c r="DT17" s="3">
        <v>-4.0732533946874691E-3</v>
      </c>
      <c r="DU17" s="3">
        <v>6.1194383613458331E-3</v>
      </c>
      <c r="DV17" s="3">
        <v>-0.1523608554477292</v>
      </c>
      <c r="DW17" s="3">
        <v>7.5274560028849247E-2</v>
      </c>
      <c r="DX17" s="3">
        <v>9.5840720016837994E-2</v>
      </c>
      <c r="DY17" s="3">
        <v>0.215108504384765</v>
      </c>
      <c r="DZ17" s="3">
        <v>-1.9255712289751179E-2</v>
      </c>
      <c r="EA17" s="3">
        <v>-4.9353480347494309E-2</v>
      </c>
      <c r="EB17" s="3">
        <v>-7.4629810435435942E-2</v>
      </c>
      <c r="EC17" s="3">
        <v>4.1061965008686648E-2</v>
      </c>
      <c r="ED17" s="3">
        <v>-0.13990972677575519</v>
      </c>
      <c r="EE17" s="3">
        <v>1.2759036113264861E-2</v>
      </c>
      <c r="EF17" s="3">
        <v>-6.7082114505726279E-2</v>
      </c>
      <c r="EG17" s="3">
        <v>0.33153581340875687</v>
      </c>
      <c r="EH17" s="3">
        <v>4.5358316563649782E-2</v>
      </c>
      <c r="EI17" s="3">
        <v>-4.5584694208479319E-2</v>
      </c>
      <c r="EJ17" s="3">
        <v>-6.3645847055804658E-2</v>
      </c>
      <c r="EK17" s="3">
        <v>3.9725987260135848E-2</v>
      </c>
      <c r="EL17" s="3">
        <v>1.17525892154909E-2</v>
      </c>
      <c r="EM17">
        <f t="shared" si="11"/>
        <v>8.4719903489049887E-3</v>
      </c>
      <c r="EN17">
        <f t="shared" si="12"/>
        <v>9.3064272000005152E-2</v>
      </c>
      <c r="EO17">
        <f t="shared" si="13"/>
        <v>9.1033757282327626E-2</v>
      </c>
    </row>
    <row r="18" spans="1:145" x14ac:dyDescent="0.3">
      <c r="A18" s="18">
        <v>150</v>
      </c>
      <c r="B18" s="18">
        <f t="shared" si="10"/>
        <v>7</v>
      </c>
      <c r="C18" s="3">
        <v>0.1098909775528476</v>
      </c>
      <c r="D18" s="3">
        <v>0.1849128246016645</v>
      </c>
      <c r="E18" s="3">
        <v>3.7105373765347442E-2</v>
      </c>
      <c r="F18" s="3">
        <v>1.6507986328019069E-2</v>
      </c>
      <c r="G18" s="3">
        <v>0.1471913071708279</v>
      </c>
      <c r="H18" s="3">
        <v>-3.2775950711297352E-2</v>
      </c>
      <c r="I18" s="3">
        <v>8.5459961853174685E-2</v>
      </c>
      <c r="J18" s="3">
        <v>9.4477837247762438E-3</v>
      </c>
      <c r="K18" s="3">
        <v>4.2445656070066902E-2</v>
      </c>
      <c r="L18" s="3">
        <v>-8.0480925260891858E-3</v>
      </c>
      <c r="M18" s="3">
        <v>6.0108725033696797E-2</v>
      </c>
      <c r="N18" s="3">
        <v>0.142313641658876</v>
      </c>
      <c r="O18" s="3">
        <v>6.5089876636382202E-2</v>
      </c>
      <c r="P18" s="3">
        <v>3.3712326793463948E-2</v>
      </c>
      <c r="Q18" s="3">
        <v>1.10259677269897E-2</v>
      </c>
      <c r="R18" s="3">
        <v>0.1179500777173314</v>
      </c>
      <c r="S18" s="3">
        <v>2.0202027068876881E-2</v>
      </c>
      <c r="T18" s="3">
        <v>-1.975547275860819E-2</v>
      </c>
      <c r="U18" s="3">
        <v>-0.13366173105639401</v>
      </c>
      <c r="V18" s="3">
        <v>-8.4942486039454687E-2</v>
      </c>
      <c r="W18" s="3">
        <v>-6.0439301481587368E-2</v>
      </c>
      <c r="X18" s="3">
        <v>2.541956574404676E-2</v>
      </c>
      <c r="Y18" s="3">
        <v>-9.0229768785784939E-2</v>
      </c>
      <c r="Z18" s="3">
        <v>4.6477278264077701E-2</v>
      </c>
      <c r="AA18" s="3">
        <v>9.7827511700399161E-2</v>
      </c>
      <c r="AB18" s="3">
        <v>6.859318626160027E-2</v>
      </c>
      <c r="AC18" s="3">
        <v>2.7273671094462739E-2</v>
      </c>
      <c r="AD18" s="3">
        <v>-7.6595772874516535E-2</v>
      </c>
      <c r="AE18" s="3">
        <v>-3.8656472964764148E-2</v>
      </c>
      <c r="AF18" s="3">
        <v>-2.268682324026224E-3</v>
      </c>
      <c r="AG18" s="3">
        <v>-2.5037624886075031E-2</v>
      </c>
      <c r="AH18" s="3">
        <v>3.1796320069983917E-2</v>
      </c>
      <c r="AI18" s="3">
        <v>4.7848784141466122E-2</v>
      </c>
      <c r="AJ18" s="3">
        <v>5.4630276282349663E-2</v>
      </c>
      <c r="AK18" s="3">
        <v>1.538113915183132E-2</v>
      </c>
      <c r="AL18" s="3">
        <v>-2.5406587630962679E-3</v>
      </c>
      <c r="AM18" s="3">
        <v>3.3518831172788088E-2</v>
      </c>
      <c r="AN18" s="3">
        <v>0.1351669933512607</v>
      </c>
      <c r="AO18" s="3">
        <v>5.1657224453068584E-3</v>
      </c>
      <c r="AP18" s="3">
        <v>-6.3291380498704947E-2</v>
      </c>
      <c r="AQ18" s="3">
        <v>5.2198278589760658E-2</v>
      </c>
      <c r="AR18" s="3">
        <v>1.543559289195192E-2</v>
      </c>
      <c r="AS18" s="3">
        <v>-6.4559860547837439E-2</v>
      </c>
      <c r="AT18" s="3">
        <v>0.1822668680157869</v>
      </c>
      <c r="AU18" s="3">
        <v>2.1362987918402711E-2</v>
      </c>
      <c r="AV18" s="3">
        <v>-2.83986264372523E-2</v>
      </c>
      <c r="AW18" s="3">
        <v>8.9532971139092477E-2</v>
      </c>
      <c r="AX18" s="3">
        <v>-0.16631186676769011</v>
      </c>
      <c r="AY18" s="3">
        <v>1.130809563341152E-2</v>
      </c>
      <c r="AZ18" s="3">
        <v>5.4969986845036151E-2</v>
      </c>
      <c r="BA18" s="3">
        <v>1.028140229225873E-2</v>
      </c>
      <c r="BB18" s="3">
        <v>-2.484170058295648E-2</v>
      </c>
      <c r="BC18" s="3">
        <v>3.7801853624607328E-2</v>
      </c>
      <c r="BD18" s="3">
        <v>3.9486082835203877E-2</v>
      </c>
      <c r="BE18" s="3">
        <v>-1.2672472220604211E-2</v>
      </c>
      <c r="BF18" s="3">
        <v>-1.4894776250305931E-2</v>
      </c>
      <c r="BG18" s="3">
        <v>7.4540763067010629E-2</v>
      </c>
      <c r="BH18" s="3">
        <v>7.6872768280492332E-2</v>
      </c>
      <c r="BI18" s="3">
        <v>-6.65875216546645E-3</v>
      </c>
      <c r="BJ18" s="3">
        <v>4.0555544931062337E-2</v>
      </c>
      <c r="BK18" s="3">
        <v>1.7307630767719191E-2</v>
      </c>
      <c r="BL18" s="3">
        <v>3.3903526632234629E-2</v>
      </c>
      <c r="BM18" s="3">
        <v>-9.5311359269963591E-2</v>
      </c>
      <c r="BN18" s="3">
        <v>2.080882364330618E-2</v>
      </c>
      <c r="BO18" s="3">
        <v>1.5285834701798709E-2</v>
      </c>
      <c r="BP18" s="3">
        <v>0.14094783607285619</v>
      </c>
      <c r="BQ18" s="3">
        <v>-2.7914704243814202E-4</v>
      </c>
      <c r="BR18" s="3">
        <v>7.520828236191103E-2</v>
      </c>
      <c r="BS18" s="3">
        <v>-1.459024795715687E-2</v>
      </c>
      <c r="BT18" s="3">
        <v>-6.5344123352551672E-2</v>
      </c>
      <c r="BU18" s="3">
        <v>-9.0961022021120927E-2</v>
      </c>
      <c r="BV18" s="3">
        <v>6.2923974520712675E-2</v>
      </c>
      <c r="BW18" s="3">
        <v>-0.40667496982089368</v>
      </c>
      <c r="BX18" s="3">
        <v>0.10694447340856821</v>
      </c>
      <c r="BY18" s="3">
        <v>-0.1219011933399706</v>
      </c>
      <c r="BZ18" s="3">
        <v>0.15326820504909061</v>
      </c>
      <c r="CA18" s="3">
        <v>4.6097909121248823E-2</v>
      </c>
      <c r="CB18" s="3">
        <v>8.6784091460260157E-2</v>
      </c>
      <c r="CC18" s="3">
        <v>6.3394350339611619E-2</v>
      </c>
      <c r="CD18" s="3">
        <v>-1.366788363957247E-4</v>
      </c>
      <c r="CE18" s="3">
        <v>9.4638122457562757E-2</v>
      </c>
      <c r="CF18" s="3">
        <v>4.8000277064588447E-3</v>
      </c>
      <c r="CG18" s="3">
        <v>7.864617803259355E-2</v>
      </c>
      <c r="CH18" s="3">
        <v>3.263922967151589E-2</v>
      </c>
      <c r="CI18" s="3">
        <v>-0.13607271770677579</v>
      </c>
      <c r="CJ18" s="3">
        <v>-0.14630752802395439</v>
      </c>
      <c r="CK18" s="3">
        <v>-0.1039367793978869</v>
      </c>
      <c r="CL18" s="3">
        <v>-7.3457661597187113E-2</v>
      </c>
      <c r="CM18" s="3">
        <v>1.529276390799679E-2</v>
      </c>
      <c r="CN18" s="3">
        <v>1.8635871432215699E-2</v>
      </c>
      <c r="CO18" s="3">
        <v>-0.34208252359402053</v>
      </c>
      <c r="CP18" s="3">
        <v>9.4082669365647464E-2</v>
      </c>
      <c r="CQ18" s="3">
        <v>7.6223373380155696E-2</v>
      </c>
      <c r="CR18" s="3">
        <v>-3.9977161818641818E-3</v>
      </c>
      <c r="CS18" s="3">
        <v>-1.726483512305713E-2</v>
      </c>
      <c r="CT18" s="3">
        <v>1.672230096223801E-2</v>
      </c>
      <c r="CU18" s="3">
        <v>-4.941454270815545E-2</v>
      </c>
      <c r="CV18" s="3">
        <v>-8.9184445542163912E-2</v>
      </c>
      <c r="CW18" s="3">
        <v>2.0852633138789791E-2</v>
      </c>
      <c r="CX18" s="3">
        <v>0.13195934034273191</v>
      </c>
      <c r="CY18" s="3">
        <v>-1.134700583048528E-2</v>
      </c>
      <c r="CZ18" s="3">
        <v>0.24451547540140001</v>
      </c>
      <c r="DA18" s="3">
        <v>0.13972434255648969</v>
      </c>
      <c r="DB18" s="3">
        <v>4.913550281532672E-2</v>
      </c>
      <c r="DC18" s="3">
        <v>8.5278835380794393E-2</v>
      </c>
      <c r="DD18" s="3">
        <v>-0.11925402750455839</v>
      </c>
      <c r="DE18" s="3">
        <v>-3.9020689750797748E-2</v>
      </c>
      <c r="DF18" s="3">
        <v>0.11915790541817201</v>
      </c>
      <c r="DG18" s="3">
        <v>-3.4355256724881662E-2</v>
      </c>
      <c r="DH18" s="3">
        <v>5.1840851005774791E-2</v>
      </c>
      <c r="DI18" s="3">
        <v>5.1930624361527913E-2</v>
      </c>
      <c r="DJ18" s="3">
        <v>4.1101276474249819E-2</v>
      </c>
      <c r="DK18" s="3">
        <v>-7.218877966015691E-2</v>
      </c>
      <c r="DL18" s="3">
        <v>1.8429965626424779E-3</v>
      </c>
      <c r="DM18" s="3">
        <v>3.0436176353904418E-2</v>
      </c>
      <c r="DN18" s="3">
        <v>4.1184039689089631E-2</v>
      </c>
      <c r="DO18" s="3">
        <v>-0.27031603772803392</v>
      </c>
      <c r="DP18" s="3">
        <v>3.6543507154055958E-2</v>
      </c>
      <c r="DQ18" s="3">
        <v>-7.3103957562682759E-2</v>
      </c>
      <c r="DR18" s="3">
        <v>-1.9362459061330831E-2</v>
      </c>
      <c r="DS18" s="3">
        <v>-0.1198051125578781</v>
      </c>
      <c r="DT18" s="3">
        <v>-3.756671178562251E-3</v>
      </c>
      <c r="DU18" s="3">
        <v>6.3965143614495013E-3</v>
      </c>
      <c r="DV18" s="3">
        <v>-0.15926707306721069</v>
      </c>
      <c r="DW18" s="3">
        <v>1.0144528289610381E-2</v>
      </c>
      <c r="DX18" s="3">
        <v>9.0057314874895308E-2</v>
      </c>
      <c r="DY18" s="3">
        <v>0.24579848434342899</v>
      </c>
      <c r="DZ18" s="3">
        <v>-4.2182535372821536E-3</v>
      </c>
      <c r="EA18" s="3">
        <v>-4.5539970212358977E-2</v>
      </c>
      <c r="EB18" s="3">
        <v>-8.2299726489392017E-2</v>
      </c>
      <c r="EC18" s="3">
        <v>3.7990776992003962E-2</v>
      </c>
      <c r="ED18" s="3">
        <v>-0.13088900427216901</v>
      </c>
      <c r="EE18" s="3">
        <v>2.0954140992377111E-2</v>
      </c>
      <c r="EF18" s="3">
        <v>-6.9330144463162394E-2</v>
      </c>
      <c r="EG18" s="3">
        <v>0.39617299095112918</v>
      </c>
      <c r="EH18" s="3">
        <v>1.5603506216314549E-2</v>
      </c>
      <c r="EI18" s="3">
        <v>-4.8648708891345253E-2</v>
      </c>
      <c r="EJ18" s="3">
        <v>-6.4868013700969673E-2</v>
      </c>
      <c r="EK18" s="3">
        <v>9.9077543004325419E-2</v>
      </c>
      <c r="EL18" s="3">
        <v>-2.3878785481445119E-3</v>
      </c>
      <c r="EM18">
        <f t="shared" si="11"/>
        <v>1.084195755873363E-2</v>
      </c>
      <c r="EN18">
        <f t="shared" si="12"/>
        <v>9.8315835495490611E-2</v>
      </c>
      <c r="EO18">
        <f t="shared" si="13"/>
        <v>0.11027681862329199</v>
      </c>
    </row>
    <row r="19" spans="1:145" x14ac:dyDescent="0.3">
      <c r="A19" s="18">
        <v>180</v>
      </c>
      <c r="B19" s="18">
        <f t="shared" si="10"/>
        <v>6</v>
      </c>
      <c r="C19" s="3">
        <v>7.7176745841256222E-2</v>
      </c>
      <c r="D19" s="3">
        <v>0.17173193687064159</v>
      </c>
      <c r="E19" s="3">
        <v>6.4261787113732316E-2</v>
      </c>
      <c r="F19" s="3">
        <v>5.1015258447337827E-2</v>
      </c>
      <c r="G19" s="3">
        <v>0.1168928891789857</v>
      </c>
      <c r="H19" s="3">
        <v>-4.2930356936884677E-2</v>
      </c>
      <c r="I19" s="3">
        <v>0.1000122169369243</v>
      </c>
      <c r="J19" s="3">
        <v>1.3331410817184379E-2</v>
      </c>
      <c r="K19" s="3">
        <v>5.3046898812917673E-2</v>
      </c>
      <c r="L19" s="3">
        <v>-5.000845379318946E-2</v>
      </c>
      <c r="M19" s="3">
        <v>5.9066212834665253E-2</v>
      </c>
      <c r="N19" s="3">
        <v>0.1364595098683683</v>
      </c>
      <c r="O19" s="3">
        <v>6.1294337872089093E-2</v>
      </c>
      <c r="P19" s="3">
        <v>4.9395032488176838E-2</v>
      </c>
      <c r="Q19" s="3">
        <v>1.5935912629627649E-2</v>
      </c>
      <c r="R19" s="3">
        <v>0.14220943301128761</v>
      </c>
      <c r="S19" s="3">
        <v>1.8603099147795451E-2</v>
      </c>
      <c r="T19" s="3">
        <v>-3.4457031835788639E-2</v>
      </c>
      <c r="U19" s="3">
        <v>-0.1569264312735634</v>
      </c>
      <c r="V19" s="3">
        <v>-0.10256667448289609</v>
      </c>
      <c r="W19" s="3">
        <v>5.3535528964953491E-2</v>
      </c>
      <c r="X19" s="3">
        <v>3.6156996226858688E-2</v>
      </c>
      <c r="Y19" s="3">
        <v>-2.2779498776016909E-2</v>
      </c>
      <c r="Z19" s="3">
        <v>6.3584424735744743E-2</v>
      </c>
      <c r="AA19" s="3">
        <v>0.10924817184436671</v>
      </c>
      <c r="AB19" s="3">
        <v>6.8597144771336688E-2</v>
      </c>
      <c r="AC19" s="3">
        <v>-6.900850041791029E-3</v>
      </c>
      <c r="AD19" s="3">
        <v>-8.7432100612437363E-2</v>
      </c>
      <c r="AE19" s="3">
        <v>-3.8274921565645437E-2</v>
      </c>
      <c r="AF19" s="3">
        <v>-2.2934024856081651E-2</v>
      </c>
      <c r="AG19" s="3">
        <v>-5.5194527599884878E-2</v>
      </c>
      <c r="AH19" s="3">
        <v>-7.4302587340081497E-3</v>
      </c>
      <c r="AI19" s="3">
        <v>4.0897759221944649E-2</v>
      </c>
      <c r="AJ19" s="3">
        <v>-5.0756307135280829E-2</v>
      </c>
      <c r="AK19" s="3">
        <v>-1.4529573123473321E-2</v>
      </c>
      <c r="AL19" s="3">
        <v>1.60389015038995E-2</v>
      </c>
      <c r="AM19" s="3">
        <v>1.6844548222693791E-2</v>
      </c>
      <c r="AN19" s="3">
        <v>0.13232423797035819</v>
      </c>
      <c r="AO19" s="3">
        <v>-8.4287476133260292E-3</v>
      </c>
      <c r="AP19" s="3">
        <v>-7.7810127983950497E-2</v>
      </c>
      <c r="AQ19" s="3">
        <v>6.0392517853047778E-2</v>
      </c>
      <c r="AR19" s="3">
        <v>-4.3565669851737557E-2</v>
      </c>
      <c r="AS19" s="3">
        <v>-8.2440930738180207E-2</v>
      </c>
      <c r="AT19" s="3">
        <v>0.206301843385054</v>
      </c>
      <c r="AU19" s="3">
        <v>1.142819179242861E-2</v>
      </c>
      <c r="AV19" s="3">
        <v>-3.6188244020235669E-2</v>
      </c>
      <c r="AW19" s="3">
        <v>3.4584310212878257E-2</v>
      </c>
      <c r="AX19" s="3">
        <v>-0.1681549752670787</v>
      </c>
      <c r="AY19" s="3">
        <v>6.5417835457231899E-2</v>
      </c>
      <c r="AZ19" s="3">
        <v>5.0949038914840927E-2</v>
      </c>
      <c r="BA19" s="3">
        <v>2.315001843780877E-2</v>
      </c>
      <c r="BB19" s="3">
        <v>-3.6815735143968853E-2</v>
      </c>
      <c r="BC19" s="3">
        <v>4.9638456472456037E-2</v>
      </c>
      <c r="BD19" s="3">
        <v>2.1780600338336582E-2</v>
      </c>
      <c r="BE19" s="3">
        <v>1.060706541867865E-3</v>
      </c>
      <c r="BF19" s="3">
        <v>-3.052746404824809E-2</v>
      </c>
      <c r="BG19" s="3">
        <v>5.846879723866686E-2</v>
      </c>
      <c r="BH19" s="3">
        <v>7.3139370025235573E-2</v>
      </c>
      <c r="BI19" s="3">
        <v>4.6282417876196982E-2</v>
      </c>
      <c r="BJ19" s="3">
        <v>4.2916574085871587E-2</v>
      </c>
      <c r="BK19" s="3">
        <v>1.5166648721112411E-2</v>
      </c>
      <c r="BL19" s="3">
        <v>3.4462863492087249E-2</v>
      </c>
      <c r="BM19" s="3">
        <v>-0.110149409423469</v>
      </c>
      <c r="BN19" s="3">
        <v>4.268668837350794E-2</v>
      </c>
      <c r="BO19" s="3">
        <v>-1.438945619246566E-2</v>
      </c>
      <c r="BP19" s="3">
        <v>0.16367453850338021</v>
      </c>
      <c r="BQ19" s="3">
        <v>-4.0155451325340694E-3</v>
      </c>
      <c r="BR19" s="3">
        <v>9.650207178185885E-2</v>
      </c>
      <c r="BS19" s="3">
        <v>-2.556711978566055E-2</v>
      </c>
      <c r="BT19" s="3">
        <v>-5.2590185659395737E-2</v>
      </c>
      <c r="BU19" s="3">
        <v>-0.10660467020743571</v>
      </c>
      <c r="BV19" s="3">
        <v>3.7244814378971737E-2</v>
      </c>
      <c r="BW19" s="3">
        <v>-0.48857614443449893</v>
      </c>
      <c r="BX19" s="3">
        <v>0.13666811707981291</v>
      </c>
      <c r="BY19" s="3">
        <v>-0.12642187438468269</v>
      </c>
      <c r="BZ19" s="3">
        <v>0.16711135739821159</v>
      </c>
      <c r="CA19" s="3">
        <v>3.3938298683162962E-2</v>
      </c>
      <c r="CB19" s="3">
        <v>7.448451167737874E-2</v>
      </c>
      <c r="CC19" s="3">
        <v>-4.4434009703954343E-3</v>
      </c>
      <c r="CD19" s="3">
        <v>-7.7916546984832871E-3</v>
      </c>
      <c r="CE19" s="3">
        <v>0.10238838875610071</v>
      </c>
      <c r="CF19" s="3">
        <v>6.651944517689426E-4</v>
      </c>
      <c r="CG19" s="3">
        <v>6.7512378739536555E-2</v>
      </c>
      <c r="CH19" s="3">
        <v>-1.9066235613853112E-2</v>
      </c>
      <c r="CI19" s="3">
        <v>-0.14819289121576229</v>
      </c>
      <c r="CJ19" s="3">
        <v>-0.1728562560667988</v>
      </c>
      <c r="CK19" s="3">
        <v>-0.15828546756789999</v>
      </c>
      <c r="CL19" s="3">
        <v>-0.15257445413002221</v>
      </c>
      <c r="CM19" s="3">
        <v>2.1125214577E-2</v>
      </c>
      <c r="CN19" s="3">
        <v>3.00227778447026E-2</v>
      </c>
      <c r="CO19" s="3">
        <v>-0.36885193775134351</v>
      </c>
      <c r="CP19" s="3">
        <v>4.8031384618290457E-2</v>
      </c>
      <c r="CQ19" s="3">
        <v>0.1029025779227692</v>
      </c>
      <c r="CR19" s="3">
        <v>2.657200819973932E-2</v>
      </c>
      <c r="CS19" s="3">
        <v>-2.2333830188709752E-2</v>
      </c>
      <c r="CT19" s="3">
        <v>-1.478892672142194E-2</v>
      </c>
      <c r="CU19" s="3">
        <v>-3.0565311583302241E-2</v>
      </c>
      <c r="CV19" s="3">
        <v>-6.6512968035646505E-2</v>
      </c>
      <c r="CW19" s="3">
        <v>6.2263938159562951E-2</v>
      </c>
      <c r="CX19" s="3">
        <v>8.4117831646855587E-2</v>
      </c>
      <c r="CY19" s="3">
        <v>-1.3138989690104359E-2</v>
      </c>
      <c r="CZ19" s="3">
        <v>0.29214188105730821</v>
      </c>
      <c r="DA19" s="3">
        <v>0.12949923071837899</v>
      </c>
      <c r="DB19" s="3">
        <v>3.5753579023932502E-2</v>
      </c>
      <c r="DC19" s="3">
        <v>9.0145934040406578E-2</v>
      </c>
      <c r="DD19" s="3">
        <v>-9.2597522567506543E-2</v>
      </c>
      <c r="DE19" s="3">
        <v>-4.1761696060003337E-2</v>
      </c>
      <c r="DF19" s="3">
        <v>0.11934155654260239</v>
      </c>
      <c r="DG19" s="3">
        <v>-3.4234911051579733E-2</v>
      </c>
      <c r="DH19" s="3">
        <v>5.1501001519727502E-2</v>
      </c>
      <c r="DI19" s="3">
        <v>3.2775043275286388E-2</v>
      </c>
      <c r="DJ19" s="3">
        <v>4.6854264882076183E-2</v>
      </c>
      <c r="DK19" s="3">
        <v>-8.2468635783806976E-2</v>
      </c>
      <c r="DL19" s="3">
        <v>1.016052195095112E-2</v>
      </c>
      <c r="DM19" s="3">
        <v>3.6225719396120237E-2</v>
      </c>
      <c r="DN19" s="3">
        <v>0.11100653231375709</v>
      </c>
      <c r="DO19" s="3">
        <v>-0.29043623770158511</v>
      </c>
      <c r="DP19" s="3">
        <v>3.8618953851620702E-2</v>
      </c>
      <c r="DQ19" s="3">
        <v>-7.0297852861854276E-2</v>
      </c>
      <c r="DR19" s="3">
        <v>-5.8950172472884074E-3</v>
      </c>
      <c r="DS19" s="3">
        <v>-0.15439197326387741</v>
      </c>
      <c r="DT19" s="3">
        <v>-5.9270687738365926E-3</v>
      </c>
      <c r="DU19" s="3">
        <v>1.9649325722195979E-2</v>
      </c>
      <c r="DV19" s="3">
        <v>-0.1622661609540057</v>
      </c>
      <c r="DW19" s="3">
        <v>4.0041172111303799E-2</v>
      </c>
      <c r="DX19" s="3">
        <v>2.479631361734385E-2</v>
      </c>
      <c r="DY19" s="3">
        <v>0.28047858894700323</v>
      </c>
      <c r="DZ19" s="3">
        <v>1.039972665508947E-2</v>
      </c>
      <c r="EA19" s="3">
        <v>-2.405696099093009E-2</v>
      </c>
      <c r="EB19" s="3">
        <v>-0.1027003863304957</v>
      </c>
      <c r="EC19" s="3">
        <v>3.1724249524407243E-2</v>
      </c>
      <c r="ED19" s="3">
        <v>-0.1172367854826613</v>
      </c>
      <c r="EE19" s="3">
        <v>1.1027031067183659E-2</v>
      </c>
      <c r="EF19" s="3">
        <v>-8.5105541599393181E-2</v>
      </c>
      <c r="EG19" s="3">
        <v>0.46284161882751168</v>
      </c>
      <c r="EH19" s="3">
        <v>1.008777809654935E-2</v>
      </c>
      <c r="EI19" s="3">
        <v>-6.6318122399481538E-2</v>
      </c>
      <c r="EJ19" s="3">
        <v>-4.4679208336155588E-2</v>
      </c>
      <c r="EK19" s="3">
        <v>0.1040522220033874</v>
      </c>
      <c r="EL19" s="3">
        <v>-2.431548478881496E-2</v>
      </c>
      <c r="EM19">
        <f t="shared" si="11"/>
        <v>7.5741123073870958E-3</v>
      </c>
      <c r="EN19">
        <f t="shared" si="12"/>
        <v>0.1086157862826195</v>
      </c>
      <c r="EO19">
        <f t="shared" si="13"/>
        <v>6.9733070731349947E-2</v>
      </c>
    </row>
    <row r="20" spans="1:145" x14ac:dyDescent="0.3">
      <c r="A20" s="18">
        <v>200</v>
      </c>
      <c r="B20" s="18">
        <f t="shared" si="10"/>
        <v>5</v>
      </c>
      <c r="C20" s="3">
        <v>7.4353339854330375E-2</v>
      </c>
      <c r="D20" s="3">
        <v>7.4342164423672058E-2</v>
      </c>
      <c r="E20" s="3">
        <v>2.439179310696301E-2</v>
      </c>
      <c r="F20" s="3">
        <v>3.7875968137893207E-2</v>
      </c>
      <c r="G20" s="3">
        <v>8.4928168802969078E-2</v>
      </c>
      <c r="H20" s="3">
        <v>-0.1011051812872083</v>
      </c>
      <c r="I20" s="3">
        <v>0.1260036942262629</v>
      </c>
      <c r="J20" s="3">
        <v>-4.6970652748471453E-2</v>
      </c>
      <c r="K20" s="3">
        <v>6.9011619555410283E-2</v>
      </c>
      <c r="L20" s="3">
        <v>-9.2210074424303429E-2</v>
      </c>
      <c r="M20" s="3">
        <v>1.036732090559592E-2</v>
      </c>
      <c r="N20" s="3">
        <v>0.15125887805970481</v>
      </c>
      <c r="O20" s="3">
        <v>6.0871722028881657E-2</v>
      </c>
      <c r="P20" s="3">
        <v>5.9688455769384842E-2</v>
      </c>
      <c r="Q20" s="3">
        <v>-2.1556735523605701E-2</v>
      </c>
      <c r="R20" s="3">
        <v>0.150787397516155</v>
      </c>
      <c r="S20" s="3">
        <v>1.4585645117374219E-2</v>
      </c>
      <c r="T20" s="3">
        <v>-2.8438936456906452E-2</v>
      </c>
      <c r="U20" s="3">
        <v>-0.17710000564199141</v>
      </c>
      <c r="V20" s="3">
        <v>-0.1148446578831897</v>
      </c>
      <c r="W20" s="3">
        <v>3.9504433728435637E-2</v>
      </c>
      <c r="X20" s="3">
        <v>3.0653776500001981E-2</v>
      </c>
      <c r="Y20" s="3">
        <v>-4.2277261608434452E-2</v>
      </c>
      <c r="Z20" s="3">
        <v>6.0048549023147747E-2</v>
      </c>
      <c r="AA20" s="3">
        <v>7.9524244264969207E-2</v>
      </c>
      <c r="AB20" s="3">
        <v>9.6605651325758213E-2</v>
      </c>
      <c r="AC20" s="3">
        <v>-2.7067384016989941E-2</v>
      </c>
      <c r="AD20" s="3">
        <v>-0.1027452448820375</v>
      </c>
      <c r="AE20" s="3">
        <v>-4.9886888587529613E-2</v>
      </c>
      <c r="AF20" s="3">
        <v>-2.7464535579341771E-2</v>
      </c>
      <c r="AG20" s="3">
        <v>-9.9226932781681709E-2</v>
      </c>
      <c r="AH20" s="3">
        <v>1.512936305840858E-2</v>
      </c>
      <c r="AI20" s="3">
        <v>-1.6977996150443419E-3</v>
      </c>
      <c r="AJ20" s="3">
        <v>-4.464109337956778E-2</v>
      </c>
      <c r="AK20" s="3">
        <v>-1.701632960916832E-2</v>
      </c>
      <c r="AL20" s="3">
        <v>1.446481039523299E-2</v>
      </c>
      <c r="AM20" s="3">
        <v>-7.5362587828455346E-3</v>
      </c>
      <c r="AN20" s="3">
        <v>0.14714203169412429</v>
      </c>
      <c r="AO20" s="3">
        <v>-1.459946110653757E-2</v>
      </c>
      <c r="AP20" s="3">
        <v>-9.4962239870200166E-2</v>
      </c>
      <c r="AQ20" s="3">
        <v>5.3629585278589548E-2</v>
      </c>
      <c r="AR20" s="3">
        <v>-4.5157154202893353E-2</v>
      </c>
      <c r="AS20" s="3">
        <v>-0.1053104539371215</v>
      </c>
      <c r="AT20" s="3">
        <v>0.2506040957947705</v>
      </c>
      <c r="AU20" s="3">
        <v>2.2494603456573989E-2</v>
      </c>
      <c r="AV20" s="3">
        <v>-4.1604890972987821E-2</v>
      </c>
      <c r="AW20" s="3">
        <v>5.6748106189261453E-2</v>
      </c>
      <c r="AX20" s="3">
        <v>-0.21465072936736651</v>
      </c>
      <c r="AY20" s="3">
        <v>0.15100730384072661</v>
      </c>
      <c r="AZ20" s="3">
        <v>6.6695254912438912E-2</v>
      </c>
      <c r="BA20" s="3">
        <v>3.0076982630350291E-2</v>
      </c>
      <c r="BB20" s="3">
        <v>-3.3168198012826132E-2</v>
      </c>
      <c r="BC20" s="3">
        <v>7.6612018627197687E-2</v>
      </c>
      <c r="BD20" s="3">
        <v>-5.4535063525429091E-2</v>
      </c>
      <c r="BE20" s="3">
        <v>8.4164643706572534E-3</v>
      </c>
      <c r="BF20" s="3">
        <v>-2.388033445090763E-2</v>
      </c>
      <c r="BG20" s="3">
        <v>7.7174550957906221E-2</v>
      </c>
      <c r="BH20" s="3">
        <v>2.7631856168652939E-2</v>
      </c>
      <c r="BI20" s="3">
        <v>6.3937950362849896E-2</v>
      </c>
      <c r="BJ20" s="3">
        <v>2.498559503411215E-2</v>
      </c>
      <c r="BK20" s="3">
        <v>1.9644145882542711E-2</v>
      </c>
      <c r="BL20" s="3">
        <v>-1.1692018762433851E-3</v>
      </c>
      <c r="BM20" s="3">
        <v>-9.6403448787566445E-2</v>
      </c>
      <c r="BN20" s="3">
        <v>3.100198215377908E-3</v>
      </c>
      <c r="BO20" s="3">
        <v>-1.5379197545808529E-2</v>
      </c>
      <c r="BP20" s="3">
        <v>0.16216294572685311</v>
      </c>
      <c r="BQ20" s="3">
        <v>-2.4564452756209249E-2</v>
      </c>
      <c r="BR20" s="3">
        <v>9.5984958818847485E-2</v>
      </c>
      <c r="BS20" s="3">
        <v>-5.0033477429354239E-2</v>
      </c>
      <c r="BT20" s="3">
        <v>-5.91545338379015E-2</v>
      </c>
      <c r="BU20" s="3">
        <v>-9.5970827960142877E-2</v>
      </c>
      <c r="BV20" s="3">
        <v>7.0389810516780019E-2</v>
      </c>
      <c r="BW20" s="3">
        <v>-0.57860512261723418</v>
      </c>
      <c r="BX20" s="3">
        <v>0.1347135331443344</v>
      </c>
      <c r="BY20" s="3">
        <v>-0.1193770874417326</v>
      </c>
      <c r="BZ20" s="3">
        <v>0.1693571471387055</v>
      </c>
      <c r="CA20" s="3">
        <v>1.4201316895492941E-2</v>
      </c>
      <c r="CB20" s="3">
        <v>9.1925043023177444E-2</v>
      </c>
      <c r="CC20" s="3">
        <v>-2.8558709669502861E-2</v>
      </c>
      <c r="CD20" s="3">
        <v>-2.037190230525757E-2</v>
      </c>
      <c r="CE20" s="3">
        <v>0.14247650307641349</v>
      </c>
      <c r="CF20" s="3">
        <v>4.301512085187024E-4</v>
      </c>
      <c r="CG20" s="3">
        <v>0.13365363702690161</v>
      </c>
      <c r="CH20" s="3">
        <v>-4.8341087427568492E-2</v>
      </c>
      <c r="CI20" s="3">
        <v>-0.1926581311159731</v>
      </c>
      <c r="CJ20" s="3">
        <v>-0.13918053975454531</v>
      </c>
      <c r="CK20" s="3">
        <v>-0.18564101630704499</v>
      </c>
      <c r="CL20" s="3">
        <v>-0.20071980742961129</v>
      </c>
      <c r="CM20" s="3">
        <v>4.5222272440280063E-2</v>
      </c>
      <c r="CN20" s="3">
        <v>2.2412213713587051E-2</v>
      </c>
      <c r="CO20" s="3">
        <v>-0.34644503284533551</v>
      </c>
      <c r="CP20" s="3">
        <v>0.16882222466866889</v>
      </c>
      <c r="CQ20" s="3">
        <v>0.1427932212814926</v>
      </c>
      <c r="CR20" s="3">
        <v>6.858835091704682E-2</v>
      </c>
      <c r="CS20" s="3">
        <v>-2.3413079185376821E-2</v>
      </c>
      <c r="CT20" s="3">
        <v>-1.9148683307179389E-2</v>
      </c>
      <c r="CU20" s="3">
        <v>-7.1328239824291456E-2</v>
      </c>
      <c r="CV20" s="3">
        <v>-6.9681922780161554E-2</v>
      </c>
      <c r="CW20" s="3">
        <v>7.2147051416459301E-2</v>
      </c>
      <c r="CX20" s="3">
        <v>8.4942866201037054E-2</v>
      </c>
      <c r="CY20" s="3">
        <v>-2.1296618959160098E-2</v>
      </c>
      <c r="CZ20" s="3">
        <v>0.35146710367125072</v>
      </c>
      <c r="DA20" s="3">
        <v>0.14592985274261519</v>
      </c>
      <c r="DB20" s="3">
        <v>6.0679168407546398E-2</v>
      </c>
      <c r="DC20" s="3">
        <v>0.1016804173946497</v>
      </c>
      <c r="DD20" s="3">
        <v>-9.3291074583632436E-2</v>
      </c>
      <c r="DE20" s="3">
        <v>-4.9987592917835222E-2</v>
      </c>
      <c r="DF20" s="3">
        <v>0.145034987044208</v>
      </c>
      <c r="DG20" s="3">
        <v>-4.581187123088136E-2</v>
      </c>
      <c r="DH20" s="3">
        <v>4.7572389527330422E-2</v>
      </c>
      <c r="DI20" s="3">
        <v>2.5481724882668549E-3</v>
      </c>
      <c r="DJ20" s="3">
        <v>5.2288173740604113E-2</v>
      </c>
      <c r="DK20" s="3">
        <v>-9.726474234315105E-2</v>
      </c>
      <c r="DL20" s="3">
        <v>3.2066555999268387E-2</v>
      </c>
      <c r="DM20" s="3">
        <v>0.1009465561905212</v>
      </c>
      <c r="DN20" s="3">
        <v>0.12865644135198531</v>
      </c>
      <c r="DO20" s="3">
        <v>-0.33093043170727188</v>
      </c>
      <c r="DP20" s="3">
        <v>4.9251886822420578E-2</v>
      </c>
      <c r="DQ20" s="3">
        <v>-7.3159670587872871E-2</v>
      </c>
      <c r="DR20" s="3">
        <v>-2.4465243623060261E-2</v>
      </c>
      <c r="DS20" s="3">
        <v>-0.17398053731496849</v>
      </c>
      <c r="DT20" s="3">
        <v>-1.3113490906456389E-2</v>
      </c>
      <c r="DU20" s="3">
        <v>3.085043981001688E-2</v>
      </c>
      <c r="DV20" s="3">
        <v>-0.15431290793526961</v>
      </c>
      <c r="DW20" s="3">
        <v>4.0789699052440898E-2</v>
      </c>
      <c r="DX20" s="3">
        <v>6.0063161187169402E-3</v>
      </c>
      <c r="DY20" s="3">
        <v>0.30607618993830138</v>
      </c>
      <c r="DZ20" s="3">
        <v>-4.6393050091847639E-3</v>
      </c>
      <c r="EA20" s="3">
        <v>-3.5994185960850231E-2</v>
      </c>
      <c r="EB20" s="3">
        <v>-0.1249833871254917</v>
      </c>
      <c r="EC20" s="3">
        <v>3.1647496934310231E-2</v>
      </c>
      <c r="ED20" s="3">
        <v>-0.12634026086362149</v>
      </c>
      <c r="EE20" s="3">
        <v>1.1528122852273391E-2</v>
      </c>
      <c r="EF20" s="3">
        <v>-0.12356876016407869</v>
      </c>
      <c r="EG20" s="3">
        <v>0.55597556024366468</v>
      </c>
      <c r="EH20" s="3">
        <v>-9.0867281992370194E-2</v>
      </c>
      <c r="EI20" s="3">
        <v>-5.5515046152818368E-2</v>
      </c>
      <c r="EJ20" s="3">
        <v>-5.9652518398837617E-2</v>
      </c>
      <c r="EK20" s="3">
        <v>6.5744878144485333E-2</v>
      </c>
      <c r="EL20" s="3">
        <v>-1.2062982025413621E-2</v>
      </c>
      <c r="EM20">
        <f t="shared" si="11"/>
        <v>3.6730248903235879E-3</v>
      </c>
      <c r="EN20">
        <f t="shared" si="12"/>
        <v>0.12426418811718148</v>
      </c>
      <c r="EO20">
        <f t="shared" si="13"/>
        <v>2.9558193281397492E-2</v>
      </c>
    </row>
    <row r="21" spans="1:145" x14ac:dyDescent="0.3">
      <c r="A21" s="18">
        <v>256</v>
      </c>
      <c r="B21" s="18">
        <f t="shared" si="10"/>
        <v>4</v>
      </c>
      <c r="C21" s="3">
        <v>5.9120366812402458E-2</v>
      </c>
      <c r="D21" s="3">
        <v>5.7506656854131907E-2</v>
      </c>
      <c r="E21" s="3">
        <v>3.2494222923400942E-2</v>
      </c>
      <c r="F21" s="3">
        <v>0.1125016404719044</v>
      </c>
      <c r="G21" s="3">
        <v>8.3522657162637168E-2</v>
      </c>
      <c r="H21" s="3">
        <v>-0.1052573746063485</v>
      </c>
      <c r="I21" s="3">
        <v>0.12558271955550579</v>
      </c>
      <c r="J21" s="3">
        <v>-2.353194825683351E-2</v>
      </c>
      <c r="K21" s="3">
        <v>7.2483028789633377E-2</v>
      </c>
      <c r="L21" s="3">
        <v>-0.12588623700123949</v>
      </c>
      <c r="M21" s="3">
        <v>-0.23509010683086309</v>
      </c>
      <c r="N21" s="3">
        <v>0.14733808200998891</v>
      </c>
      <c r="O21" s="3">
        <v>5.6349457294354227E-2</v>
      </c>
      <c r="P21" s="3">
        <v>6.9857815685941418E-2</v>
      </c>
      <c r="Q21" s="3">
        <v>-1.449952890853029E-2</v>
      </c>
      <c r="R21" s="3">
        <v>0.19483519579630609</v>
      </c>
      <c r="S21" s="3">
        <v>7.000505265970737E-2</v>
      </c>
      <c r="T21" s="3">
        <v>-1.7026433141943839E-2</v>
      </c>
      <c r="U21" s="3">
        <v>-0.13034858162610069</v>
      </c>
      <c r="V21" s="3">
        <v>-0.1213854636535565</v>
      </c>
      <c r="W21" s="3">
        <v>7.8800347272385093E-2</v>
      </c>
      <c r="X21" s="3">
        <v>2.3676596481552889E-2</v>
      </c>
      <c r="Y21" s="3">
        <v>-5.1428341842868111E-2</v>
      </c>
      <c r="Z21" s="3">
        <v>9.2282467308264324E-2</v>
      </c>
      <c r="AA21" s="3">
        <v>3.6855568646710073E-2</v>
      </c>
      <c r="AB21" s="3">
        <v>9.5769954036219171E-2</v>
      </c>
      <c r="AC21" s="3">
        <v>-5.3879284303119453E-2</v>
      </c>
      <c r="AD21" s="3">
        <v>-2.066272206530095E-2</v>
      </c>
      <c r="AE21" s="3">
        <v>-6.3969787095072561E-2</v>
      </c>
      <c r="AF21" s="3">
        <v>-2.842006176116264E-2</v>
      </c>
      <c r="AG21" s="3">
        <v>-0.1072645255580349</v>
      </c>
      <c r="AH21" s="3">
        <v>8.9464086571332674E-3</v>
      </c>
      <c r="AI21" s="3">
        <v>-1.0145640592535249E-2</v>
      </c>
      <c r="AJ21" s="3">
        <v>-6.4018301178902476E-2</v>
      </c>
      <c r="AK21" s="3">
        <v>-4.1282880588598012E-2</v>
      </c>
      <c r="AL21" s="3">
        <v>2.6428602073899712E-2</v>
      </c>
      <c r="AM21" s="3">
        <v>-2.704894912296842E-3</v>
      </c>
      <c r="AN21" s="3">
        <v>0.16616642556660799</v>
      </c>
      <c r="AO21" s="3">
        <v>-6.2799803323105807E-2</v>
      </c>
      <c r="AP21" s="3">
        <v>-7.485617305308967E-2</v>
      </c>
      <c r="AQ21" s="3">
        <v>-1.6893218452398821E-2</v>
      </c>
      <c r="AR21" s="3">
        <v>-8.5054248066392502E-2</v>
      </c>
      <c r="AS21" s="3">
        <v>-0.14213170182999479</v>
      </c>
      <c r="AT21" s="3">
        <v>5.1179783640595888E-2</v>
      </c>
      <c r="AU21" s="3">
        <v>5.4339617449128824E-3</v>
      </c>
      <c r="AV21" s="3">
        <v>-3.6634354712864962E-2</v>
      </c>
      <c r="AW21" s="3">
        <v>3.2299740517443269E-2</v>
      </c>
      <c r="AX21" s="3">
        <v>-0.22464081892390131</v>
      </c>
      <c r="AY21" s="3">
        <v>0.19457047609665851</v>
      </c>
      <c r="AZ21" s="3">
        <v>7.8667616088387959E-2</v>
      </c>
      <c r="BA21" s="3">
        <v>6.2352690524180732E-3</v>
      </c>
      <c r="BB21" s="3">
        <v>-5.3995818084924853E-2</v>
      </c>
      <c r="BC21" s="3">
        <v>7.972550428094935E-2</v>
      </c>
      <c r="BD21" s="3">
        <v>-4.226626485800683E-2</v>
      </c>
      <c r="BE21" s="3">
        <v>1.5949661053832179E-2</v>
      </c>
      <c r="BF21" s="3">
        <v>-3.2782668625471738E-2</v>
      </c>
      <c r="BG21" s="3">
        <v>3.7239120249743012E-2</v>
      </c>
      <c r="BH21" s="3">
        <v>-6.2135452030517291E-2</v>
      </c>
      <c r="BI21" s="3">
        <v>4.6532878598229493E-2</v>
      </c>
      <c r="BJ21" s="3">
        <v>-1.1310259821111999E-2</v>
      </c>
      <c r="BK21" s="3">
        <v>2.7613324462087009E-2</v>
      </c>
      <c r="BL21" s="3">
        <v>-2.0940849379144921E-3</v>
      </c>
      <c r="BM21" s="3">
        <v>-0.1383948660287915</v>
      </c>
      <c r="BN21" s="3">
        <v>7.8247769883701794E-3</v>
      </c>
      <c r="BO21" s="3">
        <v>2.9423171898751391E-2</v>
      </c>
      <c r="BP21" s="3">
        <v>0.18639880787324081</v>
      </c>
      <c r="BQ21" s="3">
        <v>-4.5028081625947722E-2</v>
      </c>
      <c r="BR21" s="3">
        <v>7.6414962379030144E-2</v>
      </c>
      <c r="BS21" s="3">
        <v>-3.7104335730966387E-2</v>
      </c>
      <c r="BT21" s="3">
        <v>-5.9622542793802011E-2</v>
      </c>
      <c r="BU21" s="3">
        <v>-0.1034135350329371</v>
      </c>
      <c r="BV21" s="3">
        <v>7.8043177155873361E-2</v>
      </c>
      <c r="BW21" s="3">
        <v>-0.69340183391616028</v>
      </c>
      <c r="BX21" s="3">
        <v>0.1107100975327955</v>
      </c>
      <c r="BY21" s="3">
        <v>-0.18151777001790581</v>
      </c>
      <c r="BZ21" s="3">
        <v>0.17725898188169911</v>
      </c>
      <c r="CA21" s="3">
        <v>-1.254288962300739E-2</v>
      </c>
      <c r="CB21" s="3">
        <v>9.3927582239061627E-2</v>
      </c>
      <c r="CC21" s="3">
        <v>-6.9448432371446739E-2</v>
      </c>
      <c r="CD21" s="3">
        <v>7.5336421190100047E-2</v>
      </c>
      <c r="CE21" s="3">
        <v>0.16184910135439909</v>
      </c>
      <c r="CF21" s="3">
        <v>2.0816036848623942E-2</v>
      </c>
      <c r="CG21" s="3">
        <v>0.18567830661871779</v>
      </c>
      <c r="CH21" s="3">
        <v>-7.0515144106661071E-3</v>
      </c>
      <c r="CI21" s="3">
        <v>-0.18555453223612481</v>
      </c>
      <c r="CJ21" s="3">
        <v>-0.17782329181973711</v>
      </c>
      <c r="CK21" s="3">
        <v>-0.26170879059554358</v>
      </c>
      <c r="CL21" s="3">
        <v>-8.7684990260402218E-2</v>
      </c>
      <c r="CM21" s="3">
        <v>1.4683237244845059E-2</v>
      </c>
      <c r="CN21" s="3">
        <v>3.0496263601091912E-2</v>
      </c>
      <c r="CO21" s="3">
        <v>-0.34939866791081592</v>
      </c>
      <c r="CP21" s="3">
        <v>0.1135091429659079</v>
      </c>
      <c r="CQ21" s="3">
        <v>0.17323870704871749</v>
      </c>
      <c r="CR21" s="3">
        <v>7.9362682380089505E-2</v>
      </c>
      <c r="CS21" s="3">
        <v>-8.2795603718683122E-3</v>
      </c>
      <c r="CT21" s="3">
        <v>-1.8851471711661939E-2</v>
      </c>
      <c r="CU21" s="3">
        <v>-9.0646786461391432E-2</v>
      </c>
      <c r="CV21" s="3">
        <v>-1.034940391266467E-2</v>
      </c>
      <c r="CW21" s="3">
        <v>6.8629110171223764E-2</v>
      </c>
      <c r="CX21" s="3">
        <v>8.3944734837147109E-2</v>
      </c>
      <c r="CY21" s="3">
        <v>-3.3487077375816243E-2</v>
      </c>
      <c r="CZ21" s="3">
        <v>0.31599715147320617</v>
      </c>
      <c r="DA21" s="3">
        <v>0.17737126121614091</v>
      </c>
      <c r="DB21" s="3">
        <v>6.4231387299566234E-2</v>
      </c>
      <c r="DC21" s="3">
        <v>0.1187060283236601</v>
      </c>
      <c r="DD21" s="3">
        <v>-6.1125220596535738E-2</v>
      </c>
      <c r="DE21" s="3">
        <v>-7.2660032035360339E-2</v>
      </c>
      <c r="DF21" s="3">
        <v>0.16736447198930271</v>
      </c>
      <c r="DG21" s="3">
        <v>-5.0042124219812377E-2</v>
      </c>
      <c r="DH21" s="3">
        <v>5.705900841556559E-2</v>
      </c>
      <c r="DI21" s="3">
        <v>-2.3305150097778369E-2</v>
      </c>
      <c r="DJ21" s="3">
        <v>8.0577895947511607E-2</v>
      </c>
      <c r="DK21" s="3">
        <v>-0.13341991368882691</v>
      </c>
      <c r="DL21" s="3">
        <v>3.2456310745343039E-2</v>
      </c>
      <c r="DM21" s="3">
        <v>1.2583797926358491E-2</v>
      </c>
      <c r="DN21" s="3">
        <v>0.20909715429590009</v>
      </c>
      <c r="DO21" s="3">
        <v>-0.35689069059681983</v>
      </c>
      <c r="DP21" s="3">
        <v>3.7270828007201683E-2</v>
      </c>
      <c r="DQ21" s="3">
        <v>-7.8299822807022329E-2</v>
      </c>
      <c r="DR21" s="3">
        <v>-6.952041151048384E-2</v>
      </c>
      <c r="DS21" s="3">
        <v>-0.1607137735080629</v>
      </c>
      <c r="DT21" s="3">
        <v>-8.9123630003081281E-3</v>
      </c>
      <c r="DU21" s="3">
        <v>7.0526280974145969E-2</v>
      </c>
      <c r="DV21" s="3">
        <v>-0.1552616658957468</v>
      </c>
      <c r="DW21" s="3">
        <v>-7.8167936160963791E-2</v>
      </c>
      <c r="DX21" s="3">
        <v>3.0713958831961531E-3</v>
      </c>
      <c r="DY21" s="3">
        <v>0.30583128487328137</v>
      </c>
      <c r="DZ21" s="3">
        <v>-3.1058212266778889E-2</v>
      </c>
      <c r="EA21" s="3">
        <v>-4.3579046280732323E-2</v>
      </c>
      <c r="EB21" s="3">
        <v>-0.1205464344405392</v>
      </c>
      <c r="EC21" s="3">
        <v>4.5476212384768011E-2</v>
      </c>
      <c r="ED21" s="3">
        <v>-0.11665362966652849</v>
      </c>
      <c r="EE21" s="3">
        <v>-2.3597654681033701E-3</v>
      </c>
      <c r="EF21" s="3">
        <v>-0.11593344544047771</v>
      </c>
      <c r="EG21" s="3">
        <v>0.58416589162579291</v>
      </c>
      <c r="EH21" s="3">
        <v>1.2662496497984231E-2</v>
      </c>
      <c r="EI21" s="3">
        <v>-8.2217131287910569E-2</v>
      </c>
      <c r="EJ21" s="3">
        <v>-4.5889088228290201E-2</v>
      </c>
      <c r="EK21" s="3">
        <v>6.8496100462680592E-2</v>
      </c>
      <c r="EL21" s="3">
        <v>-2.7552927161134961E-2</v>
      </c>
      <c r="EM21">
        <f t="shared" si="11"/>
        <v>-1.0953948343831474E-3</v>
      </c>
      <c r="EN21">
        <f t="shared" si="12"/>
        <v>0.13393434754291428</v>
      </c>
      <c r="EO21">
        <f t="shared" si="13"/>
        <v>-8.1785953676458446E-3</v>
      </c>
    </row>
    <row r="22" spans="1:145" x14ac:dyDescent="0.3">
      <c r="A22" s="18">
        <v>400</v>
      </c>
      <c r="B22" s="18">
        <f t="shared" si="10"/>
        <v>3</v>
      </c>
      <c r="C22" s="3">
        <v>-2.099824592640594E-2</v>
      </c>
      <c r="D22" s="3">
        <v>4.0877844036618899E-2</v>
      </c>
      <c r="E22" s="3">
        <v>0.14935085885177421</v>
      </c>
      <c r="F22" s="3">
        <v>0.22627169996124141</v>
      </c>
      <c r="G22" s="3">
        <v>3.8336058627174797E-2</v>
      </c>
      <c r="H22" s="3">
        <v>-8.6731647476160245E-2</v>
      </c>
      <c r="I22" s="3">
        <v>0.15992172207397601</v>
      </c>
      <c r="J22" s="3">
        <v>5.7012361926250921E-2</v>
      </c>
      <c r="K22" s="3">
        <v>0.1060498761594252</v>
      </c>
      <c r="L22" s="3">
        <v>-0.13783984827454041</v>
      </c>
      <c r="M22" s="3">
        <v>-0.29101759033604119</v>
      </c>
      <c r="N22" s="3">
        <v>0.1446533162468164</v>
      </c>
      <c r="O22" s="3">
        <v>0.1080056408079629</v>
      </c>
      <c r="P22" s="3">
        <v>3.7628668873299048E-2</v>
      </c>
      <c r="Q22" s="3">
        <v>7.5387191257415484E-3</v>
      </c>
      <c r="R22" s="3">
        <v>0.25356042380057192</v>
      </c>
      <c r="S22" s="3">
        <v>0.1263075042973579</v>
      </c>
      <c r="T22" s="3">
        <v>1.7027323260103259E-2</v>
      </c>
      <c r="U22" s="3">
        <v>-0.154080818545797</v>
      </c>
      <c r="V22" s="3">
        <v>-0.10968341449582091</v>
      </c>
      <c r="W22" s="3">
        <v>-0.1144757341548733</v>
      </c>
      <c r="X22" s="3">
        <v>-4.2796936962521029E-2</v>
      </c>
      <c r="Y22" s="3">
        <v>1.256007580599653E-2</v>
      </c>
      <c r="Z22" s="3">
        <v>2.882210323639544E-2</v>
      </c>
      <c r="AA22" s="3">
        <v>2.3454149715117511E-2</v>
      </c>
      <c r="AB22" s="3">
        <v>0.1058107066319898</v>
      </c>
      <c r="AC22" s="3">
        <v>-7.0534150496908227E-2</v>
      </c>
      <c r="AD22" s="3">
        <v>-8.4851496110418118E-3</v>
      </c>
      <c r="AE22" s="3">
        <v>-7.5127016701232743E-2</v>
      </c>
      <c r="AF22" s="3">
        <v>-1.324460750584649E-2</v>
      </c>
      <c r="AG22" s="3">
        <v>-0.20823240704093779</v>
      </c>
      <c r="AH22" s="3">
        <v>-2.1808861280933099E-2</v>
      </c>
      <c r="AI22" s="3">
        <v>-2.29476040149647E-2</v>
      </c>
      <c r="AJ22" s="3">
        <v>-7.3031715935387542E-2</v>
      </c>
      <c r="AK22" s="3">
        <v>-1.593491991064562E-2</v>
      </c>
      <c r="AL22" s="3">
        <v>3.3774855250561772E-2</v>
      </c>
      <c r="AM22" s="3">
        <v>-1.276710250887229E-2</v>
      </c>
      <c r="AN22" s="3">
        <v>0.16818811260961869</v>
      </c>
      <c r="AO22" s="3">
        <v>-3.9600349461513258E-2</v>
      </c>
      <c r="AP22" s="3">
        <v>-0.1064864182303267</v>
      </c>
      <c r="AQ22" s="3">
        <v>2.5200780301130019E-2</v>
      </c>
      <c r="AR22" s="3">
        <v>-0.12317507997094961</v>
      </c>
      <c r="AS22" s="3">
        <v>-5.3856652264489671E-2</v>
      </c>
      <c r="AT22" s="3">
        <v>-7.7691806149332882E-2</v>
      </c>
      <c r="AU22" s="3">
        <v>5.654189408997954E-3</v>
      </c>
      <c r="AV22" s="3">
        <v>-5.8162959092136382E-2</v>
      </c>
      <c r="AW22" s="3">
        <v>5.5872627359721747E-2</v>
      </c>
      <c r="AX22" s="3">
        <v>6.451641298752947E-4</v>
      </c>
      <c r="AY22" s="3">
        <v>-1.5104648904252499E-2</v>
      </c>
      <c r="AZ22" s="3">
        <v>6.8414365617444309E-2</v>
      </c>
      <c r="BA22" s="3">
        <v>0.1423594647417207</v>
      </c>
      <c r="BB22" s="3">
        <v>4.2526848291132638E-3</v>
      </c>
      <c r="BC22" s="3">
        <v>2.9993228519676261E-2</v>
      </c>
      <c r="BD22" s="3">
        <v>2.054439064132484E-2</v>
      </c>
      <c r="BE22" s="3">
        <v>3.5567325403620863E-2</v>
      </c>
      <c r="BF22" s="3">
        <v>-5.4712669362264703E-2</v>
      </c>
      <c r="BG22" s="3">
        <v>4.0898525107085693E-2</v>
      </c>
      <c r="BH22" s="3">
        <v>-0.1156312048627223</v>
      </c>
      <c r="BI22" s="3">
        <v>4.7827042347515961E-2</v>
      </c>
      <c r="BJ22" s="3">
        <v>-9.7743387220367517E-2</v>
      </c>
      <c r="BK22" s="3">
        <v>7.5498474479054056E-3</v>
      </c>
      <c r="BL22" s="3">
        <v>-8.6402164675224852E-3</v>
      </c>
      <c r="BM22" s="3">
        <v>-0.24987459367162859</v>
      </c>
      <c r="BN22" s="3">
        <v>0.1001946050885152</v>
      </c>
      <c r="BO22" s="3">
        <v>5.9928049671797894E-3</v>
      </c>
      <c r="BP22" s="3">
        <v>2.416690316146896E-2</v>
      </c>
      <c r="BQ22" s="3">
        <v>-0.12456481956606499</v>
      </c>
      <c r="BR22" s="3">
        <v>8.6735247556434664E-2</v>
      </c>
      <c r="BS22" s="3">
        <v>-7.9231345489352817E-2</v>
      </c>
      <c r="BT22" s="3">
        <v>-6.1467021970659397E-2</v>
      </c>
      <c r="BU22" s="3">
        <v>-6.1013696018172893E-2</v>
      </c>
      <c r="BV22" s="3">
        <v>7.5224386167107776E-2</v>
      </c>
      <c r="BW22" s="3">
        <v>-0.55479616188513925</v>
      </c>
      <c r="BX22" s="3">
        <v>0.17274594309768501</v>
      </c>
      <c r="BY22" s="3">
        <v>-0.13012531658392559</v>
      </c>
      <c r="BZ22" s="3">
        <v>0.22420001031950981</v>
      </c>
      <c r="CA22" s="3">
        <v>-1.108715757769025E-2</v>
      </c>
      <c r="CB22" s="3">
        <v>0.1387233129941973</v>
      </c>
      <c r="CC22" s="3">
        <v>-0.1132656080485122</v>
      </c>
      <c r="CD22" s="3">
        <v>0.13511333552999899</v>
      </c>
      <c r="CE22" s="3">
        <v>0.1584454486312582</v>
      </c>
      <c r="CF22" s="3">
        <v>-2.1158277249835749E-2</v>
      </c>
      <c r="CG22" s="3">
        <v>0.10827804239688429</v>
      </c>
      <c r="CH22" s="3">
        <v>2.3177631652548759E-2</v>
      </c>
      <c r="CI22" s="3">
        <v>-0.19443118269274959</v>
      </c>
      <c r="CJ22" s="3">
        <v>-0.21320131141475129</v>
      </c>
      <c r="CK22" s="3">
        <v>-0.30681344968173119</v>
      </c>
      <c r="CL22" s="3">
        <v>-0.1130904671457677</v>
      </c>
      <c r="CM22" s="3">
        <v>-4.5279076630257861E-2</v>
      </c>
      <c r="CN22" s="3">
        <v>4.629812726420772E-2</v>
      </c>
      <c r="CO22" s="3">
        <v>-0.44299688978415958</v>
      </c>
      <c r="CP22" s="3">
        <v>0.15298124159924431</v>
      </c>
      <c r="CQ22" s="3">
        <v>0.1941225571352391</v>
      </c>
      <c r="CR22" s="3">
        <v>0.13348501306585969</v>
      </c>
      <c r="CS22" s="3">
        <v>-2.2499952655465151E-2</v>
      </c>
      <c r="CT22" s="3">
        <v>-7.2303520318166364E-2</v>
      </c>
      <c r="CU22" s="3">
        <v>-6.9138610429191782E-2</v>
      </c>
      <c r="CV22" s="3">
        <v>-1.68800599672102E-2</v>
      </c>
      <c r="CW22" s="3">
        <v>0.111819750829367</v>
      </c>
      <c r="CX22" s="3">
        <v>0.14153692051653449</v>
      </c>
      <c r="CY22" s="3">
        <v>-3.409028321605747E-2</v>
      </c>
      <c r="CZ22" s="3">
        <v>0.32865034141900479</v>
      </c>
      <c r="DA22" s="3">
        <v>0.26772718009268581</v>
      </c>
      <c r="DB22" s="3">
        <v>6.6268611092989094E-2</v>
      </c>
      <c r="DC22" s="3">
        <v>0.16156046812142211</v>
      </c>
      <c r="DD22" s="3">
        <v>-3.977820195295878E-2</v>
      </c>
      <c r="DE22" s="3">
        <v>-9.874636063874441E-2</v>
      </c>
      <c r="DF22" s="3">
        <v>0.22635939595482579</v>
      </c>
      <c r="DG22" s="3">
        <v>-5.9399639916868183E-2</v>
      </c>
      <c r="DH22" s="3">
        <v>7.0597160880517998E-2</v>
      </c>
      <c r="DI22" s="3">
        <v>-2.075605867487941E-2</v>
      </c>
      <c r="DJ22" s="3">
        <v>7.4572561461003994E-2</v>
      </c>
      <c r="DK22" s="3">
        <v>-0.16922776086224661</v>
      </c>
      <c r="DL22" s="3">
        <v>1.4853909915962469E-2</v>
      </c>
      <c r="DM22" s="3">
        <v>2.6930310430713571E-2</v>
      </c>
      <c r="DN22" s="3">
        <v>0.33607416098388349</v>
      </c>
      <c r="DO22" s="3">
        <v>-0.42490822811236539</v>
      </c>
      <c r="DP22" s="3">
        <v>-2.7406499515180659E-2</v>
      </c>
      <c r="DQ22" s="3">
        <v>-0.10140927247959659</v>
      </c>
      <c r="DR22" s="3">
        <v>-7.8479223755440586E-2</v>
      </c>
      <c r="DS22" s="3">
        <v>-0.22739981325408179</v>
      </c>
      <c r="DT22" s="3">
        <v>-1.5763944395282361E-2</v>
      </c>
      <c r="DU22" s="3">
        <v>2.4073360367647841E-2</v>
      </c>
      <c r="DV22" s="3">
        <v>-0.1552538078436744</v>
      </c>
      <c r="DW22" s="3">
        <v>-0.22936818855104821</v>
      </c>
      <c r="DX22" s="3">
        <v>-8.6656016146181764E-2</v>
      </c>
      <c r="DY22" s="3">
        <v>0.31960934655207662</v>
      </c>
      <c r="DZ22" s="3">
        <v>-8.4677908697212319E-3</v>
      </c>
      <c r="EA22" s="3">
        <v>-6.7628689568682079E-2</v>
      </c>
      <c r="EB22" s="3">
        <v>-0.139212697082151</v>
      </c>
      <c r="EC22" s="3">
        <v>6.4333763824051274E-2</v>
      </c>
      <c r="ED22" s="3">
        <v>-0.1071016266113405</v>
      </c>
      <c r="EE22" s="3">
        <v>2.230106685823411E-3</v>
      </c>
      <c r="EF22" s="3">
        <v>-0.14303978739819989</v>
      </c>
      <c r="EG22" s="3">
        <v>0.7207736000853574</v>
      </c>
      <c r="EH22" s="3">
        <v>-1.2167207592622331E-2</v>
      </c>
      <c r="EI22" s="3">
        <v>-5.6115297262903673E-2</v>
      </c>
      <c r="EJ22" s="3">
        <v>-4.0234585775997249E-2</v>
      </c>
      <c r="EK22" s="3">
        <v>0.1079890957795992</v>
      </c>
      <c r="EL22" s="3">
        <v>7.2087047428425574E-2</v>
      </c>
      <c r="EM22">
        <f t="shared" si="11"/>
        <v>-1.6322093087079127E-3</v>
      </c>
      <c r="EN22">
        <f t="shared" si="12"/>
        <v>0.15146660307263482</v>
      </c>
      <c r="EO22">
        <f t="shared" si="13"/>
        <v>-1.077603429136915E-2</v>
      </c>
    </row>
    <row r="23" spans="1:145" x14ac:dyDescent="0.3">
      <c r="A23" s="18">
        <v>512</v>
      </c>
      <c r="B23" s="18">
        <f t="shared" si="10"/>
        <v>2</v>
      </c>
      <c r="C23" s="3">
        <v>-1.8703561516533299E-2</v>
      </c>
      <c r="D23" s="3">
        <v>-1.743382332767383E-2</v>
      </c>
      <c r="E23" s="3">
        <v>0.22480172931642439</v>
      </c>
      <c r="F23" s="3">
        <v>0.36864529508126409</v>
      </c>
      <c r="G23" s="3">
        <v>-3.3186702074745812E-2</v>
      </c>
      <c r="H23" s="3">
        <v>-0.1324621226135915</v>
      </c>
      <c r="I23" s="3">
        <v>5.2934935666961183E-2</v>
      </c>
      <c r="J23" s="3">
        <v>4.3722707435324352E-2</v>
      </c>
      <c r="K23" s="3">
        <v>0.1084571034048805</v>
      </c>
      <c r="L23" s="3">
        <v>-0.13305619516658859</v>
      </c>
      <c r="M23" s="3">
        <v>-0.1501798358369332</v>
      </c>
      <c r="N23" s="3">
        <v>6.5897205235044318E-2</v>
      </c>
      <c r="O23" s="3">
        <v>6.1720895238236748E-2</v>
      </c>
      <c r="P23" s="3">
        <v>-2.595901010038103E-3</v>
      </c>
      <c r="Q23" s="3">
        <v>-2.93038281329937E-2</v>
      </c>
      <c r="R23" s="3">
        <v>0.26873721347264828</v>
      </c>
      <c r="S23" s="3">
        <v>6.8787427293079087E-2</v>
      </c>
      <c r="T23" s="3">
        <v>5.7767162437932347E-2</v>
      </c>
      <c r="U23" s="3">
        <v>-0.32597205986448402</v>
      </c>
      <c r="V23" s="3">
        <v>-9.195348962548977E-3</v>
      </c>
      <c r="W23" s="3">
        <v>-0.21346087310138351</v>
      </c>
      <c r="X23" s="3">
        <v>1.043598796858115E-2</v>
      </c>
      <c r="Y23" s="3">
        <v>3.2216143840839803E-2</v>
      </c>
      <c r="Z23" s="3">
        <v>4.4083143400161028E-2</v>
      </c>
      <c r="AA23" s="3">
        <v>0.1553834474794118</v>
      </c>
      <c r="AB23" s="3">
        <v>0.1163137523613868</v>
      </c>
      <c r="AC23" s="3">
        <v>-0.1726681468782954</v>
      </c>
      <c r="AD23" s="3">
        <v>4.4281985962627002E-2</v>
      </c>
      <c r="AE23" s="3">
        <v>-4.6744914242402638E-2</v>
      </c>
      <c r="AF23" s="3">
        <v>-6.8553792069689506E-3</v>
      </c>
      <c r="AG23" s="3">
        <v>-0.29413442010765228</v>
      </c>
      <c r="AH23" s="3">
        <v>-2.836031043431942E-2</v>
      </c>
      <c r="AI23" s="3">
        <v>-2.5259591684724719E-2</v>
      </c>
      <c r="AJ23" s="3">
        <v>-8.6807141914045538E-2</v>
      </c>
      <c r="AK23" s="3">
        <v>-1.5998644145133811E-2</v>
      </c>
      <c r="AL23" s="3">
        <v>2.6805574299417319E-2</v>
      </c>
      <c r="AM23" s="3">
        <v>-6.2857589996803076E-2</v>
      </c>
      <c r="AN23" s="3">
        <v>0.2135050444521551</v>
      </c>
      <c r="AO23" s="3">
        <v>-5.4095061013854702E-2</v>
      </c>
      <c r="AP23" s="3">
        <v>-0.13444778094613899</v>
      </c>
      <c r="AQ23" s="3">
        <v>3.6015454267896457E-2</v>
      </c>
      <c r="AR23" s="3">
        <v>-0.1837546798792743</v>
      </c>
      <c r="AS23" s="3">
        <v>-1.422554849226952E-2</v>
      </c>
      <c r="AT23" s="3">
        <v>-7.5120469307332863E-2</v>
      </c>
      <c r="AU23" s="3">
        <v>2.2080611854163181E-2</v>
      </c>
      <c r="AV23" s="3">
        <v>-3.4096178827223239E-2</v>
      </c>
      <c r="AW23" s="3">
        <v>0.1193095751124453</v>
      </c>
      <c r="AX23" s="3">
        <v>-4.8848935038283393E-2</v>
      </c>
      <c r="AY23" s="3">
        <v>-0.13238159537980149</v>
      </c>
      <c r="AZ23" s="3">
        <v>0.1086399767086809</v>
      </c>
      <c r="BA23" s="3">
        <v>5.8091165071029793E-2</v>
      </c>
      <c r="BB23" s="3">
        <v>8.5816739776280286E-3</v>
      </c>
      <c r="BC23" s="3">
        <v>8.7681561831594937E-2</v>
      </c>
      <c r="BD23" s="3">
        <v>1.4131206618763071E-2</v>
      </c>
      <c r="BE23" s="3">
        <v>-1.410693378135572E-2</v>
      </c>
      <c r="BF23" s="3">
        <v>-2.9560028615909551E-2</v>
      </c>
      <c r="BG23" s="3">
        <v>5.6451242852076033E-2</v>
      </c>
      <c r="BH23" s="3">
        <v>-0.14830812032192009</v>
      </c>
      <c r="BI23" s="3">
        <v>0.2240359348218102</v>
      </c>
      <c r="BJ23" s="3">
        <v>-3.4076919415405263E-2</v>
      </c>
      <c r="BK23" s="3">
        <v>-2.3472733234929919E-3</v>
      </c>
      <c r="BL23" s="3">
        <v>4.2675633112430847E-2</v>
      </c>
      <c r="BM23" s="3">
        <v>8.3050741188407551E-2</v>
      </c>
      <c r="BN23" s="3">
        <v>6.1421622344838847E-2</v>
      </c>
      <c r="BO23" s="3">
        <v>0.1065415017990167</v>
      </c>
      <c r="BP23" s="3">
        <v>9.4072353446020496E-2</v>
      </c>
      <c r="BQ23" s="3">
        <v>1.410437892180451E-2</v>
      </c>
      <c r="BR23" s="3">
        <v>0.11148340098114359</v>
      </c>
      <c r="BS23" s="3">
        <v>-7.4203985633557179E-2</v>
      </c>
      <c r="BT23" s="3">
        <v>-7.9288528477548692E-2</v>
      </c>
      <c r="BU23" s="3">
        <v>-1.8056009439818398E-2</v>
      </c>
      <c r="BV23" s="3">
        <v>8.7394701775496894E-2</v>
      </c>
      <c r="BW23" s="3">
        <v>-0.68937278230570054</v>
      </c>
      <c r="BX23" s="3">
        <v>8.8685163355699426E-2</v>
      </c>
      <c r="BY23" s="3">
        <v>-0.21287416975223361</v>
      </c>
      <c r="BZ23" s="3">
        <v>0.23178669702747831</v>
      </c>
      <c r="CA23" s="3">
        <v>-5.1434645851901752E-2</v>
      </c>
      <c r="CB23" s="3">
        <v>0.1422365244930166</v>
      </c>
      <c r="CC23" s="3">
        <v>-0.1647817769394975</v>
      </c>
      <c r="CD23" s="3">
        <v>0.17424975821107169</v>
      </c>
      <c r="CE23" s="3">
        <v>5.9074635274077462E-2</v>
      </c>
      <c r="CF23" s="3">
        <v>1.502461588604502E-2</v>
      </c>
      <c r="CG23" s="3">
        <v>4.1177900329299022E-2</v>
      </c>
      <c r="CH23" s="3">
        <v>6.1571632963807903E-2</v>
      </c>
      <c r="CI23" s="3">
        <v>-0.18659806310652419</v>
      </c>
      <c r="CJ23" s="3">
        <v>-0.19810017875035391</v>
      </c>
      <c r="CK23" s="3">
        <v>-0.36187851103044261</v>
      </c>
      <c r="CL23" s="3">
        <v>-0.18150721644048581</v>
      </c>
      <c r="CM23" s="3">
        <v>-0.14865758313300101</v>
      </c>
      <c r="CN23" s="3">
        <v>3.2107145592541082E-2</v>
      </c>
      <c r="CO23" s="3">
        <v>-0.1612866326231471</v>
      </c>
      <c r="CP23" s="3">
        <v>0.18072585066064839</v>
      </c>
      <c r="CQ23" s="3">
        <v>0.31708732382376509</v>
      </c>
      <c r="CR23" s="3">
        <v>0.2208558609179796</v>
      </c>
      <c r="CS23" s="3">
        <v>-6.1760048122273647E-2</v>
      </c>
      <c r="CT23" s="3">
        <v>-7.3206399144063683E-2</v>
      </c>
      <c r="CU23" s="3">
        <v>-6.833919072633407E-2</v>
      </c>
      <c r="CV23" s="3">
        <v>-1.229546608377693E-2</v>
      </c>
      <c r="CW23" s="3">
        <v>9.2686350540819015E-2</v>
      </c>
      <c r="CX23" s="3">
        <v>0.1325091241255596</v>
      </c>
      <c r="CY23" s="3">
        <v>-6.7477858073604929E-2</v>
      </c>
      <c r="CZ23" s="3">
        <v>0.33984639102359598</v>
      </c>
      <c r="DA23" s="3">
        <v>0.34248744824833538</v>
      </c>
      <c r="DB23" s="3">
        <v>4.2212026370482103E-2</v>
      </c>
      <c r="DC23" s="3">
        <v>0.17700774931510019</v>
      </c>
      <c r="DD23" s="3">
        <v>-1.6785836087732459E-2</v>
      </c>
      <c r="DE23" s="3">
        <v>-0.10731575036205469</v>
      </c>
      <c r="DF23" s="3">
        <v>0.2276276696205059</v>
      </c>
      <c r="DG23" s="3">
        <v>-0.1062082742104874</v>
      </c>
      <c r="DH23" s="3">
        <v>9.5523853501838771E-2</v>
      </c>
      <c r="DI23" s="3">
        <v>-0.15678673388805031</v>
      </c>
      <c r="DJ23" s="3">
        <v>8.2931767020582692E-2</v>
      </c>
      <c r="DK23" s="3">
        <v>-0.222436743156638</v>
      </c>
      <c r="DL23" s="3">
        <v>6.3898495026984747E-2</v>
      </c>
      <c r="DM23" s="3">
        <v>8.4095691426789559E-3</v>
      </c>
      <c r="DN23" s="3">
        <v>0.15694170356868661</v>
      </c>
      <c r="DO23" s="3">
        <v>-0.60260381344385672</v>
      </c>
      <c r="DP23" s="3">
        <v>-8.0576380041570181E-2</v>
      </c>
      <c r="DQ23" s="3">
        <v>-6.1872381633647583E-2</v>
      </c>
      <c r="DR23" s="3">
        <v>-7.751945374970963E-2</v>
      </c>
      <c r="DS23" s="3">
        <v>-0.37349671068434931</v>
      </c>
      <c r="DT23" s="3">
        <v>-6.6374967231996332E-2</v>
      </c>
      <c r="DU23" s="3">
        <v>0.1047316451465731</v>
      </c>
      <c r="DV23" s="3">
        <v>-0.19294014073146359</v>
      </c>
      <c r="DW23" s="3">
        <v>-0.26020705539342931</v>
      </c>
      <c r="DX23" s="3">
        <v>-0.13097246131661741</v>
      </c>
      <c r="DY23" s="3">
        <v>0.232240323311312</v>
      </c>
      <c r="DZ23" s="3">
        <v>2.8376090268752999E-2</v>
      </c>
      <c r="EA23" s="3">
        <v>-9.617850840509734E-2</v>
      </c>
      <c r="EB23" s="3">
        <v>-0.1173323878049639</v>
      </c>
      <c r="EC23" s="3">
        <v>2.7708997880847162E-2</v>
      </c>
      <c r="ED23" s="3">
        <v>-5.1052135619559798E-2</v>
      </c>
      <c r="EE23" s="3">
        <v>1.338382873314087E-3</v>
      </c>
      <c r="EF23" s="3">
        <v>-9.8295458181758014E-2</v>
      </c>
      <c r="EG23" s="3">
        <v>1.116716034069549</v>
      </c>
      <c r="EH23" s="3">
        <v>9.9209371656780579E-2</v>
      </c>
      <c r="EI23" s="3">
        <v>-4.9372839444528187E-2</v>
      </c>
      <c r="EJ23" s="3">
        <v>-4.2955033819543437E-2</v>
      </c>
      <c r="EK23" s="3">
        <v>0.1123332369789514</v>
      </c>
      <c r="EL23" s="3">
        <v>2.2340015400374111E-4</v>
      </c>
      <c r="EM23">
        <f t="shared" si="11"/>
        <v>-5.9432711420811266E-4</v>
      </c>
      <c r="EN23">
        <f t="shared" si="12"/>
        <v>0.182983500053533</v>
      </c>
      <c r="EO23">
        <f t="shared" si="13"/>
        <v>-3.2479819985640149E-3</v>
      </c>
    </row>
    <row r="24" spans="1:145" x14ac:dyDescent="0.3">
      <c r="A24" s="18">
        <v>1051</v>
      </c>
      <c r="B24" s="18">
        <f t="shared" si="10"/>
        <v>1</v>
      </c>
      <c r="C24" s="3">
        <v>-2.213859660020336E-3</v>
      </c>
      <c r="D24" s="3">
        <v>1.4596789049646281E-2</v>
      </c>
      <c r="E24" s="3">
        <v>9.9322026737449304E-2</v>
      </c>
      <c r="F24" s="3">
        <v>0.1580892434061866</v>
      </c>
      <c r="G24" s="3">
        <v>-8.4034107963793792E-3</v>
      </c>
      <c r="H24" s="3">
        <v>-2.535414092019582E-2</v>
      </c>
      <c r="I24" s="3">
        <v>8.9141951528650426E-2</v>
      </c>
      <c r="J24" s="3">
        <v>-9.1363264492087051E-2</v>
      </c>
      <c r="K24" s="3">
        <v>0.13534641114808299</v>
      </c>
      <c r="L24" s="3">
        <v>-0.1173507434201041</v>
      </c>
      <c r="M24" s="3">
        <v>-6.2577351652347651E-2</v>
      </c>
      <c r="N24" s="3">
        <v>8.536984495275618E-2</v>
      </c>
      <c r="O24" s="3">
        <v>3.6648790739543732E-2</v>
      </c>
      <c r="P24" s="3">
        <v>4.7026569465947438E-2</v>
      </c>
      <c r="Q24" s="3">
        <v>0.1244052314980061</v>
      </c>
      <c r="R24" s="3">
        <v>0.66918330066187592</v>
      </c>
      <c r="S24" s="3">
        <v>0.30818526282963438</v>
      </c>
      <c r="T24" s="3">
        <v>-7.4302789581658021E-2</v>
      </c>
      <c r="U24" s="3">
        <v>-0.41586120205767418</v>
      </c>
      <c r="V24" s="3">
        <v>0.1283991518244546</v>
      </c>
      <c r="W24" s="3">
        <v>-0.36490513376496192</v>
      </c>
      <c r="X24" s="3">
        <v>-0.33262120650804572</v>
      </c>
      <c r="Y24" s="3">
        <v>6.091920497001576E-2</v>
      </c>
      <c r="Z24" s="3">
        <v>0.1020439766269708</v>
      </c>
      <c r="AA24" s="3">
        <v>0.200200816994205</v>
      </c>
      <c r="AB24" s="3">
        <v>0.22442516753112901</v>
      </c>
      <c r="AC24" s="3">
        <v>5.6411040090363802E-2</v>
      </c>
      <c r="AD24" s="3">
        <v>0.11245167598329001</v>
      </c>
      <c r="AE24" s="3">
        <v>5.2073331053026084E-3</v>
      </c>
      <c r="AF24" s="3">
        <v>5.1325494226911787E-2</v>
      </c>
      <c r="AG24" s="3">
        <v>-0.48921646000461771</v>
      </c>
      <c r="AH24" s="3">
        <v>-8.2887659805767649E-2</v>
      </c>
      <c r="AI24" s="3">
        <v>-1.112199618336919E-2</v>
      </c>
      <c r="AJ24" s="3">
        <v>4.5782993500260369E-2</v>
      </c>
      <c r="AK24" s="3">
        <v>5.2316647740401581E-2</v>
      </c>
      <c r="AL24" s="3">
        <v>-3.2875425915435651E-4</v>
      </c>
      <c r="AM24" s="3">
        <v>-8.435424716874082E-2</v>
      </c>
      <c r="AN24" s="3">
        <v>0.13505605133774601</v>
      </c>
      <c r="AO24" s="3">
        <v>-4.445176257083381E-2</v>
      </c>
      <c r="AP24" s="3">
        <v>-7.7854171805328387E-2</v>
      </c>
      <c r="AQ24" s="3">
        <v>8.2275761585327012E-2</v>
      </c>
      <c r="AR24" s="3">
        <v>-7.2343573449121013E-2</v>
      </c>
      <c r="AS24" s="3">
        <v>-2.6095383292079961E-2</v>
      </c>
      <c r="AT24" s="3">
        <v>0.1913068742222083</v>
      </c>
      <c r="AU24" s="3">
        <v>0</v>
      </c>
      <c r="AV24" s="3">
        <v>-0.15207778026344251</v>
      </c>
      <c r="AW24" s="3">
        <v>0.1203029234068482</v>
      </c>
      <c r="AX24" s="3">
        <v>2.3367856115210989E-2</v>
      </c>
      <c r="AY24" s="3">
        <v>-0.20518085094003721</v>
      </c>
      <c r="AZ24" s="3">
        <v>-2.6269843776194758E-3</v>
      </c>
      <c r="BA24" s="3">
        <v>-2.0930804212408009E-2</v>
      </c>
      <c r="BB24" s="3">
        <v>7.391334847525366E-2</v>
      </c>
      <c r="BC24" s="3">
        <v>9.5674963059490373E-2</v>
      </c>
      <c r="BD24" s="3">
        <v>-0.2177239206454028</v>
      </c>
      <c r="BE24" s="3">
        <v>0.33146721037065252</v>
      </c>
      <c r="BF24" s="3">
        <v>-0.1304428038994265</v>
      </c>
      <c r="BG24" s="3">
        <v>3.6908095199118758E-2</v>
      </c>
      <c r="BH24" s="3">
        <v>6.4637946129781687E-2</v>
      </c>
      <c r="BI24" s="3">
        <v>0.17591579551390299</v>
      </c>
      <c r="BJ24" s="3">
        <v>-7.5865845083511393E-3</v>
      </c>
      <c r="BK24" s="3">
        <v>1.8101958242884169E-2</v>
      </c>
      <c r="BL24" s="3">
        <v>0.108810315262761</v>
      </c>
      <c r="BM24" s="3">
        <v>0.15861854202855971</v>
      </c>
      <c r="BN24" s="3">
        <v>5.9819313463754797E-3</v>
      </c>
      <c r="BO24" s="3">
        <v>0.20807633223112251</v>
      </c>
      <c r="BP24" s="3">
        <v>3.1794104329889807E-2</v>
      </c>
      <c r="BQ24" s="3">
        <v>9.2184402064218532E-2</v>
      </c>
      <c r="BR24" s="3">
        <v>9.6993970887136131E-3</v>
      </c>
      <c r="BS24" s="3">
        <v>-0.1275664827319658</v>
      </c>
      <c r="BT24" s="3">
        <v>-5.2026476159298729E-2</v>
      </c>
      <c r="BU24" s="3">
        <v>0.20536819033493189</v>
      </c>
      <c r="BV24" s="3">
        <v>-3.3797379583290661E-2</v>
      </c>
      <c r="BW24" s="3">
        <v>-1.109012070037362</v>
      </c>
      <c r="BX24" s="3">
        <v>-6.7434721383990356E-2</v>
      </c>
      <c r="BY24" s="3">
        <v>-0.33244429270851772</v>
      </c>
      <c r="BZ24" s="3">
        <v>0.22996353873937231</v>
      </c>
      <c r="CA24" s="3">
        <v>-5.2867270731841047E-2</v>
      </c>
      <c r="CB24" s="3">
        <v>6.0185916531710307E-2</v>
      </c>
      <c r="CC24" s="3">
        <v>-0.29280973476607408</v>
      </c>
      <c r="CD24" s="3">
        <v>0.1463978423420455</v>
      </c>
      <c r="CE24" s="3">
        <v>-0.13138516718661811</v>
      </c>
      <c r="CF24" s="3">
        <v>-6.7739908998654596E-4</v>
      </c>
      <c r="CG24" s="3">
        <v>0.28361523428351199</v>
      </c>
      <c r="CH24" s="3">
        <v>-0.10090284711822679</v>
      </c>
      <c r="CI24" s="3">
        <v>-0.34105123215690081</v>
      </c>
      <c r="CJ24" s="3">
        <v>6.1428062690227193E-2</v>
      </c>
      <c r="CK24" s="3">
        <v>-0.24648965284354379</v>
      </c>
      <c r="CL24" s="3">
        <v>0.42475757347113868</v>
      </c>
      <c r="CM24" s="3">
        <v>-4.4688538323931992E-2</v>
      </c>
      <c r="CN24" s="3">
        <v>7.9128266319302504E-2</v>
      </c>
      <c r="CO24" s="3">
        <v>-0.2966860725057352</v>
      </c>
      <c r="CP24" s="3">
        <v>0.26545893566707068</v>
      </c>
      <c r="CQ24" s="3">
        <v>0.60443077643846299</v>
      </c>
      <c r="CR24" s="3">
        <v>0.36227753557912118</v>
      </c>
      <c r="CS24" s="3">
        <v>-2.506609160145783E-2</v>
      </c>
      <c r="CT24" s="3">
        <v>-1.9405409694452522E-2</v>
      </c>
      <c r="CU24" s="3">
        <v>-0.1926409901632917</v>
      </c>
      <c r="CV24" s="3">
        <v>-9.5618724131256522E-2</v>
      </c>
      <c r="CW24" s="3">
        <v>0.25614305730670101</v>
      </c>
      <c r="CX24" s="3">
        <v>0.14164734031882761</v>
      </c>
      <c r="CY24" s="3">
        <v>-8.7084265943341232E-2</v>
      </c>
      <c r="CZ24" s="3">
        <v>0.2247151373676807</v>
      </c>
      <c r="DA24" s="3">
        <v>0.63497970549868787</v>
      </c>
      <c r="DB24" s="3">
        <v>0.1088155058651234</v>
      </c>
      <c r="DC24" s="3">
        <v>0.34660719990251432</v>
      </c>
      <c r="DD24" s="3">
        <v>0.18631772722706719</v>
      </c>
      <c r="DE24" s="3">
        <v>-4.7996828150036107E-2</v>
      </c>
      <c r="DF24" s="3">
        <v>0.1038422792804818</v>
      </c>
      <c r="DG24" s="3">
        <v>-0.13198890498278401</v>
      </c>
      <c r="DH24" s="3">
        <v>0.1166081774832592</v>
      </c>
      <c r="DI24" s="3">
        <v>-3.6000236084936951E-2</v>
      </c>
      <c r="DJ24" s="3">
        <v>-0.2283287884416744</v>
      </c>
      <c r="DK24" s="3">
        <v>-6.348335954134332E-2</v>
      </c>
      <c r="DL24" s="3">
        <v>5.1807187376393303E-2</v>
      </c>
      <c r="DM24" s="3">
        <v>-4.2353050450762118E-2</v>
      </c>
      <c r="DN24" s="3">
        <v>6.3944966591352403E-2</v>
      </c>
      <c r="DO24" s="3">
        <v>-0.11414128427350791</v>
      </c>
      <c r="DP24" s="3">
        <v>-8.9827241818701258E-3</v>
      </c>
      <c r="DQ24" s="3">
        <v>-7.7065828283637214E-2</v>
      </c>
      <c r="DR24" s="3">
        <v>-2.0879617984008361E-2</v>
      </c>
      <c r="DS24" s="3">
        <v>-0.22808090399845921</v>
      </c>
      <c r="DT24" s="3">
        <v>-9.8982358392772057E-2</v>
      </c>
      <c r="DU24" s="3">
        <v>-0.1242649585092</v>
      </c>
      <c r="DV24" s="3">
        <v>-0.39341476738870829</v>
      </c>
      <c r="DW24" s="3">
        <v>-0.21309321546070831</v>
      </c>
      <c r="DX24" s="3">
        <v>-0.17373733044807921</v>
      </c>
      <c r="DY24" s="3">
        <v>0.36378654133879462</v>
      </c>
      <c r="DZ24" s="3">
        <v>-0.1259358833744543</v>
      </c>
      <c r="EA24" s="3">
        <v>-5.4920183841502608E-2</v>
      </c>
      <c r="EB24" s="3">
        <v>-0.1055726222303901</v>
      </c>
      <c r="EC24" s="3">
        <v>3.6069953857201749E-2</v>
      </c>
      <c r="ED24" s="3">
        <v>-7.1341141466125829E-2</v>
      </c>
      <c r="EE24" s="3">
        <v>2.3888757953735028E-2</v>
      </c>
      <c r="EF24" s="3">
        <v>-5.075140108017144E-2</v>
      </c>
      <c r="EG24" s="3">
        <v>-3.1459377333190958E-2</v>
      </c>
      <c r="EH24" s="3">
        <v>0.20538557869251389</v>
      </c>
      <c r="EI24" s="3">
        <v>-0.1117442810214329</v>
      </c>
      <c r="EJ24" s="3">
        <v>-0.15291338363265661</v>
      </c>
      <c r="EK24" s="3">
        <v>7.452577909121666E-2</v>
      </c>
      <c r="EL24" s="3">
        <v>-7.5853713892567844E-3</v>
      </c>
      <c r="EM24">
        <f t="shared" si="11"/>
        <v>6.7724288509119169E-3</v>
      </c>
      <c r="EN24">
        <f t="shared" si="12"/>
        <v>0.2095512766237404</v>
      </c>
      <c r="EO24">
        <f t="shared" si="13"/>
        <v>3.2318719122251614E-2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 t="s">
        <v>157</v>
      </c>
      <c r="D27" s="4" t="s">
        <v>158</v>
      </c>
      <c r="E27" s="4" t="s">
        <v>158</v>
      </c>
      <c r="F27" s="4" t="s">
        <v>159</v>
      </c>
      <c r="G27" s="4" t="s">
        <v>158</v>
      </c>
      <c r="H27" s="4" t="s">
        <v>158</v>
      </c>
      <c r="I27" s="4" t="s">
        <v>160</v>
      </c>
      <c r="J27" s="4" t="s">
        <v>161</v>
      </c>
      <c r="K27" s="4" t="s">
        <v>160</v>
      </c>
      <c r="L27" s="4" t="s">
        <v>162</v>
      </c>
      <c r="M27" s="4" t="s">
        <v>158</v>
      </c>
      <c r="N27" s="4" t="s">
        <v>163</v>
      </c>
      <c r="O27" s="4" t="s">
        <v>164</v>
      </c>
      <c r="P27" s="4" t="s">
        <v>160</v>
      </c>
      <c r="Q27" s="4" t="s">
        <v>160</v>
      </c>
      <c r="R27" s="4" t="s">
        <v>158</v>
      </c>
      <c r="S27" s="4" t="s">
        <v>165</v>
      </c>
      <c r="T27" s="4" t="s">
        <v>160</v>
      </c>
      <c r="U27" s="4" t="s">
        <v>165</v>
      </c>
      <c r="V27" s="4" t="s">
        <v>166</v>
      </c>
      <c r="W27" s="4" t="s">
        <v>167</v>
      </c>
      <c r="X27" s="4" t="s">
        <v>168</v>
      </c>
      <c r="Y27" s="4" t="s">
        <v>169</v>
      </c>
      <c r="Z27" s="4" t="s">
        <v>170</v>
      </c>
      <c r="AA27" s="4" t="s">
        <v>170</v>
      </c>
      <c r="AB27" s="4" t="s">
        <v>171</v>
      </c>
      <c r="AC27" s="4" t="s">
        <v>161</v>
      </c>
      <c r="AD27" s="4" t="s">
        <v>172</v>
      </c>
      <c r="AE27" s="4" t="s">
        <v>172</v>
      </c>
      <c r="AF27" s="4" t="s">
        <v>168</v>
      </c>
      <c r="AG27" s="4" t="s">
        <v>173</v>
      </c>
      <c r="AH27" s="4" t="s">
        <v>160</v>
      </c>
      <c r="AI27" s="4" t="s">
        <v>168</v>
      </c>
      <c r="AJ27" s="4" t="s">
        <v>168</v>
      </c>
      <c r="AK27" s="4" t="s">
        <v>168</v>
      </c>
      <c r="AL27" s="4" t="s">
        <v>168</v>
      </c>
      <c r="AM27" s="4" t="s">
        <v>168</v>
      </c>
      <c r="AN27" s="4" t="s">
        <v>168</v>
      </c>
      <c r="AO27" s="4" t="s">
        <v>168</v>
      </c>
      <c r="AP27" s="4" t="s">
        <v>168</v>
      </c>
      <c r="AQ27" s="4" t="s">
        <v>168</v>
      </c>
      <c r="AR27" s="4" t="s">
        <v>172</v>
      </c>
      <c r="AS27" s="4" t="s">
        <v>172</v>
      </c>
      <c r="AT27" s="4" t="s">
        <v>174</v>
      </c>
      <c r="AU27" s="4" t="s">
        <v>160</v>
      </c>
      <c r="AV27" s="4" t="s">
        <v>168</v>
      </c>
      <c r="AW27" s="4" t="s">
        <v>160</v>
      </c>
      <c r="AX27" s="4" t="s">
        <v>174</v>
      </c>
      <c r="AY27" s="4" t="s">
        <v>165</v>
      </c>
      <c r="AZ27" s="4" t="s">
        <v>168</v>
      </c>
      <c r="BA27" s="4" t="s">
        <v>168</v>
      </c>
      <c r="BB27" s="4" t="s">
        <v>168</v>
      </c>
      <c r="BC27" s="4" t="s">
        <v>168</v>
      </c>
      <c r="BD27" s="4" t="s">
        <v>175</v>
      </c>
      <c r="BE27" s="4" t="s">
        <v>176</v>
      </c>
      <c r="BF27" s="4" t="s">
        <v>177</v>
      </c>
      <c r="BG27" s="4" t="s">
        <v>178</v>
      </c>
      <c r="BH27" s="4" t="s">
        <v>175</v>
      </c>
      <c r="BI27" s="4" t="s">
        <v>179</v>
      </c>
      <c r="BJ27" s="4" t="s">
        <v>178</v>
      </c>
      <c r="BK27" s="4" t="s">
        <v>168</v>
      </c>
      <c r="BL27" s="4" t="s">
        <v>178</v>
      </c>
      <c r="BM27" s="4" t="s">
        <v>179</v>
      </c>
      <c r="BN27" s="4" t="s">
        <v>179</v>
      </c>
      <c r="BO27" s="4" t="s">
        <v>179</v>
      </c>
      <c r="BP27" s="4" t="s">
        <v>178</v>
      </c>
      <c r="BQ27" s="4" t="s">
        <v>168</v>
      </c>
      <c r="BR27" s="4" t="s">
        <v>178</v>
      </c>
      <c r="BS27" s="4" t="s">
        <v>168</v>
      </c>
      <c r="BT27" s="4" t="s">
        <v>180</v>
      </c>
      <c r="BU27" s="4" t="s">
        <v>178</v>
      </c>
      <c r="BV27" s="4" t="s">
        <v>178</v>
      </c>
      <c r="BW27" s="4" t="s">
        <v>178</v>
      </c>
      <c r="BX27" s="4" t="s">
        <v>168</v>
      </c>
      <c r="BY27" s="4" t="s">
        <v>181</v>
      </c>
      <c r="BZ27" s="4" t="s">
        <v>178</v>
      </c>
      <c r="CA27" s="4" t="s">
        <v>182</v>
      </c>
      <c r="CB27" s="4" t="s">
        <v>181</v>
      </c>
      <c r="CC27" s="4" t="s">
        <v>183</v>
      </c>
      <c r="CD27" s="4" t="s">
        <v>184</v>
      </c>
      <c r="CE27" s="4" t="s">
        <v>184</v>
      </c>
      <c r="CF27" s="4" t="s">
        <v>168</v>
      </c>
      <c r="CG27" s="4" t="s">
        <v>185</v>
      </c>
      <c r="CH27" s="4" t="s">
        <v>186</v>
      </c>
      <c r="CI27" s="4" t="s">
        <v>185</v>
      </c>
      <c r="CJ27" s="4" t="s">
        <v>186</v>
      </c>
      <c r="CK27" s="4" t="s">
        <v>185</v>
      </c>
      <c r="CL27" s="4" t="s">
        <v>187</v>
      </c>
      <c r="CM27" s="4" t="s">
        <v>187</v>
      </c>
      <c r="CN27" s="4" t="s">
        <v>186</v>
      </c>
      <c r="CO27" s="4" t="s">
        <v>186</v>
      </c>
      <c r="CP27" s="4" t="s">
        <v>187</v>
      </c>
      <c r="CQ27" s="4" t="s">
        <v>187</v>
      </c>
      <c r="CR27" s="4" t="s">
        <v>186</v>
      </c>
      <c r="CS27" s="4" t="s">
        <v>186</v>
      </c>
      <c r="CT27" s="4" t="s">
        <v>186</v>
      </c>
      <c r="CU27" s="4" t="s">
        <v>188</v>
      </c>
      <c r="CV27" s="4" t="s">
        <v>186</v>
      </c>
      <c r="CW27" s="4" t="s">
        <v>189</v>
      </c>
      <c r="CX27" s="4" t="s">
        <v>186</v>
      </c>
      <c r="CY27" s="4" t="s">
        <v>168</v>
      </c>
      <c r="CZ27" s="4" t="s">
        <v>168</v>
      </c>
      <c r="DA27" s="4" t="s">
        <v>190</v>
      </c>
      <c r="DB27" s="4" t="s">
        <v>191</v>
      </c>
      <c r="DC27" s="4" t="s">
        <v>191</v>
      </c>
      <c r="DD27" s="4" t="s">
        <v>190</v>
      </c>
      <c r="DE27" s="4" t="s">
        <v>168</v>
      </c>
      <c r="DF27" s="4" t="s">
        <v>168</v>
      </c>
      <c r="DG27" s="4" t="s">
        <v>191</v>
      </c>
      <c r="DH27" s="4" t="s">
        <v>190</v>
      </c>
      <c r="DI27" s="4" t="s">
        <v>192</v>
      </c>
      <c r="DJ27" s="4" t="s">
        <v>176</v>
      </c>
      <c r="DK27" s="4" t="s">
        <v>173</v>
      </c>
      <c r="DL27" s="4" t="s">
        <v>173</v>
      </c>
      <c r="DM27" s="4" t="s">
        <v>173</v>
      </c>
      <c r="DN27" s="4" t="s">
        <v>192</v>
      </c>
      <c r="DO27" s="4" t="s">
        <v>192</v>
      </c>
      <c r="DP27" s="4" t="s">
        <v>193</v>
      </c>
      <c r="DQ27" s="4" t="s">
        <v>193</v>
      </c>
      <c r="DR27" s="4" t="s">
        <v>192</v>
      </c>
      <c r="DS27" s="4" t="s">
        <v>186</v>
      </c>
      <c r="DT27" s="4" t="s">
        <v>194</v>
      </c>
      <c r="DU27" s="4" t="s">
        <v>195</v>
      </c>
      <c r="DV27" s="4" t="s">
        <v>196</v>
      </c>
      <c r="DW27" s="4" t="s">
        <v>197</v>
      </c>
      <c r="DX27" s="4" t="s">
        <v>197</v>
      </c>
      <c r="DY27" s="4" t="s">
        <v>196</v>
      </c>
      <c r="DZ27" s="4" t="s">
        <v>196</v>
      </c>
      <c r="EA27" s="4" t="s">
        <v>196</v>
      </c>
      <c r="EB27" s="4" t="s">
        <v>196</v>
      </c>
      <c r="EC27" s="4" t="s">
        <v>198</v>
      </c>
      <c r="ED27" s="4" t="s">
        <v>199</v>
      </c>
      <c r="EE27" s="4" t="s">
        <v>191</v>
      </c>
      <c r="EF27" s="4" t="s">
        <v>191</v>
      </c>
      <c r="EG27" s="4" t="s">
        <v>191</v>
      </c>
      <c r="EH27" s="4" t="s">
        <v>200</v>
      </c>
      <c r="EI27" s="4" t="s">
        <v>196</v>
      </c>
      <c r="EJ27" s="4" t="s">
        <v>196</v>
      </c>
      <c r="EK27" s="4" t="s">
        <v>196</v>
      </c>
      <c r="EL27" s="4" t="s">
        <v>196</v>
      </c>
      <c r="EM27" t="s">
        <v>201</v>
      </c>
    </row>
    <row r="28" spans="1:145" x14ac:dyDescent="0.3">
      <c r="C28" s="4" t="s">
        <v>202</v>
      </c>
      <c r="D28" s="4" t="s">
        <v>203</v>
      </c>
      <c r="E28" s="4" t="s">
        <v>203</v>
      </c>
      <c r="F28" s="4" t="s">
        <v>204</v>
      </c>
      <c r="G28" s="4" t="s">
        <v>203</v>
      </c>
      <c r="H28" s="4" t="s">
        <v>203</v>
      </c>
      <c r="I28" s="4" t="s">
        <v>205</v>
      </c>
      <c r="J28" s="4" t="s">
        <v>206</v>
      </c>
      <c r="K28" s="4" t="s">
        <v>205</v>
      </c>
      <c r="L28" s="4" t="s">
        <v>207</v>
      </c>
      <c r="M28" s="4" t="s">
        <v>203</v>
      </c>
      <c r="N28" s="4" t="s">
        <v>208</v>
      </c>
      <c r="O28" s="4" t="s">
        <v>209</v>
      </c>
      <c r="P28" s="4" t="s">
        <v>205</v>
      </c>
      <c r="Q28" s="4" t="s">
        <v>205</v>
      </c>
      <c r="R28" s="4" t="s">
        <v>203</v>
      </c>
      <c r="S28" s="4" t="s">
        <v>210</v>
      </c>
      <c r="T28" s="4" t="s">
        <v>205</v>
      </c>
      <c r="U28" s="4" t="s">
        <v>210</v>
      </c>
      <c r="V28" s="4" t="s">
        <v>211</v>
      </c>
      <c r="W28" s="4" t="s">
        <v>212</v>
      </c>
      <c r="X28" s="4" t="s">
        <v>213</v>
      </c>
      <c r="Y28" s="4" t="s">
        <v>214</v>
      </c>
      <c r="Z28" s="4" t="s">
        <v>215</v>
      </c>
      <c r="AA28" s="4" t="s">
        <v>215</v>
      </c>
      <c r="AB28" s="4" t="s">
        <v>216</v>
      </c>
      <c r="AC28" s="4" t="s">
        <v>206</v>
      </c>
      <c r="AD28" s="4" t="s">
        <v>217</v>
      </c>
      <c r="AE28" s="4" t="s">
        <v>217</v>
      </c>
      <c r="AF28" s="4" t="s">
        <v>213</v>
      </c>
      <c r="AG28" s="4" t="s">
        <v>218</v>
      </c>
      <c r="AH28" s="4" t="s">
        <v>205</v>
      </c>
      <c r="AI28" s="4" t="s">
        <v>213</v>
      </c>
      <c r="AJ28" s="4" t="s">
        <v>213</v>
      </c>
      <c r="AK28" s="4" t="s">
        <v>213</v>
      </c>
      <c r="AL28" s="4" t="s">
        <v>213</v>
      </c>
      <c r="AM28" s="4" t="s">
        <v>213</v>
      </c>
      <c r="AN28" s="4" t="s">
        <v>213</v>
      </c>
      <c r="AO28" s="4" t="s">
        <v>213</v>
      </c>
      <c r="AP28" s="4" t="s">
        <v>213</v>
      </c>
      <c r="AQ28" s="4" t="s">
        <v>213</v>
      </c>
      <c r="AR28" s="4" t="s">
        <v>217</v>
      </c>
      <c r="AS28" s="4" t="s">
        <v>217</v>
      </c>
      <c r="AT28" s="4" t="s">
        <v>219</v>
      </c>
      <c r="AU28" s="4" t="s">
        <v>205</v>
      </c>
      <c r="AV28" s="4" t="s">
        <v>213</v>
      </c>
      <c r="AW28" s="4" t="s">
        <v>205</v>
      </c>
      <c r="AX28" s="4" t="s">
        <v>219</v>
      </c>
      <c r="AY28" s="4" t="s">
        <v>210</v>
      </c>
      <c r="AZ28" s="4" t="s">
        <v>213</v>
      </c>
      <c r="BA28" s="4" t="s">
        <v>213</v>
      </c>
      <c r="BB28" s="4" t="s">
        <v>213</v>
      </c>
      <c r="BC28" s="4" t="s">
        <v>213</v>
      </c>
      <c r="BD28" s="4" t="s">
        <v>220</v>
      </c>
      <c r="BE28" s="4" t="s">
        <v>221</v>
      </c>
      <c r="BF28" s="4" t="s">
        <v>222</v>
      </c>
      <c r="BG28" s="4" t="s">
        <v>223</v>
      </c>
      <c r="BH28" s="4" t="s">
        <v>220</v>
      </c>
      <c r="BI28" s="4" t="s">
        <v>224</v>
      </c>
      <c r="BJ28" s="4" t="s">
        <v>223</v>
      </c>
      <c r="BK28" s="4" t="s">
        <v>213</v>
      </c>
      <c r="BL28" s="4" t="s">
        <v>223</v>
      </c>
      <c r="BM28" s="4" t="s">
        <v>224</v>
      </c>
      <c r="BN28" s="4" t="s">
        <v>224</v>
      </c>
      <c r="BO28" s="4" t="s">
        <v>224</v>
      </c>
      <c r="BP28" s="4" t="s">
        <v>223</v>
      </c>
      <c r="BQ28" s="4" t="s">
        <v>213</v>
      </c>
      <c r="BR28" s="4" t="s">
        <v>223</v>
      </c>
      <c r="BS28" s="4" t="s">
        <v>213</v>
      </c>
      <c r="BT28" s="4" t="s">
        <v>225</v>
      </c>
      <c r="BU28" s="4" t="s">
        <v>223</v>
      </c>
      <c r="BV28" s="4" t="s">
        <v>223</v>
      </c>
      <c r="BW28" s="4" t="s">
        <v>223</v>
      </c>
      <c r="BX28" s="4" t="s">
        <v>213</v>
      </c>
      <c r="BY28" s="4" t="s">
        <v>226</v>
      </c>
      <c r="BZ28" s="4" t="s">
        <v>223</v>
      </c>
      <c r="CA28" s="4" t="s">
        <v>227</v>
      </c>
      <c r="CB28" s="4" t="s">
        <v>226</v>
      </c>
      <c r="CC28" s="4" t="s">
        <v>228</v>
      </c>
      <c r="CD28" s="4" t="s">
        <v>229</v>
      </c>
      <c r="CE28" s="4" t="s">
        <v>229</v>
      </c>
      <c r="CF28" s="4" t="s">
        <v>213</v>
      </c>
      <c r="CG28" s="4" t="s">
        <v>230</v>
      </c>
      <c r="CH28" s="4" t="s">
        <v>231</v>
      </c>
      <c r="CI28" s="4" t="s">
        <v>230</v>
      </c>
      <c r="CJ28" s="4" t="s">
        <v>231</v>
      </c>
      <c r="CK28" s="4" t="s">
        <v>230</v>
      </c>
      <c r="CL28" s="4" t="s">
        <v>232</v>
      </c>
      <c r="CM28" s="4" t="s">
        <v>232</v>
      </c>
      <c r="CN28" s="4" t="s">
        <v>231</v>
      </c>
      <c r="CO28" s="4" t="s">
        <v>231</v>
      </c>
      <c r="CP28" s="4" t="s">
        <v>232</v>
      </c>
      <c r="CQ28" s="4" t="s">
        <v>232</v>
      </c>
      <c r="CR28" s="4" t="s">
        <v>231</v>
      </c>
      <c r="CS28" s="4" t="s">
        <v>231</v>
      </c>
      <c r="CT28" s="4" t="s">
        <v>231</v>
      </c>
      <c r="CU28" s="4" t="s">
        <v>233</v>
      </c>
      <c r="CV28" s="4" t="s">
        <v>231</v>
      </c>
      <c r="CW28" s="4" t="s">
        <v>234</v>
      </c>
      <c r="CX28" s="4" t="s">
        <v>231</v>
      </c>
      <c r="CY28" s="4" t="s">
        <v>213</v>
      </c>
      <c r="CZ28" s="4" t="s">
        <v>213</v>
      </c>
      <c r="DA28" s="4" t="s">
        <v>235</v>
      </c>
      <c r="DB28" s="4" t="s">
        <v>236</v>
      </c>
      <c r="DC28" s="4" t="s">
        <v>236</v>
      </c>
      <c r="DD28" s="4" t="s">
        <v>235</v>
      </c>
      <c r="DE28" s="4" t="s">
        <v>213</v>
      </c>
      <c r="DF28" s="4" t="s">
        <v>213</v>
      </c>
      <c r="DG28" s="4" t="s">
        <v>236</v>
      </c>
      <c r="DH28" s="4" t="s">
        <v>235</v>
      </c>
      <c r="DI28" s="4" t="s">
        <v>237</v>
      </c>
      <c r="DJ28" s="4" t="s">
        <v>221</v>
      </c>
      <c r="DK28" s="4" t="s">
        <v>218</v>
      </c>
      <c r="DL28" s="4" t="s">
        <v>218</v>
      </c>
      <c r="DM28" s="4" t="s">
        <v>218</v>
      </c>
      <c r="DN28" s="4" t="s">
        <v>237</v>
      </c>
      <c r="DO28" s="4" t="s">
        <v>237</v>
      </c>
      <c r="DP28" s="4" t="s">
        <v>238</v>
      </c>
      <c r="DQ28" s="4" t="s">
        <v>238</v>
      </c>
      <c r="DR28" s="4" t="s">
        <v>237</v>
      </c>
      <c r="DS28" s="4" t="s">
        <v>231</v>
      </c>
      <c r="DT28" s="4" t="s">
        <v>239</v>
      </c>
      <c r="DU28" s="4" t="s">
        <v>240</v>
      </c>
      <c r="DV28" s="4" t="s">
        <v>241</v>
      </c>
      <c r="DW28" s="4" t="s">
        <v>242</v>
      </c>
      <c r="DX28" s="4" t="s">
        <v>242</v>
      </c>
      <c r="DY28" s="4" t="s">
        <v>241</v>
      </c>
      <c r="DZ28" s="4" t="s">
        <v>241</v>
      </c>
      <c r="EA28" s="4" t="s">
        <v>241</v>
      </c>
      <c r="EB28" s="4" t="s">
        <v>241</v>
      </c>
      <c r="EC28" s="4" t="s">
        <v>243</v>
      </c>
      <c r="ED28" s="4" t="s">
        <v>244</v>
      </c>
      <c r="EE28" s="4" t="s">
        <v>236</v>
      </c>
      <c r="EF28" s="4" t="s">
        <v>236</v>
      </c>
      <c r="EG28" s="4" t="s">
        <v>236</v>
      </c>
      <c r="EH28" s="4" t="s">
        <v>245</v>
      </c>
      <c r="EI28" s="4" t="s">
        <v>241</v>
      </c>
      <c r="EJ28" s="4" t="s">
        <v>241</v>
      </c>
      <c r="EK28" s="4" t="s">
        <v>241</v>
      </c>
      <c r="EL28" s="4" t="s">
        <v>241</v>
      </c>
      <c r="EM28" t="s">
        <v>246</v>
      </c>
    </row>
    <row r="29" spans="1:145" x14ac:dyDescent="0.3">
      <c r="C29" s="4" t="s">
        <v>247</v>
      </c>
      <c r="D29" s="4" t="s">
        <v>248</v>
      </c>
      <c r="E29" s="4" t="s">
        <v>248</v>
      </c>
      <c r="F29" s="4" t="s">
        <v>248</v>
      </c>
      <c r="G29" s="4" t="s">
        <v>248</v>
      </c>
      <c r="H29" s="4" t="s">
        <v>248</v>
      </c>
      <c r="I29" s="4" t="s">
        <v>248</v>
      </c>
      <c r="J29" s="4" t="s">
        <v>195</v>
      </c>
      <c r="K29" s="4" t="s">
        <v>248</v>
      </c>
      <c r="L29" s="4" t="s">
        <v>249</v>
      </c>
      <c r="M29" s="4" t="s">
        <v>248</v>
      </c>
      <c r="N29" s="4" t="s">
        <v>249</v>
      </c>
      <c r="O29" s="4" t="s">
        <v>250</v>
      </c>
      <c r="P29" s="4" t="s">
        <v>248</v>
      </c>
      <c r="Q29" s="4" t="s">
        <v>248</v>
      </c>
      <c r="R29" s="4" t="s">
        <v>249</v>
      </c>
      <c r="S29" s="4" t="s">
        <v>250</v>
      </c>
      <c r="T29" s="4" t="s">
        <v>248</v>
      </c>
      <c r="U29" s="4" t="s">
        <v>250</v>
      </c>
      <c r="V29" s="4" t="s">
        <v>250</v>
      </c>
      <c r="W29" s="4" t="s">
        <v>158</v>
      </c>
      <c r="X29" s="4" t="s">
        <v>249</v>
      </c>
      <c r="Y29" s="4" t="s">
        <v>249</v>
      </c>
      <c r="Z29" s="4" t="s">
        <v>172</v>
      </c>
      <c r="AA29" s="4" t="s">
        <v>172</v>
      </c>
      <c r="AB29" s="4" t="s">
        <v>172</v>
      </c>
      <c r="AC29" s="4" t="s">
        <v>172</v>
      </c>
      <c r="AD29" s="4" t="s">
        <v>249</v>
      </c>
      <c r="AE29" s="4" t="s">
        <v>249</v>
      </c>
      <c r="AF29" s="4" t="s">
        <v>249</v>
      </c>
      <c r="AG29" s="4" t="s">
        <v>251</v>
      </c>
      <c r="AH29" s="4" t="s">
        <v>248</v>
      </c>
      <c r="AI29" s="4" t="s">
        <v>249</v>
      </c>
      <c r="AJ29" s="4" t="s">
        <v>249</v>
      </c>
      <c r="AK29" s="4" t="s">
        <v>249</v>
      </c>
      <c r="AL29" s="4" t="s">
        <v>249</v>
      </c>
      <c r="AM29" s="4" t="s">
        <v>249</v>
      </c>
      <c r="AN29" s="4" t="s">
        <v>249</v>
      </c>
      <c r="AO29" s="4" t="s">
        <v>249</v>
      </c>
      <c r="AP29" s="4" t="s">
        <v>249</v>
      </c>
      <c r="AQ29" s="4" t="s">
        <v>249</v>
      </c>
      <c r="AR29" s="4" t="s">
        <v>252</v>
      </c>
      <c r="AS29" s="4" t="s">
        <v>252</v>
      </c>
      <c r="AT29" s="4" t="s">
        <v>252</v>
      </c>
      <c r="AU29" s="4" t="s">
        <v>248</v>
      </c>
      <c r="AV29" s="4" t="s">
        <v>249</v>
      </c>
      <c r="AW29" s="4" t="s">
        <v>248</v>
      </c>
      <c r="AX29" s="4" t="s">
        <v>253</v>
      </c>
      <c r="AY29" s="4" t="s">
        <v>178</v>
      </c>
      <c r="AZ29" s="4" t="s">
        <v>254</v>
      </c>
      <c r="BA29" s="4" t="s">
        <v>254</v>
      </c>
      <c r="BB29" s="4" t="s">
        <v>254</v>
      </c>
      <c r="BC29" s="4" t="s">
        <v>255</v>
      </c>
      <c r="BD29" s="4" t="s">
        <v>256</v>
      </c>
      <c r="BE29" s="4" t="s">
        <v>248</v>
      </c>
      <c r="BF29" s="4" t="s">
        <v>248</v>
      </c>
      <c r="BG29" s="4" t="s">
        <v>248</v>
      </c>
      <c r="BH29" s="4" t="s">
        <v>257</v>
      </c>
      <c r="BI29" s="4" t="s">
        <v>258</v>
      </c>
      <c r="BJ29" s="4" t="s">
        <v>258</v>
      </c>
      <c r="BK29" s="4" t="s">
        <v>259</v>
      </c>
      <c r="BL29" s="4" t="s">
        <v>248</v>
      </c>
      <c r="BM29" s="4" t="s">
        <v>260</v>
      </c>
      <c r="BN29" s="4" t="s">
        <v>260</v>
      </c>
      <c r="BO29" s="4" t="s">
        <v>260</v>
      </c>
      <c r="BP29" s="4" t="s">
        <v>248</v>
      </c>
      <c r="BQ29" s="4" t="s">
        <v>254</v>
      </c>
      <c r="BR29" s="4" t="s">
        <v>248</v>
      </c>
      <c r="BS29" s="4" t="s">
        <v>254</v>
      </c>
      <c r="BT29" s="4" t="s">
        <v>260</v>
      </c>
      <c r="BU29" s="4" t="s">
        <v>248</v>
      </c>
      <c r="BV29" s="4" t="s">
        <v>248</v>
      </c>
      <c r="BW29" s="4" t="s">
        <v>248</v>
      </c>
      <c r="BX29" s="4" t="s">
        <v>254</v>
      </c>
      <c r="BY29" s="4" t="s">
        <v>261</v>
      </c>
      <c r="BZ29" s="4" t="s">
        <v>248</v>
      </c>
      <c r="CA29" s="4" t="s">
        <v>262</v>
      </c>
      <c r="CB29" s="4" t="s">
        <v>263</v>
      </c>
      <c r="CC29" s="4" t="s">
        <v>248</v>
      </c>
      <c r="CD29" s="4" t="s">
        <v>248</v>
      </c>
      <c r="CE29" s="4" t="s">
        <v>248</v>
      </c>
      <c r="CF29" s="4" t="s">
        <v>264</v>
      </c>
      <c r="CG29" s="4" t="s">
        <v>265</v>
      </c>
      <c r="CH29" s="4" t="s">
        <v>264</v>
      </c>
      <c r="CI29" s="4" t="s">
        <v>265</v>
      </c>
      <c r="CJ29" s="4" t="s">
        <v>254</v>
      </c>
      <c r="CK29" s="4" t="s">
        <v>189</v>
      </c>
      <c r="CL29" s="4" t="s">
        <v>189</v>
      </c>
      <c r="CM29" s="4" t="s">
        <v>186</v>
      </c>
      <c r="CN29" s="4" t="s">
        <v>254</v>
      </c>
      <c r="CO29" s="4" t="s">
        <v>254</v>
      </c>
      <c r="CP29" s="4" t="s">
        <v>266</v>
      </c>
      <c r="CQ29" s="4" t="s">
        <v>181</v>
      </c>
      <c r="CR29" s="4" t="s">
        <v>254</v>
      </c>
      <c r="CS29" s="4" t="s">
        <v>255</v>
      </c>
      <c r="CT29" s="4" t="s">
        <v>255</v>
      </c>
      <c r="CU29" s="4" t="s">
        <v>248</v>
      </c>
      <c r="CV29" s="4" t="s">
        <v>255</v>
      </c>
      <c r="CW29" s="4" t="s">
        <v>181</v>
      </c>
      <c r="CX29" s="4" t="s">
        <v>255</v>
      </c>
      <c r="CY29" s="4" t="s">
        <v>255</v>
      </c>
      <c r="CZ29" s="4" t="s">
        <v>255</v>
      </c>
      <c r="DA29" s="4" t="s">
        <v>248</v>
      </c>
      <c r="DB29" s="4" t="s">
        <v>248</v>
      </c>
      <c r="DC29" s="4" t="s">
        <v>248</v>
      </c>
      <c r="DD29" s="4" t="s">
        <v>248</v>
      </c>
      <c r="DE29" s="4" t="s">
        <v>249</v>
      </c>
      <c r="DF29" s="4" t="s">
        <v>248</v>
      </c>
      <c r="DG29" s="4" t="s">
        <v>248</v>
      </c>
      <c r="DH29" s="4" t="s">
        <v>248</v>
      </c>
      <c r="DI29" s="4" t="s">
        <v>173</v>
      </c>
      <c r="DJ29" s="4" t="s">
        <v>248</v>
      </c>
      <c r="DK29" s="4" t="s">
        <v>248</v>
      </c>
      <c r="DL29" s="4" t="s">
        <v>248</v>
      </c>
      <c r="DM29" s="4" t="s">
        <v>248</v>
      </c>
      <c r="DN29" s="4" t="s">
        <v>157</v>
      </c>
      <c r="DO29" s="4" t="s">
        <v>173</v>
      </c>
      <c r="DP29" s="4" t="s">
        <v>267</v>
      </c>
      <c r="DQ29" s="4" t="s">
        <v>255</v>
      </c>
      <c r="DR29" s="4" t="s">
        <v>191</v>
      </c>
      <c r="DS29" s="4" t="s">
        <v>264</v>
      </c>
      <c r="DT29" s="4" t="s">
        <v>248</v>
      </c>
      <c r="DU29" s="4" t="s">
        <v>191</v>
      </c>
      <c r="DV29" s="4" t="s">
        <v>248</v>
      </c>
      <c r="DW29" s="4" t="s">
        <v>191</v>
      </c>
      <c r="DX29" s="4" t="s">
        <v>191</v>
      </c>
      <c r="DY29" s="4" t="s">
        <v>248</v>
      </c>
      <c r="DZ29" s="4" t="s">
        <v>248</v>
      </c>
      <c r="EA29" s="4" t="s">
        <v>248</v>
      </c>
      <c r="EB29" s="4" t="s">
        <v>248</v>
      </c>
      <c r="EC29" s="4" t="s">
        <v>268</v>
      </c>
      <c r="ED29" s="4" t="s">
        <v>269</v>
      </c>
      <c r="EE29" s="4" t="s">
        <v>269</v>
      </c>
      <c r="EF29" s="4" t="s">
        <v>264</v>
      </c>
      <c r="EG29" s="4" t="s">
        <v>269</v>
      </c>
      <c r="EH29" s="4" t="s">
        <v>270</v>
      </c>
      <c r="EI29" s="4" t="s">
        <v>248</v>
      </c>
      <c r="EJ29" s="4" t="s">
        <v>248</v>
      </c>
      <c r="EK29" s="4" t="s">
        <v>248</v>
      </c>
      <c r="EL29" s="4" t="s">
        <v>248</v>
      </c>
      <c r="EM29" t="s">
        <v>271</v>
      </c>
    </row>
    <row r="30" spans="1:145" x14ac:dyDescent="0.3">
      <c r="C30" s="4" t="s">
        <v>272</v>
      </c>
      <c r="D30" s="4" t="s">
        <v>273</v>
      </c>
      <c r="E30" s="4" t="s">
        <v>273</v>
      </c>
      <c r="F30" s="4" t="s">
        <v>273</v>
      </c>
      <c r="G30" s="4" t="s">
        <v>273</v>
      </c>
      <c r="H30" s="4" t="s">
        <v>273</v>
      </c>
      <c r="I30" s="4" t="s">
        <v>273</v>
      </c>
      <c r="J30" s="4" t="s">
        <v>240</v>
      </c>
      <c r="K30" s="4" t="s">
        <v>273</v>
      </c>
      <c r="L30" s="4" t="s">
        <v>274</v>
      </c>
      <c r="M30" s="4" t="s">
        <v>273</v>
      </c>
      <c r="N30" s="4" t="s">
        <v>274</v>
      </c>
      <c r="O30" s="4" t="s">
        <v>275</v>
      </c>
      <c r="P30" s="4" t="s">
        <v>273</v>
      </c>
      <c r="Q30" s="4" t="s">
        <v>273</v>
      </c>
      <c r="R30" s="4" t="s">
        <v>274</v>
      </c>
      <c r="S30" s="4" t="s">
        <v>275</v>
      </c>
      <c r="T30" s="4" t="s">
        <v>273</v>
      </c>
      <c r="U30" s="4" t="s">
        <v>275</v>
      </c>
      <c r="V30" s="4" t="s">
        <v>275</v>
      </c>
      <c r="W30" s="4" t="s">
        <v>203</v>
      </c>
      <c r="X30" s="4" t="s">
        <v>274</v>
      </c>
      <c r="Y30" s="4" t="s">
        <v>274</v>
      </c>
      <c r="Z30" s="4" t="s">
        <v>217</v>
      </c>
      <c r="AA30" s="4" t="s">
        <v>217</v>
      </c>
      <c r="AB30" s="4" t="s">
        <v>217</v>
      </c>
      <c r="AC30" s="4" t="s">
        <v>217</v>
      </c>
      <c r="AD30" s="4" t="s">
        <v>274</v>
      </c>
      <c r="AE30" s="4" t="s">
        <v>274</v>
      </c>
      <c r="AF30" s="4" t="s">
        <v>274</v>
      </c>
      <c r="AG30" s="4" t="s">
        <v>276</v>
      </c>
      <c r="AH30" s="4" t="s">
        <v>273</v>
      </c>
      <c r="AI30" s="4" t="s">
        <v>274</v>
      </c>
      <c r="AJ30" s="4" t="s">
        <v>274</v>
      </c>
      <c r="AK30" s="4" t="s">
        <v>274</v>
      </c>
      <c r="AL30" s="4" t="s">
        <v>274</v>
      </c>
      <c r="AM30" s="4" t="s">
        <v>274</v>
      </c>
      <c r="AN30" s="4" t="s">
        <v>274</v>
      </c>
      <c r="AO30" s="4" t="s">
        <v>274</v>
      </c>
      <c r="AP30" s="4" t="s">
        <v>274</v>
      </c>
      <c r="AQ30" s="4" t="s">
        <v>274</v>
      </c>
      <c r="AR30" s="4" t="s">
        <v>277</v>
      </c>
      <c r="AS30" s="4" t="s">
        <v>277</v>
      </c>
      <c r="AT30" s="4" t="s">
        <v>277</v>
      </c>
      <c r="AU30" s="4" t="s">
        <v>273</v>
      </c>
      <c r="AV30" s="4" t="s">
        <v>274</v>
      </c>
      <c r="AW30" s="4" t="s">
        <v>273</v>
      </c>
      <c r="AX30" s="4" t="s">
        <v>278</v>
      </c>
      <c r="AY30" s="4" t="s">
        <v>223</v>
      </c>
      <c r="AZ30" s="4" t="s">
        <v>279</v>
      </c>
      <c r="BA30" s="4" t="s">
        <v>279</v>
      </c>
      <c r="BB30" s="4" t="s">
        <v>279</v>
      </c>
      <c r="BC30" s="4" t="s">
        <v>280</v>
      </c>
      <c r="BD30" s="4" t="s">
        <v>281</v>
      </c>
      <c r="BE30" s="4" t="s">
        <v>273</v>
      </c>
      <c r="BF30" s="4" t="s">
        <v>273</v>
      </c>
      <c r="BG30" s="4" t="s">
        <v>273</v>
      </c>
      <c r="BH30" s="4" t="s">
        <v>282</v>
      </c>
      <c r="BI30" s="4" t="s">
        <v>283</v>
      </c>
      <c r="BJ30" s="4" t="s">
        <v>283</v>
      </c>
      <c r="BK30" s="4" t="s">
        <v>284</v>
      </c>
      <c r="BL30" s="4" t="s">
        <v>273</v>
      </c>
      <c r="BM30" s="4" t="s">
        <v>285</v>
      </c>
      <c r="BN30" s="4" t="s">
        <v>285</v>
      </c>
      <c r="BO30" s="4" t="s">
        <v>285</v>
      </c>
      <c r="BP30" s="4" t="s">
        <v>273</v>
      </c>
      <c r="BQ30" s="4" t="s">
        <v>279</v>
      </c>
      <c r="BR30" s="4" t="s">
        <v>273</v>
      </c>
      <c r="BS30" s="4" t="s">
        <v>279</v>
      </c>
      <c r="BT30" s="4" t="s">
        <v>285</v>
      </c>
      <c r="BU30" s="4" t="s">
        <v>273</v>
      </c>
      <c r="BV30" s="4" t="s">
        <v>273</v>
      </c>
      <c r="BW30" s="4" t="s">
        <v>273</v>
      </c>
      <c r="BX30" s="4" t="s">
        <v>279</v>
      </c>
      <c r="BY30" s="4" t="s">
        <v>286</v>
      </c>
      <c r="BZ30" s="4" t="s">
        <v>273</v>
      </c>
      <c r="CA30" s="4" t="s">
        <v>287</v>
      </c>
      <c r="CB30" s="4" t="s">
        <v>288</v>
      </c>
      <c r="CC30" s="4" t="s">
        <v>273</v>
      </c>
      <c r="CD30" s="4" t="s">
        <v>273</v>
      </c>
      <c r="CE30" s="4" t="s">
        <v>273</v>
      </c>
      <c r="CF30" s="4" t="s">
        <v>289</v>
      </c>
      <c r="CG30" s="4" t="s">
        <v>290</v>
      </c>
      <c r="CH30" s="4" t="s">
        <v>289</v>
      </c>
      <c r="CI30" s="4" t="s">
        <v>290</v>
      </c>
      <c r="CJ30" s="4" t="s">
        <v>279</v>
      </c>
      <c r="CK30" s="4" t="s">
        <v>234</v>
      </c>
      <c r="CL30" s="4" t="s">
        <v>234</v>
      </c>
      <c r="CM30" s="4" t="s">
        <v>231</v>
      </c>
      <c r="CN30" s="4" t="s">
        <v>279</v>
      </c>
      <c r="CO30" s="4" t="s">
        <v>279</v>
      </c>
      <c r="CP30" s="4" t="s">
        <v>291</v>
      </c>
      <c r="CQ30" s="4" t="s">
        <v>226</v>
      </c>
      <c r="CR30" s="4" t="s">
        <v>279</v>
      </c>
      <c r="CS30" s="4" t="s">
        <v>280</v>
      </c>
      <c r="CT30" s="4" t="s">
        <v>280</v>
      </c>
      <c r="CU30" s="4" t="s">
        <v>273</v>
      </c>
      <c r="CV30" s="4" t="s">
        <v>280</v>
      </c>
      <c r="CW30" s="4" t="s">
        <v>226</v>
      </c>
      <c r="CX30" s="4" t="s">
        <v>280</v>
      </c>
      <c r="CY30" s="4" t="s">
        <v>280</v>
      </c>
      <c r="CZ30" s="4" t="s">
        <v>280</v>
      </c>
      <c r="DA30" s="4" t="s">
        <v>273</v>
      </c>
      <c r="DB30" s="4" t="s">
        <v>273</v>
      </c>
      <c r="DC30" s="4" t="s">
        <v>273</v>
      </c>
      <c r="DD30" s="4" t="s">
        <v>273</v>
      </c>
      <c r="DE30" s="4" t="s">
        <v>274</v>
      </c>
      <c r="DF30" s="4" t="s">
        <v>273</v>
      </c>
      <c r="DG30" s="4" t="s">
        <v>273</v>
      </c>
      <c r="DH30" s="4" t="s">
        <v>273</v>
      </c>
      <c r="DI30" s="4" t="s">
        <v>218</v>
      </c>
      <c r="DJ30" s="4" t="s">
        <v>273</v>
      </c>
      <c r="DK30" s="4" t="s">
        <v>273</v>
      </c>
      <c r="DL30" s="4" t="s">
        <v>273</v>
      </c>
      <c r="DM30" s="4" t="s">
        <v>273</v>
      </c>
      <c r="DN30" s="4" t="s">
        <v>202</v>
      </c>
      <c r="DO30" s="4" t="s">
        <v>218</v>
      </c>
      <c r="DP30" s="4" t="s">
        <v>292</v>
      </c>
      <c r="DQ30" s="4" t="s">
        <v>280</v>
      </c>
      <c r="DR30" s="4" t="s">
        <v>236</v>
      </c>
      <c r="DS30" s="4" t="s">
        <v>289</v>
      </c>
      <c r="DT30" s="4" t="s">
        <v>273</v>
      </c>
      <c r="DU30" s="4" t="s">
        <v>236</v>
      </c>
      <c r="DV30" s="4" t="s">
        <v>273</v>
      </c>
      <c r="DW30" s="4" t="s">
        <v>236</v>
      </c>
      <c r="DX30" s="4" t="s">
        <v>236</v>
      </c>
      <c r="DY30" s="4" t="s">
        <v>273</v>
      </c>
      <c r="DZ30" s="4" t="s">
        <v>273</v>
      </c>
      <c r="EA30" s="4" t="s">
        <v>273</v>
      </c>
      <c r="EB30" s="4" t="s">
        <v>273</v>
      </c>
      <c r="EC30" s="4" t="s">
        <v>293</v>
      </c>
      <c r="ED30" s="4" t="s">
        <v>294</v>
      </c>
      <c r="EE30" s="4" t="s">
        <v>294</v>
      </c>
      <c r="EF30" s="4" t="s">
        <v>289</v>
      </c>
      <c r="EG30" s="4" t="s">
        <v>294</v>
      </c>
      <c r="EH30" s="4" t="s">
        <v>295</v>
      </c>
      <c r="EI30" s="4" t="s">
        <v>273</v>
      </c>
      <c r="EJ30" s="4" t="s">
        <v>273</v>
      </c>
      <c r="EK30" s="4" t="s">
        <v>273</v>
      </c>
      <c r="EL30" s="4" t="s">
        <v>273</v>
      </c>
      <c r="EM30" t="s">
        <v>296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5">
      <formula>EN12&lt;$EN$25</formula>
    </cfRule>
  </conditionalFormatting>
  <conditionalFormatting sqref="EO12:EO24">
    <cfRule type="expression" dxfId="4" priority="4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3" zoomScale="130" zoomScaleNormal="130" workbookViewId="0">
      <selection activeCell="EN17" sqref="EN1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297</v>
      </c>
      <c r="EN11" s="6" t="s">
        <v>298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0</v>
      </c>
      <c r="I12" s="10">
        <f>IF(預測IC!I12&gt;預測IC!I$25,1,0)</f>
        <v>1</v>
      </c>
      <c r="J12" s="10">
        <f>IF(預測IC!J12&gt;預測IC!J$25,1,0)</f>
        <v>0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1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0</v>
      </c>
      <c r="X12" s="10">
        <f>IF(預測IC!X12&gt;預測IC!X$25,1,0)</f>
        <v>0</v>
      </c>
      <c r="Y12" s="10">
        <f>IF(預測IC!Y12&gt;預測IC!Y$25,1,0)</f>
        <v>0</v>
      </c>
      <c r="Z12" s="10">
        <f>IF(預測IC!Z12&gt;預測IC!Z$25,1,0)</f>
        <v>1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1</v>
      </c>
      <c r="AG12" s="10">
        <f>IF(預測IC!AG12&gt;預測IC!AG$25,1,0)</f>
        <v>0</v>
      </c>
      <c r="AH12" s="10">
        <f>IF(預測IC!AH12&gt;預測IC!AH$25,1,0)</f>
        <v>1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1</v>
      </c>
      <c r="AO12" s="10">
        <f>IF(預測IC!AO12&gt;預測IC!AO$25,1,0)</f>
        <v>1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1</v>
      </c>
      <c r="AT12" s="10">
        <f>IF(預測IC!AT12&gt;預測IC!AT$25,1,0)</f>
        <v>1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0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1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0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1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0</v>
      </c>
      <c r="CP12" s="10">
        <f>IF(預測IC!CP12&gt;預測IC!CP$25,1,0)</f>
        <v>0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1</v>
      </c>
      <c r="CU12" s="10">
        <f>IF(預測IC!CU12&gt;預測IC!CU$25,1,0)</f>
        <v>1</v>
      </c>
      <c r="CV12" s="10">
        <f>IF(預測IC!CV12&gt;預測IC!CV$25,1,0)</f>
        <v>0</v>
      </c>
      <c r="CW12" s="10">
        <f>IF(預測IC!CW12&gt;預測IC!CW$25,1,0)</f>
        <v>0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1</v>
      </c>
      <c r="DN12" s="10">
        <f>IF(預測IC!DN12&gt;預測IC!DN$25,1,0)</f>
        <v>1</v>
      </c>
      <c r="DO12" s="10">
        <f>IF(預測IC!DO12&gt;預測IC!DO$25,1,0)</f>
        <v>0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0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1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67</v>
      </c>
      <c r="EN12" s="19">
        <f t="shared" ref="EN12:EN24" si="12">EM12/140</f>
        <v>0.47857142857142859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0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1</v>
      </c>
      <c r="S13" s="10">
        <f>IF(預測IC!S13&gt;預測IC!S$25,1,0)</f>
        <v>1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0</v>
      </c>
      <c r="X13" s="10">
        <f>IF(預測IC!X13&gt;預測IC!X$25,1,0)</f>
        <v>0</v>
      </c>
      <c r="Y13" s="10">
        <f>IF(預測IC!Y13&gt;預測IC!Y$25,1,0)</f>
        <v>0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1</v>
      </c>
      <c r="AG13" s="10">
        <f>IF(預測IC!AG13&gt;預測IC!AG$25,1,0)</f>
        <v>0</v>
      </c>
      <c r="AH13" s="10">
        <f>IF(預測IC!AH13&gt;預測IC!AH$25,1,0)</f>
        <v>1</v>
      </c>
      <c r="AI13" s="10">
        <f>IF(預測IC!AI13&gt;預測IC!AI$25,1,0)</f>
        <v>1</v>
      </c>
      <c r="AJ13" s="10">
        <f>IF(預測IC!AJ13&gt;預測IC!AJ$25,1,0)</f>
        <v>1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0</v>
      </c>
      <c r="AN13" s="10">
        <f>IF(預測IC!AN13&gt;預測IC!AN$25,1,0)</f>
        <v>1</v>
      </c>
      <c r="AO13" s="10">
        <f>IF(預測IC!AO13&gt;預測IC!AO$25,1,0)</f>
        <v>1</v>
      </c>
      <c r="AP13" s="10">
        <f>IF(預測IC!AP13&gt;預測IC!AP$25,1,0)</f>
        <v>0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0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1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1</v>
      </c>
      <c r="BQ13" s="10">
        <f>IF(預測IC!BQ13&gt;預測IC!BQ$25,1,0)</f>
        <v>1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0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1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0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0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0</v>
      </c>
      <c r="CW13" s="10">
        <f>IF(預測IC!CW13&gt;預測IC!CW$25,1,0)</f>
        <v>0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0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1</v>
      </c>
      <c r="DN13" s="10">
        <f>IF(預測IC!DN13&gt;預測IC!DN$25,1,0)</f>
        <v>1</v>
      </c>
      <c r="DO13" s="10">
        <f>IF(預測IC!DO13&gt;預測IC!DO$25,1,0)</f>
        <v>0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0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0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68</v>
      </c>
      <c r="EN13" s="19">
        <f t="shared" si="12"/>
        <v>0.48571428571428571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1</v>
      </c>
      <c r="D14" s="10">
        <f>IF(預測IC!D14&gt;預測IC!D$25,1,0)</f>
        <v>1</v>
      </c>
      <c r="E14" s="10">
        <f>IF(預測IC!E14&gt;預測IC!E$25,1,0)</f>
        <v>1</v>
      </c>
      <c r="F14" s="10">
        <f>IF(預測IC!F14&gt;預測IC!F$25,1,0)</f>
        <v>0</v>
      </c>
      <c r="G14" s="10">
        <f>IF(預測IC!G14&gt;預測IC!G$25,1,0)</f>
        <v>1</v>
      </c>
      <c r="H14" s="10">
        <f>IF(預測IC!H14&gt;預測IC!H$25,1,0)</f>
        <v>1</v>
      </c>
      <c r="I14" s="10">
        <f>IF(預測IC!I14&gt;預測IC!I$25,1,0)</f>
        <v>1</v>
      </c>
      <c r="J14" s="10">
        <f>IF(預測IC!J14&gt;預測IC!J$25,1,0)</f>
        <v>0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1</v>
      </c>
      <c r="R14" s="10">
        <f>IF(預測IC!R14&gt;預測IC!R$25,1,0)</f>
        <v>1</v>
      </c>
      <c r="S14" s="10">
        <f>IF(預測IC!S14&gt;預測IC!S$25,1,0)</f>
        <v>1</v>
      </c>
      <c r="T14" s="10">
        <f>IF(預測IC!T14&gt;預測IC!T$25,1,0)</f>
        <v>1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0</v>
      </c>
      <c r="X14" s="10">
        <f>IF(預測IC!X14&gt;預測IC!X$25,1,0)</f>
        <v>0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1</v>
      </c>
      <c r="AB14" s="10">
        <f>IF(預測IC!AB14&gt;預測IC!AB$25,1,0)</f>
        <v>1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1</v>
      </c>
      <c r="AJ14" s="10">
        <f>IF(預測IC!AJ14&gt;預測IC!AJ$25,1,0)</f>
        <v>1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0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1</v>
      </c>
      <c r="AT14" s="10">
        <f>IF(預測IC!AT14&gt;預測IC!AT$25,1,0)</f>
        <v>1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0</v>
      </c>
      <c r="AY14" s="10">
        <f>IF(預測IC!AY14&gt;預測IC!AY$25,1,0)</f>
        <v>0</v>
      </c>
      <c r="AZ14" s="10">
        <f>IF(預測IC!AZ14&gt;預測IC!AZ$25,1,0)</f>
        <v>1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0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0</v>
      </c>
      <c r="BN14" s="10">
        <f>IF(預測IC!BN14&gt;預測IC!BN$25,1,0)</f>
        <v>1</v>
      </c>
      <c r="BO14" s="10">
        <f>IF(預測IC!BO14&gt;預測IC!BO$25,1,0)</f>
        <v>1</v>
      </c>
      <c r="BP14" s="10">
        <f>IF(預測IC!BP14&gt;預測IC!BP$25,1,0)</f>
        <v>1</v>
      </c>
      <c r="BQ14" s="10">
        <f>IF(預測IC!BQ14&gt;預測IC!BQ$25,1,0)</f>
        <v>0</v>
      </c>
      <c r="BR14" s="10">
        <f>IF(預測IC!BR14&gt;預測IC!BR$25,1,0)</f>
        <v>1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1</v>
      </c>
      <c r="BW14" s="10">
        <f>IF(預測IC!BW14&gt;預測IC!BW$25,1,0)</f>
        <v>0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1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1</v>
      </c>
      <c r="CM14" s="10">
        <f>IF(預測IC!CM14&gt;預測IC!CM$25,1,0)</f>
        <v>0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0</v>
      </c>
      <c r="CU14" s="10">
        <f>IF(預測IC!CU14&gt;預測IC!CU$25,1,0)</f>
        <v>0</v>
      </c>
      <c r="CV14" s="10">
        <f>IF(預測IC!CV14&gt;預測IC!CV$25,1,0)</f>
        <v>0</v>
      </c>
      <c r="CW14" s="10">
        <f>IF(預測IC!CW14&gt;預測IC!CW$25,1,0)</f>
        <v>0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0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0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0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1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0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73</v>
      </c>
      <c r="EN14" s="19">
        <f t="shared" si="12"/>
        <v>0.52142857142857146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1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1</v>
      </c>
      <c r="H15" s="10">
        <f>IF(預測IC!H15&gt;預測IC!H$25,1,0)</f>
        <v>0</v>
      </c>
      <c r="I15" s="10">
        <f>IF(預測IC!I15&gt;預測IC!I$25,1,0)</f>
        <v>1</v>
      </c>
      <c r="J15" s="10">
        <f>IF(預測IC!J15&gt;預測IC!J$25,1,0)</f>
        <v>0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1</v>
      </c>
      <c r="N15" s="10">
        <f>IF(預測IC!N15&gt;預測IC!N$25,1,0)</f>
        <v>1</v>
      </c>
      <c r="O15" s="10">
        <f>IF(預測IC!O15&gt;預測IC!O$25,1,0)</f>
        <v>1</v>
      </c>
      <c r="P15" s="10">
        <f>IF(預測IC!P15&gt;預測IC!P$25,1,0)</f>
        <v>0</v>
      </c>
      <c r="Q15" s="10">
        <f>IF(預測IC!Q15&gt;預測IC!Q$25,1,0)</f>
        <v>1</v>
      </c>
      <c r="R15" s="10">
        <f>IF(預測IC!R15&gt;預測IC!R$25,1,0)</f>
        <v>1</v>
      </c>
      <c r="S15" s="10">
        <f>IF(預測IC!S15&gt;預測IC!S$25,1,0)</f>
        <v>1</v>
      </c>
      <c r="T15" s="10">
        <f>IF(預測IC!T15&gt;預測IC!T$25,1,0)</f>
        <v>1</v>
      </c>
      <c r="U15" s="10">
        <f>IF(預測IC!U15&gt;預測IC!U$25,1,0)</f>
        <v>1</v>
      </c>
      <c r="V15" s="10">
        <f>IF(預測IC!V15&gt;預測IC!V$25,1,0)</f>
        <v>0</v>
      </c>
      <c r="W15" s="10">
        <f>IF(預測IC!W15&gt;預測IC!W$25,1,0)</f>
        <v>0</v>
      </c>
      <c r="X15" s="10">
        <f>IF(預測IC!X15&gt;預測IC!X$25,1,0)</f>
        <v>0</v>
      </c>
      <c r="Y15" s="10">
        <f>IF(預測IC!Y15&gt;預測IC!Y$25,1,0)</f>
        <v>0</v>
      </c>
      <c r="Z15" s="10">
        <f>IF(預測IC!Z15&gt;預測IC!Z$25,1,0)</f>
        <v>1</v>
      </c>
      <c r="AA15" s="10">
        <f>IF(預測IC!AA15&gt;預測IC!AA$25,1,0)</f>
        <v>1</v>
      </c>
      <c r="AB15" s="10">
        <f>IF(預測IC!AB15&gt;預測IC!AB$25,1,0)</f>
        <v>1</v>
      </c>
      <c r="AC15" s="10">
        <f>IF(預測IC!AC15&gt;預測IC!AC$25,1,0)</f>
        <v>0</v>
      </c>
      <c r="AD15" s="10">
        <f>IF(預測IC!AD15&gt;預測IC!AD$25,1,0)</f>
        <v>0</v>
      </c>
      <c r="AE15" s="10">
        <f>IF(預測IC!AE15&gt;預測IC!AE$25,1,0)</f>
        <v>0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1</v>
      </c>
      <c r="AI15" s="10">
        <f>IF(預測IC!AI15&gt;預測IC!AI$25,1,0)</f>
        <v>1</v>
      </c>
      <c r="AJ15" s="10">
        <f>IF(預測IC!AJ15&gt;預測IC!AJ$25,1,0)</f>
        <v>1</v>
      </c>
      <c r="AK15" s="10">
        <f>IF(預測IC!AK15&gt;預測IC!AK$25,1,0)</f>
        <v>1</v>
      </c>
      <c r="AL15" s="10">
        <f>IF(預測IC!AL15&gt;預測IC!AL$25,1,0)</f>
        <v>0</v>
      </c>
      <c r="AM15" s="10">
        <f>IF(預測IC!AM15&gt;預測IC!AM$25,1,0)</f>
        <v>0</v>
      </c>
      <c r="AN15" s="10">
        <f>IF(預測IC!AN15&gt;預測IC!AN$25,1,0)</f>
        <v>1</v>
      </c>
      <c r="AO15" s="10">
        <f>IF(預測IC!AO15&gt;預測IC!AO$25,1,0)</f>
        <v>1</v>
      </c>
      <c r="AP15" s="10">
        <f>IF(預測IC!AP15&gt;預測IC!AP$25,1,0)</f>
        <v>0</v>
      </c>
      <c r="AQ15" s="10">
        <f>IF(預測IC!AQ15&gt;預測IC!AQ$25,1,0)</f>
        <v>0</v>
      </c>
      <c r="AR15" s="10">
        <f>IF(預測IC!AR15&gt;預測IC!AR$25,1,0)</f>
        <v>0</v>
      </c>
      <c r="AS15" s="10">
        <f>IF(預測IC!AS15&gt;預測IC!AS$25,1,0)</f>
        <v>0</v>
      </c>
      <c r="AT15" s="10">
        <f>IF(預測IC!AT15&gt;預測IC!AT$25,1,0)</f>
        <v>1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0</v>
      </c>
      <c r="AY15" s="10">
        <f>IF(預測IC!AY15&gt;預測IC!AY$25,1,0)</f>
        <v>0</v>
      </c>
      <c r="AZ15" s="10">
        <f>IF(預測IC!AZ15&gt;預測IC!AZ$25,1,0)</f>
        <v>1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1</v>
      </c>
      <c r="BE15" s="10">
        <f>IF(預測IC!BE15&gt;預測IC!BE$25,1,0)</f>
        <v>0</v>
      </c>
      <c r="BF15" s="10">
        <f>IF(預測IC!BF15&gt;預測IC!BF$25,1,0)</f>
        <v>0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1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0</v>
      </c>
      <c r="BR15" s="10">
        <f>IF(預測IC!BR15&gt;預測IC!BR$25,1,0)</f>
        <v>1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1</v>
      </c>
      <c r="BW15" s="10">
        <f>IF(預測IC!BW15&gt;預測IC!BW$25,1,0)</f>
        <v>0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1</v>
      </c>
      <c r="CA15" s="10">
        <f>IF(預測IC!CA15&gt;預測IC!CA$25,1,0)</f>
        <v>1</v>
      </c>
      <c r="CB15" s="10">
        <f>IF(預測IC!CB15&gt;預測IC!CB$25,1,0)</f>
        <v>1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1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0</v>
      </c>
      <c r="CL15" s="10">
        <f>IF(預測IC!CL15&gt;預測IC!CL$25,1,0)</f>
        <v>0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1</v>
      </c>
      <c r="CV15" s="10">
        <f>IF(預測IC!CV15&gt;預測IC!CV$25,1,0)</f>
        <v>0</v>
      </c>
      <c r="CW15" s="10">
        <f>IF(預測IC!CW15&gt;預測IC!CW$25,1,0)</f>
        <v>0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1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0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1</v>
      </c>
      <c r="DM15" s="10">
        <f>IF(預測IC!DM15&gt;預測IC!DM$25,1,0)</f>
        <v>1</v>
      </c>
      <c r="DN15" s="10">
        <f>IF(預測IC!DN15&gt;預測IC!DN$25,1,0)</f>
        <v>1</v>
      </c>
      <c r="DO15" s="10">
        <f>IF(預測IC!DO15&gt;預測IC!DO$25,1,0)</f>
        <v>0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0</v>
      </c>
      <c r="DW15" s="10">
        <f>IF(預測IC!DW15&gt;預測IC!DW$25,1,0)</f>
        <v>1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0</v>
      </c>
      <c r="EG15" s="10">
        <f>IF(預測IC!EG15&gt;預測IC!EG$25,1,0)</f>
        <v>1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71</v>
      </c>
      <c r="EN15" s="19">
        <f t="shared" si="12"/>
        <v>0.50714285714285712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1</v>
      </c>
      <c r="D16" s="10">
        <f>IF(預測IC!D16&gt;預測IC!D$25,1,0)</f>
        <v>1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1</v>
      </c>
      <c r="H16" s="10">
        <f>IF(預測IC!H16&gt;預測IC!H$25,1,0)</f>
        <v>0</v>
      </c>
      <c r="I16" s="10">
        <f>IF(預測IC!I16&gt;預測IC!I$25,1,0)</f>
        <v>1</v>
      </c>
      <c r="J16" s="10">
        <f>IF(預測IC!J16&gt;預測IC!J$25,1,0)</f>
        <v>0</v>
      </c>
      <c r="K16" s="10">
        <f>IF(預測IC!K16&gt;預測IC!K$25,1,0)</f>
        <v>1</v>
      </c>
      <c r="L16" s="10">
        <f>IF(預測IC!L16&gt;預測IC!L$25,1,0)</f>
        <v>0</v>
      </c>
      <c r="M16" s="10">
        <f>IF(預測IC!M16&gt;預測IC!M$25,1,0)</f>
        <v>1</v>
      </c>
      <c r="N16" s="10">
        <f>IF(預測IC!N16&gt;預測IC!N$25,1,0)</f>
        <v>1</v>
      </c>
      <c r="O16" s="10">
        <f>IF(預測IC!O16&gt;預測IC!O$25,1,0)</f>
        <v>1</v>
      </c>
      <c r="P16" s="10">
        <f>IF(預測IC!P16&gt;預測IC!P$25,1,0)</f>
        <v>0</v>
      </c>
      <c r="Q16" s="10">
        <f>IF(預測IC!Q16&gt;預測IC!Q$25,1,0)</f>
        <v>1</v>
      </c>
      <c r="R16" s="10">
        <f>IF(預測IC!R16&gt;預測IC!R$25,1,0)</f>
        <v>1</v>
      </c>
      <c r="S16" s="10">
        <f>IF(預測IC!S16&gt;預測IC!S$25,1,0)</f>
        <v>1</v>
      </c>
      <c r="T16" s="10">
        <f>IF(預測IC!T16&gt;預測IC!T$25,1,0)</f>
        <v>0</v>
      </c>
      <c r="U16" s="10">
        <f>IF(預測IC!U16&gt;預測IC!U$25,1,0)</f>
        <v>0</v>
      </c>
      <c r="V16" s="10">
        <f>IF(預測IC!V16&gt;預測IC!V$25,1,0)</f>
        <v>0</v>
      </c>
      <c r="W16" s="10">
        <f>IF(預測IC!W16&gt;預測IC!W$25,1,0)</f>
        <v>0</v>
      </c>
      <c r="X16" s="10">
        <f>IF(預測IC!X16&gt;預測IC!X$25,1,0)</f>
        <v>0</v>
      </c>
      <c r="Y16" s="10">
        <f>IF(預測IC!Y16&gt;預測IC!Y$25,1,0)</f>
        <v>0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1</v>
      </c>
      <c r="AC16" s="10">
        <f>IF(預測IC!AC16&gt;預測IC!AC$25,1,0)</f>
        <v>0</v>
      </c>
      <c r="AD16" s="10">
        <f>IF(預測IC!AD16&gt;預測IC!AD$25,1,0)</f>
        <v>0</v>
      </c>
      <c r="AE16" s="10">
        <f>IF(預測IC!AE16&gt;預測IC!AE$25,1,0)</f>
        <v>0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1</v>
      </c>
      <c r="AJ16" s="10">
        <f>IF(預測IC!AJ16&gt;預測IC!AJ$25,1,0)</f>
        <v>1</v>
      </c>
      <c r="AK16" s="10">
        <f>IF(預測IC!AK16&gt;預測IC!AK$25,1,0)</f>
        <v>1</v>
      </c>
      <c r="AL16" s="10">
        <f>IF(預測IC!AL16&gt;預測IC!AL$25,1,0)</f>
        <v>0</v>
      </c>
      <c r="AM16" s="10">
        <f>IF(預測IC!AM16&gt;預測IC!AM$25,1,0)</f>
        <v>0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0</v>
      </c>
      <c r="AQ16" s="10">
        <f>IF(預測IC!AQ16&gt;預測IC!AQ$25,1,0)</f>
        <v>0</v>
      </c>
      <c r="AR16" s="10">
        <f>IF(預測IC!AR16&gt;預測IC!AR$25,1,0)</f>
        <v>0</v>
      </c>
      <c r="AS16" s="10">
        <f>IF(預測IC!AS16&gt;預測IC!AS$25,1,0)</f>
        <v>0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0</v>
      </c>
      <c r="AY16" s="10">
        <f>IF(預測IC!AY16&gt;預測IC!AY$25,1,0)</f>
        <v>0</v>
      </c>
      <c r="AZ16" s="10">
        <f>IF(預測IC!AZ16&gt;預測IC!AZ$25,1,0)</f>
        <v>1</v>
      </c>
      <c r="BA16" s="10">
        <f>IF(預測IC!BA16&gt;預測IC!BA$25,1,0)</f>
        <v>1</v>
      </c>
      <c r="BB16" s="10">
        <f>IF(預測IC!BB16&gt;預測IC!BB$25,1,0)</f>
        <v>0</v>
      </c>
      <c r="BC16" s="10">
        <f>IF(預測IC!BC16&gt;預測IC!BC$25,1,0)</f>
        <v>1</v>
      </c>
      <c r="BD16" s="10">
        <f>IF(預測IC!BD16&gt;預測IC!BD$25,1,0)</f>
        <v>1</v>
      </c>
      <c r="BE16" s="10">
        <f>IF(預測IC!BE16&gt;預測IC!BE$25,1,0)</f>
        <v>0</v>
      </c>
      <c r="BF16" s="10">
        <f>IF(預測IC!BF16&gt;預測IC!BF$25,1,0)</f>
        <v>0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0</v>
      </c>
      <c r="BJ16" s="10">
        <f>IF(預測IC!BJ16&gt;預測IC!BJ$25,1,0)</f>
        <v>1</v>
      </c>
      <c r="BK16" s="10">
        <f>IF(預測IC!BK16&gt;預測IC!BK$25,1,0)</f>
        <v>1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0</v>
      </c>
      <c r="BR16" s="10">
        <f>IF(預測IC!BR16&gt;預測IC!BR$25,1,0)</f>
        <v>1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0</v>
      </c>
      <c r="BV16" s="10">
        <f>IF(預測IC!BV16&gt;預測IC!BV$25,1,0)</f>
        <v>1</v>
      </c>
      <c r="BW16" s="10">
        <f>IF(預測IC!BW16&gt;預測IC!BW$25,1,0)</f>
        <v>0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1</v>
      </c>
      <c r="CA16" s="10">
        <f>IF(預測IC!CA16&gt;預測IC!CA$25,1,0)</f>
        <v>1</v>
      </c>
      <c r="CB16" s="10">
        <f>IF(預測IC!CB16&gt;預測IC!CB$25,1,0)</f>
        <v>1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0</v>
      </c>
      <c r="CH16" s="10">
        <f>IF(預測IC!CH16&gt;預測IC!CH$25,1,0)</f>
        <v>1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0</v>
      </c>
      <c r="CL16" s="10">
        <f>IF(預測IC!CL16&gt;預測IC!CL$25,1,0)</f>
        <v>0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0</v>
      </c>
      <c r="CV16" s="10">
        <f>IF(預測IC!CV16&gt;預測IC!CV$25,1,0)</f>
        <v>0</v>
      </c>
      <c r="CW16" s="10">
        <f>IF(預測IC!CW16&gt;預測IC!CW$25,1,0)</f>
        <v>0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1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0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1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0</v>
      </c>
      <c r="DM16" s="10">
        <f>IF(預測IC!DM16&gt;預測IC!DM$25,1,0)</f>
        <v>1</v>
      </c>
      <c r="DN16" s="10">
        <f>IF(預測IC!DN16&gt;預測IC!DN$25,1,0)</f>
        <v>1</v>
      </c>
      <c r="DO16" s="10">
        <f>IF(預測IC!DO16&gt;預測IC!DO$25,1,0)</f>
        <v>0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0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0</v>
      </c>
      <c r="DW16" s="10">
        <f>IF(預測IC!DW16&gt;預測IC!DW$25,1,0)</f>
        <v>1</v>
      </c>
      <c r="DX16" s="10">
        <f>IF(預測IC!DX16&gt;預測IC!DX$25,1,0)</f>
        <v>1</v>
      </c>
      <c r="DY16" s="10">
        <f>IF(預測IC!DY16&gt;預測IC!DY$25,1,0)</f>
        <v>1</v>
      </c>
      <c r="DZ16" s="10">
        <f>IF(預測IC!DZ16&gt;預測IC!DZ$25,1,0)</f>
        <v>0</v>
      </c>
      <c r="EA16" s="10">
        <f>IF(預測IC!EA16&gt;預測IC!EA$25,1,0)</f>
        <v>0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0</v>
      </c>
      <c r="EG16" s="10">
        <f>IF(預測IC!EG16&gt;預測IC!EG$25,1,0)</f>
        <v>1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67</v>
      </c>
      <c r="EN16" s="19">
        <f t="shared" si="12"/>
        <v>0.47857142857142859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1</v>
      </c>
      <c r="D17" s="10">
        <f>IF(預測IC!D17&gt;預測IC!D$25,1,0)</f>
        <v>1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1</v>
      </c>
      <c r="H17" s="10">
        <f>IF(預測IC!H17&gt;預測IC!H$25,1,0)</f>
        <v>0</v>
      </c>
      <c r="I17" s="10">
        <f>IF(預測IC!I17&gt;預測IC!I$25,1,0)</f>
        <v>1</v>
      </c>
      <c r="J17" s="10">
        <f>IF(預測IC!J17&gt;預測IC!J$25,1,0)</f>
        <v>0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1</v>
      </c>
      <c r="N17" s="10">
        <f>IF(預測IC!N17&gt;預測IC!N$25,1,0)</f>
        <v>1</v>
      </c>
      <c r="O17" s="10">
        <f>IF(預測IC!O17&gt;預測IC!O$25,1,0)</f>
        <v>1</v>
      </c>
      <c r="P17" s="10">
        <f>IF(預測IC!P17&gt;預測IC!P$25,1,0)</f>
        <v>0</v>
      </c>
      <c r="Q17" s="10">
        <f>IF(預測IC!Q17&gt;預測IC!Q$25,1,0)</f>
        <v>1</v>
      </c>
      <c r="R17" s="10">
        <f>IF(預測IC!R17&gt;預測IC!R$25,1,0)</f>
        <v>1</v>
      </c>
      <c r="S17" s="10">
        <f>IF(預測IC!S17&gt;預測IC!S$25,1,0)</f>
        <v>1</v>
      </c>
      <c r="T17" s="10">
        <f>IF(預測IC!T17&gt;預測IC!T$25,1,0)</f>
        <v>0</v>
      </c>
      <c r="U17" s="10">
        <f>IF(預測IC!U17&gt;預測IC!U$25,1,0)</f>
        <v>0</v>
      </c>
      <c r="V17" s="10">
        <f>IF(預測IC!V17&gt;預測IC!V$25,1,0)</f>
        <v>0</v>
      </c>
      <c r="W17" s="10">
        <f>IF(預測IC!W17&gt;預測IC!W$25,1,0)</f>
        <v>0</v>
      </c>
      <c r="X17" s="10">
        <f>IF(預測IC!X17&gt;預測IC!X$25,1,0)</f>
        <v>0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1</v>
      </c>
      <c r="AB17" s="10">
        <f>IF(預測IC!AB17&gt;預測IC!AB$25,1,0)</f>
        <v>1</v>
      </c>
      <c r="AC17" s="10">
        <f>IF(預測IC!AC17&gt;預測IC!AC$25,1,0)</f>
        <v>0</v>
      </c>
      <c r="AD17" s="10">
        <f>IF(預測IC!AD17&gt;預測IC!AD$25,1,0)</f>
        <v>0</v>
      </c>
      <c r="AE17" s="10">
        <f>IF(預測IC!AE17&gt;預測IC!AE$25,1,0)</f>
        <v>0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1</v>
      </c>
      <c r="AI17" s="10">
        <f>IF(預測IC!AI17&gt;預測IC!AI$25,1,0)</f>
        <v>1</v>
      </c>
      <c r="AJ17" s="10">
        <f>IF(預測IC!AJ17&gt;預測IC!AJ$25,1,0)</f>
        <v>1</v>
      </c>
      <c r="AK17" s="10">
        <f>IF(預測IC!AK17&gt;預測IC!AK$25,1,0)</f>
        <v>1</v>
      </c>
      <c r="AL17" s="10">
        <f>IF(預測IC!AL17&gt;預測IC!AL$25,1,0)</f>
        <v>0</v>
      </c>
      <c r="AM17" s="10">
        <f>IF(預測IC!AM17&gt;預測IC!AM$25,1,0)</f>
        <v>0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0</v>
      </c>
      <c r="AQ17" s="10">
        <f>IF(預測IC!AQ17&gt;預測IC!AQ$25,1,0)</f>
        <v>0</v>
      </c>
      <c r="AR17" s="10">
        <f>IF(預測IC!AR17&gt;預測IC!AR$25,1,0)</f>
        <v>0</v>
      </c>
      <c r="AS17" s="10">
        <f>IF(預測IC!AS17&gt;預測IC!AS$25,1,0)</f>
        <v>0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0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0</v>
      </c>
      <c r="BC17" s="10">
        <f>IF(預測IC!BC17&gt;預測IC!BC$25,1,0)</f>
        <v>1</v>
      </c>
      <c r="BD17" s="10">
        <f>IF(預測IC!BD17&gt;預測IC!BD$25,1,0)</f>
        <v>1</v>
      </c>
      <c r="BE17" s="10">
        <f>IF(預測IC!BE17&gt;預測IC!BE$25,1,0)</f>
        <v>0</v>
      </c>
      <c r="BF17" s="10">
        <f>IF(預測IC!BF17&gt;預測IC!BF$25,1,0)</f>
        <v>0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1</v>
      </c>
      <c r="BK17" s="10">
        <f>IF(預測IC!BK17&gt;預測IC!BK$25,1,0)</f>
        <v>1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0</v>
      </c>
      <c r="BR17" s="10">
        <f>IF(預測IC!BR17&gt;預測IC!BR$25,1,0)</f>
        <v>1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0</v>
      </c>
      <c r="BV17" s="10">
        <f>IF(預測IC!BV17&gt;預測IC!BV$25,1,0)</f>
        <v>1</v>
      </c>
      <c r="BW17" s="10">
        <f>IF(預測IC!BW17&gt;預測IC!BW$25,1,0)</f>
        <v>0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1</v>
      </c>
      <c r="CA17" s="10">
        <f>IF(預測IC!CA17&gt;預測IC!CA$25,1,0)</f>
        <v>1</v>
      </c>
      <c r="CB17" s="10">
        <f>IF(預測IC!CB17&gt;預測IC!CB$25,1,0)</f>
        <v>1</v>
      </c>
      <c r="CC17" s="10">
        <f>IF(預測IC!CC17&gt;預測IC!CC$25,1,0)</f>
        <v>1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0</v>
      </c>
      <c r="CH17" s="10">
        <f>IF(預測IC!CH17&gt;預測IC!CH$25,1,0)</f>
        <v>1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0</v>
      </c>
      <c r="CL17" s="10">
        <f>IF(預測IC!CL17&gt;預測IC!CL$25,1,0)</f>
        <v>0</v>
      </c>
      <c r="CM17" s="10">
        <f>IF(預測IC!CM17&gt;預測IC!CM$25,1,0)</f>
        <v>1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1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0</v>
      </c>
      <c r="CV17" s="10">
        <f>IF(預測IC!CV17&gt;預測IC!CV$25,1,0)</f>
        <v>0</v>
      </c>
      <c r="CW17" s="10">
        <f>IF(預測IC!CW17&gt;預測IC!CW$25,1,0)</f>
        <v>0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1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1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0</v>
      </c>
      <c r="DM17" s="10">
        <f>IF(預測IC!DM17&gt;預測IC!DM$25,1,0)</f>
        <v>1</v>
      </c>
      <c r="DN17" s="10">
        <f>IF(預測IC!DN17&gt;預測IC!DN$25,1,0)</f>
        <v>1</v>
      </c>
      <c r="DO17" s="10">
        <f>IF(預測IC!DO17&gt;預測IC!DO$25,1,0)</f>
        <v>0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0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0</v>
      </c>
      <c r="DW17" s="10">
        <f>IF(預測IC!DW17&gt;預測IC!DW$25,1,0)</f>
        <v>1</v>
      </c>
      <c r="DX17" s="10">
        <f>IF(預測IC!DX17&gt;預測IC!DX$25,1,0)</f>
        <v>1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0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0</v>
      </c>
      <c r="EG17" s="10">
        <f>IF(預測IC!EG17&gt;預測IC!EG$25,1,0)</f>
        <v>1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69</v>
      </c>
      <c r="EN17" s="19">
        <f t="shared" si="12"/>
        <v>0.49285714285714288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1</v>
      </c>
      <c r="D18" s="10">
        <f>IF(預測IC!D18&gt;預測IC!D$25,1,0)</f>
        <v>1</v>
      </c>
      <c r="E18" s="10">
        <f>IF(預測IC!E18&gt;預測IC!E$25,1,0)</f>
        <v>1</v>
      </c>
      <c r="F18" s="10">
        <f>IF(預測IC!F18&gt;預測IC!F$25,1,0)</f>
        <v>1</v>
      </c>
      <c r="G18" s="10">
        <f>IF(預測IC!G18&gt;預測IC!G$25,1,0)</f>
        <v>1</v>
      </c>
      <c r="H18" s="10">
        <f>IF(預測IC!H18&gt;預測IC!H$25,1,0)</f>
        <v>0</v>
      </c>
      <c r="I18" s="10">
        <f>IF(預測IC!I18&gt;預測IC!I$25,1,0)</f>
        <v>1</v>
      </c>
      <c r="J18" s="10">
        <f>IF(預測IC!J18&gt;預測IC!J$25,1,0)</f>
        <v>0</v>
      </c>
      <c r="K18" s="10">
        <f>IF(預測IC!K18&gt;預測IC!K$25,1,0)</f>
        <v>1</v>
      </c>
      <c r="L18" s="10">
        <f>IF(預測IC!L18&gt;預測IC!L$25,1,0)</f>
        <v>0</v>
      </c>
      <c r="M18" s="10">
        <f>IF(預測IC!M18&gt;預測IC!M$25,1,0)</f>
        <v>1</v>
      </c>
      <c r="N18" s="10">
        <f>IF(預測IC!N18&gt;預測IC!N$25,1,0)</f>
        <v>1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1</v>
      </c>
      <c r="R18" s="10">
        <f>IF(預測IC!R18&gt;預測IC!R$25,1,0)</f>
        <v>1</v>
      </c>
      <c r="S18" s="10">
        <f>IF(預測IC!S18&gt;預測IC!S$25,1,0)</f>
        <v>1</v>
      </c>
      <c r="T18" s="10">
        <f>IF(預測IC!T18&gt;預測IC!T$25,1,0)</f>
        <v>1</v>
      </c>
      <c r="U18" s="10">
        <f>IF(預測IC!U18&gt;預測IC!U$25,1,0)</f>
        <v>0</v>
      </c>
      <c r="V18" s="10">
        <f>IF(預測IC!V18&gt;預測IC!V$25,1,0)</f>
        <v>0</v>
      </c>
      <c r="W18" s="10">
        <f>IF(預測IC!W18&gt;預測IC!W$25,1,0)</f>
        <v>0</v>
      </c>
      <c r="X18" s="10">
        <f>IF(預測IC!X18&gt;預測IC!X$25,1,0)</f>
        <v>0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1</v>
      </c>
      <c r="AB18" s="10">
        <f>IF(預測IC!AB18&gt;預測IC!AB$25,1,0)</f>
        <v>1</v>
      </c>
      <c r="AC18" s="10">
        <f>IF(預測IC!AC18&gt;預測IC!AC$25,1,0)</f>
        <v>0</v>
      </c>
      <c r="AD18" s="10">
        <f>IF(預測IC!AD18&gt;預測IC!AD$25,1,0)</f>
        <v>0</v>
      </c>
      <c r="AE18" s="10">
        <f>IF(預測IC!AE18&gt;預測IC!AE$25,1,0)</f>
        <v>0</v>
      </c>
      <c r="AF18" s="10">
        <f>IF(預測IC!AF18&gt;預測IC!AF$25,1,0)</f>
        <v>0</v>
      </c>
      <c r="AG18" s="10">
        <f>IF(預測IC!AG18&gt;預測IC!AG$25,1,0)</f>
        <v>0</v>
      </c>
      <c r="AH18" s="10">
        <f>IF(預測IC!AH18&gt;預測IC!AH$25,1,0)</f>
        <v>1</v>
      </c>
      <c r="AI18" s="10">
        <f>IF(預測IC!AI18&gt;預測IC!AI$25,1,0)</f>
        <v>1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0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0</v>
      </c>
      <c r="AP18" s="10">
        <f>IF(預測IC!AP18&gt;預測IC!AP$25,1,0)</f>
        <v>0</v>
      </c>
      <c r="AQ18" s="10">
        <f>IF(預測IC!AQ18&gt;預測IC!AQ$25,1,0)</f>
        <v>1</v>
      </c>
      <c r="AR18" s="10">
        <f>IF(預測IC!AR18&gt;預測IC!AR$25,1,0)</f>
        <v>0</v>
      </c>
      <c r="AS18" s="10">
        <f>IF(預測IC!AS18&gt;預測IC!AS$25,1,0)</f>
        <v>0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0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0</v>
      </c>
      <c r="BC18" s="10">
        <f>IF(預測IC!BC18&gt;預測IC!BC$25,1,0)</f>
        <v>1</v>
      </c>
      <c r="BD18" s="10">
        <f>IF(預測IC!BD18&gt;預測IC!BD$25,1,0)</f>
        <v>1</v>
      </c>
      <c r="BE18" s="10">
        <f>IF(預測IC!BE18&gt;預測IC!BE$25,1,0)</f>
        <v>0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0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0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0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0</v>
      </c>
      <c r="BU18" s="10">
        <f>IF(預測IC!BU18&gt;預測IC!BU$25,1,0)</f>
        <v>0</v>
      </c>
      <c r="BV18" s="10">
        <f>IF(預測IC!BV18&gt;預測IC!BV$25,1,0)</f>
        <v>1</v>
      </c>
      <c r="BW18" s="10">
        <f>IF(預測IC!BW18&gt;預測IC!BW$25,1,0)</f>
        <v>0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1</v>
      </c>
      <c r="CA18" s="10">
        <f>IF(預測IC!CA18&gt;預測IC!CA$25,1,0)</f>
        <v>1</v>
      </c>
      <c r="CB18" s="10">
        <f>IF(預測IC!CB18&gt;預測IC!CB$25,1,0)</f>
        <v>1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0</v>
      </c>
      <c r="CH18" s="10">
        <f>IF(預測IC!CH18&gt;預測IC!CH$25,1,0)</f>
        <v>0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0</v>
      </c>
      <c r="CL18" s="10">
        <f>IF(預測IC!CL18&gt;預測IC!CL$25,1,0)</f>
        <v>0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0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0</v>
      </c>
      <c r="CV18" s="10">
        <f>IF(預測IC!CV18&gt;預測IC!CV$25,1,0)</f>
        <v>0</v>
      </c>
      <c r="CW18" s="10">
        <f>IF(預測IC!CW18&gt;預測IC!CW$25,1,0)</f>
        <v>1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1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0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1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0</v>
      </c>
      <c r="DM18" s="10">
        <f>IF(預測IC!DM18&gt;預測IC!DM$25,1,0)</f>
        <v>1</v>
      </c>
      <c r="DN18" s="10">
        <f>IF(預測IC!DN18&gt;預測IC!DN$25,1,0)</f>
        <v>1</v>
      </c>
      <c r="DO18" s="10">
        <f>IF(預測IC!DO18&gt;預測IC!DO$25,1,0)</f>
        <v>0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0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0</v>
      </c>
      <c r="DW18" s="10">
        <f>IF(預測IC!DW18&gt;預測IC!DW$25,1,0)</f>
        <v>0</v>
      </c>
      <c r="DX18" s="10">
        <f>IF(預測IC!DX18&gt;預測IC!DX$25,1,0)</f>
        <v>1</v>
      </c>
      <c r="DY18" s="10">
        <f>IF(預測IC!DY18&gt;預測IC!DY$25,1,0)</f>
        <v>1</v>
      </c>
      <c r="DZ18" s="10">
        <f>IF(預測IC!DZ18&gt;預測IC!DZ$25,1,0)</f>
        <v>0</v>
      </c>
      <c r="EA18" s="10">
        <f>IF(預測IC!EA18&gt;預測IC!EA$25,1,0)</f>
        <v>0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0</v>
      </c>
      <c r="EG18" s="10">
        <f>IF(預測IC!EG18&gt;預測IC!EG$25,1,0)</f>
        <v>1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1</v>
      </c>
      <c r="EL18" s="10">
        <f>IF(預測IC!EL18&gt;預測IC!EL$25,1,0)</f>
        <v>0</v>
      </c>
      <c r="EM18" s="6">
        <f t="shared" si="11"/>
        <v>69</v>
      </c>
      <c r="EN18" s="19">
        <f t="shared" si="12"/>
        <v>0.49285714285714288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1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1</v>
      </c>
      <c r="G19" s="10">
        <f>IF(預測IC!G19&gt;預測IC!G$25,1,0)</f>
        <v>1</v>
      </c>
      <c r="H19" s="10">
        <f>IF(預測IC!H19&gt;預測IC!H$25,1,0)</f>
        <v>0</v>
      </c>
      <c r="I19" s="10">
        <f>IF(預測IC!I19&gt;預測IC!I$25,1,0)</f>
        <v>1</v>
      </c>
      <c r="J19" s="10">
        <f>IF(預測IC!J19&gt;預測IC!J$25,1,0)</f>
        <v>1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1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1</v>
      </c>
      <c r="R19" s="10">
        <f>IF(預測IC!R19&gt;預測IC!R$25,1,0)</f>
        <v>1</v>
      </c>
      <c r="S19" s="10">
        <f>IF(預測IC!S19&gt;預測IC!S$25,1,0)</f>
        <v>1</v>
      </c>
      <c r="T19" s="10">
        <f>IF(預測IC!T19&gt;預測IC!T$25,1,0)</f>
        <v>1</v>
      </c>
      <c r="U19" s="10">
        <f>IF(預測IC!U19&gt;預測IC!U$25,1,0)</f>
        <v>0</v>
      </c>
      <c r="V19" s="10">
        <f>IF(預測IC!V19&gt;預測IC!V$25,1,0)</f>
        <v>0</v>
      </c>
      <c r="W19" s="10">
        <f>IF(預測IC!W19&gt;預測IC!W$25,1,0)</f>
        <v>1</v>
      </c>
      <c r="X19" s="10">
        <f>IF(預測IC!X19&gt;預測IC!X$25,1,0)</f>
        <v>0</v>
      </c>
      <c r="Y19" s="10">
        <f>IF(預測IC!Y19&gt;預測IC!Y$25,1,0)</f>
        <v>1</v>
      </c>
      <c r="Z19" s="10">
        <f>IF(預測IC!Z19&gt;預測IC!Z$25,1,0)</f>
        <v>1</v>
      </c>
      <c r="AA19" s="10">
        <f>IF(預測IC!AA19&gt;預測IC!AA$25,1,0)</f>
        <v>1</v>
      </c>
      <c r="AB19" s="10">
        <f>IF(預測IC!AB19&gt;預測IC!AB$25,1,0)</f>
        <v>1</v>
      </c>
      <c r="AC19" s="10">
        <f>IF(預測IC!AC19&gt;預測IC!AC$25,1,0)</f>
        <v>0</v>
      </c>
      <c r="AD19" s="10">
        <f>IF(預測IC!AD19&gt;預測IC!AD$25,1,0)</f>
        <v>0</v>
      </c>
      <c r="AE19" s="10">
        <f>IF(預測IC!AE19&gt;預測IC!AE$25,1,0)</f>
        <v>0</v>
      </c>
      <c r="AF19" s="10">
        <f>IF(預測IC!AF19&gt;預測IC!AF$25,1,0)</f>
        <v>0</v>
      </c>
      <c r="AG19" s="10">
        <f>IF(預測IC!AG19&gt;預測IC!AG$25,1,0)</f>
        <v>0</v>
      </c>
      <c r="AH19" s="10">
        <f>IF(預測IC!AH19&gt;預測IC!AH$25,1,0)</f>
        <v>0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0</v>
      </c>
      <c r="AL19" s="10">
        <f>IF(預測IC!AL19&gt;預測IC!AL$25,1,0)</f>
        <v>1</v>
      </c>
      <c r="AM19" s="10">
        <f>IF(預測IC!AM19&gt;預測IC!AM$25,1,0)</f>
        <v>0</v>
      </c>
      <c r="AN19" s="10">
        <f>IF(預測IC!AN19&gt;預測IC!AN$25,1,0)</f>
        <v>1</v>
      </c>
      <c r="AO19" s="10">
        <f>IF(預測IC!AO19&gt;預測IC!AO$25,1,0)</f>
        <v>0</v>
      </c>
      <c r="AP19" s="10">
        <f>IF(預測IC!AP19&gt;預測IC!AP$25,1,0)</f>
        <v>0</v>
      </c>
      <c r="AQ19" s="10">
        <f>IF(預測IC!AQ19&gt;預測IC!AQ$25,1,0)</f>
        <v>1</v>
      </c>
      <c r="AR19" s="10">
        <f>IF(預測IC!AR19&gt;預測IC!AR$25,1,0)</f>
        <v>0</v>
      </c>
      <c r="AS19" s="10">
        <f>IF(預測IC!AS19&gt;預測IC!AS$25,1,0)</f>
        <v>0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0</v>
      </c>
      <c r="AY19" s="10">
        <f>IF(預測IC!AY19&gt;預測IC!AY$25,1,0)</f>
        <v>1</v>
      </c>
      <c r="AZ19" s="10">
        <f>IF(預測IC!AZ19&gt;預測IC!AZ$25,1,0)</f>
        <v>1</v>
      </c>
      <c r="BA19" s="10">
        <f>IF(預測IC!BA19&gt;預測IC!BA$25,1,0)</f>
        <v>1</v>
      </c>
      <c r="BB19" s="10">
        <f>IF(預測IC!BB19&gt;預測IC!BB$25,1,0)</f>
        <v>0</v>
      </c>
      <c r="BC19" s="10">
        <f>IF(預測IC!BC19&gt;預測IC!BC$25,1,0)</f>
        <v>1</v>
      </c>
      <c r="BD19" s="10">
        <f>IF(預測IC!BD19&gt;預測IC!BD$25,1,0)</f>
        <v>1</v>
      </c>
      <c r="BE19" s="10">
        <f>IF(預測IC!BE19&gt;預測IC!BE$25,1,0)</f>
        <v>0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0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0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0</v>
      </c>
      <c r="BV19" s="10">
        <f>IF(預測IC!BV19&gt;預測IC!BV$25,1,0)</f>
        <v>0</v>
      </c>
      <c r="BW19" s="10">
        <f>IF(預測IC!BW19&gt;預測IC!BW$25,1,0)</f>
        <v>0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1</v>
      </c>
      <c r="CA19" s="10">
        <f>IF(預測IC!CA19&gt;預測IC!CA$25,1,0)</f>
        <v>1</v>
      </c>
      <c r="CB19" s="10">
        <f>IF(預測IC!CB19&gt;預測IC!CB$25,1,0)</f>
        <v>1</v>
      </c>
      <c r="CC19" s="10">
        <f>IF(預測IC!CC19&gt;預測IC!CC$25,1,0)</f>
        <v>0</v>
      </c>
      <c r="CD19" s="10">
        <f>IF(預測IC!CD19&gt;預測IC!CD$25,1,0)</f>
        <v>0</v>
      </c>
      <c r="CE19" s="10">
        <f>IF(預測IC!CE19&gt;預測IC!CE$25,1,0)</f>
        <v>1</v>
      </c>
      <c r="CF19" s="10">
        <f>IF(預測IC!CF19&gt;預測IC!CF$25,1,0)</f>
        <v>0</v>
      </c>
      <c r="CG19" s="10">
        <f>IF(預測IC!CG19&gt;預測IC!CG$25,1,0)</f>
        <v>0</v>
      </c>
      <c r="CH19" s="10">
        <f>IF(預測IC!CH19&gt;預測IC!CH$25,1,0)</f>
        <v>0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0</v>
      </c>
      <c r="CL19" s="10">
        <f>IF(預測IC!CL19&gt;預測IC!CL$25,1,0)</f>
        <v>0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1</v>
      </c>
      <c r="CR19" s="10">
        <f>IF(預測IC!CR19&gt;預測IC!CR$25,1,0)</f>
        <v>1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0</v>
      </c>
      <c r="CV19" s="10">
        <f>IF(預測IC!CV19&gt;預測IC!CV$25,1,0)</f>
        <v>0</v>
      </c>
      <c r="CW19" s="10">
        <f>IF(預測IC!CW19&gt;預測IC!CW$25,1,0)</f>
        <v>1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1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1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0</v>
      </c>
      <c r="DM19" s="10">
        <f>IF(預測IC!DM19&gt;預測IC!DM$25,1,0)</f>
        <v>1</v>
      </c>
      <c r="DN19" s="10">
        <f>IF(預測IC!DN19&gt;預測IC!DN$25,1,0)</f>
        <v>1</v>
      </c>
      <c r="DO19" s="10">
        <f>IF(預測IC!DO19&gt;預測IC!DO$25,1,0)</f>
        <v>0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0</v>
      </c>
      <c r="DW19" s="10">
        <f>IF(預測IC!DW19&gt;預測IC!DW$25,1,0)</f>
        <v>1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1</v>
      </c>
      <c r="EA19" s="10">
        <f>IF(預測IC!EA19&gt;預測IC!EA$25,1,0)</f>
        <v>0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0</v>
      </c>
      <c r="EG19" s="10">
        <f>IF(預測IC!EG19&gt;預測IC!EG$25,1,0)</f>
        <v>1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1</v>
      </c>
      <c r="EL19" s="10">
        <f>IF(預測IC!EL19&gt;預測IC!EL$25,1,0)</f>
        <v>0</v>
      </c>
      <c r="EM19" s="6">
        <f t="shared" si="11"/>
        <v>71</v>
      </c>
      <c r="EN19" s="19">
        <f t="shared" si="12"/>
        <v>0.50714285714285712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1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1</v>
      </c>
      <c r="G20" s="10">
        <f>IF(預測IC!G20&gt;預測IC!G$25,1,0)</f>
        <v>1</v>
      </c>
      <c r="H20" s="10">
        <f>IF(預測IC!H20&gt;預測IC!H$25,1,0)</f>
        <v>0</v>
      </c>
      <c r="I20" s="10">
        <f>IF(預測IC!I20&gt;預測IC!I$25,1,0)</f>
        <v>1</v>
      </c>
      <c r="J20" s="10">
        <f>IF(預測IC!J20&gt;預測IC!J$25,1,0)</f>
        <v>0</v>
      </c>
      <c r="K20" s="10">
        <f>IF(預測IC!K20&gt;預測IC!K$25,1,0)</f>
        <v>1</v>
      </c>
      <c r="L20" s="10">
        <f>IF(預測IC!L20&gt;預測IC!L$25,1,0)</f>
        <v>0</v>
      </c>
      <c r="M20" s="10">
        <f>IF(預測IC!M20&gt;預測IC!M$25,1,0)</f>
        <v>0</v>
      </c>
      <c r="N20" s="10">
        <f>IF(預測IC!N20&gt;預測IC!N$25,1,0)</f>
        <v>1</v>
      </c>
      <c r="O20" s="10">
        <f>IF(預測IC!O20&gt;預測IC!O$25,1,0)</f>
        <v>1</v>
      </c>
      <c r="P20" s="10">
        <f>IF(預測IC!P20&gt;預測IC!P$25,1,0)</f>
        <v>1</v>
      </c>
      <c r="Q20" s="10">
        <f>IF(預測IC!Q20&gt;預測IC!Q$25,1,0)</f>
        <v>0</v>
      </c>
      <c r="R20" s="10">
        <f>IF(預測IC!R20&gt;預測IC!R$25,1,0)</f>
        <v>1</v>
      </c>
      <c r="S20" s="10">
        <f>IF(預測IC!S20&gt;預測IC!S$25,1,0)</f>
        <v>1</v>
      </c>
      <c r="T20" s="10">
        <f>IF(預測IC!T20&gt;預測IC!T$25,1,0)</f>
        <v>1</v>
      </c>
      <c r="U20" s="10">
        <f>IF(預測IC!U20&gt;預測IC!U$25,1,0)</f>
        <v>0</v>
      </c>
      <c r="V20" s="10">
        <f>IF(預測IC!V20&gt;預測IC!V$25,1,0)</f>
        <v>0</v>
      </c>
      <c r="W20" s="10">
        <f>IF(預測IC!W20&gt;預測IC!W$25,1,0)</f>
        <v>1</v>
      </c>
      <c r="X20" s="10">
        <f>IF(預測IC!X20&gt;預測IC!X$25,1,0)</f>
        <v>0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1</v>
      </c>
      <c r="AB20" s="10">
        <f>IF(預測IC!AB20&gt;預測IC!AB$25,1,0)</f>
        <v>1</v>
      </c>
      <c r="AC20" s="10">
        <f>IF(預測IC!AC20&gt;預測IC!AC$25,1,0)</f>
        <v>0</v>
      </c>
      <c r="AD20" s="10">
        <f>IF(預測IC!AD20&gt;預測IC!AD$25,1,0)</f>
        <v>0</v>
      </c>
      <c r="AE20" s="10">
        <f>IF(預測IC!AE20&gt;預測IC!AE$25,1,0)</f>
        <v>0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1</v>
      </c>
      <c r="AI20" s="10">
        <f>IF(預測IC!AI20&gt;預測IC!AI$25,1,0)</f>
        <v>0</v>
      </c>
      <c r="AJ20" s="10">
        <f>IF(預測IC!AJ20&gt;預測IC!AJ$25,1,0)</f>
        <v>0</v>
      </c>
      <c r="AK20" s="10">
        <f>IF(預測IC!AK20&gt;預測IC!AK$25,1,0)</f>
        <v>0</v>
      </c>
      <c r="AL20" s="10">
        <f>IF(預測IC!AL20&gt;預測IC!AL$25,1,0)</f>
        <v>1</v>
      </c>
      <c r="AM20" s="10">
        <f>IF(預測IC!AM20&gt;預測IC!AM$25,1,0)</f>
        <v>0</v>
      </c>
      <c r="AN20" s="10">
        <f>IF(預測IC!AN20&gt;預測IC!AN$25,1,0)</f>
        <v>1</v>
      </c>
      <c r="AO20" s="10">
        <f>IF(預測IC!AO20&gt;預測IC!AO$25,1,0)</f>
        <v>0</v>
      </c>
      <c r="AP20" s="10">
        <f>IF(預測IC!AP20&gt;預測IC!AP$25,1,0)</f>
        <v>0</v>
      </c>
      <c r="AQ20" s="10">
        <f>IF(預測IC!AQ20&gt;預測IC!AQ$25,1,0)</f>
        <v>1</v>
      </c>
      <c r="AR20" s="10">
        <f>IF(預測IC!AR20&gt;預測IC!AR$25,1,0)</f>
        <v>0</v>
      </c>
      <c r="AS20" s="10">
        <f>IF(預測IC!AS20&gt;預測IC!AS$25,1,0)</f>
        <v>0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0</v>
      </c>
      <c r="AY20" s="10">
        <f>IF(預測IC!AY20&gt;預測IC!AY$25,1,0)</f>
        <v>1</v>
      </c>
      <c r="AZ20" s="10">
        <f>IF(預測IC!AZ20&gt;預測IC!AZ$25,1,0)</f>
        <v>1</v>
      </c>
      <c r="BA20" s="10">
        <f>IF(預測IC!BA20&gt;預測IC!BA$25,1,0)</f>
        <v>1</v>
      </c>
      <c r="BB20" s="10">
        <f>IF(預測IC!BB20&gt;預測IC!BB$25,1,0)</f>
        <v>0</v>
      </c>
      <c r="BC20" s="10">
        <f>IF(預測IC!BC20&gt;預測IC!BC$25,1,0)</f>
        <v>1</v>
      </c>
      <c r="BD20" s="10">
        <f>IF(預測IC!BD20&gt;預測IC!BD$25,1,0)</f>
        <v>0</v>
      </c>
      <c r="BE20" s="10">
        <f>IF(預測IC!BE20&gt;預測IC!BE$25,1,0)</f>
        <v>0</v>
      </c>
      <c r="BF20" s="10">
        <f>IF(預測IC!BF20&gt;預測IC!BF$25,1,0)</f>
        <v>0</v>
      </c>
      <c r="BG20" s="10">
        <f>IF(預測IC!BG20&gt;預測IC!BG$25,1,0)</f>
        <v>1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0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0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0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0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1</v>
      </c>
      <c r="CA20" s="10">
        <f>IF(預測IC!CA20&gt;預測IC!CA$25,1,0)</f>
        <v>1</v>
      </c>
      <c r="CB20" s="10">
        <f>IF(預測IC!CB20&gt;預測IC!CB$25,1,0)</f>
        <v>1</v>
      </c>
      <c r="CC20" s="10">
        <f>IF(預測IC!CC20&gt;預測IC!CC$25,1,0)</f>
        <v>0</v>
      </c>
      <c r="CD20" s="10">
        <f>IF(預測IC!CD20&gt;預測IC!CD$25,1,0)</f>
        <v>0</v>
      </c>
      <c r="CE20" s="10">
        <f>IF(預測IC!CE20&gt;預測IC!CE$25,1,0)</f>
        <v>1</v>
      </c>
      <c r="CF20" s="10">
        <f>IF(預測IC!CF20&gt;預測IC!CF$25,1,0)</f>
        <v>0</v>
      </c>
      <c r="CG20" s="10">
        <f>IF(預測IC!CG20&gt;預測IC!CG$25,1,0)</f>
        <v>1</v>
      </c>
      <c r="CH20" s="10">
        <f>IF(預測IC!CH20&gt;預測IC!CH$25,1,0)</f>
        <v>0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0</v>
      </c>
      <c r="CL20" s="10">
        <f>IF(預測IC!CL20&gt;預測IC!CL$25,1,0)</f>
        <v>0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1</v>
      </c>
      <c r="CS20" s="10">
        <f>IF(預測IC!CS20&gt;預測IC!CS$25,1,0)</f>
        <v>0</v>
      </c>
      <c r="CT20" s="10">
        <f>IF(預測IC!CT20&gt;預測IC!CT$25,1,0)</f>
        <v>0</v>
      </c>
      <c r="CU20" s="10">
        <f>IF(預測IC!CU20&gt;預測IC!CU$25,1,0)</f>
        <v>0</v>
      </c>
      <c r="CV20" s="10">
        <f>IF(預測IC!CV20&gt;預測IC!CV$25,1,0)</f>
        <v>0</v>
      </c>
      <c r="CW20" s="10">
        <f>IF(預測IC!CW20&gt;預測IC!CW$25,1,0)</f>
        <v>1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1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1</v>
      </c>
      <c r="DM20" s="10">
        <f>IF(預測IC!DM20&gt;預測IC!DM$25,1,0)</f>
        <v>1</v>
      </c>
      <c r="DN20" s="10">
        <f>IF(預測IC!DN20&gt;預測IC!DN$25,1,0)</f>
        <v>1</v>
      </c>
      <c r="DO20" s="10">
        <f>IF(預測IC!DO20&gt;預測IC!DO$25,1,0)</f>
        <v>0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0</v>
      </c>
      <c r="DW20" s="10">
        <f>IF(預測IC!DW20&gt;預測IC!DW$25,1,0)</f>
        <v>1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0</v>
      </c>
      <c r="EB20" s="10">
        <f>IF(預測IC!EB20&gt;預測IC!EB$25,1,0)</f>
        <v>0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0</v>
      </c>
      <c r="EF20" s="10">
        <f>IF(預測IC!EF20&gt;預測IC!EF$25,1,0)</f>
        <v>0</v>
      </c>
      <c r="EG20" s="10">
        <f>IF(預測IC!EG20&gt;預測IC!EG$25,1,0)</f>
        <v>1</v>
      </c>
      <c r="EH20" s="10">
        <f>IF(預測IC!EH20&gt;預測IC!EH$25,1,0)</f>
        <v>0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1</v>
      </c>
      <c r="EL20" s="10">
        <f>IF(預測IC!EL20&gt;預測IC!EL$25,1,0)</f>
        <v>0</v>
      </c>
      <c r="EM20" s="6">
        <f t="shared" si="11"/>
        <v>65</v>
      </c>
      <c r="EN20" s="19">
        <f t="shared" si="12"/>
        <v>0.4642857142857143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1</v>
      </c>
      <c r="F21" s="10">
        <f>IF(預測IC!F21&gt;預測IC!F$25,1,0)</f>
        <v>1</v>
      </c>
      <c r="G21" s="10">
        <f>IF(預測IC!G21&gt;預測IC!G$25,1,0)</f>
        <v>1</v>
      </c>
      <c r="H21" s="10">
        <f>IF(預測IC!H21&gt;預測IC!H$25,1,0)</f>
        <v>0</v>
      </c>
      <c r="I21" s="10">
        <f>IF(預測IC!I21&gt;預測IC!I$25,1,0)</f>
        <v>1</v>
      </c>
      <c r="J21" s="10">
        <f>IF(預測IC!J21&gt;預測IC!J$25,1,0)</f>
        <v>0</v>
      </c>
      <c r="K21" s="10">
        <f>IF(預測IC!K21&gt;預測IC!K$25,1,0)</f>
        <v>1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1</v>
      </c>
      <c r="P21" s="10">
        <f>IF(預測IC!P21&gt;預測IC!P$25,1,0)</f>
        <v>1</v>
      </c>
      <c r="Q21" s="10">
        <f>IF(預測IC!Q21&gt;預測IC!Q$25,1,0)</f>
        <v>0</v>
      </c>
      <c r="R21" s="10">
        <f>IF(預測IC!R21&gt;預測IC!R$25,1,0)</f>
        <v>1</v>
      </c>
      <c r="S21" s="10">
        <f>IF(預測IC!S21&gt;預測IC!S$25,1,0)</f>
        <v>1</v>
      </c>
      <c r="T21" s="10">
        <f>IF(預測IC!T21&gt;預測IC!T$25,1,0)</f>
        <v>1</v>
      </c>
      <c r="U21" s="10">
        <f>IF(預測IC!U21&gt;預測IC!U$25,1,0)</f>
        <v>0</v>
      </c>
      <c r="V21" s="10">
        <f>IF(預測IC!V21&gt;預測IC!V$25,1,0)</f>
        <v>0</v>
      </c>
      <c r="W21" s="10">
        <f>IF(預測IC!W21&gt;預測IC!W$25,1,0)</f>
        <v>1</v>
      </c>
      <c r="X21" s="10">
        <f>IF(預測IC!X21&gt;預測IC!X$25,1,0)</f>
        <v>0</v>
      </c>
      <c r="Y21" s="10">
        <f>IF(預測IC!Y21&gt;預測IC!Y$25,1,0)</f>
        <v>0</v>
      </c>
      <c r="Z21" s="10">
        <f>IF(預測IC!Z21&gt;預測IC!Z$25,1,0)</f>
        <v>1</v>
      </c>
      <c r="AA21" s="10">
        <f>IF(預測IC!AA21&gt;預測IC!AA$25,1,0)</f>
        <v>1</v>
      </c>
      <c r="AB21" s="10">
        <f>IF(預測IC!AB21&gt;預測IC!AB$25,1,0)</f>
        <v>1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0</v>
      </c>
      <c r="AG21" s="10">
        <f>IF(預測IC!AG21&gt;預測IC!AG$25,1,0)</f>
        <v>0</v>
      </c>
      <c r="AH21" s="10">
        <f>IF(預測IC!AH21&gt;預測IC!AH$25,1,0)</f>
        <v>0</v>
      </c>
      <c r="AI21" s="10">
        <f>IF(預測IC!AI21&gt;預測IC!AI$25,1,0)</f>
        <v>0</v>
      </c>
      <c r="AJ21" s="10">
        <f>IF(預測IC!AJ21&gt;預測IC!AJ$25,1,0)</f>
        <v>0</v>
      </c>
      <c r="AK21" s="10">
        <f>IF(預測IC!AK21&gt;預測IC!AK$25,1,0)</f>
        <v>0</v>
      </c>
      <c r="AL21" s="10">
        <f>IF(預測IC!AL21&gt;預測IC!AL$25,1,0)</f>
        <v>1</v>
      </c>
      <c r="AM21" s="10">
        <f>IF(預測IC!AM21&gt;預測IC!AM$25,1,0)</f>
        <v>0</v>
      </c>
      <c r="AN21" s="10">
        <f>IF(預測IC!AN21&gt;預測IC!AN$25,1,0)</f>
        <v>1</v>
      </c>
      <c r="AO21" s="10">
        <f>IF(預測IC!AO21&gt;預測IC!AO$25,1,0)</f>
        <v>0</v>
      </c>
      <c r="AP21" s="10">
        <f>IF(預測IC!AP21&gt;預測IC!AP$25,1,0)</f>
        <v>0</v>
      </c>
      <c r="AQ21" s="10">
        <f>IF(預測IC!AQ21&gt;預測IC!AQ$25,1,0)</f>
        <v>0</v>
      </c>
      <c r="AR21" s="10">
        <f>IF(預測IC!AR21&gt;預測IC!AR$25,1,0)</f>
        <v>0</v>
      </c>
      <c r="AS21" s="10">
        <f>IF(預測IC!AS21&gt;預測IC!AS$25,1,0)</f>
        <v>0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0</v>
      </c>
      <c r="AY21" s="10">
        <f>IF(預測IC!AY21&gt;預測IC!AY$25,1,0)</f>
        <v>1</v>
      </c>
      <c r="AZ21" s="10">
        <f>IF(預測IC!AZ21&gt;預測IC!AZ$25,1,0)</f>
        <v>1</v>
      </c>
      <c r="BA21" s="10">
        <f>IF(預測IC!BA21&gt;預測IC!BA$25,1,0)</f>
        <v>0</v>
      </c>
      <c r="BB21" s="10">
        <f>IF(預測IC!BB21&gt;預測IC!BB$25,1,0)</f>
        <v>0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1</v>
      </c>
      <c r="BJ21" s="10">
        <f>IF(預測IC!BJ21&gt;預測IC!BJ$25,1,0)</f>
        <v>1</v>
      </c>
      <c r="BK21" s="10">
        <f>IF(預測IC!BK21&gt;預測IC!BK$25,1,0)</f>
        <v>1</v>
      </c>
      <c r="BL21" s="10">
        <f>IF(預測IC!BL21&gt;預測IC!BL$25,1,0)</f>
        <v>0</v>
      </c>
      <c r="BM21" s="10">
        <f>IF(預測IC!BM21&gt;預測IC!BM$25,1,0)</f>
        <v>0</v>
      </c>
      <c r="BN21" s="10">
        <f>IF(預測IC!BN21&gt;預測IC!BN$25,1,0)</f>
        <v>0</v>
      </c>
      <c r="BO21" s="10">
        <f>IF(預測IC!BO21&gt;預測IC!BO$25,1,0)</f>
        <v>1</v>
      </c>
      <c r="BP21" s="10">
        <f>IF(預測IC!BP21&gt;預測IC!BP$25,1,0)</f>
        <v>1</v>
      </c>
      <c r="BQ21" s="10">
        <f>IF(預測IC!BQ21&gt;預測IC!BQ$25,1,0)</f>
        <v>0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0</v>
      </c>
      <c r="BU21" s="10">
        <f>IF(預測IC!BU21&gt;預測IC!BU$25,1,0)</f>
        <v>0</v>
      </c>
      <c r="BV21" s="10">
        <f>IF(預測IC!BV21&gt;預測IC!BV$25,1,0)</f>
        <v>1</v>
      </c>
      <c r="BW21" s="10">
        <f>IF(預測IC!BW21&gt;預測IC!BW$25,1,0)</f>
        <v>0</v>
      </c>
      <c r="BX21" s="10">
        <f>IF(預測IC!BX21&gt;預測IC!BX$25,1,0)</f>
        <v>1</v>
      </c>
      <c r="BY21" s="10">
        <f>IF(預測IC!BY21&gt;預測IC!BY$25,1,0)</f>
        <v>0</v>
      </c>
      <c r="BZ21" s="10">
        <f>IF(預測IC!BZ21&gt;預測IC!BZ$25,1,0)</f>
        <v>1</v>
      </c>
      <c r="CA21" s="10">
        <f>IF(預測IC!CA21&gt;預測IC!CA$25,1,0)</f>
        <v>0</v>
      </c>
      <c r="CB21" s="10">
        <f>IF(預測IC!CB21&gt;預測IC!CB$25,1,0)</f>
        <v>1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0</v>
      </c>
      <c r="CL21" s="10">
        <f>IF(預測IC!CL21&gt;預測IC!CL$25,1,0)</f>
        <v>0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1</v>
      </c>
      <c r="CS21" s="10">
        <f>IF(預測IC!CS21&gt;預測IC!CS$25,1,0)</f>
        <v>0</v>
      </c>
      <c r="CT21" s="10">
        <f>IF(預測IC!CT21&gt;預測IC!CT$25,1,0)</f>
        <v>0</v>
      </c>
      <c r="CU21" s="10">
        <f>IF(預測IC!CU21&gt;預測IC!CU$25,1,0)</f>
        <v>0</v>
      </c>
      <c r="CV21" s="10">
        <f>IF(預測IC!CV21&gt;預測IC!CV$25,1,0)</f>
        <v>0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1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0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1</v>
      </c>
      <c r="DV21" s="10">
        <f>IF(預測IC!DV21&gt;預測IC!DV$25,1,0)</f>
        <v>0</v>
      </c>
      <c r="DW21" s="10">
        <f>IF(預測IC!DW21&gt;預測IC!DW$25,1,0)</f>
        <v>0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0</v>
      </c>
      <c r="EA21" s="10">
        <f>IF(預測IC!EA21&gt;預測IC!EA$25,1,0)</f>
        <v>0</v>
      </c>
      <c r="EB21" s="10">
        <f>IF(預測IC!EB21&gt;預測IC!EB$25,1,0)</f>
        <v>0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0</v>
      </c>
      <c r="EF21" s="10">
        <f>IF(預測IC!EF21&gt;預測IC!EF$25,1,0)</f>
        <v>0</v>
      </c>
      <c r="EG21" s="10">
        <f>IF(預測IC!EG21&gt;預測IC!EG$25,1,0)</f>
        <v>1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1</v>
      </c>
      <c r="EL21" s="10">
        <f>IF(預測IC!EL21&gt;預測IC!EL$25,1,0)</f>
        <v>0</v>
      </c>
      <c r="EM21" s="6">
        <f t="shared" si="11"/>
        <v>64</v>
      </c>
      <c r="EN21" s="19">
        <f t="shared" si="12"/>
        <v>0.45714285714285713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0</v>
      </c>
      <c r="D22" s="10">
        <f>IF(預測IC!D22&gt;預測IC!D$25,1,0)</f>
        <v>1</v>
      </c>
      <c r="E22" s="10">
        <f>IF(預測IC!E22&gt;預測IC!E$25,1,0)</f>
        <v>1</v>
      </c>
      <c r="F22" s="10">
        <f>IF(預測IC!F22&gt;預測IC!F$25,1,0)</f>
        <v>1</v>
      </c>
      <c r="G22" s="10">
        <f>IF(預測IC!G22&gt;預測IC!G$25,1,0)</f>
        <v>1</v>
      </c>
      <c r="H22" s="10">
        <f>IF(預測IC!H22&gt;預測IC!H$25,1,0)</f>
        <v>0</v>
      </c>
      <c r="I22" s="10">
        <f>IF(預測IC!I22&gt;預測IC!I$25,1,0)</f>
        <v>1</v>
      </c>
      <c r="J22" s="10">
        <f>IF(預測IC!J22&gt;預測IC!J$25,1,0)</f>
        <v>1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1</v>
      </c>
      <c r="Q22" s="10">
        <f>IF(預測IC!Q22&gt;預測IC!Q$25,1,0)</f>
        <v>1</v>
      </c>
      <c r="R22" s="10">
        <f>IF(預測IC!R22&gt;預測IC!R$25,1,0)</f>
        <v>1</v>
      </c>
      <c r="S22" s="10">
        <f>IF(預測IC!S22&gt;預測IC!S$25,1,0)</f>
        <v>1</v>
      </c>
      <c r="T22" s="10">
        <f>IF(預測IC!T22&gt;預測IC!T$25,1,0)</f>
        <v>1</v>
      </c>
      <c r="U22" s="10">
        <f>IF(預測IC!U22&gt;預測IC!U$25,1,0)</f>
        <v>0</v>
      </c>
      <c r="V22" s="10">
        <f>IF(預測IC!V22&gt;預測IC!V$25,1,0)</f>
        <v>0</v>
      </c>
      <c r="W22" s="10">
        <f>IF(預測IC!W22&gt;預測IC!W$25,1,0)</f>
        <v>0</v>
      </c>
      <c r="X22" s="10">
        <f>IF(預測IC!X22&gt;預測IC!X$25,1,0)</f>
        <v>0</v>
      </c>
      <c r="Y22" s="10">
        <f>IF(預測IC!Y22&gt;預測IC!Y$25,1,0)</f>
        <v>1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0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0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0</v>
      </c>
      <c r="AJ22" s="10">
        <f>IF(預測IC!AJ22&gt;預測IC!AJ$25,1,0)</f>
        <v>0</v>
      </c>
      <c r="AK22" s="10">
        <f>IF(預測IC!AK22&gt;預測IC!AK$25,1,0)</f>
        <v>0</v>
      </c>
      <c r="AL22" s="10">
        <f>IF(預測IC!AL22&gt;預測IC!AL$25,1,0)</f>
        <v>1</v>
      </c>
      <c r="AM22" s="10">
        <f>IF(預測IC!AM22&gt;預測IC!AM$25,1,0)</f>
        <v>0</v>
      </c>
      <c r="AN22" s="10">
        <f>IF(預測IC!AN22&gt;預測IC!AN$25,1,0)</f>
        <v>1</v>
      </c>
      <c r="AO22" s="10">
        <f>IF(預測IC!AO22&gt;預測IC!AO$25,1,0)</f>
        <v>0</v>
      </c>
      <c r="AP22" s="10">
        <f>IF(預測IC!AP22&gt;預測IC!AP$25,1,0)</f>
        <v>0</v>
      </c>
      <c r="AQ22" s="10">
        <f>IF(預測IC!AQ22&gt;預測IC!AQ$25,1,0)</f>
        <v>1</v>
      </c>
      <c r="AR22" s="10">
        <f>IF(預測IC!AR22&gt;預測IC!AR$25,1,0)</f>
        <v>0</v>
      </c>
      <c r="AS22" s="10">
        <f>IF(預測IC!AS22&gt;預測IC!AS$25,1,0)</f>
        <v>0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0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1</v>
      </c>
      <c r="BB22" s="10">
        <f>IF(預測IC!BB22&gt;預測IC!BB$25,1,0)</f>
        <v>1</v>
      </c>
      <c r="BC22" s="10">
        <f>IF(預測IC!BC22&gt;預測IC!BC$25,1,0)</f>
        <v>1</v>
      </c>
      <c r="BD22" s="10">
        <f>IF(預測IC!BD22&gt;預測IC!BD$25,1,0)</f>
        <v>1</v>
      </c>
      <c r="BE22" s="10">
        <f>IF(預測IC!BE22&gt;預測IC!BE$25,1,0)</f>
        <v>1</v>
      </c>
      <c r="BF22" s="10">
        <f>IF(預測IC!BF22&gt;預測IC!BF$25,1,0)</f>
        <v>0</v>
      </c>
      <c r="BG22" s="10">
        <f>IF(預測IC!BG22&gt;預測IC!BG$25,1,0)</f>
        <v>1</v>
      </c>
      <c r="BH22" s="10">
        <f>IF(預測IC!BH22&gt;預測IC!BH$25,1,0)</f>
        <v>1</v>
      </c>
      <c r="BI22" s="10">
        <f>IF(預測IC!BI22&gt;預測IC!BI$25,1,0)</f>
        <v>1</v>
      </c>
      <c r="BJ22" s="10">
        <f>IF(預測IC!BJ22&gt;預測IC!BJ$25,1,0)</f>
        <v>0</v>
      </c>
      <c r="BK22" s="10">
        <f>IF(預測IC!BK22&gt;預測IC!BK$25,1,0)</f>
        <v>0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1</v>
      </c>
      <c r="BO22" s="10">
        <f>IF(預測IC!BO22&gt;預測IC!BO$25,1,0)</f>
        <v>1</v>
      </c>
      <c r="BP22" s="10">
        <f>IF(預測IC!BP22&gt;預測IC!BP$25,1,0)</f>
        <v>1</v>
      </c>
      <c r="BQ22" s="10">
        <f>IF(預測IC!BQ22&gt;預測IC!BQ$25,1,0)</f>
        <v>0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0</v>
      </c>
      <c r="BU22" s="10">
        <f>IF(預測IC!BU22&gt;預測IC!BU$25,1,0)</f>
        <v>0</v>
      </c>
      <c r="BV22" s="10">
        <f>IF(預測IC!BV22&gt;預測IC!BV$25,1,0)</f>
        <v>1</v>
      </c>
      <c r="BW22" s="10">
        <f>IF(預測IC!BW22&gt;預測IC!BW$25,1,0)</f>
        <v>0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1</v>
      </c>
      <c r="CA22" s="10">
        <f>IF(預測IC!CA22&gt;預測IC!CA$25,1,0)</f>
        <v>0</v>
      </c>
      <c r="CB22" s="10">
        <f>IF(預測IC!CB22&gt;預測IC!CB$25,1,0)</f>
        <v>1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1</v>
      </c>
      <c r="CF22" s="10">
        <f>IF(預測IC!CF22&gt;預測IC!CF$25,1,0)</f>
        <v>0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0</v>
      </c>
      <c r="CL22" s="10">
        <f>IF(預測IC!CL22&gt;預測IC!CL$25,1,0)</f>
        <v>0</v>
      </c>
      <c r="CM22" s="10">
        <f>IF(預測IC!CM22&gt;預測IC!CM$25,1,0)</f>
        <v>0</v>
      </c>
      <c r="CN22" s="10">
        <f>IF(預測IC!CN22&gt;預測IC!CN$25,1,0)</f>
        <v>1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1</v>
      </c>
      <c r="CS22" s="10">
        <f>IF(預測IC!CS22&gt;預測IC!CS$25,1,0)</f>
        <v>0</v>
      </c>
      <c r="CT22" s="10">
        <f>IF(預測IC!CT22&gt;預測IC!CT$25,1,0)</f>
        <v>0</v>
      </c>
      <c r="CU22" s="10">
        <f>IF(預測IC!CU22&gt;預測IC!CU$25,1,0)</f>
        <v>0</v>
      </c>
      <c r="CV22" s="10">
        <f>IF(預測IC!CV22&gt;預測IC!CV$25,1,0)</f>
        <v>0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0</v>
      </c>
      <c r="DM22" s="10">
        <f>IF(預測IC!DM22&gt;預測IC!DM$25,1,0)</f>
        <v>1</v>
      </c>
      <c r="DN22" s="10">
        <f>IF(預測IC!DN22&gt;預測IC!DN$25,1,0)</f>
        <v>1</v>
      </c>
      <c r="DO22" s="10">
        <f>IF(預測IC!DO22&gt;預測IC!DO$25,1,0)</f>
        <v>0</v>
      </c>
      <c r="DP22" s="10">
        <f>IF(預測IC!DP22&gt;預測IC!DP$25,1,0)</f>
        <v>0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0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0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0</v>
      </c>
      <c r="EA22" s="10">
        <f>IF(預測IC!EA22&gt;預測IC!EA$25,1,0)</f>
        <v>0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0</v>
      </c>
      <c r="EF22" s="10">
        <f>IF(預測IC!EF22&gt;預測IC!EF$25,1,0)</f>
        <v>0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1</v>
      </c>
      <c r="EL22" s="10">
        <f>IF(預測IC!EL22&gt;預測IC!EL$25,1,0)</f>
        <v>1</v>
      </c>
      <c r="EM22" s="6">
        <f t="shared" si="11"/>
        <v>66</v>
      </c>
      <c r="EN22" s="19">
        <f t="shared" si="12"/>
        <v>0.47142857142857142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0</v>
      </c>
      <c r="D23" s="10">
        <f>IF(預測IC!D23&gt;預測IC!D$25,1,0)</f>
        <v>0</v>
      </c>
      <c r="E23" s="10">
        <f>IF(預測IC!E23&gt;預測IC!E$25,1,0)</f>
        <v>1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0</v>
      </c>
      <c r="I23" s="10">
        <f>IF(預測IC!I23&gt;預測IC!I$25,1,0)</f>
        <v>1</v>
      </c>
      <c r="J23" s="10">
        <f>IF(預測IC!J23&gt;預測IC!J$25,1,0)</f>
        <v>1</v>
      </c>
      <c r="K23" s="10">
        <f>IF(預測IC!K23&gt;預測IC!K$25,1,0)</f>
        <v>1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1</v>
      </c>
      <c r="P23" s="10">
        <f>IF(預測IC!P23&gt;預測IC!P$25,1,0)</f>
        <v>0</v>
      </c>
      <c r="Q23" s="10">
        <f>IF(預測IC!Q23&gt;預測IC!Q$25,1,0)</f>
        <v>0</v>
      </c>
      <c r="R23" s="10">
        <f>IF(預測IC!R23&gt;預測IC!R$25,1,0)</f>
        <v>1</v>
      </c>
      <c r="S23" s="10">
        <f>IF(預測IC!S23&gt;預測IC!S$25,1,0)</f>
        <v>1</v>
      </c>
      <c r="T23" s="10">
        <f>IF(預測IC!T23&gt;預測IC!T$25,1,0)</f>
        <v>1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0</v>
      </c>
      <c r="X23" s="10">
        <f>IF(預測IC!X23&gt;預測IC!X$25,1,0)</f>
        <v>0</v>
      </c>
      <c r="Y23" s="10">
        <f>IF(預測IC!Y23&gt;預測IC!Y$25,1,0)</f>
        <v>1</v>
      </c>
      <c r="Z23" s="10">
        <f>IF(預測IC!Z23&gt;預測IC!Z$25,1,0)</f>
        <v>1</v>
      </c>
      <c r="AA23" s="10">
        <f>IF(預測IC!AA23&gt;預測IC!AA$25,1,0)</f>
        <v>1</v>
      </c>
      <c r="AB23" s="10">
        <f>IF(預測IC!AB23&gt;預測IC!AB$25,1,0)</f>
        <v>1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0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0</v>
      </c>
      <c r="AJ23" s="10">
        <f>IF(預測IC!AJ23&gt;預測IC!AJ$25,1,0)</f>
        <v>0</v>
      </c>
      <c r="AK23" s="10">
        <f>IF(預測IC!AK23&gt;預測IC!AK$25,1,0)</f>
        <v>0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0</v>
      </c>
      <c r="AP23" s="10">
        <f>IF(預測IC!AP23&gt;預測IC!AP$25,1,0)</f>
        <v>0</v>
      </c>
      <c r="AQ23" s="10">
        <f>IF(預測IC!AQ23&gt;預測IC!AQ$25,1,0)</f>
        <v>1</v>
      </c>
      <c r="AR23" s="10">
        <f>IF(預測IC!AR23&gt;預測IC!AR$25,1,0)</f>
        <v>0</v>
      </c>
      <c r="AS23" s="10">
        <f>IF(預測IC!AS23&gt;預測IC!AS$25,1,0)</f>
        <v>0</v>
      </c>
      <c r="AT23" s="10">
        <f>IF(預測IC!AT23&gt;預測IC!AT$25,1,0)</f>
        <v>0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0</v>
      </c>
      <c r="AY23" s="10">
        <f>IF(預測IC!AY23&gt;預測IC!AY$25,1,0)</f>
        <v>0</v>
      </c>
      <c r="AZ23" s="10">
        <f>IF(預測IC!AZ23&gt;預測IC!AZ$25,1,0)</f>
        <v>1</v>
      </c>
      <c r="BA23" s="10">
        <f>IF(預測IC!BA23&gt;預測IC!BA$25,1,0)</f>
        <v>1</v>
      </c>
      <c r="BB23" s="10">
        <f>IF(預測IC!BB23&gt;預測IC!BB$25,1,0)</f>
        <v>1</v>
      </c>
      <c r="BC23" s="10">
        <f>IF(預測IC!BC23&gt;預測IC!BC$25,1,0)</f>
        <v>1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1</v>
      </c>
      <c r="BH23" s="10">
        <f>IF(預測IC!BH23&gt;預測IC!BH$25,1,0)</f>
        <v>0</v>
      </c>
      <c r="BI23" s="10">
        <f>IF(預測IC!BI23&gt;預測IC!BI$25,1,0)</f>
        <v>1</v>
      </c>
      <c r="BJ23" s="10">
        <f>IF(預測IC!BJ23&gt;預測IC!BJ$25,1,0)</f>
        <v>0</v>
      </c>
      <c r="BK23" s="10">
        <f>IF(預測IC!BK23&gt;預測IC!BK$25,1,0)</f>
        <v>0</v>
      </c>
      <c r="BL23" s="10">
        <f>IF(預測IC!BL23&gt;預測IC!BL$25,1,0)</f>
        <v>0</v>
      </c>
      <c r="BM23" s="10">
        <f>IF(預測IC!BM23&gt;預測IC!BM$25,1,0)</f>
        <v>1</v>
      </c>
      <c r="BN23" s="10">
        <f>IF(預測IC!BN23&gt;預測IC!BN$25,1,0)</f>
        <v>1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0</v>
      </c>
      <c r="BU23" s="10">
        <f>IF(預測IC!BU23&gt;預測IC!BU$25,1,0)</f>
        <v>0</v>
      </c>
      <c r="BV23" s="10">
        <f>IF(預測IC!BV23&gt;預測IC!BV$25,1,0)</f>
        <v>1</v>
      </c>
      <c r="BW23" s="10">
        <f>IF(預測IC!BW23&gt;預測IC!BW$25,1,0)</f>
        <v>0</v>
      </c>
      <c r="BX23" s="10">
        <f>IF(預測IC!BX23&gt;預測IC!BX$25,1,0)</f>
        <v>1</v>
      </c>
      <c r="BY23" s="10">
        <f>IF(預測IC!BY23&gt;預測IC!BY$25,1,0)</f>
        <v>0</v>
      </c>
      <c r="BZ23" s="10">
        <f>IF(預測IC!BZ23&gt;預測IC!BZ$25,1,0)</f>
        <v>1</v>
      </c>
      <c r="CA23" s="10">
        <f>IF(預測IC!CA23&gt;預測IC!CA$25,1,0)</f>
        <v>0</v>
      </c>
      <c r="CB23" s="10">
        <f>IF(預測IC!CB23&gt;預測IC!CB$25,1,0)</f>
        <v>1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1</v>
      </c>
      <c r="CF23" s="10">
        <f>IF(預測IC!CF23&gt;預測IC!CF$25,1,0)</f>
        <v>1</v>
      </c>
      <c r="CG23" s="10">
        <f>IF(預測IC!CG23&gt;預測IC!CG$25,1,0)</f>
        <v>0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0</v>
      </c>
      <c r="CL23" s="10">
        <f>IF(預測IC!CL23&gt;預測IC!CL$25,1,0)</f>
        <v>0</v>
      </c>
      <c r="CM23" s="10">
        <f>IF(預測IC!CM23&gt;預測IC!CM$25,1,0)</f>
        <v>0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1</v>
      </c>
      <c r="CR23" s="10">
        <f>IF(預測IC!CR23&gt;預測IC!CR$25,1,0)</f>
        <v>1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0</v>
      </c>
      <c r="CV23" s="10">
        <f>IF(預測IC!CV23&gt;預測IC!CV$25,1,0)</f>
        <v>0</v>
      </c>
      <c r="CW23" s="10">
        <f>IF(預測IC!CW23&gt;預測IC!CW$25,1,0)</f>
        <v>1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1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0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1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0</v>
      </c>
      <c r="DP23" s="10">
        <f>IF(預測IC!DP23&gt;預測IC!DP$25,1,0)</f>
        <v>0</v>
      </c>
      <c r="DQ23" s="10">
        <f>IF(預測IC!DQ23&gt;預測IC!DQ$25,1,0)</f>
        <v>0</v>
      </c>
      <c r="DR23" s="10">
        <f>IF(預測IC!DR23&gt;預測IC!DR$25,1,0)</f>
        <v>0</v>
      </c>
      <c r="DS23" s="10">
        <f>IF(預測IC!DS23&gt;預測IC!DS$25,1,0)</f>
        <v>0</v>
      </c>
      <c r="DT23" s="10">
        <f>IF(預測IC!DT23&gt;預測IC!DT$25,1,0)</f>
        <v>0</v>
      </c>
      <c r="DU23" s="10">
        <f>IF(預測IC!DU23&gt;預測IC!DU$25,1,0)</f>
        <v>1</v>
      </c>
      <c r="DV23" s="10">
        <f>IF(預測IC!DV23&gt;預測IC!DV$25,1,0)</f>
        <v>0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1</v>
      </c>
      <c r="EA23" s="10">
        <f>IF(預測IC!EA23&gt;預測IC!EA$25,1,0)</f>
        <v>0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0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1</v>
      </c>
      <c r="EL23" s="10">
        <f>IF(預測IC!EL23&gt;預測IC!EL$25,1,0)</f>
        <v>0</v>
      </c>
      <c r="EM23" s="6">
        <f t="shared" si="11"/>
        <v>63</v>
      </c>
      <c r="EN23" s="19">
        <f t="shared" si="12"/>
        <v>0.45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1</v>
      </c>
      <c r="D24" s="10">
        <f>IF(預測IC!D24&gt;預測IC!D$25,1,0)</f>
        <v>0</v>
      </c>
      <c r="E24" s="10">
        <f>IF(預測IC!E24&gt;預測IC!E$25,1,0)</f>
        <v>1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0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1</v>
      </c>
      <c r="Q24" s="10">
        <f>IF(預測IC!Q24&gt;預測IC!Q$25,1,0)</f>
        <v>1</v>
      </c>
      <c r="R24" s="10">
        <f>IF(預測IC!R24&gt;預測IC!R$25,1,0)</f>
        <v>1</v>
      </c>
      <c r="S24" s="10">
        <f>IF(預測IC!S24&gt;預測IC!S$25,1,0)</f>
        <v>1</v>
      </c>
      <c r="T24" s="10">
        <f>IF(預測IC!T24&gt;預測IC!T$25,1,0)</f>
        <v>0</v>
      </c>
      <c r="U24" s="10">
        <f>IF(預測IC!U24&gt;預測IC!U$25,1,0)</f>
        <v>0</v>
      </c>
      <c r="V24" s="10">
        <f>IF(預測IC!V24&gt;預測IC!V$25,1,0)</f>
        <v>1</v>
      </c>
      <c r="W24" s="10">
        <f>IF(預測IC!W24&gt;預測IC!W$25,1,0)</f>
        <v>0</v>
      </c>
      <c r="X24" s="10">
        <f>IF(預測IC!X24&gt;預測IC!X$25,1,0)</f>
        <v>0</v>
      </c>
      <c r="Y24" s="10">
        <f>IF(預測IC!Y24&gt;預測IC!Y$25,1,0)</f>
        <v>1</v>
      </c>
      <c r="Z24" s="10">
        <f>IF(預測IC!Z24&gt;預測IC!Z$25,1,0)</f>
        <v>1</v>
      </c>
      <c r="AA24" s="10">
        <f>IF(預測IC!AA24&gt;預測IC!AA$25,1,0)</f>
        <v>1</v>
      </c>
      <c r="AB24" s="10">
        <f>IF(預測IC!AB24&gt;預測IC!AB$25,1,0)</f>
        <v>1</v>
      </c>
      <c r="AC24" s="10">
        <f>IF(預測IC!AC24&gt;預測IC!AC$25,1,0)</f>
        <v>1</v>
      </c>
      <c r="AD24" s="10">
        <f>IF(預測IC!AD24&gt;預測IC!AD$25,1,0)</f>
        <v>1</v>
      </c>
      <c r="AE24" s="10">
        <f>IF(預測IC!AE24&gt;預測IC!AE$25,1,0)</f>
        <v>0</v>
      </c>
      <c r="AF24" s="10">
        <f>IF(預測IC!AF24&gt;預測IC!AF$25,1,0)</f>
        <v>1</v>
      </c>
      <c r="AG24" s="10">
        <f>IF(預測IC!AG24&gt;預測IC!AG$25,1,0)</f>
        <v>0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1</v>
      </c>
      <c r="AK24" s="10">
        <f>IF(預測IC!AK24&gt;預測IC!AK$25,1,0)</f>
        <v>1</v>
      </c>
      <c r="AL24" s="10">
        <f>IF(預測IC!AL24&gt;預測IC!AL$25,1,0)</f>
        <v>0</v>
      </c>
      <c r="AM24" s="10">
        <f>IF(預測IC!AM24&gt;預測IC!AM$25,1,0)</f>
        <v>0</v>
      </c>
      <c r="AN24" s="10">
        <f>IF(預測IC!AN24&gt;預測IC!AN$25,1,0)</f>
        <v>1</v>
      </c>
      <c r="AO24" s="10">
        <f>IF(預測IC!AO24&gt;預測IC!AO$25,1,0)</f>
        <v>0</v>
      </c>
      <c r="AP24" s="10">
        <f>IF(預測IC!AP24&gt;預測IC!AP$25,1,0)</f>
        <v>0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1</v>
      </c>
      <c r="AY24" s="10">
        <f>IF(預測IC!AY24&gt;預測IC!AY$25,1,0)</f>
        <v>0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1</v>
      </c>
      <c r="BD24" s="10">
        <f>IF(預測IC!BD24&gt;預測IC!BD$25,1,0)</f>
        <v>0</v>
      </c>
      <c r="BE24" s="10">
        <f>IF(預測IC!BE24&gt;預測IC!BE$25,1,0)</f>
        <v>1</v>
      </c>
      <c r="BF24" s="10">
        <f>IF(預測IC!BF24&gt;預測IC!BF$25,1,0)</f>
        <v>0</v>
      </c>
      <c r="BG24" s="10">
        <f>IF(預測IC!BG24&gt;預測IC!BG$25,1,0)</f>
        <v>1</v>
      </c>
      <c r="BH24" s="10">
        <f>IF(預測IC!BH24&gt;預測IC!BH$25,1,0)</f>
        <v>1</v>
      </c>
      <c r="BI24" s="10">
        <f>IF(預測IC!BI24&gt;預測IC!BI$25,1,0)</f>
        <v>1</v>
      </c>
      <c r="BJ24" s="10">
        <f>IF(預測IC!BJ24&gt;預測IC!BJ$25,1,0)</f>
        <v>1</v>
      </c>
      <c r="BK24" s="10">
        <f>IF(預測IC!BK24&gt;預測IC!BK$25,1,0)</f>
        <v>0</v>
      </c>
      <c r="BL24" s="10">
        <f>IF(預測IC!BL24&gt;預測IC!BL$25,1,0)</f>
        <v>1</v>
      </c>
      <c r="BM24" s="10">
        <f>IF(預測IC!BM24&gt;預測IC!BM$25,1,0)</f>
        <v>1</v>
      </c>
      <c r="BN24" s="10">
        <f>IF(預測IC!BN24&gt;預測IC!BN$25,1,0)</f>
        <v>0</v>
      </c>
      <c r="BO24" s="10">
        <f>IF(預測IC!BO24&gt;預測IC!BO$25,1,0)</f>
        <v>1</v>
      </c>
      <c r="BP24" s="10">
        <f>IF(預測IC!BP24&gt;預測IC!BP$25,1,0)</f>
        <v>1</v>
      </c>
      <c r="BQ24" s="10">
        <f>IF(預測IC!BQ24&gt;預測IC!BQ$25,1,0)</f>
        <v>1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0</v>
      </c>
      <c r="BU24" s="10">
        <f>IF(預測IC!BU24&gt;預測IC!BU$25,1,0)</f>
        <v>1</v>
      </c>
      <c r="BV24" s="10">
        <f>IF(預測IC!BV24&gt;預測IC!BV$25,1,0)</f>
        <v>0</v>
      </c>
      <c r="BW24" s="10">
        <f>IF(預測IC!BW24&gt;預測IC!BW$25,1,0)</f>
        <v>0</v>
      </c>
      <c r="BX24" s="10">
        <f>IF(預測IC!BX24&gt;預測IC!BX$25,1,0)</f>
        <v>0</v>
      </c>
      <c r="BY24" s="10">
        <f>IF(預測IC!BY24&gt;預測IC!BY$25,1,0)</f>
        <v>0</v>
      </c>
      <c r="BZ24" s="10">
        <f>IF(預測IC!BZ24&gt;預測IC!BZ$25,1,0)</f>
        <v>1</v>
      </c>
      <c r="CA24" s="10">
        <f>IF(預測IC!CA24&gt;預測IC!CA$25,1,0)</f>
        <v>0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0</v>
      </c>
      <c r="CF24" s="10">
        <f>IF(預測IC!CF24&gt;預測IC!CF$25,1,0)</f>
        <v>0</v>
      </c>
      <c r="CG24" s="10">
        <f>IF(預測IC!CG24&gt;預測IC!CG$25,1,0)</f>
        <v>1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1</v>
      </c>
      <c r="CK24" s="10">
        <f>IF(預測IC!CK24&gt;預測IC!CK$25,1,0)</f>
        <v>0</v>
      </c>
      <c r="CL24" s="10">
        <f>IF(預測IC!CL24&gt;預測IC!CL$25,1,0)</f>
        <v>1</v>
      </c>
      <c r="CM24" s="10">
        <f>IF(預測IC!CM24&gt;預測IC!CM$25,1,0)</f>
        <v>0</v>
      </c>
      <c r="CN24" s="10">
        <f>IF(預測IC!CN24&gt;預測IC!CN$25,1,0)</f>
        <v>1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1</v>
      </c>
      <c r="CR24" s="10">
        <f>IF(預測IC!CR24&gt;預測IC!CR$25,1,0)</f>
        <v>1</v>
      </c>
      <c r="CS24" s="10">
        <f>IF(預測IC!CS24&gt;預測IC!CS$25,1,0)</f>
        <v>0</v>
      </c>
      <c r="CT24" s="10">
        <f>IF(預測IC!CT24&gt;預測IC!CT$25,1,0)</f>
        <v>0</v>
      </c>
      <c r="CU24" s="10">
        <f>IF(預測IC!CU24&gt;預測IC!CU$25,1,0)</f>
        <v>0</v>
      </c>
      <c r="CV24" s="10">
        <f>IF(預測IC!CV24&gt;預測IC!CV$25,1,0)</f>
        <v>0</v>
      </c>
      <c r="CW24" s="10">
        <f>IF(預測IC!CW24&gt;預測IC!CW$25,1,0)</f>
        <v>1</v>
      </c>
      <c r="CX24" s="10">
        <f>IF(預測IC!CX24&gt;預測IC!CX$25,1,0)</f>
        <v>1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1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0</v>
      </c>
      <c r="DJ24" s="10">
        <f>IF(預測IC!DJ24&gt;預測IC!DJ$25,1,0)</f>
        <v>0</v>
      </c>
      <c r="DK24" s="10">
        <f>IF(預測IC!DK24&gt;預測IC!DK$25,1,0)</f>
        <v>0</v>
      </c>
      <c r="DL24" s="10">
        <f>IF(預測IC!DL24&gt;預測IC!DL$25,1,0)</f>
        <v>1</v>
      </c>
      <c r="DM24" s="10">
        <f>IF(預測IC!DM24&gt;預測IC!DM$25,1,0)</f>
        <v>0</v>
      </c>
      <c r="DN24" s="10">
        <f>IF(預測IC!DN24&gt;預測IC!DN$25,1,0)</f>
        <v>1</v>
      </c>
      <c r="DO24" s="10">
        <f>IF(預測IC!DO24&gt;預測IC!DO$25,1,0)</f>
        <v>0</v>
      </c>
      <c r="DP24" s="10">
        <f>IF(預測IC!DP24&gt;預測IC!DP$25,1,0)</f>
        <v>1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0</v>
      </c>
      <c r="DW24" s="10">
        <f>IF(預測IC!DW24&gt;預測IC!DW$25,1,0)</f>
        <v>0</v>
      </c>
      <c r="DX24" s="10">
        <f>IF(預測IC!DX24&gt;預測IC!DX$25,1,0)</f>
        <v>0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0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0</v>
      </c>
      <c r="EK24" s="10">
        <f>IF(預測IC!EK24&gt;預測IC!EK$25,1,0)</f>
        <v>1</v>
      </c>
      <c r="EL24" s="10">
        <f>IF(預測IC!EL24&gt;預測IC!EL$25,1,0)</f>
        <v>0</v>
      </c>
      <c r="EM24" s="6">
        <f t="shared" si="11"/>
        <v>69</v>
      </c>
      <c r="EN24" s="19">
        <f t="shared" si="12"/>
        <v>0.49285714285714288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R8" zoomScale="130" zoomScaleNormal="130" workbookViewId="0">
      <selection activeCell="C19" sqref="C19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0.10901871198619975</v>
      </c>
      <c r="E12" s="2">
        <f>D12+預測IC!E12</f>
        <v>0.14767591317389889</v>
      </c>
      <c r="F12" s="2">
        <f>E12+預測IC!F12</f>
        <v>0.12286529771809315</v>
      </c>
      <c r="G12" s="2">
        <f>F12+預測IC!G12</f>
        <v>0.12746508506080534</v>
      </c>
      <c r="H12" s="2">
        <f>G12+預測IC!H12</f>
        <v>0.15252978421913141</v>
      </c>
      <c r="I12" s="2">
        <f>H12+預測IC!I12</f>
        <v>0.1875369831662631</v>
      </c>
      <c r="J12" s="2">
        <f>I12+預測IC!J12</f>
        <v>0.15975692570202896</v>
      </c>
      <c r="K12" s="2">
        <f>J12+預測IC!K12</f>
        <v>0.17844712327578974</v>
      </c>
      <c r="L12" s="2">
        <f>K12+預測IC!L12</f>
        <v>0.17677257737374713</v>
      </c>
      <c r="M12" s="2">
        <f>L12+預測IC!M12</f>
        <v>0.17086070102501597</v>
      </c>
      <c r="N12" s="2">
        <f>M12+預測IC!N12</f>
        <v>0.24677327492448381</v>
      </c>
      <c r="O12" s="2">
        <f>N12+預測IC!O12</f>
        <v>0.27837271552920506</v>
      </c>
      <c r="P12" s="2">
        <f>O12+預測IC!P12</f>
        <v>0.26882634893732837</v>
      </c>
      <c r="Q12" s="2">
        <f>P12+預測IC!Q12</f>
        <v>0.28700646928345447</v>
      </c>
      <c r="R12" s="2">
        <f>Q12+預測IC!R12</f>
        <v>0.29939534211290997</v>
      </c>
      <c r="S12" s="2">
        <f>R12+預測IC!S12</f>
        <v>0.28066687272332713</v>
      </c>
      <c r="T12" s="2">
        <f>S12+預測IC!T12</f>
        <v>0.30000598553603447</v>
      </c>
      <c r="U12" s="2">
        <f>T12+預測IC!U12</f>
        <v>0.31258194099931291</v>
      </c>
      <c r="V12" s="2">
        <f>U12+預測IC!V12</f>
        <v>0.30809765142889328</v>
      </c>
      <c r="W12" s="2">
        <f>V12+預測IC!W12</f>
        <v>0.25512871594403008</v>
      </c>
      <c r="X12" s="2">
        <f>W12+預測IC!X12</f>
        <v>0.26633604949604051</v>
      </c>
      <c r="Y12" s="2">
        <f>X12+預測IC!Y12</f>
        <v>0.23627875215147193</v>
      </c>
      <c r="Z12" s="2">
        <f>Y12+預測IC!Z12</f>
        <v>0.28543312852360009</v>
      </c>
      <c r="AA12" s="2">
        <f>Z12+預測IC!AA12</f>
        <v>0.3056490728689274</v>
      </c>
      <c r="AB12" s="2">
        <f>AA12+預測IC!AB12</f>
        <v>0.32924860924715316</v>
      </c>
      <c r="AC12" s="2">
        <f>AB12+預測IC!AC12</f>
        <v>0.30338089526388629</v>
      </c>
      <c r="AD12" s="2">
        <f>AC12+預測IC!AD12</f>
        <v>0.31786937356823186</v>
      </c>
      <c r="AE12" s="2">
        <f>AD12+預測IC!AE12</f>
        <v>0.28636393442130081</v>
      </c>
      <c r="AF12" s="2">
        <f>AE12+預測IC!AF12</f>
        <v>0.31644923007870263</v>
      </c>
      <c r="AG12" s="2">
        <f>AF12+預測IC!AG12</f>
        <v>0.28116561365814086</v>
      </c>
      <c r="AH12" s="2">
        <f>AG12+預測IC!AH12</f>
        <v>0.31434850492361899</v>
      </c>
      <c r="AI12" s="2">
        <f>AH12+預測IC!AI12</f>
        <v>0.3346812670035117</v>
      </c>
      <c r="AJ12" s="2">
        <f>AI12+預測IC!AJ12</f>
        <v>0.35544879517517369</v>
      </c>
      <c r="AK12" s="2">
        <f>AJ12+預測IC!AK12</f>
        <v>0.3763406939728835</v>
      </c>
      <c r="AL12" s="2">
        <f>AK12+預測IC!AL12</f>
        <v>0.39786107108988422</v>
      </c>
      <c r="AM12" s="2">
        <f>AL12+預測IC!AM12</f>
        <v>0.43092220365155715</v>
      </c>
      <c r="AN12" s="2">
        <f>AM12+預測IC!AN12</f>
        <v>0.50227704349389624</v>
      </c>
      <c r="AO12" s="2">
        <f>AN12+預測IC!AO12</f>
        <v>0.52623305150721089</v>
      </c>
      <c r="AP12" s="2">
        <f>AO12+預測IC!AP12</f>
        <v>0.50762078619532791</v>
      </c>
      <c r="AQ12" s="2">
        <f>AP12+預測IC!AQ12</f>
        <v>0.49913698444673044</v>
      </c>
      <c r="AR12" s="2">
        <f>AQ12+預測IC!AR12</f>
        <v>0.49385349404491941</v>
      </c>
      <c r="AS12" s="2">
        <f>AR12+預測IC!AS12</f>
        <v>0.51292151578103096</v>
      </c>
      <c r="AT12" s="2">
        <f>AS12+預測IC!AT12</f>
        <v>0.56408801087014671</v>
      </c>
      <c r="AU12" s="2">
        <f>AT12+預測IC!AU12</f>
        <v>0.62097742921925381</v>
      </c>
      <c r="AV12" s="2">
        <f>AU12+預測IC!AV12</f>
        <v>0.62896431822790311</v>
      </c>
      <c r="AW12" s="2">
        <f>AV12+預測IC!AW12</f>
        <v>0.67141172011783623</v>
      </c>
      <c r="AX12" s="2">
        <f>AW12+預測IC!AX12</f>
        <v>0.63454472088242142</v>
      </c>
      <c r="AY12" s="2">
        <f>AX12+預測IC!AY12</f>
        <v>0.64012544728115184</v>
      </c>
      <c r="AZ12" s="2">
        <f>AY12+預測IC!AZ12</f>
        <v>0.65647391874787853</v>
      </c>
      <c r="BA12" s="2">
        <f>AZ12+預測IC!BA12</f>
        <v>0.69596756452278541</v>
      </c>
      <c r="BB12" s="2">
        <f>BA12+預測IC!BB12</f>
        <v>0.72013189880194506</v>
      </c>
      <c r="BC12" s="2">
        <f>BB12+預測IC!BC12</f>
        <v>0.72422433243967566</v>
      </c>
      <c r="BD12" s="2">
        <f>BC12+預測IC!BD12</f>
        <v>0.74946041028623234</v>
      </c>
      <c r="BE12" s="2">
        <f>BD12+預測IC!BE12</f>
        <v>0.71616793464290573</v>
      </c>
      <c r="BF12" s="2">
        <f>BE12+預測IC!BF12</f>
        <v>0.7237964518747142</v>
      </c>
      <c r="BG12" s="2">
        <f>BF12+預測IC!BG12</f>
        <v>0.75058452233938955</v>
      </c>
      <c r="BH12" s="2">
        <f>BG12+預測IC!BH12</f>
        <v>0.81824365433289226</v>
      </c>
      <c r="BI12" s="2">
        <f>BH12+預測IC!BI12</f>
        <v>0.86730379569131666</v>
      </c>
      <c r="BJ12" s="2">
        <f>BI12+預測IC!BJ12</f>
        <v>0.85264080550064203</v>
      </c>
      <c r="BK12" s="2">
        <f>BJ12+預測IC!BK12</f>
        <v>0.83658187220058489</v>
      </c>
      <c r="BL12" s="2">
        <f>BK12+預測IC!BL12</f>
        <v>0.85841023326985988</v>
      </c>
      <c r="BM12" s="2">
        <f>BL12+預測IC!BM12</f>
        <v>0.84770277016341455</v>
      </c>
      <c r="BN12" s="2">
        <f>BM12+預測IC!BN12</f>
        <v>0.84618446308101258</v>
      </c>
      <c r="BO12" s="2">
        <f>BN12+預測IC!BO12</f>
        <v>0.86269070221554434</v>
      </c>
      <c r="BP12" s="2">
        <f>BO12+預測IC!BP12</f>
        <v>0.8838972817926295</v>
      </c>
      <c r="BQ12" s="2">
        <f>BP12+預測IC!BQ12</f>
        <v>0.88845509228267949</v>
      </c>
      <c r="BR12" s="2">
        <f>BQ12+預測IC!BR12</f>
        <v>0.87393494588113285</v>
      </c>
      <c r="BS12" s="2">
        <f>BR12+預測IC!BS12</f>
        <v>0.85491643042313747</v>
      </c>
      <c r="BT12" s="2">
        <f>BS12+預測IC!BT12</f>
        <v>0.84749951394467904</v>
      </c>
      <c r="BU12" s="2">
        <f>BT12+預測IC!BU12</f>
        <v>0.83635291118179855</v>
      </c>
      <c r="BV12" s="2">
        <f>BU12+預測IC!BV12</f>
        <v>0.86390637870907894</v>
      </c>
      <c r="BW12" s="2">
        <f>BV12+預測IC!BW12</f>
        <v>0.81901427665727289</v>
      </c>
      <c r="BX12" s="2">
        <f>BW12+預測IC!BX12</f>
        <v>0.83064787778141314</v>
      </c>
      <c r="BY12" s="2">
        <f>BX12+預測IC!BY12</f>
        <v>0.78158170881228273</v>
      </c>
      <c r="BZ12" s="2">
        <f>BY12+預測IC!BZ12</f>
        <v>0.82814844444872693</v>
      </c>
      <c r="CA12" s="2">
        <f>BZ12+預測IC!CA12</f>
        <v>0.83470343397809399</v>
      </c>
      <c r="CB12" s="2">
        <f>CA12+預測IC!CB12</f>
        <v>0.84299434971741471</v>
      </c>
      <c r="CC12" s="2">
        <f>CB12+預測IC!CC12</f>
        <v>0.89688156052591639</v>
      </c>
      <c r="CD12" s="2">
        <f>CC12+預測IC!CD12</f>
        <v>0.930676021642448</v>
      </c>
      <c r="CE12" s="2">
        <f>CD12+預測IC!CE12</f>
        <v>1.0733239732814668</v>
      </c>
      <c r="CF12" s="2">
        <f>CE12+預測IC!CF12</f>
        <v>1.0969034563176285</v>
      </c>
      <c r="CG12" s="2">
        <f>CF12+預測IC!CG12</f>
        <v>1.1093917852724253</v>
      </c>
      <c r="CH12" s="2">
        <f>CG12+預測IC!CH12</f>
        <v>1.1654568435654777</v>
      </c>
      <c r="CI12" s="2">
        <f>CH12+預測IC!CI12</f>
        <v>1.1643137022144481</v>
      </c>
      <c r="CJ12" s="2">
        <f>CI12+預測IC!CJ12</f>
        <v>1.1281278749112109</v>
      </c>
      <c r="CK12" s="2">
        <f>CJ12+預測IC!CK12</f>
        <v>1.0952122441655427</v>
      </c>
      <c r="CL12" s="2">
        <f>CK12+預測IC!CL12</f>
        <v>1.1731145665146105</v>
      </c>
      <c r="CM12" s="2">
        <f>CL12+預測IC!CM12</f>
        <v>1.1086046158023128</v>
      </c>
      <c r="CN12" s="2">
        <f>CM12+預測IC!CN12</f>
        <v>1.1224162383392382</v>
      </c>
      <c r="CO12" s="2">
        <f>CN12+預測IC!CO12</f>
        <v>1.060777463043965</v>
      </c>
      <c r="CP12" s="2">
        <f>CO12+預測IC!CP12</f>
        <v>1.073746408718641</v>
      </c>
      <c r="CQ12" s="2">
        <f>CP12+預測IC!CQ12</f>
        <v>1.0884841466406638</v>
      </c>
      <c r="CR12" s="2">
        <f>CQ12+預測IC!CR12</f>
        <v>1.0249818292344406</v>
      </c>
      <c r="CS12" s="2">
        <f>CR12+預測IC!CS12</f>
        <v>1.0062373639687605</v>
      </c>
      <c r="CT12" s="2">
        <f>CS12+預測IC!CT12</f>
        <v>1.0510760758160915</v>
      </c>
      <c r="CU12" s="2">
        <f>CT12+預測IC!CU12</f>
        <v>1.0442887159348897</v>
      </c>
      <c r="CV12" s="2">
        <f>CU12+預測IC!CV12</f>
        <v>1.0420898089985917</v>
      </c>
      <c r="CW12" s="2">
        <f>CV12+預測IC!CW12</f>
        <v>1.0328723130074033</v>
      </c>
      <c r="CX12" s="2">
        <f>CW12+預測IC!CX12</f>
        <v>1.116238695781961</v>
      </c>
      <c r="CY12" s="2">
        <f>CX12+預測IC!CY12</f>
        <v>1.1203625193143159</v>
      </c>
      <c r="CZ12" s="2">
        <f>CY12+預測IC!CZ12</f>
        <v>1.2234538412961655</v>
      </c>
      <c r="DA12" s="2">
        <f>CZ12+預測IC!DA12</f>
        <v>1.2533520339862441</v>
      </c>
      <c r="DB12" s="2">
        <f>DA12+預測IC!DB12</f>
        <v>1.3265340260905116</v>
      </c>
      <c r="DC12" s="2">
        <f>DB12+預測IC!DC12</f>
        <v>1.3496962378974535</v>
      </c>
      <c r="DD12" s="2">
        <f>DC12+預測IC!DD12</f>
        <v>1.3244454982526748</v>
      </c>
      <c r="DE12" s="2">
        <f>DD12+預測IC!DE12</f>
        <v>1.2933994391341104</v>
      </c>
      <c r="DF12" s="2">
        <f>DE12+預測IC!DF12</f>
        <v>1.3440686235258807</v>
      </c>
      <c r="DG12" s="2">
        <f>DF12+預測IC!DG12</f>
        <v>1.3017268320616011</v>
      </c>
      <c r="DH12" s="2">
        <f>DG12+預測IC!DH12</f>
        <v>1.3282144075463076</v>
      </c>
      <c r="DI12" s="2">
        <f>DH12+預測IC!DI12</f>
        <v>1.2807881848329206</v>
      </c>
      <c r="DJ12" s="2">
        <f>DI12+預測IC!DJ12</f>
        <v>1.306305848057022</v>
      </c>
      <c r="DK12" s="2">
        <f>DJ12+預測IC!DK12</f>
        <v>1.2665111118702517</v>
      </c>
      <c r="DL12" s="2">
        <f>DK12+預測IC!DL12</f>
        <v>1.2786779239990174</v>
      </c>
      <c r="DM12" s="2">
        <f>DL12+預測IC!DM12</f>
        <v>1.3114416551668031</v>
      </c>
      <c r="DN12" s="2">
        <f>DM12+預測IC!DN12</f>
        <v>1.3115981758148585</v>
      </c>
      <c r="DO12" s="2">
        <f>DN12+預測IC!DO12</f>
        <v>1.2765302684118873</v>
      </c>
      <c r="DP12" s="2">
        <f>DO12+預測IC!DP12</f>
        <v>1.319730860068641</v>
      </c>
      <c r="DQ12" s="2">
        <f>DP12+預測IC!DQ12</f>
        <v>1.2723610245624004</v>
      </c>
      <c r="DR12" s="2">
        <f>DQ12+預測IC!DR12</f>
        <v>1.2921997812808179</v>
      </c>
      <c r="DS12" s="2">
        <f>DR12+預測IC!DS12</f>
        <v>1.2485766885419174</v>
      </c>
      <c r="DT12" s="2">
        <f>DS12+預測IC!DT12</f>
        <v>1.2526573849210854</v>
      </c>
      <c r="DU12" s="2">
        <f>DT12+預測IC!DU12</f>
        <v>1.2130052510245388</v>
      </c>
      <c r="DV12" s="2">
        <f>DU12+預測IC!DV12</f>
        <v>1.197601728107262</v>
      </c>
      <c r="DW12" s="2">
        <f>DV12+預測IC!DW12</f>
        <v>1.2108117196593837</v>
      </c>
      <c r="DX12" s="2">
        <f>DW12+預測IC!DX12</f>
        <v>1.2335946232280339</v>
      </c>
      <c r="DY12" s="2">
        <f>DX12+預測IC!DY12</f>
        <v>1.292721205394715</v>
      </c>
      <c r="DZ12" s="2">
        <f>DY12+預測IC!DZ12</f>
        <v>1.3054126193121942</v>
      </c>
      <c r="EA12" s="2">
        <f>DZ12+預測IC!EA12</f>
        <v>1.3395725449301361</v>
      </c>
      <c r="EB12" s="2">
        <f>EA12+預測IC!EB12</f>
        <v>1.3476133055117443</v>
      </c>
      <c r="EC12" s="2">
        <f>EB12+預測IC!EC12</f>
        <v>1.3519164963765105</v>
      </c>
      <c r="ED12" s="2">
        <f>EC12+預測IC!ED12</f>
        <v>1.3177748985166957</v>
      </c>
      <c r="EE12" s="2">
        <f>ED12+預測IC!EE12</f>
        <v>1.3257706563097491</v>
      </c>
      <c r="EF12" s="2">
        <f>EE12+預測IC!EF12</f>
        <v>1.333202031347011</v>
      </c>
      <c r="EG12" s="2">
        <f>EF12+預測IC!EG12</f>
        <v>1.4198001404587113</v>
      </c>
      <c r="EH12" s="2">
        <f>EG12+預測IC!EH12</f>
        <v>1.4191591339905787</v>
      </c>
      <c r="EI12" s="2">
        <f>EH12+預測IC!EI12</f>
        <v>1.3998458313023101</v>
      </c>
      <c r="EJ12" s="2">
        <f>EI12+預測IC!EJ12</f>
        <v>1.3648302657344111</v>
      </c>
      <c r="EK12" s="2">
        <f>EJ12+預測IC!EK12</f>
        <v>1.4182308392242473</v>
      </c>
      <c r="EL12" s="2">
        <f>EK12+預測IC!EL12</f>
        <v>1.4029634944394815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8.9502648184937583E-2</v>
      </c>
      <c r="E13" s="2">
        <f>D13+預測IC!E13</f>
        <v>0.14689471203419324</v>
      </c>
      <c r="F13" s="2">
        <f>E13+預測IC!F13</f>
        <v>9.3285773521383356E-2</v>
      </c>
      <c r="G13" s="2">
        <f>F13+預測IC!G13</f>
        <v>0.12092544434471024</v>
      </c>
      <c r="H13" s="2">
        <f>G13+預測IC!H13</f>
        <v>0.15120186132662866</v>
      </c>
      <c r="I13" s="2">
        <f>H13+預測IC!I13</f>
        <v>0.18732787331456427</v>
      </c>
      <c r="J13" s="2">
        <f>I13+預測IC!J13</f>
        <v>0.1371809282123064</v>
      </c>
      <c r="K13" s="2">
        <f>J13+預測IC!K13</f>
        <v>0.12120740046684615</v>
      </c>
      <c r="L13" s="2">
        <f>K13+預測IC!L13</f>
        <v>0.10586084526653536</v>
      </c>
      <c r="M13" s="2">
        <f>L13+預測IC!M13</f>
        <v>0.10965721517726622</v>
      </c>
      <c r="N13" s="2">
        <f>M13+預測IC!N13</f>
        <v>0.19080357541586612</v>
      </c>
      <c r="O13" s="2">
        <f>N13+預測IC!O13</f>
        <v>0.22907797062083768</v>
      </c>
      <c r="P13" s="2">
        <f>O13+預測IC!P13</f>
        <v>0.22620147186779604</v>
      </c>
      <c r="Q13" s="2">
        <f>P13+預測IC!Q13</f>
        <v>0.24543023244161483</v>
      </c>
      <c r="R13" s="2">
        <f>Q13+預測IC!R13</f>
        <v>0.2743116502906699</v>
      </c>
      <c r="S13" s="2">
        <f>R13+預測IC!S13</f>
        <v>0.26759224872848264</v>
      </c>
      <c r="T13" s="2">
        <f>S13+預測IC!T13</f>
        <v>0.29447875560412023</v>
      </c>
      <c r="U13" s="2">
        <f>T13+預測IC!U13</f>
        <v>0.30494380412119182</v>
      </c>
      <c r="V13" s="2">
        <f>U13+預測IC!V13</f>
        <v>0.28515040176075584</v>
      </c>
      <c r="W13" s="2">
        <f>V13+預測IC!W13</f>
        <v>0.22528384625497855</v>
      </c>
      <c r="X13" s="2">
        <f>W13+預測IC!X13</f>
        <v>0.2293513580872398</v>
      </c>
      <c r="Y13" s="2">
        <f>X13+預測IC!Y13</f>
        <v>0.19649936833978826</v>
      </c>
      <c r="Z13" s="2">
        <f>Y13+預測IC!Z13</f>
        <v>0.26572826224784751</v>
      </c>
      <c r="AA13" s="2">
        <f>Z13+預測IC!AA13</f>
        <v>0.29889558048903109</v>
      </c>
      <c r="AB13" s="2">
        <f>AA13+預測IC!AB13</f>
        <v>0.3286337637919019</v>
      </c>
      <c r="AC13" s="2">
        <f>AB13+預測IC!AC13</f>
        <v>0.32795171414369578</v>
      </c>
      <c r="AD13" s="2">
        <f>AC13+預測IC!AD13</f>
        <v>0.33946874997225907</v>
      </c>
      <c r="AE13" s="2">
        <f>AD13+預測IC!AE13</f>
        <v>0.31896542193396993</v>
      </c>
      <c r="AF13" s="2">
        <f>AE13+預測IC!AF13</f>
        <v>0.36067192270773163</v>
      </c>
      <c r="AG13" s="2">
        <f>AF13+預測IC!AG13</f>
        <v>0.33975808917374378</v>
      </c>
      <c r="AH13" s="2">
        <f>AG13+預測IC!AH13</f>
        <v>0.36756138813272293</v>
      </c>
      <c r="AI13" s="2">
        <f>AH13+預測IC!AI13</f>
        <v>0.39571259340197507</v>
      </c>
      <c r="AJ13" s="2">
        <f>AI13+預測IC!AJ13</f>
        <v>0.415073283111833</v>
      </c>
      <c r="AK13" s="2">
        <f>AJ13+預測IC!AK13</f>
        <v>0.4413053601622276</v>
      </c>
      <c r="AL13" s="2">
        <f>AK13+預測IC!AL13</f>
        <v>0.45778654381410994</v>
      </c>
      <c r="AM13" s="2">
        <f>AL13+預測IC!AM13</f>
        <v>0.46961270975965336</v>
      </c>
      <c r="AN13" s="2">
        <f>AM13+預測IC!AN13</f>
        <v>0.56828103226334636</v>
      </c>
      <c r="AO13" s="2">
        <f>AN13+預測IC!AO13</f>
        <v>0.60395307807972209</v>
      </c>
      <c r="AP13" s="2">
        <f>AO13+預測IC!AP13</f>
        <v>0.58501414922347705</v>
      </c>
      <c r="AQ13" s="2">
        <f>AP13+預測IC!AQ13</f>
        <v>0.5711842178379265</v>
      </c>
      <c r="AR13" s="2">
        <f>AQ13+預測IC!AR13</f>
        <v>0.55881373498776332</v>
      </c>
      <c r="AS13" s="2">
        <f>AR13+預測IC!AS13</f>
        <v>0.57105534952888137</v>
      </c>
      <c r="AT13" s="2">
        <f>AS13+預測IC!AT13</f>
        <v>0.6387620189413773</v>
      </c>
      <c r="AU13" s="2">
        <f>AT13+預測IC!AU13</f>
        <v>0.70235854011792487</v>
      </c>
      <c r="AV13" s="2">
        <f>AU13+預測IC!AV13</f>
        <v>0.71898887252452703</v>
      </c>
      <c r="AW13" s="2">
        <f>AV13+預測IC!AW13</f>
        <v>0.75078437859292524</v>
      </c>
      <c r="AX13" s="2">
        <f>AW13+預測IC!AX13</f>
        <v>0.71035167814435529</v>
      </c>
      <c r="AY13" s="2">
        <f>AX13+預測IC!AY13</f>
        <v>0.68127396118478467</v>
      </c>
      <c r="AZ13" s="2">
        <f>AY13+預測IC!AZ13</f>
        <v>0.71151064836329692</v>
      </c>
      <c r="BA13" s="2">
        <f>AZ13+預測IC!BA13</f>
        <v>0.77257849114755828</v>
      </c>
      <c r="BB13" s="2">
        <f>BA13+預測IC!BB13</f>
        <v>0.80998370899375338</v>
      </c>
      <c r="BC13" s="2">
        <f>BB13+預測IC!BC13</f>
        <v>0.80595507463489413</v>
      </c>
      <c r="BD13" s="2">
        <f>BC13+預測IC!BD13</f>
        <v>0.85782177387522396</v>
      </c>
      <c r="BE13" s="2">
        <f>BD13+預測IC!BE13</f>
        <v>0.83612896181933372</v>
      </c>
      <c r="BF13" s="2">
        <f>BE13+預測IC!BF13</f>
        <v>0.85190386836541743</v>
      </c>
      <c r="BG13" s="2">
        <f>BF13+預測IC!BG13</f>
        <v>0.89417634374401289</v>
      </c>
      <c r="BH13" s="2">
        <f>BG13+預測IC!BH13</f>
        <v>0.98376263395197483</v>
      </c>
      <c r="BI13" s="2">
        <f>BH13+預測IC!BI13</f>
        <v>1.0164205478764492</v>
      </c>
      <c r="BJ13" s="2">
        <f>BI13+預測IC!BJ13</f>
        <v>1.0167122649781073</v>
      </c>
      <c r="BK13" s="2">
        <f>BJ13+預測IC!BK13</f>
        <v>1.0001522788698729</v>
      </c>
      <c r="BL13" s="2">
        <f>BK13+預測IC!BL13</f>
        <v>1.0306564450667055</v>
      </c>
      <c r="BM13" s="2">
        <f>BL13+預測IC!BM13</f>
        <v>1.0419919401163991</v>
      </c>
      <c r="BN13" s="2">
        <f>BM13+預測IC!BN13</f>
        <v>1.0531527643306755</v>
      </c>
      <c r="BO13" s="2">
        <f>BN13+預測IC!BO13</f>
        <v>1.0683158069171372</v>
      </c>
      <c r="BP13" s="2">
        <f>BO13+預測IC!BP13</f>
        <v>1.1032664119248363</v>
      </c>
      <c r="BQ13" s="2">
        <f>BP13+預測IC!BQ13</f>
        <v>1.1169277396929687</v>
      </c>
      <c r="BR13" s="2">
        <f>BQ13+預測IC!BR13</f>
        <v>1.0983940662565084</v>
      </c>
      <c r="BS13" s="2">
        <f>BR13+預測IC!BS13</f>
        <v>1.0861284673530771</v>
      </c>
      <c r="BT13" s="2">
        <f>BS13+預測IC!BT13</f>
        <v>1.0630943535416595</v>
      </c>
      <c r="BU13" s="2">
        <f>BT13+預測IC!BU13</f>
        <v>1.0071245800862341</v>
      </c>
      <c r="BV13" s="2">
        <f>BU13+預測IC!BV13</f>
        <v>1.0230741894096806</v>
      </c>
      <c r="BW13" s="2">
        <f>BV13+預測IC!BW13</f>
        <v>0.95341819035647413</v>
      </c>
      <c r="BX13" s="2">
        <f>BW13+預測IC!BX13</f>
        <v>0.97441720690786326</v>
      </c>
      <c r="BY13" s="2">
        <f>BX13+預測IC!BY13</f>
        <v>0.92007817436780837</v>
      </c>
      <c r="BZ13" s="2">
        <f>BY13+預測IC!BZ13</f>
        <v>0.98020320413341444</v>
      </c>
      <c r="CA13" s="2">
        <f>BZ13+預測IC!CA13</f>
        <v>0.99889411754088042</v>
      </c>
      <c r="CB13" s="2">
        <f>CA13+預測IC!CB13</f>
        <v>1.0093163700047063</v>
      </c>
      <c r="CC13" s="2">
        <f>CB13+預測IC!CC13</f>
        <v>1.0615771399220018</v>
      </c>
      <c r="CD13" s="2">
        <f>CC13+預測IC!CD13</f>
        <v>1.0941850104723354</v>
      </c>
      <c r="CE13" s="2">
        <f>CD13+預測IC!CE13</f>
        <v>1.2553636691352725</v>
      </c>
      <c r="CF13" s="2">
        <f>CE13+預測IC!CF13</f>
        <v>1.285625133735262</v>
      </c>
      <c r="CG13" s="2">
        <f>CF13+預測IC!CG13</f>
        <v>1.2965830798946087</v>
      </c>
      <c r="CH13" s="2">
        <f>CG13+預測IC!CH13</f>
        <v>1.3764865597875433</v>
      </c>
      <c r="CI13" s="2">
        <f>CH13+預測IC!CI13</f>
        <v>1.3761271190522821</v>
      </c>
      <c r="CJ13" s="2">
        <f>CI13+預測IC!CJ13</f>
        <v>1.32928631532477</v>
      </c>
      <c r="CK13" s="2">
        <f>CJ13+預測IC!CK13</f>
        <v>1.3154611712249289</v>
      </c>
      <c r="CL13" s="2">
        <f>CK13+預測IC!CL13</f>
        <v>1.3713927241865871</v>
      </c>
      <c r="CM13" s="2">
        <f>CL13+預測IC!CM13</f>
        <v>1.3049430645779183</v>
      </c>
      <c r="CN13" s="2">
        <f>CM13+預測IC!CN13</f>
        <v>1.3218399552682667</v>
      </c>
      <c r="CO13" s="2">
        <f>CN13+預測IC!CO13</f>
        <v>1.2335013092504101</v>
      </c>
      <c r="CP13" s="2">
        <f>CO13+預測IC!CP13</f>
        <v>1.2420462869029345</v>
      </c>
      <c r="CQ13" s="2">
        <f>CP13+預測IC!CQ13</f>
        <v>1.2531229546023981</v>
      </c>
      <c r="CR13" s="2">
        <f>CQ13+預測IC!CR13</f>
        <v>1.1443129659154148</v>
      </c>
      <c r="CS13" s="2">
        <f>CR13+預測IC!CS13</f>
        <v>1.1308491618863969</v>
      </c>
      <c r="CT13" s="2">
        <f>CS13+預測IC!CT13</f>
        <v>1.1566582370993328</v>
      </c>
      <c r="CU13" s="2">
        <f>CT13+預測IC!CU13</f>
        <v>1.1327494712027224</v>
      </c>
      <c r="CV13" s="2">
        <f>CU13+預測IC!CV13</f>
        <v>1.1108357936464599</v>
      </c>
      <c r="CW13" s="2">
        <f>CV13+預測IC!CW13</f>
        <v>1.1006100807438353</v>
      </c>
      <c r="CX13" s="2">
        <f>CW13+預測IC!CX13</f>
        <v>1.2184279187005189</v>
      </c>
      <c r="CY13" s="2">
        <f>CX13+預測IC!CY13</f>
        <v>1.2234324346116987</v>
      </c>
      <c r="CZ13" s="2">
        <f>CY13+預測IC!CZ13</f>
        <v>1.3535143277094077</v>
      </c>
      <c r="DA13" s="2">
        <f>CZ13+預測IC!DA13</f>
        <v>1.388136285147237</v>
      </c>
      <c r="DB13" s="2">
        <f>DA13+預測IC!DB13</f>
        <v>1.4864033226018358</v>
      </c>
      <c r="DC13" s="2">
        <f>DB13+預測IC!DC13</f>
        <v>1.5299899488343496</v>
      </c>
      <c r="DD13" s="2">
        <f>DC13+預測IC!DD13</f>
        <v>1.4714701061900282</v>
      </c>
      <c r="DE13" s="2">
        <f>DD13+預測IC!DE13</f>
        <v>1.4505791744115126</v>
      </c>
      <c r="DF13" s="2">
        <f>DE13+預測IC!DF13</f>
        <v>1.5389733562931327</v>
      </c>
      <c r="DG13" s="2">
        <f>DF13+預測IC!DG13</f>
        <v>1.4888362417699028</v>
      </c>
      <c r="DH13" s="2">
        <f>DG13+預測IC!DH13</f>
        <v>1.5171798815067243</v>
      </c>
      <c r="DI13" s="2">
        <f>DH13+預測IC!DI13</f>
        <v>1.4981077065748332</v>
      </c>
      <c r="DJ13" s="2">
        <f>DI13+預測IC!DJ13</f>
        <v>1.5012947456003543</v>
      </c>
      <c r="DK13" s="2">
        <f>DJ13+預測IC!DK13</f>
        <v>1.4859627333337113</v>
      </c>
      <c r="DL13" s="2">
        <f>DK13+預測IC!DL13</f>
        <v>1.5146544955957146</v>
      </c>
      <c r="DM13" s="2">
        <f>DL13+預測IC!DM13</f>
        <v>1.5619684058687171</v>
      </c>
      <c r="DN13" s="2">
        <f>DM13+預測IC!DN13</f>
        <v>1.5696039544661207</v>
      </c>
      <c r="DO13" s="2">
        <f>DN13+預測IC!DO13</f>
        <v>1.5063905603697272</v>
      </c>
      <c r="DP13" s="2">
        <f>DO13+預測IC!DP13</f>
        <v>1.5489956736594022</v>
      </c>
      <c r="DQ13" s="2">
        <f>DP13+預測IC!DQ13</f>
        <v>1.5024784620336959</v>
      </c>
      <c r="DR13" s="2">
        <f>DQ13+預測IC!DR13</f>
        <v>1.5230195956119563</v>
      </c>
      <c r="DS13" s="2">
        <f>DR13+預測IC!DS13</f>
        <v>1.4962758257765816</v>
      </c>
      <c r="DT13" s="2">
        <f>DS13+預測IC!DT13</f>
        <v>1.5158501573054339</v>
      </c>
      <c r="DU13" s="2">
        <f>DT13+預測IC!DU13</f>
        <v>1.463730949920776</v>
      </c>
      <c r="DV13" s="2">
        <f>DU13+預測IC!DV13</f>
        <v>1.4404415726466502</v>
      </c>
      <c r="DW13" s="2">
        <f>DV13+預測IC!DW13</f>
        <v>1.4617083748424189</v>
      </c>
      <c r="DX13" s="2">
        <f>DW13+預測IC!DX13</f>
        <v>1.4896470467595546</v>
      </c>
      <c r="DY13" s="2">
        <f>DX13+預測IC!DY13</f>
        <v>1.571132485515309</v>
      </c>
      <c r="DZ13" s="2">
        <f>DY13+預測IC!DZ13</f>
        <v>1.5546770951211168</v>
      </c>
      <c r="EA13" s="2">
        <f>DZ13+預測IC!EA13</f>
        <v>1.5884580431589181</v>
      </c>
      <c r="EB13" s="2">
        <f>EA13+預測IC!EB13</f>
        <v>1.5696800146839771</v>
      </c>
      <c r="EC13" s="2">
        <f>EB13+預測IC!EC13</f>
        <v>1.5933375917486177</v>
      </c>
      <c r="ED13" s="2">
        <f>EC13+預測IC!ED13</f>
        <v>1.5381087242661866</v>
      </c>
      <c r="EE13" s="2">
        <f>ED13+預測IC!EE13</f>
        <v>1.5425160799674547</v>
      </c>
      <c r="EF13" s="2">
        <f>EE13+預測IC!EF13</f>
        <v>1.5510389897711225</v>
      </c>
      <c r="EG13" s="2">
        <f>EF13+預測IC!EG13</f>
        <v>1.6525040878256123</v>
      </c>
      <c r="EH13" s="2">
        <f>EG13+預測IC!EH13</f>
        <v>1.6516033435308883</v>
      </c>
      <c r="EI13" s="2">
        <f>EH13+預測IC!EI13</f>
        <v>1.6249420192525046</v>
      </c>
      <c r="EJ13" s="2">
        <f>EI13+預測IC!EJ13</f>
        <v>1.5939973167628148</v>
      </c>
      <c r="EK13" s="2">
        <f>EJ13+預測IC!EK13</f>
        <v>1.6351865142047386</v>
      </c>
      <c r="EL13" s="2">
        <f>EK13+預測IC!EL13</f>
        <v>1.6242652562028901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9.7000950289166776E-2</v>
      </c>
      <c r="E14" s="2">
        <f>D14+預測IC!E14</f>
        <v>0.1236761746602051</v>
      </c>
      <c r="F14" s="2">
        <f>E14+預測IC!F14</f>
        <v>0.11511810525017339</v>
      </c>
      <c r="G14" s="2">
        <f>F14+預測IC!G14</f>
        <v>0.25865087233427597</v>
      </c>
      <c r="H14" s="2">
        <f>G14+預測IC!H14</f>
        <v>0.30295188203707873</v>
      </c>
      <c r="I14" s="2">
        <f>H14+預測IC!I14</f>
        <v>0.35932602141146192</v>
      </c>
      <c r="J14" s="2">
        <f>I14+預測IC!J14</f>
        <v>0.33897547905787551</v>
      </c>
      <c r="K14" s="2">
        <f>J14+預測IC!K14</f>
        <v>0.293486810175074</v>
      </c>
      <c r="L14" s="2">
        <f>K14+預測IC!L14</f>
        <v>0.25172316850107734</v>
      </c>
      <c r="M14" s="2">
        <f>L14+預測IC!M14</f>
        <v>0.27165368588745126</v>
      </c>
      <c r="N14" s="2">
        <f>M14+預測IC!N14</f>
        <v>0.36046299099607593</v>
      </c>
      <c r="O14" s="2">
        <f>N14+預測IC!O14</f>
        <v>0.40164804591203174</v>
      </c>
      <c r="P14" s="2">
        <f>O14+預測IC!P14</f>
        <v>0.43569183343340934</v>
      </c>
      <c r="Q14" s="2">
        <f>P14+預測IC!Q14</f>
        <v>0.47629203969341061</v>
      </c>
      <c r="R14" s="2">
        <f>Q14+預測IC!R14</f>
        <v>0.5285525939277288</v>
      </c>
      <c r="S14" s="2">
        <f>R14+預測IC!S14</f>
        <v>0.55880796827990187</v>
      </c>
      <c r="T14" s="2">
        <f>S14+預測IC!T14</f>
        <v>0.52302292529947758</v>
      </c>
      <c r="U14" s="2">
        <f>T14+預測IC!U14</f>
        <v>0.48314051657390333</v>
      </c>
      <c r="V14" s="2">
        <f>U14+預測IC!V14</f>
        <v>0.43275308006843827</v>
      </c>
      <c r="W14" s="2">
        <f>V14+預測IC!W14</f>
        <v>0.38341196362601748</v>
      </c>
      <c r="X14" s="2">
        <f>W14+預測IC!X14</f>
        <v>0.35805220309547547</v>
      </c>
      <c r="Y14" s="2">
        <f>X14+預測IC!Y14</f>
        <v>0.29389207533949757</v>
      </c>
      <c r="Z14" s="2">
        <f>Y14+預測IC!Z14</f>
        <v>0.37929621217959136</v>
      </c>
      <c r="AA14" s="2">
        <f>Z14+預測IC!AA14</f>
        <v>0.45231572435127121</v>
      </c>
      <c r="AB14" s="2">
        <f>AA14+預測IC!AB14</f>
        <v>0.48692638563499041</v>
      </c>
      <c r="AC14" s="2">
        <f>AB14+預測IC!AC14</f>
        <v>0.47170352671174653</v>
      </c>
      <c r="AD14" s="2">
        <f>AC14+預測IC!AD14</f>
        <v>0.44818921699872516</v>
      </c>
      <c r="AE14" s="2">
        <f>AD14+預測IC!AE14</f>
        <v>0.42522224347162679</v>
      </c>
      <c r="AF14" s="2">
        <f>AE14+預測IC!AF14</f>
        <v>0.43294618134297203</v>
      </c>
      <c r="AG14" s="2">
        <f>AF14+預測IC!AG14</f>
        <v>0.42345843468422145</v>
      </c>
      <c r="AH14" s="2">
        <f>AG14+預測IC!AH14</f>
        <v>0.44717426997694742</v>
      </c>
      <c r="AI14" s="2">
        <f>AH14+預測IC!AI14</f>
        <v>0.51141418954418205</v>
      </c>
      <c r="AJ14" s="2">
        <f>AI14+預測IC!AJ14</f>
        <v>0.53865023013945645</v>
      </c>
      <c r="AK14" s="2">
        <f>AJ14+預測IC!AK14</f>
        <v>0.55084144897072762</v>
      </c>
      <c r="AL14" s="2">
        <f>AK14+預測IC!AL14</f>
        <v>0.56183196984137151</v>
      </c>
      <c r="AM14" s="2">
        <f>AL14+預測IC!AM14</f>
        <v>0.584808081261178</v>
      </c>
      <c r="AN14" s="2">
        <f>AM14+預測IC!AN14</f>
        <v>0.68360828907828342</v>
      </c>
      <c r="AO14" s="2">
        <f>AN14+預測IC!AO14</f>
        <v>0.70334047157452528</v>
      </c>
      <c r="AP14" s="2">
        <f>AO14+預測IC!AP14</f>
        <v>0.65460161402813755</v>
      </c>
      <c r="AQ14" s="2">
        <f>AP14+預測IC!AQ14</f>
        <v>0.65728444331976621</v>
      </c>
      <c r="AR14" s="2">
        <f>AQ14+預測IC!AR14</f>
        <v>0.63574724452083931</v>
      </c>
      <c r="AS14" s="2">
        <f>AR14+預測IC!AS14</f>
        <v>0.64416533312434343</v>
      </c>
      <c r="AT14" s="2">
        <f>AS14+預測IC!AT14</f>
        <v>0.75758454938315223</v>
      </c>
      <c r="AU14" s="2">
        <f>AT14+預測IC!AU14</f>
        <v>0.79732591427005828</v>
      </c>
      <c r="AV14" s="2">
        <f>AU14+預測IC!AV14</f>
        <v>0.78549779542734433</v>
      </c>
      <c r="AW14" s="2">
        <f>AV14+預測IC!AW14</f>
        <v>0.82600374107724095</v>
      </c>
      <c r="AX14" s="2">
        <f>AW14+預測IC!AX14</f>
        <v>0.77269078632347699</v>
      </c>
      <c r="AY14" s="2">
        <f>AX14+預測IC!AY14</f>
        <v>0.75221606296131105</v>
      </c>
      <c r="AZ14" s="2">
        <f>AY14+預測IC!AZ14</f>
        <v>0.75194644241081909</v>
      </c>
      <c r="BA14" s="2">
        <f>AZ14+預測IC!BA14</f>
        <v>0.81068936113206225</v>
      </c>
      <c r="BB14" s="2">
        <f>BA14+預測IC!BB14</f>
        <v>0.855063553704414</v>
      </c>
      <c r="BC14" s="2">
        <f>BB14+預測IC!BC14</f>
        <v>0.8607667573998401</v>
      </c>
      <c r="BD14" s="2">
        <f>BC14+預測IC!BD14</f>
        <v>0.88593404319454983</v>
      </c>
      <c r="BE14" s="2">
        <f>BD14+預測IC!BE14</f>
        <v>0.85584183897609578</v>
      </c>
      <c r="BF14" s="2">
        <f>BE14+預測IC!BF14</f>
        <v>0.88307959395978786</v>
      </c>
      <c r="BG14" s="2">
        <f>BF14+預測IC!BG14</f>
        <v>0.94785704417083916</v>
      </c>
      <c r="BH14" s="2">
        <f>BG14+預測IC!BH14</f>
        <v>1.0414354891981747</v>
      </c>
      <c r="BI14" s="2">
        <f>BH14+預測IC!BI14</f>
        <v>1.0646250926954575</v>
      </c>
      <c r="BJ14" s="2">
        <f>BI14+預測IC!BJ14</f>
        <v>1.0531837998675087</v>
      </c>
      <c r="BK14" s="2">
        <f>BJ14+預測IC!BK14</f>
        <v>1.0677567307064439</v>
      </c>
      <c r="BL14" s="2">
        <f>BK14+預測IC!BL14</f>
        <v>1.102360187642611</v>
      </c>
      <c r="BM14" s="2">
        <f>BL14+預測IC!BM14</f>
        <v>1.078260288559824</v>
      </c>
      <c r="BN14" s="2">
        <f>BM14+預測IC!BN14</f>
        <v>1.1304644507618524</v>
      </c>
      <c r="BO14" s="2">
        <f>BN14+預測IC!BO14</f>
        <v>1.1597424300414461</v>
      </c>
      <c r="BP14" s="2">
        <f>BO14+預測IC!BP14</f>
        <v>1.2115355894648838</v>
      </c>
      <c r="BQ14" s="2">
        <f>BP14+預測IC!BQ14</f>
        <v>1.1971718491402059</v>
      </c>
      <c r="BR14" s="2">
        <f>BQ14+預測IC!BR14</f>
        <v>1.1892374018465284</v>
      </c>
      <c r="BS14" s="2">
        <f>BR14+預測IC!BS14</f>
        <v>1.1996930505067376</v>
      </c>
      <c r="BT14" s="2">
        <f>BS14+預測IC!BT14</f>
        <v>1.1238286132113242</v>
      </c>
      <c r="BU14" s="2">
        <f>BT14+預測IC!BU14</f>
        <v>1.0259766562291965</v>
      </c>
      <c r="BV14" s="2">
        <f>BU14+預測IC!BV14</f>
        <v>1.0744441159529674</v>
      </c>
      <c r="BW14" s="2">
        <f>BV14+預測IC!BW14</f>
        <v>0.90146179417622219</v>
      </c>
      <c r="BX14" s="2">
        <f>BW14+預測IC!BX14</f>
        <v>0.99006268772800798</v>
      </c>
      <c r="BY14" s="2">
        <f>BX14+預測IC!BY14</f>
        <v>0.94706843397639062</v>
      </c>
      <c r="BZ14" s="2">
        <f>BY14+預測IC!BZ14</f>
        <v>1.0174793429959132</v>
      </c>
      <c r="CA14" s="2">
        <f>BZ14+預測IC!CA14</f>
        <v>1.0192010805875054</v>
      </c>
      <c r="CB14" s="2">
        <f>CA14+預測IC!CB14</f>
        <v>1.0343510374659926</v>
      </c>
      <c r="CC14" s="2">
        <f>CB14+預測IC!CC14</f>
        <v>1.0724312501730766</v>
      </c>
      <c r="CD14" s="2">
        <f>CC14+預測IC!CD14</f>
        <v>1.0697900385965819</v>
      </c>
      <c r="CE14" s="2">
        <f>CD14+預測IC!CE14</f>
        <v>1.165013155549627</v>
      </c>
      <c r="CF14" s="2">
        <f>CE14+預測IC!CF14</f>
        <v>1.1724603790631853</v>
      </c>
      <c r="CG14" s="2">
        <f>CF14+預測IC!CG14</f>
        <v>1.2201369479925446</v>
      </c>
      <c r="CH14" s="2">
        <f>CG14+預測IC!CH14</f>
        <v>1.3736587357310057</v>
      </c>
      <c r="CI14" s="2">
        <f>CH14+預測IC!CI14</f>
        <v>1.3540363850496557</v>
      </c>
      <c r="CJ14" s="2">
        <f>CI14+預測IC!CJ14</f>
        <v>1.2918591627991352</v>
      </c>
      <c r="CK14" s="2">
        <f>CJ14+預測IC!CK14</f>
        <v>1.2055494359984054</v>
      </c>
      <c r="CL14" s="2">
        <f>CK14+預測IC!CL14</f>
        <v>1.2779939757986081</v>
      </c>
      <c r="CM14" s="2">
        <f>CL14+預測IC!CM14</f>
        <v>1.2465758273812522</v>
      </c>
      <c r="CN14" s="2">
        <f>CM14+預測IC!CN14</f>
        <v>1.2570161973647447</v>
      </c>
      <c r="CO14" s="2">
        <f>CN14+預測IC!CO14</f>
        <v>1.1158538925803017</v>
      </c>
      <c r="CP14" s="2">
        <f>CO14+預測IC!CP14</f>
        <v>1.1451385973144825</v>
      </c>
      <c r="CQ14" s="2">
        <f>CP14+預測IC!CQ14</f>
        <v>1.1730124937188695</v>
      </c>
      <c r="CR14" s="2">
        <f>CQ14+預測IC!CR14</f>
        <v>0.9644164699081057</v>
      </c>
      <c r="CS14" s="2">
        <f>CR14+預測IC!CS14</f>
        <v>0.91586991369131832</v>
      </c>
      <c r="CT14" s="2">
        <f>CS14+預測IC!CT14</f>
        <v>0.95949797662479996</v>
      </c>
      <c r="CU14" s="2">
        <f>CT14+預測IC!CU14</f>
        <v>0.92542785773755354</v>
      </c>
      <c r="CV14" s="2">
        <f>CU14+預測IC!CV14</f>
        <v>0.89043931382038255</v>
      </c>
      <c r="CW14" s="2">
        <f>CV14+預測IC!CW14</f>
        <v>0.8503577088971831</v>
      </c>
      <c r="CX14" s="2">
        <f>CW14+預測IC!CX14</f>
        <v>0.99565551672274766</v>
      </c>
      <c r="CY14" s="2">
        <f>CX14+預測IC!CY14</f>
        <v>0.98917968342412543</v>
      </c>
      <c r="CZ14" s="2">
        <f>CY14+預測IC!CZ14</f>
        <v>1.17117955134982</v>
      </c>
      <c r="DA14" s="2">
        <f>CZ14+預測IC!DA14</f>
        <v>1.2329653428637455</v>
      </c>
      <c r="DB14" s="2">
        <f>DA14+預測IC!DB14</f>
        <v>1.276174372046563</v>
      </c>
      <c r="DC14" s="2">
        <f>DB14+預測IC!DC14</f>
        <v>1.3175851163957322</v>
      </c>
      <c r="DD14" s="2">
        <f>DC14+預測IC!DD14</f>
        <v>1.2737249131363599</v>
      </c>
      <c r="DE14" s="2">
        <f>DD14+預測IC!DE14</f>
        <v>1.2662075502252821</v>
      </c>
      <c r="DF14" s="2">
        <f>DE14+預測IC!DF14</f>
        <v>1.339001406066765</v>
      </c>
      <c r="DG14" s="2">
        <f>DF14+預測IC!DG14</f>
        <v>1.2930179706463958</v>
      </c>
      <c r="DH14" s="2">
        <f>DG14+預測IC!DH14</f>
        <v>1.3718213991875974</v>
      </c>
      <c r="DI14" s="2">
        <f>DH14+預測IC!DI14</f>
        <v>1.3666278017451066</v>
      </c>
      <c r="DJ14" s="2">
        <f>DI14+預測IC!DJ14</f>
        <v>1.3856063074428779</v>
      </c>
      <c r="DK14" s="2">
        <f>DJ14+預測IC!DK14</f>
        <v>1.3332535532887522</v>
      </c>
      <c r="DL14" s="2">
        <f>DK14+預測IC!DL14</f>
        <v>1.334662159357751</v>
      </c>
      <c r="DM14" s="2">
        <f>DL14+預測IC!DM14</f>
        <v>1.3920831031854444</v>
      </c>
      <c r="DN14" s="2">
        <f>DM14+預測IC!DN14</f>
        <v>1.4343786790861941</v>
      </c>
      <c r="DO14" s="2">
        <f>DN14+預測IC!DO14</f>
        <v>1.3117524719167386</v>
      </c>
      <c r="DP14" s="2">
        <f>DO14+預測IC!DP14</f>
        <v>1.3201058040664269</v>
      </c>
      <c r="DQ14" s="2">
        <f>DP14+預測IC!DQ14</f>
        <v>1.3004806596724838</v>
      </c>
      <c r="DR14" s="2">
        <f>DQ14+預測IC!DR14</f>
        <v>1.3055769962243007</v>
      </c>
      <c r="DS14" s="2">
        <f>DR14+預測IC!DS14</f>
        <v>1.2758144598385395</v>
      </c>
      <c r="DT14" s="2">
        <f>DS14+預測IC!DT14</f>
        <v>1.2737588858441939</v>
      </c>
      <c r="DU14" s="2">
        <f>DT14+預測IC!DU14</f>
        <v>1.2321453792143591</v>
      </c>
      <c r="DV14" s="2">
        <f>DU14+預測IC!DV14</f>
        <v>1.1914680697274651</v>
      </c>
      <c r="DW14" s="2">
        <f>DV14+預測IC!DW14</f>
        <v>1.2439468294207279</v>
      </c>
      <c r="DX14" s="2">
        <f>DW14+預測IC!DX14</f>
        <v>1.3108063922139741</v>
      </c>
      <c r="DY14" s="2">
        <f>DX14+預測IC!DY14</f>
        <v>1.4040767831613195</v>
      </c>
      <c r="DZ14" s="2">
        <f>DY14+預測IC!DZ14</f>
        <v>1.3962700109340223</v>
      </c>
      <c r="EA14" s="2">
        <f>DZ14+預測IC!EA14</f>
        <v>1.442291531893457</v>
      </c>
      <c r="EB14" s="2">
        <f>EA14+預測IC!EB14</f>
        <v>1.4233642471345422</v>
      </c>
      <c r="EC14" s="2">
        <f>EB14+預測IC!EC14</f>
        <v>1.4584626373302452</v>
      </c>
      <c r="ED14" s="2">
        <f>EC14+預測IC!ED14</f>
        <v>1.3913414516832234</v>
      </c>
      <c r="EE14" s="2">
        <f>ED14+預測IC!EE14</f>
        <v>1.3923262510099186</v>
      </c>
      <c r="EF14" s="2">
        <f>EE14+預測IC!EF14</f>
        <v>1.3684661171643278</v>
      </c>
      <c r="EG14" s="2">
        <f>EF14+預測IC!EG14</f>
        <v>1.5205877284115346</v>
      </c>
      <c r="EH14" s="2">
        <f>EG14+預測IC!EH14</f>
        <v>1.5288604287994416</v>
      </c>
      <c r="EI14" s="2">
        <f>EH14+預測IC!EI14</f>
        <v>1.4790493078684863</v>
      </c>
      <c r="EJ14" s="2">
        <f>EI14+預測IC!EJ14</f>
        <v>1.436302301051072</v>
      </c>
      <c r="EK14" s="2">
        <f>EJ14+預測IC!EK14</f>
        <v>1.4818346141335534</v>
      </c>
      <c r="EL14" s="2">
        <f>EK14+預測IC!EL14</f>
        <v>1.4776525934595555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8.0919344496346315E-2</v>
      </c>
      <c r="E15" s="2">
        <f>D15+預測IC!E15</f>
        <v>0.11132876331910618</v>
      </c>
      <c r="F15" s="2">
        <f>E15+預測IC!F15</f>
        <v>9.5181771968293055E-2</v>
      </c>
      <c r="G15" s="2">
        <f>F15+預測IC!G15</f>
        <v>0.26831971012766187</v>
      </c>
      <c r="H15" s="2">
        <f>G15+預測IC!H15</f>
        <v>0.25515264663158721</v>
      </c>
      <c r="I15" s="2">
        <f>H15+預測IC!I15</f>
        <v>0.35826281769504698</v>
      </c>
      <c r="J15" s="2">
        <f>I15+預測IC!J15</f>
        <v>0.34925252894418768</v>
      </c>
      <c r="K15" s="2">
        <f>J15+預測IC!K15</f>
        <v>0.4090250648309528</v>
      </c>
      <c r="L15" s="2">
        <f>K15+預測IC!L15</f>
        <v>0.37696504536252995</v>
      </c>
      <c r="M15" s="2">
        <f>L15+預測IC!M15</f>
        <v>0.40835245149020682</v>
      </c>
      <c r="N15" s="2">
        <f>M15+預測IC!N15</f>
        <v>0.52991247447215417</v>
      </c>
      <c r="O15" s="2">
        <f>N15+預測IC!O15</f>
        <v>0.59032460707330991</v>
      </c>
      <c r="P15" s="2">
        <f>O15+預測IC!P15</f>
        <v>0.60855494861661086</v>
      </c>
      <c r="Q15" s="2">
        <f>P15+預測IC!Q15</f>
        <v>0.67118178857778554</v>
      </c>
      <c r="R15" s="2">
        <f>Q15+預測IC!R15</f>
        <v>0.80886660634399121</v>
      </c>
      <c r="S15" s="2">
        <f>R15+預測IC!S15</f>
        <v>0.81571905946173573</v>
      </c>
      <c r="T15" s="2">
        <f>S15+預測IC!T15</f>
        <v>0.81101883890455062</v>
      </c>
      <c r="U15" s="2">
        <f>T15+預測IC!U15</f>
        <v>0.7575270114668804</v>
      </c>
      <c r="V15" s="2">
        <f>U15+預測IC!V15</f>
        <v>0.68499986006026214</v>
      </c>
      <c r="W15" s="2">
        <f>V15+預測IC!W15</f>
        <v>0.59233696374684996</v>
      </c>
      <c r="X15" s="2">
        <f>W15+預測IC!X15</f>
        <v>0.57894825702736252</v>
      </c>
      <c r="Y15" s="2">
        <f>X15+預測IC!Y15</f>
        <v>0.48515130642197757</v>
      </c>
      <c r="Z15" s="2">
        <f>Y15+預測IC!Z15</f>
        <v>0.5277165022241419</v>
      </c>
      <c r="AA15" s="2">
        <f>Z15+預測IC!AA15</f>
        <v>0.63248162363361504</v>
      </c>
      <c r="AB15" s="2">
        <f>AA15+預測IC!AB15</f>
        <v>0.69028786868484215</v>
      </c>
      <c r="AC15" s="2">
        <f>AB15+預測IC!AC15</f>
        <v>0.72354458892234241</v>
      </c>
      <c r="AD15" s="2">
        <f>AC15+預測IC!AD15</f>
        <v>0.66673774707114453</v>
      </c>
      <c r="AE15" s="2">
        <f>AD15+預測IC!AE15</f>
        <v>0.64222229372566353</v>
      </c>
      <c r="AF15" s="2">
        <f>AE15+預測IC!AF15</f>
        <v>0.63146954988073845</v>
      </c>
      <c r="AG15" s="2">
        <f>AF15+預測IC!AG15</f>
        <v>0.60225705072497293</v>
      </c>
      <c r="AH15" s="2">
        <f>AG15+預測IC!AH15</f>
        <v>0.68625972073666153</v>
      </c>
      <c r="AI15" s="2">
        <f>AH15+預測IC!AI15</f>
        <v>0.72359072961387327</v>
      </c>
      <c r="AJ15" s="2">
        <f>AI15+預測IC!AJ15</f>
        <v>0.74454487451189066</v>
      </c>
      <c r="AK15" s="2">
        <f>AJ15+預測IC!AK15</f>
        <v>0.74497813341796348</v>
      </c>
      <c r="AL15" s="2">
        <f>AK15+預測IC!AL15</f>
        <v>0.74363857167864489</v>
      </c>
      <c r="AM15" s="2">
        <f>AL15+預測IC!AM15</f>
        <v>0.7505933378816344</v>
      </c>
      <c r="AN15" s="2">
        <f>AM15+預測IC!AN15</f>
        <v>0.86428498437752432</v>
      </c>
      <c r="AO15" s="2">
        <f>AN15+預測IC!AO15</f>
        <v>0.88530475096459027</v>
      </c>
      <c r="AP15" s="2">
        <f>AO15+預測IC!AP15</f>
        <v>0.83085367325727033</v>
      </c>
      <c r="AQ15" s="2">
        <f>AP15+預測IC!AQ15</f>
        <v>0.83272256616823193</v>
      </c>
      <c r="AR15" s="2">
        <f>AQ15+預測IC!AR15</f>
        <v>0.83407148651289842</v>
      </c>
      <c r="AS15" s="2">
        <f>AR15+預測IC!AS15</f>
        <v>0.78238372093812014</v>
      </c>
      <c r="AT15" s="2">
        <f>AS15+預測IC!AT15</f>
        <v>0.94066440226117143</v>
      </c>
      <c r="AU15" s="2">
        <f>AT15+預測IC!AU15</f>
        <v>0.95641226228979848</v>
      </c>
      <c r="AV15" s="2">
        <f>AU15+預測IC!AV15</f>
        <v>0.93047168287076831</v>
      </c>
      <c r="AW15" s="2">
        <f>AV15+預測IC!AW15</f>
        <v>1.012330038301364</v>
      </c>
      <c r="AX15" s="2">
        <f>AW15+預測IC!AX15</f>
        <v>0.91453760203180745</v>
      </c>
      <c r="AY15" s="2">
        <f>AX15+預測IC!AY15</f>
        <v>0.90535995369037259</v>
      </c>
      <c r="AZ15" s="2">
        <f>AY15+預測IC!AZ15</f>
        <v>0.95066994166946439</v>
      </c>
      <c r="BA15" s="2">
        <f>AZ15+預測IC!BA15</f>
        <v>0.96541485974755958</v>
      </c>
      <c r="BB15" s="2">
        <f>BA15+預測IC!BB15</f>
        <v>0.94164709814128444</v>
      </c>
      <c r="BC15" s="2">
        <f>BB15+預測IC!BC15</f>
        <v>0.97842089812336108</v>
      </c>
      <c r="BD15" s="2">
        <f>BC15+預測IC!BD15</f>
        <v>0.98894317673157039</v>
      </c>
      <c r="BE15" s="2">
        <f>BD15+預測IC!BE15</f>
        <v>0.96314684035090703</v>
      </c>
      <c r="BF15" s="2">
        <f>BE15+預測IC!BF15</f>
        <v>0.94687725001820566</v>
      </c>
      <c r="BG15" s="2">
        <f>BF15+預測IC!BG15</f>
        <v>1.0143043052568788</v>
      </c>
      <c r="BH15" s="2">
        <f>BG15+預測IC!BH15</f>
        <v>1.1374100022695968</v>
      </c>
      <c r="BI15" s="2">
        <f>BH15+預測IC!BI15</f>
        <v>1.157347447709546</v>
      </c>
      <c r="BJ15" s="2">
        <f>BI15+預測IC!BJ15</f>
        <v>1.1678082374864127</v>
      </c>
      <c r="BK15" s="2">
        <f>BJ15+預測IC!BK15</f>
        <v>1.2313153134202164</v>
      </c>
      <c r="BL15" s="2">
        <f>BK15+預測IC!BL15</f>
        <v>1.2628186329697768</v>
      </c>
      <c r="BM15" s="2">
        <f>BL15+預測IC!BM15</f>
        <v>1.2301706192599036</v>
      </c>
      <c r="BN15" s="2">
        <f>BM15+預測IC!BN15</f>
        <v>1.2972609705318918</v>
      </c>
      <c r="BO15" s="2">
        <f>BN15+預測IC!BO15</f>
        <v>1.3058259574265845</v>
      </c>
      <c r="BP15" s="2">
        <f>BO15+預測IC!BP15</f>
        <v>1.3760030865184258</v>
      </c>
      <c r="BQ15" s="2">
        <f>BP15+預測IC!BQ15</f>
        <v>1.3720748067543291</v>
      </c>
      <c r="BR15" s="2">
        <f>BQ15+預測IC!BR15</f>
        <v>1.4153897405591984</v>
      </c>
      <c r="BS15" s="2">
        <f>BR15+預測IC!BS15</f>
        <v>1.4207823649084972</v>
      </c>
      <c r="BT15" s="2">
        <f>BS15+預測IC!BT15</f>
        <v>1.3812534988972494</v>
      </c>
      <c r="BU15" s="2">
        <f>BT15+預測IC!BU15</f>
        <v>1.2863650675961831</v>
      </c>
      <c r="BV15" s="2">
        <f>BU15+預測IC!BV15</f>
        <v>1.34118494379338</v>
      </c>
      <c r="BW15" s="2">
        <f>BV15+預測IC!BW15</f>
        <v>1.0227610031680847</v>
      </c>
      <c r="BX15" s="2">
        <f>BW15+預測IC!BX15</f>
        <v>1.0792852099073433</v>
      </c>
      <c r="BY15" s="2">
        <f>BX15+預測IC!BY15</f>
        <v>0.99740303420043042</v>
      </c>
      <c r="BZ15" s="2">
        <f>BY15+預測IC!BZ15</f>
        <v>1.1370048909758113</v>
      </c>
      <c r="CA15" s="2">
        <f>BZ15+預測IC!CA15</f>
        <v>1.1507783475779854</v>
      </c>
      <c r="CB15" s="2">
        <f>CA15+預測IC!CB15</f>
        <v>1.2465439644357439</v>
      </c>
      <c r="CC15" s="2">
        <f>CB15+預測IC!CC15</f>
        <v>1.2984318254052047</v>
      </c>
      <c r="CD15" s="2">
        <f>CC15+預測IC!CD15</f>
        <v>1.3046946842456282</v>
      </c>
      <c r="CE15" s="2">
        <f>CD15+預測IC!CE15</f>
        <v>1.3860207786795185</v>
      </c>
      <c r="CF15" s="2">
        <f>CE15+預測IC!CF15</f>
        <v>1.4004897209672624</v>
      </c>
      <c r="CG15" s="2">
        <f>CF15+預測IC!CG15</f>
        <v>1.4345194449835714</v>
      </c>
      <c r="CH15" s="2">
        <f>CG15+預測IC!CH15</f>
        <v>1.6005162226216401</v>
      </c>
      <c r="CI15" s="2">
        <f>CH15+預測IC!CI15</f>
        <v>1.5130222008380958</v>
      </c>
      <c r="CJ15" s="2">
        <f>CI15+預測IC!CJ15</f>
        <v>1.3817292028103403</v>
      </c>
      <c r="CK15" s="2">
        <f>CJ15+預測IC!CK15</f>
        <v>1.2908682935930742</v>
      </c>
      <c r="CL15" s="2">
        <f>CK15+預測IC!CL15</f>
        <v>1.2712297867553126</v>
      </c>
      <c r="CM15" s="2">
        <f>CL15+預測IC!CM15</f>
        <v>1.2696892085860234</v>
      </c>
      <c r="CN15" s="2">
        <f>CM15+預測IC!CN15</f>
        <v>1.2688155229920519</v>
      </c>
      <c r="CO15" s="2">
        <f>CN15+預測IC!CO15</f>
        <v>0.99487139725363571</v>
      </c>
      <c r="CP15" s="2">
        <f>CO15+預測IC!CP15</f>
        <v>1.0487202435101275</v>
      </c>
      <c r="CQ15" s="2">
        <f>CP15+預測IC!CQ15</f>
        <v>1.0878375130232167</v>
      </c>
      <c r="CR15" s="2">
        <f>CQ15+預測IC!CR15</f>
        <v>1.0463016728054322</v>
      </c>
      <c r="CS15" s="2">
        <f>CR15+預測IC!CS15</f>
        <v>0.99243017778624976</v>
      </c>
      <c r="CT15" s="2">
        <f>CS15+預測IC!CT15</f>
        <v>0.98108114077655695</v>
      </c>
      <c r="CU15" s="2">
        <f>CT15+預測IC!CU15</f>
        <v>0.96256783472389496</v>
      </c>
      <c r="CV15" s="2">
        <f>CU15+預測IC!CV15</f>
        <v>0.88875464076903143</v>
      </c>
      <c r="CW15" s="2">
        <f>CV15+預測IC!CW15</f>
        <v>0.86590855194893313</v>
      </c>
      <c r="CX15" s="2">
        <f>CW15+預測IC!CX15</f>
        <v>0.99468545510285367</v>
      </c>
      <c r="CY15" s="2">
        <f>CX15+預測IC!CY15</f>
        <v>0.97460538546224607</v>
      </c>
      <c r="CZ15" s="2">
        <f>CY15+預測IC!CZ15</f>
        <v>1.1689004907339364</v>
      </c>
      <c r="DA15" s="2">
        <f>CZ15+預測IC!DA15</f>
        <v>1.2909374219923162</v>
      </c>
      <c r="DB15" s="2">
        <f>DA15+預測IC!DB15</f>
        <v>1.3271006694567435</v>
      </c>
      <c r="DC15" s="2">
        <f>DB15+預測IC!DC15</f>
        <v>1.3950362535015273</v>
      </c>
      <c r="DD15" s="2">
        <f>DC15+預測IC!DD15</f>
        <v>1.3026864867187158</v>
      </c>
      <c r="DE15" s="2">
        <f>DD15+預測IC!DE15</f>
        <v>1.2601703358988456</v>
      </c>
      <c r="DF15" s="2">
        <f>DE15+預測IC!DF15</f>
        <v>1.3569559273161853</v>
      </c>
      <c r="DG15" s="2">
        <f>DF15+預測IC!DG15</f>
        <v>1.3006797632948579</v>
      </c>
      <c r="DH15" s="2">
        <f>DG15+預測IC!DH15</f>
        <v>1.3393127831781215</v>
      </c>
      <c r="DI15" s="2">
        <f>DH15+預測IC!DI15</f>
        <v>1.3266112080165784</v>
      </c>
      <c r="DJ15" s="2">
        <f>DI15+預測IC!DJ15</f>
        <v>1.3951696751289564</v>
      </c>
      <c r="DK15" s="2">
        <f>DJ15+預測IC!DK15</f>
        <v>1.3265665927338322</v>
      </c>
      <c r="DL15" s="2">
        <f>DK15+預測IC!DL15</f>
        <v>1.3473981947834974</v>
      </c>
      <c r="DM15" s="2">
        <f>DL15+預測IC!DM15</f>
        <v>1.4023354563318065</v>
      </c>
      <c r="DN15" s="2">
        <f>DM15+預測IC!DN15</f>
        <v>1.4215702855177021</v>
      </c>
      <c r="DO15" s="2">
        <f>DN15+預測IC!DO15</f>
        <v>1.207597008210145</v>
      </c>
      <c r="DP15" s="2">
        <f>DO15+預測IC!DP15</f>
        <v>1.2434972633236716</v>
      </c>
      <c r="DQ15" s="2">
        <f>DP15+預測IC!DQ15</f>
        <v>1.1839952776580116</v>
      </c>
      <c r="DR15" s="2">
        <f>DQ15+預測IC!DR15</f>
        <v>1.1525611990059279</v>
      </c>
      <c r="DS15" s="2">
        <f>DR15+預測IC!DS15</f>
        <v>1.0660463192770671</v>
      </c>
      <c r="DT15" s="2">
        <f>DS15+預測IC!DT15</f>
        <v>1.0585015093093</v>
      </c>
      <c r="DU15" s="2">
        <f>DT15+預測IC!DU15</f>
        <v>1.0502298393994427</v>
      </c>
      <c r="DV15" s="2">
        <f>DU15+預測IC!DV15</f>
        <v>0.90046296665421621</v>
      </c>
      <c r="DW15" s="2">
        <f>DV15+預測IC!DW15</f>
        <v>0.97239175931172217</v>
      </c>
      <c r="DX15" s="2">
        <f>DW15+預測IC!DX15</f>
        <v>1.0551492529365492</v>
      </c>
      <c r="DY15" s="2">
        <f>DX15+預測IC!DY15</f>
        <v>1.2190434533051258</v>
      </c>
      <c r="DZ15" s="2">
        <f>DY15+預測IC!DZ15</f>
        <v>1.1828202191440795</v>
      </c>
      <c r="EA15" s="2">
        <f>DZ15+預測IC!EA15</f>
        <v>1.1793008691274647</v>
      </c>
      <c r="EB15" s="2">
        <f>EA15+預測IC!EB15</f>
        <v>1.1185243787234629</v>
      </c>
      <c r="EC15" s="2">
        <f>EB15+預測IC!EC15</f>
        <v>1.1630480102281293</v>
      </c>
      <c r="ED15" s="2">
        <f>EC15+預測IC!ED15</f>
        <v>1.0311975553308994</v>
      </c>
      <c r="EE15" s="2">
        <f>ED15+預測IC!EE15</f>
        <v>1.0473972040848667</v>
      </c>
      <c r="EF15" s="2">
        <f>EE15+預測IC!EF15</f>
        <v>0.97292677773292779</v>
      </c>
      <c r="EG15" s="2">
        <f>EF15+預測IC!EG15</f>
        <v>1.236802668971875</v>
      </c>
      <c r="EH15" s="2">
        <f>EG15+預測IC!EH15</f>
        <v>1.2679522237668801</v>
      </c>
      <c r="EI15" s="2">
        <f>EH15+預測IC!EI15</f>
        <v>1.1963668437938626</v>
      </c>
      <c r="EJ15" s="2">
        <f>EI15+預測IC!EJ15</f>
        <v>1.1337985275650528</v>
      </c>
      <c r="EK15" s="2">
        <f>EJ15+預測IC!EK15</f>
        <v>1.1602896893978911</v>
      </c>
      <c r="EL15" s="2">
        <f>EK15+預測IC!EL15</f>
        <v>1.1653899915448618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7.9909884470312803E-2</v>
      </c>
      <c r="E16" s="2">
        <f>D16+預測IC!E16</f>
        <v>0.10678203196614666</v>
      </c>
      <c r="F16" s="2">
        <f>E16+預測IC!F16</f>
        <v>4.8642036620187325E-2</v>
      </c>
      <c r="G16" s="2">
        <f>F16+預測IC!G16</f>
        <v>0.17727668688622583</v>
      </c>
      <c r="H16" s="2">
        <f>G16+預測IC!H16</f>
        <v>0.10902167055433404</v>
      </c>
      <c r="I16" s="2">
        <f>H16+預測IC!I16</f>
        <v>0.20159410962972854</v>
      </c>
      <c r="J16" s="2">
        <f>I16+預測IC!J16</f>
        <v>0.2033495215503239</v>
      </c>
      <c r="K16" s="2">
        <f>J16+預測IC!K16</f>
        <v>0.26441316096122952</v>
      </c>
      <c r="L16" s="2">
        <f>K16+預測IC!L16</f>
        <v>0.23246894721694991</v>
      </c>
      <c r="M16" s="2">
        <f>L16+預測IC!M16</f>
        <v>0.2664398681780823</v>
      </c>
      <c r="N16" s="2">
        <f>M16+預測IC!N16</f>
        <v>0.3974170894901769</v>
      </c>
      <c r="O16" s="2">
        <f>N16+預測IC!O16</f>
        <v>0.45866973177047671</v>
      </c>
      <c r="P16" s="2">
        <f>O16+預測IC!P16</f>
        <v>0.48005077384589767</v>
      </c>
      <c r="Q16" s="2">
        <f>P16+預測IC!Q16</f>
        <v>0.55491679738988009</v>
      </c>
      <c r="R16" s="2">
        <f>Q16+預測IC!R16</f>
        <v>0.70639964601531002</v>
      </c>
      <c r="S16" s="2">
        <f>R16+預測IC!S16</f>
        <v>0.71661143583021658</v>
      </c>
      <c r="T16" s="2">
        <f>S16+預測IC!T16</f>
        <v>0.64415339847782005</v>
      </c>
      <c r="U16" s="2">
        <f>T16+預測IC!U16</f>
        <v>0.5184615545103024</v>
      </c>
      <c r="V16" s="2">
        <f>U16+預測IC!V16</f>
        <v>0.43162070624271737</v>
      </c>
      <c r="W16" s="2">
        <f>V16+預測IC!W16</f>
        <v>0.35006830914449205</v>
      </c>
      <c r="X16" s="2">
        <f>W16+預測IC!X16</f>
        <v>0.36620022101766547</v>
      </c>
      <c r="Y16" s="2">
        <f>X16+預測IC!Y16</f>
        <v>0.2770218633569595</v>
      </c>
      <c r="Z16" s="2">
        <f>Y16+預測IC!Z16</f>
        <v>0.31896417416545891</v>
      </c>
      <c r="AA16" s="2">
        <f>Z16+預測IC!AA16</f>
        <v>0.41241418005762659</v>
      </c>
      <c r="AB16" s="2">
        <f>AA16+預測IC!AB16</f>
        <v>0.47950308472479652</v>
      </c>
      <c r="AC16" s="2">
        <f>AB16+預測IC!AC16</f>
        <v>0.50779260260316217</v>
      </c>
      <c r="AD16" s="2">
        <f>AC16+預測IC!AD16</f>
        <v>0.44637551203007814</v>
      </c>
      <c r="AE16" s="2">
        <f>AD16+預測IC!AE16</f>
        <v>0.44068560032861293</v>
      </c>
      <c r="AF16" s="2">
        <f>AE16+預測IC!AF16</f>
        <v>0.43087174321086724</v>
      </c>
      <c r="AG16" s="2">
        <f>AF16+預測IC!AG16</f>
        <v>0.37326886030129602</v>
      </c>
      <c r="AH16" s="2">
        <f>AG16+預測IC!AH16</f>
        <v>0.42698074331199487</v>
      </c>
      <c r="AI16" s="2">
        <f>AH16+預測IC!AI16</f>
        <v>0.46575698549449163</v>
      </c>
      <c r="AJ16" s="2">
        <f>AI16+預測IC!AJ16</f>
        <v>0.49251694313342664</v>
      </c>
      <c r="AK16" s="2">
        <f>AJ16+預測IC!AK16</f>
        <v>0.49951474106053045</v>
      </c>
      <c r="AL16" s="2">
        <f>AK16+預測IC!AL16</f>
        <v>0.49508120771456693</v>
      </c>
      <c r="AM16" s="2">
        <f>AL16+預測IC!AM16</f>
        <v>0.50608988335031579</v>
      </c>
      <c r="AN16" s="2">
        <f>AM16+預測IC!AN16</f>
        <v>0.61968025057050147</v>
      </c>
      <c r="AO16" s="2">
        <f>AN16+預測IC!AO16</f>
        <v>0.64608766532805095</v>
      </c>
      <c r="AP16" s="2">
        <f>AO16+預測IC!AP16</f>
        <v>0.59371041171995842</v>
      </c>
      <c r="AQ16" s="2">
        <f>AP16+預測IC!AQ16</f>
        <v>0.59489256465885132</v>
      </c>
      <c r="AR16" s="2">
        <f>AQ16+預測IC!AR16</f>
        <v>0.59984420245168968</v>
      </c>
      <c r="AS16" s="2">
        <f>AR16+預測IC!AS16</f>
        <v>0.59646491650120004</v>
      </c>
      <c r="AT16" s="2">
        <f>AS16+預測IC!AT16</f>
        <v>0.7610748099000495</v>
      </c>
      <c r="AU16" s="2">
        <f>AT16+預測IC!AU16</f>
        <v>0.77590966658317384</v>
      </c>
      <c r="AV16" s="2">
        <f>AU16+預測IC!AV16</f>
        <v>0.73654322350342016</v>
      </c>
      <c r="AW16" s="2">
        <f>AV16+預測IC!AW16</f>
        <v>0.81927308733171111</v>
      </c>
      <c r="AX16" s="2">
        <f>AW16+預測IC!AX16</f>
        <v>0.68472286261437398</v>
      </c>
      <c r="AY16" s="2">
        <f>AX16+預測IC!AY16</f>
        <v>0.67585181268740213</v>
      </c>
      <c r="AZ16" s="2">
        <f>AY16+預測IC!AZ16</f>
        <v>0.7253147618681266</v>
      </c>
      <c r="BA16" s="2">
        <f>AZ16+預測IC!BA16</f>
        <v>0.73562061134516121</v>
      </c>
      <c r="BB16" s="2">
        <f>BA16+預測IC!BB16</f>
        <v>0.70811686461336909</v>
      </c>
      <c r="BC16" s="2">
        <f>BB16+預測IC!BC16</f>
        <v>0.73563461860849022</v>
      </c>
      <c r="BD16" s="2">
        <f>BC16+預測IC!BD16</f>
        <v>0.80137601903626132</v>
      </c>
      <c r="BE16" s="2">
        <f>BD16+預測IC!BE16</f>
        <v>0.77698159171374159</v>
      </c>
      <c r="BF16" s="2">
        <f>BE16+預測IC!BF16</f>
        <v>0.75866425087517997</v>
      </c>
      <c r="BG16" s="2">
        <f>BF16+預測IC!BG16</f>
        <v>0.81815433488603806</v>
      </c>
      <c r="BH16" s="2">
        <f>BG16+預測IC!BH16</f>
        <v>0.93036984226937391</v>
      </c>
      <c r="BI16" s="2">
        <f>BH16+預測IC!BI16</f>
        <v>0.9333833967248002</v>
      </c>
      <c r="BJ16" s="2">
        <f>BI16+預測IC!BJ16</f>
        <v>0.94167468716226321</v>
      </c>
      <c r="BK16" s="2">
        <f>BJ16+預測IC!BK16</f>
        <v>1.0051212135895062</v>
      </c>
      <c r="BL16" s="2">
        <f>BK16+預測IC!BL16</f>
        <v>1.0361482489847154</v>
      </c>
      <c r="BM16" s="2">
        <f>BL16+預測IC!BM16</f>
        <v>0.98874761248427867</v>
      </c>
      <c r="BN16" s="2">
        <f>BM16+預測IC!BN16</f>
        <v>1.0652747607900961</v>
      </c>
      <c r="BO16" s="2">
        <f>BN16+預測IC!BO16</f>
        <v>1.0745274461063776</v>
      </c>
      <c r="BP16" s="2">
        <f>BO16+預測IC!BP16</f>
        <v>1.1499847120750259</v>
      </c>
      <c r="BQ16" s="2">
        <f>BP16+預測IC!BQ16</f>
        <v>1.1329166157085664</v>
      </c>
      <c r="BR16" s="2">
        <f>BQ16+預測IC!BR16</f>
        <v>1.1946151371728457</v>
      </c>
      <c r="BS16" s="2">
        <f>BR16+預測IC!BS16</f>
        <v>1.1946956600381746</v>
      </c>
      <c r="BT16" s="2">
        <f>BS16+預測IC!BT16</f>
        <v>1.1582303975714918</v>
      </c>
      <c r="BU16" s="2">
        <f>BT16+預測IC!BU16</f>
        <v>1.0473145827308543</v>
      </c>
      <c r="BV16" s="2">
        <f>BU16+預測IC!BV16</f>
        <v>1.109576806518682</v>
      </c>
      <c r="BW16" s="2">
        <f>BV16+預測IC!BW16</f>
        <v>0.78648925640902312</v>
      </c>
      <c r="BX16" s="2">
        <f>BW16+預測IC!BX16</f>
        <v>0.8622787163848693</v>
      </c>
      <c r="BY16" s="2">
        <f>BX16+預測IC!BY16</f>
        <v>0.8065144372184061</v>
      </c>
      <c r="BZ16" s="2">
        <f>BY16+預測IC!BZ16</f>
        <v>0.94016812837772978</v>
      </c>
      <c r="CA16" s="2">
        <f>BZ16+預測IC!CA16</f>
        <v>0.9532774489808693</v>
      </c>
      <c r="CB16" s="2">
        <f>CA16+預測IC!CB16</f>
        <v>1.0493773608604811</v>
      </c>
      <c r="CC16" s="2">
        <f>CB16+預測IC!CC16</f>
        <v>1.1151861585652005</v>
      </c>
      <c r="CD16" s="2">
        <f>CC16+預測IC!CD16</f>
        <v>1.1255272267769194</v>
      </c>
      <c r="CE16" s="2">
        <f>CD16+預測IC!CE16</f>
        <v>1.2084748820443911</v>
      </c>
      <c r="CF16" s="2">
        <f>CE16+預測IC!CF16</f>
        <v>1.2194148792462427</v>
      </c>
      <c r="CG16" s="2">
        <f>CF16+預測IC!CG16</f>
        <v>1.2582245078621932</v>
      </c>
      <c r="CH16" s="2">
        <f>CG16+預測IC!CH16</f>
        <v>1.3591648485572911</v>
      </c>
      <c r="CI16" s="2">
        <f>CH16+預測IC!CI16</f>
        <v>1.2420197055885143</v>
      </c>
      <c r="CJ16" s="2">
        <f>CI16+預測IC!CJ16</f>
        <v>1.1075050067722507</v>
      </c>
      <c r="CK16" s="2">
        <f>CJ16+預測IC!CK16</f>
        <v>0.99867030683263747</v>
      </c>
      <c r="CL16" s="2">
        <f>CK16+預測IC!CL16</f>
        <v>0.9725451050003473</v>
      </c>
      <c r="CM16" s="2">
        <f>CL16+預測IC!CM16</f>
        <v>0.9766242876535014</v>
      </c>
      <c r="CN16" s="2">
        <f>CM16+預測IC!CN16</f>
        <v>0.9812251157933054</v>
      </c>
      <c r="CO16" s="2">
        <f>CN16+預測IC!CO16</f>
        <v>0.68883705597928369</v>
      </c>
      <c r="CP16" s="2">
        <f>CO16+預測IC!CP16</f>
        <v>0.74645305301872389</v>
      </c>
      <c r="CQ16" s="2">
        <f>CP16+預測IC!CQ16</f>
        <v>0.79553637236741093</v>
      </c>
      <c r="CR16" s="2">
        <f>CQ16+預測IC!CR16</f>
        <v>0.7628811408921784</v>
      </c>
      <c r="CS16" s="2">
        <f>CR16+預測IC!CS16</f>
        <v>0.7025756851334356</v>
      </c>
      <c r="CT16" s="2">
        <f>CS16+預測IC!CT16</f>
        <v>0.69137943897027676</v>
      </c>
      <c r="CU16" s="2">
        <f>CT16+預測IC!CU16</f>
        <v>0.65868809115549987</v>
      </c>
      <c r="CV16" s="2">
        <f>CU16+預測IC!CV16</f>
        <v>0.55875474813941572</v>
      </c>
      <c r="CW16" s="2">
        <f>CV16+預測IC!CW16</f>
        <v>0.54499882227099372</v>
      </c>
      <c r="CX16" s="2">
        <f>CW16+預測IC!CX16</f>
        <v>0.65299511668680377</v>
      </c>
      <c r="CY16" s="2">
        <f>CX16+預測IC!CY16</f>
        <v>0.63897396476981561</v>
      </c>
      <c r="CZ16" s="2">
        <f>CY16+預測IC!CZ16</f>
        <v>0.85607001737139754</v>
      </c>
      <c r="DA16" s="2">
        <f>CZ16+預測IC!DA16</f>
        <v>0.96728898314572653</v>
      </c>
      <c r="DB16" s="2">
        <f>DA16+預測IC!DB16</f>
        <v>1.0068963202084915</v>
      </c>
      <c r="DC16" s="2">
        <f>DB16+預測IC!DC16</f>
        <v>1.0745513451478397</v>
      </c>
      <c r="DD16" s="2">
        <f>DC16+預測IC!DD16</f>
        <v>0.96892826049921854</v>
      </c>
      <c r="DE16" s="2">
        <f>DD16+預測IC!DE16</f>
        <v>0.92998447437633314</v>
      </c>
      <c r="DF16" s="2">
        <f>DE16+預測IC!DF16</f>
        <v>1.0273257661223598</v>
      </c>
      <c r="DG16" s="2">
        <f>DF16+預測IC!DG16</f>
        <v>0.982155388068222</v>
      </c>
      <c r="DH16" s="2">
        <f>DG16+預測IC!DH16</f>
        <v>1.0215871172307451</v>
      </c>
      <c r="DI16" s="2">
        <f>DH16+預測IC!DI16</f>
        <v>1.0512987240552363</v>
      </c>
      <c r="DJ16" s="2">
        <f>DI16+預測IC!DJ16</f>
        <v>1.1132860864427221</v>
      </c>
      <c r="DK16" s="2">
        <f>DJ16+預測IC!DK16</f>
        <v>1.0503527633558603</v>
      </c>
      <c r="DL16" s="2">
        <f>DK16+預測IC!DL16</f>
        <v>1.0569088319458761</v>
      </c>
      <c r="DM16" s="2">
        <f>DL16+預測IC!DM16</f>
        <v>1.1203000385832096</v>
      </c>
      <c r="DN16" s="2">
        <f>DM16+預測IC!DN16</f>
        <v>1.1381830169457203</v>
      </c>
      <c r="DO16" s="2">
        <f>DN16+預測IC!DO16</f>
        <v>0.92327547471103544</v>
      </c>
      <c r="DP16" s="2">
        <f>DO16+預測IC!DP16</f>
        <v>0.95944399169481109</v>
      </c>
      <c r="DQ16" s="2">
        <f>DP16+預測IC!DQ16</f>
        <v>0.88871324544675412</v>
      </c>
      <c r="DR16" s="2">
        <f>DQ16+預測IC!DR16</f>
        <v>0.85891560714034598</v>
      </c>
      <c r="DS16" s="2">
        <f>DR16+預測IC!DS16</f>
        <v>0.75873645008340196</v>
      </c>
      <c r="DT16" s="2">
        <f>DS16+預測IC!DT16</f>
        <v>0.74981077171830512</v>
      </c>
      <c r="DU16" s="2">
        <f>DT16+預測IC!DU16</f>
        <v>0.7636053761716638</v>
      </c>
      <c r="DV16" s="2">
        <f>DU16+預測IC!DV16</f>
        <v>0.62155765079768965</v>
      </c>
      <c r="DW16" s="2">
        <f>DV16+預測IC!DW16</f>
        <v>0.68832299945781694</v>
      </c>
      <c r="DX16" s="2">
        <f>DW16+預測IC!DX16</f>
        <v>0.78131023723625004</v>
      </c>
      <c r="DY16" s="2">
        <f>DX16+預測IC!DY16</f>
        <v>0.9579094905223724</v>
      </c>
      <c r="DZ16" s="2">
        <f>DY16+預測IC!DZ16</f>
        <v>0.95120642733837502</v>
      </c>
      <c r="EA16" s="2">
        <f>DZ16+預測IC!EA16</f>
        <v>0.90084988734433447</v>
      </c>
      <c r="EB16" s="2">
        <f>EA16+預測IC!EB16</f>
        <v>0.84008678508196266</v>
      </c>
      <c r="EC16" s="2">
        <f>EB16+預測IC!EC16</f>
        <v>0.88271743995944441</v>
      </c>
      <c r="ED16" s="2">
        <f>EC16+預測IC!ED16</f>
        <v>0.75764623116845209</v>
      </c>
      <c r="EE16" s="2">
        <f>ED16+預測IC!EE16</f>
        <v>0.7747977246037443</v>
      </c>
      <c r="EF16" s="2">
        <f>EE16+預測IC!EF16</f>
        <v>0.71849306467984042</v>
      </c>
      <c r="EG16" s="2">
        <f>EF16+預測IC!EG16</f>
        <v>1.0284410889296982</v>
      </c>
      <c r="EH16" s="2">
        <f>EG16+預測IC!EH16</f>
        <v>1.0678366659799474</v>
      </c>
      <c r="EI16" s="2">
        <f>EH16+預測IC!EI16</f>
        <v>1.0287279180042173</v>
      </c>
      <c r="EJ16" s="2">
        <f>EI16+預測IC!EJ16</f>
        <v>0.95951323701352742</v>
      </c>
      <c r="EK16" s="2">
        <f>EJ16+預測IC!EK16</f>
        <v>0.98680799541186104</v>
      </c>
      <c r="EL16" s="2">
        <f>EK16+預測IC!EL16</f>
        <v>0.99579831239198879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4.4380933165702019E-2</v>
      </c>
      <c r="E17" s="2">
        <f>D17+預測IC!E17</f>
        <v>7.843350577430741E-2</v>
      </c>
      <c r="F17" s="2">
        <f>E17+預測IC!F17</f>
        <v>3.6161647661785951E-2</v>
      </c>
      <c r="G17" s="2">
        <f>F17+預測IC!G17</f>
        <v>0.18107755286751845</v>
      </c>
      <c r="H17" s="2">
        <f>G17+預測IC!H17</f>
        <v>0.12048025951902773</v>
      </c>
      <c r="I17" s="2">
        <f>H17+預測IC!I17</f>
        <v>0.21067217029381921</v>
      </c>
      <c r="J17" s="2">
        <f>I17+預測IC!J17</f>
        <v>0.21602208393180222</v>
      </c>
      <c r="K17" s="2">
        <f>J17+預測IC!K17</f>
        <v>0.26014140353088833</v>
      </c>
      <c r="L17" s="2">
        <f>K17+預測IC!L17</f>
        <v>0.22655495506003931</v>
      </c>
      <c r="M17" s="2">
        <f>L17+預測IC!M17</f>
        <v>0.26488519538639688</v>
      </c>
      <c r="N17" s="2">
        <f>M17+預測IC!N17</f>
        <v>0.39847018387419531</v>
      </c>
      <c r="O17" s="2">
        <f>N17+預測IC!O17</f>
        <v>0.44709093263933625</v>
      </c>
      <c r="P17" s="2">
        <f>O17+預測IC!P17</f>
        <v>0.47381100051672609</v>
      </c>
      <c r="Q17" s="2">
        <f>P17+預測IC!Q17</f>
        <v>0.47993021601039609</v>
      </c>
      <c r="R17" s="2">
        <f>Q17+預測IC!R17</f>
        <v>0.65221874662136226</v>
      </c>
      <c r="S17" s="2">
        <f>R17+預測IC!S17</f>
        <v>0.67200166698666741</v>
      </c>
      <c r="T17" s="2">
        <f>S17+預測IC!T17</f>
        <v>0.61850306288801948</v>
      </c>
      <c r="U17" s="2">
        <f>T17+預測IC!U17</f>
        <v>0.4616379431095452</v>
      </c>
      <c r="V17" s="2">
        <f>U17+預測IC!V17</f>
        <v>0.3586071240166599</v>
      </c>
      <c r="W17" s="2">
        <f>V17+預測IC!W17</f>
        <v>0.29317923849098571</v>
      </c>
      <c r="X17" s="2">
        <f>W17+預測IC!X17</f>
        <v>0.29794772008827242</v>
      </c>
      <c r="Y17" s="2">
        <f>X17+預測IC!Y17</f>
        <v>0.20221821900548959</v>
      </c>
      <c r="Z17" s="2">
        <f>Y17+預測IC!Z17</f>
        <v>0.25496431906230671</v>
      </c>
      <c r="AA17" s="2">
        <f>Z17+預測IC!AA17</f>
        <v>0.34511782218507325</v>
      </c>
      <c r="AB17" s="2">
        <f>AA17+預測IC!AB17</f>
        <v>0.40416261990190111</v>
      </c>
      <c r="AC17" s="2">
        <f>AB17+預測IC!AC17</f>
        <v>0.41407851071122315</v>
      </c>
      <c r="AD17" s="2">
        <f>AC17+預測IC!AD17</f>
        <v>0.34216735905586843</v>
      </c>
      <c r="AE17" s="2">
        <f>AD17+預測IC!AE17</f>
        <v>0.30379255651600984</v>
      </c>
      <c r="AF17" s="2">
        <f>AE17+預測IC!AF17</f>
        <v>0.29315760161181426</v>
      </c>
      <c r="AG17" s="2">
        <f>AF17+預測IC!AG17</f>
        <v>0.24213057643092234</v>
      </c>
      <c r="AH17" s="2">
        <f>AG17+預測IC!AH17</f>
        <v>0.27011726416779114</v>
      </c>
      <c r="AI17" s="2">
        <f>AH17+預測IC!AI17</f>
        <v>0.30707325300889771</v>
      </c>
      <c r="AJ17" s="2">
        <f>AI17+預測IC!AJ17</f>
        <v>0.34688445353287567</v>
      </c>
      <c r="AK17" s="2">
        <f>AJ17+預測IC!AK17</f>
        <v>0.39043478285672895</v>
      </c>
      <c r="AL17" s="2">
        <f>AK17+預測IC!AL17</f>
        <v>0.38898509883436805</v>
      </c>
      <c r="AM17" s="2">
        <f>AL17+預測IC!AM17</f>
        <v>0.40475220904201803</v>
      </c>
      <c r="AN17" s="2">
        <f>AM17+預測IC!AN17</f>
        <v>0.52417679292468411</v>
      </c>
      <c r="AO17" s="2">
        <f>AN17+預測IC!AO17</f>
        <v>0.55246139219589296</v>
      </c>
      <c r="AP17" s="2">
        <f>AO17+預測IC!AP17</f>
        <v>0.4970955575780816</v>
      </c>
      <c r="AQ17" s="2">
        <f>AP17+預測IC!AQ17</f>
        <v>0.48567326760157659</v>
      </c>
      <c r="AR17" s="2">
        <f>AQ17+預測IC!AR17</f>
        <v>0.50299861297659421</v>
      </c>
      <c r="AS17" s="2">
        <f>AR17+預測IC!AS17</f>
        <v>0.48651975115594098</v>
      </c>
      <c r="AT17" s="2">
        <f>AS17+預測IC!AT17</f>
        <v>0.67069463260193996</v>
      </c>
      <c r="AU17" s="2">
        <f>AT17+預測IC!AU17</f>
        <v>0.69266692326866985</v>
      </c>
      <c r="AV17" s="2">
        <f>AU17+預測IC!AV17</f>
        <v>0.655439846487613</v>
      </c>
      <c r="AW17" s="2">
        <f>AV17+預測IC!AW17</f>
        <v>0.74532351959940135</v>
      </c>
      <c r="AX17" s="2">
        <f>AW17+預測IC!AX17</f>
        <v>0.5855131323405931</v>
      </c>
      <c r="AY17" s="2">
        <f>AX17+預測IC!AY17</f>
        <v>0.59742076051093718</v>
      </c>
      <c r="AZ17" s="2">
        <f>AY17+預測IC!AZ17</f>
        <v>0.65464005962001504</v>
      </c>
      <c r="BA17" s="2">
        <f>AZ17+預測IC!BA17</f>
        <v>0.66474341933958003</v>
      </c>
      <c r="BB17" s="2">
        <f>BA17+預測IC!BB17</f>
        <v>0.63711000449495148</v>
      </c>
      <c r="BC17" s="2">
        <f>BB17+預測IC!BC17</f>
        <v>0.66595020424565243</v>
      </c>
      <c r="BD17" s="2">
        <f>BC17+預測IC!BD17</f>
        <v>0.72803595378139485</v>
      </c>
      <c r="BE17" s="2">
        <f>BD17+預測IC!BE17</f>
        <v>0.69983319479640893</v>
      </c>
      <c r="BF17" s="2">
        <f>BE17+預測IC!BF17</f>
        <v>0.68681405456373634</v>
      </c>
      <c r="BG17" s="2">
        <f>BF17+預測IC!BG17</f>
        <v>0.74274933310440738</v>
      </c>
      <c r="BH17" s="2">
        <f>BG17+預測IC!BH17</f>
        <v>0.83088142614565275</v>
      </c>
      <c r="BI17" s="2">
        <f>BH17+預測IC!BI17</f>
        <v>0.84491325150295848</v>
      </c>
      <c r="BJ17" s="2">
        <f>BI17+預測IC!BJ17</f>
        <v>0.85695932435473898</v>
      </c>
      <c r="BK17" s="2">
        <f>BJ17+預測IC!BK17</f>
        <v>0.87892337430779754</v>
      </c>
      <c r="BL17" s="2">
        <f>BK17+預測IC!BL17</f>
        <v>0.91116652779450558</v>
      </c>
      <c r="BM17" s="2">
        <f>BL17+預測IC!BM17</f>
        <v>0.83129977850124381</v>
      </c>
      <c r="BN17" s="2">
        <f>BM17+預測IC!BN17</f>
        <v>0.89372521311697106</v>
      </c>
      <c r="BO17" s="2">
        <f>BN17+預測IC!BO17</f>
        <v>0.90539961197407259</v>
      </c>
      <c r="BP17" s="2">
        <f>BO17+預測IC!BP17</f>
        <v>0.98281820956059662</v>
      </c>
      <c r="BQ17" s="2">
        <f>BP17+預測IC!BQ17</f>
        <v>0.97979280254796641</v>
      </c>
      <c r="BR17" s="2">
        <f>BQ17+預測IC!BR17</f>
        <v>1.0271373876725969</v>
      </c>
      <c r="BS17" s="2">
        <f>BR17+預測IC!BS17</f>
        <v>1.0189275035161576</v>
      </c>
      <c r="BT17" s="2">
        <f>BS17+預測IC!BT17</f>
        <v>0.98093508165434951</v>
      </c>
      <c r="BU17" s="2">
        <f>BT17+預測IC!BU17</f>
        <v>0.86463658046871827</v>
      </c>
      <c r="BV17" s="2">
        <f>BU17+預測IC!BV17</f>
        <v>0.92366772017034837</v>
      </c>
      <c r="BW17" s="2">
        <f>BV17+預測IC!BW17</f>
        <v>0.56879988913232327</v>
      </c>
      <c r="BX17" s="2">
        <f>BW17+預測IC!BX17</f>
        <v>0.66209423389476318</v>
      </c>
      <c r="BY17" s="2">
        <f>BX17+預測IC!BY17</f>
        <v>0.58142266013257293</v>
      </c>
      <c r="BZ17" s="2">
        <f>BY17+預測IC!BZ17</f>
        <v>0.72840504695059383</v>
      </c>
      <c r="CA17" s="2">
        <f>BZ17+預測IC!CA17</f>
        <v>0.75171678318225099</v>
      </c>
      <c r="CB17" s="2">
        <f>CA17+預測IC!CB17</f>
        <v>0.86561425297458738</v>
      </c>
      <c r="CC17" s="2">
        <f>CB17+預測IC!CC17</f>
        <v>0.9626154922730078</v>
      </c>
      <c r="CD17" s="2">
        <f>CC17+預測IC!CD17</f>
        <v>0.96374639745569757</v>
      </c>
      <c r="CE17" s="2">
        <f>CD17+預測IC!CE17</f>
        <v>1.0558719661052345</v>
      </c>
      <c r="CF17" s="2">
        <f>CE17+預測IC!CF17</f>
        <v>1.0697888006802345</v>
      </c>
      <c r="CG17" s="2">
        <f>CF17+預測IC!CG17</f>
        <v>1.1253587982904025</v>
      </c>
      <c r="CH17" s="2">
        <f>CG17+預測IC!CH17</f>
        <v>1.2131030453959473</v>
      </c>
      <c r="CI17" s="2">
        <f>CH17+預測IC!CI17</f>
        <v>1.0982975054464661</v>
      </c>
      <c r="CJ17" s="2">
        <f>CI17+預測IC!CJ17</f>
        <v>0.93436670036598191</v>
      </c>
      <c r="CK17" s="2">
        <f>CJ17+預測IC!CK17</f>
        <v>0.80913662319575885</v>
      </c>
      <c r="CL17" s="2">
        <f>CK17+預測IC!CL17</f>
        <v>0.7770648852213925</v>
      </c>
      <c r="CM17" s="2">
        <f>CL17+預測IC!CM17</f>
        <v>0.78119459338783437</v>
      </c>
      <c r="CN17" s="2">
        <f>CM17+預測IC!CN17</f>
        <v>0.78714452132610402</v>
      </c>
      <c r="CO17" s="2">
        <f>CN17+預測IC!CO17</f>
        <v>0.4728818264498148</v>
      </c>
      <c r="CP17" s="2">
        <f>CO17+預測IC!CP17</f>
        <v>0.55550265320661318</v>
      </c>
      <c r="CQ17" s="2">
        <f>CP17+預測IC!CQ17</f>
        <v>0.61284082322119615</v>
      </c>
      <c r="CR17" s="2">
        <f>CQ17+預測IC!CR17</f>
        <v>0.6058278293965168</v>
      </c>
      <c r="CS17" s="2">
        <f>CR17+預測IC!CS17</f>
        <v>0.55641013085073587</v>
      </c>
      <c r="CT17" s="2">
        <f>CS17+預測IC!CT17</f>
        <v>0.57651239216333439</v>
      </c>
      <c r="CU17" s="2">
        <f>CT17+預測IC!CU17</f>
        <v>0.53411088822442909</v>
      </c>
      <c r="CV17" s="2">
        <f>CU17+預測IC!CV17</f>
        <v>0.42197651980381312</v>
      </c>
      <c r="CW17" s="2">
        <f>CV17+預測IC!CW17</f>
        <v>0.40916912664692395</v>
      </c>
      <c r="CX17" s="2">
        <f>CW17+預測IC!CX17</f>
        <v>0.52736398159594811</v>
      </c>
      <c r="CY17" s="2">
        <f>CX17+預測IC!CY17</f>
        <v>0.51156196995415992</v>
      </c>
      <c r="CZ17" s="2">
        <f>CY17+預測IC!CZ17</f>
        <v>0.74904874226474849</v>
      </c>
      <c r="DA17" s="2">
        <f>CZ17+預測IC!DA17</f>
        <v>0.87866271800929341</v>
      </c>
      <c r="DB17" s="2">
        <f>DA17+預測IC!DB17</f>
        <v>0.90786170993608717</v>
      </c>
      <c r="DC17" s="2">
        <f>DB17+預測IC!DC17</f>
        <v>0.98481198670064907</v>
      </c>
      <c r="DD17" s="2">
        <f>DC17+預測IC!DD17</f>
        <v>0.88037607696015485</v>
      </c>
      <c r="DE17" s="2">
        <f>DD17+預測IC!DE17</f>
        <v>0.84387913010106985</v>
      </c>
      <c r="DF17" s="2">
        <f>DE17+預測IC!DF17</f>
        <v>0.9606729742158524</v>
      </c>
      <c r="DG17" s="2">
        <f>DF17+預測IC!DG17</f>
        <v>0.92032170122610701</v>
      </c>
      <c r="DH17" s="2">
        <f>DG17+預測IC!DH17</f>
        <v>0.96772178336847792</v>
      </c>
      <c r="DI17" s="2">
        <f>DH17+預測IC!DI17</f>
        <v>1.0155810146714217</v>
      </c>
      <c r="DJ17" s="2">
        <f>DI17+預測IC!DJ17</f>
        <v>1.0410528251507465</v>
      </c>
      <c r="DK17" s="2">
        <f>DJ17+預測IC!DK17</f>
        <v>0.97575802082881768</v>
      </c>
      <c r="DL17" s="2">
        <f>DK17+預測IC!DL17</f>
        <v>0.97542831739265745</v>
      </c>
      <c r="DM17" s="2">
        <f>DL17+預測IC!DM17</f>
        <v>1.0510270830116306</v>
      </c>
      <c r="DN17" s="2">
        <f>DM17+預測IC!DN17</f>
        <v>1.0793138322313365</v>
      </c>
      <c r="DO17" s="2">
        <f>DN17+預測IC!DO17</f>
        <v>0.82821838561751604</v>
      </c>
      <c r="DP17" s="2">
        <f>DO17+預測IC!DP17</f>
        <v>0.8668257974826743</v>
      </c>
      <c r="DQ17" s="2">
        <f>DP17+預測IC!DQ17</f>
        <v>0.78777108893018821</v>
      </c>
      <c r="DR17" s="2">
        <f>DQ17+預測IC!DR17</f>
        <v>0.77685462972326669</v>
      </c>
      <c r="DS17" s="2">
        <f>DR17+預測IC!DS17</f>
        <v>0.66836125783349454</v>
      </c>
      <c r="DT17" s="2">
        <f>DS17+預測IC!DT17</f>
        <v>0.66428800443880709</v>
      </c>
      <c r="DU17" s="2">
        <f>DT17+預測IC!DU17</f>
        <v>0.67040744280015296</v>
      </c>
      <c r="DV17" s="2">
        <f>DU17+預測IC!DV17</f>
        <v>0.51804658735242382</v>
      </c>
      <c r="DW17" s="2">
        <f>DV17+預測IC!DW17</f>
        <v>0.59332114738127306</v>
      </c>
      <c r="DX17" s="2">
        <f>DW17+預測IC!DX17</f>
        <v>0.68916186739811103</v>
      </c>
      <c r="DY17" s="2">
        <f>DX17+預測IC!DY17</f>
        <v>0.90427037178287606</v>
      </c>
      <c r="DZ17" s="2">
        <f>DY17+預測IC!DZ17</f>
        <v>0.88501465949312486</v>
      </c>
      <c r="EA17" s="2">
        <f>DZ17+預測IC!EA17</f>
        <v>0.83566117914563054</v>
      </c>
      <c r="EB17" s="2">
        <f>EA17+預測IC!EB17</f>
        <v>0.76103136871019461</v>
      </c>
      <c r="EC17" s="2">
        <f>EB17+預測IC!EC17</f>
        <v>0.80209333371888125</v>
      </c>
      <c r="ED17" s="2">
        <f>EC17+預測IC!ED17</f>
        <v>0.66218360694312606</v>
      </c>
      <c r="EE17" s="2">
        <f>ED17+預測IC!EE17</f>
        <v>0.67494264305639096</v>
      </c>
      <c r="EF17" s="2">
        <f>EE17+預測IC!EF17</f>
        <v>0.60786052855066464</v>
      </c>
      <c r="EG17" s="2">
        <f>EF17+預測IC!EG17</f>
        <v>0.93939634195942157</v>
      </c>
      <c r="EH17" s="2">
        <f>EG17+預測IC!EH17</f>
        <v>0.98475465852307131</v>
      </c>
      <c r="EI17" s="2">
        <f>EH17+預測IC!EI17</f>
        <v>0.93916996431459199</v>
      </c>
      <c r="EJ17" s="2">
        <f>EI17+預測IC!EJ17</f>
        <v>0.87552411725878732</v>
      </c>
      <c r="EK17" s="2">
        <f>EJ17+預測IC!EK17</f>
        <v>0.91525010451892319</v>
      </c>
      <c r="EL17" s="2">
        <f>EK17+預測IC!EL17</f>
        <v>0.92700269373441413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0.13226923817620007</v>
      </c>
      <c r="E18" s="2">
        <f>D18+預測IC!E18</f>
        <v>0.16937461194154751</v>
      </c>
      <c r="F18" s="2">
        <f>E18+預測IC!F18</f>
        <v>0.18588259826956657</v>
      </c>
      <c r="G18" s="2">
        <f>F18+預測IC!G18</f>
        <v>0.3330739054403945</v>
      </c>
      <c r="H18" s="2">
        <f>G18+預測IC!H18</f>
        <v>0.30029795472909715</v>
      </c>
      <c r="I18" s="2">
        <f>H18+預測IC!I18</f>
        <v>0.38575791658227182</v>
      </c>
      <c r="J18" s="2">
        <f>I18+預測IC!J18</f>
        <v>0.39520570030704805</v>
      </c>
      <c r="K18" s="2">
        <f>J18+預測IC!K18</f>
        <v>0.43765135637711494</v>
      </c>
      <c r="L18" s="2">
        <f>K18+預測IC!L18</f>
        <v>0.42960326385102576</v>
      </c>
      <c r="M18" s="2">
        <f>L18+預測IC!M18</f>
        <v>0.48971198888472256</v>
      </c>
      <c r="N18" s="2">
        <f>M18+預測IC!N18</f>
        <v>0.6320256305435985</v>
      </c>
      <c r="O18" s="2">
        <f>N18+預測IC!O18</f>
        <v>0.69711550717998072</v>
      </c>
      <c r="P18" s="2">
        <f>O18+預測IC!P18</f>
        <v>0.73082783397344464</v>
      </c>
      <c r="Q18" s="2">
        <f>P18+預測IC!Q18</f>
        <v>0.74185380170043436</v>
      </c>
      <c r="R18" s="2">
        <f>Q18+預測IC!R18</f>
        <v>0.85980387941776582</v>
      </c>
      <c r="S18" s="2">
        <f>R18+預測IC!S18</f>
        <v>0.88000590648664268</v>
      </c>
      <c r="T18" s="2">
        <f>S18+預測IC!T18</f>
        <v>0.86025043372803445</v>
      </c>
      <c r="U18" s="2">
        <f>T18+預測IC!U18</f>
        <v>0.72658870267164044</v>
      </c>
      <c r="V18" s="2">
        <f>U18+預測IC!V18</f>
        <v>0.6416462166321858</v>
      </c>
      <c r="W18" s="2">
        <f>V18+預測IC!W18</f>
        <v>0.58120691515059841</v>
      </c>
      <c r="X18" s="2">
        <f>W18+預測IC!X18</f>
        <v>0.60662648089464521</v>
      </c>
      <c r="Y18" s="2">
        <f>X18+預測IC!Y18</f>
        <v>0.51639671210886029</v>
      </c>
      <c r="Z18" s="2">
        <f>Y18+預測IC!Z18</f>
        <v>0.56287399037293795</v>
      </c>
      <c r="AA18" s="2">
        <f>Z18+預測IC!AA18</f>
        <v>0.66070150207333711</v>
      </c>
      <c r="AB18" s="2">
        <f>AA18+預測IC!AB18</f>
        <v>0.72929468833493738</v>
      </c>
      <c r="AC18" s="2">
        <f>AB18+預測IC!AC18</f>
        <v>0.75656835942940015</v>
      </c>
      <c r="AD18" s="2">
        <f>AC18+預測IC!AD18</f>
        <v>0.67997258655488357</v>
      </c>
      <c r="AE18" s="2">
        <f>AD18+預測IC!AE18</f>
        <v>0.64131611359011942</v>
      </c>
      <c r="AF18" s="2">
        <f>AE18+預測IC!AF18</f>
        <v>0.6390474312660932</v>
      </c>
      <c r="AG18" s="2">
        <f>AF18+預測IC!AG18</f>
        <v>0.61400980638001812</v>
      </c>
      <c r="AH18" s="2">
        <f>AG18+預測IC!AH18</f>
        <v>0.64580612645000202</v>
      </c>
      <c r="AI18" s="2">
        <f>AH18+預測IC!AI18</f>
        <v>0.69365491059146811</v>
      </c>
      <c r="AJ18" s="2">
        <f>AI18+預測IC!AJ18</f>
        <v>0.74828518687381773</v>
      </c>
      <c r="AK18" s="2">
        <f>AJ18+預測IC!AK18</f>
        <v>0.7636663260256491</v>
      </c>
      <c r="AL18" s="2">
        <f>AK18+預測IC!AL18</f>
        <v>0.76112566726255282</v>
      </c>
      <c r="AM18" s="2">
        <f>AL18+預測IC!AM18</f>
        <v>0.79464449843534091</v>
      </c>
      <c r="AN18" s="2">
        <f>AM18+預測IC!AN18</f>
        <v>0.92981149178660161</v>
      </c>
      <c r="AO18" s="2">
        <f>AN18+預測IC!AO18</f>
        <v>0.93497721423190849</v>
      </c>
      <c r="AP18" s="2">
        <f>AO18+預測IC!AP18</f>
        <v>0.87168583373320352</v>
      </c>
      <c r="AQ18" s="2">
        <f>AP18+預測IC!AQ18</f>
        <v>0.92388411232296419</v>
      </c>
      <c r="AR18" s="2">
        <f>AQ18+預測IC!AR18</f>
        <v>0.93931970521491615</v>
      </c>
      <c r="AS18" s="2">
        <f>AR18+預測IC!AS18</f>
        <v>0.87475984466707868</v>
      </c>
      <c r="AT18" s="2">
        <f>AS18+預測IC!AT18</f>
        <v>1.0570267126828656</v>
      </c>
      <c r="AU18" s="2">
        <f>AT18+預測IC!AU18</f>
        <v>1.0783897006012684</v>
      </c>
      <c r="AV18" s="2">
        <f>AU18+預測IC!AV18</f>
        <v>1.0499910741640162</v>
      </c>
      <c r="AW18" s="2">
        <f>AV18+預測IC!AW18</f>
        <v>1.1395240453031086</v>
      </c>
      <c r="AX18" s="2">
        <f>AW18+預測IC!AX18</f>
        <v>0.97321217853541842</v>
      </c>
      <c r="AY18" s="2">
        <f>AX18+預測IC!AY18</f>
        <v>0.98452027416882992</v>
      </c>
      <c r="AZ18" s="2">
        <f>AY18+預測IC!AZ18</f>
        <v>1.0394902610138661</v>
      </c>
      <c r="BA18" s="2">
        <f>AZ18+預測IC!BA18</f>
        <v>1.0497716633061249</v>
      </c>
      <c r="BB18" s="2">
        <f>BA18+預測IC!BB18</f>
        <v>1.0249299627231685</v>
      </c>
      <c r="BC18" s="2">
        <f>BB18+預測IC!BC18</f>
        <v>1.0627318163477759</v>
      </c>
      <c r="BD18" s="2">
        <f>BC18+預測IC!BD18</f>
        <v>1.1022178991829799</v>
      </c>
      <c r="BE18" s="2">
        <f>BD18+預測IC!BE18</f>
        <v>1.0895454269623757</v>
      </c>
      <c r="BF18" s="2">
        <f>BE18+預測IC!BF18</f>
        <v>1.0746506507120697</v>
      </c>
      <c r="BG18" s="2">
        <f>BF18+預測IC!BG18</f>
        <v>1.1491914137790804</v>
      </c>
      <c r="BH18" s="2">
        <f>BG18+預測IC!BH18</f>
        <v>1.2260641820595728</v>
      </c>
      <c r="BI18" s="2">
        <f>BH18+預測IC!BI18</f>
        <v>1.2194054298941064</v>
      </c>
      <c r="BJ18" s="2">
        <f>BI18+預測IC!BJ18</f>
        <v>1.2599609748251688</v>
      </c>
      <c r="BK18" s="2">
        <f>BJ18+預測IC!BK18</f>
        <v>1.2772686055928879</v>
      </c>
      <c r="BL18" s="2">
        <f>BK18+預測IC!BL18</f>
        <v>1.3111721322251226</v>
      </c>
      <c r="BM18" s="2">
        <f>BL18+預測IC!BM18</f>
        <v>1.2158607729551592</v>
      </c>
      <c r="BN18" s="2">
        <f>BM18+預測IC!BN18</f>
        <v>1.2366695965984653</v>
      </c>
      <c r="BO18" s="2">
        <f>BN18+預測IC!BO18</f>
        <v>1.2519554313002641</v>
      </c>
      <c r="BP18" s="2">
        <f>BO18+預測IC!BP18</f>
        <v>1.3929032673731203</v>
      </c>
      <c r="BQ18" s="2">
        <f>BP18+預測IC!BQ18</f>
        <v>1.3926241203306822</v>
      </c>
      <c r="BR18" s="2">
        <f>BQ18+預測IC!BR18</f>
        <v>1.4678324026925933</v>
      </c>
      <c r="BS18" s="2">
        <f>BR18+預測IC!BS18</f>
        <v>1.4532421547354364</v>
      </c>
      <c r="BT18" s="2">
        <f>BS18+預測IC!BT18</f>
        <v>1.3878980313828848</v>
      </c>
      <c r="BU18" s="2">
        <f>BT18+預測IC!BU18</f>
        <v>1.2969370093617638</v>
      </c>
      <c r="BV18" s="2">
        <f>BU18+預測IC!BV18</f>
        <v>1.3598609838824764</v>
      </c>
      <c r="BW18" s="2">
        <f>BV18+預測IC!BW18</f>
        <v>0.95318601406158276</v>
      </c>
      <c r="BX18" s="2">
        <f>BW18+預測IC!BX18</f>
        <v>1.0601304874701509</v>
      </c>
      <c r="BY18" s="2">
        <f>BX18+預測IC!BY18</f>
        <v>0.9382292941301803</v>
      </c>
      <c r="BZ18" s="2">
        <f>BY18+預測IC!BZ18</f>
        <v>1.091497499179271</v>
      </c>
      <c r="CA18" s="2">
        <f>BZ18+預測IC!CA18</f>
        <v>1.1375954083005198</v>
      </c>
      <c r="CB18" s="2">
        <f>CA18+預測IC!CB18</f>
        <v>1.22437949976078</v>
      </c>
      <c r="CC18" s="2">
        <f>CB18+預測IC!CC18</f>
        <v>1.2877738501003917</v>
      </c>
      <c r="CD18" s="2">
        <f>CC18+預測IC!CD18</f>
        <v>1.287637171263996</v>
      </c>
      <c r="CE18" s="2">
        <f>CD18+預測IC!CE18</f>
        <v>1.3822752937215588</v>
      </c>
      <c r="CF18" s="2">
        <f>CE18+預測IC!CF18</f>
        <v>1.3870753214280176</v>
      </c>
      <c r="CG18" s="2">
        <f>CF18+預測IC!CG18</f>
        <v>1.4657214994606111</v>
      </c>
      <c r="CH18" s="2">
        <f>CG18+預測IC!CH18</f>
        <v>1.498360729132127</v>
      </c>
      <c r="CI18" s="2">
        <f>CH18+預測IC!CI18</f>
        <v>1.3622880114253513</v>
      </c>
      <c r="CJ18" s="2">
        <f>CI18+預測IC!CJ18</f>
        <v>1.215980483401397</v>
      </c>
      <c r="CK18" s="2">
        <f>CJ18+預測IC!CK18</f>
        <v>1.11204370400351</v>
      </c>
      <c r="CL18" s="2">
        <f>CK18+預測IC!CL18</f>
        <v>1.0385860424063229</v>
      </c>
      <c r="CM18" s="2">
        <f>CL18+預測IC!CM18</f>
        <v>1.0538788063143196</v>
      </c>
      <c r="CN18" s="2">
        <f>CM18+預測IC!CN18</f>
        <v>1.0725146777465353</v>
      </c>
      <c r="CO18" s="2">
        <f>CN18+預測IC!CO18</f>
        <v>0.73043215415251472</v>
      </c>
      <c r="CP18" s="2">
        <f>CO18+預測IC!CP18</f>
        <v>0.82451482351816219</v>
      </c>
      <c r="CQ18" s="2">
        <f>CP18+預測IC!CQ18</f>
        <v>0.90073819689831791</v>
      </c>
      <c r="CR18" s="2">
        <f>CQ18+預測IC!CR18</f>
        <v>0.89674048071645374</v>
      </c>
      <c r="CS18" s="2">
        <f>CR18+預測IC!CS18</f>
        <v>0.87947564559339664</v>
      </c>
      <c r="CT18" s="2">
        <f>CS18+預測IC!CT18</f>
        <v>0.89619794655563467</v>
      </c>
      <c r="CU18" s="2">
        <f>CT18+預測IC!CU18</f>
        <v>0.84678340384747919</v>
      </c>
      <c r="CV18" s="2">
        <f>CU18+預測IC!CV18</f>
        <v>0.75759895830531532</v>
      </c>
      <c r="CW18" s="2">
        <f>CV18+預測IC!CW18</f>
        <v>0.77845159144410514</v>
      </c>
      <c r="CX18" s="2">
        <f>CW18+預測IC!CX18</f>
        <v>0.91041093178683707</v>
      </c>
      <c r="CY18" s="2">
        <f>CX18+預測IC!CY18</f>
        <v>0.89906392595635176</v>
      </c>
      <c r="CZ18" s="2">
        <f>CY18+預測IC!CZ18</f>
        <v>1.1435794013577518</v>
      </c>
      <c r="DA18" s="2">
        <f>CZ18+預測IC!DA18</f>
        <v>1.2833037439142414</v>
      </c>
      <c r="DB18" s="2">
        <f>DA18+預測IC!DB18</f>
        <v>1.332439246729568</v>
      </c>
      <c r="DC18" s="2">
        <f>DB18+預測IC!DC18</f>
        <v>1.4177180821103623</v>
      </c>
      <c r="DD18" s="2">
        <f>DC18+預測IC!DD18</f>
        <v>1.2984640546058039</v>
      </c>
      <c r="DE18" s="2">
        <f>DD18+預測IC!DE18</f>
        <v>1.2594433648550063</v>
      </c>
      <c r="DF18" s="2">
        <f>DE18+預測IC!DF18</f>
        <v>1.3786012702731782</v>
      </c>
      <c r="DG18" s="2">
        <f>DF18+預測IC!DG18</f>
        <v>1.3442460135482965</v>
      </c>
      <c r="DH18" s="2">
        <f>DG18+預測IC!DH18</f>
        <v>1.3960868645540714</v>
      </c>
      <c r="DI18" s="2">
        <f>DH18+預測IC!DI18</f>
        <v>1.4480174889155992</v>
      </c>
      <c r="DJ18" s="2">
        <f>DI18+預測IC!DJ18</f>
        <v>1.489118765389849</v>
      </c>
      <c r="DK18" s="2">
        <f>DJ18+預測IC!DK18</f>
        <v>1.4169299857296922</v>
      </c>
      <c r="DL18" s="2">
        <f>DK18+預測IC!DL18</f>
        <v>1.4187729822923347</v>
      </c>
      <c r="DM18" s="2">
        <f>DL18+預測IC!DM18</f>
        <v>1.4492091586462392</v>
      </c>
      <c r="DN18" s="2">
        <f>DM18+預測IC!DN18</f>
        <v>1.4903931983353289</v>
      </c>
      <c r="DO18" s="2">
        <f>DN18+預測IC!DO18</f>
        <v>1.2200771606072949</v>
      </c>
      <c r="DP18" s="2">
        <f>DO18+預測IC!DP18</f>
        <v>1.2566206677613507</v>
      </c>
      <c r="DQ18" s="2">
        <f>DP18+預測IC!DQ18</f>
        <v>1.1835167101986679</v>
      </c>
      <c r="DR18" s="2">
        <f>DQ18+預測IC!DR18</f>
        <v>1.1641542511373371</v>
      </c>
      <c r="DS18" s="2">
        <f>DR18+預測IC!DS18</f>
        <v>1.044349138579459</v>
      </c>
      <c r="DT18" s="2">
        <f>DS18+預測IC!DT18</f>
        <v>1.0405924674008968</v>
      </c>
      <c r="DU18" s="2">
        <f>DT18+預測IC!DU18</f>
        <v>1.0469889817623463</v>
      </c>
      <c r="DV18" s="2">
        <f>DU18+預測IC!DV18</f>
        <v>0.88772190869513568</v>
      </c>
      <c r="DW18" s="2">
        <f>DV18+預測IC!DW18</f>
        <v>0.89786643698474611</v>
      </c>
      <c r="DX18" s="2">
        <f>DW18+預測IC!DX18</f>
        <v>0.98792375185964143</v>
      </c>
      <c r="DY18" s="2">
        <f>DX18+預測IC!DY18</f>
        <v>1.2337222362030704</v>
      </c>
      <c r="DZ18" s="2">
        <f>DY18+預測IC!DZ18</f>
        <v>1.2295039826657883</v>
      </c>
      <c r="EA18" s="2">
        <f>DZ18+預測IC!EA18</f>
        <v>1.1839640124534294</v>
      </c>
      <c r="EB18" s="2">
        <f>EA18+預測IC!EB18</f>
        <v>1.1016642859640373</v>
      </c>
      <c r="EC18" s="2">
        <f>EB18+預測IC!EC18</f>
        <v>1.1396550629560414</v>
      </c>
      <c r="ED18" s="2">
        <f>EC18+預測IC!ED18</f>
        <v>1.0087660586838723</v>
      </c>
      <c r="EE18" s="2">
        <f>ED18+預測IC!EE18</f>
        <v>1.0297201996762493</v>
      </c>
      <c r="EF18" s="2">
        <f>EE18+預測IC!EF18</f>
        <v>0.96039005521308685</v>
      </c>
      <c r="EG18" s="2">
        <f>EF18+預測IC!EG18</f>
        <v>1.356563046164216</v>
      </c>
      <c r="EH18" s="2">
        <f>EG18+預測IC!EH18</f>
        <v>1.3721665523805304</v>
      </c>
      <c r="EI18" s="2">
        <f>EH18+預測IC!EI18</f>
        <v>1.3235178434891852</v>
      </c>
      <c r="EJ18" s="2">
        <f>EI18+預測IC!EJ18</f>
        <v>1.2586498297882156</v>
      </c>
      <c r="EK18" s="2">
        <f>EJ18+預測IC!EK18</f>
        <v>1.357727372792541</v>
      </c>
      <c r="EL18" s="2">
        <f>EK18+預測IC!EL18</f>
        <v>1.3553394942443964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0.10786986591904861</v>
      </c>
      <c r="E19" s="2">
        <f>D19+預測IC!E19</f>
        <v>0.17213165303278094</v>
      </c>
      <c r="F19" s="2">
        <f>E19+預測IC!F19</f>
        <v>0.22314691148011878</v>
      </c>
      <c r="G19" s="2">
        <f>F19+預測IC!G19</f>
        <v>0.3400398006591045</v>
      </c>
      <c r="H19" s="2">
        <f>G19+預測IC!H19</f>
        <v>0.29710944372221981</v>
      </c>
      <c r="I19" s="2">
        <f>H19+預測IC!I19</f>
        <v>0.39712166065914412</v>
      </c>
      <c r="J19" s="2">
        <f>I19+預測IC!J19</f>
        <v>0.41045307147632848</v>
      </c>
      <c r="K19" s="2">
        <f>J19+預測IC!K19</f>
        <v>0.46349997028924617</v>
      </c>
      <c r="L19" s="2">
        <f>K19+預測IC!L19</f>
        <v>0.4134915164960567</v>
      </c>
      <c r="M19" s="2">
        <f>L19+預測IC!M19</f>
        <v>0.47255772933072193</v>
      </c>
      <c r="N19" s="2">
        <f>M19+預測IC!N19</f>
        <v>0.60901723919909023</v>
      </c>
      <c r="O19" s="2">
        <f>N19+預測IC!O19</f>
        <v>0.67031157707117928</v>
      </c>
      <c r="P19" s="2">
        <f>O19+預測IC!P19</f>
        <v>0.71970660955935606</v>
      </c>
      <c r="Q19" s="2">
        <f>P19+預測IC!Q19</f>
        <v>0.73564252218898374</v>
      </c>
      <c r="R19" s="2">
        <f>Q19+預測IC!R19</f>
        <v>0.87785195520027137</v>
      </c>
      <c r="S19" s="2">
        <f>R19+預測IC!S19</f>
        <v>0.89645505434806683</v>
      </c>
      <c r="T19" s="2">
        <f>S19+預測IC!T19</f>
        <v>0.86199802251227819</v>
      </c>
      <c r="U19" s="2">
        <f>T19+預測IC!U19</f>
        <v>0.70507159123871477</v>
      </c>
      <c r="V19" s="2">
        <f>U19+預測IC!V19</f>
        <v>0.60250491675581863</v>
      </c>
      <c r="W19" s="2">
        <f>V19+預測IC!W19</f>
        <v>0.65604044572077214</v>
      </c>
      <c r="X19" s="2">
        <f>W19+預測IC!X19</f>
        <v>0.69219744194763078</v>
      </c>
      <c r="Y19" s="2">
        <f>X19+預測IC!Y19</f>
        <v>0.66941794317161385</v>
      </c>
      <c r="Z19" s="2">
        <f>Y19+預測IC!Z19</f>
        <v>0.73300236790735862</v>
      </c>
      <c r="AA19" s="2">
        <f>Z19+預測IC!AA19</f>
        <v>0.84225053975172537</v>
      </c>
      <c r="AB19" s="2">
        <f>AA19+預測IC!AB19</f>
        <v>0.91084768452306208</v>
      </c>
      <c r="AC19" s="2">
        <f>AB19+預測IC!AC19</f>
        <v>0.90394683448127111</v>
      </c>
      <c r="AD19" s="2">
        <f>AC19+預測IC!AD19</f>
        <v>0.81651473386883378</v>
      </c>
      <c r="AE19" s="2">
        <f>AD19+預測IC!AE19</f>
        <v>0.77823981230318839</v>
      </c>
      <c r="AF19" s="2">
        <f>AE19+預測IC!AF19</f>
        <v>0.75530578744710675</v>
      </c>
      <c r="AG19" s="2">
        <f>AF19+預測IC!AG19</f>
        <v>0.70011125984722189</v>
      </c>
      <c r="AH19" s="2">
        <f>AG19+預測IC!AH19</f>
        <v>0.69268100111321373</v>
      </c>
      <c r="AI19" s="2">
        <f>AH19+預測IC!AI19</f>
        <v>0.73357876033515834</v>
      </c>
      <c r="AJ19" s="2">
        <f>AI19+預測IC!AJ19</f>
        <v>0.68282245319987755</v>
      </c>
      <c r="AK19" s="2">
        <f>AJ19+預測IC!AK19</f>
        <v>0.66829288007640419</v>
      </c>
      <c r="AL19" s="2">
        <f>AK19+預測IC!AL19</f>
        <v>0.68433178158030372</v>
      </c>
      <c r="AM19" s="2">
        <f>AL19+預測IC!AM19</f>
        <v>0.70117632980299749</v>
      </c>
      <c r="AN19" s="2">
        <f>AM19+預測IC!AN19</f>
        <v>0.83350056777335568</v>
      </c>
      <c r="AO19" s="2">
        <f>AN19+預測IC!AO19</f>
        <v>0.82507182016002967</v>
      </c>
      <c r="AP19" s="2">
        <f>AO19+預測IC!AP19</f>
        <v>0.74726169217607918</v>
      </c>
      <c r="AQ19" s="2">
        <f>AP19+預測IC!AQ19</f>
        <v>0.80765421002912696</v>
      </c>
      <c r="AR19" s="2">
        <f>AQ19+預測IC!AR19</f>
        <v>0.76408854017738936</v>
      </c>
      <c r="AS19" s="2">
        <f>AR19+預測IC!AS19</f>
        <v>0.68164760943920921</v>
      </c>
      <c r="AT19" s="2">
        <f>AS19+預測IC!AT19</f>
        <v>0.88794945282426319</v>
      </c>
      <c r="AU19" s="2">
        <f>AT19+預測IC!AU19</f>
        <v>0.89937764461669178</v>
      </c>
      <c r="AV19" s="2">
        <f>AU19+預測IC!AV19</f>
        <v>0.8631894005964561</v>
      </c>
      <c r="AW19" s="2">
        <f>AV19+預測IC!AW19</f>
        <v>0.89777371080933432</v>
      </c>
      <c r="AX19" s="2">
        <f>AW19+預測IC!AX19</f>
        <v>0.72961873554225565</v>
      </c>
      <c r="AY19" s="2">
        <f>AX19+預測IC!AY19</f>
        <v>0.79503657099948755</v>
      </c>
      <c r="AZ19" s="2">
        <f>AY19+預測IC!AZ19</f>
        <v>0.84598560991432847</v>
      </c>
      <c r="BA19" s="2">
        <f>AZ19+預測IC!BA19</f>
        <v>0.8691356283521372</v>
      </c>
      <c r="BB19" s="2">
        <f>BA19+預測IC!BB19</f>
        <v>0.83231989320816835</v>
      </c>
      <c r="BC19" s="2">
        <f>BB19+預測IC!BC19</f>
        <v>0.88195834968062436</v>
      </c>
      <c r="BD19" s="2">
        <f>BC19+預測IC!BD19</f>
        <v>0.90373895001896098</v>
      </c>
      <c r="BE19" s="2">
        <f>BD19+預測IC!BE19</f>
        <v>0.90479965656082884</v>
      </c>
      <c r="BF19" s="2">
        <f>BE19+預測IC!BF19</f>
        <v>0.8742721925125807</v>
      </c>
      <c r="BG19" s="2">
        <f>BF19+預測IC!BG19</f>
        <v>0.93274098975124753</v>
      </c>
      <c r="BH19" s="2">
        <f>BG19+預測IC!BH19</f>
        <v>1.0058803597764832</v>
      </c>
      <c r="BI19" s="2">
        <f>BH19+預測IC!BI19</f>
        <v>1.0521627776526801</v>
      </c>
      <c r="BJ19" s="2">
        <f>BI19+預測IC!BJ19</f>
        <v>1.0950793517385518</v>
      </c>
      <c r="BK19" s="2">
        <f>BJ19+預測IC!BK19</f>
        <v>1.1102460004596642</v>
      </c>
      <c r="BL19" s="2">
        <f>BK19+預測IC!BL19</f>
        <v>1.1447088639517513</v>
      </c>
      <c r="BM19" s="2">
        <f>BL19+預測IC!BM19</f>
        <v>1.0345594545282824</v>
      </c>
      <c r="BN19" s="2">
        <f>BM19+預測IC!BN19</f>
        <v>1.0772461429017903</v>
      </c>
      <c r="BO19" s="2">
        <f>BN19+預測IC!BO19</f>
        <v>1.0628566867093248</v>
      </c>
      <c r="BP19" s="2">
        <f>BO19+預測IC!BP19</f>
        <v>1.226531225212705</v>
      </c>
      <c r="BQ19" s="2">
        <f>BP19+預測IC!BQ19</f>
        <v>1.2225156800801709</v>
      </c>
      <c r="BR19" s="2">
        <f>BQ19+預測IC!BR19</f>
        <v>1.3190177518620296</v>
      </c>
      <c r="BS19" s="2">
        <f>BR19+預測IC!BS19</f>
        <v>1.293450632076369</v>
      </c>
      <c r="BT19" s="2">
        <f>BS19+預測IC!BT19</f>
        <v>1.2408604464169732</v>
      </c>
      <c r="BU19" s="2">
        <f>BT19+預測IC!BU19</f>
        <v>1.1342557762095375</v>
      </c>
      <c r="BV19" s="2">
        <f>BU19+預測IC!BV19</f>
        <v>1.1715005905885092</v>
      </c>
      <c r="BW19" s="2">
        <f>BV19+預測IC!BW19</f>
        <v>0.68292444615401027</v>
      </c>
      <c r="BX19" s="2">
        <f>BW19+預測IC!BX19</f>
        <v>0.81959256323382323</v>
      </c>
      <c r="BY19" s="2">
        <f>BX19+預測IC!BY19</f>
        <v>0.69317068884914057</v>
      </c>
      <c r="BZ19" s="2">
        <f>BY19+預測IC!BZ19</f>
        <v>0.86028204624735216</v>
      </c>
      <c r="CA19" s="2">
        <f>BZ19+預測IC!CA19</f>
        <v>0.89422034493051517</v>
      </c>
      <c r="CB19" s="2">
        <f>CA19+預測IC!CB19</f>
        <v>0.96870485660789396</v>
      </c>
      <c r="CC19" s="2">
        <f>CB19+預測IC!CC19</f>
        <v>0.96426145563749854</v>
      </c>
      <c r="CD19" s="2">
        <f>CC19+預測IC!CD19</f>
        <v>0.95646980093901524</v>
      </c>
      <c r="CE19" s="2">
        <f>CD19+預測IC!CE19</f>
        <v>1.0588581896951159</v>
      </c>
      <c r="CF19" s="2">
        <f>CE19+預測IC!CF19</f>
        <v>1.059523384146885</v>
      </c>
      <c r="CG19" s="2">
        <f>CF19+預測IC!CG19</f>
        <v>1.1270357628864216</v>
      </c>
      <c r="CH19" s="2">
        <f>CG19+預測IC!CH19</f>
        <v>1.1079695272725685</v>
      </c>
      <c r="CI19" s="2">
        <f>CH19+預測IC!CI19</f>
        <v>0.95977663605680619</v>
      </c>
      <c r="CJ19" s="2">
        <f>CI19+預測IC!CJ19</f>
        <v>0.78692037999000741</v>
      </c>
      <c r="CK19" s="2">
        <f>CJ19+預測IC!CK19</f>
        <v>0.62863491242210745</v>
      </c>
      <c r="CL19" s="2">
        <f>CK19+預測IC!CL19</f>
        <v>0.47606045829208521</v>
      </c>
      <c r="CM19" s="2">
        <f>CL19+預測IC!CM19</f>
        <v>0.49718567286908522</v>
      </c>
      <c r="CN19" s="2">
        <f>CM19+預測IC!CN19</f>
        <v>0.52720845071378786</v>
      </c>
      <c r="CO19" s="2">
        <f>CN19+預測IC!CO19</f>
        <v>0.15835651296244435</v>
      </c>
      <c r="CP19" s="2">
        <f>CO19+預測IC!CP19</f>
        <v>0.20638789758073481</v>
      </c>
      <c r="CQ19" s="2">
        <f>CP19+預測IC!CQ19</f>
        <v>0.30929047550350403</v>
      </c>
      <c r="CR19" s="2">
        <f>CQ19+預測IC!CR19</f>
        <v>0.33586248370324334</v>
      </c>
      <c r="CS19" s="2">
        <f>CR19+預測IC!CS19</f>
        <v>0.31352865351453357</v>
      </c>
      <c r="CT19" s="2">
        <f>CS19+預測IC!CT19</f>
        <v>0.29873972679311162</v>
      </c>
      <c r="CU19" s="2">
        <f>CT19+預測IC!CU19</f>
        <v>0.26817441520980939</v>
      </c>
      <c r="CV19" s="2">
        <f>CU19+預測IC!CV19</f>
        <v>0.2016614471741629</v>
      </c>
      <c r="CW19" s="2">
        <f>CV19+預測IC!CW19</f>
        <v>0.26392538533372584</v>
      </c>
      <c r="CX19" s="2">
        <f>CW19+預測IC!CX19</f>
        <v>0.34804321698058144</v>
      </c>
      <c r="CY19" s="2">
        <f>CX19+預測IC!CY19</f>
        <v>0.33490422729047709</v>
      </c>
      <c r="CZ19" s="2">
        <f>CY19+預測IC!CZ19</f>
        <v>0.62704610834778529</v>
      </c>
      <c r="DA19" s="2">
        <f>CZ19+預測IC!DA19</f>
        <v>0.75654533906616428</v>
      </c>
      <c r="DB19" s="2">
        <f>DA19+預測IC!DB19</f>
        <v>0.79229891809009678</v>
      </c>
      <c r="DC19" s="2">
        <f>DB19+預測IC!DC19</f>
        <v>0.88244485213050339</v>
      </c>
      <c r="DD19" s="2">
        <f>DC19+預測IC!DD19</f>
        <v>0.78984732956299686</v>
      </c>
      <c r="DE19" s="2">
        <f>DD19+預測IC!DE19</f>
        <v>0.74808563350299351</v>
      </c>
      <c r="DF19" s="2">
        <f>DE19+預測IC!DF19</f>
        <v>0.86742719004559588</v>
      </c>
      <c r="DG19" s="2">
        <f>DF19+預測IC!DG19</f>
        <v>0.83319227899401616</v>
      </c>
      <c r="DH19" s="2">
        <f>DG19+預測IC!DH19</f>
        <v>0.88469328051374363</v>
      </c>
      <c r="DI19" s="2">
        <f>DH19+預測IC!DI19</f>
        <v>0.91746832378902998</v>
      </c>
      <c r="DJ19" s="2">
        <f>DI19+預測IC!DJ19</f>
        <v>0.96432258867110621</v>
      </c>
      <c r="DK19" s="2">
        <f>DJ19+預測IC!DK19</f>
        <v>0.88185395288729929</v>
      </c>
      <c r="DL19" s="2">
        <f>DK19+預測IC!DL19</f>
        <v>0.89201447483825036</v>
      </c>
      <c r="DM19" s="2">
        <f>DL19+預測IC!DM19</f>
        <v>0.92824019423437054</v>
      </c>
      <c r="DN19" s="2">
        <f>DM19+預測IC!DN19</f>
        <v>1.0392467265481276</v>
      </c>
      <c r="DO19" s="2">
        <f>DN19+預測IC!DO19</f>
        <v>0.74881048884654244</v>
      </c>
      <c r="DP19" s="2">
        <f>DO19+預測IC!DP19</f>
        <v>0.78742944269816317</v>
      </c>
      <c r="DQ19" s="2">
        <f>DP19+預測IC!DQ19</f>
        <v>0.71713158983630887</v>
      </c>
      <c r="DR19" s="2">
        <f>DQ19+預測IC!DR19</f>
        <v>0.71123657258902051</v>
      </c>
      <c r="DS19" s="2">
        <f>DR19+預測IC!DS19</f>
        <v>0.55684459932514307</v>
      </c>
      <c r="DT19" s="2">
        <f>DS19+預測IC!DT19</f>
        <v>0.55091753055130643</v>
      </c>
      <c r="DU19" s="2">
        <f>DT19+預測IC!DU19</f>
        <v>0.57056685627350245</v>
      </c>
      <c r="DV19" s="2">
        <f>DU19+預測IC!DV19</f>
        <v>0.40830069531949675</v>
      </c>
      <c r="DW19" s="2">
        <f>DV19+預測IC!DW19</f>
        <v>0.44834186743080057</v>
      </c>
      <c r="DX19" s="2">
        <f>DW19+預測IC!DX19</f>
        <v>0.47313818104814442</v>
      </c>
      <c r="DY19" s="2">
        <f>DX19+預測IC!DY19</f>
        <v>0.75361676999514771</v>
      </c>
      <c r="DZ19" s="2">
        <f>DY19+預測IC!DZ19</f>
        <v>0.76401649665023719</v>
      </c>
      <c r="EA19" s="2">
        <f>DZ19+預測IC!EA19</f>
        <v>0.73995953565930705</v>
      </c>
      <c r="EB19" s="2">
        <f>EA19+預測IC!EB19</f>
        <v>0.63725914932881134</v>
      </c>
      <c r="EC19" s="2">
        <f>EB19+預測IC!EC19</f>
        <v>0.66898339885321856</v>
      </c>
      <c r="ED19" s="2">
        <f>EC19+預測IC!ED19</f>
        <v>0.5517466133705573</v>
      </c>
      <c r="EE19" s="2">
        <f>ED19+預測IC!EE19</f>
        <v>0.56277364443774092</v>
      </c>
      <c r="EF19" s="2">
        <f>EE19+預測IC!EF19</f>
        <v>0.47766810283834771</v>
      </c>
      <c r="EG19" s="2">
        <f>EF19+預測IC!EG19</f>
        <v>0.94050972166585933</v>
      </c>
      <c r="EH19" s="2">
        <f>EG19+預測IC!EH19</f>
        <v>0.9505974997624087</v>
      </c>
      <c r="EI19" s="2">
        <f>EH19+預測IC!EI19</f>
        <v>0.88427937736292717</v>
      </c>
      <c r="EJ19" s="2">
        <f>EI19+預測IC!EJ19</f>
        <v>0.83960016902677159</v>
      </c>
      <c r="EK19" s="2">
        <f>EJ19+預測IC!EK19</f>
        <v>0.94365239103015897</v>
      </c>
      <c r="EL19" s="2">
        <f>EK19+預測IC!EL19</f>
        <v>0.91933690624134401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-2.905367867495165E-3</v>
      </c>
      <c r="E20" s="2">
        <f>D20+預測IC!E20</f>
        <v>2.1486425239467845E-2</v>
      </c>
      <c r="F20" s="2">
        <f>E20+預測IC!F20</f>
        <v>5.9362393377361052E-2</v>
      </c>
      <c r="G20" s="2">
        <f>F20+預測IC!G20</f>
        <v>0.14429056218033012</v>
      </c>
      <c r="H20" s="2">
        <f>G20+預測IC!H20</f>
        <v>4.3185380893121822E-2</v>
      </c>
      <c r="I20" s="2">
        <f>H20+預測IC!I20</f>
        <v>0.16918907511938472</v>
      </c>
      <c r="J20" s="2">
        <f>I20+預測IC!J20</f>
        <v>0.12221842237091327</v>
      </c>
      <c r="K20" s="2">
        <f>J20+預測IC!K20</f>
        <v>0.19123004192632354</v>
      </c>
      <c r="L20" s="2">
        <f>K20+預測IC!L20</f>
        <v>9.9019967502020106E-2</v>
      </c>
      <c r="M20" s="2">
        <f>L20+預測IC!M20</f>
        <v>0.10938728840761602</v>
      </c>
      <c r="N20" s="2">
        <f>M20+預測IC!N20</f>
        <v>0.26064616646732086</v>
      </c>
      <c r="O20" s="2">
        <f>N20+預測IC!O20</f>
        <v>0.3215178884962025</v>
      </c>
      <c r="P20" s="2">
        <f>O20+預測IC!P20</f>
        <v>0.38120634426558736</v>
      </c>
      <c r="Q20" s="2">
        <f>P20+預測IC!Q20</f>
        <v>0.35964960874198165</v>
      </c>
      <c r="R20" s="2">
        <f>Q20+預測IC!R20</f>
        <v>0.51043700625813671</v>
      </c>
      <c r="S20" s="2">
        <f>R20+預測IC!S20</f>
        <v>0.52502265137551096</v>
      </c>
      <c r="T20" s="2">
        <f>S20+預測IC!T20</f>
        <v>0.49658371491860454</v>
      </c>
      <c r="U20" s="2">
        <f>T20+預測IC!U20</f>
        <v>0.31948370927661313</v>
      </c>
      <c r="V20" s="2">
        <f>U20+預測IC!V20</f>
        <v>0.20463905139342342</v>
      </c>
      <c r="W20" s="2">
        <f>V20+預測IC!W20</f>
        <v>0.24414348512185907</v>
      </c>
      <c r="X20" s="2">
        <f>W20+預測IC!X20</f>
        <v>0.27479726162186108</v>
      </c>
      <c r="Y20" s="2">
        <f>X20+預測IC!Y20</f>
        <v>0.23252000001342663</v>
      </c>
      <c r="Z20" s="2">
        <f>Y20+預測IC!Z20</f>
        <v>0.29256854903657437</v>
      </c>
      <c r="AA20" s="2">
        <f>Z20+預測IC!AA20</f>
        <v>0.37209279330154355</v>
      </c>
      <c r="AB20" s="2">
        <f>AA20+預測IC!AB20</f>
        <v>0.46869844462730176</v>
      </c>
      <c r="AC20" s="2">
        <f>AB20+預測IC!AC20</f>
        <v>0.44163106061031182</v>
      </c>
      <c r="AD20" s="2">
        <f>AC20+預測IC!AD20</f>
        <v>0.33888581572827431</v>
      </c>
      <c r="AE20" s="2">
        <f>AD20+預測IC!AE20</f>
        <v>0.28899892714074471</v>
      </c>
      <c r="AF20" s="2">
        <f>AE20+預測IC!AF20</f>
        <v>0.26153439156140296</v>
      </c>
      <c r="AG20" s="2">
        <f>AF20+預測IC!AG20</f>
        <v>0.16230745877972125</v>
      </c>
      <c r="AH20" s="2">
        <f>AG20+預測IC!AH20</f>
        <v>0.17743682183812984</v>
      </c>
      <c r="AI20" s="2">
        <f>AH20+預測IC!AI20</f>
        <v>0.17573902222308549</v>
      </c>
      <c r="AJ20" s="2">
        <f>AI20+預測IC!AJ20</f>
        <v>0.1310979288435177</v>
      </c>
      <c r="AK20" s="2">
        <f>AJ20+預測IC!AK20</f>
        <v>0.11408159923434938</v>
      </c>
      <c r="AL20" s="2">
        <f>AK20+預測IC!AL20</f>
        <v>0.12854640962958236</v>
      </c>
      <c r="AM20" s="2">
        <f>AL20+預測IC!AM20</f>
        <v>0.12101015084673683</v>
      </c>
      <c r="AN20" s="2">
        <f>AM20+預測IC!AN20</f>
        <v>0.26815218254086115</v>
      </c>
      <c r="AO20" s="2">
        <f>AN20+預測IC!AO20</f>
        <v>0.25355272143432356</v>
      </c>
      <c r="AP20" s="2">
        <f>AO20+預測IC!AP20</f>
        <v>0.15859048156412339</v>
      </c>
      <c r="AQ20" s="2">
        <f>AP20+預測IC!AQ20</f>
        <v>0.21222006684271294</v>
      </c>
      <c r="AR20" s="2">
        <f>AQ20+預測IC!AR20</f>
        <v>0.16706291263981959</v>
      </c>
      <c r="AS20" s="2">
        <f>AR20+預測IC!AS20</f>
        <v>6.175245870269809E-2</v>
      </c>
      <c r="AT20" s="2">
        <f>AS20+預測IC!AT20</f>
        <v>0.31235655449746857</v>
      </c>
      <c r="AU20" s="2">
        <f>AT20+預測IC!AU20</f>
        <v>0.33485115795404258</v>
      </c>
      <c r="AV20" s="2">
        <f>AU20+預測IC!AV20</f>
        <v>0.29324626698105477</v>
      </c>
      <c r="AW20" s="2">
        <f>AV20+預測IC!AW20</f>
        <v>0.34999437317031623</v>
      </c>
      <c r="AX20" s="2">
        <f>AW20+預測IC!AX20</f>
        <v>0.13534364380294972</v>
      </c>
      <c r="AY20" s="2">
        <f>AX20+預測IC!AY20</f>
        <v>0.2863509476436763</v>
      </c>
      <c r="AZ20" s="2">
        <f>AY20+預測IC!AZ20</f>
        <v>0.35304620255611519</v>
      </c>
      <c r="BA20" s="2">
        <f>AZ20+預測IC!BA20</f>
        <v>0.38312318518646549</v>
      </c>
      <c r="BB20" s="2">
        <f>BA20+預測IC!BB20</f>
        <v>0.34995498717363938</v>
      </c>
      <c r="BC20" s="2">
        <f>BB20+預測IC!BC20</f>
        <v>0.42656700580083706</v>
      </c>
      <c r="BD20" s="2">
        <f>BC20+預測IC!BD20</f>
        <v>0.37203194227540798</v>
      </c>
      <c r="BE20" s="2">
        <f>BD20+預測IC!BE20</f>
        <v>0.38044840664606522</v>
      </c>
      <c r="BF20" s="2">
        <f>BE20+預測IC!BF20</f>
        <v>0.35656807219515757</v>
      </c>
      <c r="BG20" s="2">
        <f>BF20+預測IC!BG20</f>
        <v>0.43374262315306378</v>
      </c>
      <c r="BH20" s="2">
        <f>BG20+預測IC!BH20</f>
        <v>0.46137447932171671</v>
      </c>
      <c r="BI20" s="2">
        <f>BH20+預測IC!BI20</f>
        <v>0.5253124296845666</v>
      </c>
      <c r="BJ20" s="2">
        <f>BI20+預測IC!BJ20</f>
        <v>0.55029802471867872</v>
      </c>
      <c r="BK20" s="2">
        <f>BJ20+預測IC!BK20</f>
        <v>0.56994217060122143</v>
      </c>
      <c r="BL20" s="2">
        <f>BK20+預測IC!BL20</f>
        <v>0.56877296872497807</v>
      </c>
      <c r="BM20" s="2">
        <f>BL20+預測IC!BM20</f>
        <v>0.47236951993741161</v>
      </c>
      <c r="BN20" s="2">
        <f>BM20+預測IC!BN20</f>
        <v>0.47546971815278949</v>
      </c>
      <c r="BO20" s="2">
        <f>BN20+預測IC!BO20</f>
        <v>0.46009052060698097</v>
      </c>
      <c r="BP20" s="2">
        <f>BO20+預測IC!BP20</f>
        <v>0.62225346633383405</v>
      </c>
      <c r="BQ20" s="2">
        <f>BP20+預測IC!BQ20</f>
        <v>0.59768901357762483</v>
      </c>
      <c r="BR20" s="2">
        <f>BQ20+預測IC!BR20</f>
        <v>0.69367397239647233</v>
      </c>
      <c r="BS20" s="2">
        <f>BR20+預測IC!BS20</f>
        <v>0.64364049496711806</v>
      </c>
      <c r="BT20" s="2">
        <f>BS20+預測IC!BT20</f>
        <v>0.58448596112921658</v>
      </c>
      <c r="BU20" s="2">
        <f>BT20+預測IC!BU20</f>
        <v>0.48851513316907369</v>
      </c>
      <c r="BV20" s="2">
        <f>BU20+預測IC!BV20</f>
        <v>0.55890494368585375</v>
      </c>
      <c r="BW20" s="2">
        <f>BV20+預測IC!BW20</f>
        <v>-1.970017893138043E-2</v>
      </c>
      <c r="BX20" s="2">
        <f>BW20+預測IC!BX20</f>
        <v>0.11501335421295397</v>
      </c>
      <c r="BY20" s="2">
        <f>BX20+預測IC!BY20</f>
        <v>-4.3637332287786296E-3</v>
      </c>
      <c r="BZ20" s="2">
        <f>BY20+預測IC!BZ20</f>
        <v>0.16499341390992689</v>
      </c>
      <c r="CA20" s="2">
        <f>BZ20+預測IC!CA20</f>
        <v>0.17919473080541984</v>
      </c>
      <c r="CB20" s="2">
        <f>CA20+預測IC!CB20</f>
        <v>0.27111977382859731</v>
      </c>
      <c r="CC20" s="2">
        <f>CB20+預測IC!CC20</f>
        <v>0.24256106415909445</v>
      </c>
      <c r="CD20" s="2">
        <f>CC20+預測IC!CD20</f>
        <v>0.22218916185383689</v>
      </c>
      <c r="CE20" s="2">
        <f>CD20+預測IC!CE20</f>
        <v>0.36466566493025038</v>
      </c>
      <c r="CF20" s="2">
        <f>CE20+預測IC!CF20</f>
        <v>0.36509581613876907</v>
      </c>
      <c r="CG20" s="2">
        <f>CF20+預測IC!CG20</f>
        <v>0.49874945316567065</v>
      </c>
      <c r="CH20" s="2">
        <f>CG20+預測IC!CH20</f>
        <v>0.45040836573810217</v>
      </c>
      <c r="CI20" s="2">
        <f>CH20+預測IC!CI20</f>
        <v>0.25775023462212909</v>
      </c>
      <c r="CJ20" s="2">
        <f>CI20+預測IC!CJ20</f>
        <v>0.11856969486758379</v>
      </c>
      <c r="CK20" s="2">
        <f>CJ20+預測IC!CK20</f>
        <v>-6.7071321439461207E-2</v>
      </c>
      <c r="CL20" s="2">
        <f>CK20+預測IC!CL20</f>
        <v>-0.26779112886907253</v>
      </c>
      <c r="CM20" s="2">
        <f>CL20+預測IC!CM20</f>
        <v>-0.22256885642879246</v>
      </c>
      <c r="CN20" s="2">
        <f>CM20+預測IC!CN20</f>
        <v>-0.20015664271520539</v>
      </c>
      <c r="CO20" s="2">
        <f>CN20+預測IC!CO20</f>
        <v>-0.54660167556054096</v>
      </c>
      <c r="CP20" s="2">
        <f>CO20+預測IC!CP20</f>
        <v>-0.37777945089187204</v>
      </c>
      <c r="CQ20" s="2">
        <f>CP20+預測IC!CQ20</f>
        <v>-0.23498622961037943</v>
      </c>
      <c r="CR20" s="2">
        <f>CQ20+預測IC!CR20</f>
        <v>-0.16639787869333261</v>
      </c>
      <c r="CS20" s="2">
        <f>CR20+預測IC!CS20</f>
        <v>-0.18981095787870944</v>
      </c>
      <c r="CT20" s="2">
        <f>CS20+預測IC!CT20</f>
        <v>-0.20895964118588883</v>
      </c>
      <c r="CU20" s="2">
        <f>CT20+預測IC!CU20</f>
        <v>-0.28028788101018032</v>
      </c>
      <c r="CV20" s="2">
        <f>CU20+預測IC!CV20</f>
        <v>-0.34996980379034187</v>
      </c>
      <c r="CW20" s="2">
        <f>CV20+預測IC!CW20</f>
        <v>-0.27782275237388254</v>
      </c>
      <c r="CX20" s="2">
        <f>CW20+預測IC!CX20</f>
        <v>-0.19287988617284549</v>
      </c>
      <c r="CY20" s="2">
        <f>CX20+預測IC!CY20</f>
        <v>-0.21417650513200559</v>
      </c>
      <c r="CZ20" s="2">
        <f>CY20+預測IC!CZ20</f>
        <v>0.13729059853924513</v>
      </c>
      <c r="DA20" s="2">
        <f>CZ20+預測IC!DA20</f>
        <v>0.28322045128186035</v>
      </c>
      <c r="DB20" s="2">
        <f>DA20+預測IC!DB20</f>
        <v>0.34389961968940674</v>
      </c>
      <c r="DC20" s="2">
        <f>DB20+預測IC!DC20</f>
        <v>0.44558003708405647</v>
      </c>
      <c r="DD20" s="2">
        <f>DC20+預測IC!DD20</f>
        <v>0.35228896250042402</v>
      </c>
      <c r="DE20" s="2">
        <f>DD20+預測IC!DE20</f>
        <v>0.3023013695825888</v>
      </c>
      <c r="DF20" s="2">
        <f>DE20+預測IC!DF20</f>
        <v>0.44733635662679683</v>
      </c>
      <c r="DG20" s="2">
        <f>DF20+預測IC!DG20</f>
        <v>0.40152448539591545</v>
      </c>
      <c r="DH20" s="2">
        <f>DG20+預測IC!DH20</f>
        <v>0.4490968749232459</v>
      </c>
      <c r="DI20" s="2">
        <f>DH20+預測IC!DI20</f>
        <v>0.45164504741151273</v>
      </c>
      <c r="DJ20" s="2">
        <f>DI20+預測IC!DJ20</f>
        <v>0.50393322115211681</v>
      </c>
      <c r="DK20" s="2">
        <f>DJ20+預測IC!DK20</f>
        <v>0.40666847880896573</v>
      </c>
      <c r="DL20" s="2">
        <f>DK20+預測IC!DL20</f>
        <v>0.43873503480823411</v>
      </c>
      <c r="DM20" s="2">
        <f>DL20+預測IC!DM20</f>
        <v>0.53968159099875535</v>
      </c>
      <c r="DN20" s="2">
        <f>DM20+預測IC!DN20</f>
        <v>0.66833803235074063</v>
      </c>
      <c r="DO20" s="2">
        <f>DN20+預測IC!DO20</f>
        <v>0.33740760064346875</v>
      </c>
      <c r="DP20" s="2">
        <f>DO20+預測IC!DP20</f>
        <v>0.38665948746588935</v>
      </c>
      <c r="DQ20" s="2">
        <f>DP20+預測IC!DQ20</f>
        <v>0.31349981687801648</v>
      </c>
      <c r="DR20" s="2">
        <f>DQ20+預測IC!DR20</f>
        <v>0.28903457325495624</v>
      </c>
      <c r="DS20" s="2">
        <f>DR20+預測IC!DS20</f>
        <v>0.11505403593998775</v>
      </c>
      <c r="DT20" s="2">
        <f>DS20+預測IC!DT20</f>
        <v>0.10194054503353137</v>
      </c>
      <c r="DU20" s="2">
        <f>DT20+預測IC!DU20</f>
        <v>0.13279098484354823</v>
      </c>
      <c r="DV20" s="2">
        <f>DU20+預測IC!DV20</f>
        <v>-2.1521923091721379E-2</v>
      </c>
      <c r="DW20" s="2">
        <f>DV20+預測IC!DW20</f>
        <v>1.9267775960719519E-2</v>
      </c>
      <c r="DX20" s="2">
        <f>DW20+預測IC!DX20</f>
        <v>2.5274092079436459E-2</v>
      </c>
      <c r="DY20" s="2">
        <f>DX20+預測IC!DY20</f>
        <v>0.33135028201773786</v>
      </c>
      <c r="DZ20" s="2">
        <f>DY20+預測IC!DZ20</f>
        <v>0.32671097700855312</v>
      </c>
      <c r="EA20" s="2">
        <f>DZ20+預測IC!EA20</f>
        <v>0.29071679104770287</v>
      </c>
      <c r="EB20" s="2">
        <f>EA20+預測IC!EB20</f>
        <v>0.16573340392221117</v>
      </c>
      <c r="EC20" s="2">
        <f>EB20+預測IC!EC20</f>
        <v>0.19738090085652141</v>
      </c>
      <c r="ED20" s="2">
        <f>EC20+預測IC!ED20</f>
        <v>7.1040639992899918E-2</v>
      </c>
      <c r="EE20" s="2">
        <f>ED20+預測IC!EE20</f>
        <v>8.256876284517331E-2</v>
      </c>
      <c r="EF20" s="2">
        <f>EE20+預測IC!EF20</f>
        <v>-4.0999997318905385E-2</v>
      </c>
      <c r="EG20" s="2">
        <f>EF20+預測IC!EG20</f>
        <v>0.51497556292475932</v>
      </c>
      <c r="EH20" s="2">
        <f>EG20+預測IC!EH20</f>
        <v>0.42410828093238911</v>
      </c>
      <c r="EI20" s="2">
        <f>EH20+預測IC!EI20</f>
        <v>0.36859323477957073</v>
      </c>
      <c r="EJ20" s="2">
        <f>EI20+預測IC!EJ20</f>
        <v>0.30894071638073312</v>
      </c>
      <c r="EK20" s="2">
        <f>EJ20+預測IC!EK20</f>
        <v>0.37468559452521844</v>
      </c>
      <c r="EL20" s="2">
        <f>EK20+預測IC!EL20</f>
        <v>0.36262261249980482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6.9408729570006072E-2</v>
      </c>
      <c r="E21" s="2">
        <f>D21+預測IC!E21</f>
        <v>0.10190295249340701</v>
      </c>
      <c r="F21" s="2">
        <f>E21+預測IC!F21</f>
        <v>0.21440459296531142</v>
      </c>
      <c r="G21" s="2">
        <f>F21+預測IC!G21</f>
        <v>0.29792725012794857</v>
      </c>
      <c r="H21" s="2">
        <f>G21+預測IC!H21</f>
        <v>0.19266987552160009</v>
      </c>
      <c r="I21" s="2">
        <f>H21+預測IC!I21</f>
        <v>0.3182525950771059</v>
      </c>
      <c r="J21" s="2">
        <f>I21+預測IC!J21</f>
        <v>0.29472064682027238</v>
      </c>
      <c r="K21" s="2">
        <f>J21+預測IC!K21</f>
        <v>0.36720367560990574</v>
      </c>
      <c r="L21" s="2">
        <f>K21+預測IC!L21</f>
        <v>0.24131743860866625</v>
      </c>
      <c r="M21" s="2">
        <f>L21+預測IC!M21</f>
        <v>6.2273317778031578E-3</v>
      </c>
      <c r="N21" s="2">
        <f>M21+預測IC!N21</f>
        <v>0.15356541378779207</v>
      </c>
      <c r="O21" s="2">
        <f>N21+預測IC!O21</f>
        <v>0.20991487108214629</v>
      </c>
      <c r="P21" s="2">
        <f>O21+預測IC!P21</f>
        <v>0.2797726867680877</v>
      </c>
      <c r="Q21" s="2">
        <f>P21+預測IC!Q21</f>
        <v>0.26527315785955741</v>
      </c>
      <c r="R21" s="2">
        <f>Q21+預測IC!R21</f>
        <v>0.4601083536558635</v>
      </c>
      <c r="S21" s="2">
        <f>R21+預測IC!S21</f>
        <v>0.53011340631557091</v>
      </c>
      <c r="T21" s="2">
        <f>S21+預測IC!T21</f>
        <v>0.51308697317362706</v>
      </c>
      <c r="U21" s="2">
        <f>T21+預測IC!U21</f>
        <v>0.38273839154752637</v>
      </c>
      <c r="V21" s="2">
        <f>U21+預測IC!V21</f>
        <v>0.26135292789396986</v>
      </c>
      <c r="W21" s="2">
        <f>V21+預測IC!W21</f>
        <v>0.34015327516635496</v>
      </c>
      <c r="X21" s="2">
        <f>W21+預測IC!X21</f>
        <v>0.36382987164790787</v>
      </c>
      <c r="Y21" s="2">
        <f>X21+預測IC!Y21</f>
        <v>0.31240152980503977</v>
      </c>
      <c r="Z21" s="2">
        <f>Y21+預測IC!Z21</f>
        <v>0.40468399711330411</v>
      </c>
      <c r="AA21" s="2">
        <f>Z21+預測IC!AA21</f>
        <v>0.44153956576001419</v>
      </c>
      <c r="AB21" s="2">
        <f>AA21+預測IC!AB21</f>
        <v>0.53730951979623331</v>
      </c>
      <c r="AC21" s="2">
        <f>AB21+預測IC!AC21</f>
        <v>0.48343023549311387</v>
      </c>
      <c r="AD21" s="2">
        <f>AC21+預測IC!AD21</f>
        <v>0.46276751342781292</v>
      </c>
      <c r="AE21" s="2">
        <f>AD21+預測IC!AE21</f>
        <v>0.39879772633274035</v>
      </c>
      <c r="AF21" s="2">
        <f>AE21+預測IC!AF21</f>
        <v>0.37037766457157772</v>
      </c>
      <c r="AG21" s="2">
        <f>AF21+預測IC!AG21</f>
        <v>0.26311313901354283</v>
      </c>
      <c r="AH21" s="2">
        <f>AG21+預測IC!AH21</f>
        <v>0.27205954767067608</v>
      </c>
      <c r="AI21" s="2">
        <f>AH21+預測IC!AI21</f>
        <v>0.26191390707814083</v>
      </c>
      <c r="AJ21" s="2">
        <f>AI21+預測IC!AJ21</f>
        <v>0.19789560589923835</v>
      </c>
      <c r="AK21" s="2">
        <f>AJ21+預測IC!AK21</f>
        <v>0.15661272531064035</v>
      </c>
      <c r="AL21" s="2">
        <f>AK21+預測IC!AL21</f>
        <v>0.18304132738454007</v>
      </c>
      <c r="AM21" s="2">
        <f>AL21+預測IC!AM21</f>
        <v>0.18033643247224324</v>
      </c>
      <c r="AN21" s="2">
        <f>AM21+預測IC!AN21</f>
        <v>0.34650285803885122</v>
      </c>
      <c r="AO21" s="2">
        <f>AN21+預測IC!AO21</f>
        <v>0.28370305471574542</v>
      </c>
      <c r="AP21" s="2">
        <f>AO21+預測IC!AP21</f>
        <v>0.20884688166265575</v>
      </c>
      <c r="AQ21" s="2">
        <f>AP21+預測IC!AQ21</f>
        <v>0.19195366321025692</v>
      </c>
      <c r="AR21" s="2">
        <f>AQ21+預測IC!AR21</f>
        <v>0.10689941514386442</v>
      </c>
      <c r="AS21" s="2">
        <f>AR21+預測IC!AS21</f>
        <v>-3.5232286686130376E-2</v>
      </c>
      <c r="AT21" s="2">
        <f>AS21+預測IC!AT21</f>
        <v>1.5947496954465512E-2</v>
      </c>
      <c r="AU21" s="2">
        <f>AT21+預測IC!AU21</f>
        <v>2.1381458699378394E-2</v>
      </c>
      <c r="AV21" s="2">
        <f>AU21+預測IC!AV21</f>
        <v>-1.5252896013486568E-2</v>
      </c>
      <c r="AW21" s="2">
        <f>AV21+預測IC!AW21</f>
        <v>1.7046844503956701E-2</v>
      </c>
      <c r="AX21" s="2">
        <f>AW21+預測IC!AX21</f>
        <v>-0.20759397441994459</v>
      </c>
      <c r="AY21" s="2">
        <f>AX21+預測IC!AY21</f>
        <v>-1.3023498323286087E-2</v>
      </c>
      <c r="AZ21" s="2">
        <f>AY21+預測IC!AZ21</f>
        <v>6.5644117765101873E-2</v>
      </c>
      <c r="BA21" s="2">
        <f>AZ21+預測IC!BA21</f>
        <v>7.1879386817519944E-2</v>
      </c>
      <c r="BB21" s="2">
        <f>BA21+預測IC!BB21</f>
        <v>1.7883568732595091E-2</v>
      </c>
      <c r="BC21" s="2">
        <f>BB21+預測IC!BC21</f>
        <v>9.7609073013544434E-2</v>
      </c>
      <c r="BD21" s="2">
        <f>BC21+預測IC!BD21</f>
        <v>5.5342808155537604E-2</v>
      </c>
      <c r="BE21" s="2">
        <f>BD21+預測IC!BE21</f>
        <v>7.1292469209369783E-2</v>
      </c>
      <c r="BF21" s="2">
        <f>BE21+預測IC!BF21</f>
        <v>3.8509800583898045E-2</v>
      </c>
      <c r="BG21" s="2">
        <f>BF21+預測IC!BG21</f>
        <v>7.5748920833641056E-2</v>
      </c>
      <c r="BH21" s="2">
        <f>BG21+預測IC!BH21</f>
        <v>1.3613468803123766E-2</v>
      </c>
      <c r="BI21" s="2">
        <f>BH21+預測IC!BI21</f>
        <v>6.0146347401353259E-2</v>
      </c>
      <c r="BJ21" s="2">
        <f>BI21+預測IC!BJ21</f>
        <v>4.8836087580241258E-2</v>
      </c>
      <c r="BK21" s="2">
        <f>BJ21+預測IC!BK21</f>
        <v>7.6449412042328274E-2</v>
      </c>
      <c r="BL21" s="2">
        <f>BK21+預測IC!BL21</f>
        <v>7.4355327104413782E-2</v>
      </c>
      <c r="BM21" s="2">
        <f>BL21+預測IC!BM21</f>
        <v>-6.403953892437772E-2</v>
      </c>
      <c r="BN21" s="2">
        <f>BM21+預測IC!BN21</f>
        <v>-5.6214761936007537E-2</v>
      </c>
      <c r="BO21" s="2">
        <f>BN21+預測IC!BO21</f>
        <v>-2.6791590037256147E-2</v>
      </c>
      <c r="BP21" s="2">
        <f>BO21+預測IC!BP21</f>
        <v>0.15960721783598467</v>
      </c>
      <c r="BQ21" s="2">
        <f>BP21+預測IC!BQ21</f>
        <v>0.11457913621003694</v>
      </c>
      <c r="BR21" s="2">
        <f>BQ21+預測IC!BR21</f>
        <v>0.19099409858906707</v>
      </c>
      <c r="BS21" s="2">
        <f>BR21+預測IC!BS21</f>
        <v>0.15388976285810069</v>
      </c>
      <c r="BT21" s="2">
        <f>BS21+預測IC!BT21</f>
        <v>9.4267220064298676E-2</v>
      </c>
      <c r="BU21" s="2">
        <f>BT21+預測IC!BU21</f>
        <v>-9.1463149686384221E-3</v>
      </c>
      <c r="BV21" s="2">
        <f>BU21+預測IC!BV21</f>
        <v>6.8896862187234939E-2</v>
      </c>
      <c r="BW21" s="2">
        <f>BV21+預測IC!BW21</f>
        <v>-0.62450497172892538</v>
      </c>
      <c r="BX21" s="2">
        <f>BW21+預測IC!BX21</f>
        <v>-0.5137948741961299</v>
      </c>
      <c r="BY21" s="2">
        <f>BX21+預測IC!BY21</f>
        <v>-0.69531264421403571</v>
      </c>
      <c r="BZ21" s="2">
        <f>BY21+預測IC!BZ21</f>
        <v>-0.51805366233233663</v>
      </c>
      <c r="CA21" s="2">
        <f>BZ21+預測IC!CA21</f>
        <v>-0.53059655195534405</v>
      </c>
      <c r="CB21" s="2">
        <f>CA21+預測IC!CB21</f>
        <v>-0.43666896971628244</v>
      </c>
      <c r="CC21" s="2">
        <f>CB21+預測IC!CC21</f>
        <v>-0.50611740208772915</v>
      </c>
      <c r="CD21" s="2">
        <f>CC21+預測IC!CD21</f>
        <v>-0.43078098089762912</v>
      </c>
      <c r="CE21" s="2">
        <f>CD21+預測IC!CE21</f>
        <v>-0.26893187954323006</v>
      </c>
      <c r="CF21" s="2">
        <f>CE21+預測IC!CF21</f>
        <v>-0.24811584269460613</v>
      </c>
      <c r="CG21" s="2">
        <f>CF21+預測IC!CG21</f>
        <v>-6.2437536075888339E-2</v>
      </c>
      <c r="CH21" s="2">
        <f>CG21+預測IC!CH21</f>
        <v>-6.9489050486554446E-2</v>
      </c>
      <c r="CI21" s="2">
        <f>CH21+預測IC!CI21</f>
        <v>-0.25504358272267924</v>
      </c>
      <c r="CJ21" s="2">
        <f>CI21+預測IC!CJ21</f>
        <v>-0.43286687454241635</v>
      </c>
      <c r="CK21" s="2">
        <f>CJ21+預測IC!CK21</f>
        <v>-0.69457566513795999</v>
      </c>
      <c r="CL21" s="2">
        <f>CK21+預測IC!CL21</f>
        <v>-0.7822606553983622</v>
      </c>
      <c r="CM21" s="2">
        <f>CL21+預測IC!CM21</f>
        <v>-0.7675774181535171</v>
      </c>
      <c r="CN21" s="2">
        <f>CM21+預測IC!CN21</f>
        <v>-0.73708115455242518</v>
      </c>
      <c r="CO21" s="2">
        <f>CN21+預測IC!CO21</f>
        <v>-1.086479822463241</v>
      </c>
      <c r="CP21" s="2">
        <f>CO21+預測IC!CP21</f>
        <v>-0.97297067949733318</v>
      </c>
      <c r="CQ21" s="2">
        <f>CP21+預測IC!CQ21</f>
        <v>-0.79973197244861571</v>
      </c>
      <c r="CR21" s="2">
        <f>CQ21+預測IC!CR21</f>
        <v>-0.72036929006852624</v>
      </c>
      <c r="CS21" s="2">
        <f>CR21+預測IC!CS21</f>
        <v>-0.72864885044039451</v>
      </c>
      <c r="CT21" s="2">
        <f>CS21+預測IC!CT21</f>
        <v>-0.74750032215205642</v>
      </c>
      <c r="CU21" s="2">
        <f>CT21+預測IC!CU21</f>
        <v>-0.83814710861344788</v>
      </c>
      <c r="CV21" s="2">
        <f>CU21+預測IC!CV21</f>
        <v>-0.84849651252611258</v>
      </c>
      <c r="CW21" s="2">
        <f>CV21+預測IC!CW21</f>
        <v>-0.77986740235488883</v>
      </c>
      <c r="CX21" s="2">
        <f>CW21+預測IC!CX21</f>
        <v>-0.69592266751774168</v>
      </c>
      <c r="CY21" s="2">
        <f>CX21+預測IC!CY21</f>
        <v>-0.72940974489355792</v>
      </c>
      <c r="CZ21" s="2">
        <f>CY21+預測IC!CZ21</f>
        <v>-0.41341259342035175</v>
      </c>
      <c r="DA21" s="2">
        <f>CZ21+預測IC!DA21</f>
        <v>-0.23604133220421084</v>
      </c>
      <c r="DB21" s="2">
        <f>DA21+預測IC!DB21</f>
        <v>-0.1718099449046446</v>
      </c>
      <c r="DC21" s="2">
        <f>DB21+預測IC!DC21</f>
        <v>-5.3103916580984498E-2</v>
      </c>
      <c r="DD21" s="2">
        <f>DC21+預測IC!DD21</f>
        <v>-0.11422913717752023</v>
      </c>
      <c r="DE21" s="2">
        <f>DD21+預測IC!DE21</f>
        <v>-0.18688916921288057</v>
      </c>
      <c r="DF21" s="2">
        <f>DE21+預測IC!DF21</f>
        <v>-1.9524697223577858E-2</v>
      </c>
      <c r="DG21" s="2">
        <f>DF21+預測IC!DG21</f>
        <v>-6.9566821443390242E-2</v>
      </c>
      <c r="DH21" s="2">
        <f>DG21+預測IC!DH21</f>
        <v>-1.2507813027824652E-2</v>
      </c>
      <c r="DI21" s="2">
        <f>DH21+預測IC!DI21</f>
        <v>-3.5812963125603017E-2</v>
      </c>
      <c r="DJ21" s="2">
        <f>DI21+預測IC!DJ21</f>
        <v>4.476493282190859E-2</v>
      </c>
      <c r="DK21" s="2">
        <f>DJ21+預測IC!DK21</f>
        <v>-8.8654980866918323E-2</v>
      </c>
      <c r="DL21" s="2">
        <f>DK21+預測IC!DL21</f>
        <v>-5.6198670121575284E-2</v>
      </c>
      <c r="DM21" s="2">
        <f>DL21+預測IC!DM21</f>
        <v>-4.3614872195216793E-2</v>
      </c>
      <c r="DN21" s="2">
        <f>DM21+預測IC!DN21</f>
        <v>0.1654822821006833</v>
      </c>
      <c r="DO21" s="2">
        <f>DN21+預測IC!DO21</f>
        <v>-0.19140840849613652</v>
      </c>
      <c r="DP21" s="2">
        <f>DO21+預測IC!DP21</f>
        <v>-0.15413758048893483</v>
      </c>
      <c r="DQ21" s="2">
        <f>DP21+預測IC!DQ21</f>
        <v>-0.23243740329595716</v>
      </c>
      <c r="DR21" s="2">
        <f>DQ21+預測IC!DR21</f>
        <v>-0.30195781480644102</v>
      </c>
      <c r="DS21" s="2">
        <f>DR21+預測IC!DS21</f>
        <v>-0.46267158831450395</v>
      </c>
      <c r="DT21" s="2">
        <f>DS21+預測IC!DT21</f>
        <v>-0.47158395131481207</v>
      </c>
      <c r="DU21" s="2">
        <f>DT21+預測IC!DU21</f>
        <v>-0.40105767034066608</v>
      </c>
      <c r="DV21" s="2">
        <f>DU21+預測IC!DV21</f>
        <v>-0.55631933623641294</v>
      </c>
      <c r="DW21" s="2">
        <f>DV21+預測IC!DW21</f>
        <v>-0.63448727239737668</v>
      </c>
      <c r="DX21" s="2">
        <f>DW21+預測IC!DX21</f>
        <v>-0.63141587651418052</v>
      </c>
      <c r="DY21" s="2">
        <f>DX21+預測IC!DY21</f>
        <v>-0.32558459164089915</v>
      </c>
      <c r="DZ21" s="2">
        <f>DY21+預測IC!DZ21</f>
        <v>-0.35664280390767805</v>
      </c>
      <c r="EA21" s="2">
        <f>DZ21+預測IC!EA21</f>
        <v>-0.40022185018841039</v>
      </c>
      <c r="EB21" s="2">
        <f>EA21+預測IC!EB21</f>
        <v>-0.52076828462894964</v>
      </c>
      <c r="EC21" s="2">
        <f>EB21+預測IC!EC21</f>
        <v>-0.47529207224418163</v>
      </c>
      <c r="ED21" s="2">
        <f>EC21+預測IC!ED21</f>
        <v>-0.59194570191071016</v>
      </c>
      <c r="EE21" s="2">
        <f>ED21+預測IC!EE21</f>
        <v>-0.59430546737881351</v>
      </c>
      <c r="EF21" s="2">
        <f>EE21+預測IC!EF21</f>
        <v>-0.71023891281929119</v>
      </c>
      <c r="EG21" s="2">
        <f>EF21+預測IC!EG21</f>
        <v>-0.12607302119349828</v>
      </c>
      <c r="EH21" s="2">
        <f>EG21+預測IC!EH21</f>
        <v>-0.11341052469551405</v>
      </c>
      <c r="EI21" s="2">
        <f>EH21+預測IC!EI21</f>
        <v>-0.19562765598342463</v>
      </c>
      <c r="EJ21" s="2">
        <f>EI21+預測IC!EJ21</f>
        <v>-0.24151674421171482</v>
      </c>
      <c r="EK21" s="2">
        <f>EJ21+預測IC!EK21</f>
        <v>-0.17302064374903423</v>
      </c>
      <c r="EL21" s="2">
        <f>EK21+預測IC!EL21</f>
        <v>-0.2005735709101692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5.170873743723868E-2</v>
      </c>
      <c r="E22" s="2">
        <f>D22+預測IC!E22</f>
        <v>0.20105959628901288</v>
      </c>
      <c r="F22" s="2">
        <f>E22+預測IC!F22</f>
        <v>0.42733129625025429</v>
      </c>
      <c r="G22" s="2">
        <f>F22+預測IC!G22</f>
        <v>0.46566735487742911</v>
      </c>
      <c r="H22" s="2">
        <f>G22+預測IC!H22</f>
        <v>0.37893570740126886</v>
      </c>
      <c r="I22" s="2">
        <f>H22+預測IC!I22</f>
        <v>0.53885742947524484</v>
      </c>
      <c r="J22" s="2">
        <f>I22+預測IC!J22</f>
        <v>0.59586979140149576</v>
      </c>
      <c r="K22" s="2">
        <f>J22+預測IC!K22</f>
        <v>0.70191966756092095</v>
      </c>
      <c r="L22" s="2">
        <f>K22+預測IC!L22</f>
        <v>0.56407981928638051</v>
      </c>
      <c r="M22" s="2">
        <f>L22+預測IC!M22</f>
        <v>0.27306222895033933</v>
      </c>
      <c r="N22" s="2">
        <f>M22+預測IC!N22</f>
        <v>0.4177155451971557</v>
      </c>
      <c r="O22" s="2">
        <f>N22+預測IC!O22</f>
        <v>0.52572118600511863</v>
      </c>
      <c r="P22" s="2">
        <f>O22+預測IC!P22</f>
        <v>0.56334985487841771</v>
      </c>
      <c r="Q22" s="2">
        <f>P22+預測IC!Q22</f>
        <v>0.57088857400415927</v>
      </c>
      <c r="R22" s="2">
        <f>Q22+預測IC!R22</f>
        <v>0.82444899780473113</v>
      </c>
      <c r="S22" s="2">
        <f>R22+預測IC!S22</f>
        <v>0.95075650210208906</v>
      </c>
      <c r="T22" s="2">
        <f>S22+預測IC!T22</f>
        <v>0.96778382536219232</v>
      </c>
      <c r="U22" s="2">
        <f>T22+預測IC!U22</f>
        <v>0.81370300681639529</v>
      </c>
      <c r="V22" s="2">
        <f>U22+預測IC!V22</f>
        <v>0.70401959232057443</v>
      </c>
      <c r="W22" s="2">
        <f>V22+預測IC!W22</f>
        <v>0.5895438581657011</v>
      </c>
      <c r="X22" s="2">
        <f>W22+預測IC!X22</f>
        <v>0.54674692120318003</v>
      </c>
      <c r="Y22" s="2">
        <f>X22+預測IC!Y22</f>
        <v>0.55930699700917652</v>
      </c>
      <c r="Z22" s="2">
        <f>Y22+預測IC!Z22</f>
        <v>0.58812910024557197</v>
      </c>
      <c r="AA22" s="2">
        <f>Z22+預測IC!AA22</f>
        <v>0.61158324996068947</v>
      </c>
      <c r="AB22" s="2">
        <f>AA22+預測IC!AB22</f>
        <v>0.71739395659267924</v>
      </c>
      <c r="AC22" s="2">
        <f>AB22+預測IC!AC22</f>
        <v>0.64685980609577098</v>
      </c>
      <c r="AD22" s="2">
        <f>AC22+預測IC!AD22</f>
        <v>0.63837465648472913</v>
      </c>
      <c r="AE22" s="2">
        <f>AD22+預測IC!AE22</f>
        <v>0.56324763978349635</v>
      </c>
      <c r="AF22" s="2">
        <f>AE22+預測IC!AF22</f>
        <v>0.55000303227764991</v>
      </c>
      <c r="AG22" s="2">
        <f>AF22+預測IC!AG22</f>
        <v>0.34177062523671209</v>
      </c>
      <c r="AH22" s="2">
        <f>AG22+預測IC!AH22</f>
        <v>0.31996176395577897</v>
      </c>
      <c r="AI22" s="2">
        <f>AH22+預測IC!AI22</f>
        <v>0.29701415994081426</v>
      </c>
      <c r="AJ22" s="2">
        <f>AI22+預測IC!AJ22</f>
        <v>0.22398244400542672</v>
      </c>
      <c r="AK22" s="2">
        <f>AJ22+預測IC!AK22</f>
        <v>0.20804752409478111</v>
      </c>
      <c r="AL22" s="2">
        <f>AK22+預測IC!AL22</f>
        <v>0.2418223793453429</v>
      </c>
      <c r="AM22" s="2">
        <f>AL22+預測IC!AM22</f>
        <v>0.22905527683647062</v>
      </c>
      <c r="AN22" s="2">
        <f>AM22+預測IC!AN22</f>
        <v>0.39724338944608928</v>
      </c>
      <c r="AO22" s="2">
        <f>AN22+預測IC!AO22</f>
        <v>0.35764303998457603</v>
      </c>
      <c r="AP22" s="2">
        <f>AO22+預測IC!AP22</f>
        <v>0.25115662175424935</v>
      </c>
      <c r="AQ22" s="2">
        <f>AP22+預測IC!AQ22</f>
        <v>0.2763574020553794</v>
      </c>
      <c r="AR22" s="2">
        <f>AQ22+預測IC!AR22</f>
        <v>0.15318232208442978</v>
      </c>
      <c r="AS22" s="2">
        <f>AR22+預測IC!AS22</f>
        <v>9.9325669819940107E-2</v>
      </c>
      <c r="AT22" s="2">
        <f>AS22+預測IC!AT22</f>
        <v>2.1633863670607226E-2</v>
      </c>
      <c r="AU22" s="2">
        <f>AT22+預測IC!AU22</f>
        <v>2.728805307960518E-2</v>
      </c>
      <c r="AV22" s="2">
        <f>AU22+預測IC!AV22</f>
        <v>-3.0874906012531202E-2</v>
      </c>
      <c r="AW22" s="2">
        <f>AV22+預測IC!AW22</f>
        <v>2.4997721347190544E-2</v>
      </c>
      <c r="AX22" s="2">
        <f>AW22+預測IC!AX22</f>
        <v>2.5642885477065839E-2</v>
      </c>
      <c r="AY22" s="2">
        <f>AX22+預測IC!AY22</f>
        <v>1.053823657281334E-2</v>
      </c>
      <c r="AZ22" s="2">
        <f>AY22+預測IC!AZ22</f>
        <v>7.8952602190257654E-2</v>
      </c>
      <c r="BA22" s="2">
        <f>AZ22+預測IC!BA22</f>
        <v>0.22131206693197836</v>
      </c>
      <c r="BB22" s="2">
        <f>BA22+預測IC!BB22</f>
        <v>0.22556475176109161</v>
      </c>
      <c r="BC22" s="2">
        <f>BB22+預測IC!BC22</f>
        <v>0.25555798028076787</v>
      </c>
      <c r="BD22" s="2">
        <f>BC22+預測IC!BD22</f>
        <v>0.27610237092209272</v>
      </c>
      <c r="BE22" s="2">
        <f>BD22+預測IC!BE22</f>
        <v>0.31166969632571356</v>
      </c>
      <c r="BF22" s="2">
        <f>BE22+預測IC!BF22</f>
        <v>0.25695702696344885</v>
      </c>
      <c r="BG22" s="2">
        <f>BF22+預測IC!BG22</f>
        <v>0.29785555207053455</v>
      </c>
      <c r="BH22" s="2">
        <f>BG22+預測IC!BH22</f>
        <v>0.18222434720781225</v>
      </c>
      <c r="BI22" s="2">
        <f>BH22+預測IC!BI22</f>
        <v>0.23005138955532822</v>
      </c>
      <c r="BJ22" s="2">
        <f>BI22+預測IC!BJ22</f>
        <v>0.13230800233496071</v>
      </c>
      <c r="BK22" s="2">
        <f>BJ22+預測IC!BK22</f>
        <v>0.13985784978286611</v>
      </c>
      <c r="BL22" s="2">
        <f>BK22+預測IC!BL22</f>
        <v>0.13121763331534364</v>
      </c>
      <c r="BM22" s="2">
        <f>BL22+預測IC!BM22</f>
        <v>-0.11865696035628495</v>
      </c>
      <c r="BN22" s="2">
        <f>BM22+預測IC!BN22</f>
        <v>-1.8462355267769751E-2</v>
      </c>
      <c r="BO22" s="2">
        <f>BN22+預測IC!BO22</f>
        <v>-1.2469550300589962E-2</v>
      </c>
      <c r="BP22" s="2">
        <f>BO22+預測IC!BP22</f>
        <v>1.1697352860878998E-2</v>
      </c>
      <c r="BQ22" s="2">
        <f>BP22+預測IC!BQ22</f>
        <v>-0.11286746670518599</v>
      </c>
      <c r="BR22" s="2">
        <f>BQ22+預測IC!BR22</f>
        <v>-2.6132219148751329E-2</v>
      </c>
      <c r="BS22" s="2">
        <f>BR22+預測IC!BS22</f>
        <v>-0.10536356463810415</v>
      </c>
      <c r="BT22" s="2">
        <f>BS22+預測IC!BT22</f>
        <v>-0.16683058660876354</v>
      </c>
      <c r="BU22" s="2">
        <f>BT22+預測IC!BU22</f>
        <v>-0.22784428262693643</v>
      </c>
      <c r="BV22" s="2">
        <f>BU22+預測IC!BV22</f>
        <v>-0.15261989645982865</v>
      </c>
      <c r="BW22" s="2">
        <f>BV22+預測IC!BW22</f>
        <v>-0.7074160583449679</v>
      </c>
      <c r="BX22" s="2">
        <f>BW22+預測IC!BX22</f>
        <v>-0.53467011524728292</v>
      </c>
      <c r="BY22" s="2">
        <f>BX22+預測IC!BY22</f>
        <v>-0.66479543183120848</v>
      </c>
      <c r="BZ22" s="2">
        <f>BY22+預測IC!BZ22</f>
        <v>-0.44059542151169867</v>
      </c>
      <c r="CA22" s="2">
        <f>BZ22+預測IC!CA22</f>
        <v>-0.45168257908938891</v>
      </c>
      <c r="CB22" s="2">
        <f>CA22+預測IC!CB22</f>
        <v>-0.31295926609519165</v>
      </c>
      <c r="CC22" s="2">
        <f>CB22+預測IC!CC22</f>
        <v>-0.42622487414370386</v>
      </c>
      <c r="CD22" s="2">
        <f>CC22+預測IC!CD22</f>
        <v>-0.29111153861370487</v>
      </c>
      <c r="CE22" s="2">
        <f>CD22+預測IC!CE22</f>
        <v>-0.13266608998244667</v>
      </c>
      <c r="CF22" s="2">
        <f>CE22+預測IC!CF22</f>
        <v>-0.15382436723228241</v>
      </c>
      <c r="CG22" s="2">
        <f>CF22+預測IC!CG22</f>
        <v>-4.5546324835398111E-2</v>
      </c>
      <c r="CH22" s="2">
        <f>CG22+預測IC!CH22</f>
        <v>-2.2368693182849352E-2</v>
      </c>
      <c r="CI22" s="2">
        <f>CH22+預測IC!CI22</f>
        <v>-0.21679987587559893</v>
      </c>
      <c r="CJ22" s="2">
        <f>CI22+預測IC!CJ22</f>
        <v>-0.4300011872903502</v>
      </c>
      <c r="CK22" s="2">
        <f>CJ22+預測IC!CK22</f>
        <v>-0.73681463697208138</v>
      </c>
      <c r="CL22" s="2">
        <f>CK22+預測IC!CL22</f>
        <v>-0.84990510411784914</v>
      </c>
      <c r="CM22" s="2">
        <f>CL22+預測IC!CM22</f>
        <v>-0.89518418074810702</v>
      </c>
      <c r="CN22" s="2">
        <f>CM22+預測IC!CN22</f>
        <v>-0.84888605348389934</v>
      </c>
      <c r="CO22" s="2">
        <f>CN22+預測IC!CO22</f>
        <v>-1.291882943268059</v>
      </c>
      <c r="CP22" s="2">
        <f>CO22+預測IC!CP22</f>
        <v>-1.1389017016688148</v>
      </c>
      <c r="CQ22" s="2">
        <f>CP22+預測IC!CQ22</f>
        <v>-0.9447791445335757</v>
      </c>
      <c r="CR22" s="2">
        <f>CQ22+預測IC!CR22</f>
        <v>-0.81129413146771601</v>
      </c>
      <c r="CS22" s="2">
        <f>CR22+預測IC!CS22</f>
        <v>-0.83379408412318112</v>
      </c>
      <c r="CT22" s="2">
        <f>CS22+預測IC!CT22</f>
        <v>-0.90609760444134746</v>
      </c>
      <c r="CU22" s="2">
        <f>CT22+預測IC!CU22</f>
        <v>-0.97523621487053924</v>
      </c>
      <c r="CV22" s="2">
        <f>CU22+預測IC!CV22</f>
        <v>-0.99211627483774945</v>
      </c>
      <c r="CW22" s="2">
        <f>CV22+預測IC!CW22</f>
        <v>-0.88029652400838243</v>
      </c>
      <c r="CX22" s="2">
        <f>CW22+預測IC!CX22</f>
        <v>-0.73875960349184799</v>
      </c>
      <c r="CY22" s="2">
        <f>CX22+預測IC!CY22</f>
        <v>-0.77284988670790544</v>
      </c>
      <c r="CZ22" s="2">
        <f>CY22+預測IC!CZ22</f>
        <v>-0.44419954528890065</v>
      </c>
      <c r="DA22" s="2">
        <f>CZ22+預測IC!DA22</f>
        <v>-0.17647236519621484</v>
      </c>
      <c r="DB22" s="2">
        <f>DA22+預測IC!DB22</f>
        <v>-0.11020375410322575</v>
      </c>
      <c r="DC22" s="2">
        <f>DB22+預測IC!DC22</f>
        <v>5.1356714018196359E-2</v>
      </c>
      <c r="DD22" s="2">
        <f>DC22+預測IC!DD22</f>
        <v>1.1578512065237578E-2</v>
      </c>
      <c r="DE22" s="2">
        <f>DD22+預測IC!DE22</f>
        <v>-8.7167848573506831E-2</v>
      </c>
      <c r="DF22" s="2">
        <f>DE22+預測IC!DF22</f>
        <v>0.13919154738131895</v>
      </c>
      <c r="DG22" s="2">
        <f>DF22+預測IC!DG22</f>
        <v>7.9791907464450765E-2</v>
      </c>
      <c r="DH22" s="2">
        <f>DG22+預測IC!DH22</f>
        <v>0.15038906834496876</v>
      </c>
      <c r="DI22" s="2">
        <f>DH22+預測IC!DI22</f>
        <v>0.12963300967008934</v>
      </c>
      <c r="DJ22" s="2">
        <f>DI22+預測IC!DJ22</f>
        <v>0.20420557113109333</v>
      </c>
      <c r="DK22" s="2">
        <f>DJ22+預測IC!DK22</f>
        <v>3.4977810268846721E-2</v>
      </c>
      <c r="DL22" s="2">
        <f>DK22+預測IC!DL22</f>
        <v>4.9831720184809192E-2</v>
      </c>
      <c r="DM22" s="2">
        <f>DL22+預測IC!DM22</f>
        <v>7.6762030615522767E-2</v>
      </c>
      <c r="DN22" s="2">
        <f>DM22+預測IC!DN22</f>
        <v>0.41283619159940627</v>
      </c>
      <c r="DO22" s="2">
        <f>DN22+預測IC!DO22</f>
        <v>-1.2072036512959128E-2</v>
      </c>
      <c r="DP22" s="2">
        <f>DO22+預測IC!DP22</f>
        <v>-3.9478536028139791E-2</v>
      </c>
      <c r="DQ22" s="2">
        <f>DP22+預測IC!DQ22</f>
        <v>-0.14088780850773638</v>
      </c>
      <c r="DR22" s="2">
        <f>DQ22+預測IC!DR22</f>
        <v>-0.21936703226317697</v>
      </c>
      <c r="DS22" s="2">
        <f>DR22+預測IC!DS22</f>
        <v>-0.44676684551725876</v>
      </c>
      <c r="DT22" s="2">
        <f>DS22+預測IC!DT22</f>
        <v>-0.4625307899125411</v>
      </c>
      <c r="DU22" s="2">
        <f>DT22+預測IC!DU22</f>
        <v>-0.43845742954489325</v>
      </c>
      <c r="DV22" s="2">
        <f>DU22+預測IC!DV22</f>
        <v>-0.59371123738856768</v>
      </c>
      <c r="DW22" s="2">
        <f>DV22+預測IC!DW22</f>
        <v>-0.82307942593961592</v>
      </c>
      <c r="DX22" s="2">
        <f>DW22+預測IC!DX22</f>
        <v>-0.90973544208579771</v>
      </c>
      <c r="DY22" s="2">
        <f>DX22+預測IC!DY22</f>
        <v>-0.59012609553372108</v>
      </c>
      <c r="DZ22" s="2">
        <f>DY22+預測IC!DZ22</f>
        <v>-0.59859388640344235</v>
      </c>
      <c r="EA22" s="2">
        <f>DZ22+預測IC!EA22</f>
        <v>-0.66622257597212442</v>
      </c>
      <c r="EB22" s="2">
        <f>EA22+預測IC!EB22</f>
        <v>-0.80543527305427542</v>
      </c>
      <c r="EC22" s="2">
        <f>EB22+預測IC!EC22</f>
        <v>-0.74110150923022411</v>
      </c>
      <c r="ED22" s="2">
        <f>EC22+預測IC!ED22</f>
        <v>-0.84820313584156459</v>
      </c>
      <c r="EE22" s="2">
        <f>ED22+預測IC!EE22</f>
        <v>-0.84597302915574113</v>
      </c>
      <c r="EF22" s="2">
        <f>EE22+預測IC!EF22</f>
        <v>-0.98901281655394102</v>
      </c>
      <c r="EG22" s="2">
        <f>EF22+預測IC!EG22</f>
        <v>-0.26823921646858362</v>
      </c>
      <c r="EH22" s="2">
        <f>EG22+預測IC!EH22</f>
        <v>-0.28040642406120597</v>
      </c>
      <c r="EI22" s="2">
        <f>EH22+預測IC!EI22</f>
        <v>-0.33652172132410962</v>
      </c>
      <c r="EJ22" s="2">
        <f>EI22+預測IC!EJ22</f>
        <v>-0.37675630710010688</v>
      </c>
      <c r="EK22" s="2">
        <f>EJ22+預測IC!EK22</f>
        <v>-0.26876721132050768</v>
      </c>
      <c r="EL22" s="2">
        <f>EK22+預測IC!EL22</f>
        <v>-0.19668016389208209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1.3891861254297647E-2</v>
      </c>
      <c r="E23" s="2">
        <f>D23+預測IC!E23</f>
        <v>0.23869359057072204</v>
      </c>
      <c r="F23" s="2">
        <f>E23+預測IC!F23</f>
        <v>0.60733888565198613</v>
      </c>
      <c r="G23" s="2">
        <f>F23+預測IC!G23</f>
        <v>0.57415218357724029</v>
      </c>
      <c r="H23" s="2">
        <f>G23+預測IC!H23</f>
        <v>0.44169006096364882</v>
      </c>
      <c r="I23" s="2">
        <f>H23+預測IC!I23</f>
        <v>0.49462499663060999</v>
      </c>
      <c r="J23" s="2">
        <f>I23+預測IC!J23</f>
        <v>0.53834770406593435</v>
      </c>
      <c r="K23" s="2">
        <f>J23+預測IC!K23</f>
        <v>0.64680480747081481</v>
      </c>
      <c r="L23" s="2">
        <f>K23+預測IC!L23</f>
        <v>0.51374861230422619</v>
      </c>
      <c r="M23" s="2">
        <f>L23+預測IC!M23</f>
        <v>0.36356877646729302</v>
      </c>
      <c r="N23" s="2">
        <f>M23+預測IC!N23</f>
        <v>0.42946598170233735</v>
      </c>
      <c r="O23" s="2">
        <f>N23+預測IC!O23</f>
        <v>0.49118687694057411</v>
      </c>
      <c r="P23" s="2">
        <f>O23+預測IC!P23</f>
        <v>0.48859097593053602</v>
      </c>
      <c r="Q23" s="2">
        <f>P23+預測IC!Q23</f>
        <v>0.45928714779754232</v>
      </c>
      <c r="R23" s="2">
        <f>Q23+預測IC!R23</f>
        <v>0.72802436127019066</v>
      </c>
      <c r="S23" s="2">
        <f>R23+預測IC!S23</f>
        <v>0.79681178856326973</v>
      </c>
      <c r="T23" s="2">
        <f>S23+預測IC!T23</f>
        <v>0.85457895100120207</v>
      </c>
      <c r="U23" s="2">
        <f>T23+預測IC!U23</f>
        <v>0.5286068911367181</v>
      </c>
      <c r="V23" s="2">
        <f>U23+預測IC!V23</f>
        <v>0.51941154217416918</v>
      </c>
      <c r="W23" s="2">
        <f>V23+預測IC!W23</f>
        <v>0.30595066907278567</v>
      </c>
      <c r="X23" s="2">
        <f>W23+預測IC!X23</f>
        <v>0.31638665704136681</v>
      </c>
      <c r="Y23" s="2">
        <f>X23+預測IC!Y23</f>
        <v>0.34860280088220663</v>
      </c>
      <c r="Z23" s="2">
        <f>Y23+預測IC!Z23</f>
        <v>0.39268594428236764</v>
      </c>
      <c r="AA23" s="2">
        <f>Z23+預測IC!AA23</f>
        <v>0.54806939176177938</v>
      </c>
      <c r="AB23" s="2">
        <f>AA23+預測IC!AB23</f>
        <v>0.66438314412316624</v>
      </c>
      <c r="AC23" s="2">
        <f>AB23+預測IC!AC23</f>
        <v>0.49171499724487083</v>
      </c>
      <c r="AD23" s="2">
        <f>AC23+預測IC!AD23</f>
        <v>0.53599698320749778</v>
      </c>
      <c r="AE23" s="2">
        <f>AD23+預測IC!AE23</f>
        <v>0.48925206896509515</v>
      </c>
      <c r="AF23" s="2">
        <f>AE23+預測IC!AF23</f>
        <v>0.48239668975812622</v>
      </c>
      <c r="AG23" s="2">
        <f>AF23+預測IC!AG23</f>
        <v>0.18826226965047393</v>
      </c>
      <c r="AH23" s="2">
        <f>AG23+預測IC!AH23</f>
        <v>0.15990195921615452</v>
      </c>
      <c r="AI23" s="2">
        <f>AH23+預測IC!AI23</f>
        <v>0.1346423675314298</v>
      </c>
      <c r="AJ23" s="2">
        <f>AI23+預測IC!AJ23</f>
        <v>4.7835225617384264E-2</v>
      </c>
      <c r="AK23" s="2">
        <f>AJ23+預測IC!AK23</f>
        <v>3.183658147225045E-2</v>
      </c>
      <c r="AL23" s="2">
        <f>AK23+預測IC!AL23</f>
        <v>5.8642155771667773E-2</v>
      </c>
      <c r="AM23" s="2">
        <f>AL23+預測IC!AM23</f>
        <v>-4.2154342251353033E-3</v>
      </c>
      <c r="AN23" s="2">
        <f>AM23+預測IC!AN23</f>
        <v>0.20928961022701981</v>
      </c>
      <c r="AO23" s="2">
        <f>AN23+預測IC!AO23</f>
        <v>0.15519454921316511</v>
      </c>
      <c r="AP23" s="2">
        <f>AO23+預測IC!AP23</f>
        <v>2.0746768267026122E-2</v>
      </c>
      <c r="AQ23" s="2">
        <f>AP23+預測IC!AQ23</f>
        <v>5.676222253492258E-2</v>
      </c>
      <c r="AR23" s="2">
        <f>AQ23+預測IC!AR23</f>
        <v>-0.12699245734435172</v>
      </c>
      <c r="AS23" s="2">
        <f>AR23+預測IC!AS23</f>
        <v>-0.14121800583662122</v>
      </c>
      <c r="AT23" s="2">
        <f>AS23+預測IC!AT23</f>
        <v>-0.2163384751439541</v>
      </c>
      <c r="AU23" s="2">
        <f>AT23+預測IC!AU23</f>
        <v>-0.19425786328979092</v>
      </c>
      <c r="AV23" s="2">
        <f>AU23+預測IC!AV23</f>
        <v>-0.22835404211701416</v>
      </c>
      <c r="AW23" s="2">
        <f>AV23+預測IC!AW23</f>
        <v>-0.10904446700456885</v>
      </c>
      <c r="AX23" s="2">
        <f>AW23+預測IC!AX23</f>
        <v>-0.15789340204285224</v>
      </c>
      <c r="AY23" s="2">
        <f>AX23+預測IC!AY23</f>
        <v>-0.29027499742265372</v>
      </c>
      <c r="AZ23" s="2">
        <f>AY23+預測IC!AZ23</f>
        <v>-0.18163502071397281</v>
      </c>
      <c r="BA23" s="2">
        <f>AZ23+預測IC!BA23</f>
        <v>-0.12354385564294301</v>
      </c>
      <c r="BB23" s="2">
        <f>BA23+預測IC!BB23</f>
        <v>-0.11496218166531498</v>
      </c>
      <c r="BC23" s="2">
        <f>BB23+預測IC!BC23</f>
        <v>-2.7280619833720043E-2</v>
      </c>
      <c r="BD23" s="2">
        <f>BC23+預測IC!BD23</f>
        <v>-1.3149413214956973E-2</v>
      </c>
      <c r="BE23" s="2">
        <f>BD23+預測IC!BE23</f>
        <v>-2.7256346996312693E-2</v>
      </c>
      <c r="BF23" s="2">
        <f>BE23+預測IC!BF23</f>
        <v>-5.6816375612222247E-2</v>
      </c>
      <c r="BG23" s="2">
        <f>BF23+預測IC!BG23</f>
        <v>-3.6513276014621399E-4</v>
      </c>
      <c r="BH23" s="2">
        <f>BG23+預測IC!BH23</f>
        <v>-0.1486732530820663</v>
      </c>
      <c r="BI23" s="2">
        <f>BH23+預測IC!BI23</f>
        <v>7.5362681739743892E-2</v>
      </c>
      <c r="BJ23" s="2">
        <f>BI23+預測IC!BJ23</f>
        <v>4.1285762324338629E-2</v>
      </c>
      <c r="BK23" s="2">
        <f>BJ23+預測IC!BK23</f>
        <v>3.8938489000845636E-2</v>
      </c>
      <c r="BL23" s="2">
        <f>BK23+預測IC!BL23</f>
        <v>8.1614122113276483E-2</v>
      </c>
      <c r="BM23" s="2">
        <f>BL23+預測IC!BM23</f>
        <v>0.16466486330168403</v>
      </c>
      <c r="BN23" s="2">
        <f>BM23+預測IC!BN23</f>
        <v>0.22608648564652289</v>
      </c>
      <c r="BO23" s="2">
        <f>BN23+預測IC!BO23</f>
        <v>0.33262798744553956</v>
      </c>
      <c r="BP23" s="2">
        <f>BO23+預測IC!BP23</f>
        <v>0.42670034089156006</v>
      </c>
      <c r="BQ23" s="2">
        <f>BP23+預測IC!BQ23</f>
        <v>0.44080471981336455</v>
      </c>
      <c r="BR23" s="2">
        <f>BQ23+預測IC!BR23</f>
        <v>0.55228812079450817</v>
      </c>
      <c r="BS23" s="2">
        <f>BR23+預測IC!BS23</f>
        <v>0.478084135160951</v>
      </c>
      <c r="BT23" s="2">
        <f>BS23+預測IC!BT23</f>
        <v>0.3987956066834023</v>
      </c>
      <c r="BU23" s="2">
        <f>BT23+預測IC!BU23</f>
        <v>0.38073959724358392</v>
      </c>
      <c r="BV23" s="2">
        <f>BU23+預測IC!BV23</f>
        <v>0.46813429901908082</v>
      </c>
      <c r="BW23" s="2">
        <f>BV23+預測IC!BW23</f>
        <v>-0.22123848328661971</v>
      </c>
      <c r="BX23" s="2">
        <f>BW23+預測IC!BX23</f>
        <v>-0.13255331993092029</v>
      </c>
      <c r="BY23" s="2">
        <f>BX23+預測IC!BY23</f>
        <v>-0.3454274896831539</v>
      </c>
      <c r="BZ23" s="2">
        <f>BY23+預測IC!BZ23</f>
        <v>-0.11364079265567559</v>
      </c>
      <c r="CA23" s="2">
        <f>BZ23+預測IC!CA23</f>
        <v>-0.16507543850757733</v>
      </c>
      <c r="CB23" s="2">
        <f>CA23+預測IC!CB23</f>
        <v>-2.2838914014560729E-2</v>
      </c>
      <c r="CC23" s="2">
        <f>CB23+預測IC!CC23</f>
        <v>-0.18762069095405823</v>
      </c>
      <c r="CD23" s="2">
        <f>CC23+預測IC!CD23</f>
        <v>-1.3370932742986535E-2</v>
      </c>
      <c r="CE23" s="2">
        <f>CD23+預測IC!CE23</f>
        <v>4.5703702531090927E-2</v>
      </c>
      <c r="CF23" s="2">
        <f>CE23+預測IC!CF23</f>
        <v>6.0728318417135947E-2</v>
      </c>
      <c r="CG23" s="2">
        <f>CF23+預測IC!CG23</f>
        <v>0.10190621874643496</v>
      </c>
      <c r="CH23" s="2">
        <f>CG23+預測IC!CH23</f>
        <v>0.16347785171024287</v>
      </c>
      <c r="CI23" s="2">
        <f>CH23+預測IC!CI23</f>
        <v>-2.3120211396281315E-2</v>
      </c>
      <c r="CJ23" s="2">
        <f>CI23+預測IC!CJ23</f>
        <v>-0.22122039014663522</v>
      </c>
      <c r="CK23" s="2">
        <f>CJ23+預測IC!CK23</f>
        <v>-0.58309890117707786</v>
      </c>
      <c r="CL23" s="2">
        <f>CK23+預測IC!CL23</f>
        <v>-0.7646061176175637</v>
      </c>
      <c r="CM23" s="2">
        <f>CL23+預測IC!CM23</f>
        <v>-0.91326370075056473</v>
      </c>
      <c r="CN23" s="2">
        <f>CM23+預測IC!CN23</f>
        <v>-0.8811565551580236</v>
      </c>
      <c r="CO23" s="2">
        <f>CN23+預測IC!CO23</f>
        <v>-1.0424431877811706</v>
      </c>
      <c r="CP23" s="2">
        <f>CO23+預測IC!CP23</f>
        <v>-0.86171733712052223</v>
      </c>
      <c r="CQ23" s="2">
        <f>CP23+預測IC!CQ23</f>
        <v>-0.5446300132967572</v>
      </c>
      <c r="CR23" s="2">
        <f>CQ23+預測IC!CR23</f>
        <v>-0.3237741523787776</v>
      </c>
      <c r="CS23" s="2">
        <f>CR23+預測IC!CS23</f>
        <v>-0.38553420050105125</v>
      </c>
      <c r="CT23" s="2">
        <f>CS23+預測IC!CT23</f>
        <v>-0.45874059964511493</v>
      </c>
      <c r="CU23" s="2">
        <f>CT23+預測IC!CU23</f>
        <v>-0.52707979037144903</v>
      </c>
      <c r="CV23" s="2">
        <f>CU23+預測IC!CV23</f>
        <v>-0.53937525645522599</v>
      </c>
      <c r="CW23" s="2">
        <f>CV23+預測IC!CW23</f>
        <v>-0.44668890591440696</v>
      </c>
      <c r="CX23" s="2">
        <f>CW23+預測IC!CX23</f>
        <v>-0.31417978178884737</v>
      </c>
      <c r="CY23" s="2">
        <f>CX23+預測IC!CY23</f>
        <v>-0.38165763986245227</v>
      </c>
      <c r="CZ23" s="2">
        <f>CY23+預測IC!CZ23</f>
        <v>-4.1811248838856285E-2</v>
      </c>
      <c r="DA23" s="2">
        <f>CZ23+預測IC!DA23</f>
        <v>0.30067619940947909</v>
      </c>
      <c r="DB23" s="2">
        <f>DA23+預測IC!DB23</f>
        <v>0.3428882257799612</v>
      </c>
      <c r="DC23" s="2">
        <f>DB23+預測IC!DC23</f>
        <v>0.51989597509506136</v>
      </c>
      <c r="DD23" s="2">
        <f>DC23+預測IC!DD23</f>
        <v>0.50311013900732893</v>
      </c>
      <c r="DE23" s="2">
        <f>DD23+預測IC!DE23</f>
        <v>0.39579438864527422</v>
      </c>
      <c r="DF23" s="2">
        <f>DE23+預測IC!DF23</f>
        <v>0.62342205826578012</v>
      </c>
      <c r="DG23" s="2">
        <f>DF23+預測IC!DG23</f>
        <v>0.51721378405529272</v>
      </c>
      <c r="DH23" s="2">
        <f>DG23+預測IC!DH23</f>
        <v>0.61273763755713151</v>
      </c>
      <c r="DI23" s="2">
        <f>DH23+預測IC!DI23</f>
        <v>0.4559509036690812</v>
      </c>
      <c r="DJ23" s="2">
        <f>DI23+預測IC!DJ23</f>
        <v>0.53888267068966389</v>
      </c>
      <c r="DK23" s="2">
        <f>DJ23+預測IC!DK23</f>
        <v>0.31644592753302592</v>
      </c>
      <c r="DL23" s="2">
        <f>DK23+預測IC!DL23</f>
        <v>0.38034442256001066</v>
      </c>
      <c r="DM23" s="2">
        <f>DL23+預測IC!DM23</f>
        <v>0.38875399170268959</v>
      </c>
      <c r="DN23" s="2">
        <f>DM23+預測IC!DN23</f>
        <v>0.54569569527137618</v>
      </c>
      <c r="DO23" s="2">
        <f>DN23+預測IC!DO23</f>
        <v>-5.6908118172480537E-2</v>
      </c>
      <c r="DP23" s="2">
        <f>DO23+預測IC!DP23</f>
        <v>-0.13748449821405073</v>
      </c>
      <c r="DQ23" s="2">
        <f>DP23+預測IC!DQ23</f>
        <v>-0.19935687984769832</v>
      </c>
      <c r="DR23" s="2">
        <f>DQ23+預測IC!DR23</f>
        <v>-0.27687633359740793</v>
      </c>
      <c r="DS23" s="2">
        <f>DR23+預測IC!DS23</f>
        <v>-0.65037304428175724</v>
      </c>
      <c r="DT23" s="2">
        <f>DS23+預測IC!DT23</f>
        <v>-0.71674801151375356</v>
      </c>
      <c r="DU23" s="2">
        <f>DT23+預測IC!DU23</f>
        <v>-0.61201636636718049</v>
      </c>
      <c r="DV23" s="2">
        <f>DU23+預測IC!DV23</f>
        <v>-0.80495650709864408</v>
      </c>
      <c r="DW23" s="2">
        <f>DV23+預測IC!DW23</f>
        <v>-1.0651635624920734</v>
      </c>
      <c r="DX23" s="2">
        <f>DW23+預測IC!DX23</f>
        <v>-1.1961360238086909</v>
      </c>
      <c r="DY23" s="2">
        <f>DX23+預測IC!DY23</f>
        <v>-0.96389570049737894</v>
      </c>
      <c r="DZ23" s="2">
        <f>DY23+預測IC!DZ23</f>
        <v>-0.93551961022862595</v>
      </c>
      <c r="EA23" s="2">
        <f>DZ23+預測IC!EA23</f>
        <v>-1.0316981186337233</v>
      </c>
      <c r="EB23" s="2">
        <f>EA23+預測IC!EB23</f>
        <v>-1.1490305064386872</v>
      </c>
      <c r="EC23" s="2">
        <f>EB23+預測IC!EC23</f>
        <v>-1.1213215085578401</v>
      </c>
      <c r="ED23" s="2">
        <f>EC23+預測IC!ED23</f>
        <v>-1.1723736441774</v>
      </c>
      <c r="EE23" s="2">
        <f>ED23+預測IC!EE23</f>
        <v>-1.171035261304086</v>
      </c>
      <c r="EF23" s="2">
        <f>EE23+預測IC!EF23</f>
        <v>-1.2693307194858441</v>
      </c>
      <c r="EG23" s="2">
        <f>EF23+預測IC!EG23</f>
        <v>-0.15261468541629508</v>
      </c>
      <c r="EH23" s="2">
        <f>EG23+預測IC!EH23</f>
        <v>-5.3405313759514503E-2</v>
      </c>
      <c r="EI23" s="2">
        <f>EH23+預測IC!EI23</f>
        <v>-0.10277815320404268</v>
      </c>
      <c r="EJ23" s="2">
        <f>EI23+預測IC!EJ23</f>
        <v>-0.14573318702358612</v>
      </c>
      <c r="EK23" s="2">
        <f>EJ23+預測IC!EK23</f>
        <v>-3.3399950044634724E-2</v>
      </c>
      <c r="EL23" s="2">
        <f>EK23+預測IC!EL23</f>
        <v>-3.3176549890630985E-2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4.2363756360087303E-2</v>
      </c>
      <c r="E24" s="2">
        <f>D24+預測IC!E24</f>
        <v>0.1416857830975366</v>
      </c>
      <c r="F24" s="2">
        <f>E24+預測IC!F24</f>
        <v>0.29977502650372323</v>
      </c>
      <c r="G24" s="2">
        <f>F24+預測IC!G24</f>
        <v>0.29137161570734382</v>
      </c>
      <c r="H24" s="2">
        <f>G24+預測IC!H24</f>
        <v>0.26601747478714799</v>
      </c>
      <c r="I24" s="2">
        <f>H24+預測IC!I24</f>
        <v>0.35515942631579844</v>
      </c>
      <c r="J24" s="2">
        <f>I24+預測IC!J24</f>
        <v>0.26379616182371141</v>
      </c>
      <c r="K24" s="2">
        <f>J24+預測IC!K24</f>
        <v>0.3991425729717944</v>
      </c>
      <c r="L24" s="2">
        <f>K24+預測IC!L24</f>
        <v>0.2817918295516903</v>
      </c>
      <c r="M24" s="2">
        <f>L24+預測IC!M24</f>
        <v>0.21921447789934265</v>
      </c>
      <c r="N24" s="2">
        <f>M24+預測IC!N24</f>
        <v>0.3045843228520988</v>
      </c>
      <c r="O24" s="2">
        <f>N24+預測IC!O24</f>
        <v>0.34123311359164255</v>
      </c>
      <c r="P24" s="2">
        <f>O24+預測IC!P24</f>
        <v>0.38825968305758995</v>
      </c>
      <c r="Q24" s="2">
        <f>P24+預測IC!Q24</f>
        <v>0.51266491455559604</v>
      </c>
      <c r="R24" s="2">
        <f>Q24+預測IC!R24</f>
        <v>1.1818482152174719</v>
      </c>
      <c r="S24" s="2">
        <f>R24+預測IC!S24</f>
        <v>1.4900334780471063</v>
      </c>
      <c r="T24" s="2">
        <f>S24+預測IC!T24</f>
        <v>1.4157306884654484</v>
      </c>
      <c r="U24" s="2">
        <f>T24+預測IC!U24</f>
        <v>0.99986948640777418</v>
      </c>
      <c r="V24" s="2">
        <f>U24+預測IC!V24</f>
        <v>1.1282686382322287</v>
      </c>
      <c r="W24" s="2">
        <f>V24+預測IC!W24</f>
        <v>0.76336350446726675</v>
      </c>
      <c r="X24" s="2">
        <f>W24+預測IC!X24</f>
        <v>0.43074229795922103</v>
      </c>
      <c r="Y24" s="2">
        <f>X24+預測IC!Y24</f>
        <v>0.49166150292923677</v>
      </c>
      <c r="Z24" s="2">
        <f>Y24+預測IC!Z24</f>
        <v>0.59370547955620756</v>
      </c>
      <c r="AA24" s="2">
        <f>Z24+預測IC!AA24</f>
        <v>0.79390629655041256</v>
      </c>
      <c r="AB24" s="2">
        <f>AA24+預測IC!AB24</f>
        <v>1.0183314640815415</v>
      </c>
      <c r="AC24" s="2">
        <f>AB24+預測IC!AC24</f>
        <v>1.0747425041719054</v>
      </c>
      <c r="AD24" s="2">
        <f>AC24+預測IC!AD24</f>
        <v>1.1871941801551955</v>
      </c>
      <c r="AE24" s="2">
        <f>AD24+預測IC!AE24</f>
        <v>1.1924015132604981</v>
      </c>
      <c r="AF24" s="2">
        <f>AE24+預測IC!AF24</f>
        <v>1.2437270074874098</v>
      </c>
      <c r="AG24" s="2">
        <f>AF24+預測IC!AG24</f>
        <v>0.75451054748279212</v>
      </c>
      <c r="AH24" s="2">
        <f>AG24+預測IC!AH24</f>
        <v>0.67162288767702449</v>
      </c>
      <c r="AI24" s="2">
        <f>AH24+預測IC!AI24</f>
        <v>0.66050089149365532</v>
      </c>
      <c r="AJ24" s="2">
        <f>AI24+預測IC!AJ24</f>
        <v>0.7062838849939157</v>
      </c>
      <c r="AK24" s="2">
        <f>AJ24+預測IC!AK24</f>
        <v>0.75860053273431727</v>
      </c>
      <c r="AL24" s="2">
        <f>AK24+預測IC!AL24</f>
        <v>0.75827177847516292</v>
      </c>
      <c r="AM24" s="2">
        <f>AL24+預測IC!AM24</f>
        <v>0.67391753130642207</v>
      </c>
      <c r="AN24" s="2">
        <f>AM24+預測IC!AN24</f>
        <v>0.80897358264416808</v>
      </c>
      <c r="AO24" s="2">
        <f>AN24+預測IC!AO24</f>
        <v>0.76452182007333425</v>
      </c>
      <c r="AP24" s="2">
        <f>AO24+預測IC!AP24</f>
        <v>0.68666764826800586</v>
      </c>
      <c r="AQ24" s="2">
        <f>AP24+預測IC!AQ24</f>
        <v>0.76894340985333287</v>
      </c>
      <c r="AR24" s="2">
        <f>AQ24+預測IC!AR24</f>
        <v>0.69659983640421186</v>
      </c>
      <c r="AS24" s="2">
        <f>AR24+預測IC!AS24</f>
        <v>0.67050445311213192</v>
      </c>
      <c r="AT24" s="2">
        <f>AS24+預測IC!AT24</f>
        <v>0.86181132733434018</v>
      </c>
      <c r="AU24" s="2">
        <f>AT24+預測IC!AU24</f>
        <v>0.86181132733434018</v>
      </c>
      <c r="AV24" s="2">
        <f>AU24+預測IC!AV24</f>
        <v>0.70973354707089764</v>
      </c>
      <c r="AW24" s="2">
        <f>AV24+預測IC!AW24</f>
        <v>0.83003647047774587</v>
      </c>
      <c r="AX24" s="2">
        <f>AW24+預測IC!AX24</f>
        <v>0.85340432659295684</v>
      </c>
      <c r="AY24" s="2">
        <f>AX24+預測IC!AY24</f>
        <v>0.6482234756529196</v>
      </c>
      <c r="AZ24" s="2">
        <f>AY24+預測IC!AZ24</f>
        <v>0.64559649127530017</v>
      </c>
      <c r="BA24" s="2">
        <f>AZ24+預測IC!BA24</f>
        <v>0.62466568706289216</v>
      </c>
      <c r="BB24" s="2">
        <f>BA24+預測IC!BB24</f>
        <v>0.69857903553814582</v>
      </c>
      <c r="BC24" s="2">
        <f>BB24+預測IC!BC24</f>
        <v>0.79425399859763623</v>
      </c>
      <c r="BD24" s="2">
        <f>BC24+預測IC!BD24</f>
        <v>0.57653007795223343</v>
      </c>
      <c r="BE24" s="2">
        <f>BD24+預測IC!BE24</f>
        <v>0.90799728832288595</v>
      </c>
      <c r="BF24" s="2">
        <f>BE24+預測IC!BF24</f>
        <v>0.77755448442345942</v>
      </c>
      <c r="BG24" s="2">
        <f>BF24+預測IC!BG24</f>
        <v>0.81446257962257818</v>
      </c>
      <c r="BH24" s="2">
        <f>BG24+預測IC!BH24</f>
        <v>0.87910052575235986</v>
      </c>
      <c r="BI24" s="2">
        <f>BH24+預測IC!BI24</f>
        <v>1.0550163212662629</v>
      </c>
      <c r="BJ24" s="2">
        <f>BI24+預測IC!BJ24</f>
        <v>1.0474297367579117</v>
      </c>
      <c r="BK24" s="2">
        <f>BJ24+預測IC!BK24</f>
        <v>1.0655316950007958</v>
      </c>
      <c r="BL24" s="2">
        <f>BK24+預測IC!BL24</f>
        <v>1.1743420102635569</v>
      </c>
      <c r="BM24" s="2">
        <f>BL24+預測IC!BM24</f>
        <v>1.3329605522921166</v>
      </c>
      <c r="BN24" s="2">
        <f>BM24+預測IC!BN24</f>
        <v>1.3389424836384922</v>
      </c>
      <c r="BO24" s="2">
        <f>BN24+預測IC!BO24</f>
        <v>1.5470188158696148</v>
      </c>
      <c r="BP24" s="2">
        <f>BO24+預測IC!BP24</f>
        <v>1.5788129201995045</v>
      </c>
      <c r="BQ24" s="2">
        <f>BP24+預測IC!BQ24</f>
        <v>1.6709973222637231</v>
      </c>
      <c r="BR24" s="2">
        <f>BQ24+預測IC!BR24</f>
        <v>1.6806967193524367</v>
      </c>
      <c r="BS24" s="2">
        <f>BR24+預測IC!BS24</f>
        <v>1.5531302366204709</v>
      </c>
      <c r="BT24" s="2">
        <f>BS24+預測IC!BT24</f>
        <v>1.5011037604611721</v>
      </c>
      <c r="BU24" s="2">
        <f>BT24+預測IC!BU24</f>
        <v>1.7064719507961039</v>
      </c>
      <c r="BV24" s="2">
        <f>BU24+預測IC!BV24</f>
        <v>1.6726745712128133</v>
      </c>
      <c r="BW24" s="2">
        <f>BV24+預測IC!BW24</f>
        <v>0.56366250117545125</v>
      </c>
      <c r="BX24" s="2">
        <f>BW24+預測IC!BX24</f>
        <v>0.49622777979146088</v>
      </c>
      <c r="BY24" s="2">
        <f>BX24+預測IC!BY24</f>
        <v>0.16378348708294316</v>
      </c>
      <c r="BZ24" s="2">
        <f>BY24+預測IC!BZ24</f>
        <v>0.39374702582231547</v>
      </c>
      <c r="CA24" s="2">
        <f>BZ24+預測IC!CA24</f>
        <v>0.34087975509047441</v>
      </c>
      <c r="CB24" s="2">
        <f>CA24+預測IC!CB24</f>
        <v>0.40106567162218471</v>
      </c>
      <c r="CC24" s="2">
        <f>CB24+預測IC!CC24</f>
        <v>0.10825593685611062</v>
      </c>
      <c r="CD24" s="2">
        <f>CC24+預測IC!CD24</f>
        <v>0.25465377919815613</v>
      </c>
      <c r="CE24" s="2">
        <f>CD24+預測IC!CE24</f>
        <v>0.12326861201153802</v>
      </c>
      <c r="CF24" s="2">
        <f>CE24+預測IC!CF24</f>
        <v>0.12259121292155148</v>
      </c>
      <c r="CG24" s="2">
        <f>CF24+預測IC!CG24</f>
        <v>0.40620644720506349</v>
      </c>
      <c r="CH24" s="2">
        <f>CG24+預測IC!CH24</f>
        <v>0.30530360008683671</v>
      </c>
      <c r="CI24" s="2">
        <f>CH24+預測IC!CI24</f>
        <v>-3.5747632070064095E-2</v>
      </c>
      <c r="CJ24" s="2">
        <f>CI24+預測IC!CJ24</f>
        <v>2.5680430620163099E-2</v>
      </c>
      <c r="CK24" s="2">
        <f>CJ24+預測IC!CK24</f>
        <v>-0.2208092222233807</v>
      </c>
      <c r="CL24" s="2">
        <f>CK24+預測IC!CL24</f>
        <v>0.20394835124775798</v>
      </c>
      <c r="CM24" s="2">
        <f>CL24+預測IC!CM24</f>
        <v>0.15925981292382599</v>
      </c>
      <c r="CN24" s="2">
        <f>CM24+預測IC!CN24</f>
        <v>0.23838807924312849</v>
      </c>
      <c r="CO24" s="2">
        <f>CN24+預測IC!CO24</f>
        <v>-5.8297993262606707E-2</v>
      </c>
      <c r="CP24" s="2">
        <f>CO24+預測IC!CP24</f>
        <v>0.20716094240446398</v>
      </c>
      <c r="CQ24" s="2">
        <f>CP24+預測IC!CQ24</f>
        <v>0.81159171884292691</v>
      </c>
      <c r="CR24" s="2">
        <f>CQ24+預測IC!CR24</f>
        <v>1.1738692544220481</v>
      </c>
      <c r="CS24" s="2">
        <f>CR24+預測IC!CS24</f>
        <v>1.1488031628205904</v>
      </c>
      <c r="CT24" s="2">
        <f>CS24+預測IC!CT24</f>
        <v>1.1293977531261379</v>
      </c>
      <c r="CU24" s="2">
        <f>CT24+預測IC!CU24</f>
        <v>0.93675676296284616</v>
      </c>
      <c r="CV24" s="2">
        <f>CU24+預測IC!CV24</f>
        <v>0.84113803883158966</v>
      </c>
      <c r="CW24" s="2">
        <f>CV24+預測IC!CW24</f>
        <v>1.0972810961382906</v>
      </c>
      <c r="CX24" s="2">
        <f>CW24+預測IC!CX24</f>
        <v>1.2389284364571183</v>
      </c>
      <c r="CY24" s="2">
        <f>CX24+預測IC!CY24</f>
        <v>1.151844170513777</v>
      </c>
      <c r="CZ24" s="2">
        <f>CY24+預測IC!CZ24</f>
        <v>1.3765593078814577</v>
      </c>
      <c r="DA24" s="2">
        <f>CZ24+預測IC!DA24</f>
        <v>2.0115390133801458</v>
      </c>
      <c r="DB24" s="2">
        <f>DA24+預測IC!DB24</f>
        <v>2.1203545192452693</v>
      </c>
      <c r="DC24" s="2">
        <f>DB24+預測IC!DC24</f>
        <v>2.4669617191477835</v>
      </c>
      <c r="DD24" s="2">
        <f>DC24+預測IC!DD24</f>
        <v>2.6532794463748508</v>
      </c>
      <c r="DE24" s="2">
        <f>DD24+預測IC!DE24</f>
        <v>2.6052826182248148</v>
      </c>
      <c r="DF24" s="2">
        <f>DE24+預測IC!DF24</f>
        <v>2.7091248975052964</v>
      </c>
      <c r="DG24" s="2">
        <f>DF24+預測IC!DG24</f>
        <v>2.5771359925225124</v>
      </c>
      <c r="DH24" s="2">
        <f>DG24+預測IC!DH24</f>
        <v>2.6937441700057714</v>
      </c>
      <c r="DI24" s="2">
        <f>DH24+預測IC!DI24</f>
        <v>2.6577439339208344</v>
      </c>
      <c r="DJ24" s="2">
        <f>DI24+預測IC!DJ24</f>
        <v>2.4294151454791599</v>
      </c>
      <c r="DK24" s="2">
        <f>DJ24+預測IC!DK24</f>
        <v>2.3659317859378168</v>
      </c>
      <c r="DL24" s="2">
        <f>DK24+預測IC!DL24</f>
        <v>2.4177389733142101</v>
      </c>
      <c r="DM24" s="2">
        <f>DL24+預測IC!DM24</f>
        <v>2.375385922863448</v>
      </c>
      <c r="DN24" s="2">
        <f>DM24+預測IC!DN24</f>
        <v>2.4393308894548005</v>
      </c>
      <c r="DO24" s="2">
        <f>DN24+預測IC!DO24</f>
        <v>2.3251896051812926</v>
      </c>
      <c r="DP24" s="2">
        <f>DO24+預測IC!DP24</f>
        <v>2.3162068809994225</v>
      </c>
      <c r="DQ24" s="2">
        <f>DP24+預測IC!DQ24</f>
        <v>2.2391410527157851</v>
      </c>
      <c r="DR24" s="2">
        <f>DQ24+預測IC!DR24</f>
        <v>2.2182614347317768</v>
      </c>
      <c r="DS24" s="2">
        <f>DR24+預測IC!DS24</f>
        <v>1.9901805307333176</v>
      </c>
      <c r="DT24" s="2">
        <f>DS24+預測IC!DT24</f>
        <v>1.8911981723405455</v>
      </c>
      <c r="DU24" s="2">
        <f>DT24+預測IC!DU24</f>
        <v>1.7669332138313456</v>
      </c>
      <c r="DV24" s="2">
        <f>DU24+預測IC!DV24</f>
        <v>1.3735184464426373</v>
      </c>
      <c r="DW24" s="2">
        <f>DV24+預測IC!DW24</f>
        <v>1.160425230981929</v>
      </c>
      <c r="DX24" s="2">
        <f>DW24+預測IC!DX24</f>
        <v>0.9866879005338498</v>
      </c>
      <c r="DY24" s="2">
        <f>DX24+預測IC!DY24</f>
        <v>1.3504744418726444</v>
      </c>
      <c r="DZ24" s="2">
        <f>DY24+預測IC!DZ24</f>
        <v>1.22453855849819</v>
      </c>
      <c r="EA24" s="2">
        <f>DZ24+預測IC!EA24</f>
        <v>1.1696183746566875</v>
      </c>
      <c r="EB24" s="2">
        <f>EA24+預測IC!EB24</f>
        <v>1.0640457524262974</v>
      </c>
      <c r="EC24" s="2">
        <f>EB24+預測IC!EC24</f>
        <v>1.1001157062834992</v>
      </c>
      <c r="ED24" s="2">
        <f>EC24+預測IC!ED24</f>
        <v>1.0287745648173734</v>
      </c>
      <c r="EE24" s="2">
        <f>ED24+預測IC!EE24</f>
        <v>1.0526633227711084</v>
      </c>
      <c r="EF24" s="2">
        <f>EE24+預測IC!EF24</f>
        <v>1.0019119216909369</v>
      </c>
      <c r="EG24" s="2">
        <f>EF24+預測IC!EG24</f>
        <v>0.97045254435774597</v>
      </c>
      <c r="EH24" s="2">
        <f>EG24+預測IC!EH24</f>
        <v>1.1758381230502599</v>
      </c>
      <c r="EI24" s="2">
        <f>EH24+預測IC!EI24</f>
        <v>1.0640938420288271</v>
      </c>
      <c r="EJ24" s="2">
        <f>EI24+預測IC!EJ24</f>
        <v>0.91118045839617046</v>
      </c>
      <c r="EK24" s="2">
        <f>EJ24+預測IC!EK24</f>
        <v>0.98570623748738706</v>
      </c>
      <c r="EL24" s="2">
        <f>EK24+預測IC!EL24</f>
        <v>0.97812086609813031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workbookViewId="0">
      <selection activeCell="ED16" sqref="ED16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7" width="16.19921875" style="12" customWidth="1"/>
    <col min="8" max="16384" width="16.19921875" style="12"/>
  </cols>
  <sheetData>
    <row r="1" spans="1:142" x14ac:dyDescent="0.55000000000000004">
      <c r="A1" s="11" t="s">
        <v>299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5">
        <v>2.1384622901678089E-2</v>
      </c>
      <c r="D3" s="15">
        <v>6.2085315585136414E-3</v>
      </c>
      <c r="E3" s="15">
        <v>3.5493887960910797E-2</v>
      </c>
      <c r="F3" s="15">
        <v>2.6995036751031879E-2</v>
      </c>
      <c r="G3" s="15">
        <v>1.9322143867611889E-2</v>
      </c>
      <c r="H3" s="15">
        <v>-4.8867595614865422E-4</v>
      </c>
      <c r="I3" s="15">
        <v>2.2219710052013401E-2</v>
      </c>
      <c r="J3" s="15">
        <v>8.1882821395993233E-3</v>
      </c>
      <c r="K3" s="15">
        <v>3.7730719894170761E-2</v>
      </c>
      <c r="L3" s="15">
        <v>8.0356046557426453E-2</v>
      </c>
      <c r="M3" s="15">
        <v>3.820226714015007E-2</v>
      </c>
      <c r="N3" s="15">
        <v>3.3819951117038727E-2</v>
      </c>
      <c r="O3" s="15">
        <v>2.6821058243513111E-2</v>
      </c>
      <c r="P3" s="15">
        <v>4.8989016562700272E-2</v>
      </c>
      <c r="Q3" s="15">
        <v>5.1116403192281723E-2</v>
      </c>
      <c r="R3" s="15">
        <v>2.8836483135819439E-2</v>
      </c>
      <c r="S3" s="15">
        <v>-1.1045613326132299E-2</v>
      </c>
      <c r="T3" s="15">
        <v>-5.4997783154249191E-3</v>
      </c>
      <c r="U3" s="15">
        <v>1.916555501520634E-2</v>
      </c>
      <c r="V3" s="15">
        <v>-2.3617833852767941E-2</v>
      </c>
      <c r="W3" s="15">
        <v>1.6766401007771489E-2</v>
      </c>
      <c r="X3" s="15">
        <v>6.8642176687717438E-2</v>
      </c>
      <c r="Y3" s="15">
        <v>3.7944957613945007E-2</v>
      </c>
      <c r="Z3" s="15">
        <v>2.6601735502481461E-2</v>
      </c>
      <c r="AA3" s="15">
        <v>-1.044304668903351E-2</v>
      </c>
      <c r="AB3" s="15">
        <v>6.0451116412878043E-2</v>
      </c>
      <c r="AC3" s="15">
        <v>1.2645645998418329E-2</v>
      </c>
      <c r="AD3" s="15">
        <v>3.1133845448493961E-2</v>
      </c>
      <c r="AE3" s="15">
        <v>3.1886115670204163E-2</v>
      </c>
      <c r="AF3" s="15">
        <v>6.3942134380340576E-2</v>
      </c>
      <c r="AG3" s="15">
        <v>-1.074034254997969E-2</v>
      </c>
      <c r="AH3" s="15">
        <v>1.93442776799202E-2</v>
      </c>
      <c r="AI3" s="15">
        <v>4.4364981353282928E-2</v>
      </c>
      <c r="AJ3" s="15">
        <v>5.9207383543252938E-2</v>
      </c>
      <c r="AK3" s="15">
        <v>3.8927238434553153E-2</v>
      </c>
      <c r="AL3" s="15">
        <v>5.3689334541559219E-2</v>
      </c>
      <c r="AM3" s="15">
        <v>5.2407745271921158E-2</v>
      </c>
      <c r="AN3" s="15">
        <v>5.1848378032445908E-2</v>
      </c>
      <c r="AO3" s="15">
        <v>5.6688833981752403E-2</v>
      </c>
      <c r="AP3" s="15">
        <v>7.7263422310352325E-2</v>
      </c>
      <c r="AQ3" s="15">
        <v>4.8698432743549347E-2</v>
      </c>
      <c r="AR3" s="15">
        <v>3.1827423721551902E-2</v>
      </c>
      <c r="AS3" s="15">
        <v>-5.3263027220964432E-3</v>
      </c>
      <c r="AT3" s="15">
        <v>6.8274345248937607E-3</v>
      </c>
      <c r="AU3" s="15">
        <v>2.8391312807798389E-2</v>
      </c>
      <c r="AV3" s="15">
        <v>6.589217483997345E-2</v>
      </c>
      <c r="AW3" s="15">
        <v>3.1806275248527527E-2</v>
      </c>
      <c r="AX3" s="15">
        <v>2.3136453703045849E-2</v>
      </c>
      <c r="AY3" s="15">
        <v>1.720385625958443E-2</v>
      </c>
      <c r="AZ3" s="15">
        <v>4.8162486404180527E-2</v>
      </c>
      <c r="BA3" s="15">
        <v>4.5020870864391327E-2</v>
      </c>
      <c r="BB3" s="15">
        <v>5.8584816753864288E-2</v>
      </c>
      <c r="BC3" s="15">
        <v>3.2960090786218643E-2</v>
      </c>
      <c r="BD3" s="15">
        <v>1.4948392286896711E-2</v>
      </c>
      <c r="BE3" s="15">
        <v>1.206005364656448E-2</v>
      </c>
      <c r="BF3" s="15">
        <v>4.1460148990154273E-2</v>
      </c>
      <c r="BG3" s="15">
        <v>2.717349678277969E-2</v>
      </c>
      <c r="BH3" s="15">
        <v>4.8242643475532532E-2</v>
      </c>
      <c r="BI3" s="15">
        <v>5.7555802166461938E-2</v>
      </c>
      <c r="BJ3" s="15">
        <v>5.4008647799491882E-2</v>
      </c>
      <c r="BK3" s="15">
        <v>5.9487193822860718E-2</v>
      </c>
      <c r="BL3" s="15">
        <v>4.4882841408252723E-2</v>
      </c>
      <c r="BM3" s="15">
        <v>1.869392208755016E-2</v>
      </c>
      <c r="BN3" s="15">
        <v>2.8275258839130402E-2</v>
      </c>
      <c r="BO3" s="15">
        <v>1.656997017562389E-2</v>
      </c>
      <c r="BP3" s="15">
        <v>3.0568450689315799E-2</v>
      </c>
      <c r="BQ3" s="15">
        <v>3.1830046325922012E-2</v>
      </c>
      <c r="BR3" s="15">
        <v>2.2769121453166011E-2</v>
      </c>
      <c r="BS3" s="15">
        <v>2.8570586815476421E-2</v>
      </c>
      <c r="BT3" s="15">
        <v>3.9114817976951599E-2</v>
      </c>
      <c r="BU3" s="15">
        <v>8.9526018127799034E-3</v>
      </c>
      <c r="BV3" s="15">
        <v>1.219893246889114E-2</v>
      </c>
      <c r="BW3" s="15">
        <v>2.1470315754413601E-2</v>
      </c>
      <c r="BX3" s="15">
        <v>2.493099682033062E-2</v>
      </c>
      <c r="BY3" s="15">
        <v>1.2077592313289641E-2</v>
      </c>
      <c r="BZ3" s="15">
        <v>3.645806759595871E-2</v>
      </c>
      <c r="CA3" s="15">
        <v>1.6028642654418949E-2</v>
      </c>
      <c r="CB3" s="15">
        <v>2.7871729806065559E-2</v>
      </c>
      <c r="CC3" s="15">
        <v>-1.566923339851201E-3</v>
      </c>
      <c r="CD3" s="15">
        <v>6.1749620363116256E-3</v>
      </c>
      <c r="CE3" s="15">
        <v>6.4363791607320309E-3</v>
      </c>
      <c r="CF3" s="15">
        <v>6.619059294462204E-2</v>
      </c>
      <c r="CG3" s="15">
        <v>2.8865136206150051E-2</v>
      </c>
      <c r="CH3" s="15">
        <v>5.1061570644378662E-2</v>
      </c>
      <c r="CI3" s="15">
        <v>5.7563208043575287E-2</v>
      </c>
      <c r="CJ3" s="15">
        <v>8.8996067643165588E-2</v>
      </c>
      <c r="CK3" s="15">
        <v>2.3406891152262691E-2</v>
      </c>
      <c r="CL3" s="15">
        <v>3.9076175540685647E-2</v>
      </c>
      <c r="CM3" s="15">
        <v>4.4518075883388519E-2</v>
      </c>
      <c r="CN3" s="15">
        <v>0.11028569936752319</v>
      </c>
      <c r="CO3" s="15">
        <v>3.7435531616210938E-2</v>
      </c>
      <c r="CP3" s="15">
        <v>1.222133636474609E-2</v>
      </c>
      <c r="CQ3" s="15">
        <v>2.380294352769852E-2</v>
      </c>
      <c r="CR3" s="15">
        <v>7.6876550912857056E-2</v>
      </c>
      <c r="CS3" s="15">
        <v>0.10389680415391921</v>
      </c>
      <c r="CT3" s="15">
        <v>6.6643297672271729E-2</v>
      </c>
      <c r="CU3" s="15">
        <v>4.6993248164653778E-2</v>
      </c>
      <c r="CV3" s="15">
        <v>2.871822752058506E-2</v>
      </c>
      <c r="CW3" s="15">
        <v>7.0636175572872162E-2</v>
      </c>
      <c r="CX3" s="15">
        <v>4.5363247394561768E-2</v>
      </c>
      <c r="CY3" s="15">
        <v>6.0462243854999542E-2</v>
      </c>
      <c r="CZ3" s="15">
        <v>6.0128804296255112E-2</v>
      </c>
      <c r="DA3" s="15">
        <v>4.1078437119722373E-2</v>
      </c>
      <c r="DB3" s="15">
        <v>2.6134224608540532E-2</v>
      </c>
      <c r="DC3" s="15">
        <v>4.5154552906751633E-2</v>
      </c>
      <c r="DD3" s="15">
        <v>4.1204877197742462E-2</v>
      </c>
      <c r="DE3" s="15">
        <v>7.9255074262619019E-2</v>
      </c>
      <c r="DF3" s="15">
        <v>3.7982180714607239E-2</v>
      </c>
      <c r="DG3" s="15">
        <v>1.8428875133395198E-2</v>
      </c>
      <c r="DH3" s="15">
        <v>3.6969806998968117E-2</v>
      </c>
      <c r="DI3" s="15">
        <v>1.331676170229912E-2</v>
      </c>
      <c r="DJ3" s="15">
        <v>1.356823276728392E-2</v>
      </c>
      <c r="DK3" s="15">
        <v>1.8075281754136089E-2</v>
      </c>
      <c r="DL3" s="15">
        <v>1.831196807324886E-2</v>
      </c>
      <c r="DM3" s="15">
        <v>-5.2976803854107857E-3</v>
      </c>
      <c r="DN3" s="15">
        <v>3.1424559652805328E-2</v>
      </c>
      <c r="DO3" s="15">
        <v>-5.9854225255548954E-3</v>
      </c>
      <c r="DP3" s="15">
        <v>3.073384054005146E-2</v>
      </c>
      <c r="DQ3" s="15">
        <v>3.8263808935880661E-2</v>
      </c>
      <c r="DR3" s="15">
        <v>5.8564659208059311E-2</v>
      </c>
      <c r="DS3" s="15">
        <v>3.6518916487693787E-2</v>
      </c>
      <c r="DT3" s="15">
        <v>2.9084345325827599E-2</v>
      </c>
      <c r="DU3" s="15">
        <v>9.2715034261345863E-3</v>
      </c>
      <c r="DV3" s="15">
        <v>-2.876596711575985E-2</v>
      </c>
      <c r="DW3" s="15">
        <v>6.1656545847654343E-2</v>
      </c>
      <c r="DX3" s="15">
        <v>3.319497918710113E-3</v>
      </c>
      <c r="DY3" s="15">
        <v>1.3810926117002961E-2</v>
      </c>
      <c r="DZ3" s="15">
        <v>-3.2365705817937851E-2</v>
      </c>
      <c r="EA3" s="15">
        <v>2.656497759744525E-3</v>
      </c>
      <c r="EB3" s="15">
        <v>5.3087126463651657E-2</v>
      </c>
      <c r="EC3" s="15">
        <v>7.0435956120491028E-2</v>
      </c>
      <c r="ED3" s="15">
        <v>7.5781151652336121E-2</v>
      </c>
      <c r="EE3" s="15">
        <v>7.4293278157711029E-2</v>
      </c>
      <c r="EF3" s="15">
        <v>-2.3859791457653049E-2</v>
      </c>
      <c r="EG3" s="15">
        <v>2.0955521613359451E-2</v>
      </c>
      <c r="EH3" s="15">
        <v>-4.9046785570681104E-3</v>
      </c>
      <c r="EI3" s="15">
        <v>1.7493529245257381E-2</v>
      </c>
      <c r="EJ3" s="15">
        <v>2.7235755696892738E-3</v>
      </c>
      <c r="EK3" s="15">
        <v>2.5114959571510549E-3</v>
      </c>
      <c r="EL3" s="15">
        <v>-3.6372389644384377E-2</v>
      </c>
    </row>
    <row r="4" spans="1:142" x14ac:dyDescent="0.55000000000000004">
      <c r="B4" s="11" t="s">
        <v>144</v>
      </c>
      <c r="C4" s="15">
        <v>-2.0116182044148449E-2</v>
      </c>
      <c r="D4" s="15">
        <v>-4.1433513164520257E-2</v>
      </c>
      <c r="E4" s="15">
        <v>-0.1054108068346977</v>
      </c>
      <c r="F4" s="15">
        <v>-0.14115726947784421</v>
      </c>
      <c r="G4" s="15">
        <v>-0.1358892023563385</v>
      </c>
      <c r="H4" s="15">
        <v>-3.2324142754077911E-2</v>
      </c>
      <c r="I4" s="15">
        <v>-5.608823150396347E-2</v>
      </c>
      <c r="J4" s="15">
        <v>-6.0880199074745178E-2</v>
      </c>
      <c r="K4" s="15">
        <v>-4.1457630693912513E-2</v>
      </c>
      <c r="L4" s="15">
        <v>-1.8936943262815479E-2</v>
      </c>
      <c r="M4" s="15">
        <v>-4.3679680675268173E-2</v>
      </c>
      <c r="N4" s="15">
        <v>-2.1250296384096149E-2</v>
      </c>
      <c r="O4" s="15">
        <v>3.028000239282846E-3</v>
      </c>
      <c r="P4" s="15">
        <v>-5.2210021764039993E-2</v>
      </c>
      <c r="Q4" s="15">
        <v>-6.0307271778583527E-2</v>
      </c>
      <c r="R4" s="15">
        <v>-1.6635529696941379E-2</v>
      </c>
      <c r="S4" s="15">
        <v>-3.5245604813098907E-2</v>
      </c>
      <c r="T4" s="15">
        <v>-2.4626178666949269E-2</v>
      </c>
      <c r="U4" s="15">
        <v>4.8858420923352242E-3</v>
      </c>
      <c r="V4" s="15">
        <v>4.4351727701723584E-3</v>
      </c>
      <c r="W4" s="15">
        <v>2.1335095167160031E-2</v>
      </c>
      <c r="X4" s="15">
        <v>1.1508151888847349E-2</v>
      </c>
      <c r="Y4" s="15">
        <v>-3.3528175204992287E-2</v>
      </c>
      <c r="Z4" s="15">
        <v>-3.5066407173871987E-2</v>
      </c>
      <c r="AA4" s="15">
        <v>-1.8956955522298809E-2</v>
      </c>
      <c r="AB4" s="15">
        <v>-2.0634789019823071E-2</v>
      </c>
      <c r="AC4" s="15">
        <v>4.5430758036673069E-3</v>
      </c>
      <c r="AD4" s="15">
        <v>-7.8803729265928268E-3</v>
      </c>
      <c r="AE4" s="15">
        <v>-9.6710836514830589E-3</v>
      </c>
      <c r="AF4" s="15">
        <v>-3.119556233286858E-2</v>
      </c>
      <c r="AG4" s="15">
        <v>1.9589569419622421E-2</v>
      </c>
      <c r="AH4" s="15">
        <v>-2.1153058856725689E-2</v>
      </c>
      <c r="AI4" s="15">
        <v>-1.8485292792320251E-2</v>
      </c>
      <c r="AJ4" s="15">
        <v>-4.4810216873884201E-2</v>
      </c>
      <c r="AK4" s="15">
        <v>-3.8480717688798897E-2</v>
      </c>
      <c r="AL4" s="15">
        <v>-2.8241811320185661E-2</v>
      </c>
      <c r="AM4" s="15">
        <v>1.071570627391338E-2</v>
      </c>
      <c r="AN4" s="15">
        <v>-3.4469529986381531E-2</v>
      </c>
      <c r="AO4" s="15">
        <v>-2.5418078526854519E-2</v>
      </c>
      <c r="AP4" s="15">
        <v>-3.076112270355225E-2</v>
      </c>
      <c r="AQ4" s="15">
        <v>-3.7217754870653152E-2</v>
      </c>
      <c r="AR4" s="15">
        <v>-2.5028873234987259E-2</v>
      </c>
      <c r="AS4" s="15">
        <v>-2.6712249964475632E-2</v>
      </c>
      <c r="AT4" s="15">
        <v>1.9948748871684071E-2</v>
      </c>
      <c r="AU4" s="15">
        <v>-3.4190982580184943E-2</v>
      </c>
      <c r="AV4" s="15">
        <v>-1.5953699126839641E-2</v>
      </c>
      <c r="AW4" s="15">
        <v>-8.0705069005489349E-2</v>
      </c>
      <c r="AX4" s="15">
        <v>-1.6966873779892921E-2</v>
      </c>
      <c r="AY4" s="15">
        <v>-2.6864064857363701E-2</v>
      </c>
      <c r="AZ4" s="15">
        <v>-1.3301976025104519E-2</v>
      </c>
      <c r="BA4" s="15">
        <v>-2.7144066989421841E-2</v>
      </c>
      <c r="BB4" s="15">
        <v>-5.8215323835611343E-2</v>
      </c>
      <c r="BC4" s="15">
        <v>-3.1292259693145752E-2</v>
      </c>
      <c r="BD4" s="15">
        <v>-1.7290608957409859E-2</v>
      </c>
      <c r="BE4" s="15">
        <v>-4.8348080366849899E-2</v>
      </c>
      <c r="BF4" s="15">
        <v>-4.3041668832302087E-2</v>
      </c>
      <c r="BG4" s="15">
        <v>5.6051533669233322E-2</v>
      </c>
      <c r="BH4" s="15">
        <v>1.3574806973338131E-2</v>
      </c>
      <c r="BI4" s="15">
        <v>1.954366452991962E-3</v>
      </c>
      <c r="BJ4" s="15">
        <v>1.611663959920406E-2</v>
      </c>
      <c r="BK4" s="15">
        <v>-3.4451618790626533E-2</v>
      </c>
      <c r="BL4" s="15">
        <v>-4.8494916409254067E-2</v>
      </c>
      <c r="BM4" s="15">
        <v>1.8059739843010899E-2</v>
      </c>
      <c r="BN4" s="15">
        <v>-4.6812752261757851E-3</v>
      </c>
      <c r="BO4" s="15">
        <v>1.687155920080841E-3</v>
      </c>
      <c r="BP4" s="15">
        <v>3.3530544489622123E-2</v>
      </c>
      <c r="BQ4" s="15">
        <v>9.9907955154776573E-3</v>
      </c>
      <c r="BR4" s="15">
        <v>4.0667824447154999E-2</v>
      </c>
      <c r="BS4" s="15">
        <v>2.3329269140958789E-2</v>
      </c>
      <c r="BT4" s="15">
        <v>-4.4324260205030441E-2</v>
      </c>
      <c r="BU4" s="15">
        <v>-7.1650400757789612E-2</v>
      </c>
      <c r="BV4" s="15">
        <v>-1.7102757468819622E-2</v>
      </c>
      <c r="BW4" s="15">
        <v>4.0029857307672501E-2</v>
      </c>
      <c r="BX4" s="15">
        <v>1.7527525778859849E-3</v>
      </c>
      <c r="BY4" s="15">
        <v>-2.404789254069328E-2</v>
      </c>
      <c r="BZ4" s="15">
        <v>-3.7445716559886932E-2</v>
      </c>
      <c r="CA4" s="15">
        <v>-4.6248454600572593E-2</v>
      </c>
      <c r="CB4" s="15">
        <v>-9.6187498420476913E-3</v>
      </c>
      <c r="CC4" s="15">
        <v>-4.7657586634159088E-2</v>
      </c>
      <c r="CD4" s="15">
        <v>-4.3317254632711411E-2</v>
      </c>
      <c r="CE4" s="15">
        <v>-6.9234132766723633E-2</v>
      </c>
      <c r="CF4" s="15">
        <v>-3.8890421390533447E-2</v>
      </c>
      <c r="CG4" s="15">
        <v>-5.9534341096878052E-2</v>
      </c>
      <c r="CH4" s="15">
        <v>-5.0186887383460999E-2</v>
      </c>
      <c r="CI4" s="15">
        <v>-5.3663581609725952E-2</v>
      </c>
      <c r="CJ4" s="15">
        <v>-3.3301092684268951E-2</v>
      </c>
      <c r="CK4" s="15">
        <v>-2.4340655654668811E-2</v>
      </c>
      <c r="CL4" s="15">
        <v>-1.6147250309586521E-2</v>
      </c>
      <c r="CM4" s="15">
        <v>-4.1242804378271103E-2</v>
      </c>
      <c r="CN4" s="15">
        <v>-3.162054717540741E-2</v>
      </c>
      <c r="CO4" s="15">
        <v>3.3149775117635727E-2</v>
      </c>
      <c r="CP4" s="15">
        <v>6.3154622912406921E-2</v>
      </c>
      <c r="CQ4" s="15">
        <v>-4.0926769375801093E-2</v>
      </c>
      <c r="CR4" s="15">
        <v>4.1355922818183899E-2</v>
      </c>
      <c r="CS4" s="15">
        <v>-9.8862186074256897E-2</v>
      </c>
      <c r="CT4" s="15">
        <v>-6.5789952874183655E-2</v>
      </c>
      <c r="CU4" s="15">
        <v>-5.2493758499622338E-2</v>
      </c>
      <c r="CV4" s="15">
        <v>1.4395703328773379E-3</v>
      </c>
      <c r="CW4" s="15">
        <v>-2.5382401421666149E-2</v>
      </c>
      <c r="CX4" s="15">
        <v>-1.497303880751133E-2</v>
      </c>
      <c r="CY4" s="15">
        <v>-2.5147143751382831E-2</v>
      </c>
      <c r="CZ4" s="15">
        <v>-3.8899973034858697E-2</v>
      </c>
      <c r="DA4" s="15">
        <v>-6.6368021070957184E-2</v>
      </c>
      <c r="DB4" s="15">
        <v>-9.9088206887245178E-2</v>
      </c>
      <c r="DC4" s="15">
        <v>-8.7841019034385681E-2</v>
      </c>
      <c r="DD4" s="15">
        <v>-9.5149271190166473E-2</v>
      </c>
      <c r="DE4" s="15">
        <v>-7.5684666633605957E-2</v>
      </c>
      <c r="DF4" s="15">
        <v>-6.1269368976354599E-2</v>
      </c>
      <c r="DG4" s="15">
        <v>-6.4791887998580933E-2</v>
      </c>
      <c r="DH4" s="15">
        <v>-4.2990855872631073E-2</v>
      </c>
      <c r="DI4" s="15">
        <v>1.6611326485872269E-2</v>
      </c>
      <c r="DJ4" s="15">
        <v>-5.498785525560379E-2</v>
      </c>
      <c r="DK4" s="15">
        <v>-8.0709442496299744E-2</v>
      </c>
      <c r="DL4" s="15">
        <v>-8.7292157113552094E-2</v>
      </c>
      <c r="DM4" s="15">
        <v>2.5429284200072289E-2</v>
      </c>
      <c r="DN4" s="15">
        <v>1.348613388836384E-2</v>
      </c>
      <c r="DO4" s="15">
        <v>2.691176533699036E-2</v>
      </c>
      <c r="DP4" s="15">
        <v>-2.0206337794661518E-2</v>
      </c>
      <c r="DQ4" s="15">
        <v>-2.807299792766571E-2</v>
      </c>
      <c r="DR4" s="15">
        <v>-7.4518457055091858E-2</v>
      </c>
      <c r="DS4" s="15">
        <v>-1.5364203136414289E-4</v>
      </c>
      <c r="DT4" s="15">
        <v>-3.2376378774642937E-2</v>
      </c>
      <c r="DU4" s="15">
        <v>-4.4630087912082672E-2</v>
      </c>
      <c r="DV4" s="15">
        <v>-6.5195851027965546E-2</v>
      </c>
      <c r="DW4" s="15">
        <v>9.7361684311181307E-4</v>
      </c>
      <c r="DX4" s="15">
        <v>-4.8191780224442482E-3</v>
      </c>
      <c r="DY4" s="15">
        <v>-6.2778793275356293E-2</v>
      </c>
      <c r="DZ4" s="15">
        <v>-3.5209164023399353E-2</v>
      </c>
      <c r="EA4" s="15">
        <v>-6.0484454035758972E-2</v>
      </c>
      <c r="EB4" s="15">
        <v>-6.5868578851222992E-2</v>
      </c>
      <c r="EC4" s="15">
        <v>-6.4344577491283417E-2</v>
      </c>
      <c r="ED4" s="15">
        <v>-6.2420867383480072E-2</v>
      </c>
      <c r="EE4" s="15">
        <v>-3.765815868973732E-2</v>
      </c>
      <c r="EF4" s="15">
        <v>-1.969143562018871E-2</v>
      </c>
      <c r="EG4" s="15">
        <v>1.0347722098231321E-2</v>
      </c>
      <c r="EH4" s="15">
        <v>-7.5388825498521328E-3</v>
      </c>
      <c r="EI4" s="15">
        <v>-3.7975464016199112E-2</v>
      </c>
      <c r="EJ4" s="15">
        <v>-2.6498528197407719E-2</v>
      </c>
      <c r="EK4" s="15">
        <v>2.7714299038052559E-2</v>
      </c>
      <c r="EL4" s="15">
        <v>5.3217515349388123E-2</v>
      </c>
    </row>
    <row r="5" spans="1:142" x14ac:dyDescent="0.55000000000000004">
      <c r="B5" s="14" t="s">
        <v>145</v>
      </c>
      <c r="C5" s="15">
        <v>5.5741846561431878E-2</v>
      </c>
      <c r="D5" s="15">
        <v>1.5730537474155429E-2</v>
      </c>
      <c r="E5" s="15">
        <v>-8.4050968289375305E-3</v>
      </c>
      <c r="F5" s="15">
        <v>7.0764519274234772E-2</v>
      </c>
      <c r="G5" s="15">
        <v>6.1796344816684723E-2</v>
      </c>
      <c r="H5" s="15">
        <v>1.9191207364201549E-2</v>
      </c>
      <c r="I5" s="15">
        <v>2.7801195159554482E-2</v>
      </c>
      <c r="J5" s="15">
        <v>6.3844837248325348E-2</v>
      </c>
      <c r="K5" s="15">
        <v>8.7833143770694733E-3</v>
      </c>
      <c r="L5" s="15">
        <v>2.9632467776536942E-2</v>
      </c>
      <c r="M5" s="15">
        <v>3.1051227822899818E-2</v>
      </c>
      <c r="N5" s="15">
        <v>8.4429970011115074E-3</v>
      </c>
      <c r="O5" s="15">
        <v>3.6712147295475013E-2</v>
      </c>
      <c r="P5" s="15">
        <v>1.7434984445571899E-2</v>
      </c>
      <c r="Q5" s="15">
        <v>3.7053599953651428E-2</v>
      </c>
      <c r="R5" s="15">
        <v>2.1478258073329929E-2</v>
      </c>
      <c r="S5" s="15">
        <v>4.6521492302417762E-2</v>
      </c>
      <c r="T5" s="15">
        <v>1.8265387043356899E-2</v>
      </c>
      <c r="U5" s="15">
        <v>2.9996473342180249E-2</v>
      </c>
      <c r="V5" s="15">
        <v>8.2199856638908386E-2</v>
      </c>
      <c r="W5" s="15">
        <v>5.1936138421297073E-2</v>
      </c>
      <c r="X5" s="15">
        <v>1.8651567399501801E-2</v>
      </c>
      <c r="Y5" s="15">
        <v>-2.8840977698564529E-2</v>
      </c>
      <c r="Z5" s="15">
        <v>-4.8936635255813599E-2</v>
      </c>
      <c r="AA5" s="15">
        <v>7.4104063212871552E-2</v>
      </c>
      <c r="AB5" s="15">
        <v>-7.9052217304706573E-2</v>
      </c>
      <c r="AC5" s="15">
        <v>4.592437669634819E-2</v>
      </c>
      <c r="AD5" s="15">
        <v>-1.2192311696708201E-2</v>
      </c>
      <c r="AE5" s="15">
        <v>6.8174158222973347E-3</v>
      </c>
      <c r="AF5" s="15">
        <v>2.5050153955817219E-2</v>
      </c>
      <c r="AG5" s="15">
        <v>4.8616897314786911E-2</v>
      </c>
      <c r="AH5" s="15">
        <v>1.1846562847495079E-3</v>
      </c>
      <c r="AI5" s="15">
        <v>-2.8516151360236108E-4</v>
      </c>
      <c r="AJ5" s="15">
        <v>5.6431600823998451E-3</v>
      </c>
      <c r="AK5" s="15">
        <v>3.1767126172780991E-2</v>
      </c>
      <c r="AL5" s="15">
        <v>2.2000886965543032E-3</v>
      </c>
      <c r="AM5" s="15">
        <v>1.528516598045826E-2</v>
      </c>
      <c r="AN5" s="15">
        <v>-1.262857671827078E-2</v>
      </c>
      <c r="AO5" s="15">
        <v>2.365807443857193E-2</v>
      </c>
      <c r="AP5" s="15">
        <v>4.5001458376646042E-2</v>
      </c>
      <c r="AQ5" s="15">
        <v>4.8620425164699548E-2</v>
      </c>
      <c r="AR5" s="15">
        <v>5.3666368126869202E-2</v>
      </c>
      <c r="AS5" s="15">
        <v>3.9547394961118698E-2</v>
      </c>
      <c r="AT5" s="15">
        <v>2.9460180550813671E-2</v>
      </c>
      <c r="AU5" s="15">
        <v>2.2005906328558918E-2</v>
      </c>
      <c r="AV5" s="15">
        <v>5.57871013879776E-2</v>
      </c>
      <c r="AW5" s="15">
        <v>4.1573628783226013E-2</v>
      </c>
      <c r="AX5" s="15">
        <v>5.7690292596817017E-2</v>
      </c>
      <c r="AY5" s="15">
        <v>5.2581634372472763E-2</v>
      </c>
      <c r="AZ5" s="15">
        <v>-8.5635492578148842E-3</v>
      </c>
      <c r="BA5" s="15">
        <v>4.225115105509758E-2</v>
      </c>
      <c r="BB5" s="15">
        <v>-1.6324453055858609E-2</v>
      </c>
      <c r="BC5" s="15">
        <v>6.4180669141933322E-4</v>
      </c>
      <c r="BD5" s="15">
        <v>-5.6817673146724701E-2</v>
      </c>
      <c r="BE5" s="15">
        <v>-2.9879733920097351E-2</v>
      </c>
      <c r="BF5" s="15">
        <v>1.893253996968269E-2</v>
      </c>
      <c r="BG5" s="15">
        <v>-3.5026323050260537E-2</v>
      </c>
      <c r="BH5" s="15">
        <v>-6.5759293735027313E-2</v>
      </c>
      <c r="BI5" s="15">
        <v>-7.9368360340595245E-2</v>
      </c>
      <c r="BJ5" s="15">
        <v>-8.5684239864349365E-2</v>
      </c>
      <c r="BK5" s="15">
        <v>-4.9413099884986877E-2</v>
      </c>
      <c r="BL5" s="15">
        <v>-1.1686298530548811E-3</v>
      </c>
      <c r="BM5" s="15">
        <v>-2.3616783320903782E-2</v>
      </c>
      <c r="BN5" s="15">
        <v>-3.0536096543073651E-2</v>
      </c>
      <c r="BO5" s="15">
        <v>2.686824090778828E-2</v>
      </c>
      <c r="BP5" s="15">
        <v>2.7123436331748959E-2</v>
      </c>
      <c r="BQ5" s="15">
        <v>9.7388895228505135E-3</v>
      </c>
      <c r="BR5" s="15">
        <v>2.0006326958537098E-2</v>
      </c>
      <c r="BS5" s="15">
        <v>1.4250755775719881E-3</v>
      </c>
      <c r="BT5" s="15">
        <v>4.8925049602985382E-2</v>
      </c>
      <c r="BU5" s="15">
        <v>4.7599527984857559E-2</v>
      </c>
      <c r="BV5" s="15">
        <v>-2.8521495405584569E-3</v>
      </c>
      <c r="BW5" s="15">
        <v>3.047716990113258E-2</v>
      </c>
      <c r="BX5" s="15">
        <v>3.2435460016131401E-3</v>
      </c>
      <c r="BY5" s="15">
        <v>-4.4437490403652191E-2</v>
      </c>
      <c r="BZ5" s="15">
        <v>3.372203791514039E-4</v>
      </c>
      <c r="CA5" s="15">
        <v>5.1361106336116791E-2</v>
      </c>
      <c r="CB5" s="15">
        <v>4.0368124842643738E-2</v>
      </c>
      <c r="CC5" s="15">
        <v>2.743220329284668E-2</v>
      </c>
      <c r="CD5" s="15">
        <v>2.207928895950317E-2</v>
      </c>
      <c r="CE5" s="15">
        <v>2.3870967328548431E-2</v>
      </c>
      <c r="CF5" s="15">
        <v>-3.202897310256958E-2</v>
      </c>
      <c r="CG5" s="15">
        <v>-7.1231015026569366E-2</v>
      </c>
      <c r="CH5" s="15">
        <v>-4.6868059784173972E-2</v>
      </c>
      <c r="CI5" s="15">
        <v>-6.7858822643756866E-2</v>
      </c>
      <c r="CJ5" s="15">
        <v>-6.4342252910137177E-2</v>
      </c>
      <c r="CK5" s="15">
        <v>-5.9413556009531021E-2</v>
      </c>
      <c r="CL5" s="15">
        <v>8.4330163896083832E-2</v>
      </c>
      <c r="CM5" s="15">
        <v>6.5344303846359253E-2</v>
      </c>
      <c r="CN5" s="15">
        <v>4.4891763478517532E-2</v>
      </c>
      <c r="CO5" s="15">
        <v>1.0420361533761019E-2</v>
      </c>
      <c r="CP5" s="15">
        <v>0.1182377934455872</v>
      </c>
      <c r="CQ5" s="15">
        <v>5.0723213702440262E-2</v>
      </c>
      <c r="CR5" s="15">
        <v>3.3173959702253342E-2</v>
      </c>
      <c r="CS5" s="15">
        <v>-3.7132888101041321E-3</v>
      </c>
      <c r="CT5" s="15">
        <v>-1.008150540292263E-2</v>
      </c>
      <c r="CU5" s="15">
        <v>4.6655397862195969E-2</v>
      </c>
      <c r="CV5" s="15">
        <v>-5.5946167558431634E-3</v>
      </c>
      <c r="CW5" s="15">
        <v>-0.1470402330160141</v>
      </c>
      <c r="CX5" s="15">
        <v>-2.894680388271809E-2</v>
      </c>
      <c r="CY5" s="15">
        <v>8.4989266470074654E-3</v>
      </c>
      <c r="CZ5" s="15">
        <v>-2.2278601303696629E-2</v>
      </c>
      <c r="DA5" s="15">
        <v>3.0063033103942871E-2</v>
      </c>
      <c r="DB5" s="15">
        <v>-1.368775591254234E-2</v>
      </c>
      <c r="DC5" s="15">
        <v>3.7013180553913123E-2</v>
      </c>
      <c r="DD5" s="15">
        <v>4.2487449944019318E-2</v>
      </c>
      <c r="DE5" s="15">
        <v>3.5419993102550507E-2</v>
      </c>
      <c r="DF5" s="15">
        <v>5.0845975056290627E-3</v>
      </c>
      <c r="DG5" s="15">
        <v>3.7272726185619831E-3</v>
      </c>
      <c r="DH5" s="15">
        <v>-6.6102910786867142E-3</v>
      </c>
      <c r="DI5" s="15">
        <v>-5.582159012556076E-2</v>
      </c>
      <c r="DJ5" s="15">
        <v>4.8400323837995529E-2</v>
      </c>
      <c r="DK5" s="15">
        <v>1.1602438054978849E-2</v>
      </c>
      <c r="DL5" s="15">
        <v>1.8670994788408279E-2</v>
      </c>
      <c r="DM5" s="15">
        <v>1.2823298573493959E-2</v>
      </c>
      <c r="DN5" s="15">
        <v>3.3588364720344543E-2</v>
      </c>
      <c r="DO5" s="15">
        <v>3.080024570226669E-2</v>
      </c>
      <c r="DP5" s="15">
        <v>4.4318786822259426E-3</v>
      </c>
      <c r="DQ5" s="15">
        <v>-2.750279009342194E-2</v>
      </c>
      <c r="DR5" s="15">
        <v>-0.1000711172819138</v>
      </c>
      <c r="DS5" s="15">
        <v>2.2957990877330299E-3</v>
      </c>
      <c r="DT5" s="15">
        <v>4.5962766744196406E-3</v>
      </c>
      <c r="DU5" s="15">
        <v>4.9048192799091339E-2</v>
      </c>
      <c r="DV5" s="15">
        <v>4.9711555242538452E-2</v>
      </c>
      <c r="DW5" s="15">
        <v>6.2132958322763443E-2</v>
      </c>
      <c r="DX5" s="15">
        <v>3.4120500087738037E-2</v>
      </c>
      <c r="DY5" s="15">
        <v>-4.3345347046852112E-2</v>
      </c>
      <c r="DZ5" s="15">
        <v>1.6171941533684731E-2</v>
      </c>
      <c r="EA5" s="15">
        <v>2.0687229931354519E-2</v>
      </c>
      <c r="EB5" s="15">
        <v>2.4651791900396351E-2</v>
      </c>
      <c r="EC5" s="15">
        <v>-7.1213126182556152E-2</v>
      </c>
      <c r="ED5" s="15">
        <v>-6.88604936003685E-2</v>
      </c>
      <c r="EE5" s="15">
        <v>-2.8207767754793171E-2</v>
      </c>
      <c r="EF5" s="15">
        <v>1.9379980862140659E-2</v>
      </c>
      <c r="EG5" s="15">
        <v>-1.8364094197750092E-2</v>
      </c>
      <c r="EH5" s="15">
        <v>-4.4609863311052322E-2</v>
      </c>
      <c r="EI5" s="15">
        <v>-8.8491691276431084E-3</v>
      </c>
      <c r="EJ5" s="15">
        <v>1.1057978495955471E-2</v>
      </c>
      <c r="EK5" s="15">
        <v>-3.502532839775085E-3</v>
      </c>
      <c r="EL5" s="15">
        <v>1.083044148981571E-2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x14ac:dyDescent="0.55000000000000004">
      <c r="A13" s="12" t="s">
        <v>300</v>
      </c>
      <c r="B13" s="11" t="s">
        <v>143</v>
      </c>
      <c r="C13" s="12">
        <f t="shared" ref="C13:AH13" si="0">(C3-C9)^2</f>
        <v>8.3099458319308376E-3</v>
      </c>
      <c r="D13" s="12">
        <f t="shared" si="0"/>
        <v>7.7777184113499772E-4</v>
      </c>
      <c r="E13" s="12">
        <f t="shared" si="0"/>
        <v>4.8422320853759009E-3</v>
      </c>
      <c r="F13" s="12">
        <f t="shared" si="0"/>
        <v>1.8536201195681831E-3</v>
      </c>
      <c r="G13" s="12">
        <f t="shared" si="0"/>
        <v>5.0898308484886834E-4</v>
      </c>
      <c r="H13" s="12">
        <f t="shared" si="0"/>
        <v>1.4737750654239602E-3</v>
      </c>
      <c r="I13" s="12">
        <f t="shared" si="0"/>
        <v>3.0401658823562223E-2</v>
      </c>
      <c r="J13" s="12">
        <f t="shared" si="0"/>
        <v>1.335404895945274E-2</v>
      </c>
      <c r="K13" s="12">
        <f t="shared" si="0"/>
        <v>1.695691758597936E-3</v>
      </c>
      <c r="L13" s="12">
        <f t="shared" si="0"/>
        <v>5.7892587249962029E-4</v>
      </c>
      <c r="M13" s="12">
        <f t="shared" si="0"/>
        <v>5.1083708517895175E-3</v>
      </c>
      <c r="N13" s="12">
        <f t="shared" si="0"/>
        <v>1.0303205642060104E-2</v>
      </c>
      <c r="O13" s="12">
        <f t="shared" si="0"/>
        <v>8.2613249758457341E-6</v>
      </c>
      <c r="P13" s="12">
        <f t="shared" si="0"/>
        <v>1.5602146437119676E-2</v>
      </c>
      <c r="Q13" s="12">
        <f t="shared" si="0"/>
        <v>1.2965012612965125E-2</v>
      </c>
      <c r="R13" s="12">
        <f t="shared" si="0"/>
        <v>3.0231196905721416E-5</v>
      </c>
      <c r="S13" s="12">
        <f t="shared" si="0"/>
        <v>1.070057161934475E-2</v>
      </c>
      <c r="T13" s="12">
        <f t="shared" si="0"/>
        <v>1.5107167801202621E-2</v>
      </c>
      <c r="U13" s="12">
        <f t="shared" si="0"/>
        <v>1.3927514011308907E-3</v>
      </c>
      <c r="V13" s="12">
        <f t="shared" si="0"/>
        <v>1.4617308068849054E-2</v>
      </c>
      <c r="W13" s="12">
        <f t="shared" si="0"/>
        <v>2.2771658799743827E-3</v>
      </c>
      <c r="X13" s="12">
        <f t="shared" si="0"/>
        <v>4.1038921153341151E-3</v>
      </c>
      <c r="Y13" s="12">
        <f t="shared" si="0"/>
        <v>3.3491880553710315E-2</v>
      </c>
      <c r="Z13" s="12">
        <f t="shared" si="0"/>
        <v>1.775190850303188E-2</v>
      </c>
      <c r="AA13" s="12">
        <f t="shared" si="0"/>
        <v>4.7605346129552398E-3</v>
      </c>
      <c r="AB13" s="12">
        <f t="shared" si="0"/>
        <v>2.512670594321849E-5</v>
      </c>
      <c r="AC13" s="12">
        <f t="shared" si="0"/>
        <v>9.1722618992216148E-3</v>
      </c>
      <c r="AD13" s="12">
        <f t="shared" si="0"/>
        <v>1.6226785779512604E-5</v>
      </c>
      <c r="AE13" s="12">
        <f t="shared" si="0"/>
        <v>2.7053699822191215E-2</v>
      </c>
      <c r="AF13" s="12">
        <f t="shared" si="0"/>
        <v>2.3180511506981123E-4</v>
      </c>
      <c r="AG13" s="12">
        <f t="shared" si="0"/>
        <v>2.5023298644155954E-2</v>
      </c>
      <c r="AH13" s="12">
        <f t="shared" si="0"/>
        <v>7.89197677033039E-3</v>
      </c>
      <c r="AI13" s="12">
        <f t="shared" ref="AI13:BN13" si="1">(AI3-AI9)^2</f>
        <v>1.653779424677658E-4</v>
      </c>
      <c r="AJ13" s="12">
        <f t="shared" si="1"/>
        <v>8.3123164373172581E-5</v>
      </c>
      <c r="AK13" s="12">
        <f t="shared" si="1"/>
        <v>1.009084170851113E-2</v>
      </c>
      <c r="AL13" s="12">
        <f t="shared" si="1"/>
        <v>2.7140546723739083E-3</v>
      </c>
      <c r="AM13" s="12">
        <f t="shared" si="1"/>
        <v>4.1712852432121269E-3</v>
      </c>
      <c r="AN13" s="12">
        <f t="shared" si="1"/>
        <v>1.732900503552413E-2</v>
      </c>
      <c r="AO13" s="12">
        <f t="shared" si="1"/>
        <v>4.9439835924239353E-3</v>
      </c>
      <c r="AP13" s="12">
        <f t="shared" si="1"/>
        <v>3.3720330685077501E-2</v>
      </c>
      <c r="AQ13" s="12">
        <f t="shared" si="1"/>
        <v>5.719541104196835E-3</v>
      </c>
      <c r="AR13" s="12">
        <f t="shared" si="1"/>
        <v>1.0422586408736637E-4</v>
      </c>
      <c r="AS13" s="12">
        <f t="shared" si="1"/>
        <v>5.7709921046599985E-4</v>
      </c>
      <c r="AT13" s="12">
        <f t="shared" si="1"/>
        <v>1.9195852298658975E-3</v>
      </c>
      <c r="AU13" s="12">
        <f t="shared" si="1"/>
        <v>1.0253986021740132E-3</v>
      </c>
      <c r="AV13" s="12">
        <f t="shared" si="1"/>
        <v>1.3217363172914784E-2</v>
      </c>
      <c r="AW13" s="12">
        <f t="shared" si="1"/>
        <v>9.122606106609246E-5</v>
      </c>
      <c r="AX13" s="12">
        <f t="shared" si="1"/>
        <v>1.2009233070220384E-2</v>
      </c>
      <c r="AY13" s="12">
        <f t="shared" si="1"/>
        <v>1.4004003463635394E-3</v>
      </c>
      <c r="AZ13" s="12">
        <f t="shared" si="1"/>
        <v>1.0540210384009554E-3</v>
      </c>
      <c r="BA13" s="12">
        <f t="shared" si="1"/>
        <v>1.0452628740334649E-3</v>
      </c>
      <c r="BB13" s="12">
        <f t="shared" si="1"/>
        <v>2.094728097350773E-3</v>
      </c>
      <c r="BC13" s="12">
        <f t="shared" si="1"/>
        <v>2.6661292687183359E-5</v>
      </c>
      <c r="BD13" s="12">
        <f t="shared" si="1"/>
        <v>6.9877796539762944E-7</v>
      </c>
      <c r="BE13" s="12">
        <f t="shared" si="1"/>
        <v>1.7372127336625887E-3</v>
      </c>
      <c r="BF13" s="12">
        <f t="shared" si="1"/>
        <v>1.2610905328787591E-2</v>
      </c>
      <c r="BG13" s="12">
        <f t="shared" si="1"/>
        <v>1.4423127755459127E-2</v>
      </c>
      <c r="BH13" s="12">
        <f t="shared" si="1"/>
        <v>1.1085755559555266E-4</v>
      </c>
      <c r="BI13" s="12">
        <f t="shared" si="1"/>
        <v>1.0323215640683017E-3</v>
      </c>
      <c r="BJ13" s="12">
        <f t="shared" si="1"/>
        <v>9.0715063948976996E-3</v>
      </c>
      <c r="BK13" s="12">
        <f t="shared" si="1"/>
        <v>2.1089406645109918E-2</v>
      </c>
      <c r="BL13" s="12">
        <f t="shared" si="1"/>
        <v>4.2153011498544097E-4</v>
      </c>
      <c r="BM13" s="12">
        <f t="shared" si="1"/>
        <v>2.5062314127463994E-3</v>
      </c>
      <c r="BN13" s="12">
        <f t="shared" si="1"/>
        <v>5.0188194831493733E-5</v>
      </c>
      <c r="BO13" s="12">
        <f t="shared" ref="BO13:CT13" si="2">(BO3-BO9)^2</f>
        <v>3.7374044383034172E-3</v>
      </c>
      <c r="BP13" s="12">
        <f t="shared" si="2"/>
        <v>2.0346918540380672E-3</v>
      </c>
      <c r="BQ13" s="12">
        <f t="shared" si="2"/>
        <v>5.1295991544894528E-4</v>
      </c>
      <c r="BR13" s="12">
        <f t="shared" si="2"/>
        <v>1.2074981991081076E-3</v>
      </c>
      <c r="BS13" s="12">
        <f t="shared" si="2"/>
        <v>1.0966587145741062E-3</v>
      </c>
      <c r="BT13" s="12">
        <f t="shared" si="2"/>
        <v>4.6246852284210777E-4</v>
      </c>
      <c r="BU13" s="12">
        <f t="shared" si="2"/>
        <v>5.1690402356011974E-5</v>
      </c>
      <c r="BV13" s="12">
        <f t="shared" si="2"/>
        <v>4.5836279669078739E-3</v>
      </c>
      <c r="BW13" s="12">
        <f t="shared" si="2"/>
        <v>2.2635416541678085E-3</v>
      </c>
      <c r="BX13" s="12">
        <f t="shared" si="2"/>
        <v>7.7207450820168097E-6</v>
      </c>
      <c r="BY13" s="12">
        <f t="shared" si="2"/>
        <v>6.8484424712536253E-3</v>
      </c>
      <c r="BZ13" s="12">
        <f t="shared" si="2"/>
        <v>4.2007966888763983E-3</v>
      </c>
      <c r="CA13" s="12">
        <f t="shared" si="2"/>
        <v>1.6305227416615116E-2</v>
      </c>
      <c r="CB13" s="12">
        <f t="shared" si="2"/>
        <v>4.2634471485872085E-5</v>
      </c>
      <c r="CC13" s="12">
        <f t="shared" si="2"/>
        <v>1.0043857496753222E-5</v>
      </c>
      <c r="CD13" s="12">
        <f t="shared" si="2"/>
        <v>3.0059254733080111E-2</v>
      </c>
      <c r="CE13" s="12">
        <f t="shared" si="2"/>
        <v>3.0108555454406178E-3</v>
      </c>
      <c r="CF13" s="12">
        <f t="shared" si="2"/>
        <v>6.4588059853908271E-4</v>
      </c>
      <c r="CG13" s="12">
        <f t="shared" si="2"/>
        <v>4.7371379281098179E-3</v>
      </c>
      <c r="CH13" s="12">
        <f t="shared" si="2"/>
        <v>1.125414474912133E-2</v>
      </c>
      <c r="CI13" s="12">
        <f t="shared" si="2"/>
        <v>2.1377479381228068E-2</v>
      </c>
      <c r="CJ13" s="12">
        <f t="shared" si="2"/>
        <v>1.0801786578328414E-2</v>
      </c>
      <c r="CK13" s="12">
        <f t="shared" si="2"/>
        <v>2.190827775549512E-4</v>
      </c>
      <c r="CL13" s="12">
        <f t="shared" si="2"/>
        <v>7.7385425179069905E-2</v>
      </c>
      <c r="CM13" s="12">
        <f t="shared" si="2"/>
        <v>8.9242116269443762E-3</v>
      </c>
      <c r="CN13" s="12">
        <f t="shared" si="2"/>
        <v>2.2121423811396212E-2</v>
      </c>
      <c r="CO13" s="12">
        <f t="shared" si="2"/>
        <v>1.3487050364336308E-3</v>
      </c>
      <c r="CP13" s="12">
        <f t="shared" si="2"/>
        <v>1.7553929179571801E-2</v>
      </c>
      <c r="CQ13" s="12">
        <f t="shared" si="2"/>
        <v>1.5746748950108615E-2</v>
      </c>
      <c r="CR13" s="12">
        <f t="shared" si="2"/>
        <v>1.3613663516839878E-2</v>
      </c>
      <c r="CS13" s="12">
        <f t="shared" si="2"/>
        <v>2.2633012887778203E-2</v>
      </c>
      <c r="CT13" s="12">
        <f t="shared" si="2"/>
        <v>1.0568762735790654E-3</v>
      </c>
      <c r="CU13" s="12">
        <f t="shared" ref="CU13:DZ13" si="3">(CU3-CU9)^2</f>
        <v>6.6848296317441984E-3</v>
      </c>
      <c r="CV13" s="12">
        <f t="shared" si="3"/>
        <v>8.5097070647761043E-6</v>
      </c>
      <c r="CW13" s="12">
        <f t="shared" si="3"/>
        <v>8.6680856260312256E-4</v>
      </c>
      <c r="CX13" s="12">
        <f t="shared" si="3"/>
        <v>1.3884425692972541E-2</v>
      </c>
      <c r="CY13" s="12">
        <f t="shared" si="3"/>
        <v>1.0728251288969157E-2</v>
      </c>
      <c r="CZ13" s="12">
        <f t="shared" si="3"/>
        <v>2.5580686048495713E-2</v>
      </c>
      <c r="DA13" s="12">
        <f t="shared" si="3"/>
        <v>6.8066076347180248E-3</v>
      </c>
      <c r="DB13" s="12">
        <f t="shared" si="3"/>
        <v>1.4343034473220744E-3</v>
      </c>
      <c r="DC13" s="12">
        <f t="shared" si="3"/>
        <v>3.9208284742823464E-3</v>
      </c>
      <c r="DD13" s="12">
        <f t="shared" si="3"/>
        <v>6.7699546260526096E-4</v>
      </c>
      <c r="DE13" s="12">
        <f t="shared" si="3"/>
        <v>1.4254497937603068E-2</v>
      </c>
      <c r="DF13" s="12">
        <f t="shared" si="3"/>
        <v>2.5131070010390127E-6</v>
      </c>
      <c r="DG13" s="12">
        <f t="shared" si="3"/>
        <v>1.3569902817466804E-2</v>
      </c>
      <c r="DH13" s="12">
        <f t="shared" si="3"/>
        <v>2.4025344615193392E-3</v>
      </c>
      <c r="DI13" s="12">
        <f t="shared" si="3"/>
        <v>1.055290575163674E-2</v>
      </c>
      <c r="DJ13" s="12">
        <f t="shared" si="3"/>
        <v>1.7160013485869742E-3</v>
      </c>
      <c r="DK13" s="12">
        <f t="shared" si="3"/>
        <v>5.6643491265403866E-3</v>
      </c>
      <c r="DL13" s="12">
        <f t="shared" si="3"/>
        <v>2.2654048749164786E-3</v>
      </c>
      <c r="DM13" s="12">
        <f t="shared" si="3"/>
        <v>6.8148403042041325E-4</v>
      </c>
      <c r="DN13" s="12">
        <f t="shared" si="3"/>
        <v>2.8078408296033181E-3</v>
      </c>
      <c r="DO13" s="12">
        <f t="shared" si="3"/>
        <v>2.932898335331472E-3</v>
      </c>
      <c r="DP13" s="12">
        <f t="shared" si="3"/>
        <v>3.5536599986834934E-3</v>
      </c>
      <c r="DQ13" s="12">
        <f t="shared" si="3"/>
        <v>2.4630227031178075E-2</v>
      </c>
      <c r="DR13" s="12">
        <f t="shared" si="3"/>
        <v>2.6980655780660971E-3</v>
      </c>
      <c r="DS13" s="12">
        <f t="shared" si="3"/>
        <v>1.2173489105991113E-2</v>
      </c>
      <c r="DT13" s="12">
        <f t="shared" si="3"/>
        <v>1.8339437386529964E-2</v>
      </c>
      <c r="DU13" s="12">
        <f t="shared" si="3"/>
        <v>1.2356525797809625E-7</v>
      </c>
      <c r="DV13" s="12">
        <f t="shared" si="3"/>
        <v>2.9907270407126929E-2</v>
      </c>
      <c r="DW13" s="12">
        <f t="shared" si="3"/>
        <v>5.5959055998154182E-4</v>
      </c>
      <c r="DX13" s="12">
        <f t="shared" si="3"/>
        <v>1.2927616699575472E-2</v>
      </c>
      <c r="DY13" s="12">
        <f t="shared" si="3"/>
        <v>1.3201274216329929E-2</v>
      </c>
      <c r="DZ13" s="12">
        <f t="shared" si="3"/>
        <v>4.3699396294341023E-4</v>
      </c>
      <c r="EA13" s="12">
        <f t="shared" ref="EA13:EL13" si="4">(EA3-EA9)^2</f>
        <v>2.9104482140908453E-2</v>
      </c>
      <c r="EB13" s="12">
        <f t="shared" si="4"/>
        <v>1.6664916060606281E-3</v>
      </c>
      <c r="EC13" s="12">
        <f t="shared" si="4"/>
        <v>4.7396849352142327E-5</v>
      </c>
      <c r="ED13" s="12">
        <f t="shared" si="4"/>
        <v>5.8025530046750262E-2</v>
      </c>
      <c r="EE13" s="12">
        <f t="shared" si="4"/>
        <v>1.0884487489108933E-5</v>
      </c>
      <c r="EF13" s="12">
        <f t="shared" si="4"/>
        <v>6.487997413737746E-3</v>
      </c>
      <c r="EG13" s="12">
        <f t="shared" si="4"/>
        <v>2.3950309829191441E-2</v>
      </c>
      <c r="EH13" s="12">
        <f t="shared" si="4"/>
        <v>2.1005795661800737E-3</v>
      </c>
      <c r="EI13" s="12">
        <f t="shared" si="4"/>
        <v>2.5475443022908765E-3</v>
      </c>
      <c r="EJ13" s="12">
        <f t="shared" si="4"/>
        <v>3.1611729384165663E-2</v>
      </c>
      <c r="EK13" s="12">
        <f t="shared" si="4"/>
        <v>5.357044999926874E-3</v>
      </c>
      <c r="EL13" s="12">
        <f t="shared" si="4"/>
        <v>5.6379598232079798E-3</v>
      </c>
    </row>
    <row r="14" spans="1:142" x14ac:dyDescent="0.55000000000000004">
      <c r="B14" s="11" t="s">
        <v>144</v>
      </c>
      <c r="C14" s="12">
        <f t="shared" ref="C14:AH14" si="5">(C4-C10)^2</f>
        <v>6.0299159868104475E-2</v>
      </c>
      <c r="D14" s="12">
        <f t="shared" si="5"/>
        <v>4.8979137114298965E-2</v>
      </c>
      <c r="E14" s="12">
        <f t="shared" si="5"/>
        <v>7.1370783101020049E-4</v>
      </c>
      <c r="F14" s="12">
        <f t="shared" si="5"/>
        <v>4.2792745503799294E-2</v>
      </c>
      <c r="G14" s="12">
        <f t="shared" si="5"/>
        <v>5.7592122414670223E-3</v>
      </c>
      <c r="H14" s="12">
        <f t="shared" si="5"/>
        <v>3.4173945627490447E-3</v>
      </c>
      <c r="I14" s="12">
        <f t="shared" si="5"/>
        <v>7.0462505914234408E-4</v>
      </c>
      <c r="J14" s="12">
        <f t="shared" si="5"/>
        <v>1.680556745530052E-2</v>
      </c>
      <c r="K14" s="12">
        <f t="shared" si="5"/>
        <v>1.5786114628928393E-5</v>
      </c>
      <c r="L14" s="12">
        <f t="shared" si="5"/>
        <v>1.2384669146227536E-2</v>
      </c>
      <c r="M14" s="12">
        <f t="shared" si="5"/>
        <v>2.4219112994804774E-3</v>
      </c>
      <c r="N14" s="12">
        <f t="shared" si="5"/>
        <v>3.2898435995490055E-2</v>
      </c>
      <c r="O14" s="12">
        <f t="shared" si="5"/>
        <v>3.418412204614201E-3</v>
      </c>
      <c r="P14" s="12">
        <f t="shared" si="5"/>
        <v>1.3277828342242795E-2</v>
      </c>
      <c r="Q14" s="12">
        <f t="shared" si="5"/>
        <v>8.4268750709600915E-5</v>
      </c>
      <c r="R14" s="12">
        <f t="shared" si="5"/>
        <v>1.9596089293719168E-4</v>
      </c>
      <c r="S14" s="12">
        <f t="shared" si="5"/>
        <v>2.3291658402041164E-2</v>
      </c>
      <c r="T14" s="12">
        <f t="shared" si="5"/>
        <v>2.7822709597799971E-3</v>
      </c>
      <c r="U14" s="12">
        <f t="shared" si="5"/>
        <v>3.8079058638375133E-4</v>
      </c>
      <c r="V14" s="12">
        <f t="shared" si="5"/>
        <v>3.8645815101413133E-6</v>
      </c>
      <c r="W14" s="12">
        <f t="shared" si="5"/>
        <v>2.2694544713708253E-2</v>
      </c>
      <c r="X14" s="12">
        <f t="shared" si="5"/>
        <v>8.0446088442911786E-3</v>
      </c>
      <c r="Y14" s="12">
        <f t="shared" si="5"/>
        <v>2.8019787555380121E-4</v>
      </c>
      <c r="Z14" s="12">
        <f t="shared" si="5"/>
        <v>1.7717034889294452E-4</v>
      </c>
      <c r="AA14" s="12">
        <f t="shared" si="5"/>
        <v>5.6282595689890321E-3</v>
      </c>
      <c r="AB14" s="12">
        <f t="shared" si="5"/>
        <v>3.0444890219963197E-5</v>
      </c>
      <c r="AC14" s="12">
        <f t="shared" si="5"/>
        <v>5.6382868105054025E-3</v>
      </c>
      <c r="AD14" s="12">
        <f t="shared" si="5"/>
        <v>1.4576349761149369E-3</v>
      </c>
      <c r="AE14" s="12">
        <f t="shared" si="5"/>
        <v>2.0361902010052845E-2</v>
      </c>
      <c r="AF14" s="12">
        <f t="shared" si="5"/>
        <v>3.3735409806466277E-3</v>
      </c>
      <c r="AG14" s="12">
        <f t="shared" si="5"/>
        <v>6.2268397223607655E-3</v>
      </c>
      <c r="AH14" s="12">
        <f t="shared" si="5"/>
        <v>1.1624687062134376E-3</v>
      </c>
      <c r="AI14" s="12">
        <f t="shared" ref="AI14:BN14" si="6">(AI4-AI10)^2</f>
        <v>2.5432586310240786E-4</v>
      </c>
      <c r="AJ14" s="12">
        <f t="shared" si="6"/>
        <v>1.918299547077607E-3</v>
      </c>
      <c r="AK14" s="12">
        <f t="shared" si="6"/>
        <v>2.3581621896773988E-3</v>
      </c>
      <c r="AL14" s="12">
        <f t="shared" si="6"/>
        <v>8.398237661262924E-3</v>
      </c>
      <c r="AM14" s="12">
        <f t="shared" si="6"/>
        <v>2.5373051005089011E-4</v>
      </c>
      <c r="AN14" s="12">
        <f t="shared" si="6"/>
        <v>5.4574233410554758E-3</v>
      </c>
      <c r="AO14" s="12">
        <f t="shared" si="6"/>
        <v>1.0852476578215862E-3</v>
      </c>
      <c r="AP14" s="12">
        <f t="shared" si="6"/>
        <v>1.7297927947698688E-3</v>
      </c>
      <c r="AQ14" s="12">
        <f t="shared" si="6"/>
        <v>2.1516200085964004E-3</v>
      </c>
      <c r="AR14" s="12">
        <f t="shared" si="6"/>
        <v>1.4338399368169509E-2</v>
      </c>
      <c r="AS14" s="12">
        <f t="shared" si="6"/>
        <v>5.3354751306479389E-6</v>
      </c>
      <c r="AT14" s="12">
        <f t="shared" si="6"/>
        <v>3.2168380882393422E-4</v>
      </c>
      <c r="AU14" s="12">
        <f t="shared" si="6"/>
        <v>1.7678255740564554E-2</v>
      </c>
      <c r="AV14" s="12">
        <f t="shared" si="6"/>
        <v>2.4926016238634766E-3</v>
      </c>
      <c r="AW14" s="12">
        <f t="shared" si="6"/>
        <v>4.0791380993202174E-3</v>
      </c>
      <c r="AX14" s="12">
        <f t="shared" si="6"/>
        <v>3.1469248379210213E-4</v>
      </c>
      <c r="AY14" s="12">
        <f t="shared" si="6"/>
        <v>1.0270288069755284E-3</v>
      </c>
      <c r="AZ14" s="12">
        <f t="shared" si="6"/>
        <v>1.1328322732473197E-2</v>
      </c>
      <c r="BA14" s="12">
        <f t="shared" si="6"/>
        <v>1.1678835612794846E-2</v>
      </c>
      <c r="BB14" s="12">
        <f t="shared" si="6"/>
        <v>5.6546374910252939E-3</v>
      </c>
      <c r="BC14" s="12">
        <f t="shared" si="6"/>
        <v>2.9557301981689085E-3</v>
      </c>
      <c r="BD14" s="12">
        <f t="shared" si="6"/>
        <v>1.0548097509070143E-2</v>
      </c>
      <c r="BE14" s="12">
        <f t="shared" si="6"/>
        <v>3.1568960329737078E-2</v>
      </c>
      <c r="BF14" s="12">
        <f t="shared" si="6"/>
        <v>3.5702517649126913E-3</v>
      </c>
      <c r="BG14" s="12">
        <f t="shared" si="6"/>
        <v>6.1400202112125088E-3</v>
      </c>
      <c r="BH14" s="12">
        <f t="shared" si="6"/>
        <v>6.6194407820558722E-4</v>
      </c>
      <c r="BI14" s="12">
        <f t="shared" si="6"/>
        <v>1.0494617979207069E-2</v>
      </c>
      <c r="BJ14" s="12">
        <f t="shared" si="6"/>
        <v>1.3949243478118153E-2</v>
      </c>
      <c r="BK14" s="12">
        <f t="shared" si="6"/>
        <v>1.8043815331594267E-2</v>
      </c>
      <c r="BL14" s="12">
        <f t="shared" si="6"/>
        <v>2.4214096398758039E-4</v>
      </c>
      <c r="BM14" s="12">
        <f t="shared" si="6"/>
        <v>6.7696041913318895E-5</v>
      </c>
      <c r="BN14" s="12">
        <f t="shared" si="6"/>
        <v>1.2549996960905318E-2</v>
      </c>
      <c r="BO14" s="12">
        <f t="shared" ref="BO14:CT14" si="7">(BO4-BO10)^2</f>
        <v>7.4493474713874946E-4</v>
      </c>
      <c r="BP14" s="12">
        <f t="shared" si="7"/>
        <v>7.8998725494484473E-3</v>
      </c>
      <c r="BQ14" s="12">
        <f t="shared" si="7"/>
        <v>3.0725929707197449E-3</v>
      </c>
      <c r="BR14" s="12">
        <f t="shared" si="7"/>
        <v>1.2529847625468701E-2</v>
      </c>
      <c r="BS14" s="12">
        <f t="shared" si="7"/>
        <v>8.3591027020279186E-3</v>
      </c>
      <c r="BT14" s="12">
        <f t="shared" si="7"/>
        <v>1.8639769726699715E-2</v>
      </c>
      <c r="BU14" s="12">
        <f t="shared" si="7"/>
        <v>2.3885708259747434E-2</v>
      </c>
      <c r="BV14" s="12">
        <f t="shared" si="7"/>
        <v>5.8556106513087158E-4</v>
      </c>
      <c r="BW14" s="12">
        <f t="shared" si="7"/>
        <v>1.9427074105691004E-2</v>
      </c>
      <c r="BX14" s="12">
        <f t="shared" si="7"/>
        <v>1.5918216735352701E-3</v>
      </c>
      <c r="BY14" s="12">
        <f t="shared" si="7"/>
        <v>1.8641891833487308E-2</v>
      </c>
      <c r="BZ14" s="12">
        <f t="shared" si="7"/>
        <v>1.8884784329786913E-7</v>
      </c>
      <c r="CA14" s="12">
        <f t="shared" si="7"/>
        <v>2.051505534992545E-3</v>
      </c>
      <c r="CB14" s="12">
        <f t="shared" si="7"/>
        <v>1.3228176095548253E-2</v>
      </c>
      <c r="CC14" s="12">
        <f t="shared" si="7"/>
        <v>1.9718784807075117E-4</v>
      </c>
      <c r="CD14" s="12">
        <f t="shared" si="7"/>
        <v>1.059575247203985E-3</v>
      </c>
      <c r="CE14" s="12">
        <f t="shared" si="7"/>
        <v>2.3120799601169931E-2</v>
      </c>
      <c r="CF14" s="12">
        <f t="shared" si="7"/>
        <v>2.2625271346881533E-3</v>
      </c>
      <c r="CG14" s="12">
        <f t="shared" si="7"/>
        <v>8.3394529794702764E-3</v>
      </c>
      <c r="CH14" s="12">
        <f t="shared" si="7"/>
        <v>1.5308547416312764E-4</v>
      </c>
      <c r="CI14" s="12">
        <f t="shared" si="7"/>
        <v>1.0652851126435783E-2</v>
      </c>
      <c r="CJ14" s="12">
        <f t="shared" si="7"/>
        <v>5.2310164307753902E-4</v>
      </c>
      <c r="CK14" s="12">
        <f t="shared" si="7"/>
        <v>3.4814356458184254E-3</v>
      </c>
      <c r="CL14" s="12">
        <f t="shared" si="7"/>
        <v>1.3894153289329735E-3</v>
      </c>
      <c r="CM14" s="12">
        <f t="shared" si="7"/>
        <v>5.3648016733292274E-2</v>
      </c>
      <c r="CN14" s="12">
        <f t="shared" si="7"/>
        <v>8.0709337496011647E-3</v>
      </c>
      <c r="CO14" s="12">
        <f t="shared" si="7"/>
        <v>3.0911368581124397E-2</v>
      </c>
      <c r="CP14" s="12">
        <f t="shared" si="7"/>
        <v>4.5701222342134454E-4</v>
      </c>
      <c r="CQ14" s="12">
        <f t="shared" si="7"/>
        <v>1.6517642976352415E-2</v>
      </c>
      <c r="CR14" s="12">
        <f t="shared" si="7"/>
        <v>1.591790197110917E-2</v>
      </c>
      <c r="CS14" s="12">
        <f t="shared" si="7"/>
        <v>4.1076968547861439E-3</v>
      </c>
      <c r="CT14" s="12">
        <f t="shared" si="7"/>
        <v>2.8629987203774095E-3</v>
      </c>
      <c r="CU14" s="12">
        <f t="shared" ref="CU14:DZ14" si="8">(CU4-CU10)^2</f>
        <v>1.2039914263371125E-3</v>
      </c>
      <c r="CV14" s="12">
        <f t="shared" si="8"/>
        <v>2.6483324296406246E-4</v>
      </c>
      <c r="CW14" s="12">
        <f t="shared" si="8"/>
        <v>4.3834393412876084E-4</v>
      </c>
      <c r="CX14" s="12">
        <f t="shared" si="8"/>
        <v>6.6686252575883188E-3</v>
      </c>
      <c r="CY14" s="12">
        <f t="shared" si="8"/>
        <v>2.8823199201601988E-3</v>
      </c>
      <c r="CZ14" s="12">
        <f t="shared" si="8"/>
        <v>3.0146120026032133E-2</v>
      </c>
      <c r="DA14" s="12">
        <f t="shared" si="8"/>
        <v>2.2389458588429867E-3</v>
      </c>
      <c r="DB14" s="12">
        <f t="shared" si="8"/>
        <v>7.058301413593958E-3</v>
      </c>
      <c r="DC14" s="12">
        <f t="shared" si="8"/>
        <v>2.0558202579142441E-3</v>
      </c>
      <c r="DD14" s="12">
        <f t="shared" si="8"/>
        <v>1.5120850457571285E-2</v>
      </c>
      <c r="DE14" s="12">
        <f t="shared" si="8"/>
        <v>2.0820355528169493E-2</v>
      </c>
      <c r="DF14" s="12">
        <f t="shared" si="8"/>
        <v>5.1589013791508804E-3</v>
      </c>
      <c r="DG14" s="12">
        <f t="shared" si="8"/>
        <v>8.2535403179266789E-2</v>
      </c>
      <c r="DH14" s="12">
        <f t="shared" si="8"/>
        <v>7.7032088710505897E-3</v>
      </c>
      <c r="DI14" s="12">
        <f t="shared" si="8"/>
        <v>1.5952488422297531E-2</v>
      </c>
      <c r="DJ14" s="12">
        <f t="shared" si="8"/>
        <v>3.0786813253255037E-3</v>
      </c>
      <c r="DK14" s="12">
        <f t="shared" si="8"/>
        <v>2.7643995080534174E-2</v>
      </c>
      <c r="DL14" s="12">
        <f t="shared" si="8"/>
        <v>2.4393121682843954E-3</v>
      </c>
      <c r="DM14" s="12">
        <f t="shared" si="8"/>
        <v>3.3780913901181216E-3</v>
      </c>
      <c r="DN14" s="12">
        <f t="shared" si="8"/>
        <v>4.6992105581791519E-3</v>
      </c>
      <c r="DO14" s="12">
        <f t="shared" si="8"/>
        <v>1.3998709334379423E-2</v>
      </c>
      <c r="DP14" s="12">
        <f t="shared" si="8"/>
        <v>1.5914219625836681E-2</v>
      </c>
      <c r="DQ14" s="12">
        <f t="shared" si="8"/>
        <v>1.0131913677837008E-2</v>
      </c>
      <c r="DR14" s="12">
        <f t="shared" si="8"/>
        <v>1.4089117930017867E-3</v>
      </c>
      <c r="DS14" s="12">
        <f t="shared" si="8"/>
        <v>2.5069999292904665E-2</v>
      </c>
      <c r="DT14" s="12">
        <f t="shared" si="8"/>
        <v>1.9676758180367333E-3</v>
      </c>
      <c r="DU14" s="12">
        <f t="shared" si="8"/>
        <v>3.6539617622591856E-2</v>
      </c>
      <c r="DV14" s="12">
        <f t="shared" si="8"/>
        <v>5.5368635600070359E-3</v>
      </c>
      <c r="DW14" s="12">
        <f t="shared" si="8"/>
        <v>1.6658586852048317E-2</v>
      </c>
      <c r="DX14" s="12">
        <f t="shared" si="8"/>
        <v>2.8057785513271277E-3</v>
      </c>
      <c r="DY14" s="12">
        <f t="shared" si="8"/>
        <v>1.6607184506019466E-3</v>
      </c>
      <c r="DZ14" s="12">
        <f t="shared" si="8"/>
        <v>3.2537197431970762E-4</v>
      </c>
      <c r="EA14" s="12">
        <f t="shared" ref="EA14:EL14" si="9">(EA4-EA10)^2</f>
        <v>2.5529541976164515E-3</v>
      </c>
      <c r="EB14" s="12">
        <f t="shared" si="9"/>
        <v>7.2787127742748338E-5</v>
      </c>
      <c r="EC14" s="12">
        <f t="shared" si="9"/>
        <v>1.3809000657512355E-2</v>
      </c>
      <c r="ED14" s="12">
        <f t="shared" si="9"/>
        <v>1.399296741408808E-2</v>
      </c>
      <c r="EE14" s="12">
        <f t="shared" si="9"/>
        <v>3.6487189918325037E-2</v>
      </c>
      <c r="EF14" s="12">
        <f t="shared" si="9"/>
        <v>8.9377977697535117E-3</v>
      </c>
      <c r="EG14" s="12">
        <f t="shared" si="9"/>
        <v>2.9542854398972316E-3</v>
      </c>
      <c r="EH14" s="12">
        <f t="shared" si="9"/>
        <v>6.2915860046143979E-4</v>
      </c>
      <c r="EI14" s="12">
        <f t="shared" si="9"/>
        <v>1.5476911900798357E-2</v>
      </c>
      <c r="EJ14" s="12">
        <f t="shared" si="9"/>
        <v>2.6143356609743533E-2</v>
      </c>
      <c r="EK14" s="12">
        <f t="shared" si="9"/>
        <v>9.9568299282588625E-3</v>
      </c>
      <c r="EL14" s="12">
        <f t="shared" si="9"/>
        <v>6.992410832969316E-3</v>
      </c>
    </row>
    <row r="15" spans="1:142" x14ac:dyDescent="0.55000000000000004">
      <c r="B15" s="14" t="s">
        <v>145</v>
      </c>
      <c r="C15" s="12">
        <f t="shared" ref="C15:AH15" si="10">(C5-C11)^2</f>
        <v>6.3771100033982158E-3</v>
      </c>
      <c r="D15" s="12">
        <f t="shared" si="10"/>
        <v>1.5467912730158096E-2</v>
      </c>
      <c r="E15" s="12">
        <f t="shared" si="10"/>
        <v>8.5394228159957577E-6</v>
      </c>
      <c r="F15" s="12">
        <f t="shared" si="10"/>
        <v>1.4121158154891095E-2</v>
      </c>
      <c r="G15" s="12">
        <f t="shared" si="10"/>
        <v>1.3513083734676863E-3</v>
      </c>
      <c r="H15" s="12">
        <f t="shared" si="10"/>
        <v>2.2996713994420569E-4</v>
      </c>
      <c r="I15" s="12">
        <f t="shared" si="10"/>
        <v>6.7558721131403127E-3</v>
      </c>
      <c r="J15" s="12">
        <f t="shared" si="10"/>
        <v>4.1769744002193333E-3</v>
      </c>
      <c r="K15" s="12">
        <f t="shared" si="10"/>
        <v>5.3834835575763073E-4</v>
      </c>
      <c r="L15" s="12">
        <f t="shared" si="10"/>
        <v>1.2136706424077377E-3</v>
      </c>
      <c r="M15" s="12">
        <f t="shared" si="10"/>
        <v>2.7808691832527351E-3</v>
      </c>
      <c r="N15" s="12">
        <f t="shared" si="10"/>
        <v>4.2715994915250664E-3</v>
      </c>
      <c r="O15" s="12">
        <f t="shared" si="10"/>
        <v>1.0111301627660832E-3</v>
      </c>
      <c r="P15" s="12">
        <f t="shared" si="10"/>
        <v>1.2486636729373382E-4</v>
      </c>
      <c r="Q15" s="12">
        <f t="shared" si="10"/>
        <v>8.8805365236921581E-4</v>
      </c>
      <c r="R15" s="12">
        <f t="shared" si="10"/>
        <v>5.6074792583417105E-4</v>
      </c>
      <c r="S15" s="12">
        <f t="shared" si="10"/>
        <v>7.7052227721741643E-3</v>
      </c>
      <c r="T15" s="12">
        <f t="shared" si="10"/>
        <v>1.2690628351164737E-2</v>
      </c>
      <c r="U15" s="12">
        <f t="shared" si="10"/>
        <v>2.8434329666282462E-4</v>
      </c>
      <c r="V15" s="12">
        <f t="shared" si="10"/>
        <v>3.1378698390870383E-3</v>
      </c>
      <c r="W15" s="12">
        <f t="shared" si="10"/>
        <v>2.1384256372522604E-2</v>
      </c>
      <c r="X15" s="12">
        <f t="shared" si="10"/>
        <v>0.10238397375759496</v>
      </c>
      <c r="Y15" s="12">
        <f t="shared" si="10"/>
        <v>1.8843032259933293E-2</v>
      </c>
      <c r="Z15" s="12">
        <f t="shared" si="10"/>
        <v>8.6133804226430181E-3</v>
      </c>
      <c r="AA15" s="12">
        <f t="shared" si="10"/>
        <v>1.8418837412746173E-3</v>
      </c>
      <c r="AB15" s="12">
        <f t="shared" si="10"/>
        <v>3.2344440586696745E-3</v>
      </c>
      <c r="AC15" s="12">
        <f t="shared" si="10"/>
        <v>1.752587768348755E-2</v>
      </c>
      <c r="AD15" s="12">
        <f t="shared" si="10"/>
        <v>1.1328061423494828E-3</v>
      </c>
      <c r="AE15" s="12">
        <f t="shared" si="10"/>
        <v>2.1727001982542998E-2</v>
      </c>
      <c r="AF15" s="12">
        <f t="shared" si="10"/>
        <v>2.9425834912639972E-2</v>
      </c>
      <c r="AG15" s="12">
        <f t="shared" si="10"/>
        <v>9.1455654012405716E-3</v>
      </c>
      <c r="AH15" s="12">
        <f t="shared" si="10"/>
        <v>3.4245510240372415E-4</v>
      </c>
      <c r="AI15" s="12">
        <f t="shared" ref="AI15:BN15" si="11">(AI5-AI11)^2</f>
        <v>1.5677068263672508E-3</v>
      </c>
      <c r="AJ15" s="12">
        <f t="shared" si="11"/>
        <v>1.0411389499577421E-3</v>
      </c>
      <c r="AK15" s="12">
        <f t="shared" si="11"/>
        <v>3.2367255881560158E-3</v>
      </c>
      <c r="AL15" s="12">
        <f t="shared" si="11"/>
        <v>1.1160667526867955E-2</v>
      </c>
      <c r="AM15" s="12">
        <f t="shared" si="11"/>
        <v>2.1730098438731763E-3</v>
      </c>
      <c r="AN15" s="12">
        <f t="shared" si="11"/>
        <v>7.9851438174392726E-3</v>
      </c>
      <c r="AO15" s="12">
        <f t="shared" si="11"/>
        <v>5.6738026495511034E-3</v>
      </c>
      <c r="AP15" s="12">
        <f t="shared" si="11"/>
        <v>8.2359886523949251E-5</v>
      </c>
      <c r="AQ15" s="12">
        <f t="shared" si="11"/>
        <v>6.220842415430354E-3</v>
      </c>
      <c r="AR15" s="12">
        <f t="shared" si="11"/>
        <v>2.8320769890816042E-3</v>
      </c>
      <c r="AS15" s="12">
        <f t="shared" si="11"/>
        <v>9.3923047248161188E-4</v>
      </c>
      <c r="AT15" s="12">
        <f t="shared" si="11"/>
        <v>2.097649395970554E-2</v>
      </c>
      <c r="AU15" s="12">
        <f t="shared" si="11"/>
        <v>1.0689817197011155E-2</v>
      </c>
      <c r="AV15" s="12">
        <f t="shared" si="11"/>
        <v>9.0191154444218789E-3</v>
      </c>
      <c r="AW15" s="12">
        <f t="shared" si="11"/>
        <v>2.5052840416422441E-4</v>
      </c>
      <c r="AX15" s="12">
        <f t="shared" si="11"/>
        <v>4.6058802916120405E-2</v>
      </c>
      <c r="AY15" s="12">
        <f t="shared" si="11"/>
        <v>3.0098635976032595E-5</v>
      </c>
      <c r="AZ15" s="12">
        <f t="shared" si="11"/>
        <v>2.3575335438301205E-3</v>
      </c>
      <c r="BA15" s="12">
        <f t="shared" si="11"/>
        <v>4.1812500593568606E-3</v>
      </c>
      <c r="BB15" s="12">
        <f t="shared" si="11"/>
        <v>1.8610902444488771E-2</v>
      </c>
      <c r="BC15" s="12">
        <f t="shared" si="11"/>
        <v>4.9846753410440301E-4</v>
      </c>
      <c r="BD15" s="12">
        <f t="shared" si="11"/>
        <v>3.3476569064544038E-3</v>
      </c>
      <c r="BE15" s="12">
        <f t="shared" si="11"/>
        <v>1.0655874257719501E-2</v>
      </c>
      <c r="BF15" s="12">
        <f t="shared" si="11"/>
        <v>4.6243156918511968E-2</v>
      </c>
      <c r="BG15" s="12">
        <f t="shared" si="11"/>
        <v>2.3650370229273368E-2</v>
      </c>
      <c r="BH15" s="12">
        <f t="shared" si="11"/>
        <v>1.222044332492769E-3</v>
      </c>
      <c r="BI15" s="12">
        <f t="shared" si="11"/>
        <v>2.1541532393744098E-3</v>
      </c>
      <c r="BJ15" s="12">
        <f t="shared" si="11"/>
        <v>5.5857003573645692E-3</v>
      </c>
      <c r="BK15" s="12">
        <f t="shared" si="11"/>
        <v>1.4727820423062482E-4</v>
      </c>
      <c r="BL15" s="12">
        <f t="shared" si="11"/>
        <v>2.2287489711629548E-2</v>
      </c>
      <c r="BM15" s="12">
        <f t="shared" si="11"/>
        <v>2.2867345734553329E-2</v>
      </c>
      <c r="BN15" s="12">
        <f t="shared" si="11"/>
        <v>1.6051100719177263E-4</v>
      </c>
      <c r="BO15" s="12">
        <f t="shared" ref="BO15:CT15" si="12">(BO5-BO11)^2</f>
        <v>2.7240253432677004E-3</v>
      </c>
      <c r="BP15" s="12">
        <f t="shared" si="12"/>
        <v>1.6712790385737519E-4</v>
      </c>
      <c r="BQ15" s="12">
        <f t="shared" si="12"/>
        <v>2.7041555758912867E-3</v>
      </c>
      <c r="BR15" s="12">
        <f t="shared" si="12"/>
        <v>2.5241527289743521E-2</v>
      </c>
      <c r="BS15" s="12">
        <f t="shared" si="12"/>
        <v>1.0111131183743466E-2</v>
      </c>
      <c r="BT15" s="12">
        <f t="shared" si="12"/>
        <v>6.9973851825818394E-5</v>
      </c>
      <c r="BU15" s="12">
        <f t="shared" si="12"/>
        <v>2.446824292960736E-4</v>
      </c>
      <c r="BV15" s="12">
        <f t="shared" si="12"/>
        <v>8.7104439557521181E-3</v>
      </c>
      <c r="BW15" s="12">
        <f t="shared" si="12"/>
        <v>2.7735579707800436E-2</v>
      </c>
      <c r="BX15" s="12">
        <f t="shared" si="12"/>
        <v>6.8318116581427555E-5</v>
      </c>
      <c r="BY15" s="12">
        <f t="shared" si="12"/>
        <v>2.4579147303495273E-2</v>
      </c>
      <c r="BZ15" s="12">
        <f t="shared" si="12"/>
        <v>1.1482520504797924E-3</v>
      </c>
      <c r="CA15" s="12">
        <f t="shared" si="12"/>
        <v>3.4931994491057162E-4</v>
      </c>
      <c r="CB15" s="12">
        <f t="shared" si="12"/>
        <v>2.790651164964157E-4</v>
      </c>
      <c r="CC15" s="12">
        <f t="shared" si="12"/>
        <v>4.4230455038624878E-3</v>
      </c>
      <c r="CD15" s="12">
        <f t="shared" si="12"/>
        <v>2.7032987150280656E-3</v>
      </c>
      <c r="CE15" s="12">
        <f t="shared" si="12"/>
        <v>1.7088588582921903E-2</v>
      </c>
      <c r="CF15" s="12">
        <f t="shared" si="12"/>
        <v>7.0513502853062542E-4</v>
      </c>
      <c r="CG15" s="12">
        <f t="shared" si="12"/>
        <v>2.2404212725522215E-3</v>
      </c>
      <c r="CH15" s="12">
        <f t="shared" si="12"/>
        <v>8.9757665278212418E-7</v>
      </c>
      <c r="CI15" s="12">
        <f t="shared" si="12"/>
        <v>3.9661104562926424E-5</v>
      </c>
      <c r="CJ15" s="12">
        <f t="shared" si="12"/>
        <v>8.5124867711485488E-2</v>
      </c>
      <c r="CK15" s="12">
        <f t="shared" si="12"/>
        <v>3.7114930260737589E-2</v>
      </c>
      <c r="CL15" s="12">
        <f t="shared" si="12"/>
        <v>1.9420459028459316E-3</v>
      </c>
      <c r="CM15" s="12">
        <f t="shared" si="12"/>
        <v>1.938880176163393E-2</v>
      </c>
      <c r="CN15" s="12">
        <f t="shared" si="12"/>
        <v>4.0805142883242697E-2</v>
      </c>
      <c r="CO15" s="12">
        <f t="shared" si="12"/>
        <v>1.3193094842503911E-2</v>
      </c>
      <c r="CP15" s="12">
        <f t="shared" si="12"/>
        <v>1.8291558362109134E-2</v>
      </c>
      <c r="CQ15" s="12">
        <f t="shared" si="12"/>
        <v>6.7162826845699047E-2</v>
      </c>
      <c r="CR15" s="12">
        <f t="shared" si="12"/>
        <v>1.3718955193962186E-2</v>
      </c>
      <c r="CS15" s="12">
        <f t="shared" si="12"/>
        <v>8.1603342715367826E-3</v>
      </c>
      <c r="CT15" s="12">
        <f t="shared" si="12"/>
        <v>2.6255356052099773E-4</v>
      </c>
      <c r="CU15" s="12">
        <f t="shared" ref="CU15:DZ15" si="13">(CU5-CU11)^2</f>
        <v>0.1200416246034824</v>
      </c>
      <c r="CV15" s="12">
        <f t="shared" si="13"/>
        <v>6.0464197984211633E-2</v>
      </c>
      <c r="CW15" s="12">
        <f t="shared" si="13"/>
        <v>5.6939310266368351E-2</v>
      </c>
      <c r="CX15" s="12">
        <f t="shared" si="13"/>
        <v>4.9307770514956765E-3</v>
      </c>
      <c r="CY15" s="12">
        <f t="shared" si="13"/>
        <v>9.8332593151213964E-3</v>
      </c>
      <c r="CZ15" s="12">
        <f t="shared" si="13"/>
        <v>1.0218630696607689E-3</v>
      </c>
      <c r="DA15" s="12">
        <f t="shared" si="13"/>
        <v>2.7530123745806898E-3</v>
      </c>
      <c r="DB15" s="12">
        <f t="shared" si="13"/>
        <v>2.2559387290424927E-2</v>
      </c>
      <c r="DC15" s="12">
        <f t="shared" si="13"/>
        <v>2.5947385780668393E-3</v>
      </c>
      <c r="DD15" s="12">
        <f t="shared" si="13"/>
        <v>3.322712459484526E-2</v>
      </c>
      <c r="DE15" s="12">
        <f t="shared" si="13"/>
        <v>1.6779151181163483E-2</v>
      </c>
      <c r="DF15" s="12">
        <f t="shared" si="13"/>
        <v>2.2796202033842985E-3</v>
      </c>
      <c r="DG15" s="12">
        <f t="shared" si="13"/>
        <v>4.1214493264141901E-2</v>
      </c>
      <c r="DH15" s="12">
        <f t="shared" si="13"/>
        <v>1.1826438653704649E-2</v>
      </c>
      <c r="DI15" s="12">
        <f t="shared" si="13"/>
        <v>8.7599094391525301E-3</v>
      </c>
      <c r="DJ15" s="12">
        <f t="shared" si="13"/>
        <v>2.9062306259738132E-4</v>
      </c>
      <c r="DK15" s="12">
        <f t="shared" si="13"/>
        <v>2.3090124177800012E-3</v>
      </c>
      <c r="DL15" s="12">
        <f t="shared" si="13"/>
        <v>5.8774576406791165E-3</v>
      </c>
      <c r="DM15" s="12">
        <f t="shared" si="13"/>
        <v>7.652201817399775E-4</v>
      </c>
      <c r="DN15" s="12">
        <f t="shared" si="13"/>
        <v>9.0567106970502174E-4</v>
      </c>
      <c r="DO15" s="12">
        <f t="shared" si="13"/>
        <v>1.8743989338375348E-2</v>
      </c>
      <c r="DP15" s="12">
        <f t="shared" si="13"/>
        <v>6.2112488327705988E-2</v>
      </c>
      <c r="DQ15" s="12">
        <f t="shared" si="13"/>
        <v>5.8244875975245997E-2</v>
      </c>
      <c r="DR15" s="12">
        <f t="shared" si="13"/>
        <v>1.2312295318503585E-2</v>
      </c>
      <c r="DS15" s="12">
        <f t="shared" si="13"/>
        <v>1.7377451163570659E-2</v>
      </c>
      <c r="DT15" s="12">
        <f t="shared" si="13"/>
        <v>1.4298331568928275E-2</v>
      </c>
      <c r="DU15" s="12">
        <f t="shared" si="13"/>
        <v>8.4376863497931452E-4</v>
      </c>
      <c r="DV15" s="12">
        <f t="shared" si="13"/>
        <v>1.0738551623469069E-2</v>
      </c>
      <c r="DW15" s="12">
        <f t="shared" si="13"/>
        <v>7.389329672567219E-3</v>
      </c>
      <c r="DX15" s="12">
        <f t="shared" si="13"/>
        <v>1.0493864221531885E-3</v>
      </c>
      <c r="DY15" s="12">
        <f t="shared" si="13"/>
        <v>3.9321244558949654E-3</v>
      </c>
      <c r="DZ15" s="12">
        <f t="shared" si="13"/>
        <v>6.6464243337687066E-6</v>
      </c>
      <c r="EA15" s="12">
        <f t="shared" ref="EA15:EL15" si="14">(EA5-EA11)^2</f>
        <v>9.2556242017317214E-2</v>
      </c>
      <c r="EB15" s="12">
        <f t="shared" si="14"/>
        <v>2.5136262681724877E-2</v>
      </c>
      <c r="EC15" s="12">
        <f t="shared" si="14"/>
        <v>2.3521238415117602E-3</v>
      </c>
      <c r="ED15" s="12">
        <f t="shared" si="14"/>
        <v>1.2874881670952049E-2</v>
      </c>
      <c r="EE15" s="12">
        <f t="shared" si="14"/>
        <v>1.0171374971857735E-2</v>
      </c>
      <c r="EF15" s="12">
        <f t="shared" si="14"/>
        <v>7.2458455222073849E-3</v>
      </c>
      <c r="EG15" s="12">
        <f t="shared" si="14"/>
        <v>9.7730502079344129E-3</v>
      </c>
      <c r="EH15" s="12">
        <f t="shared" si="14"/>
        <v>3.262489915162239E-4</v>
      </c>
      <c r="EI15" s="12">
        <f t="shared" si="14"/>
        <v>5.8401426206915771E-4</v>
      </c>
      <c r="EJ15" s="12">
        <f t="shared" si="14"/>
        <v>1.21935011834892E-3</v>
      </c>
      <c r="EK15" s="12">
        <f t="shared" si="14"/>
        <v>4.3208274160616645E-3</v>
      </c>
      <c r="EL15" s="12">
        <f t="shared" si="14"/>
        <v>1.4852503712594443E-5</v>
      </c>
    </row>
    <row r="17" spans="1:142" x14ac:dyDescent="0.55000000000000004">
      <c r="A17" s="12" t="s">
        <v>301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302</v>
      </c>
      <c r="B21" s="12">
        <f>1-SUM(C13:EL15)/SUM(C17:EL19)</f>
        <v>-8.582991507707427E-2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workbookViewId="0">
      <selection activeCell="D17" sqref="D17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42" width="22.59765625" bestFit="1" customWidth="1"/>
  </cols>
  <sheetData>
    <row r="1" spans="1:142" ht="25" customHeight="1" x14ac:dyDescent="0.55000000000000004">
      <c r="A1" s="11" t="s">
        <v>299</v>
      </c>
    </row>
    <row r="2" spans="1:142" ht="25" customHeight="1" x14ac:dyDescent="0.55000000000000004">
      <c r="A2" s="11" t="s">
        <v>303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5">
        <v>2.1384622901678089E-2</v>
      </c>
      <c r="D3" s="15">
        <v>6.2085315585136414E-3</v>
      </c>
      <c r="E3" s="15">
        <v>3.5493887960910797E-2</v>
      </c>
      <c r="F3" s="15">
        <v>2.6995036751031879E-2</v>
      </c>
      <c r="G3" s="15">
        <v>1.9322143867611889E-2</v>
      </c>
      <c r="H3" s="15">
        <v>-4.8867595614865422E-4</v>
      </c>
      <c r="I3" s="15">
        <v>2.2219710052013401E-2</v>
      </c>
      <c r="J3" s="15">
        <v>8.1882821395993233E-3</v>
      </c>
      <c r="K3" s="15">
        <v>3.7730719894170761E-2</v>
      </c>
      <c r="L3" s="15">
        <v>8.0356046557426453E-2</v>
      </c>
      <c r="M3" s="15">
        <v>3.820226714015007E-2</v>
      </c>
      <c r="N3" s="15">
        <v>3.3819951117038727E-2</v>
      </c>
      <c r="O3" s="15">
        <v>2.6821058243513111E-2</v>
      </c>
      <c r="P3" s="15">
        <v>4.8989016562700272E-2</v>
      </c>
      <c r="Q3" s="15">
        <v>5.1116403192281723E-2</v>
      </c>
      <c r="R3" s="15">
        <v>2.8836483135819439E-2</v>
      </c>
      <c r="S3" s="15">
        <v>-1.1045613326132299E-2</v>
      </c>
      <c r="T3" s="15">
        <v>-5.4997783154249191E-3</v>
      </c>
      <c r="U3" s="15">
        <v>1.916555501520634E-2</v>
      </c>
      <c r="V3" s="15">
        <v>-2.3617833852767941E-2</v>
      </c>
      <c r="W3" s="15">
        <v>1.6766401007771489E-2</v>
      </c>
      <c r="X3" s="15">
        <v>6.8642176687717438E-2</v>
      </c>
      <c r="Y3" s="15">
        <v>3.7944957613945007E-2</v>
      </c>
      <c r="Z3" s="15">
        <v>2.6601735502481461E-2</v>
      </c>
      <c r="AA3" s="15">
        <v>-1.044304668903351E-2</v>
      </c>
      <c r="AB3" s="15">
        <v>6.0451116412878043E-2</v>
      </c>
      <c r="AC3" s="15">
        <v>1.2645645998418329E-2</v>
      </c>
      <c r="AD3" s="15">
        <v>3.1133845448493961E-2</v>
      </c>
      <c r="AE3" s="15">
        <v>3.1886115670204163E-2</v>
      </c>
      <c r="AF3" s="15">
        <v>6.3942134380340576E-2</v>
      </c>
      <c r="AG3" s="15">
        <v>-1.074034254997969E-2</v>
      </c>
      <c r="AH3" s="15">
        <v>1.93442776799202E-2</v>
      </c>
      <c r="AI3" s="15">
        <v>4.4364981353282928E-2</v>
      </c>
      <c r="AJ3" s="15">
        <v>5.9207383543252938E-2</v>
      </c>
      <c r="AK3" s="15">
        <v>3.8927238434553153E-2</v>
      </c>
      <c r="AL3" s="15">
        <v>5.3689334541559219E-2</v>
      </c>
      <c r="AM3" s="15">
        <v>5.2407745271921158E-2</v>
      </c>
      <c r="AN3" s="15">
        <v>5.1848378032445908E-2</v>
      </c>
      <c r="AO3" s="15">
        <v>5.6688833981752403E-2</v>
      </c>
      <c r="AP3" s="15">
        <v>7.7263422310352325E-2</v>
      </c>
      <c r="AQ3" s="15">
        <v>4.8698432743549347E-2</v>
      </c>
      <c r="AR3" s="15">
        <v>3.1827423721551902E-2</v>
      </c>
      <c r="AS3" s="15">
        <v>-5.3263027220964432E-3</v>
      </c>
      <c r="AT3" s="15">
        <v>6.8274345248937607E-3</v>
      </c>
      <c r="AU3" s="15">
        <v>2.8391312807798389E-2</v>
      </c>
      <c r="AV3" s="15">
        <v>6.589217483997345E-2</v>
      </c>
      <c r="AW3" s="15">
        <v>3.1806275248527527E-2</v>
      </c>
      <c r="AX3" s="15">
        <v>2.3136453703045849E-2</v>
      </c>
      <c r="AY3" s="15">
        <v>1.720385625958443E-2</v>
      </c>
      <c r="AZ3" s="15">
        <v>4.8162486404180527E-2</v>
      </c>
      <c r="BA3" s="15">
        <v>4.5020870864391327E-2</v>
      </c>
      <c r="BB3" s="15">
        <v>5.8584816753864288E-2</v>
      </c>
      <c r="BC3" s="15">
        <v>3.2960090786218643E-2</v>
      </c>
      <c r="BD3" s="15">
        <v>1.4948392286896711E-2</v>
      </c>
      <c r="BE3" s="15">
        <v>1.206005364656448E-2</v>
      </c>
      <c r="BF3" s="15">
        <v>4.1460148990154273E-2</v>
      </c>
      <c r="BG3" s="15">
        <v>2.717349678277969E-2</v>
      </c>
      <c r="BH3" s="15">
        <v>4.8242643475532532E-2</v>
      </c>
      <c r="BI3" s="15">
        <v>5.7555802166461938E-2</v>
      </c>
      <c r="BJ3" s="15">
        <v>5.4008647799491882E-2</v>
      </c>
      <c r="BK3" s="15">
        <v>5.9487193822860718E-2</v>
      </c>
      <c r="BL3" s="15">
        <v>4.4882841408252723E-2</v>
      </c>
      <c r="BM3" s="15">
        <v>1.869392208755016E-2</v>
      </c>
      <c r="BN3" s="15">
        <v>2.8275258839130402E-2</v>
      </c>
      <c r="BO3" s="15">
        <v>1.656997017562389E-2</v>
      </c>
      <c r="BP3" s="15">
        <v>3.0568450689315799E-2</v>
      </c>
      <c r="BQ3" s="15">
        <v>3.1830046325922012E-2</v>
      </c>
      <c r="BR3" s="15">
        <v>2.2769121453166011E-2</v>
      </c>
      <c r="BS3" s="15">
        <v>2.8570586815476421E-2</v>
      </c>
      <c r="BT3" s="15">
        <v>3.9114817976951599E-2</v>
      </c>
      <c r="BU3" s="15">
        <v>8.9526018127799034E-3</v>
      </c>
      <c r="BV3" s="15">
        <v>1.219893246889114E-2</v>
      </c>
      <c r="BW3" s="15">
        <v>2.1470315754413601E-2</v>
      </c>
      <c r="BX3" s="15">
        <v>2.493099682033062E-2</v>
      </c>
      <c r="BY3" s="15">
        <v>1.2077592313289641E-2</v>
      </c>
      <c r="BZ3" s="15">
        <v>3.645806759595871E-2</v>
      </c>
      <c r="CA3" s="15">
        <v>1.6028642654418949E-2</v>
      </c>
      <c r="CB3" s="15">
        <v>2.7871729806065559E-2</v>
      </c>
      <c r="CC3" s="15">
        <v>-1.566923339851201E-3</v>
      </c>
      <c r="CD3" s="15">
        <v>6.1749620363116256E-3</v>
      </c>
      <c r="CE3" s="15">
        <v>6.4363791607320309E-3</v>
      </c>
      <c r="CF3" s="15">
        <v>6.619059294462204E-2</v>
      </c>
      <c r="CG3" s="15">
        <v>2.8865136206150051E-2</v>
      </c>
      <c r="CH3" s="15">
        <v>5.1061570644378662E-2</v>
      </c>
      <c r="CI3" s="15">
        <v>5.7563208043575287E-2</v>
      </c>
      <c r="CJ3" s="15">
        <v>8.8996067643165588E-2</v>
      </c>
      <c r="CK3" s="15">
        <v>2.3406891152262691E-2</v>
      </c>
      <c r="CL3" s="15">
        <v>3.9076175540685647E-2</v>
      </c>
      <c r="CM3" s="15">
        <v>4.4518075883388519E-2</v>
      </c>
      <c r="CN3" s="15">
        <v>0.11028569936752319</v>
      </c>
      <c r="CO3" s="15">
        <v>3.7435531616210938E-2</v>
      </c>
      <c r="CP3" s="15">
        <v>1.222133636474609E-2</v>
      </c>
      <c r="CQ3" s="15">
        <v>2.380294352769852E-2</v>
      </c>
      <c r="CR3" s="15">
        <v>7.6876550912857056E-2</v>
      </c>
      <c r="CS3" s="15">
        <v>0.10389680415391921</v>
      </c>
      <c r="CT3" s="15">
        <v>6.6643297672271729E-2</v>
      </c>
      <c r="CU3" s="15">
        <v>4.6993248164653778E-2</v>
      </c>
      <c r="CV3" s="15">
        <v>2.871822752058506E-2</v>
      </c>
      <c r="CW3" s="15">
        <v>7.0636175572872162E-2</v>
      </c>
      <c r="CX3" s="15">
        <v>4.5363247394561768E-2</v>
      </c>
      <c r="CY3" s="15">
        <v>6.0462243854999542E-2</v>
      </c>
      <c r="CZ3" s="15">
        <v>6.0128804296255112E-2</v>
      </c>
      <c r="DA3" s="15">
        <v>4.1078437119722373E-2</v>
      </c>
      <c r="DB3" s="15">
        <v>2.6134224608540532E-2</v>
      </c>
      <c r="DC3" s="15">
        <v>4.5154552906751633E-2</v>
      </c>
      <c r="DD3" s="15">
        <v>4.1204877197742462E-2</v>
      </c>
      <c r="DE3" s="15">
        <v>7.9255074262619019E-2</v>
      </c>
      <c r="DF3" s="15">
        <v>3.7982180714607239E-2</v>
      </c>
      <c r="DG3" s="15">
        <v>1.8428875133395198E-2</v>
      </c>
      <c r="DH3" s="15">
        <v>3.6969806998968117E-2</v>
      </c>
      <c r="DI3" s="15">
        <v>1.331676170229912E-2</v>
      </c>
      <c r="DJ3" s="15">
        <v>1.356823276728392E-2</v>
      </c>
      <c r="DK3" s="15">
        <v>1.8075281754136089E-2</v>
      </c>
      <c r="DL3" s="15">
        <v>1.831196807324886E-2</v>
      </c>
      <c r="DM3" s="15">
        <v>-5.2976803854107857E-3</v>
      </c>
      <c r="DN3" s="15">
        <v>3.1424559652805328E-2</v>
      </c>
      <c r="DO3" s="15">
        <v>-5.9854225255548954E-3</v>
      </c>
      <c r="DP3" s="15">
        <v>3.073384054005146E-2</v>
      </c>
      <c r="DQ3" s="15">
        <v>3.8263808935880661E-2</v>
      </c>
      <c r="DR3" s="15">
        <v>5.8564659208059311E-2</v>
      </c>
      <c r="DS3" s="15">
        <v>3.6518916487693787E-2</v>
      </c>
      <c r="DT3" s="15">
        <v>2.9084345325827599E-2</v>
      </c>
      <c r="DU3" s="15">
        <v>9.2715034261345863E-3</v>
      </c>
      <c r="DV3" s="15">
        <v>-2.876596711575985E-2</v>
      </c>
      <c r="DW3" s="15">
        <v>6.1656545847654343E-2</v>
      </c>
      <c r="DX3" s="15">
        <v>3.319497918710113E-3</v>
      </c>
      <c r="DY3" s="15">
        <v>1.3810926117002961E-2</v>
      </c>
      <c r="DZ3" s="15">
        <v>-3.2365705817937851E-2</v>
      </c>
      <c r="EA3" s="15">
        <v>2.656497759744525E-3</v>
      </c>
      <c r="EB3" s="15">
        <v>5.3087126463651657E-2</v>
      </c>
      <c r="EC3" s="15">
        <v>7.0435956120491028E-2</v>
      </c>
      <c r="ED3" s="15">
        <v>7.5781151652336121E-2</v>
      </c>
      <c r="EE3" s="15">
        <v>7.4293278157711029E-2</v>
      </c>
      <c r="EF3" s="15">
        <v>-2.3859791457653049E-2</v>
      </c>
      <c r="EG3" s="15">
        <v>2.0955521613359451E-2</v>
      </c>
      <c r="EH3" s="15">
        <v>-4.9046785570681104E-3</v>
      </c>
      <c r="EI3" s="15">
        <v>1.7493529245257381E-2</v>
      </c>
      <c r="EJ3" s="15">
        <v>2.7235755696892738E-3</v>
      </c>
      <c r="EK3" s="15">
        <v>2.5114959571510549E-3</v>
      </c>
      <c r="EL3" s="15">
        <v>-3.6372389644384377E-2</v>
      </c>
    </row>
    <row r="4" spans="1:142" ht="25" customHeight="1" x14ac:dyDescent="0.55000000000000004">
      <c r="B4" s="11" t="s">
        <v>144</v>
      </c>
      <c r="C4" s="15">
        <v>-2.0116182044148449E-2</v>
      </c>
      <c r="D4" s="15">
        <v>-4.1433513164520257E-2</v>
      </c>
      <c r="E4" s="15">
        <v>-0.1054108068346977</v>
      </c>
      <c r="F4" s="15">
        <v>-0.14115726947784421</v>
      </c>
      <c r="G4" s="15">
        <v>-0.1358892023563385</v>
      </c>
      <c r="H4" s="15">
        <v>-3.2324142754077911E-2</v>
      </c>
      <c r="I4" s="15">
        <v>-5.608823150396347E-2</v>
      </c>
      <c r="J4" s="15">
        <v>-6.0880199074745178E-2</v>
      </c>
      <c r="K4" s="15">
        <v>-4.1457630693912513E-2</v>
      </c>
      <c r="L4" s="15">
        <v>-1.8936943262815479E-2</v>
      </c>
      <c r="M4" s="15">
        <v>-4.3679680675268173E-2</v>
      </c>
      <c r="N4" s="15">
        <v>-2.1250296384096149E-2</v>
      </c>
      <c r="O4" s="15">
        <v>3.028000239282846E-3</v>
      </c>
      <c r="P4" s="15">
        <v>-5.2210021764039993E-2</v>
      </c>
      <c r="Q4" s="15">
        <v>-6.0307271778583527E-2</v>
      </c>
      <c r="R4" s="15">
        <v>-1.6635529696941379E-2</v>
      </c>
      <c r="S4" s="15">
        <v>-3.5245604813098907E-2</v>
      </c>
      <c r="T4" s="15">
        <v>-2.4626178666949269E-2</v>
      </c>
      <c r="U4" s="15">
        <v>4.8858420923352242E-3</v>
      </c>
      <c r="V4" s="15">
        <v>4.4351727701723584E-3</v>
      </c>
      <c r="W4" s="15">
        <v>2.1335095167160031E-2</v>
      </c>
      <c r="X4" s="15">
        <v>1.1508151888847349E-2</v>
      </c>
      <c r="Y4" s="15">
        <v>-3.3528175204992287E-2</v>
      </c>
      <c r="Z4" s="15">
        <v>-3.5066407173871987E-2</v>
      </c>
      <c r="AA4" s="15">
        <v>-1.8956955522298809E-2</v>
      </c>
      <c r="AB4" s="15">
        <v>-2.0634789019823071E-2</v>
      </c>
      <c r="AC4" s="15">
        <v>4.5430758036673069E-3</v>
      </c>
      <c r="AD4" s="15">
        <v>-7.8803729265928268E-3</v>
      </c>
      <c r="AE4" s="15">
        <v>-9.6710836514830589E-3</v>
      </c>
      <c r="AF4" s="15">
        <v>-3.119556233286858E-2</v>
      </c>
      <c r="AG4" s="15">
        <v>1.9589569419622421E-2</v>
      </c>
      <c r="AH4" s="15">
        <v>-2.1153058856725689E-2</v>
      </c>
      <c r="AI4" s="15">
        <v>-1.8485292792320251E-2</v>
      </c>
      <c r="AJ4" s="15">
        <v>-4.4810216873884201E-2</v>
      </c>
      <c r="AK4" s="15">
        <v>-3.8480717688798897E-2</v>
      </c>
      <c r="AL4" s="15">
        <v>-2.8241811320185661E-2</v>
      </c>
      <c r="AM4" s="15">
        <v>1.071570627391338E-2</v>
      </c>
      <c r="AN4" s="15">
        <v>-3.4469529986381531E-2</v>
      </c>
      <c r="AO4" s="15">
        <v>-2.5418078526854519E-2</v>
      </c>
      <c r="AP4" s="15">
        <v>-3.076112270355225E-2</v>
      </c>
      <c r="AQ4" s="15">
        <v>-3.7217754870653152E-2</v>
      </c>
      <c r="AR4" s="15">
        <v>-2.5028873234987259E-2</v>
      </c>
      <c r="AS4" s="15">
        <v>-2.6712249964475632E-2</v>
      </c>
      <c r="AT4" s="15">
        <v>1.9948748871684071E-2</v>
      </c>
      <c r="AU4" s="15">
        <v>-3.4190982580184943E-2</v>
      </c>
      <c r="AV4" s="15">
        <v>-1.5953699126839641E-2</v>
      </c>
      <c r="AW4" s="15">
        <v>-8.0705069005489349E-2</v>
      </c>
      <c r="AX4" s="15">
        <v>-1.6966873779892921E-2</v>
      </c>
      <c r="AY4" s="15">
        <v>-2.6864064857363701E-2</v>
      </c>
      <c r="AZ4" s="15">
        <v>-1.3301976025104519E-2</v>
      </c>
      <c r="BA4" s="15">
        <v>-2.7144066989421841E-2</v>
      </c>
      <c r="BB4" s="15">
        <v>-5.8215323835611343E-2</v>
      </c>
      <c r="BC4" s="15">
        <v>-3.1292259693145752E-2</v>
      </c>
      <c r="BD4" s="15">
        <v>-1.7290608957409859E-2</v>
      </c>
      <c r="BE4" s="15">
        <v>-4.8348080366849899E-2</v>
      </c>
      <c r="BF4" s="15">
        <v>-4.3041668832302087E-2</v>
      </c>
      <c r="BG4" s="15">
        <v>5.6051533669233322E-2</v>
      </c>
      <c r="BH4" s="15">
        <v>1.3574806973338131E-2</v>
      </c>
      <c r="BI4" s="15">
        <v>1.954366452991962E-3</v>
      </c>
      <c r="BJ4" s="15">
        <v>1.611663959920406E-2</v>
      </c>
      <c r="BK4" s="15">
        <v>-3.4451618790626533E-2</v>
      </c>
      <c r="BL4" s="15">
        <v>-4.8494916409254067E-2</v>
      </c>
      <c r="BM4" s="15">
        <v>1.8059739843010899E-2</v>
      </c>
      <c r="BN4" s="15">
        <v>-4.6812752261757851E-3</v>
      </c>
      <c r="BO4" s="15">
        <v>1.687155920080841E-3</v>
      </c>
      <c r="BP4" s="15">
        <v>3.3530544489622123E-2</v>
      </c>
      <c r="BQ4" s="15">
        <v>9.9907955154776573E-3</v>
      </c>
      <c r="BR4" s="15">
        <v>4.0667824447154999E-2</v>
      </c>
      <c r="BS4" s="15">
        <v>2.3329269140958789E-2</v>
      </c>
      <c r="BT4" s="15">
        <v>-4.4324260205030441E-2</v>
      </c>
      <c r="BU4" s="15">
        <v>-7.1650400757789612E-2</v>
      </c>
      <c r="BV4" s="15">
        <v>-1.7102757468819622E-2</v>
      </c>
      <c r="BW4" s="15">
        <v>4.0029857307672501E-2</v>
      </c>
      <c r="BX4" s="15">
        <v>1.7527525778859849E-3</v>
      </c>
      <c r="BY4" s="15">
        <v>-2.404789254069328E-2</v>
      </c>
      <c r="BZ4" s="15">
        <v>-3.7445716559886932E-2</v>
      </c>
      <c r="CA4" s="15">
        <v>-4.6248454600572593E-2</v>
      </c>
      <c r="CB4" s="15">
        <v>-9.6187498420476913E-3</v>
      </c>
      <c r="CC4" s="15">
        <v>-4.7657586634159088E-2</v>
      </c>
      <c r="CD4" s="15">
        <v>-4.3317254632711411E-2</v>
      </c>
      <c r="CE4" s="15">
        <v>-6.9234132766723633E-2</v>
      </c>
      <c r="CF4" s="15">
        <v>-3.8890421390533447E-2</v>
      </c>
      <c r="CG4" s="15">
        <v>-5.9534341096878052E-2</v>
      </c>
      <c r="CH4" s="15">
        <v>-5.0186887383460999E-2</v>
      </c>
      <c r="CI4" s="15">
        <v>-5.3663581609725952E-2</v>
      </c>
      <c r="CJ4" s="15">
        <v>-3.3301092684268951E-2</v>
      </c>
      <c r="CK4" s="15">
        <v>-2.4340655654668811E-2</v>
      </c>
      <c r="CL4" s="15">
        <v>-1.6147250309586521E-2</v>
      </c>
      <c r="CM4" s="15">
        <v>-4.1242804378271103E-2</v>
      </c>
      <c r="CN4" s="15">
        <v>-3.162054717540741E-2</v>
      </c>
      <c r="CO4" s="15">
        <v>3.3149775117635727E-2</v>
      </c>
      <c r="CP4" s="15">
        <v>6.3154622912406921E-2</v>
      </c>
      <c r="CQ4" s="15">
        <v>-4.0926769375801093E-2</v>
      </c>
      <c r="CR4" s="15">
        <v>4.1355922818183899E-2</v>
      </c>
      <c r="CS4" s="15">
        <v>-9.8862186074256897E-2</v>
      </c>
      <c r="CT4" s="15">
        <v>-6.5789952874183655E-2</v>
      </c>
      <c r="CU4" s="15">
        <v>-5.2493758499622338E-2</v>
      </c>
      <c r="CV4" s="15">
        <v>1.4395703328773379E-3</v>
      </c>
      <c r="CW4" s="15">
        <v>-2.5382401421666149E-2</v>
      </c>
      <c r="CX4" s="15">
        <v>-1.497303880751133E-2</v>
      </c>
      <c r="CY4" s="15">
        <v>-2.5147143751382831E-2</v>
      </c>
      <c r="CZ4" s="15">
        <v>-3.8899973034858697E-2</v>
      </c>
      <c r="DA4" s="15">
        <v>-6.6368021070957184E-2</v>
      </c>
      <c r="DB4" s="15">
        <v>-9.9088206887245178E-2</v>
      </c>
      <c r="DC4" s="15">
        <v>-8.7841019034385681E-2</v>
      </c>
      <c r="DD4" s="15">
        <v>-9.5149271190166473E-2</v>
      </c>
      <c r="DE4" s="15">
        <v>-7.5684666633605957E-2</v>
      </c>
      <c r="DF4" s="15">
        <v>-6.1269368976354599E-2</v>
      </c>
      <c r="DG4" s="15">
        <v>-6.4791887998580933E-2</v>
      </c>
      <c r="DH4" s="15">
        <v>-4.2990855872631073E-2</v>
      </c>
      <c r="DI4" s="15">
        <v>1.6611326485872269E-2</v>
      </c>
      <c r="DJ4" s="15">
        <v>-5.498785525560379E-2</v>
      </c>
      <c r="DK4" s="15">
        <v>-8.0709442496299744E-2</v>
      </c>
      <c r="DL4" s="15">
        <v>-8.7292157113552094E-2</v>
      </c>
      <c r="DM4" s="15">
        <v>2.5429284200072289E-2</v>
      </c>
      <c r="DN4" s="15">
        <v>1.348613388836384E-2</v>
      </c>
      <c r="DO4" s="15">
        <v>2.691176533699036E-2</v>
      </c>
      <c r="DP4" s="15">
        <v>-2.0206337794661518E-2</v>
      </c>
      <c r="DQ4" s="15">
        <v>-2.807299792766571E-2</v>
      </c>
      <c r="DR4" s="15">
        <v>-7.4518457055091858E-2</v>
      </c>
      <c r="DS4" s="15">
        <v>-1.5364203136414289E-4</v>
      </c>
      <c r="DT4" s="15">
        <v>-3.2376378774642937E-2</v>
      </c>
      <c r="DU4" s="15">
        <v>-4.4630087912082672E-2</v>
      </c>
      <c r="DV4" s="15">
        <v>-6.5195851027965546E-2</v>
      </c>
      <c r="DW4" s="15">
        <v>9.7361684311181307E-4</v>
      </c>
      <c r="DX4" s="15">
        <v>-4.8191780224442482E-3</v>
      </c>
      <c r="DY4" s="15">
        <v>-6.2778793275356293E-2</v>
      </c>
      <c r="DZ4" s="15">
        <v>-3.5209164023399353E-2</v>
      </c>
      <c r="EA4" s="15">
        <v>-6.0484454035758972E-2</v>
      </c>
      <c r="EB4" s="15">
        <v>-6.5868578851222992E-2</v>
      </c>
      <c r="EC4" s="15">
        <v>-6.4344577491283417E-2</v>
      </c>
      <c r="ED4" s="15">
        <v>-6.2420867383480072E-2</v>
      </c>
      <c r="EE4" s="15">
        <v>-3.765815868973732E-2</v>
      </c>
      <c r="EF4" s="15">
        <v>-1.969143562018871E-2</v>
      </c>
      <c r="EG4" s="15">
        <v>1.0347722098231321E-2</v>
      </c>
      <c r="EH4" s="15">
        <v>-7.5388825498521328E-3</v>
      </c>
      <c r="EI4" s="15">
        <v>-3.7975464016199112E-2</v>
      </c>
      <c r="EJ4" s="15">
        <v>-2.6498528197407719E-2</v>
      </c>
      <c r="EK4" s="15">
        <v>2.7714299038052559E-2</v>
      </c>
      <c r="EL4" s="15">
        <v>5.3217515349388123E-2</v>
      </c>
    </row>
    <row r="5" spans="1:142" ht="25" customHeight="1" x14ac:dyDescent="0.55000000000000004">
      <c r="B5" s="14" t="s">
        <v>145</v>
      </c>
      <c r="C5" s="15">
        <v>5.5741846561431878E-2</v>
      </c>
      <c r="D5" s="15">
        <v>1.5730537474155429E-2</v>
      </c>
      <c r="E5" s="15">
        <v>-8.4050968289375305E-3</v>
      </c>
      <c r="F5" s="15">
        <v>7.0764519274234772E-2</v>
      </c>
      <c r="G5" s="15">
        <v>6.1796344816684723E-2</v>
      </c>
      <c r="H5" s="15">
        <v>1.9191207364201549E-2</v>
      </c>
      <c r="I5" s="15">
        <v>2.7801195159554482E-2</v>
      </c>
      <c r="J5" s="15">
        <v>6.3844837248325348E-2</v>
      </c>
      <c r="K5" s="15">
        <v>8.7833143770694733E-3</v>
      </c>
      <c r="L5" s="15">
        <v>2.9632467776536942E-2</v>
      </c>
      <c r="M5" s="15">
        <v>3.1051227822899818E-2</v>
      </c>
      <c r="N5" s="15">
        <v>8.4429970011115074E-3</v>
      </c>
      <c r="O5" s="15">
        <v>3.6712147295475013E-2</v>
      </c>
      <c r="P5" s="15">
        <v>1.7434984445571899E-2</v>
      </c>
      <c r="Q5" s="15">
        <v>3.7053599953651428E-2</v>
      </c>
      <c r="R5" s="15">
        <v>2.1478258073329929E-2</v>
      </c>
      <c r="S5" s="15">
        <v>4.6521492302417762E-2</v>
      </c>
      <c r="T5" s="15">
        <v>1.8265387043356899E-2</v>
      </c>
      <c r="U5" s="15">
        <v>2.9996473342180249E-2</v>
      </c>
      <c r="V5" s="15">
        <v>8.2199856638908386E-2</v>
      </c>
      <c r="W5" s="15">
        <v>5.1936138421297073E-2</v>
      </c>
      <c r="X5" s="15">
        <v>1.8651567399501801E-2</v>
      </c>
      <c r="Y5" s="15">
        <v>-2.8840977698564529E-2</v>
      </c>
      <c r="Z5" s="15">
        <v>-4.8936635255813599E-2</v>
      </c>
      <c r="AA5" s="15">
        <v>7.4104063212871552E-2</v>
      </c>
      <c r="AB5" s="15">
        <v>-7.9052217304706573E-2</v>
      </c>
      <c r="AC5" s="15">
        <v>4.592437669634819E-2</v>
      </c>
      <c r="AD5" s="15">
        <v>-1.2192311696708201E-2</v>
      </c>
      <c r="AE5" s="15">
        <v>6.8174158222973347E-3</v>
      </c>
      <c r="AF5" s="15">
        <v>2.5050153955817219E-2</v>
      </c>
      <c r="AG5" s="15">
        <v>4.8616897314786911E-2</v>
      </c>
      <c r="AH5" s="15">
        <v>1.1846562847495079E-3</v>
      </c>
      <c r="AI5" s="15">
        <v>-2.8516151360236108E-4</v>
      </c>
      <c r="AJ5" s="15">
        <v>5.6431600823998451E-3</v>
      </c>
      <c r="AK5" s="15">
        <v>3.1767126172780991E-2</v>
      </c>
      <c r="AL5" s="15">
        <v>2.2000886965543032E-3</v>
      </c>
      <c r="AM5" s="15">
        <v>1.528516598045826E-2</v>
      </c>
      <c r="AN5" s="15">
        <v>-1.262857671827078E-2</v>
      </c>
      <c r="AO5" s="15">
        <v>2.365807443857193E-2</v>
      </c>
      <c r="AP5" s="15">
        <v>4.5001458376646042E-2</v>
      </c>
      <c r="AQ5" s="15">
        <v>4.8620425164699548E-2</v>
      </c>
      <c r="AR5" s="15">
        <v>5.3666368126869202E-2</v>
      </c>
      <c r="AS5" s="15">
        <v>3.9547394961118698E-2</v>
      </c>
      <c r="AT5" s="15">
        <v>2.9460180550813671E-2</v>
      </c>
      <c r="AU5" s="15">
        <v>2.2005906328558918E-2</v>
      </c>
      <c r="AV5" s="15">
        <v>5.57871013879776E-2</v>
      </c>
      <c r="AW5" s="15">
        <v>4.1573628783226013E-2</v>
      </c>
      <c r="AX5" s="15">
        <v>5.7690292596817017E-2</v>
      </c>
      <c r="AY5" s="15">
        <v>5.2581634372472763E-2</v>
      </c>
      <c r="AZ5" s="15">
        <v>-8.5635492578148842E-3</v>
      </c>
      <c r="BA5" s="15">
        <v>4.225115105509758E-2</v>
      </c>
      <c r="BB5" s="15">
        <v>-1.6324453055858609E-2</v>
      </c>
      <c r="BC5" s="15">
        <v>6.4180669141933322E-4</v>
      </c>
      <c r="BD5" s="15">
        <v>-5.6817673146724701E-2</v>
      </c>
      <c r="BE5" s="15">
        <v>-2.9879733920097351E-2</v>
      </c>
      <c r="BF5" s="15">
        <v>1.893253996968269E-2</v>
      </c>
      <c r="BG5" s="15">
        <v>-3.5026323050260537E-2</v>
      </c>
      <c r="BH5" s="15">
        <v>-6.5759293735027313E-2</v>
      </c>
      <c r="BI5" s="15">
        <v>-7.9368360340595245E-2</v>
      </c>
      <c r="BJ5" s="15">
        <v>-8.5684239864349365E-2</v>
      </c>
      <c r="BK5" s="15">
        <v>-4.9413099884986877E-2</v>
      </c>
      <c r="BL5" s="15">
        <v>-1.1686298530548811E-3</v>
      </c>
      <c r="BM5" s="15">
        <v>-2.3616783320903782E-2</v>
      </c>
      <c r="BN5" s="15">
        <v>-3.0536096543073651E-2</v>
      </c>
      <c r="BO5" s="15">
        <v>2.686824090778828E-2</v>
      </c>
      <c r="BP5" s="15">
        <v>2.7123436331748959E-2</v>
      </c>
      <c r="BQ5" s="15">
        <v>9.7388895228505135E-3</v>
      </c>
      <c r="BR5" s="15">
        <v>2.0006326958537098E-2</v>
      </c>
      <c r="BS5" s="15">
        <v>1.4250755775719881E-3</v>
      </c>
      <c r="BT5" s="15">
        <v>4.8925049602985382E-2</v>
      </c>
      <c r="BU5" s="15">
        <v>4.7599527984857559E-2</v>
      </c>
      <c r="BV5" s="15">
        <v>-2.8521495405584569E-3</v>
      </c>
      <c r="BW5" s="15">
        <v>3.047716990113258E-2</v>
      </c>
      <c r="BX5" s="15">
        <v>3.2435460016131401E-3</v>
      </c>
      <c r="BY5" s="15">
        <v>-4.4437490403652191E-2</v>
      </c>
      <c r="BZ5" s="15">
        <v>3.372203791514039E-4</v>
      </c>
      <c r="CA5" s="15">
        <v>5.1361106336116791E-2</v>
      </c>
      <c r="CB5" s="15">
        <v>4.0368124842643738E-2</v>
      </c>
      <c r="CC5" s="15">
        <v>2.743220329284668E-2</v>
      </c>
      <c r="CD5" s="15">
        <v>2.207928895950317E-2</v>
      </c>
      <c r="CE5" s="15">
        <v>2.3870967328548431E-2</v>
      </c>
      <c r="CF5" s="15">
        <v>-3.202897310256958E-2</v>
      </c>
      <c r="CG5" s="15">
        <v>-7.1231015026569366E-2</v>
      </c>
      <c r="CH5" s="15">
        <v>-4.6868059784173972E-2</v>
      </c>
      <c r="CI5" s="15">
        <v>-6.7858822643756866E-2</v>
      </c>
      <c r="CJ5" s="15">
        <v>-6.4342252910137177E-2</v>
      </c>
      <c r="CK5" s="15">
        <v>-5.9413556009531021E-2</v>
      </c>
      <c r="CL5" s="15">
        <v>8.4330163896083832E-2</v>
      </c>
      <c r="CM5" s="15">
        <v>6.5344303846359253E-2</v>
      </c>
      <c r="CN5" s="15">
        <v>4.4891763478517532E-2</v>
      </c>
      <c r="CO5" s="15">
        <v>1.0420361533761019E-2</v>
      </c>
      <c r="CP5" s="15">
        <v>0.1182377934455872</v>
      </c>
      <c r="CQ5" s="15">
        <v>5.0723213702440262E-2</v>
      </c>
      <c r="CR5" s="15">
        <v>3.3173959702253342E-2</v>
      </c>
      <c r="CS5" s="15">
        <v>-3.7132888101041321E-3</v>
      </c>
      <c r="CT5" s="15">
        <v>-1.008150540292263E-2</v>
      </c>
      <c r="CU5" s="15">
        <v>4.6655397862195969E-2</v>
      </c>
      <c r="CV5" s="15">
        <v>-5.5946167558431634E-3</v>
      </c>
      <c r="CW5" s="15">
        <v>-0.1470402330160141</v>
      </c>
      <c r="CX5" s="15">
        <v>-2.894680388271809E-2</v>
      </c>
      <c r="CY5" s="15">
        <v>8.4989266470074654E-3</v>
      </c>
      <c r="CZ5" s="15">
        <v>-2.2278601303696629E-2</v>
      </c>
      <c r="DA5" s="15">
        <v>3.0063033103942871E-2</v>
      </c>
      <c r="DB5" s="15">
        <v>-1.368775591254234E-2</v>
      </c>
      <c r="DC5" s="15">
        <v>3.7013180553913123E-2</v>
      </c>
      <c r="DD5" s="15">
        <v>4.2487449944019318E-2</v>
      </c>
      <c r="DE5" s="15">
        <v>3.5419993102550507E-2</v>
      </c>
      <c r="DF5" s="15">
        <v>5.0845975056290627E-3</v>
      </c>
      <c r="DG5" s="15">
        <v>3.7272726185619831E-3</v>
      </c>
      <c r="DH5" s="15">
        <v>-6.6102910786867142E-3</v>
      </c>
      <c r="DI5" s="15">
        <v>-5.582159012556076E-2</v>
      </c>
      <c r="DJ5" s="15">
        <v>4.8400323837995529E-2</v>
      </c>
      <c r="DK5" s="15">
        <v>1.1602438054978849E-2</v>
      </c>
      <c r="DL5" s="15">
        <v>1.8670994788408279E-2</v>
      </c>
      <c r="DM5" s="15">
        <v>1.2823298573493959E-2</v>
      </c>
      <c r="DN5" s="15">
        <v>3.3588364720344543E-2</v>
      </c>
      <c r="DO5" s="15">
        <v>3.080024570226669E-2</v>
      </c>
      <c r="DP5" s="15">
        <v>4.4318786822259426E-3</v>
      </c>
      <c r="DQ5" s="15">
        <v>-2.750279009342194E-2</v>
      </c>
      <c r="DR5" s="15">
        <v>-0.1000711172819138</v>
      </c>
      <c r="DS5" s="15">
        <v>2.2957990877330299E-3</v>
      </c>
      <c r="DT5" s="15">
        <v>4.5962766744196406E-3</v>
      </c>
      <c r="DU5" s="15">
        <v>4.9048192799091339E-2</v>
      </c>
      <c r="DV5" s="15">
        <v>4.9711555242538452E-2</v>
      </c>
      <c r="DW5" s="15">
        <v>6.2132958322763443E-2</v>
      </c>
      <c r="DX5" s="15">
        <v>3.4120500087738037E-2</v>
      </c>
      <c r="DY5" s="15">
        <v>-4.3345347046852112E-2</v>
      </c>
      <c r="DZ5" s="15">
        <v>1.6171941533684731E-2</v>
      </c>
      <c r="EA5" s="15">
        <v>2.0687229931354519E-2</v>
      </c>
      <c r="EB5" s="15">
        <v>2.4651791900396351E-2</v>
      </c>
      <c r="EC5" s="15">
        <v>-7.1213126182556152E-2</v>
      </c>
      <c r="ED5" s="15">
        <v>-6.88604936003685E-2</v>
      </c>
      <c r="EE5" s="15">
        <v>-2.8207767754793171E-2</v>
      </c>
      <c r="EF5" s="15">
        <v>1.9379980862140659E-2</v>
      </c>
      <c r="EG5" s="15">
        <v>-1.8364094197750092E-2</v>
      </c>
      <c r="EH5" s="15">
        <v>-4.4609863311052322E-2</v>
      </c>
      <c r="EI5" s="15">
        <v>-8.8491691276431084E-3</v>
      </c>
      <c r="EJ5" s="15">
        <v>1.1057978495955471E-2</v>
      </c>
      <c r="EK5" s="15">
        <v>-3.502532839775085E-3</v>
      </c>
      <c r="EL5" s="15">
        <v>1.083044148981571E-2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304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ht="25" customHeight="1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ht="25" customHeight="1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ht="25" customHeight="1" x14ac:dyDescent="0.55000000000000004">
      <c r="A13" s="12" t="s">
        <v>305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0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1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1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0</v>
      </c>
      <c r="W13" s="12">
        <f t="shared" si="0"/>
        <v>1</v>
      </c>
      <c r="X13" s="12">
        <f t="shared" si="0"/>
        <v>1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1</v>
      </c>
      <c r="AG13" s="12">
        <f t="shared" si="0"/>
        <v>0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0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1</v>
      </c>
      <c r="BF13" s="12">
        <f t="shared" si="1"/>
        <v>1</v>
      </c>
      <c r="BG13" s="12">
        <f t="shared" si="1"/>
        <v>1</v>
      </c>
      <c r="BH13" s="12">
        <f t="shared" si="1"/>
        <v>1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1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1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1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1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1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1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0</v>
      </c>
      <c r="DP13" s="12">
        <f t="shared" si="3"/>
        <v>1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1</v>
      </c>
      <c r="DV13" s="12">
        <f t="shared" si="3"/>
        <v>0</v>
      </c>
      <c r="DW13" s="12">
        <f t="shared" si="3"/>
        <v>1</v>
      </c>
      <c r="DX13" s="12">
        <f t="shared" si="3"/>
        <v>0</v>
      </c>
      <c r="DY13" s="12">
        <f t="shared" si="3"/>
        <v>1</v>
      </c>
      <c r="DZ13" s="12">
        <f t="shared" si="3"/>
        <v>0</v>
      </c>
      <c r="EA13" s="12">
        <f t="shared" ref="EA13:EL13" si="4">IF(AND(EA3&gt;0,EA9&gt;0),1,0)</f>
        <v>1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0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1</v>
      </c>
      <c r="EL13" s="12">
        <f t="shared" si="4"/>
        <v>0</v>
      </c>
    </row>
    <row r="14" spans="1:142" ht="25" customHeight="1" x14ac:dyDescent="0.55000000000000004">
      <c r="A14" s="12" t="s">
        <v>306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1</v>
      </c>
      <c r="V14" s="12">
        <f t="shared" si="5"/>
        <v>1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1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1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1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0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1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1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1</v>
      </c>
      <c r="E15" s="12">
        <f t="shared" si="10"/>
        <v>0</v>
      </c>
      <c r="F15" s="12">
        <f t="shared" si="10"/>
        <v>0</v>
      </c>
      <c r="G15" s="12">
        <f t="shared" si="10"/>
        <v>1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1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1</v>
      </c>
      <c r="P15" s="12">
        <f t="shared" si="10"/>
        <v>1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1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0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1</v>
      </c>
      <c r="AI15" s="12">
        <f t="shared" ref="AI15:BN15" si="11">IF(AND(AI5&gt;0,AI11&gt;0),1,0)</f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0</v>
      </c>
      <c r="AO15" s="12">
        <f t="shared" si="11"/>
        <v>1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1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1</v>
      </c>
      <c r="AX15" s="12">
        <f t="shared" si="11"/>
        <v>0</v>
      </c>
      <c r="AY15" s="12">
        <f t="shared" si="11"/>
        <v>1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1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0</v>
      </c>
      <c r="BZ15" s="12">
        <f t="shared" si="12"/>
        <v>1</v>
      </c>
      <c r="CA15" s="12">
        <f t="shared" si="12"/>
        <v>1</v>
      </c>
      <c r="CB15" s="12">
        <f t="shared" si="12"/>
        <v>1</v>
      </c>
      <c r="CC15" s="12">
        <f t="shared" si="12"/>
        <v>1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0</v>
      </c>
      <c r="CK15" s="12">
        <f t="shared" si="12"/>
        <v>0</v>
      </c>
      <c r="CL15" s="12">
        <f t="shared" si="12"/>
        <v>1</v>
      </c>
      <c r="CM15" s="12">
        <f t="shared" si="12"/>
        <v>0</v>
      </c>
      <c r="CN15" s="12">
        <f t="shared" si="12"/>
        <v>1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0</v>
      </c>
      <c r="CW15" s="12">
        <f t="shared" si="13"/>
        <v>0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0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1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1</v>
      </c>
      <c r="DK15" s="12">
        <f t="shared" si="13"/>
        <v>1</v>
      </c>
      <c r="DL15" s="12">
        <f t="shared" si="13"/>
        <v>1</v>
      </c>
      <c r="DM15" s="12">
        <f t="shared" si="13"/>
        <v>1</v>
      </c>
      <c r="DN15" s="12">
        <f t="shared" si="13"/>
        <v>1</v>
      </c>
      <c r="DO15" s="12">
        <f t="shared" si="13"/>
        <v>0</v>
      </c>
      <c r="DP15" s="12">
        <f t="shared" si="13"/>
        <v>0</v>
      </c>
      <c r="DQ15" s="12">
        <f t="shared" si="13"/>
        <v>0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0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1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7" t="s">
        <v>305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140</v>
      </c>
    </row>
    <row r="17" spans="1:142" ht="25" customHeight="1" x14ac:dyDescent="0.55000000000000004">
      <c r="A17" s="12" t="s">
        <v>307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1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1</v>
      </c>
      <c r="Q17" s="12">
        <f t="shared" si="15"/>
        <v>1</v>
      </c>
      <c r="R17" s="12">
        <f t="shared" si="15"/>
        <v>0</v>
      </c>
      <c r="S17" s="12">
        <f t="shared" si="15"/>
        <v>0</v>
      </c>
      <c r="T17" s="12">
        <f t="shared" si="15"/>
        <v>0</v>
      </c>
      <c r="U17" s="12">
        <f t="shared" si="15"/>
        <v>1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0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1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1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0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1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1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1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1</v>
      </c>
      <c r="DM17" s="12">
        <f t="shared" si="18"/>
        <v>0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0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1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0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0</v>
      </c>
    </row>
    <row r="18" spans="1:142" ht="25" customHeight="1" x14ac:dyDescent="0.55000000000000004">
      <c r="A18" s="12" t="s">
        <v>308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0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0</v>
      </c>
      <c r="O18" s="12">
        <f t="shared" si="20"/>
        <v>1</v>
      </c>
      <c r="P18" s="12">
        <f t="shared" si="20"/>
        <v>0</v>
      </c>
      <c r="Q18" s="12">
        <f t="shared" si="20"/>
        <v>0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1</v>
      </c>
      <c r="X18" s="12">
        <f t="shared" si="20"/>
        <v>1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0</v>
      </c>
      <c r="AC18" s="12">
        <f t="shared" si="20"/>
        <v>1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1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0</v>
      </c>
      <c r="AK18" s="12">
        <f t="shared" si="21"/>
        <v>0</v>
      </c>
      <c r="AL18" s="12">
        <f t="shared" si="21"/>
        <v>0</v>
      </c>
      <c r="AM18" s="12">
        <f t="shared" si="21"/>
        <v>1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0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1</v>
      </c>
      <c r="BH18" s="12">
        <f t="shared" si="21"/>
        <v>0</v>
      </c>
      <c r="BI18" s="12">
        <f t="shared" si="21"/>
        <v>1</v>
      </c>
      <c r="BJ18" s="12">
        <f t="shared" si="21"/>
        <v>1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1</v>
      </c>
      <c r="BP18" s="12">
        <f t="shared" si="22"/>
        <v>0</v>
      </c>
      <c r="BQ18" s="12">
        <f t="shared" si="22"/>
        <v>1</v>
      </c>
      <c r="BR18" s="12">
        <f t="shared" si="22"/>
        <v>1</v>
      </c>
      <c r="BS18" s="12">
        <f t="shared" si="22"/>
        <v>1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1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0</v>
      </c>
      <c r="CR18" s="12">
        <f t="shared" si="22"/>
        <v>1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1</v>
      </c>
      <c r="CW18" s="12">
        <f t="shared" si="23"/>
        <v>0</v>
      </c>
      <c r="CX18" s="12">
        <f t="shared" si="23"/>
        <v>0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1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1</v>
      </c>
      <c r="DO18" s="12">
        <f t="shared" si="23"/>
        <v>1</v>
      </c>
      <c r="DP18" s="12">
        <f t="shared" si="23"/>
        <v>0</v>
      </c>
      <c r="DQ18" s="12">
        <f t="shared" si="23"/>
        <v>0</v>
      </c>
      <c r="DR18" s="12">
        <f t="shared" si="23"/>
        <v>0</v>
      </c>
      <c r="DS18" s="12">
        <f t="shared" si="23"/>
        <v>0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1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1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0</v>
      </c>
      <c r="F19" s="12">
        <f t="shared" si="25"/>
        <v>1</v>
      </c>
      <c r="G19" s="12">
        <f t="shared" si="25"/>
        <v>0</v>
      </c>
      <c r="H19" s="12">
        <f t="shared" si="25"/>
        <v>0</v>
      </c>
      <c r="I19" s="12">
        <f t="shared" si="25"/>
        <v>1</v>
      </c>
      <c r="J19" s="12">
        <f t="shared" si="25"/>
        <v>1</v>
      </c>
      <c r="K19" s="12">
        <f t="shared" si="25"/>
        <v>0</v>
      </c>
      <c r="L19" s="12">
        <f t="shared" si="25"/>
        <v>1</v>
      </c>
      <c r="M19" s="12">
        <f t="shared" si="25"/>
        <v>0</v>
      </c>
      <c r="N19" s="12">
        <f t="shared" si="25"/>
        <v>1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0</v>
      </c>
      <c r="AA19" s="12">
        <f t="shared" si="25"/>
        <v>0</v>
      </c>
      <c r="AB19" s="12">
        <f t="shared" si="25"/>
        <v>0</v>
      </c>
      <c r="AC19" s="12">
        <f t="shared" si="25"/>
        <v>1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1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1</v>
      </c>
      <c r="AL19" s="12">
        <f t="shared" si="26"/>
        <v>1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1</v>
      </c>
      <c r="AV19" s="12">
        <f t="shared" si="26"/>
        <v>0</v>
      </c>
      <c r="AW19" s="12">
        <f t="shared" si="26"/>
        <v>0</v>
      </c>
      <c r="AX19" s="12">
        <f t="shared" si="26"/>
        <v>1</v>
      </c>
      <c r="AY19" s="12">
        <f t="shared" si="26"/>
        <v>0</v>
      </c>
      <c r="AZ19" s="12">
        <f t="shared" si="26"/>
        <v>0</v>
      </c>
      <c r="BA19" s="12">
        <f t="shared" si="26"/>
        <v>1</v>
      </c>
      <c r="BB19" s="12">
        <f t="shared" si="26"/>
        <v>0</v>
      </c>
      <c r="BC19" s="12">
        <f t="shared" si="26"/>
        <v>0</v>
      </c>
      <c r="BD19" s="12">
        <f t="shared" si="26"/>
        <v>0</v>
      </c>
      <c r="BE19" s="12">
        <f t="shared" si="26"/>
        <v>0</v>
      </c>
      <c r="BF19" s="12">
        <f t="shared" si="26"/>
        <v>1</v>
      </c>
      <c r="BG19" s="12">
        <f t="shared" si="26"/>
        <v>0</v>
      </c>
      <c r="BH19" s="12">
        <f t="shared" si="26"/>
        <v>0</v>
      </c>
      <c r="BI19" s="12">
        <f t="shared" si="26"/>
        <v>0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1</v>
      </c>
      <c r="BP19" s="12">
        <f t="shared" si="27"/>
        <v>0</v>
      </c>
      <c r="BQ19" s="12">
        <f t="shared" si="27"/>
        <v>1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0</v>
      </c>
      <c r="BW19" s="12">
        <f t="shared" si="27"/>
        <v>1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1</v>
      </c>
      <c r="CE19" s="12">
        <f t="shared" si="27"/>
        <v>1</v>
      </c>
      <c r="CF19" s="12">
        <f t="shared" si="27"/>
        <v>0</v>
      </c>
      <c r="CG19" s="12">
        <f t="shared" si="27"/>
        <v>0</v>
      </c>
      <c r="CH19" s="12">
        <f t="shared" si="27"/>
        <v>0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0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0</v>
      </c>
      <c r="CY19" s="12">
        <f t="shared" si="28"/>
        <v>0</v>
      </c>
      <c r="CZ19" s="12">
        <f t="shared" si="28"/>
        <v>0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1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1</v>
      </c>
      <c r="DP19" s="12">
        <f t="shared" si="28"/>
        <v>1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1</v>
      </c>
      <c r="EC19" s="12">
        <f t="shared" si="29"/>
        <v>0</v>
      </c>
      <c r="ED19" s="12">
        <f t="shared" si="29"/>
        <v>0</v>
      </c>
      <c r="EE19" s="12">
        <f t="shared" si="29"/>
        <v>0</v>
      </c>
      <c r="EF19" s="12">
        <f t="shared" si="29"/>
        <v>1</v>
      </c>
      <c r="EG19" s="12">
        <f t="shared" si="29"/>
        <v>0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7" t="s">
        <v>307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112</v>
      </c>
    </row>
    <row r="21" spans="1:142" ht="25" customHeight="1" x14ac:dyDescent="0.55000000000000004">
      <c r="A21" s="12" t="s">
        <v>309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1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1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1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1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1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1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1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310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1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1</v>
      </c>
      <c r="U22" s="12">
        <f t="shared" si="35"/>
        <v>0</v>
      </c>
      <c r="V22" s="12">
        <f t="shared" si="35"/>
        <v>0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1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1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0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0</v>
      </c>
      <c r="AY22" s="12">
        <f t="shared" si="36"/>
        <v>1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1</v>
      </c>
      <c r="BF22" s="12">
        <f t="shared" si="36"/>
        <v>1</v>
      </c>
      <c r="BG22" s="12">
        <f t="shared" si="36"/>
        <v>0</v>
      </c>
      <c r="BH22" s="12">
        <f t="shared" si="36"/>
        <v>0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0</v>
      </c>
      <c r="BN22" s="12">
        <f t="shared" si="36"/>
        <v>1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1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1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1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0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1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1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1</v>
      </c>
      <c r="EE22" s="12">
        <f t="shared" si="39"/>
        <v>1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0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0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0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1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1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0</v>
      </c>
      <c r="AI23" s="12">
        <f t="shared" ref="AI23:BN23" si="41">IF(AND(AI5&lt;0,AI11&gt;0),1,0)</f>
        <v>1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1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0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1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1</v>
      </c>
      <c r="BZ23" s="12">
        <f t="shared" si="42"/>
        <v>0</v>
      </c>
      <c r="CA23" s="12">
        <f t="shared" si="42"/>
        <v>0</v>
      </c>
      <c r="CB23" s="12">
        <f t="shared" si="42"/>
        <v>0</v>
      </c>
      <c r="CC23" s="12">
        <f t="shared" si="42"/>
        <v>0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1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1</v>
      </c>
      <c r="CW23" s="12">
        <f t="shared" si="43"/>
        <v>1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0</v>
      </c>
      <c r="DB23" s="12">
        <f t="shared" si="43"/>
        <v>1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0</v>
      </c>
      <c r="DG23" s="12">
        <f t="shared" si="43"/>
        <v>0</v>
      </c>
      <c r="DH23" s="12">
        <f t="shared" si="43"/>
        <v>1</v>
      </c>
      <c r="DI23" s="12">
        <f t="shared" si="43"/>
        <v>1</v>
      </c>
      <c r="DJ23" s="12">
        <f t="shared" si="43"/>
        <v>0</v>
      </c>
      <c r="DK23" s="12">
        <f t="shared" si="43"/>
        <v>0</v>
      </c>
      <c r="DL23" s="12">
        <f t="shared" si="43"/>
        <v>0</v>
      </c>
      <c r="DM23" s="12">
        <f t="shared" si="43"/>
        <v>0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1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1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0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7" t="s">
        <v>309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68</v>
      </c>
    </row>
    <row r="25" spans="1:142" ht="25" customHeight="1" x14ac:dyDescent="0.55000000000000004">
      <c r="A25" s="12" t="s">
        <v>311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0</v>
      </c>
      <c r="R25" s="12">
        <f t="shared" si="45"/>
        <v>0</v>
      </c>
      <c r="S25" s="12">
        <f t="shared" si="45"/>
        <v>1</v>
      </c>
      <c r="T25" s="12">
        <f t="shared" si="45"/>
        <v>1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1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1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1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1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1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1</v>
      </c>
    </row>
    <row r="26" spans="1:142" ht="25" customHeight="1" x14ac:dyDescent="0.55000000000000004">
      <c r="A26" s="12" t="s">
        <v>312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1</v>
      </c>
      <c r="H26" s="12">
        <f t="shared" si="50"/>
        <v>1</v>
      </c>
      <c r="I26" s="12">
        <f t="shared" si="50"/>
        <v>1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1</v>
      </c>
      <c r="O26" s="12">
        <f t="shared" si="50"/>
        <v>0</v>
      </c>
      <c r="P26" s="12">
        <f t="shared" si="50"/>
        <v>0</v>
      </c>
      <c r="Q26" s="12">
        <f t="shared" si="50"/>
        <v>1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0</v>
      </c>
      <c r="X26" s="12">
        <f t="shared" si="50"/>
        <v>0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1</v>
      </c>
      <c r="AC26" s="12">
        <f t="shared" si="50"/>
        <v>0</v>
      </c>
      <c r="AD26" s="12">
        <f t="shared" si="50"/>
        <v>1</v>
      </c>
      <c r="AE26" s="12">
        <f t="shared" si="50"/>
        <v>0</v>
      </c>
      <c r="AF26" s="12">
        <f t="shared" si="50"/>
        <v>1</v>
      </c>
      <c r="AG26" s="12">
        <f t="shared" si="50"/>
        <v>0</v>
      </c>
      <c r="AH26" s="12">
        <f t="shared" si="50"/>
        <v>1</v>
      </c>
      <c r="AI26" s="12">
        <f t="shared" ref="AI26:BN26" si="51">IF(AND(AI4&lt;0,AI10&lt;0),1,0)</f>
        <v>1</v>
      </c>
      <c r="AJ26" s="12">
        <f t="shared" si="51"/>
        <v>1</v>
      </c>
      <c r="AK26" s="12">
        <f t="shared" si="51"/>
        <v>0</v>
      </c>
      <c r="AL26" s="12">
        <f t="shared" si="51"/>
        <v>1</v>
      </c>
      <c r="AM26" s="12">
        <f t="shared" si="51"/>
        <v>0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1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1</v>
      </c>
      <c r="BA26" s="12">
        <f t="shared" si="51"/>
        <v>1</v>
      </c>
      <c r="BB26" s="12">
        <f t="shared" si="51"/>
        <v>0</v>
      </c>
      <c r="BC26" s="12">
        <f t="shared" si="51"/>
        <v>0</v>
      </c>
      <c r="BD26" s="12">
        <f t="shared" si="51"/>
        <v>1</v>
      </c>
      <c r="BE26" s="12">
        <f t="shared" si="51"/>
        <v>0</v>
      </c>
      <c r="BF26" s="12">
        <f t="shared" si="51"/>
        <v>0</v>
      </c>
      <c r="BG26" s="12">
        <f t="shared" si="51"/>
        <v>0</v>
      </c>
      <c r="BH26" s="12">
        <f t="shared" si="51"/>
        <v>0</v>
      </c>
      <c r="BI26" s="12">
        <f t="shared" si="51"/>
        <v>0</v>
      </c>
      <c r="BJ26" s="12">
        <f t="shared" si="51"/>
        <v>0</v>
      </c>
      <c r="BK26" s="12">
        <f t="shared" si="51"/>
        <v>0</v>
      </c>
      <c r="BL26" s="12">
        <f t="shared" si="51"/>
        <v>1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0</v>
      </c>
      <c r="BP26" s="12">
        <f t="shared" si="52"/>
        <v>0</v>
      </c>
      <c r="BQ26" s="12">
        <f t="shared" si="52"/>
        <v>0</v>
      </c>
      <c r="BR26" s="12">
        <f t="shared" si="52"/>
        <v>0</v>
      </c>
      <c r="BS26" s="12">
        <f t="shared" si="52"/>
        <v>0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0</v>
      </c>
      <c r="BX26" s="12">
        <f t="shared" si="52"/>
        <v>0</v>
      </c>
      <c r="BY26" s="12">
        <f t="shared" si="52"/>
        <v>0</v>
      </c>
      <c r="BZ26" s="12">
        <f t="shared" si="52"/>
        <v>1</v>
      </c>
      <c r="CA26" s="12">
        <f t="shared" si="52"/>
        <v>1</v>
      </c>
      <c r="CB26" s="12">
        <f t="shared" si="52"/>
        <v>1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1</v>
      </c>
      <c r="CI26" s="12">
        <f t="shared" si="52"/>
        <v>0</v>
      </c>
      <c r="CJ26" s="12">
        <f t="shared" si="52"/>
        <v>1</v>
      </c>
      <c r="CK26" s="12">
        <f t="shared" si="52"/>
        <v>1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1</v>
      </c>
      <c r="CR26" s="12">
        <f t="shared" si="52"/>
        <v>0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0</v>
      </c>
      <c r="CW26" s="12">
        <f t="shared" si="53"/>
        <v>1</v>
      </c>
      <c r="CX26" s="12">
        <f t="shared" si="53"/>
        <v>1</v>
      </c>
      <c r="CY26" s="12">
        <f t="shared" si="53"/>
        <v>1</v>
      </c>
      <c r="CZ26" s="12">
        <f t="shared" si="53"/>
        <v>1</v>
      </c>
      <c r="DA26" s="12">
        <f t="shared" si="53"/>
        <v>1</v>
      </c>
      <c r="DB26" s="12">
        <f t="shared" si="53"/>
        <v>1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1</v>
      </c>
      <c r="DI26" s="12">
        <f t="shared" si="53"/>
        <v>0</v>
      </c>
      <c r="DJ26" s="12">
        <f t="shared" si="53"/>
        <v>1</v>
      </c>
      <c r="DK26" s="12">
        <f t="shared" si="53"/>
        <v>0</v>
      </c>
      <c r="DL26" s="12">
        <f t="shared" si="53"/>
        <v>1</v>
      </c>
      <c r="DM26" s="12">
        <f t="shared" si="53"/>
        <v>0</v>
      </c>
      <c r="DN26" s="12">
        <f t="shared" si="53"/>
        <v>0</v>
      </c>
      <c r="DO26" s="12">
        <f t="shared" si="53"/>
        <v>0</v>
      </c>
      <c r="DP26" s="12">
        <f t="shared" si="53"/>
        <v>1</v>
      </c>
      <c r="DQ26" s="12">
        <f t="shared" si="53"/>
        <v>0</v>
      </c>
      <c r="DR26" s="12">
        <f t="shared" si="53"/>
        <v>1</v>
      </c>
      <c r="DS26" s="12">
        <f t="shared" si="53"/>
        <v>1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1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1</v>
      </c>
      <c r="EG26" s="12">
        <f t="shared" si="54"/>
        <v>0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1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0</v>
      </c>
      <c r="K27" s="12">
        <f t="shared" si="55"/>
        <v>0</v>
      </c>
      <c r="L27" s="12">
        <f t="shared" si="55"/>
        <v>0</v>
      </c>
      <c r="M27" s="12">
        <f t="shared" si="55"/>
        <v>0</v>
      </c>
      <c r="N27" s="12">
        <f t="shared" si="55"/>
        <v>0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1</v>
      </c>
      <c r="AA27" s="12">
        <f t="shared" si="55"/>
        <v>0</v>
      </c>
      <c r="AB27" s="12">
        <f t="shared" si="55"/>
        <v>1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0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0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1</v>
      </c>
      <c r="BA27" s="12">
        <f t="shared" si="56"/>
        <v>0</v>
      </c>
      <c r="BB27" s="12">
        <f t="shared" si="56"/>
        <v>1</v>
      </c>
      <c r="BC27" s="12">
        <f t="shared" si="56"/>
        <v>0</v>
      </c>
      <c r="BD27" s="12">
        <f t="shared" si="56"/>
        <v>0</v>
      </c>
      <c r="BE27" s="12">
        <f t="shared" si="56"/>
        <v>1</v>
      </c>
      <c r="BF27" s="12">
        <f t="shared" si="56"/>
        <v>0</v>
      </c>
      <c r="BG27" s="12">
        <f t="shared" si="56"/>
        <v>1</v>
      </c>
      <c r="BH27" s="12">
        <f t="shared" si="56"/>
        <v>1</v>
      </c>
      <c r="BI27" s="12">
        <f t="shared" si="56"/>
        <v>1</v>
      </c>
      <c r="BJ27" s="12">
        <f t="shared" si="56"/>
        <v>1</v>
      </c>
      <c r="BK27" s="12">
        <f t="shared" si="56"/>
        <v>1</v>
      </c>
      <c r="BL27" s="12">
        <f t="shared" si="56"/>
        <v>1</v>
      </c>
      <c r="BM27" s="12">
        <f t="shared" si="56"/>
        <v>0</v>
      </c>
      <c r="BN27" s="12">
        <f t="shared" si="56"/>
        <v>1</v>
      </c>
      <c r="BO27" s="12">
        <f t="shared" ref="BO27:CT27" si="57">IF(AND(BO5&lt;0,BO11&lt;0),1,0)</f>
        <v>0</v>
      </c>
      <c r="BP27" s="12">
        <f t="shared" si="57"/>
        <v>0</v>
      </c>
      <c r="BQ27" s="12">
        <f t="shared" si="57"/>
        <v>0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1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0</v>
      </c>
      <c r="CF27" s="12">
        <f t="shared" si="57"/>
        <v>1</v>
      </c>
      <c r="CG27" s="12">
        <f t="shared" si="57"/>
        <v>1</v>
      </c>
      <c r="CH27" s="12">
        <f t="shared" si="57"/>
        <v>1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1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1</v>
      </c>
      <c r="CY27" s="12">
        <f t="shared" si="58"/>
        <v>0</v>
      </c>
      <c r="CZ27" s="12">
        <f t="shared" si="58"/>
        <v>1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0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1</v>
      </c>
      <c r="ED27" s="12">
        <f t="shared" si="59"/>
        <v>0</v>
      </c>
      <c r="EE27" s="12">
        <f t="shared" si="59"/>
        <v>1</v>
      </c>
      <c r="EF27" s="12">
        <f t="shared" si="59"/>
        <v>0</v>
      </c>
      <c r="EG27" s="12">
        <f t="shared" si="59"/>
        <v>1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7" t="s">
        <v>311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100</v>
      </c>
    </row>
    <row r="30" spans="1:142" ht="25" customHeight="1" x14ac:dyDescent="0.55000000000000004">
      <c r="A30" s="12" t="s">
        <v>313</v>
      </c>
      <c r="B30" s="12" t="s">
        <v>314</v>
      </c>
      <c r="C30" s="16">
        <f>(C16+C28)/(C16+C28+C20+C24)</f>
        <v>0.5714285714285714</v>
      </c>
    </row>
    <row r="31" spans="1:142" ht="25" customHeight="1" x14ac:dyDescent="0.55000000000000004">
      <c r="A31" s="12" t="s">
        <v>315</v>
      </c>
      <c r="B31" s="12" t="s">
        <v>316</v>
      </c>
      <c r="C31" s="16">
        <f>C16/(C16+C20)</f>
        <v>0.55555555555555558</v>
      </c>
    </row>
    <row r="32" spans="1:142" ht="25" customHeight="1" x14ac:dyDescent="0.55000000000000004">
      <c r="A32" s="12" t="s">
        <v>317</v>
      </c>
      <c r="B32" s="12" t="s">
        <v>318</v>
      </c>
      <c r="C32" s="16">
        <f>C16/(C16+C24)</f>
        <v>0.67307692307692313</v>
      </c>
    </row>
    <row r="33" spans="1:3" ht="25" customHeight="1" x14ac:dyDescent="0.55000000000000004">
      <c r="A33" s="12" t="s">
        <v>319</v>
      </c>
      <c r="B33" s="12" t="s">
        <v>320</v>
      </c>
      <c r="C33" s="16">
        <f>2*(C31*C32)/(C31+C32)</f>
        <v>0.60869565217391308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2026-01-03T06:00:42Z</dcterms:modified>
</cp:coreProperties>
</file>