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E84CB80B-FCC6-4048-B7C4-E53087896E9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O22" i="2" s="1"/>
  <c r="EM23" i="2"/>
  <c r="EO23" i="2" s="1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X25" i="7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D25" i="7"/>
  <c r="E25" i="7" s="1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G24" i="7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F24" i="7"/>
  <c r="D24" i="7"/>
  <c r="E24" i="7" s="1"/>
  <c r="D23" i="7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F22" i="7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E22" i="7"/>
  <c r="D22" i="7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21" i="7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G18" i="7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8" i="7"/>
  <c r="E18" i="7" s="1"/>
  <c r="F18" i="7" s="1"/>
  <c r="L17" i="7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D17" i="7"/>
  <c r="E17" i="7" s="1"/>
  <c r="F17" i="7" s="1"/>
  <c r="G17" i="7" s="1"/>
  <c r="H17" i="7" s="1"/>
  <c r="I17" i="7" s="1"/>
  <c r="J17" i="7" s="1"/>
  <c r="K17" i="7" s="1"/>
  <c r="O16" i="7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E16" i="7"/>
  <c r="F16" i="7" s="1"/>
  <c r="G16" i="7" s="1"/>
  <c r="H16" i="7" s="1"/>
  <c r="I16" i="7" s="1"/>
  <c r="J16" i="7" s="1"/>
  <c r="K16" i="7" s="1"/>
  <c r="L16" i="7" s="1"/>
  <c r="M16" i="7" s="1"/>
  <c r="N16" i="7" s="1"/>
  <c r="D16" i="7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H14" i="7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4" i="7"/>
  <c r="E14" i="7" s="1"/>
  <c r="F14" i="7" s="1"/>
  <c r="G14" i="7" s="1"/>
  <c r="E13" i="7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3" i="7"/>
  <c r="H12" i="7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G12" i="7"/>
  <c r="E12" i="7"/>
  <c r="F12" i="7" s="1"/>
  <c r="D12" i="7"/>
  <c r="EK8" i="7"/>
  <c r="EJ8" i="7"/>
  <c r="ED8" i="7"/>
  <c r="DZ8" i="7"/>
  <c r="DY8" i="7"/>
  <c r="DS8" i="7"/>
  <c r="DP8" i="7"/>
  <c r="DM8" i="7"/>
  <c r="DG8" i="7"/>
  <c r="DC8" i="7"/>
  <c r="DB8" i="7"/>
  <c r="DA8" i="7"/>
  <c r="CZ8" i="7"/>
  <c r="CJ8" i="7"/>
  <c r="CH8" i="7"/>
  <c r="CC8" i="7"/>
  <c r="BM8" i="7"/>
  <c r="BC8" i="7"/>
  <c r="BB8" i="7"/>
  <c r="AX8" i="7"/>
  <c r="AP8" i="7"/>
  <c r="AC8" i="7"/>
  <c r="AA8" i="7"/>
  <c r="Z8" i="7"/>
  <c r="Y8" i="7"/>
  <c r="X8" i="7"/>
  <c r="T8" i="7"/>
  <c r="S8" i="7"/>
  <c r="P8" i="7"/>
  <c r="O8" i="7"/>
  <c r="E8" i="7"/>
  <c r="D8" i="7"/>
  <c r="C8" i="7"/>
  <c r="EL7" i="7"/>
  <c r="EF7" i="7"/>
  <c r="ED7" i="7"/>
  <c r="EA7" i="7"/>
  <c r="DZ7" i="7"/>
  <c r="DY7" i="7"/>
  <c r="DW7" i="7"/>
  <c r="DS7" i="7"/>
  <c r="DM7" i="7"/>
  <c r="DL7" i="7"/>
  <c r="DK7" i="7"/>
  <c r="DG7" i="7"/>
  <c r="DC7" i="7"/>
  <c r="DB7" i="7"/>
  <c r="DA7" i="7"/>
  <c r="CW7" i="7"/>
  <c r="CO7" i="7"/>
  <c r="CN7" i="7"/>
  <c r="CJ7" i="7"/>
  <c r="CC7" i="7"/>
  <c r="CB7" i="7"/>
  <c r="BZ7" i="7"/>
  <c r="BW7" i="7"/>
  <c r="BN7" i="7"/>
  <c r="BM7" i="7"/>
  <c r="BK7" i="7"/>
  <c r="BC7" i="7"/>
  <c r="BB7" i="7"/>
  <c r="AX7" i="7"/>
  <c r="AP7" i="7"/>
  <c r="AK7" i="7"/>
  <c r="AE7" i="7"/>
  <c r="Y7" i="7"/>
  <c r="X7" i="7"/>
  <c r="V7" i="7"/>
  <c r="Q7" i="7"/>
  <c r="O7" i="7"/>
  <c r="N7" i="7"/>
  <c r="E7" i="7"/>
  <c r="D7" i="7"/>
  <c r="EL6" i="7" a="1"/>
  <c r="EL6" i="7" s="1"/>
  <c r="EL8" i="7" s="1"/>
  <c r="EK6" i="7" a="1"/>
  <c r="EK6" i="7" s="1"/>
  <c r="EK7" i="7" s="1"/>
  <c r="EJ6" i="7" a="1"/>
  <c r="EJ6" i="7"/>
  <c r="EJ7" i="7" s="1"/>
  <c r="EI6" i="7" a="1"/>
  <c r="EI6" i="7" s="1"/>
  <c r="EH6" i="7" a="1"/>
  <c r="EH6" i="7"/>
  <c r="EG6" i="7" a="1"/>
  <c r="EG6" i="7"/>
  <c r="EF6" i="7" a="1"/>
  <c r="EF6" i="7" s="1"/>
  <c r="EF8" i="7" s="1"/>
  <c r="EE6" i="7" a="1"/>
  <c r="EE6" i="7"/>
  <c r="ED6" i="7" a="1"/>
  <c r="ED6" i="7"/>
  <c r="EC6" i="7" a="1"/>
  <c r="EC6" i="7" s="1"/>
  <c r="EB6" i="7" a="1"/>
  <c r="EB6" i="7" s="1"/>
  <c r="EA6" i="7" a="1"/>
  <c r="EA6" i="7"/>
  <c r="EA8" i="7" s="1"/>
  <c r="DZ6" i="7" a="1"/>
  <c r="DZ6" i="7"/>
  <c r="DY6" i="7" a="1"/>
  <c r="DY6" i="7"/>
  <c r="DX6" i="7" a="1"/>
  <c r="DX6" i="7"/>
  <c r="DW6" i="7" a="1"/>
  <c r="DW6" i="7"/>
  <c r="DW8" i="7" s="1"/>
  <c r="DV6" i="7" a="1"/>
  <c r="DV6" i="7" s="1"/>
  <c r="DU6" i="7" a="1"/>
  <c r="DU6" i="7" s="1"/>
  <c r="DU8" i="7" s="1"/>
  <c r="DT6" i="7" a="1"/>
  <c r="DT6" i="7"/>
  <c r="DT8" i="7" s="1"/>
  <c r="DS6" i="7" a="1"/>
  <c r="DS6" i="7"/>
  <c r="DR6" i="7" a="1"/>
  <c r="DR6" i="7"/>
  <c r="DQ6" i="7" a="1"/>
  <c r="DQ6" i="7"/>
  <c r="DQ7" i="7" s="1"/>
  <c r="DP6" i="7" a="1"/>
  <c r="DP6" i="7" s="1"/>
  <c r="DP7" i="7" s="1"/>
  <c r="DO6" i="7" a="1"/>
  <c r="DO6" i="7" s="1"/>
  <c r="DN6" i="7" a="1"/>
  <c r="DN6" i="7" s="1"/>
  <c r="DM6" i="7" a="1"/>
  <c r="DM6" i="7"/>
  <c r="DL6" i="7" a="1"/>
  <c r="DL6" i="7"/>
  <c r="DL8" i="7" s="1"/>
  <c r="DK6" i="7" a="1"/>
  <c r="DK6" i="7"/>
  <c r="DK8" i="7" s="1"/>
  <c r="DJ6" i="7" a="1"/>
  <c r="DJ6" i="7" s="1"/>
  <c r="DI6" i="7" a="1"/>
  <c r="DI6" i="7"/>
  <c r="DH6" i="7" a="1"/>
  <c r="DH6" i="7"/>
  <c r="DG6" i="7" a="1"/>
  <c r="DG6" i="7"/>
  <c r="DF6" i="7" a="1"/>
  <c r="DF6" i="7"/>
  <c r="DE6" i="7" a="1"/>
  <c r="DE6" i="7"/>
  <c r="DD6" i="7" a="1"/>
  <c r="DD6" i="7"/>
  <c r="DC6" i="7" a="1"/>
  <c r="DC6" i="7"/>
  <c r="DB6" i="7" a="1"/>
  <c r="DB6" i="7" s="1"/>
  <c r="DA6" i="7" a="1"/>
  <c r="DA6" i="7"/>
  <c r="CZ6" i="7" a="1"/>
  <c r="CZ6" i="7"/>
  <c r="CZ7" i="7" s="1"/>
  <c r="CY6" i="7" a="1"/>
  <c r="CY6" i="7" s="1"/>
  <c r="CY7" i="7" s="1"/>
  <c r="CX6" i="7" a="1"/>
  <c r="CX6" i="7" s="1"/>
  <c r="CW6" i="7" a="1"/>
  <c r="CW6" i="7"/>
  <c r="CW8" i="7" s="1"/>
  <c r="CV6" i="7" a="1"/>
  <c r="CV6" i="7" s="1"/>
  <c r="CU6" i="7" a="1"/>
  <c r="CU6" i="7" s="1"/>
  <c r="CT6" i="7" a="1"/>
  <c r="CT6" i="7"/>
  <c r="CS6" i="7" a="1"/>
  <c r="CS6" i="7"/>
  <c r="CR6" i="7" a="1"/>
  <c r="CR6" i="7" s="1"/>
  <c r="CQ6" i="7" a="1"/>
  <c r="CQ6" i="7"/>
  <c r="CP6" i="7" a="1"/>
  <c r="CP6" i="7" s="1"/>
  <c r="CO6" i="7" a="1"/>
  <c r="CO6" i="7" s="1"/>
  <c r="CO8" i="7" s="1"/>
  <c r="CN6" i="7" a="1"/>
  <c r="CN6" i="7" s="1"/>
  <c r="CN8" i="7" s="1"/>
  <c r="CM6" i="7" a="1"/>
  <c r="CM6" i="7"/>
  <c r="CL6" i="7" a="1"/>
  <c r="CL6" i="7"/>
  <c r="CK6" i="7" a="1"/>
  <c r="CK6" i="7"/>
  <c r="CJ6" i="7" a="1"/>
  <c r="CJ6" i="7"/>
  <c r="CI6" i="7" a="1"/>
  <c r="CI6" i="7" s="1"/>
  <c r="CH6" i="7" a="1"/>
  <c r="CH6" i="7"/>
  <c r="CH7" i="7" s="1"/>
  <c r="CG6" i="7" a="1"/>
  <c r="CG6" i="7"/>
  <c r="CF6" i="7" a="1"/>
  <c r="CF6" i="7"/>
  <c r="CF7" i="7" s="1"/>
  <c r="CE6" i="7" a="1"/>
  <c r="CE6" i="7"/>
  <c r="CE7" i="7" s="1"/>
  <c r="CD6" i="7" a="1"/>
  <c r="CD6" i="7"/>
  <c r="CD7" i="7" s="1"/>
  <c r="CC6" i="7" a="1"/>
  <c r="CC6" i="7" s="1"/>
  <c r="CB6" i="7" a="1"/>
  <c r="CB6" i="7"/>
  <c r="CB8" i="7" s="1"/>
  <c r="CA6" i="7" a="1"/>
  <c r="CA6" i="7"/>
  <c r="BZ6" i="7" a="1"/>
  <c r="BZ6" i="7"/>
  <c r="BZ8" i="7" s="1"/>
  <c r="BY6" i="7" a="1"/>
  <c r="BY6" i="7" s="1"/>
  <c r="BX6" i="7" a="1"/>
  <c r="BX6" i="7" s="1"/>
  <c r="BW6" i="7" a="1"/>
  <c r="BW6" i="7" s="1"/>
  <c r="BW8" i="7" s="1"/>
  <c r="BV6" i="7" a="1"/>
  <c r="BV6" i="7"/>
  <c r="BU6" i="7" a="1"/>
  <c r="BU6" i="7" s="1"/>
  <c r="BT6" i="7" a="1"/>
  <c r="BT6" i="7"/>
  <c r="BS6" i="7" a="1"/>
  <c r="BS6" i="7"/>
  <c r="BS8" i="7" s="1"/>
  <c r="BR6" i="7" a="1"/>
  <c r="BR6" i="7" s="1"/>
  <c r="BR8" i="7" s="1"/>
  <c r="BQ6" i="7" a="1"/>
  <c r="BQ6" i="7"/>
  <c r="BQ8" i="7" s="1"/>
  <c r="BP6" i="7" a="1"/>
  <c r="BP6" i="7"/>
  <c r="BO6" i="7" a="1"/>
  <c r="BO6" i="7"/>
  <c r="BN6" i="7" a="1"/>
  <c r="BN6" i="7"/>
  <c r="BN8" i="7" s="1"/>
  <c r="BM6" i="7" a="1"/>
  <c r="BM6" i="7"/>
  <c r="BL6" i="7" a="1"/>
  <c r="BL6" i="7"/>
  <c r="BK6" i="7" a="1"/>
  <c r="BK6" i="7" s="1"/>
  <c r="BK8" i="7" s="1"/>
  <c r="BJ6" i="7" a="1"/>
  <c r="BJ6" i="7"/>
  <c r="BJ7" i="7" s="1"/>
  <c r="BI6" i="7" a="1"/>
  <c r="BI6" i="7"/>
  <c r="BH6" i="7" a="1"/>
  <c r="BH6" i="7"/>
  <c r="BG6" i="7" a="1"/>
  <c r="BG6" i="7" s="1"/>
  <c r="BF6" i="7" a="1"/>
  <c r="BF6" i="7"/>
  <c r="BE6" i="7" a="1"/>
  <c r="BE6" i="7"/>
  <c r="BD6" i="7" a="1"/>
  <c r="BD6" i="7" s="1"/>
  <c r="BC6" i="7" a="1"/>
  <c r="BC6" i="7"/>
  <c r="BB6" i="7" a="1"/>
  <c r="BB6" i="7" s="1"/>
  <c r="BA6" i="7" a="1"/>
  <c r="BA6" i="7"/>
  <c r="BA8" i="7" s="1"/>
  <c r="AZ6" i="7" a="1"/>
  <c r="AZ6" i="7"/>
  <c r="AY6" i="7" a="1"/>
  <c r="AY6" i="7" s="1"/>
  <c r="AX6" i="7" a="1"/>
  <c r="AX6" i="7" s="1"/>
  <c r="AW6" i="7" a="1"/>
  <c r="AW6" i="7"/>
  <c r="AV6" i="7" a="1"/>
  <c r="AV6" i="7" s="1"/>
  <c r="AU6" i="7" a="1"/>
  <c r="AU6" i="7"/>
  <c r="AT6" i="7" a="1"/>
  <c r="AT6" i="7"/>
  <c r="AS6" i="7" a="1"/>
  <c r="AS6" i="7"/>
  <c r="AR6" i="7" a="1"/>
  <c r="AR6" i="7"/>
  <c r="AQ6" i="7" a="1"/>
  <c r="AQ6" i="7" s="1"/>
  <c r="AP6" i="7" a="1"/>
  <c r="AP6" i="7"/>
  <c r="AO6" i="7" a="1"/>
  <c r="AO6" i="7"/>
  <c r="AN6" i="7" a="1"/>
  <c r="AN6" i="7"/>
  <c r="AM6" i="7" a="1"/>
  <c r="AM6" i="7" s="1"/>
  <c r="AL6" i="7" a="1"/>
  <c r="AL6" i="7"/>
  <c r="AK6" i="7" a="1"/>
  <c r="AK6" i="7" s="1"/>
  <c r="AK8" i="7" s="1"/>
  <c r="AJ6" i="7" a="1"/>
  <c r="AJ6" i="7"/>
  <c r="AI6" i="7" a="1"/>
  <c r="AI6" i="7"/>
  <c r="AH6" i="7" a="1"/>
  <c r="AH6" i="7" s="1"/>
  <c r="AG6" i="7" a="1"/>
  <c r="AG6" i="7"/>
  <c r="AG7" i="7" s="1"/>
  <c r="AF6" i="7" a="1"/>
  <c r="AF6" i="7"/>
  <c r="AE6" i="7" a="1"/>
  <c r="AE6" i="7" s="1"/>
  <c r="AE8" i="7" s="1"/>
  <c r="AD6" i="7" a="1"/>
  <c r="AD6" i="7" s="1"/>
  <c r="AC6" i="7" a="1"/>
  <c r="AC6" i="7"/>
  <c r="AC7" i="7" s="1"/>
  <c r="AB6" i="7" a="1"/>
  <c r="AB6" i="7"/>
  <c r="AA6" i="7" a="1"/>
  <c r="AA6" i="7" s="1"/>
  <c r="AA7" i="7" s="1"/>
  <c r="Z6" i="7" a="1"/>
  <c r="Z6" i="7" s="1"/>
  <c r="Z7" i="7" s="1"/>
  <c r="Y6" i="7" a="1"/>
  <c r="Y6" i="7"/>
  <c r="X6" i="7" a="1"/>
  <c r="X6" i="7"/>
  <c r="W6" i="7" a="1"/>
  <c r="W6" i="7"/>
  <c r="V6" i="7" a="1"/>
  <c r="V6" i="7"/>
  <c r="V8" i="7" s="1"/>
  <c r="U6" i="7" a="1"/>
  <c r="U6" i="7" s="1"/>
  <c r="T6" i="7" a="1"/>
  <c r="T6" i="7"/>
  <c r="T7" i="7" s="1"/>
  <c r="S6" i="7" a="1"/>
  <c r="S6" i="7"/>
  <c r="S7" i="7" s="1"/>
  <c r="R6" i="7" a="1"/>
  <c r="R6" i="7" s="1"/>
  <c r="Q6" i="7" a="1"/>
  <c r="Q6" i="7"/>
  <c r="Q8" i="7" s="1"/>
  <c r="P6" i="7" a="1"/>
  <c r="P6" i="7"/>
  <c r="P7" i="7" s="1"/>
  <c r="O6" i="7" a="1"/>
  <c r="O6" i="7" s="1"/>
  <c r="N6" i="7" a="1"/>
  <c r="N6" i="7" s="1"/>
  <c r="N8" i="7" s="1"/>
  <c r="M6" i="7" a="1"/>
  <c r="M6" i="7"/>
  <c r="L6" i="7" a="1"/>
  <c r="L6" i="7"/>
  <c r="K6" i="7" a="1"/>
  <c r="K6" i="7"/>
  <c r="J6" i="7" a="1"/>
  <c r="J6" i="7"/>
  <c r="I6" i="7" a="1"/>
  <c r="I6" i="7"/>
  <c r="H6" i="7" a="1"/>
  <c r="H6" i="7" s="1"/>
  <c r="G6" i="7" a="1"/>
  <c r="G6" i="7"/>
  <c r="F6" i="7" a="1"/>
  <c r="F6" i="7"/>
  <c r="E6" i="7" a="1"/>
  <c r="E6" i="7"/>
  <c r="D6" i="7" a="1"/>
  <c r="D6" i="7" s="1"/>
  <c r="C6" i="7" a="1"/>
  <c r="C6" i="7"/>
  <c r="C7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B23" i="4"/>
  <c r="E22" i="4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D22" i="4"/>
  <c r="B22" i="4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E21" i="4"/>
  <c r="D21" i="4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B19" i="4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D18" i="4"/>
  <c r="B18" i="4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B17" i="4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E16" i="4"/>
  <c r="D16" i="4"/>
  <c r="B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B15" i="4"/>
  <c r="M14" i="4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E14" i="4" s="1"/>
  <c r="F14" i="4" s="1"/>
  <c r="G14" i="4" s="1"/>
  <c r="H14" i="4" s="1"/>
  <c r="I14" i="4" s="1"/>
  <c r="J14" i="4" s="1"/>
  <c r="K14" i="4" s="1"/>
  <c r="L14" i="4" s="1"/>
  <c r="B14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B13" i="4"/>
  <c r="F12" i="4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12" i="4" s="1"/>
  <c r="B12" i="4"/>
  <c r="EK8" i="4"/>
  <c r="EJ8" i="4"/>
  <c r="ED8" i="4"/>
  <c r="EC8" i="4"/>
  <c r="DZ8" i="4"/>
  <c r="DY8" i="4"/>
  <c r="DU8" i="4"/>
  <c r="DT8" i="4"/>
  <c r="DO8" i="4"/>
  <c r="DN8" i="4"/>
  <c r="DG8" i="4"/>
  <c r="DF8" i="4"/>
  <c r="DE8" i="4"/>
  <c r="DD8" i="4"/>
  <c r="DC8" i="4"/>
  <c r="DB8" i="4"/>
  <c r="CX8" i="4"/>
  <c r="CV8" i="4"/>
  <c r="CU8" i="4"/>
  <c r="CT8" i="4"/>
  <c r="CS8" i="4"/>
  <c r="CR8" i="4"/>
  <c r="CQ8" i="4"/>
  <c r="CH8" i="4"/>
  <c r="CF8" i="4"/>
  <c r="CE8" i="4"/>
  <c r="CB8" i="4"/>
  <c r="BY8" i="4"/>
  <c r="BU8" i="4"/>
  <c r="BT8" i="4"/>
  <c r="BS8" i="4"/>
  <c r="BR8" i="4"/>
  <c r="BJ8" i="4"/>
  <c r="BI8" i="4"/>
  <c r="BH8" i="4"/>
  <c r="BF8" i="4"/>
  <c r="BB8" i="4"/>
  <c r="AX8" i="4"/>
  <c r="AT8" i="4"/>
  <c r="AO8" i="4"/>
  <c r="AM8" i="4"/>
  <c r="AH8" i="4"/>
  <c r="AG8" i="4"/>
  <c r="AE8" i="4"/>
  <c r="AD8" i="4"/>
  <c r="AC8" i="4"/>
  <c r="AB8" i="4"/>
  <c r="Q8" i="4"/>
  <c r="J8" i="4"/>
  <c r="I8" i="4"/>
  <c r="G8" i="4"/>
  <c r="F8" i="4"/>
  <c r="EL7" i="4"/>
  <c r="EK7" i="4"/>
  <c r="EJ7" i="4"/>
  <c r="EF7" i="4"/>
  <c r="EE7" i="4"/>
  <c r="ED7" i="4"/>
  <c r="EC7" i="4"/>
  <c r="DZ7" i="4"/>
  <c r="DW7" i="4"/>
  <c r="DU7" i="4"/>
  <c r="DO7" i="4"/>
  <c r="DN7" i="4"/>
  <c r="DI7" i="4"/>
  <c r="DH7" i="4"/>
  <c r="DG7" i="4"/>
  <c r="DF7" i="4"/>
  <c r="DD7" i="4"/>
  <c r="DC7" i="4"/>
  <c r="DA7" i="4"/>
  <c r="CZ7" i="4"/>
  <c r="CV7" i="4"/>
  <c r="CU7" i="4"/>
  <c r="CT7" i="4"/>
  <c r="CS7" i="4"/>
  <c r="CR7" i="4"/>
  <c r="CQ7" i="4"/>
  <c r="CK7" i="4"/>
  <c r="CH7" i="4"/>
  <c r="CG7" i="4"/>
  <c r="CF7" i="4"/>
  <c r="CB7" i="4"/>
  <c r="BY7" i="4"/>
  <c r="BU7" i="4"/>
  <c r="BT7" i="4"/>
  <c r="BS7" i="4"/>
  <c r="BI7" i="4"/>
  <c r="BG7" i="4"/>
  <c r="BF7" i="4"/>
  <c r="BB7" i="4"/>
  <c r="AX7" i="4"/>
  <c r="AO7" i="4"/>
  <c r="AM7" i="4"/>
  <c r="AJ7" i="4"/>
  <c r="AH7" i="4"/>
  <c r="AG7" i="4"/>
  <c r="AE7" i="4"/>
  <c r="AD7" i="4"/>
  <c r="AC7" i="4"/>
  <c r="AB7" i="4"/>
  <c r="AA7" i="4"/>
  <c r="Z7" i="4"/>
  <c r="Q7" i="4"/>
  <c r="J7" i="4"/>
  <c r="I7" i="4"/>
  <c r="F7" i="4"/>
  <c r="E7" i="4"/>
  <c r="D7" i="4"/>
  <c r="EL6" i="4" a="1"/>
  <c r="EL6" i="4" s="1"/>
  <c r="EL8" i="4" s="1"/>
  <c r="EK6" i="4" a="1"/>
  <c r="EK6" i="4" s="1"/>
  <c r="EJ6" i="4" a="1"/>
  <c r="EJ6" i="4"/>
  <c r="EI6" i="4" a="1"/>
  <c r="EI6" i="4"/>
  <c r="EI7" i="4" s="1"/>
  <c r="EH6" i="4" a="1"/>
  <c r="EH6" i="4" s="1"/>
  <c r="EH7" i="4" s="1"/>
  <c r="EG6" i="4" a="1"/>
  <c r="EG6" i="4" s="1"/>
  <c r="EF6" i="4" a="1"/>
  <c r="EF6" i="4"/>
  <c r="EF8" i="4" s="1"/>
  <c r="EE6" i="4" a="1"/>
  <c r="EE6" i="4"/>
  <c r="EE8" i="4" s="1"/>
  <c r="ED6" i="4" a="1"/>
  <c r="ED6" i="4"/>
  <c r="EC6" i="4" a="1"/>
  <c r="EC6" i="4" s="1"/>
  <c r="EB6" i="4" a="1"/>
  <c r="EB6" i="4"/>
  <c r="EA6" i="4" a="1"/>
  <c r="EA6" i="4"/>
  <c r="DZ6" i="4" a="1"/>
  <c r="DZ6" i="4" s="1"/>
  <c r="DY6" i="4" a="1"/>
  <c r="DY6" i="4"/>
  <c r="DY7" i="4" s="1"/>
  <c r="DX6" i="4" a="1"/>
  <c r="DX6" i="4"/>
  <c r="DW6" i="4" a="1"/>
  <c r="DW6" i="4"/>
  <c r="DW8" i="4" s="1"/>
  <c r="DV6" i="4" a="1"/>
  <c r="DV6" i="4" s="1"/>
  <c r="DV7" i="4" s="1"/>
  <c r="DU6" i="4" a="1"/>
  <c r="DU6" i="4"/>
  <c r="DT6" i="4" a="1"/>
  <c r="DT6" i="4"/>
  <c r="DT7" i="4" s="1"/>
  <c r="DS6" i="4" a="1"/>
  <c r="DS6" i="4"/>
  <c r="DS8" i="4" s="1"/>
  <c r="DR6" i="4" a="1"/>
  <c r="DR6" i="4"/>
  <c r="DR8" i="4" s="1"/>
  <c r="DQ6" i="4" a="1"/>
  <c r="DQ6" i="4"/>
  <c r="DP6" i="4" a="1"/>
  <c r="DP6" i="4"/>
  <c r="DO6" i="4" a="1"/>
  <c r="DO6" i="4" s="1"/>
  <c r="DN6" i="4" a="1"/>
  <c r="DN6" i="4"/>
  <c r="DM6" i="4" a="1"/>
  <c r="DM6" i="4"/>
  <c r="DL6" i="4" a="1"/>
  <c r="DL6" i="4"/>
  <c r="DK6" i="4" a="1"/>
  <c r="DK6" i="4"/>
  <c r="DJ6" i="4" a="1"/>
  <c r="DJ6" i="4" s="1"/>
  <c r="DI6" i="4" a="1"/>
  <c r="DI6" i="4"/>
  <c r="DI8" i="4" s="1"/>
  <c r="DH6" i="4" a="1"/>
  <c r="DH6" i="4"/>
  <c r="DH8" i="4" s="1"/>
  <c r="DG6" i="4" a="1"/>
  <c r="DG6" i="4"/>
  <c r="DF6" i="4" a="1"/>
  <c r="DF6" i="4"/>
  <c r="DE6" i="4" a="1"/>
  <c r="DE6" i="4"/>
  <c r="DE7" i="4" s="1"/>
  <c r="DD6" i="4" a="1"/>
  <c r="DD6" i="4" s="1"/>
  <c r="DC6" i="4" a="1"/>
  <c r="DC6" i="4" s="1"/>
  <c r="DB6" i="4" a="1"/>
  <c r="DB6" i="4"/>
  <c r="DB7" i="4" s="1"/>
  <c r="DA6" i="4" a="1"/>
  <c r="DA6" i="4"/>
  <c r="DA8" i="4" s="1"/>
  <c r="CZ6" i="4" a="1"/>
  <c r="CZ6" i="4"/>
  <c r="CZ8" i="4" s="1"/>
  <c r="CY6" i="4" a="1"/>
  <c r="CY6" i="4" s="1"/>
  <c r="CX6" i="4" a="1"/>
  <c r="CX6" i="4"/>
  <c r="CX7" i="4" s="1"/>
  <c r="CW6" i="4" a="1"/>
  <c r="CW6" i="4"/>
  <c r="CW8" i="4" s="1"/>
  <c r="CV6" i="4" a="1"/>
  <c r="CV6" i="4"/>
  <c r="CU6" i="4" a="1"/>
  <c r="CU6" i="4"/>
  <c r="CT6" i="4" a="1"/>
  <c r="CT6" i="4"/>
  <c r="CS6" i="4" a="1"/>
  <c r="CS6" i="4" s="1"/>
  <c r="CR6" i="4" a="1"/>
  <c r="CR6" i="4"/>
  <c r="CQ6" i="4" a="1"/>
  <c r="CQ6" i="4"/>
  <c r="CP6" i="4" a="1"/>
  <c r="CP6" i="4"/>
  <c r="CO6" i="4" a="1"/>
  <c r="CO6" i="4"/>
  <c r="CN6" i="4" a="1"/>
  <c r="CN6" i="4"/>
  <c r="CM6" i="4" a="1"/>
  <c r="CM6" i="4" s="1"/>
  <c r="CL6" i="4" a="1"/>
  <c r="CL6" i="4" s="1"/>
  <c r="CK6" i="4" a="1"/>
  <c r="CK6" i="4"/>
  <c r="CK8" i="4" s="1"/>
  <c r="CJ6" i="4" a="1"/>
  <c r="CJ6" i="4" s="1"/>
  <c r="CI6" i="4" a="1"/>
  <c r="CI6" i="4" s="1"/>
  <c r="CH6" i="4" a="1"/>
  <c r="CH6" i="4" s="1"/>
  <c r="CG6" i="4" a="1"/>
  <c r="CG6" i="4" s="1"/>
  <c r="CG8" i="4" s="1"/>
  <c r="CF6" i="4" a="1"/>
  <c r="CF6" i="4" s="1"/>
  <c r="CE6" i="4" a="1"/>
  <c r="CE6" i="4"/>
  <c r="CE7" i="4" s="1"/>
  <c r="CD6" i="4" a="1"/>
  <c r="CD6" i="4"/>
  <c r="CD8" i="4" s="1"/>
  <c r="CC6" i="4" a="1"/>
  <c r="CC6" i="4" s="1"/>
  <c r="CB6" i="4" a="1"/>
  <c r="CB6" i="4"/>
  <c r="CA6" i="4" a="1"/>
  <c r="CA6" i="4"/>
  <c r="BZ6" i="4" a="1"/>
  <c r="BZ6" i="4" s="1"/>
  <c r="BY6" i="4" a="1"/>
  <c r="BY6" i="4"/>
  <c r="BX6" i="4" a="1"/>
  <c r="BX6" i="4" s="1"/>
  <c r="BW6" i="4" a="1"/>
  <c r="BW6" i="4" s="1"/>
  <c r="BV6" i="4" a="1"/>
  <c r="BV6" i="4"/>
  <c r="BU6" i="4" a="1"/>
  <c r="BU6" i="4" s="1"/>
  <c r="BT6" i="4" a="1"/>
  <c r="BT6" i="4"/>
  <c r="BS6" i="4" a="1"/>
  <c r="BS6" i="4"/>
  <c r="BR6" i="4" a="1"/>
  <c r="BR6" i="4"/>
  <c r="BR7" i="4" s="1"/>
  <c r="BQ6" i="4" a="1"/>
  <c r="BQ6" i="4"/>
  <c r="BP6" i="4" a="1"/>
  <c r="BP6" i="4"/>
  <c r="BO6" i="4" a="1"/>
  <c r="BO6" i="4"/>
  <c r="BO8" i="4" s="1"/>
  <c r="BN6" i="4" a="1"/>
  <c r="BN6" i="4" s="1"/>
  <c r="BN8" i="4" s="1"/>
  <c r="BM6" i="4" a="1"/>
  <c r="BM6" i="4"/>
  <c r="BM7" i="4" s="1"/>
  <c r="BL6" i="4" a="1"/>
  <c r="BL6" i="4"/>
  <c r="BK6" i="4" a="1"/>
  <c r="BK6" i="4" s="1"/>
  <c r="BJ6" i="4" a="1"/>
  <c r="BJ6" i="4" s="1"/>
  <c r="BJ7" i="4" s="1"/>
  <c r="BI6" i="4" a="1"/>
  <c r="BI6" i="4"/>
  <c r="BH6" i="4" a="1"/>
  <c r="BH6" i="4"/>
  <c r="BH7" i="4" s="1"/>
  <c r="BG6" i="4" a="1"/>
  <c r="BG6" i="4"/>
  <c r="BG8" i="4" s="1"/>
  <c r="BF6" i="4" a="1"/>
  <c r="BF6" i="4"/>
  <c r="BE6" i="4" a="1"/>
  <c r="BE6" i="4"/>
  <c r="BE8" i="4" s="1"/>
  <c r="BD6" i="4" a="1"/>
  <c r="BD6" i="4" s="1"/>
  <c r="BC6" i="4" a="1"/>
  <c r="BC6" i="4" s="1"/>
  <c r="BC8" i="4" s="1"/>
  <c r="BB6" i="4" a="1"/>
  <c r="BB6" i="4"/>
  <c r="BA6" i="4" a="1"/>
  <c r="BA6" i="4"/>
  <c r="AZ6" i="4" a="1"/>
  <c r="AZ6" i="4"/>
  <c r="AY6" i="4" a="1"/>
  <c r="AY6" i="4" s="1"/>
  <c r="AX6" i="4" a="1"/>
  <c r="AX6" i="4"/>
  <c r="AW6" i="4" a="1"/>
  <c r="AW6" i="4"/>
  <c r="AV6" i="4" a="1"/>
  <c r="AV6" i="4"/>
  <c r="AU6" i="4" a="1"/>
  <c r="AU6" i="4"/>
  <c r="AT6" i="4" a="1"/>
  <c r="AT6" i="4"/>
  <c r="AT7" i="4" s="1"/>
  <c r="AS6" i="4" a="1"/>
  <c r="AS6" i="4"/>
  <c r="AR6" i="4" a="1"/>
  <c r="AR6" i="4" s="1"/>
  <c r="AQ6" i="4" a="1"/>
  <c r="AQ6" i="4" s="1"/>
  <c r="AP6" i="4" a="1"/>
  <c r="AP6" i="4"/>
  <c r="AO6" i="4" a="1"/>
  <c r="AO6" i="4"/>
  <c r="AN6" i="4" a="1"/>
  <c r="AN6" i="4" s="1"/>
  <c r="AM6" i="4" a="1"/>
  <c r="AM6" i="4"/>
  <c r="AL6" i="4" a="1"/>
  <c r="AL6" i="4"/>
  <c r="AK6" i="4" a="1"/>
  <c r="AK6" i="4"/>
  <c r="AJ6" i="4" a="1"/>
  <c r="AJ6" i="4"/>
  <c r="AJ8" i="4" s="1"/>
  <c r="AI6" i="4" a="1"/>
  <c r="AI6" i="4"/>
  <c r="AH6" i="4" a="1"/>
  <c r="AH6" i="4"/>
  <c r="AG6" i="4" a="1"/>
  <c r="AG6" i="4"/>
  <c r="AF6" i="4" a="1"/>
  <c r="AF6" i="4" s="1"/>
  <c r="AF8" i="4" s="1"/>
  <c r="AE6" i="4" a="1"/>
  <c r="AE6" i="4"/>
  <c r="AD6" i="4" a="1"/>
  <c r="AD6" i="4"/>
  <c r="AC6" i="4" a="1"/>
  <c r="AC6" i="4" s="1"/>
  <c r="AB6" i="4" a="1"/>
  <c r="AB6" i="4"/>
  <c r="AA6" i="4" a="1"/>
  <c r="AA6" i="4" s="1"/>
  <c r="AA8" i="4" s="1"/>
  <c r="Z6" i="4" a="1"/>
  <c r="Z6" i="4" s="1"/>
  <c r="Z8" i="4" s="1"/>
  <c r="Y6" i="4" a="1"/>
  <c r="Y6" i="4"/>
  <c r="X6" i="4" a="1"/>
  <c r="X6" i="4"/>
  <c r="W6" i="4" a="1"/>
  <c r="W6" i="4"/>
  <c r="W7" i="4" s="1"/>
  <c r="V6" i="4" a="1"/>
  <c r="V6" i="4"/>
  <c r="U6" i="4" a="1"/>
  <c r="U6" i="4"/>
  <c r="T6" i="4" a="1"/>
  <c r="T6" i="4" s="1"/>
  <c r="T8" i="4" s="1"/>
  <c r="S6" i="4" a="1"/>
  <c r="S6" i="4"/>
  <c r="R6" i="4" a="1"/>
  <c r="R6" i="4" s="1"/>
  <c r="Q6" i="4" a="1"/>
  <c r="Q6" i="4"/>
  <c r="P6" i="4" a="1"/>
  <c r="P6" i="4" s="1"/>
  <c r="O6" i="4" a="1"/>
  <c r="O6" i="4"/>
  <c r="N6" i="4" a="1"/>
  <c r="N6" i="4" s="1"/>
  <c r="M6" i="4" a="1"/>
  <c r="M6" i="4"/>
  <c r="L6" i="4" a="1"/>
  <c r="L6" i="4"/>
  <c r="K6" i="4" a="1"/>
  <c r="K6" i="4" s="1"/>
  <c r="J6" i="4" a="1"/>
  <c r="J6" i="4"/>
  <c r="I6" i="4" a="1"/>
  <c r="I6" i="4" s="1"/>
  <c r="H6" i="4" a="1"/>
  <c r="H6" i="4"/>
  <c r="H8" i="4" s="1"/>
  <c r="G6" i="4" a="1"/>
  <c r="G6" i="4" s="1"/>
  <c r="G7" i="4" s="1"/>
  <c r="F6" i="4" a="1"/>
  <c r="F6" i="4"/>
  <c r="E6" i="4" a="1"/>
  <c r="E6" i="4"/>
  <c r="E8" i="4" s="1"/>
  <c r="D6" i="4" a="1"/>
  <c r="D6" i="4" s="1"/>
  <c r="D8" i="4" s="1"/>
  <c r="C6" i="4" a="1"/>
  <c r="C6" i="4" s="1"/>
  <c r="C7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EM17" i="3" s="1"/>
  <c r="EN17" i="3" s="1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EM15" i="3" s="1"/>
  <c r="EN15" i="3" s="1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EM13" i="3" s="1"/>
  <c r="EN13" i="3" s="1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L8" i="3"/>
  <c r="EE8" i="3"/>
  <c r="DZ8" i="3"/>
  <c r="DY8" i="3"/>
  <c r="DS8" i="3"/>
  <c r="DR8" i="3"/>
  <c r="DQ8" i="3"/>
  <c r="DP8" i="3"/>
  <c r="DL8" i="3"/>
  <c r="DG8" i="3"/>
  <c r="DE8" i="3"/>
  <c r="DD8" i="3"/>
  <c r="DC8" i="3"/>
  <c r="CZ8" i="3"/>
  <c r="CI8" i="3"/>
  <c r="CH8" i="3"/>
  <c r="CG8" i="3"/>
  <c r="CD8" i="3"/>
  <c r="BT8" i="3"/>
  <c r="BS8" i="3"/>
  <c r="BR8" i="3"/>
  <c r="BP8" i="3"/>
  <c r="BO8" i="3"/>
  <c r="BM8" i="3"/>
  <c r="BK8" i="3"/>
  <c r="BF8" i="3"/>
  <c r="BE8" i="3"/>
  <c r="AT8" i="3"/>
  <c r="AS8" i="3"/>
  <c r="AQ8" i="3"/>
  <c r="AO8" i="3"/>
  <c r="AL8" i="3"/>
  <c r="AK8" i="3"/>
  <c r="AJ8" i="3"/>
  <c r="AI8" i="3"/>
  <c r="U8" i="3"/>
  <c r="S8" i="3"/>
  <c r="N8" i="3"/>
  <c r="M8" i="3"/>
  <c r="L8" i="3"/>
  <c r="K8" i="3"/>
  <c r="F8" i="3"/>
  <c r="E8" i="3"/>
  <c r="D8" i="3"/>
  <c r="EM7" i="3"/>
  <c r="EJ7" i="3"/>
  <c r="EE7" i="3"/>
  <c r="ED7" i="3"/>
  <c r="EC7" i="3"/>
  <c r="DZ7" i="3"/>
  <c r="DY7" i="3"/>
  <c r="DS7" i="3"/>
  <c r="DR7" i="3"/>
  <c r="DQ7" i="3"/>
  <c r="DP7" i="3"/>
  <c r="DN7" i="3"/>
  <c r="DG7" i="3"/>
  <c r="DF7" i="3"/>
  <c r="DC7" i="3"/>
  <c r="CU7" i="3"/>
  <c r="CT7" i="3"/>
  <c r="CR7" i="3"/>
  <c r="CN7" i="3"/>
  <c r="CM7" i="3"/>
  <c r="CL7" i="3"/>
  <c r="CG7" i="3"/>
  <c r="CB7" i="3"/>
  <c r="BV7" i="3"/>
  <c r="BK7" i="3"/>
  <c r="AZ7" i="3"/>
  <c r="AY7" i="3"/>
  <c r="AX7" i="3"/>
  <c r="AV7" i="3"/>
  <c r="AU7" i="3"/>
  <c r="AT7" i="3"/>
  <c r="AS7" i="3"/>
  <c r="AO7" i="3"/>
  <c r="AD7" i="3"/>
  <c r="Z7" i="3"/>
  <c r="Y7" i="3"/>
  <c r="W7" i="3"/>
  <c r="V7" i="3"/>
  <c r="U7" i="3"/>
  <c r="T7" i="3"/>
  <c r="S7" i="3"/>
  <c r="N7" i="3"/>
  <c r="M7" i="3"/>
  <c r="H7" i="3"/>
  <c r="EM6" i="3" a="1"/>
  <c r="EM6" i="3" s="1"/>
  <c r="EL6" i="3" a="1"/>
  <c r="EL6" i="3" s="1"/>
  <c r="EL7" i="3" s="1"/>
  <c r="EK6" i="3" a="1"/>
  <c r="EK6" i="3"/>
  <c r="EJ6" i="3" a="1"/>
  <c r="EJ6" i="3"/>
  <c r="EJ8" i="3" s="1"/>
  <c r="EI6" i="3" a="1"/>
  <c r="EI6" i="3"/>
  <c r="EH6" i="3" a="1"/>
  <c r="EH6" i="3"/>
  <c r="EH7" i="3" s="1"/>
  <c r="EG6" i="3" a="1"/>
  <c r="EG6" i="3"/>
  <c r="EG7" i="3" s="1"/>
  <c r="EF6" i="3" a="1"/>
  <c r="EF6" i="3" s="1"/>
  <c r="EE6" i="3" a="1"/>
  <c r="EE6" i="3" s="1"/>
  <c r="ED6" i="3" a="1"/>
  <c r="ED6" i="3"/>
  <c r="ED8" i="3" s="1"/>
  <c r="EC6" i="3" a="1"/>
  <c r="EC6" i="3"/>
  <c r="EC8" i="3" s="1"/>
  <c r="EB6" i="3" a="1"/>
  <c r="EB6" i="3"/>
  <c r="EB8" i="3" s="1"/>
  <c r="EA6" i="3" a="1"/>
  <c r="EA6" i="3" s="1"/>
  <c r="DZ6" i="3" a="1"/>
  <c r="DZ6" i="3"/>
  <c r="DY6" i="3" a="1"/>
  <c r="DY6" i="3"/>
  <c r="DX6" i="3" a="1"/>
  <c r="DX6" i="3"/>
  <c r="DW6" i="3" a="1"/>
  <c r="DW6" i="3"/>
  <c r="DV6" i="3" a="1"/>
  <c r="DV6" i="3"/>
  <c r="DU6" i="3" a="1"/>
  <c r="DU6" i="3"/>
  <c r="DT6" i="3" a="1"/>
  <c r="DT6" i="3" s="1"/>
  <c r="DS6" i="3" a="1"/>
  <c r="DS6" i="3"/>
  <c r="DR6" i="3" a="1"/>
  <c r="DR6" i="3"/>
  <c r="DQ6" i="3" a="1"/>
  <c r="DQ6" i="3"/>
  <c r="DP6" i="3" a="1"/>
  <c r="DP6" i="3" s="1"/>
  <c r="DO6" i="3" a="1"/>
  <c r="DO6" i="3"/>
  <c r="DN6" i="3" a="1"/>
  <c r="DN6" i="3"/>
  <c r="DN8" i="3" s="1"/>
  <c r="DM6" i="3" a="1"/>
  <c r="DM6" i="3"/>
  <c r="DL6" i="3" a="1"/>
  <c r="DL6" i="3"/>
  <c r="DL7" i="3" s="1"/>
  <c r="DK6" i="3" a="1"/>
  <c r="DK6" i="3"/>
  <c r="DJ6" i="3" a="1"/>
  <c r="DJ6" i="3"/>
  <c r="DI6" i="3" a="1"/>
  <c r="DI6" i="3" s="1"/>
  <c r="DH6" i="3" a="1"/>
  <c r="DH6" i="3"/>
  <c r="DH7" i="3" s="1"/>
  <c r="DG6" i="3" a="1"/>
  <c r="DG6" i="3"/>
  <c r="DF6" i="3" a="1"/>
  <c r="DF6" i="3"/>
  <c r="DF8" i="3" s="1"/>
  <c r="DE6" i="3" a="1"/>
  <c r="DE6" i="3" s="1"/>
  <c r="DE7" i="3" s="1"/>
  <c r="DD6" i="3" a="1"/>
  <c r="DD6" i="3"/>
  <c r="DD7" i="3" s="1"/>
  <c r="DC6" i="3" a="1"/>
  <c r="DC6" i="3"/>
  <c r="DB6" i="3" a="1"/>
  <c r="DB6" i="3"/>
  <c r="DA6" i="3" a="1"/>
  <c r="DA6" i="3"/>
  <c r="CZ6" i="3" a="1"/>
  <c r="CZ6" i="3"/>
  <c r="CZ7" i="3" s="1"/>
  <c r="CY6" i="3" a="1"/>
  <c r="CY6" i="3"/>
  <c r="CY7" i="3" s="1"/>
  <c r="CX6" i="3" a="1"/>
  <c r="CX6" i="3" s="1"/>
  <c r="CX7" i="3" s="1"/>
  <c r="CW6" i="3" a="1"/>
  <c r="CW6" i="3"/>
  <c r="CW7" i="3" s="1"/>
  <c r="CV6" i="3" a="1"/>
  <c r="CV6" i="3"/>
  <c r="CV7" i="3" s="1"/>
  <c r="CU6" i="3" a="1"/>
  <c r="CU6" i="3"/>
  <c r="CU8" i="3" s="1"/>
  <c r="CT6" i="3" a="1"/>
  <c r="CT6" i="3" s="1"/>
  <c r="CT8" i="3" s="1"/>
  <c r="CS6" i="3" a="1"/>
  <c r="CS6" i="3"/>
  <c r="CR6" i="3" a="1"/>
  <c r="CR6" i="3"/>
  <c r="CR8" i="3" s="1"/>
  <c r="CQ6" i="3" a="1"/>
  <c r="CQ6" i="3"/>
  <c r="CP6" i="3" a="1"/>
  <c r="CP6" i="3"/>
  <c r="CP8" i="3" s="1"/>
  <c r="CO6" i="3" a="1"/>
  <c r="CO6" i="3"/>
  <c r="CN6" i="3" a="1"/>
  <c r="CN6" i="3"/>
  <c r="CN8" i="3" s="1"/>
  <c r="CM6" i="3" a="1"/>
  <c r="CM6" i="3" s="1"/>
  <c r="CM8" i="3" s="1"/>
  <c r="CL6" i="3" a="1"/>
  <c r="CL6" i="3"/>
  <c r="CL8" i="3" s="1"/>
  <c r="CK6" i="3" a="1"/>
  <c r="CK6" i="3"/>
  <c r="CK8" i="3" s="1"/>
  <c r="CJ6" i="3" a="1"/>
  <c r="CJ6" i="3"/>
  <c r="CI6" i="3" a="1"/>
  <c r="CI6" i="3" s="1"/>
  <c r="CI7" i="3" s="1"/>
  <c r="CH6" i="3" a="1"/>
  <c r="CH6" i="3"/>
  <c r="CH7" i="3" s="1"/>
  <c r="CG6" i="3" a="1"/>
  <c r="CG6" i="3"/>
  <c r="CF6" i="3" a="1"/>
  <c r="CF6" i="3"/>
  <c r="CF7" i="3" s="1"/>
  <c r="CE6" i="3" a="1"/>
  <c r="CE6" i="3"/>
  <c r="CD6" i="3" a="1"/>
  <c r="CD6" i="3"/>
  <c r="CD7" i="3" s="1"/>
  <c r="CC6" i="3" a="1"/>
  <c r="CC6" i="3"/>
  <c r="CC8" i="3" s="1"/>
  <c r="CB6" i="3" a="1"/>
  <c r="CB6" i="3" s="1"/>
  <c r="CB8" i="3" s="1"/>
  <c r="CA6" i="3" a="1"/>
  <c r="CA6" i="3"/>
  <c r="CA8" i="3" s="1"/>
  <c r="BZ6" i="3" a="1"/>
  <c r="BZ6" i="3"/>
  <c r="BZ8" i="3" s="1"/>
  <c r="BY6" i="3" a="1"/>
  <c r="BY6" i="3"/>
  <c r="BY8" i="3" s="1"/>
  <c r="BX6" i="3" a="1"/>
  <c r="BX6" i="3" s="1"/>
  <c r="BW6" i="3" a="1"/>
  <c r="BW6" i="3" s="1"/>
  <c r="BV6" i="3" a="1"/>
  <c r="BV6" i="3"/>
  <c r="BV8" i="3" s="1"/>
  <c r="BU6" i="3" a="1"/>
  <c r="BU6" i="3"/>
  <c r="BU8" i="3" s="1"/>
  <c r="BT6" i="3" a="1"/>
  <c r="BT6" i="3"/>
  <c r="BT7" i="3" s="1"/>
  <c r="BS6" i="3" a="1"/>
  <c r="BS6" i="3"/>
  <c r="BS7" i="3" s="1"/>
  <c r="BR6" i="3" a="1"/>
  <c r="BR6" i="3"/>
  <c r="BR7" i="3" s="1"/>
  <c r="BQ6" i="3" a="1"/>
  <c r="BQ6" i="3" s="1"/>
  <c r="BQ8" i="3" s="1"/>
  <c r="BP6" i="3" a="1"/>
  <c r="BP6" i="3"/>
  <c r="BP7" i="3" s="1"/>
  <c r="BO6" i="3" a="1"/>
  <c r="BO6" i="3"/>
  <c r="BO7" i="3" s="1"/>
  <c r="BN6" i="3" a="1"/>
  <c r="BN6" i="3"/>
  <c r="BM6" i="3" a="1"/>
  <c r="BM6" i="3" s="1"/>
  <c r="BM7" i="3" s="1"/>
  <c r="BL6" i="3" a="1"/>
  <c r="BL6" i="3"/>
  <c r="BK6" i="3" a="1"/>
  <c r="BK6" i="3"/>
  <c r="BJ6" i="3" a="1"/>
  <c r="BJ6" i="3"/>
  <c r="BJ7" i="3" s="1"/>
  <c r="BI6" i="3" a="1"/>
  <c r="BI6" i="3"/>
  <c r="BI7" i="3" s="1"/>
  <c r="BH6" i="3" a="1"/>
  <c r="BH6" i="3"/>
  <c r="BH7" i="3" s="1"/>
  <c r="BG6" i="3" a="1"/>
  <c r="BG6" i="3"/>
  <c r="BF6" i="3" a="1"/>
  <c r="BF6" i="3" s="1"/>
  <c r="BF7" i="3" s="1"/>
  <c r="BE6" i="3" a="1"/>
  <c r="BE6" i="3"/>
  <c r="BE7" i="3" s="1"/>
  <c r="BD6" i="3" a="1"/>
  <c r="BD6" i="3"/>
  <c r="BD7" i="3" s="1"/>
  <c r="BC6" i="3" a="1"/>
  <c r="BC6" i="3"/>
  <c r="BB6" i="3" a="1"/>
  <c r="BB6" i="3" s="1"/>
  <c r="BA6" i="3" a="1"/>
  <c r="BA6" i="3"/>
  <c r="AZ6" i="3" a="1"/>
  <c r="AZ6" i="3"/>
  <c r="AZ8" i="3" s="1"/>
  <c r="AY6" i="3" a="1"/>
  <c r="AY6" i="3"/>
  <c r="AY8" i="3" s="1"/>
  <c r="AX6" i="3" a="1"/>
  <c r="AX6" i="3"/>
  <c r="AX8" i="3" s="1"/>
  <c r="AW6" i="3" a="1"/>
  <c r="AW6" i="3"/>
  <c r="AW7" i="3" s="1"/>
  <c r="AV6" i="3" a="1"/>
  <c r="AV6" i="3"/>
  <c r="AV8" i="3" s="1"/>
  <c r="AU6" i="3" a="1"/>
  <c r="AU6" i="3" s="1"/>
  <c r="AU8" i="3" s="1"/>
  <c r="AT6" i="3" a="1"/>
  <c r="AT6" i="3"/>
  <c r="AS6" i="3" a="1"/>
  <c r="AS6" i="3"/>
  <c r="AR6" i="3" a="1"/>
  <c r="AR6" i="3"/>
  <c r="AQ6" i="3" a="1"/>
  <c r="AQ6" i="3" s="1"/>
  <c r="AQ7" i="3" s="1"/>
  <c r="AP6" i="3" a="1"/>
  <c r="AP6" i="3"/>
  <c r="AO6" i="3" a="1"/>
  <c r="AO6" i="3"/>
  <c r="AN6" i="3" a="1"/>
  <c r="AN6" i="3"/>
  <c r="AN7" i="3" s="1"/>
  <c r="AM6" i="3" a="1"/>
  <c r="AM6" i="3" s="1"/>
  <c r="AM7" i="3" s="1"/>
  <c r="AL6" i="3" a="1"/>
  <c r="AL6" i="3"/>
  <c r="AL7" i="3" s="1"/>
  <c r="AK6" i="3" a="1"/>
  <c r="AK6" i="3"/>
  <c r="AK7" i="3" s="1"/>
  <c r="AJ6" i="3" a="1"/>
  <c r="AJ6" i="3" s="1"/>
  <c r="AJ7" i="3" s="1"/>
  <c r="AI6" i="3" a="1"/>
  <c r="AI6" i="3"/>
  <c r="AI7" i="3" s="1"/>
  <c r="AH6" i="3" a="1"/>
  <c r="AH6" i="3" s="1"/>
  <c r="AG6" i="3" a="1"/>
  <c r="AG6" i="3"/>
  <c r="AG7" i="3" s="1"/>
  <c r="AF6" i="3" a="1"/>
  <c r="AF6" i="3" s="1"/>
  <c r="AE6" i="3" a="1"/>
  <c r="AE6" i="3"/>
  <c r="AD6" i="3" a="1"/>
  <c r="AD6" i="3"/>
  <c r="AD8" i="3" s="1"/>
  <c r="AC6" i="3" a="1"/>
  <c r="AC6" i="3"/>
  <c r="AB6" i="3" a="1"/>
  <c r="AB6" i="3"/>
  <c r="AA6" i="3" a="1"/>
  <c r="AA6" i="3" s="1"/>
  <c r="Z6" i="3" a="1"/>
  <c r="Z6" i="3"/>
  <c r="Z8" i="3" s="1"/>
  <c r="Y6" i="3" a="1"/>
  <c r="Y6" i="3" s="1"/>
  <c r="Y8" i="3" s="1"/>
  <c r="X6" i="3" a="1"/>
  <c r="X6" i="3"/>
  <c r="W6" i="3" a="1"/>
  <c r="W6" i="3"/>
  <c r="W8" i="3" s="1"/>
  <c r="V6" i="3" a="1"/>
  <c r="V6" i="3" s="1"/>
  <c r="V8" i="3" s="1"/>
  <c r="U6" i="3" a="1"/>
  <c r="U6" i="3" s="1"/>
  <c r="T6" i="3" a="1"/>
  <c r="T6" i="3"/>
  <c r="T8" i="3" s="1"/>
  <c r="S6" i="3" a="1"/>
  <c r="S6" i="3"/>
  <c r="R6" i="3" a="1"/>
  <c r="R6" i="3"/>
  <c r="Q6" i="3" a="1"/>
  <c r="Q6" i="3" s="1"/>
  <c r="P6" i="3" a="1"/>
  <c r="P6" i="3"/>
  <c r="O6" i="3" a="1"/>
  <c r="O6" i="3" s="1"/>
  <c r="N6" i="3" a="1"/>
  <c r="N6" i="3" s="1"/>
  <c r="M6" i="3" a="1"/>
  <c r="M6" i="3"/>
  <c r="L6" i="3" a="1"/>
  <c r="L6" i="3"/>
  <c r="L7" i="3" s="1"/>
  <c r="K6" i="3" a="1"/>
  <c r="K6" i="3"/>
  <c r="K7" i="3" s="1"/>
  <c r="J6" i="3" a="1"/>
  <c r="J6" i="3" s="1"/>
  <c r="J7" i="3" s="1"/>
  <c r="I6" i="3" a="1"/>
  <c r="I6" i="3"/>
  <c r="I8" i="3" s="1"/>
  <c r="H6" i="3" a="1"/>
  <c r="H6" i="3"/>
  <c r="H8" i="3" s="1"/>
  <c r="G6" i="3" a="1"/>
  <c r="G6" i="3"/>
  <c r="F6" i="3" a="1"/>
  <c r="F6" i="3"/>
  <c r="F7" i="3" s="1"/>
  <c r="E6" i="3" a="1"/>
  <c r="E6" i="3"/>
  <c r="E7" i="3" s="1"/>
  <c r="D6" i="3" a="1"/>
  <c r="D6" i="3"/>
  <c r="D7" i="3" s="1"/>
  <c r="C6" i="3" a="1"/>
  <c r="C6" i="3" s="1"/>
  <c r="C7" i="3" s="1"/>
  <c r="EN25" i="2"/>
  <c r="EM25" i="2"/>
  <c r="EO25" i="2" s="1"/>
  <c r="EN24" i="2"/>
  <c r="B24" i="2"/>
  <c r="EN23" i="2"/>
  <c r="B23" i="2"/>
  <c r="EN22" i="2"/>
  <c r="B22" i="2"/>
  <c r="EN21" i="2"/>
  <c r="EO21" i="2" s="1"/>
  <c r="B21" i="2"/>
  <c r="EO20" i="2"/>
  <c r="EN20" i="2"/>
  <c r="B20" i="2"/>
  <c r="EN19" i="2"/>
  <c r="EO19" i="2" s="1"/>
  <c r="B19" i="2"/>
  <c r="EO18" i="2"/>
  <c r="EN18" i="2"/>
  <c r="B18" i="2"/>
  <c r="EN17" i="2"/>
  <c r="EO17" i="2" s="1"/>
  <c r="B17" i="2"/>
  <c r="EN16" i="2"/>
  <c r="B16" i="2"/>
  <c r="EN15" i="2"/>
  <c r="EO15" i="2" s="1"/>
  <c r="B15" i="2"/>
  <c r="EN14" i="2"/>
  <c r="EO14" i="2" s="1"/>
  <c r="B14" i="2"/>
  <c r="EN13" i="2"/>
  <c r="EO13" i="2" s="1"/>
  <c r="B13" i="2"/>
  <c r="EN12" i="2"/>
  <c r="EO12" i="2" s="1"/>
  <c r="B12" i="2"/>
  <c r="EL8" i="2"/>
  <c r="EH8" i="2"/>
  <c r="EF8" i="2"/>
  <c r="EE8" i="2"/>
  <c r="DT8" i="2"/>
  <c r="DP8" i="2"/>
  <c r="DN8" i="2"/>
  <c r="DM8" i="2"/>
  <c r="DI8" i="2"/>
  <c r="DB8" i="2"/>
  <c r="DA8" i="2"/>
  <c r="CY8" i="2"/>
  <c r="CX8" i="2"/>
  <c r="CT8" i="2"/>
  <c r="CP8" i="2"/>
  <c r="CO8" i="2"/>
  <c r="CD8" i="2"/>
  <c r="CC8" i="2"/>
  <c r="CB8" i="2"/>
  <c r="BY8" i="2"/>
  <c r="BX8" i="2"/>
  <c r="BW8" i="2"/>
  <c r="BR8" i="2"/>
  <c r="BQ8" i="2"/>
  <c r="BE8" i="2"/>
  <c r="BD8" i="2"/>
  <c r="BC8" i="2"/>
  <c r="BA8" i="2"/>
  <c r="AZ8" i="2"/>
  <c r="AV8" i="2"/>
  <c r="AS8" i="2"/>
  <c r="AR8" i="2"/>
  <c r="AF8" i="2"/>
  <c r="AE8" i="2"/>
  <c r="AD8" i="2"/>
  <c r="AB8" i="2"/>
  <c r="Y8" i="2"/>
  <c r="V8" i="2"/>
  <c r="R8" i="2"/>
  <c r="Q8" i="2"/>
  <c r="P8" i="2"/>
  <c r="O8" i="2"/>
  <c r="N8" i="2"/>
  <c r="I8" i="2"/>
  <c r="F8" i="2"/>
  <c r="EL7" i="2"/>
  <c r="EE7" i="2"/>
  <c r="EA7" i="2"/>
  <c r="DV7" i="2"/>
  <c r="DU7" i="2"/>
  <c r="DT7" i="2"/>
  <c r="DQ7" i="2"/>
  <c r="DI7" i="2"/>
  <c r="DE7" i="2"/>
  <c r="DD7" i="2"/>
  <c r="DB7" i="2"/>
  <c r="DA7" i="2"/>
  <c r="CX7" i="2"/>
  <c r="CW7" i="2"/>
  <c r="CT7" i="2"/>
  <c r="CS7" i="2"/>
  <c r="CO7" i="2"/>
  <c r="CM7" i="2"/>
  <c r="CL7" i="2"/>
  <c r="CK7" i="2"/>
  <c r="CD7" i="2"/>
  <c r="CC7" i="2"/>
  <c r="CB7" i="2"/>
  <c r="BW7" i="2"/>
  <c r="BR7" i="2"/>
  <c r="BQ7" i="2"/>
  <c r="BP7" i="2"/>
  <c r="BN7" i="2"/>
  <c r="BM7" i="2"/>
  <c r="BL7" i="2"/>
  <c r="BE7" i="2"/>
  <c r="AS7" i="2"/>
  <c r="AR7" i="2"/>
  <c r="AN7" i="2"/>
  <c r="AG7" i="2"/>
  <c r="AF7" i="2"/>
  <c r="AE7" i="2"/>
  <c r="T7" i="2"/>
  <c r="S7" i="2"/>
  <c r="R7" i="2"/>
  <c r="O7" i="2"/>
  <c r="K7" i="2"/>
  <c r="I7" i="2"/>
  <c r="E7" i="2"/>
  <c r="D7" i="2"/>
  <c r="C7" i="2"/>
  <c r="EM6" i="2" a="1"/>
  <c r="EM6" i="2" s="1"/>
  <c r="EL6" i="2" a="1"/>
  <c r="EL6" i="2"/>
  <c r="EK6" i="2" a="1"/>
  <c r="EK6" i="2" s="1"/>
  <c r="EJ6" i="2" a="1"/>
  <c r="EJ6" i="2"/>
  <c r="EI6" i="2" a="1"/>
  <c r="EI6" i="2"/>
  <c r="EH6" i="2" a="1"/>
  <c r="EH6" i="2"/>
  <c r="EH7" i="2" s="1"/>
  <c r="EG6" i="2" a="1"/>
  <c r="EG6" i="2"/>
  <c r="EG8" i="2" s="1"/>
  <c r="EF6" i="2" a="1"/>
  <c r="EF6" i="2"/>
  <c r="EF7" i="2" s="1"/>
  <c r="EE6" i="2" a="1"/>
  <c r="EE6" i="2"/>
  <c r="ED6" i="2" a="1"/>
  <c r="ED6" i="2"/>
  <c r="EC6" i="2" a="1"/>
  <c r="EC6" i="2"/>
  <c r="EB6" i="2" a="1"/>
  <c r="EB6" i="2" s="1"/>
  <c r="EA6" i="2" a="1"/>
  <c r="EA6" i="2"/>
  <c r="EA8" i="2" s="1"/>
  <c r="DZ6" i="2" a="1"/>
  <c r="DZ6" i="2"/>
  <c r="DY6" i="2" a="1"/>
  <c r="DY6" i="2"/>
  <c r="DX6" i="2" a="1"/>
  <c r="DX6" i="2"/>
  <c r="DX7" i="2" s="1"/>
  <c r="DW6" i="2" a="1"/>
  <c r="DW6" i="2"/>
  <c r="DW7" i="2" s="1"/>
  <c r="DV6" i="2" a="1"/>
  <c r="DV6" i="2"/>
  <c r="DV8" i="2" s="1"/>
  <c r="DU6" i="2" a="1"/>
  <c r="DU6" i="2" s="1"/>
  <c r="DU8" i="2" s="1"/>
  <c r="DT6" i="2" a="1"/>
  <c r="DT6" i="2"/>
  <c r="DS6" i="2" a="1"/>
  <c r="DS6" i="2"/>
  <c r="DS8" i="2" s="1"/>
  <c r="DR6" i="2" a="1"/>
  <c r="DR6" i="2" s="1"/>
  <c r="DQ6" i="2" a="1"/>
  <c r="DQ6" i="2" s="1"/>
  <c r="DQ8" i="2" s="1"/>
  <c r="DP6" i="2" a="1"/>
  <c r="DP6" i="2"/>
  <c r="DP7" i="2" s="1"/>
  <c r="DO6" i="2" a="1"/>
  <c r="DO6" i="2"/>
  <c r="DN6" i="2" a="1"/>
  <c r="DN6" i="2" s="1"/>
  <c r="DN7" i="2" s="1"/>
  <c r="DM6" i="2" a="1"/>
  <c r="DM6" i="2"/>
  <c r="DM7" i="2" s="1"/>
  <c r="DL6" i="2" a="1"/>
  <c r="DL6" i="2"/>
  <c r="DK6" i="2" a="1"/>
  <c r="DK6" i="2"/>
  <c r="DK8" i="2" s="1"/>
  <c r="DJ6" i="2" a="1"/>
  <c r="DJ6" i="2"/>
  <c r="DI6" i="2" a="1"/>
  <c r="DI6" i="2"/>
  <c r="DH6" i="2" a="1"/>
  <c r="DH6" i="2"/>
  <c r="DH7" i="2" s="1"/>
  <c r="DG6" i="2" a="1"/>
  <c r="DG6" i="2"/>
  <c r="DG7" i="2" s="1"/>
  <c r="DF6" i="2" a="1"/>
  <c r="DF6" i="2" s="1"/>
  <c r="DF7" i="2" s="1"/>
  <c r="DE6" i="2" a="1"/>
  <c r="DE6" i="2"/>
  <c r="DE8" i="2" s="1"/>
  <c r="DD6" i="2" a="1"/>
  <c r="DD6" i="2"/>
  <c r="DD8" i="2" s="1"/>
  <c r="DC6" i="2" a="1"/>
  <c r="DC6" i="2"/>
  <c r="DB6" i="2" a="1"/>
  <c r="DB6" i="2"/>
  <c r="DA6" i="2" a="1"/>
  <c r="DA6" i="2"/>
  <c r="CZ6" i="2" a="1"/>
  <c r="CZ6" i="2"/>
  <c r="CY6" i="2" a="1"/>
  <c r="CY6" i="2"/>
  <c r="CY7" i="2" s="1"/>
  <c r="CX6" i="2" a="1"/>
  <c r="CX6" i="2"/>
  <c r="CW6" i="2" a="1"/>
  <c r="CW6" i="2"/>
  <c r="CW8" i="2" s="1"/>
  <c r="CV6" i="2" a="1"/>
  <c r="CV6" i="2"/>
  <c r="CV8" i="2" s="1"/>
  <c r="CU6" i="2" a="1"/>
  <c r="CU6" i="2" s="1"/>
  <c r="CU8" i="2" s="1"/>
  <c r="CT6" i="2" a="1"/>
  <c r="CT6" i="2"/>
  <c r="CS6" i="2" a="1"/>
  <c r="CS6" i="2"/>
  <c r="CS8" i="2" s="1"/>
  <c r="CR6" i="2" a="1"/>
  <c r="CR6" i="2"/>
  <c r="CQ6" i="2" a="1"/>
  <c r="CQ6" i="2" s="1"/>
  <c r="CP6" i="2" a="1"/>
  <c r="CP6" i="2"/>
  <c r="CP7" i="2" s="1"/>
  <c r="CO6" i="2" a="1"/>
  <c r="CO6" i="2"/>
  <c r="CN6" i="2" a="1"/>
  <c r="CN6" i="2"/>
  <c r="CN7" i="2" s="1"/>
  <c r="CM6" i="2" a="1"/>
  <c r="CM6" i="2" s="1"/>
  <c r="CM8" i="2" s="1"/>
  <c r="CL6" i="2" a="1"/>
  <c r="CL6" i="2"/>
  <c r="CL8" i="2" s="1"/>
  <c r="CK6" i="2" a="1"/>
  <c r="CK6" i="2"/>
  <c r="CK8" i="2" s="1"/>
  <c r="CJ6" i="2" a="1"/>
  <c r="CJ6" i="2"/>
  <c r="CI6" i="2" a="1"/>
  <c r="CI6" i="2" s="1"/>
  <c r="CH6" i="2" a="1"/>
  <c r="CH6" i="2"/>
  <c r="CG6" i="2" a="1"/>
  <c r="CG6" i="2"/>
  <c r="CF6" i="2" a="1"/>
  <c r="CF6" i="2"/>
  <c r="CE6" i="2" a="1"/>
  <c r="CE6" i="2" s="1"/>
  <c r="CD6" i="2" a="1"/>
  <c r="CD6" i="2"/>
  <c r="CC6" i="2" a="1"/>
  <c r="CC6" i="2"/>
  <c r="CB6" i="2" a="1"/>
  <c r="CB6" i="2" s="1"/>
  <c r="CA6" i="2" a="1"/>
  <c r="CA6" i="2"/>
  <c r="BZ6" i="2" a="1"/>
  <c r="BZ6" i="2"/>
  <c r="BZ7" i="2" s="1"/>
  <c r="BY6" i="2" a="1"/>
  <c r="BY6" i="2"/>
  <c r="BY7" i="2" s="1"/>
  <c r="BX6" i="2" a="1"/>
  <c r="BX6" i="2" s="1"/>
  <c r="BX7" i="2" s="1"/>
  <c r="BW6" i="2" a="1"/>
  <c r="BW6" i="2"/>
  <c r="BV6" i="2" a="1"/>
  <c r="BV6" i="2"/>
  <c r="BV7" i="2" s="1"/>
  <c r="BU6" i="2" a="1"/>
  <c r="BU6" i="2" s="1"/>
  <c r="BT6" i="2" a="1"/>
  <c r="BT6" i="2"/>
  <c r="BS6" i="2" a="1"/>
  <c r="BS6" i="2"/>
  <c r="BR6" i="2" a="1"/>
  <c r="BR6" i="2"/>
  <c r="BQ6" i="2" a="1"/>
  <c r="BQ6" i="2" s="1"/>
  <c r="BP6" i="2" a="1"/>
  <c r="BP6" i="2"/>
  <c r="BP8" i="2" s="1"/>
  <c r="BO6" i="2" a="1"/>
  <c r="BO6" i="2"/>
  <c r="BO7" i="2" s="1"/>
  <c r="BN6" i="2" a="1"/>
  <c r="BN6" i="2"/>
  <c r="BN8" i="2" s="1"/>
  <c r="BM6" i="2" a="1"/>
  <c r="BM6" i="2"/>
  <c r="BM8" i="2" s="1"/>
  <c r="BL6" i="2" a="1"/>
  <c r="BL6" i="2" s="1"/>
  <c r="BL8" i="2" s="1"/>
  <c r="BK6" i="2" a="1"/>
  <c r="BK6" i="2"/>
  <c r="BK8" i="2" s="1"/>
  <c r="BJ6" i="2" a="1"/>
  <c r="BJ6" i="2"/>
  <c r="BJ8" i="2" s="1"/>
  <c r="BI6" i="2" a="1"/>
  <c r="BI6" i="2" s="1"/>
  <c r="BH6" i="2" a="1"/>
  <c r="BH6" i="2" s="1"/>
  <c r="BH8" i="2" s="1"/>
  <c r="BG6" i="2" a="1"/>
  <c r="BG6" i="2"/>
  <c r="BF6" i="2" a="1"/>
  <c r="BF6" i="2" s="1"/>
  <c r="BF7" i="2" s="1"/>
  <c r="BE6" i="2" a="1"/>
  <c r="BE6" i="2"/>
  <c r="BD6" i="2" a="1"/>
  <c r="BD6" i="2"/>
  <c r="BD7" i="2" s="1"/>
  <c r="BC6" i="2" a="1"/>
  <c r="BC6" i="2"/>
  <c r="BC7" i="2" s="1"/>
  <c r="BB6" i="2" a="1"/>
  <c r="BB6" i="2"/>
  <c r="BA6" i="2" a="1"/>
  <c r="BA6" i="2" s="1"/>
  <c r="BA7" i="2" s="1"/>
  <c r="AZ6" i="2" a="1"/>
  <c r="AZ6" i="2"/>
  <c r="AZ7" i="2" s="1"/>
  <c r="AY6" i="2" a="1"/>
  <c r="AY6" i="2"/>
  <c r="AY7" i="2" s="1"/>
  <c r="AX6" i="2" a="1"/>
  <c r="AX6" i="2"/>
  <c r="AX7" i="2" s="1"/>
  <c r="AW6" i="2" a="1"/>
  <c r="AW6" i="2"/>
  <c r="AW7" i="2" s="1"/>
  <c r="AV6" i="2" a="1"/>
  <c r="AV6" i="2"/>
  <c r="AV7" i="2" s="1"/>
  <c r="AU6" i="2" a="1"/>
  <c r="AU6" i="2" s="1"/>
  <c r="AT6" i="2" a="1"/>
  <c r="AT6" i="2"/>
  <c r="AS6" i="2" a="1"/>
  <c r="AS6" i="2"/>
  <c r="AR6" i="2" a="1"/>
  <c r="AR6" i="2"/>
  <c r="AQ6" i="2" a="1"/>
  <c r="AQ6" i="2"/>
  <c r="AQ8" i="2" s="1"/>
  <c r="AP6" i="2" a="1"/>
  <c r="AP6" i="2"/>
  <c r="AO6" i="2" a="1"/>
  <c r="AO6" i="2" s="1"/>
  <c r="AN6" i="2" a="1"/>
  <c r="AN6" i="2"/>
  <c r="AN8" i="2" s="1"/>
  <c r="AM6" i="2" a="1"/>
  <c r="AM6" i="2"/>
  <c r="AL6" i="2" a="1"/>
  <c r="AL6" i="2"/>
  <c r="AK6" i="2" a="1"/>
  <c r="AK6" i="2" s="1"/>
  <c r="AJ6" i="2" a="1"/>
  <c r="AJ6" i="2" s="1"/>
  <c r="AI6" i="2" a="1"/>
  <c r="AI6" i="2"/>
  <c r="AH6" i="2" a="1"/>
  <c r="AH6" i="2"/>
  <c r="AG6" i="2" a="1"/>
  <c r="AG6" i="2" s="1"/>
  <c r="AG8" i="2" s="1"/>
  <c r="AF6" i="2" a="1"/>
  <c r="AF6" i="2"/>
  <c r="AE6" i="2" a="1"/>
  <c r="AE6" i="2"/>
  <c r="AD6" i="2" a="1"/>
  <c r="AD6" i="2" s="1"/>
  <c r="AD7" i="2" s="1"/>
  <c r="AC6" i="2" a="1"/>
  <c r="AC6" i="2"/>
  <c r="AC7" i="2" s="1"/>
  <c r="AB6" i="2" a="1"/>
  <c r="AB6" i="2" s="1"/>
  <c r="AB7" i="2" s="1"/>
  <c r="AA6" i="2" a="1"/>
  <c r="AA6" i="2"/>
  <c r="AA7" i="2" s="1"/>
  <c r="Z6" i="2" a="1"/>
  <c r="Z6" i="2"/>
  <c r="Y6" i="2" a="1"/>
  <c r="Y6" i="2" s="1"/>
  <c r="Y7" i="2" s="1"/>
  <c r="X6" i="2" a="1"/>
  <c r="X6" i="2"/>
  <c r="X7" i="2" s="1"/>
  <c r="W6" i="2" a="1"/>
  <c r="W6" i="2"/>
  <c r="W7" i="2" s="1"/>
  <c r="V6" i="2" a="1"/>
  <c r="V6" i="2"/>
  <c r="V7" i="2" s="1"/>
  <c r="U6" i="2" a="1"/>
  <c r="U6" i="2" s="1"/>
  <c r="T6" i="2" a="1"/>
  <c r="T6" i="2"/>
  <c r="T8" i="2" s="1"/>
  <c r="S6" i="2" a="1"/>
  <c r="S6" i="2"/>
  <c r="S8" i="2" s="1"/>
  <c r="R6" i="2" a="1"/>
  <c r="R6" i="2" s="1"/>
  <c r="Q6" i="2" a="1"/>
  <c r="Q6" i="2"/>
  <c r="Q7" i="2" s="1"/>
  <c r="P6" i="2" a="1"/>
  <c r="P6" i="2" s="1"/>
  <c r="P7" i="2" s="1"/>
  <c r="O6" i="2" a="1"/>
  <c r="O6" i="2"/>
  <c r="N6" i="2" a="1"/>
  <c r="N6" i="2" s="1"/>
  <c r="N7" i="2" s="1"/>
  <c r="M6" i="2" a="1"/>
  <c r="M6" i="2"/>
  <c r="L6" i="2" a="1"/>
  <c r="L6" i="2"/>
  <c r="K6" i="2" a="1"/>
  <c r="K6" i="2"/>
  <c r="K8" i="2" s="1"/>
  <c r="J6" i="2" a="1"/>
  <c r="J6" i="2"/>
  <c r="J7" i="2" s="1"/>
  <c r="I6" i="2" a="1"/>
  <c r="I6" i="2" s="1"/>
  <c r="H6" i="2" a="1"/>
  <c r="H6" i="2"/>
  <c r="H7" i="2" s="1"/>
  <c r="G6" i="2" a="1"/>
  <c r="G6" i="2" s="1"/>
  <c r="G7" i="2" s="1"/>
  <c r="F6" i="2" a="1"/>
  <c r="F6" i="2"/>
  <c r="F7" i="2" s="1"/>
  <c r="E6" i="2" a="1"/>
  <c r="E6" i="2"/>
  <c r="E8" i="2" s="1"/>
  <c r="D6" i="2" a="1"/>
  <c r="D6" i="2" s="1"/>
  <c r="D8" i="2" s="1"/>
  <c r="C6" i="2" a="1"/>
  <c r="C6" i="2" s="1"/>
  <c r="C8" i="2" s="1"/>
  <c r="EN25" i="1"/>
  <c r="EM25" i="1"/>
  <c r="EO25" i="1" s="1"/>
  <c r="EN24" i="1"/>
  <c r="EM24" i="1"/>
  <c r="EO24" i="1" s="1"/>
  <c r="B24" i="1"/>
  <c r="EN23" i="1"/>
  <c r="EM23" i="1"/>
  <c r="EO23" i="1" s="1"/>
  <c r="B23" i="1"/>
  <c r="EN22" i="1"/>
  <c r="EM22" i="1"/>
  <c r="EO22" i="1" s="1"/>
  <c r="B22" i="1"/>
  <c r="EN21" i="1"/>
  <c r="EM21" i="1"/>
  <c r="EO21" i="1" s="1"/>
  <c r="B21" i="1"/>
  <c r="EO20" i="1"/>
  <c r="EN20" i="1"/>
  <c r="EM20" i="1"/>
  <c r="B20" i="1"/>
  <c r="EN19" i="1"/>
  <c r="EM19" i="1"/>
  <c r="EO19" i="1" s="1"/>
  <c r="B19" i="1"/>
  <c r="EN18" i="1"/>
  <c r="EM18" i="1"/>
  <c r="EO18" i="1" s="1"/>
  <c r="B18" i="1"/>
  <c r="EN17" i="1"/>
  <c r="EM17" i="1"/>
  <c r="EO17" i="1" s="1"/>
  <c r="B17" i="1"/>
  <c r="EO16" i="1"/>
  <c r="EN16" i="1"/>
  <c r="EM16" i="1"/>
  <c r="B16" i="1"/>
  <c r="EN15" i="1"/>
  <c r="EM15" i="1"/>
  <c r="EO15" i="1" s="1"/>
  <c r="B15" i="1"/>
  <c r="EN14" i="1"/>
  <c r="EM14" i="1"/>
  <c r="B14" i="1"/>
  <c r="EN13" i="1"/>
  <c r="EM13" i="1"/>
  <c r="B13" i="1"/>
  <c r="EN12" i="1"/>
  <c r="EM12" i="1"/>
  <c r="EO12" i="1" s="1"/>
  <c r="B12" i="1"/>
  <c r="EM8" i="1"/>
  <c r="EG8" i="1"/>
  <c r="EF8" i="1"/>
  <c r="EB8" i="1"/>
  <c r="DU8" i="1"/>
  <c r="DT8" i="1"/>
  <c r="DS8" i="1"/>
  <c r="DR8" i="1"/>
  <c r="DQ8" i="1"/>
  <c r="DP8" i="1"/>
  <c r="DO8" i="1"/>
  <c r="DF8" i="1"/>
  <c r="CW8" i="1"/>
  <c r="CV8" i="1"/>
  <c r="CU8" i="1"/>
  <c r="CQ8" i="1"/>
  <c r="CH8" i="1"/>
  <c r="CG8" i="1"/>
  <c r="CF8" i="1"/>
  <c r="CE8" i="1"/>
  <c r="CD8" i="1"/>
  <c r="CC8" i="1"/>
  <c r="BX8" i="1"/>
  <c r="BW8" i="1"/>
  <c r="BV8" i="1"/>
  <c r="BS8" i="1"/>
  <c r="BJ8" i="1"/>
  <c r="BI8" i="1"/>
  <c r="BG8" i="1"/>
  <c r="BF8" i="1"/>
  <c r="AR8" i="1"/>
  <c r="AL8" i="1"/>
  <c r="AH8" i="1"/>
  <c r="AG8" i="1"/>
  <c r="AE8" i="1"/>
  <c r="Z8" i="1"/>
  <c r="Y8" i="1"/>
  <c r="V8" i="1"/>
  <c r="U8" i="1"/>
  <c r="N8" i="1"/>
  <c r="M8" i="1"/>
  <c r="L8" i="1"/>
  <c r="EG7" i="1"/>
  <c r="EF7" i="1"/>
  <c r="EE7" i="1"/>
  <c r="DU7" i="1"/>
  <c r="DT7" i="1"/>
  <c r="DS7" i="1"/>
  <c r="DJ7" i="1"/>
  <c r="DI7" i="1"/>
  <c r="DH7" i="1"/>
  <c r="DG7" i="1"/>
  <c r="CV7" i="1"/>
  <c r="CL7" i="1"/>
  <c r="CK7" i="1"/>
  <c r="CJ7" i="1"/>
  <c r="CI7" i="1"/>
  <c r="CE7" i="1"/>
  <c r="CD7" i="1"/>
  <c r="BV7" i="1"/>
  <c r="BO7" i="1"/>
  <c r="BK7" i="1"/>
  <c r="BG7" i="1"/>
  <c r="BF7" i="1"/>
  <c r="AX7" i="1"/>
  <c r="AW7" i="1"/>
  <c r="AV7" i="1"/>
  <c r="AU7" i="1"/>
  <c r="AT7" i="1"/>
  <c r="AR7" i="1"/>
  <c r="AM7" i="1"/>
  <c r="AI7" i="1"/>
  <c r="AH7" i="1"/>
  <c r="Z7" i="1"/>
  <c r="Y7" i="1"/>
  <c r="X7" i="1"/>
  <c r="W7" i="1"/>
  <c r="V7" i="1"/>
  <c r="U7" i="1"/>
  <c r="T7" i="1"/>
  <c r="EM6" i="1" a="1"/>
  <c r="EM6" i="1"/>
  <c r="EM7" i="1" s="1"/>
  <c r="EL6" i="1" a="1"/>
  <c r="EL6" i="1"/>
  <c r="EL7" i="1" s="1"/>
  <c r="EK6" i="1" a="1"/>
  <c r="EK6" i="1"/>
  <c r="EK7" i="1" s="1"/>
  <c r="EJ6" i="1" a="1"/>
  <c r="EJ6" i="1"/>
  <c r="EJ8" i="1" s="1"/>
  <c r="EI6" i="1" a="1"/>
  <c r="EI6" i="1"/>
  <c r="EI8" i="1" s="1"/>
  <c r="EH6" i="1" a="1"/>
  <c r="EH6" i="1"/>
  <c r="EH8" i="1" s="1"/>
  <c r="EG6" i="1" a="1"/>
  <c r="EG6" i="1" s="1"/>
  <c r="EF6" i="1" a="1"/>
  <c r="EF6" i="1"/>
  <c r="EE6" i="1" a="1"/>
  <c r="EE6" i="1"/>
  <c r="EE8" i="1" s="1"/>
  <c r="ED6" i="1" a="1"/>
  <c r="ED6" i="1"/>
  <c r="EC6" i="1" a="1"/>
  <c r="EC6" i="1"/>
  <c r="EB6" i="1" a="1"/>
  <c r="EB6" i="1"/>
  <c r="EB7" i="1" s="1"/>
  <c r="EA6" i="1" a="1"/>
  <c r="EA6" i="1"/>
  <c r="EA7" i="1" s="1"/>
  <c r="DZ6" i="1" a="1"/>
  <c r="DZ6" i="1"/>
  <c r="DY6" i="1" a="1"/>
  <c r="DY6" i="1"/>
  <c r="DX6" i="1" a="1"/>
  <c r="DX6" i="1"/>
  <c r="DW6" i="1" a="1"/>
  <c r="DW6" i="1"/>
  <c r="DW7" i="1" s="1"/>
  <c r="DV6" i="1" a="1"/>
  <c r="DV6" i="1" s="1"/>
  <c r="DU6" i="1" a="1"/>
  <c r="DU6" i="1"/>
  <c r="DT6" i="1" a="1"/>
  <c r="DT6" i="1"/>
  <c r="DS6" i="1" a="1"/>
  <c r="DS6" i="1"/>
  <c r="DR6" i="1" a="1"/>
  <c r="DR6" i="1"/>
  <c r="DR7" i="1" s="1"/>
  <c r="DQ6" i="1" a="1"/>
  <c r="DQ6" i="1" s="1"/>
  <c r="DQ7" i="1" s="1"/>
  <c r="DP6" i="1" a="1"/>
  <c r="DP6" i="1" s="1"/>
  <c r="DP7" i="1" s="1"/>
  <c r="DO6" i="1" a="1"/>
  <c r="DO6" i="1"/>
  <c r="DO7" i="1" s="1"/>
  <c r="DN6" i="1" a="1"/>
  <c r="DN6" i="1"/>
  <c r="DN7" i="1" s="1"/>
  <c r="DM6" i="1" a="1"/>
  <c r="DM6" i="1"/>
  <c r="DM8" i="1" s="1"/>
  <c r="DL6" i="1" a="1"/>
  <c r="DL6" i="1"/>
  <c r="DL8" i="1" s="1"/>
  <c r="DK6" i="1" a="1"/>
  <c r="DK6" i="1" s="1"/>
  <c r="DK8" i="1" s="1"/>
  <c r="DJ6" i="1" a="1"/>
  <c r="DJ6" i="1"/>
  <c r="DJ8" i="1" s="1"/>
  <c r="DI6" i="1" a="1"/>
  <c r="DI6" i="1"/>
  <c r="DI8" i="1" s="1"/>
  <c r="DH6" i="1" a="1"/>
  <c r="DH6" i="1"/>
  <c r="DH8" i="1" s="1"/>
  <c r="DG6" i="1" a="1"/>
  <c r="DG6" i="1"/>
  <c r="DG8" i="1" s="1"/>
  <c r="DF6" i="1" a="1"/>
  <c r="DF6" i="1"/>
  <c r="DF7" i="1" s="1"/>
  <c r="DE6" i="1" a="1"/>
  <c r="DE6" i="1"/>
  <c r="DE7" i="1" s="1"/>
  <c r="DD6" i="1" a="1"/>
  <c r="DD6" i="1"/>
  <c r="DD7" i="1" s="1"/>
  <c r="DC6" i="1" a="1"/>
  <c r="DC6" i="1"/>
  <c r="DB6" i="1" a="1"/>
  <c r="DB6" i="1"/>
  <c r="DA6" i="1" a="1"/>
  <c r="DA6" i="1"/>
  <c r="CZ6" i="1" a="1"/>
  <c r="CZ6" i="1" s="1"/>
  <c r="CY6" i="1" a="1"/>
  <c r="CY6" i="1"/>
  <c r="CX6" i="1" a="1"/>
  <c r="CX6" i="1" s="1"/>
  <c r="CW6" i="1" a="1"/>
  <c r="CW6" i="1"/>
  <c r="CW7" i="1" s="1"/>
  <c r="CV6" i="1" a="1"/>
  <c r="CV6" i="1"/>
  <c r="CU6" i="1" a="1"/>
  <c r="CU6" i="1"/>
  <c r="CU7" i="1" s="1"/>
  <c r="CT6" i="1" a="1"/>
  <c r="CT6" i="1" s="1"/>
  <c r="CT7" i="1" s="1"/>
  <c r="CS6" i="1" a="1"/>
  <c r="CS6" i="1"/>
  <c r="CR6" i="1" a="1"/>
  <c r="CR6" i="1" s="1"/>
  <c r="CQ6" i="1" a="1"/>
  <c r="CQ6" i="1"/>
  <c r="CQ7" i="1" s="1"/>
  <c r="CP6" i="1" a="1"/>
  <c r="CP6" i="1"/>
  <c r="CP7" i="1" s="1"/>
  <c r="CO6" i="1" a="1"/>
  <c r="CO6" i="1" s="1"/>
  <c r="CO7" i="1" s="1"/>
  <c r="CN6" i="1" a="1"/>
  <c r="CN6" i="1"/>
  <c r="CN7" i="1" s="1"/>
  <c r="CM6" i="1" a="1"/>
  <c r="CM6" i="1" s="1"/>
  <c r="CL6" i="1" a="1"/>
  <c r="CL6" i="1"/>
  <c r="CL8" i="1" s="1"/>
  <c r="CK6" i="1" a="1"/>
  <c r="CK6" i="1"/>
  <c r="CK8" i="1" s="1"/>
  <c r="CJ6" i="1" a="1"/>
  <c r="CJ6" i="1"/>
  <c r="CJ8" i="1" s="1"/>
  <c r="CI6" i="1" a="1"/>
  <c r="CI6" i="1"/>
  <c r="CI8" i="1" s="1"/>
  <c r="CH6" i="1" a="1"/>
  <c r="CH6" i="1"/>
  <c r="CH7" i="1" s="1"/>
  <c r="CG6" i="1" a="1"/>
  <c r="CG6" i="1"/>
  <c r="CG7" i="1" s="1"/>
  <c r="CF6" i="1" a="1"/>
  <c r="CF6" i="1" s="1"/>
  <c r="CF7" i="1" s="1"/>
  <c r="CE6" i="1" a="1"/>
  <c r="CE6" i="1"/>
  <c r="CD6" i="1" a="1"/>
  <c r="CD6" i="1" s="1"/>
  <c r="CC6" i="1" a="1"/>
  <c r="CC6" i="1"/>
  <c r="CC7" i="1" s="1"/>
  <c r="CB6" i="1" a="1"/>
  <c r="CB6" i="1"/>
  <c r="CB8" i="1" s="1"/>
  <c r="CA6" i="1" a="1"/>
  <c r="CA6" i="1" s="1"/>
  <c r="CA8" i="1" s="1"/>
  <c r="BZ6" i="1" a="1"/>
  <c r="BZ6" i="1"/>
  <c r="BZ8" i="1" s="1"/>
  <c r="BY6" i="1" a="1"/>
  <c r="BY6" i="1"/>
  <c r="BX6" i="1" a="1"/>
  <c r="BX6" i="1"/>
  <c r="BX7" i="1" s="1"/>
  <c r="BW6" i="1" a="1"/>
  <c r="BW6" i="1" s="1"/>
  <c r="BW7" i="1" s="1"/>
  <c r="BV6" i="1" a="1"/>
  <c r="BV6" i="1"/>
  <c r="BU6" i="1" a="1"/>
  <c r="BU6" i="1"/>
  <c r="BU7" i="1" s="1"/>
  <c r="BT6" i="1" a="1"/>
  <c r="BT6" i="1" s="1"/>
  <c r="BS6" i="1" a="1"/>
  <c r="BS6" i="1" s="1"/>
  <c r="BS7" i="1" s="1"/>
  <c r="BR6" i="1" a="1"/>
  <c r="BR6" i="1"/>
  <c r="BR7" i="1" s="1"/>
  <c r="BQ6" i="1" a="1"/>
  <c r="BQ6" i="1"/>
  <c r="BP6" i="1" a="1"/>
  <c r="BP6" i="1" s="1"/>
  <c r="BO6" i="1" a="1"/>
  <c r="BO6" i="1"/>
  <c r="BO8" i="1" s="1"/>
  <c r="BN6" i="1" a="1"/>
  <c r="BN6" i="1"/>
  <c r="BN8" i="1" s="1"/>
  <c r="BM6" i="1" a="1"/>
  <c r="BM6" i="1"/>
  <c r="BM8" i="1" s="1"/>
  <c r="BL6" i="1" a="1"/>
  <c r="BL6" i="1" s="1"/>
  <c r="BK6" i="1" a="1"/>
  <c r="BK6" i="1"/>
  <c r="BK8" i="1" s="1"/>
  <c r="BJ6" i="1" a="1"/>
  <c r="BJ6" i="1"/>
  <c r="BJ7" i="1" s="1"/>
  <c r="BI6" i="1" a="1"/>
  <c r="BI6" i="1"/>
  <c r="BI7" i="1" s="1"/>
  <c r="BH6" i="1" a="1"/>
  <c r="BH6" i="1" s="1"/>
  <c r="BG6" i="1" a="1"/>
  <c r="BG6" i="1"/>
  <c r="BF6" i="1" a="1"/>
  <c r="BF6" i="1"/>
  <c r="BE6" i="1" a="1"/>
  <c r="BE6" i="1"/>
  <c r="BE7" i="1" s="1"/>
  <c r="BD6" i="1" a="1"/>
  <c r="BD6" i="1" s="1"/>
  <c r="BD8" i="1" s="1"/>
  <c r="BC6" i="1" a="1"/>
  <c r="BC6" i="1"/>
  <c r="BB6" i="1" a="1"/>
  <c r="BB6" i="1"/>
  <c r="BA6" i="1" a="1"/>
  <c r="BA6" i="1"/>
  <c r="BA7" i="1" s="1"/>
  <c r="AZ6" i="1" a="1"/>
  <c r="AZ6" i="1" s="1"/>
  <c r="AZ7" i="1" s="1"/>
  <c r="AY6" i="1" a="1"/>
  <c r="AY6" i="1"/>
  <c r="AY7" i="1" s="1"/>
  <c r="AX6" i="1" a="1"/>
  <c r="AX6" i="1"/>
  <c r="AX8" i="1" s="1"/>
  <c r="AW6" i="1" a="1"/>
  <c r="AW6" i="1" s="1"/>
  <c r="AW8" i="1" s="1"/>
  <c r="AV6" i="1" a="1"/>
  <c r="AV6" i="1"/>
  <c r="AV8" i="1" s="1"/>
  <c r="AU6" i="1" a="1"/>
  <c r="AU6" i="1"/>
  <c r="AU8" i="1" s="1"/>
  <c r="AT6" i="1" a="1"/>
  <c r="AT6" i="1"/>
  <c r="AT8" i="1" s="1"/>
  <c r="AS6" i="1" a="1"/>
  <c r="AS6" i="1" s="1"/>
  <c r="AS8" i="1" s="1"/>
  <c r="AR6" i="1" a="1"/>
  <c r="AR6" i="1"/>
  <c r="AQ6" i="1" a="1"/>
  <c r="AQ6" i="1"/>
  <c r="AP6" i="1" a="1"/>
  <c r="AP6" i="1"/>
  <c r="AO6" i="1" a="1"/>
  <c r="AO6" i="1"/>
  <c r="AN6" i="1" a="1"/>
  <c r="AN6" i="1"/>
  <c r="AM6" i="1" a="1"/>
  <c r="AM6" i="1"/>
  <c r="AM8" i="1" s="1"/>
  <c r="AL6" i="1" a="1"/>
  <c r="AL6" i="1" s="1"/>
  <c r="AL7" i="1" s="1"/>
  <c r="AK6" i="1" a="1"/>
  <c r="AK6" i="1"/>
  <c r="AK7" i="1" s="1"/>
  <c r="AJ6" i="1" a="1"/>
  <c r="AJ6" i="1"/>
  <c r="AJ7" i="1" s="1"/>
  <c r="AI6" i="1" a="1"/>
  <c r="AI6" i="1"/>
  <c r="AI8" i="1" s="1"/>
  <c r="AH6" i="1" a="1"/>
  <c r="AH6" i="1"/>
  <c r="AG6" i="1" a="1"/>
  <c r="AG6" i="1" s="1"/>
  <c r="AG7" i="1" s="1"/>
  <c r="AF6" i="1" a="1"/>
  <c r="AF6" i="1"/>
  <c r="AE6" i="1" a="1"/>
  <c r="AE6" i="1"/>
  <c r="AE7" i="1" s="1"/>
  <c r="AD6" i="1" a="1"/>
  <c r="AD6" i="1"/>
  <c r="AD7" i="1" s="1"/>
  <c r="AC6" i="1" a="1"/>
  <c r="AC6" i="1" s="1"/>
  <c r="AC7" i="1" s="1"/>
  <c r="AB6" i="1" a="1"/>
  <c r="AB6" i="1"/>
  <c r="AB7" i="1" s="1"/>
  <c r="AA6" i="1" a="1"/>
  <c r="AA6" i="1" s="1"/>
  <c r="AA7" i="1" s="1"/>
  <c r="Z6" i="1" a="1"/>
  <c r="Z6" i="1"/>
  <c r="Y6" i="1" a="1"/>
  <c r="Y6" i="1"/>
  <c r="X6" i="1" a="1"/>
  <c r="X6" i="1"/>
  <c r="X8" i="1" s="1"/>
  <c r="W6" i="1" a="1"/>
  <c r="W6" i="1"/>
  <c r="W8" i="1" s="1"/>
  <c r="V6" i="1" a="1"/>
  <c r="V6" i="1" s="1"/>
  <c r="U6" i="1" a="1"/>
  <c r="U6" i="1"/>
  <c r="T6" i="1" a="1"/>
  <c r="T6" i="1"/>
  <c r="T8" i="1" s="1"/>
  <c r="S6" i="1" a="1"/>
  <c r="S6" i="1"/>
  <c r="S8" i="1" s="1"/>
  <c r="R6" i="1" a="1"/>
  <c r="R6" i="1"/>
  <c r="Q6" i="1" a="1"/>
  <c r="Q6" i="1"/>
  <c r="P6" i="1" a="1"/>
  <c r="P6" i="1" s="1"/>
  <c r="O6" i="1" a="1"/>
  <c r="O6" i="1"/>
  <c r="N6" i="1" a="1"/>
  <c r="N6" i="1"/>
  <c r="N7" i="1" s="1"/>
  <c r="M6" i="1" a="1"/>
  <c r="M6" i="1"/>
  <c r="M7" i="1" s="1"/>
  <c r="L6" i="1" a="1"/>
  <c r="L6" i="1"/>
  <c r="L7" i="1" s="1"/>
  <c r="K6" i="1" a="1"/>
  <c r="K6" i="1"/>
  <c r="J6" i="1" a="1"/>
  <c r="J6" i="1" s="1"/>
  <c r="I6" i="1" a="1"/>
  <c r="I6" i="1"/>
  <c r="I7" i="1" s="1"/>
  <c r="H6" i="1" a="1"/>
  <c r="H6" i="1"/>
  <c r="G6" i="1" a="1"/>
  <c r="G6" i="1"/>
  <c r="F6" i="1" a="1"/>
  <c r="F6" i="1" s="1"/>
  <c r="E6" i="1" a="1"/>
  <c r="E6" i="1" s="1"/>
  <c r="D6" i="1" a="1"/>
  <c r="D6" i="1"/>
  <c r="C6" i="1" a="1"/>
  <c r="C6" i="1"/>
  <c r="EO16" i="2" l="1"/>
  <c r="EO24" i="2"/>
  <c r="BI8" i="2"/>
  <c r="BI7" i="2"/>
  <c r="BX8" i="4"/>
  <c r="BX7" i="4"/>
  <c r="DR7" i="2"/>
  <c r="DR8" i="2"/>
  <c r="BU7" i="2"/>
  <c r="BU8" i="2"/>
  <c r="Q7" i="3"/>
  <c r="Q8" i="3"/>
  <c r="CY7" i="4"/>
  <c r="CY8" i="4"/>
  <c r="AH7" i="7"/>
  <c r="AH8" i="7"/>
  <c r="U7" i="7"/>
  <c r="U8" i="7"/>
  <c r="DX7" i="3"/>
  <c r="DX8" i="3"/>
  <c r="EM14" i="3"/>
  <c r="EN14" i="3" s="1"/>
  <c r="X7" i="4"/>
  <c r="X8" i="4"/>
  <c r="AK7" i="4"/>
  <c r="AK8" i="4"/>
  <c r="BW8" i="4"/>
  <c r="BW7" i="4"/>
  <c r="CL8" i="4"/>
  <c r="CL7" i="4"/>
  <c r="DK7" i="4"/>
  <c r="DK8" i="4"/>
  <c r="DV8" i="4"/>
  <c r="AT8" i="7"/>
  <c r="AT7" i="7"/>
  <c r="BH7" i="7"/>
  <c r="BH8" i="7"/>
  <c r="BT7" i="7"/>
  <c r="BT8" i="7"/>
  <c r="CU8" i="7"/>
  <c r="CU7" i="7"/>
  <c r="EI7" i="7"/>
  <c r="EI8" i="7"/>
  <c r="BN7" i="1"/>
  <c r="BH7" i="2"/>
  <c r="BF8" i="2"/>
  <c r="EK8" i="3"/>
  <c r="EK7" i="3"/>
  <c r="CV8" i="3"/>
  <c r="K8" i="4"/>
  <c r="K7" i="4"/>
  <c r="BK7" i="4"/>
  <c r="BK8" i="4"/>
  <c r="CM8" i="4"/>
  <c r="CM7" i="4"/>
  <c r="H7" i="7"/>
  <c r="H8" i="7"/>
  <c r="CV7" i="7"/>
  <c r="CV8" i="7"/>
  <c r="BQ7" i="7"/>
  <c r="BD7" i="4"/>
  <c r="BD8" i="4"/>
  <c r="BQ7" i="4"/>
  <c r="BQ8" i="4"/>
  <c r="CX7" i="1"/>
  <c r="CX8" i="1"/>
  <c r="S8" i="4"/>
  <c r="S7" i="4"/>
  <c r="DD7" i="7"/>
  <c r="DD8" i="7"/>
  <c r="BY7" i="1"/>
  <c r="BY8" i="1"/>
  <c r="CY8" i="1"/>
  <c r="CY7" i="1"/>
  <c r="CJ7" i="2"/>
  <c r="CJ8" i="2"/>
  <c r="EF7" i="3"/>
  <c r="EF8" i="3"/>
  <c r="J8" i="3"/>
  <c r="CP7" i="7"/>
  <c r="CP8" i="7"/>
  <c r="BL8" i="1"/>
  <c r="BL7" i="1"/>
  <c r="DX8" i="1"/>
  <c r="DX7" i="1"/>
  <c r="DW8" i="1"/>
  <c r="L8" i="2"/>
  <c r="L7" i="2"/>
  <c r="AM8" i="2"/>
  <c r="AM7" i="2"/>
  <c r="AW8" i="2"/>
  <c r="BW8" i="3"/>
  <c r="BW7" i="3"/>
  <c r="CJ8" i="3"/>
  <c r="CJ7" i="3"/>
  <c r="DT8" i="3"/>
  <c r="DT7" i="3"/>
  <c r="CQ7" i="7"/>
  <c r="CQ8" i="7"/>
  <c r="DE7" i="7"/>
  <c r="DE8" i="7"/>
  <c r="DR8" i="7"/>
  <c r="DR7" i="7"/>
  <c r="EE7" i="7"/>
  <c r="EE8" i="7"/>
  <c r="C24" i="8"/>
  <c r="O8" i="1"/>
  <c r="O7" i="1"/>
  <c r="AN8" i="1"/>
  <c r="AN7" i="1"/>
  <c r="CZ8" i="1"/>
  <c r="CZ7" i="1"/>
  <c r="Z7" i="2"/>
  <c r="Z8" i="2"/>
  <c r="EG7" i="2"/>
  <c r="AX8" i="2"/>
  <c r="BX7" i="3"/>
  <c r="BX8" i="3"/>
  <c r="DU8" i="3"/>
  <c r="DU7" i="3"/>
  <c r="AF7" i="4"/>
  <c r="BD7" i="7"/>
  <c r="BD8" i="7"/>
  <c r="C7" i="1"/>
  <c r="C8" i="1"/>
  <c r="CM8" i="1"/>
  <c r="CM7" i="1"/>
  <c r="DA8" i="1"/>
  <c r="DA7" i="1"/>
  <c r="M8" i="2"/>
  <c r="M7" i="2"/>
  <c r="DI7" i="3"/>
  <c r="DI8" i="3"/>
  <c r="AQ8" i="7"/>
  <c r="AQ7" i="7"/>
  <c r="BE8" i="7"/>
  <c r="BE7" i="7"/>
  <c r="CR7" i="7"/>
  <c r="CR8" i="7"/>
  <c r="DF8" i="7"/>
  <c r="DF7" i="7"/>
  <c r="P8" i="1"/>
  <c r="P7" i="1"/>
  <c r="AB8" i="1"/>
  <c r="DJ8" i="2"/>
  <c r="DJ7" i="2"/>
  <c r="DJ7" i="3"/>
  <c r="DJ8" i="3"/>
  <c r="EM16" i="3"/>
  <c r="EN16" i="3" s="1"/>
  <c r="CI7" i="4"/>
  <c r="CI8" i="4"/>
  <c r="C8" i="4"/>
  <c r="R8" i="7"/>
  <c r="R7" i="7"/>
  <c r="AR8" i="7"/>
  <c r="AR7" i="7"/>
  <c r="CS8" i="7"/>
  <c r="CS7" i="7"/>
  <c r="EG8" i="7"/>
  <c r="EG7" i="7"/>
  <c r="DQ8" i="7"/>
  <c r="D8" i="1"/>
  <c r="D7" i="1"/>
  <c r="Q8" i="1"/>
  <c r="Q7" i="1"/>
  <c r="BB7" i="1"/>
  <c r="BB8" i="1"/>
  <c r="DB8" i="1"/>
  <c r="DB7" i="1"/>
  <c r="DZ7" i="1"/>
  <c r="DZ8" i="1"/>
  <c r="DK7" i="1"/>
  <c r="AC8" i="1"/>
  <c r="EK8" i="1"/>
  <c r="DF8" i="2"/>
  <c r="AB8" i="3"/>
  <c r="AB7" i="3"/>
  <c r="BA8" i="3"/>
  <c r="BA7" i="3"/>
  <c r="EI8" i="3"/>
  <c r="EI7" i="3"/>
  <c r="EG8" i="3"/>
  <c r="CJ8" i="4"/>
  <c r="CJ7" i="4"/>
  <c r="F8" i="7"/>
  <c r="F7" i="7"/>
  <c r="BF7" i="7"/>
  <c r="BF8" i="7"/>
  <c r="AP8" i="1"/>
  <c r="AP7" i="1"/>
  <c r="DL7" i="1"/>
  <c r="AD8" i="1"/>
  <c r="CN8" i="1"/>
  <c r="EL8" i="1"/>
  <c r="J8" i="2"/>
  <c r="DG8" i="2"/>
  <c r="O8" i="3"/>
  <c r="O7" i="3"/>
  <c r="DK8" i="3"/>
  <c r="DK7" i="3"/>
  <c r="DW7" i="3"/>
  <c r="DW8" i="3"/>
  <c r="EH8" i="3"/>
  <c r="BV7" i="4"/>
  <c r="BV8" i="4"/>
  <c r="AS8" i="7"/>
  <c r="AS7" i="7"/>
  <c r="CT8" i="7"/>
  <c r="CT7" i="7"/>
  <c r="DT7" i="7"/>
  <c r="E7" i="1"/>
  <c r="E8" i="1"/>
  <c r="R8" i="1"/>
  <c r="R7" i="1"/>
  <c r="BC7" i="1"/>
  <c r="BC8" i="1"/>
  <c r="DC8" i="1"/>
  <c r="DC7" i="1"/>
  <c r="DM7" i="1"/>
  <c r="CO8" i="1"/>
  <c r="DH8" i="2"/>
  <c r="P7" i="3"/>
  <c r="P8" i="3"/>
  <c r="AC8" i="3"/>
  <c r="AC7" i="3"/>
  <c r="BB8" i="3"/>
  <c r="BB7" i="3"/>
  <c r="AW8" i="4"/>
  <c r="AW7" i="4"/>
  <c r="G8" i="7"/>
  <c r="G7" i="7"/>
  <c r="BG7" i="7"/>
  <c r="BG8" i="7"/>
  <c r="DU7" i="7"/>
  <c r="C20" i="8"/>
  <c r="F7" i="1"/>
  <c r="F8" i="1"/>
  <c r="BP8" i="1"/>
  <c r="BP7" i="1"/>
  <c r="AR8" i="3"/>
  <c r="AR7" i="3"/>
  <c r="DA7" i="3"/>
  <c r="DA8" i="3"/>
  <c r="DM8" i="3"/>
  <c r="DM7" i="3"/>
  <c r="CW8" i="3"/>
  <c r="L8" i="4"/>
  <c r="L7" i="4"/>
  <c r="AL8" i="4"/>
  <c r="AL7" i="4"/>
  <c r="BL8" i="4"/>
  <c r="BL7" i="4"/>
  <c r="CN7" i="4"/>
  <c r="CN8" i="4"/>
  <c r="BI7" i="7"/>
  <c r="BI8" i="7"/>
  <c r="DZ8" i="2"/>
  <c r="DZ7" i="2"/>
  <c r="BJ7" i="2"/>
  <c r="AM8" i="3"/>
  <c r="AI7" i="7"/>
  <c r="AI8" i="7"/>
  <c r="BV7" i="7"/>
  <c r="BV8" i="7"/>
  <c r="DX8" i="7"/>
  <c r="DX7" i="7"/>
  <c r="BS7" i="7"/>
  <c r="BY7" i="3"/>
  <c r="AN8" i="3"/>
  <c r="M8" i="4"/>
  <c r="M7" i="4"/>
  <c r="AV8" i="7"/>
  <c r="AV7" i="7"/>
  <c r="CA7" i="1"/>
  <c r="BA8" i="1"/>
  <c r="EM7" i="2"/>
  <c r="EM8" i="2"/>
  <c r="BV8" i="2"/>
  <c r="W8" i="7"/>
  <c r="W7" i="7"/>
  <c r="AJ7" i="7"/>
  <c r="AJ8" i="7"/>
  <c r="CB7" i="1"/>
  <c r="EH7" i="1"/>
  <c r="CE7" i="2"/>
  <c r="CE8" i="2"/>
  <c r="CR7" i="2"/>
  <c r="CR8" i="2"/>
  <c r="X8" i="2"/>
  <c r="CA7" i="3"/>
  <c r="EI7" i="1"/>
  <c r="DN8" i="1"/>
  <c r="AH8" i="2"/>
  <c r="AH7" i="2"/>
  <c r="BG7" i="2"/>
  <c r="BG8" i="2"/>
  <c r="CF7" i="2"/>
  <c r="CF8" i="2"/>
  <c r="EB8" i="2"/>
  <c r="EB7" i="2"/>
  <c r="EI8" i="4"/>
  <c r="CE8" i="7"/>
  <c r="BH7" i="1"/>
  <c r="BH8" i="1"/>
  <c r="EJ7" i="1"/>
  <c r="AU7" i="2"/>
  <c r="AU8" i="2"/>
  <c r="BT7" i="2"/>
  <c r="BT8" i="2"/>
  <c r="EC8" i="2"/>
  <c r="EC7" i="2"/>
  <c r="BD8" i="3"/>
  <c r="EM19" i="3"/>
  <c r="EN19" i="3" s="1"/>
  <c r="P7" i="4"/>
  <c r="P8" i="4"/>
  <c r="AJ8" i="2"/>
  <c r="AJ7" i="2"/>
  <c r="CH8" i="2"/>
  <c r="CH7" i="2"/>
  <c r="DV7" i="1"/>
  <c r="DV8" i="1"/>
  <c r="AK8" i="2"/>
  <c r="AK7" i="2"/>
  <c r="AR8" i="4"/>
  <c r="AR7" i="4"/>
  <c r="EC7" i="7"/>
  <c r="EC8" i="7"/>
  <c r="AL8" i="2"/>
  <c r="AL7" i="2"/>
  <c r="CI8" i="2"/>
  <c r="CI7" i="2"/>
  <c r="DY7" i="1"/>
  <c r="DY8" i="1"/>
  <c r="AA8" i="1"/>
  <c r="AY8" i="2"/>
  <c r="BL8" i="3"/>
  <c r="BL7" i="3"/>
  <c r="AO8" i="1"/>
  <c r="AO7" i="1"/>
  <c r="AA8" i="3"/>
  <c r="AA7" i="3"/>
  <c r="DV7" i="3"/>
  <c r="DV8" i="3"/>
  <c r="AF8" i="7"/>
  <c r="AF7" i="7"/>
  <c r="BN8" i="3"/>
  <c r="BN7" i="3"/>
  <c r="CU7" i="2"/>
  <c r="AP8" i="3"/>
  <c r="AP7" i="3"/>
  <c r="CG7" i="7"/>
  <c r="CG8" i="7"/>
  <c r="DH7" i="7"/>
  <c r="DH8" i="7"/>
  <c r="AG8" i="7"/>
  <c r="AQ7" i="1"/>
  <c r="AQ8" i="1"/>
  <c r="BM7" i="1"/>
  <c r="CP8" i="1"/>
  <c r="CV7" i="2"/>
  <c r="BC8" i="3"/>
  <c r="BC7" i="3"/>
  <c r="CO8" i="3"/>
  <c r="CO7" i="3"/>
  <c r="EM12" i="3"/>
  <c r="EN12" i="3" s="1"/>
  <c r="Y7" i="4"/>
  <c r="Y8" i="4"/>
  <c r="DL7" i="4"/>
  <c r="DL8" i="4"/>
  <c r="DX8" i="4"/>
  <c r="DX7" i="4"/>
  <c r="I8" i="7"/>
  <c r="I7" i="7"/>
  <c r="AU8" i="7"/>
  <c r="AU7" i="7"/>
  <c r="BU7" i="7"/>
  <c r="BU8" i="7"/>
  <c r="BR7" i="7"/>
  <c r="CX8" i="3"/>
  <c r="AY8" i="4"/>
  <c r="AY7" i="4"/>
  <c r="BZ7" i="1"/>
  <c r="AZ8" i="1"/>
  <c r="BK7" i="2"/>
  <c r="CY8" i="3"/>
  <c r="EM24" i="3"/>
  <c r="EN24" i="3" s="1"/>
  <c r="J7" i="7"/>
  <c r="J8" i="7"/>
  <c r="CX8" i="7"/>
  <c r="CX7" i="7"/>
  <c r="CQ7" i="2"/>
  <c r="CQ8" i="2"/>
  <c r="DC8" i="2"/>
  <c r="DC7" i="2"/>
  <c r="DO7" i="2"/>
  <c r="DO8" i="2"/>
  <c r="W8" i="2"/>
  <c r="BZ7" i="3"/>
  <c r="BT7" i="1"/>
  <c r="BT8" i="1"/>
  <c r="AT7" i="2"/>
  <c r="AT8" i="2"/>
  <c r="BS8" i="2"/>
  <c r="BS7" i="2"/>
  <c r="EH8" i="4"/>
  <c r="BX8" i="7"/>
  <c r="BX7" i="7"/>
  <c r="CK7" i="7"/>
  <c r="CK8" i="7"/>
  <c r="CD8" i="7"/>
  <c r="J7" i="1"/>
  <c r="J8" i="1"/>
  <c r="K7" i="1"/>
  <c r="K8" i="1"/>
  <c r="U8" i="2"/>
  <c r="U7" i="2"/>
  <c r="CC7" i="3"/>
  <c r="CF8" i="7"/>
  <c r="AI8" i="2"/>
  <c r="AI7" i="2"/>
  <c r="CG8" i="2"/>
  <c r="CG7" i="2"/>
  <c r="ED8" i="2"/>
  <c r="ED7" i="2"/>
  <c r="DS7" i="2"/>
  <c r="CK7" i="3"/>
  <c r="C8" i="3"/>
  <c r="DH8" i="3"/>
  <c r="CC8" i="4"/>
  <c r="CC7" i="4"/>
  <c r="BQ7" i="1"/>
  <c r="BQ8" i="1"/>
  <c r="AO8" i="2"/>
  <c r="AO7" i="2"/>
  <c r="R7" i="3"/>
  <c r="R8" i="3"/>
  <c r="AE8" i="3"/>
  <c r="AE7" i="3"/>
  <c r="EM22" i="3"/>
  <c r="EN22" i="3" s="1"/>
  <c r="AZ8" i="4"/>
  <c r="AZ7" i="4"/>
  <c r="CO7" i="4"/>
  <c r="CO8" i="4"/>
  <c r="DM8" i="4"/>
  <c r="DM7" i="4"/>
  <c r="BL8" i="7"/>
  <c r="BL7" i="7"/>
  <c r="N7" i="4"/>
  <c r="N8" i="4"/>
  <c r="BM8" i="4"/>
  <c r="AY7" i="7"/>
  <c r="AY8" i="7"/>
  <c r="H8" i="1"/>
  <c r="H7" i="1"/>
  <c r="BE8" i="1"/>
  <c r="AN8" i="4"/>
  <c r="AN7" i="4"/>
  <c r="CA8" i="4"/>
  <c r="CA7" i="4"/>
  <c r="CR7" i="1"/>
  <c r="CR8" i="1"/>
  <c r="G8" i="3"/>
  <c r="G7" i="3"/>
  <c r="CE7" i="3"/>
  <c r="CE8" i="3"/>
  <c r="CQ8" i="3"/>
  <c r="CQ7" i="3"/>
  <c r="DO8" i="3"/>
  <c r="DO7" i="3"/>
  <c r="EM20" i="3"/>
  <c r="EN20" i="3" s="1"/>
  <c r="AF7" i="1"/>
  <c r="AF8" i="1"/>
  <c r="BZ8" i="2"/>
  <c r="BZ8" i="4"/>
  <c r="BZ7" i="4"/>
  <c r="AF7" i="3"/>
  <c r="AF8" i="3"/>
  <c r="O8" i="4"/>
  <c r="O7" i="4"/>
  <c r="BA8" i="4"/>
  <c r="BA7" i="4"/>
  <c r="EC8" i="1"/>
  <c r="EC7" i="1"/>
  <c r="BD7" i="1"/>
  <c r="DE8" i="1"/>
  <c r="EA8" i="3"/>
  <c r="EA7" i="3"/>
  <c r="CS7" i="1"/>
  <c r="CS8" i="1"/>
  <c r="BG7" i="3"/>
  <c r="BG8" i="3"/>
  <c r="BN7" i="4"/>
  <c r="EB8" i="7"/>
  <c r="EB7" i="7"/>
  <c r="G7" i="1"/>
  <c r="G8" i="1"/>
  <c r="S7" i="1"/>
  <c r="EO13" i="1"/>
  <c r="EK8" i="2"/>
  <c r="EK7" i="2"/>
  <c r="AH8" i="3"/>
  <c r="AH7" i="3"/>
  <c r="EM18" i="3"/>
  <c r="EN18" i="3" s="1"/>
  <c r="AP8" i="4"/>
  <c r="AP7" i="4"/>
  <c r="DP8" i="4"/>
  <c r="DP7" i="4"/>
  <c r="EB8" i="4"/>
  <c r="EB7" i="4"/>
  <c r="BO7" i="4"/>
  <c r="CP8" i="4"/>
  <c r="CP7" i="4"/>
  <c r="K8" i="7"/>
  <c r="K7" i="7"/>
  <c r="AW8" i="7"/>
  <c r="AW7" i="7"/>
  <c r="CI7" i="7"/>
  <c r="CI8" i="7"/>
  <c r="DI8" i="7"/>
  <c r="DI7" i="7"/>
  <c r="DV7" i="7"/>
  <c r="DV8" i="7"/>
  <c r="EH7" i="7"/>
  <c r="EH8" i="7"/>
  <c r="AJ8" i="1"/>
  <c r="AQ7" i="2"/>
  <c r="DB7" i="3"/>
  <c r="DB8" i="3"/>
  <c r="CP7" i="3"/>
  <c r="CF8" i="3"/>
  <c r="AQ7" i="4"/>
  <c r="AQ8" i="4"/>
  <c r="BP8" i="4"/>
  <c r="BP7" i="4"/>
  <c r="EA7" i="4"/>
  <c r="EA8" i="4"/>
  <c r="I8" i="1"/>
  <c r="AK8" i="1"/>
  <c r="BR8" i="1"/>
  <c r="CT8" i="1"/>
  <c r="EO14" i="1"/>
  <c r="AA8" i="2"/>
  <c r="CN8" i="2"/>
  <c r="AW8" i="3"/>
  <c r="EM23" i="3"/>
  <c r="EN23" i="3" s="1"/>
  <c r="R7" i="4"/>
  <c r="R8" i="4"/>
  <c r="L7" i="7"/>
  <c r="L8" i="7"/>
  <c r="AL7" i="7"/>
  <c r="AL8" i="7"/>
  <c r="DJ8" i="7"/>
  <c r="DJ7" i="7"/>
  <c r="CY8" i="7"/>
  <c r="AP8" i="2"/>
  <c r="AP7" i="2"/>
  <c r="EB7" i="3"/>
  <c r="B21" i="6"/>
  <c r="M8" i="7"/>
  <c r="M7" i="7"/>
  <c r="BY7" i="7"/>
  <c r="BY8" i="7"/>
  <c r="CA7" i="2"/>
  <c r="CA8" i="2"/>
  <c r="DQ8" i="4"/>
  <c r="DQ7" i="4"/>
  <c r="CL8" i="7"/>
  <c r="CL7" i="7"/>
  <c r="EA8" i="1"/>
  <c r="CZ7" i="2"/>
  <c r="CZ8" i="2"/>
  <c r="U7" i="4"/>
  <c r="U8" i="4"/>
  <c r="EI7" i="2"/>
  <c r="EI8" i="2"/>
  <c r="BH8" i="3"/>
  <c r="AB8" i="7"/>
  <c r="AB7" i="7"/>
  <c r="AO8" i="7"/>
  <c r="AO7" i="7"/>
  <c r="CA8" i="7"/>
  <c r="CA7" i="7"/>
  <c r="DW8" i="2"/>
  <c r="I7" i="3"/>
  <c r="BI8" i="3"/>
  <c r="V8" i="4"/>
  <c r="V7" i="4"/>
  <c r="AI8" i="4"/>
  <c r="AI7" i="4"/>
  <c r="AU7" i="4"/>
  <c r="AU8" i="4"/>
  <c r="DR7" i="4"/>
  <c r="BA7" i="7"/>
  <c r="EJ7" i="2"/>
  <c r="EJ8" i="2"/>
  <c r="DX8" i="2"/>
  <c r="BJ8" i="3"/>
  <c r="DS7" i="4"/>
  <c r="DY8" i="2"/>
  <c r="DY7" i="2"/>
  <c r="DK7" i="2"/>
  <c r="G8" i="2"/>
  <c r="BU7" i="3"/>
  <c r="AG8" i="3"/>
  <c r="BC7" i="4"/>
  <c r="W8" i="4"/>
  <c r="BB7" i="2"/>
  <c r="BB8" i="2"/>
  <c r="EM21" i="3"/>
  <c r="EN21" i="3" s="1"/>
  <c r="AS8" i="4"/>
  <c r="AS7" i="4"/>
  <c r="AM8" i="7"/>
  <c r="AM7" i="7"/>
  <c r="AZ7" i="7"/>
  <c r="AZ8" i="7"/>
  <c r="BU8" i="1"/>
  <c r="CD7" i="4"/>
  <c r="AN7" i="7"/>
  <c r="AN8" i="7"/>
  <c r="ED8" i="1"/>
  <c r="ED7" i="1"/>
  <c r="BO8" i="2"/>
  <c r="X8" i="3"/>
  <c r="X7" i="3"/>
  <c r="BQ7" i="3"/>
  <c r="DL7" i="2"/>
  <c r="DL8" i="2"/>
  <c r="CS8" i="3"/>
  <c r="CS7" i="3"/>
  <c r="AV8" i="4"/>
  <c r="AV7" i="4"/>
  <c r="AS7" i="1"/>
  <c r="AY8" i="1"/>
  <c r="DD8" i="1"/>
  <c r="H8" i="2"/>
  <c r="T7" i="4"/>
  <c r="BE7" i="4"/>
  <c r="AD7" i="7"/>
  <c r="AD8" i="7"/>
  <c r="BP7" i="7"/>
  <c r="BP8" i="7"/>
  <c r="BJ8" i="7"/>
  <c r="DN7" i="7"/>
  <c r="DN8" i="7"/>
  <c r="DO8" i="7"/>
  <c r="DO7" i="7"/>
  <c r="AC8" i="2"/>
  <c r="H7" i="4"/>
  <c r="CM8" i="7"/>
  <c r="CM7" i="7"/>
  <c r="EG8" i="4"/>
  <c r="EG7" i="4"/>
  <c r="CW7" i="4"/>
  <c r="DJ8" i="4"/>
  <c r="DJ7" i="4"/>
  <c r="C16" i="8"/>
  <c r="BO8" i="7"/>
  <c r="BO7" i="7"/>
  <c r="C28" i="8"/>
  <c r="C32" i="8" l="1"/>
  <c r="C31" i="8"/>
  <c r="C33" i="8" s="1"/>
  <c r="C30" i="8"/>
</calcChain>
</file>

<file path=xl/sharedStrings.xml><?xml version="1.0" encoding="utf-8"?>
<sst xmlns="http://schemas.openxmlformats.org/spreadsheetml/2006/main" count="2654" uniqueCount="265">
  <si>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</si>
  <si>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</si>
  <si>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</si>
  <si>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</si>
  <si>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</si>
  <si>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</si>
  <si>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</si>
  <si>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</si>
  <si>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</si>
  <si>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</si>
  <si>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</si>
  <si>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</si>
  <si>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</si>
  <si>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</si>
  <si>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</si>
  <si>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</si>
  <si>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</si>
  <si>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</si>
  <si>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</si>
  <si>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</si>
  <si>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</si>
  <si>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</si>
  <si>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</si>
  <si>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</si>
  <si>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</si>
  <si>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</si>
  <si>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</si>
  <si>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</si>
  <si>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</si>
  <si>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</si>
  <si>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</si>
  <si>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</si>
  <si>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</si>
  <si>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</si>
  <si>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</si>
  <si>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</si>
  <si>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</si>
  <si>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</si>
  <si>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</si>
  <si>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</si>
  <si>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</si>
  <si>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</si>
  <si>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</si>
  <si>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</si>
  <si>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</si>
  <si>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</si>
  <si>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</si>
  <si>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</si>
  <si>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</si>
  <si>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</si>
  <si>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</si>
  <si>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</si>
  <si>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</si>
  <si>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</si>
  <si>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</si>
  <si>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</si>
  <si>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</si>
  <si>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</si>
  <si>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</si>
  <si>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</si>
  <si>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</si>
  <si>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</si>
  <si>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</si>
  <si>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</si>
  <si>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</si>
  <si>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</si>
  <si>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</si>
  <si>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</si>
  <si>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</si>
  <si>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</si>
  <si>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</si>
  <si>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</si>
  <si>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</si>
  <si>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</si>
  <si>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</si>
  <si>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</si>
  <si>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</si>
  <si>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</si>
  <si>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</si>
  <si>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</si>
  <si>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</si>
  <si>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</si>
  <si>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</si>
  <si>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</si>
  <si>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</si>
  <si>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</si>
  <si>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</si>
  <si>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</si>
  <si>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</si>
  <si>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</si>
  <si>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</si>
  <si>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</si>
  <si>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</si>
  <si>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</si>
  <si>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</si>
  <si>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</si>
  <si>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</si>
  <si>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</si>
  <si>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</si>
  <si>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</si>
  <si>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</si>
  <si>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</si>
  <si>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</si>
  <si>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</si>
  <si>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</si>
  <si>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</si>
  <si>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</si>
  <si>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</si>
  <si>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</si>
  <si>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</si>
  <si>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</si>
  <si>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</si>
  <si>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</si>
  <si>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</si>
  <si>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</si>
  <si>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</si>
  <si>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</si>
  <si>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</si>
  <si>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</si>
  <si>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</si>
  <si>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</si>
  <si>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</si>
  <si>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</si>
  <si>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</si>
  <si>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</si>
  <si>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</si>
  <si>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</si>
  <si>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</si>
  <si>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</si>
  <si>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</si>
  <si>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</si>
  <si>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</si>
  <si>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</si>
  <si>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</si>
  <si>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</si>
  <si>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</si>
  <si>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</si>
  <si>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</si>
  <si>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</si>
  <si>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</si>
  <si>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</si>
  <si>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</si>
  <si>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</si>
  <si>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</si>
  <si>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</si>
  <si>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</si>
  <si>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</si>
  <si>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</si>
  <si>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</si>
  <si>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</si>
  <si>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</si>
  <si>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</si>
  <si>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</si>
  <si>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</si>
  <si>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</si>
  <si>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</si>
  <si>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</si>
  <si>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2540</t>
  </si>
  <si>
    <t>5455</t>
  </si>
  <si>
    <t>8097</t>
  </si>
  <si>
    <t>6291</t>
  </si>
  <si>
    <t>3176</t>
  </si>
  <si>
    <t>2388</t>
  </si>
  <si>
    <t>2028</t>
  </si>
  <si>
    <t>6225</t>
  </si>
  <si>
    <t>6259</t>
  </si>
  <si>
    <t>3205</t>
  </si>
  <si>
    <t>3043</t>
  </si>
  <si>
    <t>3288</t>
  </si>
  <si>
    <t>4303</t>
  </si>
  <si>
    <t>8087</t>
  </si>
  <si>
    <t>4304</t>
  </si>
  <si>
    <t>3228</t>
  </si>
  <si>
    <t>1538</t>
  </si>
  <si>
    <t>5314</t>
  </si>
  <si>
    <t>2321</t>
  </si>
  <si>
    <t>8067</t>
  </si>
  <si>
    <t>3095</t>
  </si>
  <si>
    <t>3443</t>
  </si>
  <si>
    <t>5345</t>
  </si>
  <si>
    <t>1519</t>
  </si>
  <si>
    <t>1101</t>
  </si>
  <si>
    <t>愛山林</t>
  </si>
  <si>
    <t>昇益</t>
  </si>
  <si>
    <t>常珵</t>
  </si>
  <si>
    <t>沛亨</t>
  </si>
  <si>
    <t>基亞</t>
  </si>
  <si>
    <t>威盛</t>
  </si>
  <si>
    <t>威致</t>
  </si>
  <si>
    <t>天瀚</t>
  </si>
  <si>
    <t>百徽</t>
  </si>
  <si>
    <t>佰研</t>
  </si>
  <si>
    <t>科風</t>
  </si>
  <si>
    <t>點晶</t>
  </si>
  <si>
    <t>信立</t>
  </si>
  <si>
    <t>麗升能源</t>
  </si>
  <si>
    <t>勝昱</t>
  </si>
  <si>
    <t>金麗科</t>
  </si>
  <si>
    <t>正峰</t>
  </si>
  <si>
    <t>世紀*</t>
  </si>
  <si>
    <t>東訊</t>
  </si>
  <si>
    <t>志旭</t>
  </si>
  <si>
    <t>及成</t>
  </si>
  <si>
    <t>創意</t>
  </si>
  <si>
    <t>馥鴻</t>
  </si>
  <si>
    <t>華城</t>
  </si>
  <si>
    <t>台泥</t>
  </si>
  <si>
    <t>3168</t>
  </si>
  <si>
    <t>2330</t>
  </si>
  <si>
    <t>2408</t>
  </si>
  <si>
    <t>2323</t>
  </si>
  <si>
    <t>3252</t>
  </si>
  <si>
    <t>1906</t>
  </si>
  <si>
    <t>9958</t>
  </si>
  <si>
    <t>8085</t>
  </si>
  <si>
    <t>2201</t>
  </si>
  <si>
    <t>2409</t>
  </si>
  <si>
    <t>3311</t>
  </si>
  <si>
    <t>5608</t>
  </si>
  <si>
    <t>1314</t>
  </si>
  <si>
    <t>2362</t>
  </si>
  <si>
    <t>2603</t>
  </si>
  <si>
    <t>1312</t>
  </si>
  <si>
    <t>9962</t>
  </si>
  <si>
    <t>眾福科</t>
  </si>
  <si>
    <t>台積電</t>
  </si>
  <si>
    <t>南亞科</t>
  </si>
  <si>
    <t>中環</t>
  </si>
  <si>
    <t>海灣</t>
  </si>
  <si>
    <t>寶隆</t>
  </si>
  <si>
    <t>世紀鋼</t>
  </si>
  <si>
    <t>福華</t>
  </si>
  <si>
    <t>裕隆</t>
  </si>
  <si>
    <t>友達</t>
  </si>
  <si>
    <t>閎暉</t>
  </si>
  <si>
    <t>四維航</t>
  </si>
  <si>
    <t>中石化</t>
  </si>
  <si>
    <t>藍天</t>
  </si>
  <si>
    <t>長榮</t>
  </si>
  <si>
    <t>國喬</t>
  </si>
  <si>
    <t>有益</t>
  </si>
  <si>
    <t>sum</t>
  </si>
  <si>
    <t>勝率</t>
  </si>
  <si>
    <t>RF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</si>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</sst>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0.10365580277954198</c:v>
                </c:pt>
                <c:pt idx="2">
                  <c:v>0.13439473910906011</c:v>
                </c:pt>
                <c:pt idx="3">
                  <c:v>0.11923193464952178</c:v>
                </c:pt>
                <c:pt idx="4">
                  <c:v>0.13732066199933005</c:v>
                </c:pt>
                <c:pt idx="5">
                  <c:v>0.18515621926677078</c:v>
                </c:pt>
                <c:pt idx="6">
                  <c:v>0.22241442636602257</c:v>
                </c:pt>
                <c:pt idx="7">
                  <c:v>0.22279967798077679</c:v>
                </c:pt>
                <c:pt idx="8">
                  <c:v>0.23966660510610457</c:v>
                </c:pt>
                <c:pt idx="9">
                  <c:v>0.21649718586837177</c:v>
                </c:pt>
                <c:pt idx="10">
                  <c:v>0.20230342652755645</c:v>
                </c:pt>
                <c:pt idx="11">
                  <c:v>0.27734434842261285</c:v>
                </c:pt>
                <c:pt idx="12">
                  <c:v>0.3012284891385229</c:v>
                </c:pt>
                <c:pt idx="13">
                  <c:v>0.29300482001111194</c:v>
                </c:pt>
                <c:pt idx="14">
                  <c:v>0.31880030046233926</c:v>
                </c:pt>
                <c:pt idx="15">
                  <c:v>0.32698083048956117</c:v>
                </c:pt>
                <c:pt idx="16">
                  <c:v>0.2973894228010181</c:v>
                </c:pt>
                <c:pt idx="17">
                  <c:v>0.28606563947391184</c:v>
                </c:pt>
                <c:pt idx="18">
                  <c:v>0.26157438125618848</c:v>
                </c:pt>
                <c:pt idx="19">
                  <c:v>0.29549901721615751</c:v>
                </c:pt>
                <c:pt idx="20">
                  <c:v>0.32748445772915308</c:v>
                </c:pt>
                <c:pt idx="21">
                  <c:v>0.36563709661028954</c:v>
                </c:pt>
                <c:pt idx="22">
                  <c:v>0.36809720935730078</c:v>
                </c:pt>
                <c:pt idx="23">
                  <c:v>0.40751952168128708</c:v>
                </c:pt>
                <c:pt idx="24">
                  <c:v>0.39894051692097643</c:v>
                </c:pt>
                <c:pt idx="25">
                  <c:v>0.41283254539930747</c:v>
                </c:pt>
                <c:pt idx="26">
                  <c:v>0.42758103941825532</c:v>
                </c:pt>
                <c:pt idx="27">
                  <c:v>0.43635639011149119</c:v>
                </c:pt>
                <c:pt idx="28">
                  <c:v>0.39832489344903843</c:v>
                </c:pt>
                <c:pt idx="29">
                  <c:v>0.42441136289318232</c:v>
                </c:pt>
                <c:pt idx="30">
                  <c:v>0.46500707322584528</c:v>
                </c:pt>
                <c:pt idx="31">
                  <c:v>0.49162029053516626</c:v>
                </c:pt>
                <c:pt idx="32">
                  <c:v>0.51812588838764451</c:v>
                </c:pt>
                <c:pt idx="33">
                  <c:v>0.5409918599878013</c:v>
                </c:pt>
                <c:pt idx="34">
                  <c:v>0.56697200079573817</c:v>
                </c:pt>
                <c:pt idx="35">
                  <c:v>0.58639744284176032</c:v>
                </c:pt>
                <c:pt idx="36">
                  <c:v>0.62413435284707519</c:v>
                </c:pt>
                <c:pt idx="37">
                  <c:v>0.69174210653311974</c:v>
                </c:pt>
                <c:pt idx="38">
                  <c:v>0.71879153114727512</c:v>
                </c:pt>
                <c:pt idx="39">
                  <c:v>0.69896785261970074</c:v>
                </c:pt>
                <c:pt idx="40">
                  <c:v>0.68778172999370524</c:v>
                </c:pt>
                <c:pt idx="41">
                  <c:v>0.6751500381068154</c:v>
                </c:pt>
                <c:pt idx="42">
                  <c:v>0.69391972013553438</c:v>
                </c:pt>
                <c:pt idx="43">
                  <c:v>0.7389699211911479</c:v>
                </c:pt>
                <c:pt idx="44">
                  <c:v>0.78522357716894398</c:v>
                </c:pt>
                <c:pt idx="45">
                  <c:v>0.78825739918211934</c:v>
                </c:pt>
                <c:pt idx="46">
                  <c:v>0.82157002871467377</c:v>
                </c:pt>
                <c:pt idx="47">
                  <c:v>0.82840963526680889</c:v>
                </c:pt>
                <c:pt idx="48">
                  <c:v>0.8441187167891856</c:v>
                </c:pt>
                <c:pt idx="49">
                  <c:v>0.87301483982074901</c:v>
                </c:pt>
                <c:pt idx="50">
                  <c:v>0.94109464404062515</c:v>
                </c:pt>
                <c:pt idx="51">
                  <c:v>0.94901869106874837</c:v>
                </c:pt>
                <c:pt idx="52">
                  <c:v>0.96174318064325848</c:v>
                </c:pt>
                <c:pt idx="53">
                  <c:v>0.98833418592496125</c:v>
                </c:pt>
                <c:pt idx="54">
                  <c:v>0.95403251856579374</c:v>
                </c:pt>
                <c:pt idx="55">
                  <c:v>0.96559652658241502</c:v>
                </c:pt>
                <c:pt idx="56">
                  <c:v>0.9941748316313308</c:v>
                </c:pt>
                <c:pt idx="57">
                  <c:v>1.0163726317563335</c:v>
                </c:pt>
                <c:pt idx="58">
                  <c:v>1.0834858814851354</c:v>
                </c:pt>
                <c:pt idx="59">
                  <c:v>1.0960788207363958</c:v>
                </c:pt>
                <c:pt idx="60">
                  <c:v>1.0722636476472265</c:v>
                </c:pt>
                <c:pt idx="61">
                  <c:v>1.0959119570364622</c:v>
                </c:pt>
                <c:pt idx="62">
                  <c:v>1.0779734390794493</c:v>
                </c:pt>
                <c:pt idx="63">
                  <c:v>1.0676935585071392</c:v>
                </c:pt>
                <c:pt idx="64">
                  <c:v>1.0873004488775466</c:v>
                </c:pt>
                <c:pt idx="65">
                  <c:v>1.0678749632360487</c:v>
                </c:pt>
                <c:pt idx="66">
                  <c:v>1.0861184175614216</c:v>
                </c:pt>
                <c:pt idx="67">
                  <c:v>1.1146803910535501</c:v>
                </c:pt>
                <c:pt idx="68">
                  <c:v>1.1262307246539505</c:v>
                </c:pt>
                <c:pt idx="69">
                  <c:v>1.1135084329775973</c:v>
                </c:pt>
                <c:pt idx="70">
                  <c:v>1.1036046688411216</c:v>
                </c:pt>
                <c:pt idx="71">
                  <c:v>1.1068634310498313</c:v>
                </c:pt>
                <c:pt idx="72">
                  <c:v>1.0790390318543981</c:v>
                </c:pt>
                <c:pt idx="73">
                  <c:v>1.0890471300468143</c:v>
                </c:pt>
                <c:pt idx="74">
                  <c:v>1.0378914415931533</c:v>
                </c:pt>
                <c:pt idx="75">
                  <c:v>1.0861835378631366</c:v>
                </c:pt>
                <c:pt idx="76">
                  <c:v>1.0865894080744254</c:v>
                </c:pt>
                <c:pt idx="77">
                  <c:v>1.0996046469040006</c:v>
                </c:pt>
                <c:pt idx="78">
                  <c:v>1.1179491904653256</c:v>
                </c:pt>
                <c:pt idx="79">
                  <c:v>1.1767748919146186</c:v>
                </c:pt>
                <c:pt idx="80">
                  <c:v>1.2762340973394148</c:v>
                </c:pt>
                <c:pt idx="81">
                  <c:v>1.2939537544464239</c:v>
                </c:pt>
                <c:pt idx="82">
                  <c:v>1.2964565740015506</c:v>
                </c:pt>
                <c:pt idx="83">
                  <c:v>1.344755666701877</c:v>
                </c:pt>
                <c:pt idx="84">
                  <c:v>1.3313900287397777</c:v>
                </c:pt>
                <c:pt idx="85">
                  <c:v>1.3177508054910367</c:v>
                </c:pt>
                <c:pt idx="86">
                  <c:v>1.3320790114227559</c:v>
                </c:pt>
                <c:pt idx="87">
                  <c:v>1.4639820540189978</c:v>
                </c:pt>
                <c:pt idx="88">
                  <c:v>1.4087868035257447</c:v>
                </c:pt>
                <c:pt idx="89">
                  <c:v>1.3995187159373947</c:v>
                </c:pt>
                <c:pt idx="90">
                  <c:v>1.3407609494126917</c:v>
                </c:pt>
                <c:pt idx="91">
                  <c:v>1.3907939153940199</c:v>
                </c:pt>
                <c:pt idx="92">
                  <c:v>1.4165272824827724</c:v>
                </c:pt>
                <c:pt idx="93">
                  <c:v>1.4196821565612299</c:v>
                </c:pt>
                <c:pt idx="94">
                  <c:v>1.4043839349555651</c:v>
                </c:pt>
                <c:pt idx="95">
                  <c:v>1.4502946218461914</c:v>
                </c:pt>
                <c:pt idx="96">
                  <c:v>1.4705609485118627</c:v>
                </c:pt>
                <c:pt idx="97">
                  <c:v>1.4763892775884826</c:v>
                </c:pt>
                <c:pt idx="98">
                  <c:v>1.4949746319167403</c:v>
                </c:pt>
                <c:pt idx="99">
                  <c:v>1.5558588990937676</c:v>
                </c:pt>
                <c:pt idx="100">
                  <c:v>1.5991191767199959</c:v>
                </c:pt>
                <c:pt idx="101">
                  <c:v>1.721076668214343</c:v>
                </c:pt>
                <c:pt idx="102">
                  <c:v>1.7575699534631979</c:v>
                </c:pt>
                <c:pt idx="103">
                  <c:v>1.8136164829357668</c:v>
                </c:pt>
                <c:pt idx="104">
                  <c:v>1.8516219104270708</c:v>
                </c:pt>
                <c:pt idx="105">
                  <c:v>1.8446131793064551</c:v>
                </c:pt>
                <c:pt idx="106">
                  <c:v>1.8221820762717535</c:v>
                </c:pt>
                <c:pt idx="107">
                  <c:v>1.8800342277245168</c:v>
                </c:pt>
                <c:pt idx="108">
                  <c:v>1.8396277955122069</c:v>
                </c:pt>
                <c:pt idx="109">
                  <c:v>1.8651385322543519</c:v>
                </c:pt>
                <c:pt idx="110">
                  <c:v>1.8570490686277736</c:v>
                </c:pt>
                <c:pt idx="111">
                  <c:v>1.8822316074912364</c:v>
                </c:pt>
                <c:pt idx="112">
                  <c:v>1.8421614884125237</c:v>
                </c:pt>
                <c:pt idx="113">
                  <c:v>1.8378039099445791</c:v>
                </c:pt>
                <c:pt idx="114">
                  <c:v>1.8046925221306456</c:v>
                </c:pt>
                <c:pt idx="115">
                  <c:v>1.8373102796855341</c:v>
                </c:pt>
                <c:pt idx="116">
                  <c:v>1.8586841096204145</c:v>
                </c:pt>
                <c:pt idx="117">
                  <c:v>1.8876581039588138</c:v>
                </c:pt>
                <c:pt idx="118">
                  <c:v>1.861127980046031</c:v>
                </c:pt>
                <c:pt idx="119">
                  <c:v>1.8714802947529103</c:v>
                </c:pt>
                <c:pt idx="120">
                  <c:v>1.9005062399803794</c:v>
                </c:pt>
                <c:pt idx="121">
                  <c:v>1.9086567297273298</c:v>
                </c:pt>
                <c:pt idx="122">
                  <c:v>1.8721532268697114</c:v>
                </c:pt>
                <c:pt idx="123">
                  <c:v>1.9092691887287343</c:v>
                </c:pt>
                <c:pt idx="124">
                  <c:v>1.9338403603101595</c:v>
                </c:pt>
                <c:pt idx="125">
                  <c:v>1.9040414960393826</c:v>
                </c:pt>
                <c:pt idx="126">
                  <c:v>1.9637153096564399</c:v>
                </c:pt>
                <c:pt idx="127">
                  <c:v>1.9841489892732593</c:v>
                </c:pt>
                <c:pt idx="128">
                  <c:v>2.0458815377253439</c:v>
                </c:pt>
                <c:pt idx="129">
                  <c:v>2.0599703933305036</c:v>
                </c:pt>
                <c:pt idx="130">
                  <c:v>2.0755095030442647</c:v>
                </c:pt>
                <c:pt idx="131">
                  <c:v>2.0394969790409676</c:v>
                </c:pt>
                <c:pt idx="132">
                  <c:v>2.0321642180683006</c:v>
                </c:pt>
                <c:pt idx="133">
                  <c:v>2.0668215570980273</c:v>
                </c:pt>
                <c:pt idx="134">
                  <c:v>2.1179158949020782</c:v>
                </c:pt>
                <c:pt idx="135">
                  <c:v>2.116586759859421</c:v>
                </c:pt>
                <c:pt idx="136">
                  <c:v>2.08391236041623</c:v>
                </c:pt>
                <c:pt idx="137">
                  <c:v>2.021959582207844</c:v>
                </c:pt>
                <c:pt idx="138">
                  <c:v>2.0185701363718267</c:v>
                </c:pt>
                <c:pt idx="139">
                  <c:v>1.9924522896998849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C-49D6-9871-9805A87C2788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7.8201230317261575E-2</c:v>
                </c:pt>
                <c:pt idx="2">
                  <c:v>0.11316620016753563</c:v>
                </c:pt>
                <c:pt idx="3">
                  <c:v>6.4640180768413283E-2</c:v>
                </c:pt>
                <c:pt idx="4">
                  <c:v>0.1038803546653683</c:v>
                </c:pt>
                <c:pt idx="5">
                  <c:v>0.1411411213604632</c:v>
                </c:pt>
                <c:pt idx="6">
                  <c:v>0.17423997520656428</c:v>
                </c:pt>
                <c:pt idx="7">
                  <c:v>0.16846400098499106</c:v>
                </c:pt>
                <c:pt idx="8">
                  <c:v>0.16212166379679974</c:v>
                </c:pt>
                <c:pt idx="9">
                  <c:v>0.13368657234223907</c:v>
                </c:pt>
                <c:pt idx="10">
                  <c:v>0.12958378543023369</c:v>
                </c:pt>
                <c:pt idx="11">
                  <c:v>0.2232377762272314</c:v>
                </c:pt>
                <c:pt idx="12">
                  <c:v>0.23146508197014493</c:v>
                </c:pt>
                <c:pt idx="13">
                  <c:v>0.22724179456724736</c:v>
                </c:pt>
                <c:pt idx="14">
                  <c:v>0.250177134517935</c:v>
                </c:pt>
                <c:pt idx="15">
                  <c:v>0.28269114365125869</c:v>
                </c:pt>
                <c:pt idx="16">
                  <c:v>0.26257849267694156</c:v>
                </c:pt>
                <c:pt idx="17">
                  <c:v>0.23419367957028467</c:v>
                </c:pt>
                <c:pt idx="18">
                  <c:v>0.19821129630499912</c:v>
                </c:pt>
                <c:pt idx="19">
                  <c:v>0.2431232489484291</c:v>
                </c:pt>
                <c:pt idx="20">
                  <c:v>0.27665457888396933</c:v>
                </c:pt>
                <c:pt idx="21">
                  <c:v>0.31414762781226341</c:v>
                </c:pt>
                <c:pt idx="22">
                  <c:v>0.3027493010428034</c:v>
                </c:pt>
                <c:pt idx="23">
                  <c:v>0.34754418432996254</c:v>
                </c:pt>
                <c:pt idx="24">
                  <c:v>0.33042839116991368</c:v>
                </c:pt>
                <c:pt idx="25">
                  <c:v>0.35722190721897917</c:v>
                </c:pt>
                <c:pt idx="26">
                  <c:v>0.37565289819045622</c:v>
                </c:pt>
                <c:pt idx="27">
                  <c:v>0.38709227122581519</c:v>
                </c:pt>
                <c:pt idx="28">
                  <c:v>0.35498475789367456</c:v>
                </c:pt>
                <c:pt idx="29">
                  <c:v>0.39036937252988574</c:v>
                </c:pt>
                <c:pt idx="30">
                  <c:v>0.43746499717573684</c:v>
                </c:pt>
                <c:pt idx="31">
                  <c:v>0.46480192085869604</c:v>
                </c:pt>
                <c:pt idx="32">
                  <c:v>0.49145523290766413</c:v>
                </c:pt>
                <c:pt idx="33">
                  <c:v>0.51003632669565946</c:v>
                </c:pt>
                <c:pt idx="34">
                  <c:v>0.52750618498820734</c:v>
                </c:pt>
                <c:pt idx="35">
                  <c:v>0.54668840449143374</c:v>
                </c:pt>
                <c:pt idx="36">
                  <c:v>0.58428371335413598</c:v>
                </c:pt>
                <c:pt idx="37">
                  <c:v>0.68595088422927464</c:v>
                </c:pt>
                <c:pt idx="38">
                  <c:v>0.71433412523428408</c:v>
                </c:pt>
                <c:pt idx="39">
                  <c:v>0.68082995373293076</c:v>
                </c:pt>
                <c:pt idx="40">
                  <c:v>0.67462490103252848</c:v>
                </c:pt>
                <c:pt idx="41">
                  <c:v>0.65588207249995556</c:v>
                </c:pt>
                <c:pt idx="42">
                  <c:v>0.70110628713578282</c:v>
                </c:pt>
                <c:pt idx="43">
                  <c:v>0.73163748509267446</c:v>
                </c:pt>
                <c:pt idx="44">
                  <c:v>0.78755040479678295</c:v>
                </c:pt>
                <c:pt idx="45">
                  <c:v>0.79415769735038766</c:v>
                </c:pt>
                <c:pt idx="46">
                  <c:v>0.81763610088313987</c:v>
                </c:pt>
                <c:pt idx="47">
                  <c:v>0.8299063469617739</c:v>
                </c:pt>
                <c:pt idx="48">
                  <c:v>0.81989840243441225</c:v>
                </c:pt>
                <c:pt idx="49">
                  <c:v>0.84410505876814523</c:v>
                </c:pt>
                <c:pt idx="50">
                  <c:v>0.92841673958254878</c:v>
                </c:pt>
                <c:pt idx="51">
                  <c:v>0.94174369073252162</c:v>
                </c:pt>
                <c:pt idx="52">
                  <c:v>0.94619634572911127</c:v>
                </c:pt>
                <c:pt idx="53">
                  <c:v>0.9545843147467562</c:v>
                </c:pt>
                <c:pt idx="54">
                  <c:v>0.93932998595580552</c:v>
                </c:pt>
                <c:pt idx="55">
                  <c:v>0.95932545390005119</c:v>
                </c:pt>
                <c:pt idx="56">
                  <c:v>0.99744033240740904</c:v>
                </c:pt>
                <c:pt idx="57">
                  <c:v>1.0353950008053068</c:v>
                </c:pt>
                <c:pt idx="58">
                  <c:v>1.0849502164636957</c:v>
                </c:pt>
                <c:pt idx="59">
                  <c:v>1.0916460889683943</c:v>
                </c:pt>
                <c:pt idx="60">
                  <c:v>1.0721793760125347</c:v>
                </c:pt>
                <c:pt idx="61">
                  <c:v>1.10621172794981</c:v>
                </c:pt>
                <c:pt idx="62">
                  <c:v>1.0866836688447685</c:v>
                </c:pt>
                <c:pt idx="63">
                  <c:v>1.0895397473115702</c:v>
                </c:pt>
                <c:pt idx="64">
                  <c:v>1.0992105039574334</c:v>
                </c:pt>
                <c:pt idx="65">
                  <c:v>1.0737388973645074</c:v>
                </c:pt>
                <c:pt idx="66">
                  <c:v>1.1187674260197604</c:v>
                </c:pt>
                <c:pt idx="67">
                  <c:v>1.1653678320072121</c:v>
                </c:pt>
                <c:pt idx="68">
                  <c:v>1.1583364893258965</c:v>
                </c:pt>
                <c:pt idx="69">
                  <c:v>1.1459965467577022</c:v>
                </c:pt>
                <c:pt idx="70">
                  <c:v>1.1292452977234144</c:v>
                </c:pt>
                <c:pt idx="71">
                  <c:v>1.1449328422342313</c:v>
                </c:pt>
                <c:pt idx="72">
                  <c:v>1.072685417023824</c:v>
                </c:pt>
                <c:pt idx="73">
                  <c:v>1.0950048636150658</c:v>
                </c:pt>
                <c:pt idx="74">
                  <c:v>1.0062799435114584</c:v>
                </c:pt>
                <c:pt idx="75">
                  <c:v>1.0502794282711099</c:v>
                </c:pt>
                <c:pt idx="76">
                  <c:v>1.0570980496929498</c:v>
                </c:pt>
                <c:pt idx="77">
                  <c:v>1.0582088559116716</c:v>
                </c:pt>
                <c:pt idx="78">
                  <c:v>1.0818474486827281</c:v>
                </c:pt>
                <c:pt idx="79">
                  <c:v>1.1526212897898429</c:v>
                </c:pt>
                <c:pt idx="80">
                  <c:v>1.2542256695459224</c:v>
                </c:pt>
                <c:pt idx="81">
                  <c:v>1.2836101539086371</c:v>
                </c:pt>
                <c:pt idx="82">
                  <c:v>1.292773775946007</c:v>
                </c:pt>
                <c:pt idx="83">
                  <c:v>1.354781034314213</c:v>
                </c:pt>
                <c:pt idx="84">
                  <c:v>1.3295550428579248</c:v>
                </c:pt>
                <c:pt idx="85">
                  <c:v>1.2973947659237035</c:v>
                </c:pt>
                <c:pt idx="86">
                  <c:v>1.3201921780593056</c:v>
                </c:pt>
                <c:pt idx="87">
                  <c:v>1.4616972907141887</c:v>
                </c:pt>
                <c:pt idx="88">
                  <c:v>1.4084029271369152</c:v>
                </c:pt>
                <c:pt idx="89">
                  <c:v>1.3842943621000965</c:v>
                </c:pt>
                <c:pt idx="90">
                  <c:v>1.3159453291542984</c:v>
                </c:pt>
                <c:pt idx="91">
                  <c:v>1.393647606935156</c:v>
                </c:pt>
                <c:pt idx="92">
                  <c:v>1.4190988748737074</c:v>
                </c:pt>
                <c:pt idx="93">
                  <c:v>1.4208578874148394</c:v>
                </c:pt>
                <c:pt idx="94">
                  <c:v>1.4038927912779815</c:v>
                </c:pt>
                <c:pt idx="95">
                  <c:v>1.4367162879785946</c:v>
                </c:pt>
                <c:pt idx="96">
                  <c:v>1.4592027434668091</c:v>
                </c:pt>
                <c:pt idx="97">
                  <c:v>1.4750922044578165</c:v>
                </c:pt>
                <c:pt idx="98">
                  <c:v>1.4812815615466564</c:v>
                </c:pt>
                <c:pt idx="99">
                  <c:v>1.5381587700807697</c:v>
                </c:pt>
                <c:pt idx="100">
                  <c:v>1.5606899438076396</c:v>
                </c:pt>
                <c:pt idx="101">
                  <c:v>1.6882109597744013</c:v>
                </c:pt>
                <c:pt idx="102">
                  <c:v>1.7236417545635174</c:v>
                </c:pt>
                <c:pt idx="103">
                  <c:v>1.8125949939129036</c:v>
                </c:pt>
                <c:pt idx="104">
                  <c:v>1.8551056976569864</c:v>
                </c:pt>
                <c:pt idx="105">
                  <c:v>1.8122574065545651</c:v>
                </c:pt>
                <c:pt idx="106">
                  <c:v>1.7809699252672646</c:v>
                </c:pt>
                <c:pt idx="107">
                  <c:v>1.8647693843141113</c:v>
                </c:pt>
                <c:pt idx="108">
                  <c:v>1.8174857224805601</c:v>
                </c:pt>
                <c:pt idx="109">
                  <c:v>1.8521003833541214</c:v>
                </c:pt>
                <c:pt idx="110">
                  <c:v>1.8507312777362883</c:v>
                </c:pt>
                <c:pt idx="111">
                  <c:v>1.8800371433007357</c:v>
                </c:pt>
                <c:pt idx="112">
                  <c:v>1.8465821294120874</c:v>
                </c:pt>
                <c:pt idx="113">
                  <c:v>1.8834936830599613</c:v>
                </c:pt>
                <c:pt idx="114">
                  <c:v>1.8677416421030832</c:v>
                </c:pt>
                <c:pt idx="115">
                  <c:v>1.9192170362778327</c:v>
                </c:pt>
                <c:pt idx="116">
                  <c:v>1.9466166443784092</c:v>
                </c:pt>
                <c:pt idx="117">
                  <c:v>1.9753699450368658</c:v>
                </c:pt>
                <c:pt idx="118">
                  <c:v>1.9653051668706034</c:v>
                </c:pt>
                <c:pt idx="119">
                  <c:v>1.9864047853507567</c:v>
                </c:pt>
                <c:pt idx="120">
                  <c:v>2.0242940624067076</c:v>
                </c:pt>
                <c:pt idx="121">
                  <c:v>2.0350484899784056</c:v>
                </c:pt>
                <c:pt idx="122">
                  <c:v>2.0170853955665469</c:v>
                </c:pt>
                <c:pt idx="123">
                  <c:v>2.0529552709256755</c:v>
                </c:pt>
                <c:pt idx="124">
                  <c:v>2.0977631238597283</c:v>
                </c:pt>
                <c:pt idx="125">
                  <c:v>2.0544965933214208</c:v>
                </c:pt>
                <c:pt idx="126">
                  <c:v>2.1159786690963669</c:v>
                </c:pt>
                <c:pt idx="127">
                  <c:v>2.1397374856883475</c:v>
                </c:pt>
                <c:pt idx="128">
                  <c:v>2.1963591200988541</c:v>
                </c:pt>
                <c:pt idx="129">
                  <c:v>2.1764800750381097</c:v>
                </c:pt>
                <c:pt idx="130">
                  <c:v>2.1934494547971162</c:v>
                </c:pt>
                <c:pt idx="131">
                  <c:v>2.14242930713531</c:v>
                </c:pt>
                <c:pt idx="132">
                  <c:v>2.1317179052810658</c:v>
                </c:pt>
                <c:pt idx="133">
                  <c:v>2.1644034806789705</c:v>
                </c:pt>
                <c:pt idx="134">
                  <c:v>2.2127538176681574</c:v>
                </c:pt>
                <c:pt idx="135">
                  <c:v>2.194336961387426</c:v>
                </c:pt>
                <c:pt idx="136">
                  <c:v>2.1357039104499882</c:v>
                </c:pt>
                <c:pt idx="137">
                  <c:v>2.0579627021588522</c:v>
                </c:pt>
                <c:pt idx="138">
                  <c:v>2.0399680125920883</c:v>
                </c:pt>
                <c:pt idx="139">
                  <c:v>2.0093381771137042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C-49D6-9871-9805A87C2788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7.6951789293592782E-2</c:v>
                </c:pt>
                <c:pt idx="2">
                  <c:v>8.4010201408232316E-2</c:v>
                </c:pt>
                <c:pt idx="3">
                  <c:v>6.9105713351596321E-2</c:v>
                </c:pt>
                <c:pt idx="4">
                  <c:v>0.1934878892686539</c:v>
                </c:pt>
                <c:pt idx="5">
                  <c:v>0.24445623683662865</c:v>
                </c:pt>
                <c:pt idx="6">
                  <c:v>0.31064166718558744</c:v>
                </c:pt>
                <c:pt idx="7">
                  <c:v>0.28867689349196812</c:v>
                </c:pt>
                <c:pt idx="8">
                  <c:v>0.33335281993508792</c:v>
                </c:pt>
                <c:pt idx="9">
                  <c:v>0.3245239435136415</c:v>
                </c:pt>
                <c:pt idx="10">
                  <c:v>0.3354365714405107</c:v>
                </c:pt>
                <c:pt idx="11">
                  <c:v>0.48571175767856012</c:v>
                </c:pt>
                <c:pt idx="12">
                  <c:v>0.49338842194858279</c:v>
                </c:pt>
                <c:pt idx="13">
                  <c:v>0.49875151402128742</c:v>
                </c:pt>
                <c:pt idx="14">
                  <c:v>0.56055456156022965</c:v>
                </c:pt>
                <c:pt idx="15">
                  <c:v>0.62129511987688602</c:v>
                </c:pt>
                <c:pt idx="16">
                  <c:v>0.6171957289755261</c:v>
                </c:pt>
                <c:pt idx="17">
                  <c:v>0.57501836240782456</c:v>
                </c:pt>
                <c:pt idx="18">
                  <c:v>0.52197933659670337</c:v>
                </c:pt>
                <c:pt idx="19">
                  <c:v>0.55276039105183206</c:v>
                </c:pt>
                <c:pt idx="20">
                  <c:v>0.54264319114536841</c:v>
                </c:pt>
                <c:pt idx="21">
                  <c:v>0.62059333867054256</c:v>
                </c:pt>
                <c:pt idx="22">
                  <c:v>0.58637248838019229</c:v>
                </c:pt>
                <c:pt idx="23">
                  <c:v>0.62067396489372817</c:v>
                </c:pt>
                <c:pt idx="24">
                  <c:v>0.58615590996497624</c:v>
                </c:pt>
                <c:pt idx="25">
                  <c:v>0.61782681449039156</c:v>
                </c:pt>
                <c:pt idx="26">
                  <c:v>0.65314888562360074</c:v>
                </c:pt>
                <c:pt idx="27">
                  <c:v>0.64697891927984386</c:v>
                </c:pt>
                <c:pt idx="28">
                  <c:v>0.65311989812429949</c:v>
                </c:pt>
                <c:pt idx="29">
                  <c:v>0.68411916029067055</c:v>
                </c:pt>
                <c:pt idx="30">
                  <c:v>0.71020627223176458</c:v>
                </c:pt>
                <c:pt idx="31">
                  <c:v>0.73232598475795441</c:v>
                </c:pt>
                <c:pt idx="32">
                  <c:v>0.77897723153322596</c:v>
                </c:pt>
                <c:pt idx="33">
                  <c:v>0.80424397032148809</c:v>
                </c:pt>
                <c:pt idx="34">
                  <c:v>0.85424874237535176</c:v>
                </c:pt>
                <c:pt idx="35">
                  <c:v>0.86438952319806162</c:v>
                </c:pt>
                <c:pt idx="36">
                  <c:v>0.89341197237284475</c:v>
                </c:pt>
                <c:pt idx="37">
                  <c:v>0.99249993334916642</c:v>
                </c:pt>
                <c:pt idx="38">
                  <c:v>1.0152414495403772</c:v>
                </c:pt>
                <c:pt idx="39">
                  <c:v>0.96463616261389484</c:v>
                </c:pt>
                <c:pt idx="40">
                  <c:v>0.97230954191478658</c:v>
                </c:pt>
                <c:pt idx="41">
                  <c:v>0.9685073131444587</c:v>
                </c:pt>
                <c:pt idx="42">
                  <c:v>0.99132910576396926</c:v>
                </c:pt>
                <c:pt idx="43">
                  <c:v>1.0011327521755742</c:v>
                </c:pt>
                <c:pt idx="44">
                  <c:v>1.0323608113164424</c:v>
                </c:pt>
                <c:pt idx="45">
                  <c:v>1.0238743537489621</c:v>
                </c:pt>
                <c:pt idx="46">
                  <c:v>1.0567191581764996</c:v>
                </c:pt>
                <c:pt idx="47">
                  <c:v>1.1094036179561531</c:v>
                </c:pt>
                <c:pt idx="48">
                  <c:v>1.1055036204226409</c:v>
                </c:pt>
                <c:pt idx="49">
                  <c:v>1.1333625597519785</c:v>
                </c:pt>
                <c:pt idx="50">
                  <c:v>1.2148577480817109</c:v>
                </c:pt>
                <c:pt idx="51">
                  <c:v>1.2636208872579182</c:v>
                </c:pt>
                <c:pt idx="52">
                  <c:v>1.2885472287629747</c:v>
                </c:pt>
                <c:pt idx="53">
                  <c:v>1.3024375570484423</c:v>
                </c:pt>
                <c:pt idx="54">
                  <c:v>1.272178233548992</c:v>
                </c:pt>
                <c:pt idx="55">
                  <c:v>1.3062086604327376</c:v>
                </c:pt>
                <c:pt idx="56">
                  <c:v>1.3074729286281199</c:v>
                </c:pt>
                <c:pt idx="57">
                  <c:v>1.3119755848936274</c:v>
                </c:pt>
                <c:pt idx="58">
                  <c:v>1.3783549844847984</c:v>
                </c:pt>
                <c:pt idx="59">
                  <c:v>1.3808355315025462</c:v>
                </c:pt>
                <c:pt idx="60">
                  <c:v>1.393139143598618</c:v>
                </c:pt>
                <c:pt idx="61">
                  <c:v>1.4286312236621337</c:v>
                </c:pt>
                <c:pt idx="62">
                  <c:v>1.4122603021899569</c:v>
                </c:pt>
                <c:pt idx="63">
                  <c:v>1.4277634642976491</c:v>
                </c:pt>
                <c:pt idx="64">
                  <c:v>1.4111019510585874</c:v>
                </c:pt>
                <c:pt idx="65">
                  <c:v>1.4295719594281866</c:v>
                </c:pt>
                <c:pt idx="66">
                  <c:v>1.4645250504346758</c:v>
                </c:pt>
                <c:pt idx="67">
                  <c:v>1.516777312184421</c:v>
                </c:pt>
                <c:pt idx="68">
                  <c:v>1.4873067883726765</c:v>
                </c:pt>
                <c:pt idx="69">
                  <c:v>1.457336057608253</c:v>
                </c:pt>
                <c:pt idx="70">
                  <c:v>1.4252560101856144</c:v>
                </c:pt>
                <c:pt idx="71">
                  <c:v>1.4283883627726159</c:v>
                </c:pt>
                <c:pt idx="72">
                  <c:v>1.280725887892352</c:v>
                </c:pt>
                <c:pt idx="73">
                  <c:v>1.3186901336804806</c:v>
                </c:pt>
                <c:pt idx="74">
                  <c:v>1.219079993911123</c:v>
                </c:pt>
                <c:pt idx="75">
                  <c:v>1.2972189925454429</c:v>
                </c:pt>
                <c:pt idx="76">
                  <c:v>1.2923588221876565</c:v>
                </c:pt>
                <c:pt idx="77">
                  <c:v>1.3476676529929836</c:v>
                </c:pt>
                <c:pt idx="78">
                  <c:v>1.4222381634826113</c:v>
                </c:pt>
                <c:pt idx="79">
                  <c:v>1.4823010542285799</c:v>
                </c:pt>
                <c:pt idx="80">
                  <c:v>1.5795071033687726</c:v>
                </c:pt>
                <c:pt idx="81">
                  <c:v>1.6093514921418006</c:v>
                </c:pt>
                <c:pt idx="82">
                  <c:v>1.6195047555056545</c:v>
                </c:pt>
                <c:pt idx="83">
                  <c:v>1.7317442467048083</c:v>
                </c:pt>
                <c:pt idx="84">
                  <c:v>1.6513288600086937</c:v>
                </c:pt>
                <c:pt idx="85">
                  <c:v>1.6657709019488947</c:v>
                </c:pt>
                <c:pt idx="86">
                  <c:v>1.6906376755844177</c:v>
                </c:pt>
                <c:pt idx="87">
                  <c:v>1.8334445334514653</c:v>
                </c:pt>
                <c:pt idx="88">
                  <c:v>1.7738727404364758</c:v>
                </c:pt>
                <c:pt idx="89">
                  <c:v>1.7760970739537594</c:v>
                </c:pt>
                <c:pt idx="90">
                  <c:v>1.6742895814518004</c:v>
                </c:pt>
                <c:pt idx="91">
                  <c:v>1.7656784686403293</c:v>
                </c:pt>
                <c:pt idx="92">
                  <c:v>1.7857860431852068</c:v>
                </c:pt>
                <c:pt idx="93">
                  <c:v>1.8099161922332692</c:v>
                </c:pt>
                <c:pt idx="94">
                  <c:v>1.7433212413521637</c:v>
                </c:pt>
                <c:pt idx="95">
                  <c:v>1.7929063478432747</c:v>
                </c:pt>
                <c:pt idx="96">
                  <c:v>1.8418134380218154</c:v>
                </c:pt>
                <c:pt idx="97">
                  <c:v>1.8781894803673829</c:v>
                </c:pt>
                <c:pt idx="98">
                  <c:v>1.9163818561336674</c:v>
                </c:pt>
                <c:pt idx="99">
                  <c:v>2.0153644070929784</c:v>
                </c:pt>
                <c:pt idx="100">
                  <c:v>2.031470463651583</c:v>
                </c:pt>
                <c:pt idx="101">
                  <c:v>2.2067543058842118</c:v>
                </c:pt>
                <c:pt idx="102">
                  <c:v>2.2380124862994792</c:v>
                </c:pt>
                <c:pt idx="103">
                  <c:v>2.3034386874371786</c:v>
                </c:pt>
                <c:pt idx="104">
                  <c:v>2.3503933012323657</c:v>
                </c:pt>
                <c:pt idx="105">
                  <c:v>2.3198497987544631</c:v>
                </c:pt>
                <c:pt idx="106">
                  <c:v>2.3018862243966542</c:v>
                </c:pt>
                <c:pt idx="107">
                  <c:v>2.3807248330355568</c:v>
                </c:pt>
                <c:pt idx="108">
                  <c:v>2.3398502721374133</c:v>
                </c:pt>
                <c:pt idx="109">
                  <c:v>2.418770552351178</c:v>
                </c:pt>
                <c:pt idx="110">
                  <c:v>2.3910295671361323</c:v>
                </c:pt>
                <c:pt idx="111">
                  <c:v>2.4197526838176087</c:v>
                </c:pt>
                <c:pt idx="112">
                  <c:v>2.4188997605955298</c:v>
                </c:pt>
                <c:pt idx="113">
                  <c:v>2.4378259461680107</c:v>
                </c:pt>
                <c:pt idx="114">
                  <c:v>2.4262408640852664</c:v>
                </c:pt>
                <c:pt idx="115">
                  <c:v>2.4430032433911788</c:v>
                </c:pt>
                <c:pt idx="116">
                  <c:v>2.4591660188714646</c:v>
                </c:pt>
                <c:pt idx="117">
                  <c:v>2.4698812137668211</c:v>
                </c:pt>
                <c:pt idx="118">
                  <c:v>2.4635785705546116</c:v>
                </c:pt>
                <c:pt idx="119">
                  <c:v>2.4672387582122419</c:v>
                </c:pt>
                <c:pt idx="120">
                  <c:v>2.487916062161764</c:v>
                </c:pt>
                <c:pt idx="121">
                  <c:v>2.4855955946195776</c:v>
                </c:pt>
                <c:pt idx="122">
                  <c:v>2.4219159845850027</c:v>
                </c:pt>
                <c:pt idx="123">
                  <c:v>2.4621487837881233</c:v>
                </c:pt>
                <c:pt idx="124">
                  <c:v>2.5086413699211199</c:v>
                </c:pt>
                <c:pt idx="125">
                  <c:v>2.432463182443739</c:v>
                </c:pt>
                <c:pt idx="126">
                  <c:v>2.515905818410626</c:v>
                </c:pt>
                <c:pt idx="127">
                  <c:v>2.5011454446679675</c:v>
                </c:pt>
                <c:pt idx="128">
                  <c:v>2.563622566972819</c:v>
                </c:pt>
                <c:pt idx="129">
                  <c:v>2.5031382161157274</c:v>
                </c:pt>
                <c:pt idx="130">
                  <c:v>2.5222397943647636</c:v>
                </c:pt>
                <c:pt idx="131">
                  <c:v>2.4577290812565109</c:v>
                </c:pt>
                <c:pt idx="132">
                  <c:v>2.4500658125756285</c:v>
                </c:pt>
                <c:pt idx="133">
                  <c:v>2.485285074268357</c:v>
                </c:pt>
                <c:pt idx="134">
                  <c:v>2.5350382116933941</c:v>
                </c:pt>
                <c:pt idx="135">
                  <c:v>2.515038225863838</c:v>
                </c:pt>
                <c:pt idx="136">
                  <c:v>2.4783373087494676</c:v>
                </c:pt>
                <c:pt idx="137">
                  <c:v>2.4283971603413477</c:v>
                </c:pt>
                <c:pt idx="138">
                  <c:v>2.399478826096209</c:v>
                </c:pt>
                <c:pt idx="139">
                  <c:v>2.3496294750403095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0C-49D6-9871-9805A87C2788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6.6732558322519606E-2</c:v>
                </c:pt>
                <c:pt idx="2">
                  <c:v>9.9916228561265946E-2</c:v>
                </c:pt>
                <c:pt idx="3">
                  <c:v>9.8626336911892071E-2</c:v>
                </c:pt>
                <c:pt idx="4">
                  <c:v>0.2627553919589799</c:v>
                </c:pt>
                <c:pt idx="5">
                  <c:v>0.33515107934082555</c:v>
                </c:pt>
                <c:pt idx="6">
                  <c:v>0.40901450561203567</c:v>
                </c:pt>
                <c:pt idx="7">
                  <c:v>0.33608047111229178</c:v>
                </c:pt>
                <c:pt idx="8">
                  <c:v>0.38989009944454334</c:v>
                </c:pt>
                <c:pt idx="9">
                  <c:v>0.42271291289550994</c:v>
                </c:pt>
                <c:pt idx="10">
                  <c:v>0.41140551282740301</c:v>
                </c:pt>
                <c:pt idx="11">
                  <c:v>0.46411808916401182</c:v>
                </c:pt>
                <c:pt idx="12">
                  <c:v>0.48016312139441492</c:v>
                </c:pt>
                <c:pt idx="13">
                  <c:v>0.50919439107773912</c:v>
                </c:pt>
                <c:pt idx="14">
                  <c:v>0.56330277548953811</c:v>
                </c:pt>
                <c:pt idx="15">
                  <c:v>0.72021460292922235</c:v>
                </c:pt>
                <c:pt idx="16">
                  <c:v>0.75581198294479213</c:v>
                </c:pt>
                <c:pt idx="17">
                  <c:v>0.68263379835982241</c:v>
                </c:pt>
                <c:pt idx="18">
                  <c:v>0.5872297718380971</c:v>
                </c:pt>
                <c:pt idx="19">
                  <c:v>0.60269448421658556</c:v>
                </c:pt>
                <c:pt idx="20">
                  <c:v>0.58311703411884519</c:v>
                </c:pt>
                <c:pt idx="21">
                  <c:v>0.67213972172564806</c:v>
                </c:pt>
                <c:pt idx="22">
                  <c:v>0.61577266955229182</c:v>
                </c:pt>
                <c:pt idx="23">
                  <c:v>0.63382031350230672</c:v>
                </c:pt>
                <c:pt idx="24">
                  <c:v>0.62886024228821258</c:v>
                </c:pt>
                <c:pt idx="25">
                  <c:v>0.68208997046648812</c:v>
                </c:pt>
                <c:pt idx="26">
                  <c:v>0.69346526725151003</c:v>
                </c:pt>
                <c:pt idx="27">
                  <c:v>0.67272441488873058</c:v>
                </c:pt>
                <c:pt idx="28">
                  <c:v>0.6647289936489702</c:v>
                </c:pt>
                <c:pt idx="29">
                  <c:v>0.6959637841248143</c:v>
                </c:pt>
                <c:pt idx="30">
                  <c:v>0.67717013236003631</c:v>
                </c:pt>
                <c:pt idx="31">
                  <c:v>0.67649045622526383</c:v>
                </c:pt>
                <c:pt idx="32">
                  <c:v>0.73787612255768398</c:v>
                </c:pt>
                <c:pt idx="33">
                  <c:v>0.76522045585410459</c:v>
                </c:pt>
                <c:pt idx="34">
                  <c:v>0.78731666011461865</c:v>
                </c:pt>
                <c:pt idx="35">
                  <c:v>0.79112931571190637</c:v>
                </c:pt>
                <c:pt idx="36">
                  <c:v>0.84298515411991137</c:v>
                </c:pt>
                <c:pt idx="37">
                  <c:v>0.94100752035838797</c:v>
                </c:pt>
                <c:pt idx="38">
                  <c:v>0.95446945243545744</c:v>
                </c:pt>
                <c:pt idx="39">
                  <c:v>0.89500823097787841</c:v>
                </c:pt>
                <c:pt idx="40">
                  <c:v>0.9158602425441934</c:v>
                </c:pt>
                <c:pt idx="41">
                  <c:v>0.90105328313076061</c:v>
                </c:pt>
                <c:pt idx="42">
                  <c:v>0.93664045960955267</c:v>
                </c:pt>
                <c:pt idx="43">
                  <c:v>0.93313081415867405</c:v>
                </c:pt>
                <c:pt idx="44">
                  <c:v>0.95816809579875806</c:v>
                </c:pt>
                <c:pt idx="45">
                  <c:v>0.93571089842980448</c:v>
                </c:pt>
                <c:pt idx="46">
                  <c:v>0.97032364803831439</c:v>
                </c:pt>
                <c:pt idx="47">
                  <c:v>1.0688625606787272</c:v>
                </c:pt>
                <c:pt idx="48">
                  <c:v>1.0653727654312082</c:v>
                </c:pt>
                <c:pt idx="49">
                  <c:v>1.1149180469640347</c:v>
                </c:pt>
                <c:pt idx="50">
                  <c:v>1.1625544546605464</c:v>
                </c:pt>
                <c:pt idx="51">
                  <c:v>1.1816484887173848</c:v>
                </c:pt>
                <c:pt idx="52">
                  <c:v>1.2063024007623357</c:v>
                </c:pt>
                <c:pt idx="53">
                  <c:v>1.2039239121529952</c:v>
                </c:pt>
                <c:pt idx="54">
                  <c:v>1.1618376223035942</c:v>
                </c:pt>
                <c:pt idx="55">
                  <c:v>1.145568031970893</c:v>
                </c:pt>
                <c:pt idx="56">
                  <c:v>1.1110690613022483</c:v>
                </c:pt>
                <c:pt idx="57">
                  <c:v>1.1758895890511336</c:v>
                </c:pt>
                <c:pt idx="58">
                  <c:v>1.2292407200428062</c:v>
                </c:pt>
                <c:pt idx="59">
                  <c:v>1.2540875228962225</c:v>
                </c:pt>
                <c:pt idx="60">
                  <c:v>1.2563449639787825</c:v>
                </c:pt>
                <c:pt idx="61">
                  <c:v>1.2758542696625783</c:v>
                </c:pt>
                <c:pt idx="62">
                  <c:v>1.2392345789500672</c:v>
                </c:pt>
                <c:pt idx="63">
                  <c:v>1.2718179784383736</c:v>
                </c:pt>
                <c:pt idx="64">
                  <c:v>1.2467125650269213</c:v>
                </c:pt>
                <c:pt idx="65">
                  <c:v>1.2850757547830383</c:v>
                </c:pt>
                <c:pt idx="66">
                  <c:v>1.3309674431450296</c:v>
                </c:pt>
                <c:pt idx="67">
                  <c:v>1.3875784492569661</c:v>
                </c:pt>
                <c:pt idx="68">
                  <c:v>1.3672613299192207</c:v>
                </c:pt>
                <c:pt idx="69">
                  <c:v>1.3558823764702534</c:v>
                </c:pt>
                <c:pt idx="70">
                  <c:v>1.3126144485203273</c:v>
                </c:pt>
                <c:pt idx="71">
                  <c:v>1.345730493701127</c:v>
                </c:pt>
                <c:pt idx="72">
                  <c:v>1.0673110965840815</c:v>
                </c:pt>
                <c:pt idx="73">
                  <c:v>1.0885747830673036</c:v>
                </c:pt>
                <c:pt idx="74">
                  <c:v>0.96144849545305533</c:v>
                </c:pt>
                <c:pt idx="75">
                  <c:v>1.0795298851580688</c:v>
                </c:pt>
                <c:pt idx="76">
                  <c:v>1.0791578337531289</c:v>
                </c:pt>
                <c:pt idx="77">
                  <c:v>1.1689500404001314</c:v>
                </c:pt>
                <c:pt idx="78">
                  <c:v>1.1974038400350058</c:v>
                </c:pt>
                <c:pt idx="79">
                  <c:v>1.3400295501278836</c:v>
                </c:pt>
                <c:pt idx="80">
                  <c:v>1.3981078041543131</c:v>
                </c:pt>
                <c:pt idx="81">
                  <c:v>1.4199025032165118</c:v>
                </c:pt>
                <c:pt idx="82">
                  <c:v>1.4497286215949234</c:v>
                </c:pt>
                <c:pt idx="83">
                  <c:v>1.6402122044256082</c:v>
                </c:pt>
                <c:pt idx="84">
                  <c:v>1.5935743950583574</c:v>
                </c:pt>
                <c:pt idx="85">
                  <c:v>1.5627940632660198</c:v>
                </c:pt>
                <c:pt idx="86">
                  <c:v>1.6114808895886357</c:v>
                </c:pt>
                <c:pt idx="87">
                  <c:v>1.7493943318545062</c:v>
                </c:pt>
                <c:pt idx="88">
                  <c:v>1.7135714520449028</c:v>
                </c:pt>
                <c:pt idx="89">
                  <c:v>1.710810388323309</c:v>
                </c:pt>
                <c:pt idx="90">
                  <c:v>1.6183271955139868</c:v>
                </c:pt>
                <c:pt idx="91">
                  <c:v>1.7152218982494882</c:v>
                </c:pt>
                <c:pt idx="92">
                  <c:v>1.7828751743990454</c:v>
                </c:pt>
                <c:pt idx="93">
                  <c:v>1.8084345874652226</c:v>
                </c:pt>
                <c:pt idx="94">
                  <c:v>1.7470887023397494</c:v>
                </c:pt>
                <c:pt idx="95">
                  <c:v>1.7431220842914943</c:v>
                </c:pt>
                <c:pt idx="96">
                  <c:v>1.7986952025756258</c:v>
                </c:pt>
                <c:pt idx="97">
                  <c:v>1.8475840996649286</c:v>
                </c:pt>
                <c:pt idx="98">
                  <c:v>1.8781356726992979</c:v>
                </c:pt>
                <c:pt idx="99">
                  <c:v>1.957354464664518</c:v>
                </c:pt>
                <c:pt idx="100">
                  <c:v>1.9981393792212214</c:v>
                </c:pt>
                <c:pt idx="101">
                  <c:v>2.1999543669911414</c:v>
                </c:pt>
                <c:pt idx="102">
                  <c:v>2.1822447188206158</c:v>
                </c:pt>
                <c:pt idx="103">
                  <c:v>2.2374032434995299</c:v>
                </c:pt>
                <c:pt idx="104">
                  <c:v>2.2637623571501377</c:v>
                </c:pt>
                <c:pt idx="105">
                  <c:v>2.2107946534487666</c:v>
                </c:pt>
                <c:pt idx="106">
                  <c:v>2.2108905763999229</c:v>
                </c:pt>
                <c:pt idx="107">
                  <c:v>2.3125372310235623</c:v>
                </c:pt>
                <c:pt idx="108">
                  <c:v>2.257973962435694</c:v>
                </c:pt>
                <c:pt idx="109">
                  <c:v>2.3894851748528403</c:v>
                </c:pt>
                <c:pt idx="110">
                  <c:v>2.3731968244284873</c:v>
                </c:pt>
                <c:pt idx="111">
                  <c:v>2.4252192492667231</c:v>
                </c:pt>
                <c:pt idx="112">
                  <c:v>2.3681366505275934</c:v>
                </c:pt>
                <c:pt idx="113">
                  <c:v>2.4111034851827071</c:v>
                </c:pt>
                <c:pt idx="114">
                  <c:v>2.3571510887218237</c:v>
                </c:pt>
                <c:pt idx="115">
                  <c:v>2.3654194862863931</c:v>
                </c:pt>
                <c:pt idx="116">
                  <c:v>2.3970586323856278</c:v>
                </c:pt>
                <c:pt idx="117">
                  <c:v>2.4180918895095327</c:v>
                </c:pt>
                <c:pt idx="118">
                  <c:v>2.4289669141868586</c:v>
                </c:pt>
                <c:pt idx="119">
                  <c:v>2.4371055599403029</c:v>
                </c:pt>
                <c:pt idx="120">
                  <c:v>2.4572084313985134</c:v>
                </c:pt>
                <c:pt idx="121">
                  <c:v>2.4518272735879192</c:v>
                </c:pt>
                <c:pt idx="122">
                  <c:v>2.3854072214155941</c:v>
                </c:pt>
                <c:pt idx="123">
                  <c:v>2.4694963694022798</c:v>
                </c:pt>
                <c:pt idx="124">
                  <c:v>2.5146860300460467</c:v>
                </c:pt>
                <c:pt idx="125">
                  <c:v>2.4217255121046688</c:v>
                </c:pt>
                <c:pt idx="126">
                  <c:v>2.490206767540347</c:v>
                </c:pt>
                <c:pt idx="127">
                  <c:v>2.4900583529228966</c:v>
                </c:pt>
                <c:pt idx="128">
                  <c:v>2.4944981121177747</c:v>
                </c:pt>
                <c:pt idx="129">
                  <c:v>2.4198987725763526</c:v>
                </c:pt>
                <c:pt idx="130">
                  <c:v>2.433318304270029</c:v>
                </c:pt>
                <c:pt idx="131">
                  <c:v>2.3423874230932702</c:v>
                </c:pt>
                <c:pt idx="132">
                  <c:v>2.3477630444410327</c:v>
                </c:pt>
                <c:pt idx="133">
                  <c:v>2.3925046805927517</c:v>
                </c:pt>
                <c:pt idx="134">
                  <c:v>2.435655584976653</c:v>
                </c:pt>
                <c:pt idx="135">
                  <c:v>2.4590418216937762</c:v>
                </c:pt>
                <c:pt idx="136">
                  <c:v>2.3965487910029295</c:v>
                </c:pt>
                <c:pt idx="137">
                  <c:v>2.3437352229197246</c:v>
                </c:pt>
                <c:pt idx="138">
                  <c:v>2.3018020609793708</c:v>
                </c:pt>
                <c:pt idx="139">
                  <c:v>2.1966017664428046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0C-49D6-9871-9805A87C2788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6.5051240969032392E-2</c:v>
                </c:pt>
                <c:pt idx="2">
                  <c:v>9.9480985029977403E-2</c:v>
                </c:pt>
                <c:pt idx="3">
                  <c:v>0.11046103990844812</c:v>
                </c:pt>
                <c:pt idx="4">
                  <c:v>0.26576565344584924</c:v>
                </c:pt>
                <c:pt idx="5">
                  <c:v>0.33184687440103916</c:v>
                </c:pt>
                <c:pt idx="6">
                  <c:v>0.42441931347643369</c:v>
                </c:pt>
                <c:pt idx="7">
                  <c:v>0.32555309220132056</c:v>
                </c:pt>
                <c:pt idx="8">
                  <c:v>0.38468415764786834</c:v>
                </c:pt>
                <c:pt idx="9">
                  <c:v>0.39737999796075624</c:v>
                </c:pt>
                <c:pt idx="10">
                  <c:v>0.39464147430070823</c:v>
                </c:pt>
                <c:pt idx="11">
                  <c:v>0.44369651359765439</c:v>
                </c:pt>
                <c:pt idx="12">
                  <c:v>0.45757006428149893</c:v>
                </c:pt>
                <c:pt idx="13">
                  <c:v>0.4783243770141134</c:v>
                </c:pt>
                <c:pt idx="14">
                  <c:v>0.54706467312228291</c:v>
                </c:pt>
                <c:pt idx="15">
                  <c:v>0.71075095834999824</c:v>
                </c:pt>
                <c:pt idx="16">
                  <c:v>0.77039246543809625</c:v>
                </c:pt>
                <c:pt idx="17">
                  <c:v>0.69944130751405331</c:v>
                </c:pt>
                <c:pt idx="18">
                  <c:v>0.59871885971009364</c:v>
                </c:pt>
                <c:pt idx="19">
                  <c:v>0.6217609276221292</c:v>
                </c:pt>
                <c:pt idx="20">
                  <c:v>0.57253419018488683</c:v>
                </c:pt>
                <c:pt idx="21">
                  <c:v>0.64886622888462764</c:v>
                </c:pt>
                <c:pt idx="22">
                  <c:v>0.61049953453218198</c:v>
                </c:pt>
                <c:pt idx="23">
                  <c:v>0.63235955369532149</c:v>
                </c:pt>
                <c:pt idx="24">
                  <c:v>0.63362013243159521</c:v>
                </c:pt>
                <c:pt idx="25">
                  <c:v>0.68771289995448392</c:v>
                </c:pt>
                <c:pt idx="26">
                  <c:v>0.70840448824992464</c:v>
                </c:pt>
                <c:pt idx="27">
                  <c:v>0.6913601140089628</c:v>
                </c:pt>
                <c:pt idx="28">
                  <c:v>0.68896697138249552</c:v>
                </c:pt>
                <c:pt idx="29">
                  <c:v>0.7264973300562475</c:v>
                </c:pt>
                <c:pt idx="30">
                  <c:v>0.70512770153064797</c:v>
                </c:pt>
                <c:pt idx="31">
                  <c:v>0.72041972433676793</c:v>
                </c:pt>
                <c:pt idx="32">
                  <c:v>0.79141236313019336</c:v>
                </c:pt>
                <c:pt idx="33">
                  <c:v>0.82708721134845353</c:v>
                </c:pt>
                <c:pt idx="34">
                  <c:v>0.84253030841787735</c:v>
                </c:pt>
                <c:pt idx="35">
                  <c:v>0.84468334060979822</c:v>
                </c:pt>
                <c:pt idx="36">
                  <c:v>0.90100785248310566</c:v>
                </c:pt>
                <c:pt idx="37">
                  <c:v>1.0108595784443866</c:v>
                </c:pt>
                <c:pt idx="38">
                  <c:v>1.0094314086766725</c:v>
                </c:pt>
                <c:pt idx="39">
                  <c:v>0.94204877220088923</c:v>
                </c:pt>
                <c:pt idx="40">
                  <c:v>0.97070461798860541</c:v>
                </c:pt>
                <c:pt idx="41">
                  <c:v>0.95634523701915053</c:v>
                </c:pt>
                <c:pt idx="42">
                  <c:v>0.99116966391640715</c:v>
                </c:pt>
                <c:pt idx="43">
                  <c:v>0.954383293941378</c:v>
                </c:pt>
                <c:pt idx="44">
                  <c:v>0.97719689973033796</c:v>
                </c:pt>
                <c:pt idx="45">
                  <c:v>0.96146950489319316</c:v>
                </c:pt>
                <c:pt idx="46">
                  <c:v>0.99946023892654612</c:v>
                </c:pt>
                <c:pt idx="47">
                  <c:v>1.1165713184423094</c:v>
                </c:pt>
                <c:pt idx="48">
                  <c:v>1.1071032268726519</c:v>
                </c:pt>
                <c:pt idx="49">
                  <c:v>1.1657819800173539</c:v>
                </c:pt>
                <c:pt idx="50">
                  <c:v>1.2123865462099841</c:v>
                </c:pt>
                <c:pt idx="51">
                  <c:v>1.2339020835943277</c:v>
                </c:pt>
                <c:pt idx="52">
                  <c:v>1.2682126513010883</c:v>
                </c:pt>
                <c:pt idx="53">
                  <c:v>1.2557844396742917</c:v>
                </c:pt>
                <c:pt idx="54">
                  <c:v>1.2088759845277395</c:v>
                </c:pt>
                <c:pt idx="55">
                  <c:v>1.1905586436891777</c:v>
                </c:pt>
                <c:pt idx="56">
                  <c:v>1.1579951751441802</c:v>
                </c:pt>
                <c:pt idx="57">
                  <c:v>1.2497269691849218</c:v>
                </c:pt>
                <c:pt idx="58">
                  <c:v>1.3006933713027065</c:v>
                </c:pt>
                <c:pt idx="59">
                  <c:v>1.3105064238864064</c:v>
                </c:pt>
                <c:pt idx="60">
                  <c:v>1.323596643033004</c:v>
                </c:pt>
                <c:pt idx="61">
                  <c:v>1.345461811471059</c:v>
                </c:pt>
                <c:pt idx="62">
                  <c:v>1.3233320534544535</c:v>
                </c:pt>
                <c:pt idx="63">
                  <c:v>1.3634983764092639</c:v>
                </c:pt>
                <c:pt idx="64">
                  <c:v>1.3363785408116973</c:v>
                </c:pt>
                <c:pt idx="65">
                  <c:v>1.3551227100699679</c:v>
                </c:pt>
                <c:pt idx="66">
                  <c:v>1.389980809597273</c:v>
                </c:pt>
                <c:pt idx="67">
                  <c:v>1.4455098852600117</c:v>
                </c:pt>
                <c:pt idx="68">
                  <c:v>1.4243617717149735</c:v>
                </c:pt>
                <c:pt idx="69">
                  <c:v>1.4118762063999239</c:v>
                </c:pt>
                <c:pt idx="70">
                  <c:v>1.3580623422673643</c:v>
                </c:pt>
                <c:pt idx="71">
                  <c:v>1.3980277321600152</c:v>
                </c:pt>
                <c:pt idx="72">
                  <c:v>1.0919722585528431</c:v>
                </c:pt>
                <c:pt idx="73">
                  <c:v>1.1175547087252675</c:v>
                </c:pt>
                <c:pt idx="74">
                  <c:v>0.96838918453686929</c:v>
                </c:pt>
                <c:pt idx="75">
                  <c:v>1.0955908269304464</c:v>
                </c:pt>
                <c:pt idx="76">
                  <c:v>1.0952047331545507</c:v>
                </c:pt>
                <c:pt idx="77">
                  <c:v>1.1854246927844729</c:v>
                </c:pt>
                <c:pt idx="78">
                  <c:v>1.2212731942471555</c:v>
                </c:pt>
                <c:pt idx="79">
                  <c:v>1.3361253241424391</c:v>
                </c:pt>
                <c:pt idx="80">
                  <c:v>1.3943848196406763</c:v>
                </c:pt>
                <c:pt idx="81">
                  <c:v>1.4192383450603161</c:v>
                </c:pt>
                <c:pt idx="82">
                  <c:v>1.4592638959981263</c:v>
                </c:pt>
                <c:pt idx="83">
                  <c:v>1.6690731264340188</c:v>
                </c:pt>
                <c:pt idx="84">
                  <c:v>1.6070398275561075</c:v>
                </c:pt>
                <c:pt idx="85">
                  <c:v>1.5790492468867678</c:v>
                </c:pt>
                <c:pt idx="86">
                  <c:v>1.5785277176390815</c:v>
                </c:pt>
                <c:pt idx="87">
                  <c:v>1.7253161999219224</c:v>
                </c:pt>
                <c:pt idx="88">
                  <c:v>1.7071643840058981</c:v>
                </c:pt>
                <c:pt idx="89">
                  <c:v>1.7134046628775332</c:v>
                </c:pt>
                <c:pt idx="90">
                  <c:v>1.596573029095242</c:v>
                </c:pt>
                <c:pt idx="91">
                  <c:v>1.665655469054687</c:v>
                </c:pt>
                <c:pt idx="92">
                  <c:v>1.7361981165594191</c:v>
                </c:pt>
                <c:pt idx="93">
                  <c:v>1.7553015213132876</c:v>
                </c:pt>
                <c:pt idx="94">
                  <c:v>1.6833611310745245</c:v>
                </c:pt>
                <c:pt idx="95">
                  <c:v>1.6729568420140581</c:v>
                </c:pt>
                <c:pt idx="96">
                  <c:v>1.7341591745861471</c:v>
                </c:pt>
                <c:pt idx="97">
                  <c:v>1.7774926130653812</c:v>
                </c:pt>
                <c:pt idx="98">
                  <c:v>1.81448327232222</c:v>
                </c:pt>
                <c:pt idx="99">
                  <c:v>1.9000771014843456</c:v>
                </c:pt>
                <c:pt idx="100">
                  <c:v>1.9569734368116871</c:v>
                </c:pt>
                <c:pt idx="101">
                  <c:v>2.1525110409642521</c:v>
                </c:pt>
                <c:pt idx="102">
                  <c:v>2.1365495659833535</c:v>
                </c:pt>
                <c:pt idx="103">
                  <c:v>2.1975648429496966</c:v>
                </c:pt>
                <c:pt idx="104">
                  <c:v>2.236402612765052</c:v>
                </c:pt>
                <c:pt idx="105">
                  <c:v>2.163783959650917</c:v>
                </c:pt>
                <c:pt idx="106">
                  <c:v>2.157493566231953</c:v>
                </c:pt>
                <c:pt idx="107">
                  <c:v>2.2711788925377077</c:v>
                </c:pt>
                <c:pt idx="108">
                  <c:v>2.2105238563813252</c:v>
                </c:pt>
                <c:pt idx="109">
                  <c:v>2.3551829716741892</c:v>
                </c:pt>
                <c:pt idx="110">
                  <c:v>2.3262131396445911</c:v>
                </c:pt>
                <c:pt idx="111">
                  <c:v>2.3761462725127851</c:v>
                </c:pt>
                <c:pt idx="112">
                  <c:v>2.3331737260753975</c:v>
                </c:pt>
                <c:pt idx="113">
                  <c:v>2.3587637526114076</c:v>
                </c:pt>
                <c:pt idx="114">
                  <c:v>2.2983965894871847</c:v>
                </c:pt>
                <c:pt idx="115">
                  <c:v>2.3063297660887434</c:v>
                </c:pt>
                <c:pt idx="116">
                  <c:v>2.3453663207530804</c:v>
                </c:pt>
                <c:pt idx="117">
                  <c:v>2.3418353337773059</c:v>
                </c:pt>
                <c:pt idx="118">
                  <c:v>2.3028882732335196</c:v>
                </c:pt>
                <c:pt idx="119">
                  <c:v>2.309868257305681</c:v>
                </c:pt>
                <c:pt idx="120">
                  <c:v>2.3304651702747363</c:v>
                </c:pt>
                <c:pt idx="121">
                  <c:v>2.3300705983178562</c:v>
                </c:pt>
                <c:pt idx="122">
                  <c:v>2.264009744561454</c:v>
                </c:pt>
                <c:pt idx="123">
                  <c:v>2.3572115061367955</c:v>
                </c:pt>
                <c:pt idx="124">
                  <c:v>2.3965922107544833</c:v>
                </c:pt>
                <c:pt idx="125">
                  <c:v>2.3013002449867055</c:v>
                </c:pt>
                <c:pt idx="126">
                  <c:v>2.3842759633638413</c:v>
                </c:pt>
                <c:pt idx="127">
                  <c:v>2.3820670800575043</c:v>
                </c:pt>
                <c:pt idx="128">
                  <c:v>2.3878602707247025</c:v>
                </c:pt>
                <c:pt idx="129">
                  <c:v>2.3205294767086739</c:v>
                </c:pt>
                <c:pt idx="130">
                  <c:v>2.3352201826559553</c:v>
                </c:pt>
                <c:pt idx="131">
                  <c:v>2.2407240949190719</c:v>
                </c:pt>
                <c:pt idx="132">
                  <c:v>2.2406400837355926</c:v>
                </c:pt>
                <c:pt idx="133">
                  <c:v>2.2962665781773781</c:v>
                </c:pt>
                <c:pt idx="134">
                  <c:v>2.3496932475195513</c:v>
                </c:pt>
                <c:pt idx="135">
                  <c:v>2.3641156031318777</c:v>
                </c:pt>
                <c:pt idx="136">
                  <c:v>2.3016695310409987</c:v>
                </c:pt>
                <c:pt idx="137">
                  <c:v>2.2300303064498221</c:v>
                </c:pt>
                <c:pt idx="138">
                  <c:v>2.1922118032720741</c:v>
                </c:pt>
                <c:pt idx="139">
                  <c:v>2.0661650596467713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C-49D6-9871-9805A87C2788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5.62600282553265E-2</c:v>
                </c:pt>
                <c:pt idx="2">
                  <c:v>0.10786919637819459</c:v>
                </c:pt>
                <c:pt idx="3">
                  <c:v>6.5342263170232562E-2</c:v>
                </c:pt>
                <c:pt idx="4">
                  <c:v>0.22393644196855075</c:v>
                </c:pt>
                <c:pt idx="5">
                  <c:v>0.3092558027806932</c:v>
                </c:pt>
                <c:pt idx="6">
                  <c:v>0.4101950994137038</c:v>
                </c:pt>
                <c:pt idx="7">
                  <c:v>0.31217209307977234</c:v>
                </c:pt>
                <c:pt idx="8">
                  <c:v>0.37070466098642207</c:v>
                </c:pt>
                <c:pt idx="9">
                  <c:v>0.38851785029293151</c:v>
                </c:pt>
                <c:pt idx="10">
                  <c:v>0.39786381467004378</c:v>
                </c:pt>
                <c:pt idx="11">
                  <c:v>0.46700198139524329</c:v>
                </c:pt>
                <c:pt idx="12">
                  <c:v>0.49494714782594895</c:v>
                </c:pt>
                <c:pt idx="13">
                  <c:v>0.5235859791892663</c:v>
                </c:pt>
                <c:pt idx="14">
                  <c:v>0.60654348305229899</c:v>
                </c:pt>
                <c:pt idx="15">
                  <c:v>0.78078607519633514</c:v>
                </c:pt>
                <c:pt idx="16">
                  <c:v>0.88155434027498059</c:v>
                </c:pt>
                <c:pt idx="17">
                  <c:v>0.83184329336690477</c:v>
                </c:pt>
                <c:pt idx="18">
                  <c:v>0.72835804301151452</c:v>
                </c:pt>
                <c:pt idx="19">
                  <c:v>0.73026987310421465</c:v>
                </c:pt>
                <c:pt idx="20">
                  <c:v>0.66713692137511227</c:v>
                </c:pt>
                <c:pt idx="21">
                  <c:v>0.73663193211152012</c:v>
                </c:pt>
                <c:pt idx="22">
                  <c:v>0.6716271101325707</c:v>
                </c:pt>
                <c:pt idx="23">
                  <c:v>0.69778534008832416</c:v>
                </c:pt>
                <c:pt idx="24">
                  <c:v>0.71185343950702928</c:v>
                </c:pt>
                <c:pt idx="25">
                  <c:v>0.76984308322897677</c:v>
                </c:pt>
                <c:pt idx="26">
                  <c:v>0.79522958105469999</c:v>
                </c:pt>
                <c:pt idx="27">
                  <c:v>0.7701166061032606</c:v>
                </c:pt>
                <c:pt idx="28">
                  <c:v>0.76226127523715825</c:v>
                </c:pt>
                <c:pt idx="29">
                  <c:v>0.80915887309128687</c:v>
                </c:pt>
                <c:pt idx="30">
                  <c:v>0.77226267932113968</c:v>
                </c:pt>
                <c:pt idx="31">
                  <c:v>0.77500843519339946</c:v>
                </c:pt>
                <c:pt idx="32">
                  <c:v>0.85276717807950253</c:v>
                </c:pt>
                <c:pt idx="33">
                  <c:v>0.90252915303845116</c:v>
                </c:pt>
                <c:pt idx="34">
                  <c:v>0.91085340228821787</c:v>
                </c:pt>
                <c:pt idx="35">
                  <c:v>0.91374155840408888</c:v>
                </c:pt>
                <c:pt idx="36">
                  <c:v>0.97025799355784981</c:v>
                </c:pt>
                <c:pt idx="37">
                  <c:v>1.0722545238507868</c:v>
                </c:pt>
                <c:pt idx="38">
                  <c:v>1.0781982733214646</c:v>
                </c:pt>
                <c:pt idx="39">
                  <c:v>1.0034214387996683</c:v>
                </c:pt>
                <c:pt idx="40">
                  <c:v>0.99799395417704484</c:v>
                </c:pt>
                <c:pt idx="41">
                  <c:v>0.98398151312680382</c:v>
                </c:pt>
                <c:pt idx="42">
                  <c:v>1.0162110490647478</c:v>
                </c:pt>
                <c:pt idx="43">
                  <c:v>1.0158461311343141</c:v>
                </c:pt>
                <c:pt idx="44">
                  <c:v>1.0381669025947056</c:v>
                </c:pt>
                <c:pt idx="45">
                  <c:v>1.0157569597117027</c:v>
                </c:pt>
                <c:pt idx="46">
                  <c:v>1.0704410999443754</c:v>
                </c:pt>
                <c:pt idx="47">
                  <c:v>1.1302281371306135</c:v>
                </c:pt>
                <c:pt idx="48">
                  <c:v>1.11806476461153</c:v>
                </c:pt>
                <c:pt idx="49">
                  <c:v>1.1838198302663123</c:v>
                </c:pt>
                <c:pt idx="50">
                  <c:v>1.236515904079301</c:v>
                </c:pt>
                <c:pt idx="51">
                  <c:v>1.2561113181195533</c:v>
                </c:pt>
                <c:pt idx="52">
                  <c:v>1.2481927419522196</c:v>
                </c:pt>
                <c:pt idx="53">
                  <c:v>1.2421020764753801</c:v>
                </c:pt>
                <c:pt idx="54">
                  <c:v>1.1868051058624705</c:v>
                </c:pt>
                <c:pt idx="55">
                  <c:v>1.1737859656297978</c:v>
                </c:pt>
                <c:pt idx="56">
                  <c:v>1.1482472083558526</c:v>
                </c:pt>
                <c:pt idx="57">
                  <c:v>1.2108974561864847</c:v>
                </c:pt>
                <c:pt idx="58">
                  <c:v>1.2991037115175927</c:v>
                </c:pt>
                <c:pt idx="59">
                  <c:v>1.2676771475271924</c:v>
                </c:pt>
                <c:pt idx="60">
                  <c:v>1.2789396897285723</c:v>
                </c:pt>
                <c:pt idx="61">
                  <c:v>1.3038388150760736</c:v>
                </c:pt>
                <c:pt idx="62">
                  <c:v>1.3052375295577572</c:v>
                </c:pt>
                <c:pt idx="63">
                  <c:v>1.3136760645045984</c:v>
                </c:pt>
                <c:pt idx="64">
                  <c:v>1.2955038682741755</c:v>
                </c:pt>
                <c:pt idx="65">
                  <c:v>1.3181503304678768</c:v>
                </c:pt>
                <c:pt idx="66">
                  <c:v>1.3491366436459067</c:v>
                </c:pt>
                <c:pt idx="67">
                  <c:v>1.4108177250327814</c:v>
                </c:pt>
                <c:pt idx="68">
                  <c:v>1.3982341195887547</c:v>
                </c:pt>
                <c:pt idx="69">
                  <c:v>1.3979681389420235</c:v>
                </c:pt>
                <c:pt idx="70">
                  <c:v>1.3397382752363989</c:v>
                </c:pt>
                <c:pt idx="71">
                  <c:v>1.3862170359976889</c:v>
                </c:pt>
                <c:pt idx="72">
                  <c:v>1.0253771540371908</c:v>
                </c:pt>
                <c:pt idx="73">
                  <c:v>1.0378156369807354</c:v>
                </c:pt>
                <c:pt idx="74">
                  <c:v>0.88259236023773335</c:v>
                </c:pt>
                <c:pt idx="75">
                  <c:v>0.99133934006084889</c:v>
                </c:pt>
                <c:pt idx="76">
                  <c:v>0.98302537335563089</c:v>
                </c:pt>
                <c:pt idx="77">
                  <c:v>1.0661073711997875</c:v>
                </c:pt>
                <c:pt idx="78">
                  <c:v>1.1188398128140487</c:v>
                </c:pt>
                <c:pt idx="79">
                  <c:v>1.2328815977670919</c:v>
                </c:pt>
                <c:pt idx="80">
                  <c:v>1.2903665762253569</c:v>
                </c:pt>
                <c:pt idx="81">
                  <c:v>1.3151616111574511</c:v>
                </c:pt>
                <c:pt idx="82">
                  <c:v>1.3616190996472999</c:v>
                </c:pt>
                <c:pt idx="83">
                  <c:v>1.5133502439414512</c:v>
                </c:pt>
                <c:pt idx="84">
                  <c:v>1.4411757655455992</c:v>
                </c:pt>
                <c:pt idx="85">
                  <c:v>1.4035160376131848</c:v>
                </c:pt>
                <c:pt idx="86">
                  <c:v>1.3900462792848531</c:v>
                </c:pt>
                <c:pt idx="87">
                  <c:v>1.556560940740884</c:v>
                </c:pt>
                <c:pt idx="88">
                  <c:v>1.5606150889353991</c:v>
                </c:pt>
                <c:pt idx="89">
                  <c:v>1.5752690695659717</c:v>
                </c:pt>
                <c:pt idx="90">
                  <c:v>1.4411223635493398</c:v>
                </c:pt>
                <c:pt idx="91">
                  <c:v>1.5460041067065655</c:v>
                </c:pt>
                <c:pt idx="92">
                  <c:v>1.6262561213232201</c:v>
                </c:pt>
                <c:pt idx="93">
                  <c:v>1.6491335774910871</c:v>
                </c:pt>
                <c:pt idx="94">
                  <c:v>1.5733827887699401</c:v>
                </c:pt>
                <c:pt idx="95">
                  <c:v>1.5879930294046845</c:v>
                </c:pt>
                <c:pt idx="96">
                  <c:v>1.6271272771326188</c:v>
                </c:pt>
                <c:pt idx="97">
                  <c:v>1.6613560149598792</c:v>
                </c:pt>
                <c:pt idx="98">
                  <c:v>1.7012089598563591</c:v>
                </c:pt>
                <c:pt idx="99">
                  <c:v>1.7961856588897391</c:v>
                </c:pt>
                <c:pt idx="100">
                  <c:v>1.855607060834559</c:v>
                </c:pt>
                <c:pt idx="101">
                  <c:v>2.0692746021918711</c:v>
                </c:pt>
                <c:pt idx="102">
                  <c:v>2.0642774064043059</c:v>
                </c:pt>
                <c:pt idx="103">
                  <c:v>2.1147774824895396</c:v>
                </c:pt>
                <c:pt idx="104">
                  <c:v>2.1600356825532776</c:v>
                </c:pt>
                <c:pt idx="105">
                  <c:v>2.0783015016916973</c:v>
                </c:pt>
                <c:pt idx="106">
                  <c:v>2.051002591088209</c:v>
                </c:pt>
                <c:pt idx="107">
                  <c:v>2.1729867351759098</c:v>
                </c:pt>
                <c:pt idx="108">
                  <c:v>2.1046177539832045</c:v>
                </c:pt>
                <c:pt idx="109">
                  <c:v>2.2590551131202865</c:v>
                </c:pt>
                <c:pt idx="110">
                  <c:v>2.2225064427684091</c:v>
                </c:pt>
                <c:pt idx="111">
                  <c:v>2.2710298705958381</c:v>
                </c:pt>
                <c:pt idx="112">
                  <c:v>2.2293771451618971</c:v>
                </c:pt>
                <c:pt idx="113">
                  <c:v>2.2489102280555171</c:v>
                </c:pt>
                <c:pt idx="114">
                  <c:v>2.201308031740016</c:v>
                </c:pt>
                <c:pt idx="115">
                  <c:v>2.2111913204681981</c:v>
                </c:pt>
                <c:pt idx="116">
                  <c:v>2.2489664557145455</c:v>
                </c:pt>
                <c:pt idx="117">
                  <c:v>2.2403262699405153</c:v>
                </c:pt>
                <c:pt idx="118">
                  <c:v>2.1862641053159875</c:v>
                </c:pt>
                <c:pt idx="119">
                  <c:v>2.1877213425710837</c:v>
                </c:pt>
                <c:pt idx="120">
                  <c:v>2.1997523095296239</c:v>
                </c:pt>
                <c:pt idx="121">
                  <c:v>2.2039711781628029</c:v>
                </c:pt>
                <c:pt idx="122">
                  <c:v>2.1342857936193571</c:v>
                </c:pt>
                <c:pt idx="123">
                  <c:v>2.2360282777578857</c:v>
                </c:pt>
                <c:pt idx="124">
                  <c:v>2.2901427921849655</c:v>
                </c:pt>
                <c:pt idx="125">
                  <c:v>2.1952569807444369</c:v>
                </c:pt>
                <c:pt idx="126">
                  <c:v>2.2387615922350057</c:v>
                </c:pt>
                <c:pt idx="127">
                  <c:v>2.2372093503074164</c:v>
                </c:pt>
                <c:pt idx="128">
                  <c:v>2.2542272391763047</c:v>
                </c:pt>
                <c:pt idx="129">
                  <c:v>2.1921656250134838</c:v>
                </c:pt>
                <c:pt idx="130">
                  <c:v>2.2219088635254463</c:v>
                </c:pt>
                <c:pt idx="131">
                  <c:v>2.1142192329271783</c:v>
                </c:pt>
                <c:pt idx="132">
                  <c:v>2.1171247120070165</c:v>
                </c:pt>
                <c:pt idx="133">
                  <c:v>2.1833456690355333</c:v>
                </c:pt>
                <c:pt idx="134">
                  <c:v>2.2551506413906144</c:v>
                </c:pt>
                <c:pt idx="135">
                  <c:v>2.2539350735734307</c:v>
                </c:pt>
                <c:pt idx="136">
                  <c:v>2.1870020083816808</c:v>
                </c:pt>
                <c:pt idx="137">
                  <c:v>2.1175703335980751</c:v>
                </c:pt>
                <c:pt idx="138">
                  <c:v>2.1021411662462453</c:v>
                </c:pt>
                <c:pt idx="139">
                  <c:v>1.9726117691089569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0C-49D6-9871-9805A87C2788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0.11446307863265708</c:v>
                </c:pt>
                <c:pt idx="2">
                  <c:v>0.21794430227674638</c:v>
                </c:pt>
                <c:pt idx="3">
                  <c:v>8.9071864932846495E-2</c:v>
                </c:pt>
                <c:pt idx="4">
                  <c:v>0.26951586351323853</c:v>
                </c:pt>
                <c:pt idx="5">
                  <c:v>0.33101333609412376</c:v>
                </c:pt>
                <c:pt idx="6">
                  <c:v>0.43435460107236012</c:v>
                </c:pt>
                <c:pt idx="7">
                  <c:v>0.32578549615516345</c:v>
                </c:pt>
                <c:pt idx="8">
                  <c:v>0.39348597435174038</c:v>
                </c:pt>
                <c:pt idx="9">
                  <c:v>0.38693053438716246</c:v>
                </c:pt>
                <c:pt idx="10">
                  <c:v>0.38397338929295499</c:v>
                </c:pt>
                <c:pt idx="11">
                  <c:v>0.4728640362426359</c:v>
                </c:pt>
                <c:pt idx="12">
                  <c:v>0.49534901305956547</c:v>
                </c:pt>
                <c:pt idx="13">
                  <c:v>0.53037062504817123</c:v>
                </c:pt>
                <c:pt idx="14">
                  <c:v>0.6306001317362685</c:v>
                </c:pt>
                <c:pt idx="15">
                  <c:v>0.83389926421401162</c:v>
                </c:pt>
                <c:pt idx="16">
                  <c:v>0.95618928761698851</c:v>
                </c:pt>
                <c:pt idx="17">
                  <c:v>0.90535243571756518</c:v>
                </c:pt>
                <c:pt idx="18">
                  <c:v>0.76463367615638655</c:v>
                </c:pt>
                <c:pt idx="19">
                  <c:v>0.77333614393342753</c:v>
                </c:pt>
                <c:pt idx="20">
                  <c:v>0.70572985591059212</c:v>
                </c:pt>
                <c:pt idx="21">
                  <c:v>0.77719557410271045</c:v>
                </c:pt>
                <c:pt idx="22">
                  <c:v>0.72426194493830875</c:v>
                </c:pt>
                <c:pt idx="23">
                  <c:v>0.7491175186193445</c:v>
                </c:pt>
                <c:pt idx="24">
                  <c:v>0.780661023095505</c:v>
                </c:pt>
                <c:pt idx="25">
                  <c:v>0.84864496685761948</c:v>
                </c:pt>
                <c:pt idx="26">
                  <c:v>0.86851843164244547</c:v>
                </c:pt>
                <c:pt idx="27">
                  <c:v>0.82298417410353875</c:v>
                </c:pt>
                <c:pt idx="28">
                  <c:v>0.80355407626296027</c:v>
                </c:pt>
                <c:pt idx="29">
                  <c:v>0.81448832844851304</c:v>
                </c:pt>
                <c:pt idx="30">
                  <c:v>0.78445555086637864</c:v>
                </c:pt>
                <c:pt idx="31">
                  <c:v>0.79121412052594298</c:v>
                </c:pt>
                <c:pt idx="32">
                  <c:v>0.8733535532748028</c:v>
                </c:pt>
                <c:pt idx="33">
                  <c:v>0.9258359064918279</c:v>
                </c:pt>
                <c:pt idx="34">
                  <c:v>0.93602077040075282</c:v>
                </c:pt>
                <c:pt idx="35">
                  <c:v>0.93894823249167214</c:v>
                </c:pt>
                <c:pt idx="36">
                  <c:v>0.99428137781516901</c:v>
                </c:pt>
                <c:pt idx="37">
                  <c:v>1.084122349035255</c:v>
                </c:pt>
                <c:pt idx="38">
                  <c:v>1.1024662162111751</c:v>
                </c:pt>
                <c:pt idx="39">
                  <c:v>1.0264816400335612</c:v>
                </c:pt>
                <c:pt idx="40">
                  <c:v>1.0132218264543977</c:v>
                </c:pt>
                <c:pt idx="41">
                  <c:v>0.99932331843975952</c:v>
                </c:pt>
                <c:pt idx="42">
                  <c:v>1.0324529293362112</c:v>
                </c:pt>
                <c:pt idx="43">
                  <c:v>1.0339336152649732</c:v>
                </c:pt>
                <c:pt idx="44">
                  <c:v>1.0605701522590154</c:v>
                </c:pt>
                <c:pt idx="45">
                  <c:v>1.0420392442509807</c:v>
                </c:pt>
                <c:pt idx="46">
                  <c:v>1.0966362577842081</c:v>
                </c:pt>
                <c:pt idx="47">
                  <c:v>1.1415083521562976</c:v>
                </c:pt>
                <c:pt idx="48">
                  <c:v>1.1250042196530783</c:v>
                </c:pt>
                <c:pt idx="49">
                  <c:v>1.1732772419240161</c:v>
                </c:pt>
                <c:pt idx="50">
                  <c:v>1.2309166054919123</c:v>
                </c:pt>
                <c:pt idx="51">
                  <c:v>1.2202129801256598</c:v>
                </c:pt>
                <c:pt idx="52">
                  <c:v>1.1972161410979274</c:v>
                </c:pt>
                <c:pt idx="53">
                  <c:v>1.2040755215468784</c:v>
                </c:pt>
                <c:pt idx="54">
                  <c:v>1.154367382012347</c:v>
                </c:pt>
                <c:pt idx="55">
                  <c:v>1.139472605762041</c:v>
                </c:pt>
                <c:pt idx="56">
                  <c:v>1.1134864880666917</c:v>
                </c:pt>
                <c:pt idx="57">
                  <c:v>1.1906192552545147</c:v>
                </c:pt>
                <c:pt idx="58">
                  <c:v>1.2879305634338187</c:v>
                </c:pt>
                <c:pt idx="59">
                  <c:v>1.2647140791349791</c:v>
                </c:pt>
                <c:pt idx="60">
                  <c:v>1.2921713950702534</c:v>
                </c:pt>
                <c:pt idx="61">
                  <c:v>1.3176265787223387</c:v>
                </c:pt>
                <c:pt idx="62">
                  <c:v>1.3036574474419154</c:v>
                </c:pt>
                <c:pt idx="63">
                  <c:v>1.3235239346266519</c:v>
                </c:pt>
                <c:pt idx="64">
                  <c:v>1.3233386843632156</c:v>
                </c:pt>
                <c:pt idx="65">
                  <c:v>1.3460306579934103</c:v>
                </c:pt>
                <c:pt idx="66">
                  <c:v>1.3821404459518554</c:v>
                </c:pt>
                <c:pt idx="67">
                  <c:v>1.4196063666985468</c:v>
                </c:pt>
                <c:pt idx="68">
                  <c:v>1.4152735883006695</c:v>
                </c:pt>
                <c:pt idx="69">
                  <c:v>1.4157522197105472</c:v>
                </c:pt>
                <c:pt idx="70">
                  <c:v>1.3485213179233113</c:v>
                </c:pt>
                <c:pt idx="71">
                  <c:v>1.3987915039928098</c:v>
                </c:pt>
                <c:pt idx="72">
                  <c:v>1.0026372233655834</c:v>
                </c:pt>
                <c:pt idx="73">
                  <c:v>1.0185605947182272</c:v>
                </c:pt>
                <c:pt idx="74">
                  <c:v>0.83131345886008223</c:v>
                </c:pt>
                <c:pt idx="75">
                  <c:v>0.9845816639091729</c:v>
                </c:pt>
                <c:pt idx="76">
                  <c:v>0.98019528671768896</c:v>
                </c:pt>
                <c:pt idx="77">
                  <c:v>1.0285676931277985</c:v>
                </c:pt>
                <c:pt idx="78">
                  <c:v>1.0613763560049521</c:v>
                </c:pt>
                <c:pt idx="79">
                  <c:v>1.1612848388510884</c:v>
                </c:pt>
                <c:pt idx="80">
                  <c:v>1.2236693448062244</c:v>
                </c:pt>
                <c:pt idx="81">
                  <c:v>1.2409016014922194</c:v>
                </c:pt>
                <c:pt idx="82">
                  <c:v>1.3008651978380634</c:v>
                </c:pt>
                <c:pt idx="83">
                  <c:v>1.436117811531084</c:v>
                </c:pt>
                <c:pt idx="84">
                  <c:v>1.3652074480082412</c:v>
                </c:pt>
                <c:pt idx="85">
                  <c:v>1.323550965605959</c:v>
                </c:pt>
                <c:pt idx="86">
                  <c:v>1.3156292533134608</c:v>
                </c:pt>
                <c:pt idx="87">
                  <c:v>1.4940479152398529</c:v>
                </c:pt>
                <c:pt idx="88">
                  <c:v>1.5090644196494194</c:v>
                </c:pt>
                <c:pt idx="89">
                  <c:v>1.5350615343329872</c:v>
                </c:pt>
                <c:pt idx="90">
                  <c:v>1.3597493213999596</c:v>
                </c:pt>
                <c:pt idx="91">
                  <c:v>1.4811279007070008</c:v>
                </c:pt>
                <c:pt idx="92">
                  <c:v>1.5816669000082766</c:v>
                </c:pt>
                <c:pt idx="93">
                  <c:v>1.6059317370837973</c:v>
                </c:pt>
                <c:pt idx="94">
                  <c:v>1.5557466531382553</c:v>
                </c:pt>
                <c:pt idx="95">
                  <c:v>1.5525582471607384</c:v>
                </c:pt>
                <c:pt idx="96">
                  <c:v>1.6036066935898832</c:v>
                </c:pt>
                <c:pt idx="97">
                  <c:v>1.641569453182288</c:v>
                </c:pt>
                <c:pt idx="98">
                  <c:v>1.6899631370612667</c:v>
                </c:pt>
                <c:pt idx="99">
                  <c:v>1.7586838017605517</c:v>
                </c:pt>
                <c:pt idx="100">
                  <c:v>1.824371080823169</c:v>
                </c:pt>
                <c:pt idx="101">
                  <c:v>2.0723655445751583</c:v>
                </c:pt>
                <c:pt idx="102">
                  <c:v>2.0715523473614135</c:v>
                </c:pt>
                <c:pt idx="103">
                  <c:v>2.1021196745885535</c:v>
                </c:pt>
                <c:pt idx="104">
                  <c:v>2.1416913631904868</c:v>
                </c:pt>
                <c:pt idx="105">
                  <c:v>2.045930470843611</c:v>
                </c:pt>
                <c:pt idx="106">
                  <c:v>1.9862650422349923</c:v>
                </c:pt>
                <c:pt idx="107">
                  <c:v>2.1113547190507851</c:v>
                </c:pt>
                <c:pt idx="108">
                  <c:v>2.0491984669244032</c:v>
                </c:pt>
                <c:pt idx="109">
                  <c:v>2.2275489973487064</c:v>
                </c:pt>
                <c:pt idx="110">
                  <c:v>2.194739673333129</c:v>
                </c:pt>
                <c:pt idx="111">
                  <c:v>2.238921384948855</c:v>
                </c:pt>
                <c:pt idx="112">
                  <c:v>2.191318270167208</c:v>
                </c:pt>
                <c:pt idx="113">
                  <c:v>2.2078722791958105</c:v>
                </c:pt>
                <c:pt idx="114">
                  <c:v>2.218260187958573</c:v>
                </c:pt>
                <c:pt idx="115">
                  <c:v>2.231581751503918</c:v>
                </c:pt>
                <c:pt idx="116">
                  <c:v>2.2735967078822479</c:v>
                </c:pt>
                <c:pt idx="117">
                  <c:v>2.2636460772092919</c:v>
                </c:pt>
                <c:pt idx="118">
                  <c:v>2.2231608829234699</c:v>
                </c:pt>
                <c:pt idx="119">
                  <c:v>2.2202391463695466</c:v>
                </c:pt>
                <c:pt idx="120">
                  <c:v>2.2219202226817765</c:v>
                </c:pt>
                <c:pt idx="121">
                  <c:v>2.2225939468988987</c:v>
                </c:pt>
                <c:pt idx="122">
                  <c:v>2.1372850927772027</c:v>
                </c:pt>
                <c:pt idx="123">
                  <c:v>2.2161788257611854</c:v>
                </c:pt>
                <c:pt idx="124">
                  <c:v>2.270452698114493</c:v>
                </c:pt>
                <c:pt idx="125">
                  <c:v>2.1995178826860138</c:v>
                </c:pt>
                <c:pt idx="126">
                  <c:v>2.2488839051390577</c:v>
                </c:pt>
                <c:pt idx="127">
                  <c:v>2.2519048084827933</c:v>
                </c:pt>
                <c:pt idx="128">
                  <c:v>2.2590741273970725</c:v>
                </c:pt>
                <c:pt idx="129">
                  <c:v>2.2001777731679786</c:v>
                </c:pt>
                <c:pt idx="130">
                  <c:v>2.2433213775083485</c:v>
                </c:pt>
                <c:pt idx="131">
                  <c:v>2.1436140437464823</c:v>
                </c:pt>
                <c:pt idx="132">
                  <c:v>2.1405294212240458</c:v>
                </c:pt>
                <c:pt idx="133">
                  <c:v>2.2207815502522448</c:v>
                </c:pt>
                <c:pt idx="134">
                  <c:v>2.2740566854382784</c:v>
                </c:pt>
                <c:pt idx="135">
                  <c:v>2.275339395925728</c:v>
                </c:pt>
                <c:pt idx="136">
                  <c:v>2.1944593630868381</c:v>
                </c:pt>
                <c:pt idx="137">
                  <c:v>2.1243605221110626</c:v>
                </c:pt>
                <c:pt idx="138">
                  <c:v>2.0950139252321702</c:v>
                </c:pt>
                <c:pt idx="139">
                  <c:v>1.9414533733392045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0C-49D6-9871-9805A87C2788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2.2218524817248689E-2</c:v>
                </c:pt>
                <c:pt idx="2">
                  <c:v>0.12860655860259129</c:v>
                </c:pt>
                <c:pt idx="3">
                  <c:v>-1.2438547743491013E-2</c:v>
                </c:pt>
                <c:pt idx="4">
                  <c:v>0.18032072978677399</c:v>
                </c:pt>
                <c:pt idx="5">
                  <c:v>0.21647243418305717</c:v>
                </c:pt>
                <c:pt idx="6">
                  <c:v>0.32131285296209827</c:v>
                </c:pt>
                <c:pt idx="7">
                  <c:v>0.20052243616055487</c:v>
                </c:pt>
                <c:pt idx="8">
                  <c:v>0.30650124329529405</c:v>
                </c:pt>
                <c:pt idx="9">
                  <c:v>0.31931832290112078</c:v>
                </c:pt>
                <c:pt idx="10">
                  <c:v>0.31739420138903779</c:v>
                </c:pt>
                <c:pt idx="11">
                  <c:v>0.41708094345181856</c:v>
                </c:pt>
                <c:pt idx="12">
                  <c:v>0.4435670082759286</c:v>
                </c:pt>
                <c:pt idx="13">
                  <c:v>0.49296204076410544</c:v>
                </c:pt>
                <c:pt idx="14">
                  <c:v>0.61460114025681356</c:v>
                </c:pt>
                <c:pt idx="15">
                  <c:v>0.8506607731771243</c:v>
                </c:pt>
                <c:pt idx="16">
                  <c:v>0.888400234466445</c:v>
                </c:pt>
                <c:pt idx="17">
                  <c:v>0.83906094228400196</c:v>
                </c:pt>
                <c:pt idx="18">
                  <c:v>0.68294618999838874</c:v>
                </c:pt>
                <c:pt idx="19">
                  <c:v>0.66988497102372857</c:v>
                </c:pt>
                <c:pt idx="20">
                  <c:v>0.61289346243624532</c:v>
                </c:pt>
                <c:pt idx="21">
                  <c:v>0.68104587821482865</c:v>
                </c:pt>
                <c:pt idx="22">
                  <c:v>0.63795133745883115</c:v>
                </c:pt>
                <c:pt idx="23">
                  <c:v>0.67736159153065911</c:v>
                </c:pt>
                <c:pt idx="24">
                  <c:v>0.71288076533878308</c:v>
                </c:pt>
                <c:pt idx="25">
                  <c:v>0.76555309319030085</c:v>
                </c:pt>
                <c:pt idx="26">
                  <c:v>0.78369559855737325</c:v>
                </c:pt>
                <c:pt idx="27">
                  <c:v>0.73824798510748457</c:v>
                </c:pt>
                <c:pt idx="28">
                  <c:v>0.73968152389202613</c:v>
                </c:pt>
                <c:pt idx="29">
                  <c:v>0.73454869420002511</c:v>
                </c:pt>
                <c:pt idx="30">
                  <c:v>0.6417040611956627</c:v>
                </c:pt>
                <c:pt idx="31">
                  <c:v>0.65781979248158362</c:v>
                </c:pt>
                <c:pt idx="32">
                  <c:v>0.72252112918695077</c:v>
                </c:pt>
                <c:pt idx="33">
                  <c:v>0.69098352738707625</c:v>
                </c:pt>
                <c:pt idx="34">
                  <c:v>0.72117349888859072</c:v>
                </c:pt>
                <c:pt idx="35">
                  <c:v>0.72823184257786067</c:v>
                </c:pt>
                <c:pt idx="36">
                  <c:v>0.78663839272521274</c:v>
                </c:pt>
                <c:pt idx="37">
                  <c:v>0.89368261853969344</c:v>
                </c:pt>
                <c:pt idx="38">
                  <c:v>0.90122270532310633</c:v>
                </c:pt>
                <c:pt idx="39">
                  <c:v>0.82393622791081811</c:v>
                </c:pt>
                <c:pt idx="40">
                  <c:v>0.81247728869477975</c:v>
                </c:pt>
                <c:pt idx="41">
                  <c:v>0.79930563128324983</c:v>
                </c:pt>
                <c:pt idx="42">
                  <c:v>0.83123053455940277</c:v>
                </c:pt>
                <c:pt idx="43">
                  <c:v>0.82956590629068183</c:v>
                </c:pt>
                <c:pt idx="44">
                  <c:v>0.85664009306403688</c:v>
                </c:pt>
                <c:pt idx="45">
                  <c:v>0.82611546281620796</c:v>
                </c:pt>
                <c:pt idx="46">
                  <c:v>0.8833267445256533</c:v>
                </c:pt>
                <c:pt idx="47">
                  <c:v>0.93205856125579367</c:v>
                </c:pt>
                <c:pt idx="48">
                  <c:v>0.91100448759860353</c:v>
                </c:pt>
                <c:pt idx="49">
                  <c:v>0.943494675141752</c:v>
                </c:pt>
                <c:pt idx="50">
                  <c:v>0.97081949378518206</c:v>
                </c:pt>
                <c:pt idx="51">
                  <c:v>0.96527542487971429</c:v>
                </c:pt>
                <c:pt idx="52">
                  <c:v>0.94239842079960812</c:v>
                </c:pt>
                <c:pt idx="53">
                  <c:v>0.95450148435941773</c:v>
                </c:pt>
                <c:pt idx="54">
                  <c:v>0.89665117962320351</c:v>
                </c:pt>
                <c:pt idx="55">
                  <c:v>0.86612371557495538</c:v>
                </c:pt>
                <c:pt idx="56">
                  <c:v>0.83535204951837483</c:v>
                </c:pt>
                <c:pt idx="57">
                  <c:v>0.91412761142180843</c:v>
                </c:pt>
                <c:pt idx="58">
                  <c:v>0.99730404859628052</c:v>
                </c:pt>
                <c:pt idx="59">
                  <c:v>0.96843407315102659</c:v>
                </c:pt>
                <c:pt idx="60">
                  <c:v>0.98069910745163236</c:v>
                </c:pt>
                <c:pt idx="61">
                  <c:v>1.0042232764323404</c:v>
                </c:pt>
                <c:pt idx="62">
                  <c:v>1.0119148308778458</c:v>
                </c:pt>
                <c:pt idx="63">
                  <c:v>1.0228280756674299</c:v>
                </c:pt>
                <c:pt idx="64">
                  <c:v>1.0074349332062298</c:v>
                </c:pt>
                <c:pt idx="65">
                  <c:v>1.0321146328811475</c:v>
                </c:pt>
                <c:pt idx="66">
                  <c:v>1.0684068692433462</c:v>
                </c:pt>
                <c:pt idx="67">
                  <c:v>1.103851713239715</c:v>
                </c:pt>
                <c:pt idx="68">
                  <c:v>1.1079531477831919</c:v>
                </c:pt>
                <c:pt idx="69">
                  <c:v>1.0834613186686648</c:v>
                </c:pt>
                <c:pt idx="70">
                  <c:v>0.98823749769814762</c:v>
                </c:pt>
                <c:pt idx="71">
                  <c:v>1.0404083869983745</c:v>
                </c:pt>
                <c:pt idx="72">
                  <c:v>0.57566355943933467</c:v>
                </c:pt>
                <c:pt idx="73">
                  <c:v>0.58619387416294799</c:v>
                </c:pt>
                <c:pt idx="74">
                  <c:v>0.40264229185901013</c:v>
                </c:pt>
                <c:pt idx="75">
                  <c:v>0.56975364925722183</c:v>
                </c:pt>
                <c:pt idx="76">
                  <c:v>0.57380618694046026</c:v>
                </c:pt>
                <c:pt idx="77">
                  <c:v>0.66212451234625291</c:v>
                </c:pt>
                <c:pt idx="78">
                  <c:v>0.74265703173098696</c:v>
                </c:pt>
                <c:pt idx="79">
                  <c:v>0.81886368625594341</c:v>
                </c:pt>
                <c:pt idx="80">
                  <c:v>0.84083688224521713</c:v>
                </c:pt>
                <c:pt idx="81">
                  <c:v>0.86017723843426841</c:v>
                </c:pt>
                <c:pt idx="82">
                  <c:v>0.94580552669041196</c:v>
                </c:pt>
                <c:pt idx="83">
                  <c:v>1.0766487387308119</c:v>
                </c:pt>
                <c:pt idx="84">
                  <c:v>0.98748155790229253</c:v>
                </c:pt>
                <c:pt idx="85">
                  <c:v>0.95036912537679663</c:v>
                </c:pt>
                <c:pt idx="86">
                  <c:v>0.93604026286306763</c:v>
                </c:pt>
                <c:pt idx="87">
                  <c:v>1.0820607803683648</c:v>
                </c:pt>
                <c:pt idx="88">
                  <c:v>1.0966408451448848</c:v>
                </c:pt>
                <c:pt idx="89">
                  <c:v>1.1268306611198329</c:v>
                </c:pt>
                <c:pt idx="90">
                  <c:v>0.91374704804823648</c:v>
                </c:pt>
                <c:pt idx="91">
                  <c:v>1.1057837670246009</c:v>
                </c:pt>
                <c:pt idx="92">
                  <c:v>1.2057464820784776</c:v>
                </c:pt>
                <c:pt idx="93">
                  <c:v>1.2325714844080427</c:v>
                </c:pt>
                <c:pt idx="94">
                  <c:v>1.2161711801511506</c:v>
                </c:pt>
                <c:pt idx="95">
                  <c:v>1.2389326231150679</c:v>
                </c:pt>
                <c:pt idx="96">
                  <c:v>1.2687147628444835</c:v>
                </c:pt>
                <c:pt idx="97">
                  <c:v>1.3185095758919276</c:v>
                </c:pt>
                <c:pt idx="98">
                  <c:v>1.419203779891179</c:v>
                </c:pt>
                <c:pt idx="99">
                  <c:v>1.4774395426296734</c:v>
                </c:pt>
                <c:pt idx="100">
                  <c:v>1.5447846162414989</c:v>
                </c:pt>
                <c:pt idx="101">
                  <c:v>1.7899372397184548</c:v>
                </c:pt>
                <c:pt idx="102">
                  <c:v>1.8024558483716351</c:v>
                </c:pt>
                <c:pt idx="103">
                  <c:v>1.828609663494021</c:v>
                </c:pt>
                <c:pt idx="104">
                  <c:v>1.8526281823934398</c:v>
                </c:pt>
                <c:pt idx="105">
                  <c:v>1.7677524294824032</c:v>
                </c:pt>
                <c:pt idx="106">
                  <c:v>1.7102300526001817</c:v>
                </c:pt>
                <c:pt idx="107">
                  <c:v>1.8551700019111697</c:v>
                </c:pt>
                <c:pt idx="108">
                  <c:v>1.7905094096233332</c:v>
                </c:pt>
                <c:pt idx="109">
                  <c:v>1.9992618335029491</c:v>
                </c:pt>
                <c:pt idx="110">
                  <c:v>1.9607129260890952</c:v>
                </c:pt>
                <c:pt idx="111">
                  <c:v>2.019391628729502</c:v>
                </c:pt>
                <c:pt idx="112">
                  <c:v>1.9694356638688348</c:v>
                </c:pt>
                <c:pt idx="113">
                  <c:v>2.0008824016269533</c:v>
                </c:pt>
                <c:pt idx="114">
                  <c:v>2.0114284160375155</c:v>
                </c:pt>
                <c:pt idx="115">
                  <c:v>2.0376184444022494</c:v>
                </c:pt>
                <c:pt idx="116">
                  <c:v>2.0713804402200187</c:v>
                </c:pt>
                <c:pt idx="117">
                  <c:v>2.058990429280652</c:v>
                </c:pt>
                <c:pt idx="118">
                  <c:v>2.0017188262958201</c:v>
                </c:pt>
                <c:pt idx="119">
                  <c:v>2.0072268118531329</c:v>
                </c:pt>
                <c:pt idx="120">
                  <c:v>2.0114712082770949</c:v>
                </c:pt>
                <c:pt idx="121">
                  <c:v>2.0055441395032583</c:v>
                </c:pt>
                <c:pt idx="122">
                  <c:v>1.9118951661675225</c:v>
                </c:pt>
                <c:pt idx="123">
                  <c:v>2.0071153710417255</c:v>
                </c:pt>
                <c:pt idx="124">
                  <c:v>2.0483872431688157</c:v>
                </c:pt>
                <c:pt idx="125">
                  <c:v>1.9661425689634302</c:v>
                </c:pt>
                <c:pt idx="126">
                  <c:v>2.0153153350276769</c:v>
                </c:pt>
                <c:pt idx="127">
                  <c:v>2.0341441000631315</c:v>
                </c:pt>
                <c:pt idx="128">
                  <c:v>2.0381366568115813</c:v>
                </c:pt>
                <c:pt idx="129">
                  <c:v>1.9795737408240839</c:v>
                </c:pt>
                <c:pt idx="130">
                  <c:v>2.0169451155605063</c:v>
                </c:pt>
                <c:pt idx="131">
                  <c:v>1.9193999992918456</c:v>
                </c:pt>
                <c:pt idx="132">
                  <c:v>1.917145366321791</c:v>
                </c:pt>
                <c:pt idx="133">
                  <c:v>1.9997278721752116</c:v>
                </c:pt>
                <c:pt idx="134">
                  <c:v>2.0468441516593372</c:v>
                </c:pt>
                <c:pt idx="135">
                  <c:v>2.0478927295747473</c:v>
                </c:pt>
                <c:pt idx="136">
                  <c:v>1.991283507765528</c:v>
                </c:pt>
                <c:pt idx="137">
                  <c:v>1.9241726869430229</c:v>
                </c:pt>
                <c:pt idx="138">
                  <c:v>1.9260389453158699</c:v>
                </c:pt>
                <c:pt idx="139">
                  <c:v>1.7552747188685942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0C-49D6-9871-9805A87C2788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5.9145631798804485E-2</c:v>
                </c:pt>
                <c:pt idx="2">
                  <c:v>0.19397708997157187</c:v>
                </c:pt>
                <c:pt idx="3">
                  <c:v>-1.517192955753513E-2</c:v>
                </c:pt>
                <c:pt idx="4">
                  <c:v>0.10833758713531687</c:v>
                </c:pt>
                <c:pt idx="5">
                  <c:v>8.2519532079349714E-2</c:v>
                </c:pt>
                <c:pt idx="6">
                  <c:v>0.2085232263056126</c:v>
                </c:pt>
                <c:pt idx="7">
                  <c:v>8.4135973314306403E-2</c:v>
                </c:pt>
                <c:pt idx="8">
                  <c:v>0.17323974489143107</c:v>
                </c:pt>
                <c:pt idx="9">
                  <c:v>0.20048000657382592</c:v>
                </c:pt>
                <c:pt idx="10">
                  <c:v>0.21084732747942184</c:v>
                </c:pt>
                <c:pt idx="11">
                  <c:v>0.34088835993449934</c:v>
                </c:pt>
                <c:pt idx="12">
                  <c:v>0.32774050804812882</c:v>
                </c:pt>
                <c:pt idx="13">
                  <c:v>0.39143866355715667</c:v>
                </c:pt>
                <c:pt idx="14">
                  <c:v>0.49672575226924748</c:v>
                </c:pt>
                <c:pt idx="15">
                  <c:v>0.75774483877091126</c:v>
                </c:pt>
                <c:pt idx="16">
                  <c:v>0.73221697633176841</c:v>
                </c:pt>
                <c:pt idx="17">
                  <c:v>0.64963062561964313</c:v>
                </c:pt>
                <c:pt idx="18">
                  <c:v>0.50771954253976614</c:v>
                </c:pt>
                <c:pt idx="19">
                  <c:v>0.46098276623998014</c:v>
                </c:pt>
                <c:pt idx="20">
                  <c:v>0.43194460228211567</c:v>
                </c:pt>
                <c:pt idx="21">
                  <c:v>0.51603770262358462</c:v>
                </c:pt>
                <c:pt idx="22">
                  <c:v>0.48941829366872713</c:v>
                </c:pt>
                <c:pt idx="23">
                  <c:v>0.50795124291499527</c:v>
                </c:pt>
                <c:pt idx="24">
                  <c:v>0.5555375567172246</c:v>
                </c:pt>
                <c:pt idx="25">
                  <c:v>0.59827977277266764</c:v>
                </c:pt>
                <c:pt idx="26">
                  <c:v>0.62308721679737611</c:v>
                </c:pt>
                <c:pt idx="27">
                  <c:v>0.5973748330514046</c:v>
                </c:pt>
                <c:pt idx="28">
                  <c:v>0.63145585036163454</c:v>
                </c:pt>
                <c:pt idx="29">
                  <c:v>0.63506061210769349</c:v>
                </c:pt>
                <c:pt idx="30">
                  <c:v>0.53325376760393661</c:v>
                </c:pt>
                <c:pt idx="31">
                  <c:v>0.52520532498949779</c:v>
                </c:pt>
                <c:pt idx="32">
                  <c:v>0.58074680154799052</c:v>
                </c:pt>
                <c:pt idx="33">
                  <c:v>0.55015797362257768</c:v>
                </c:pt>
                <c:pt idx="34">
                  <c:v>0.57644468874055232</c:v>
                </c:pt>
                <c:pt idx="35">
                  <c:v>0.5952215450986994</c:v>
                </c:pt>
                <c:pt idx="36">
                  <c:v>0.65694810119108604</c:v>
                </c:pt>
                <c:pt idx="37">
                  <c:v>0.76667735054851227</c:v>
                </c:pt>
                <c:pt idx="38">
                  <c:v>0.75207788944197473</c:v>
                </c:pt>
                <c:pt idx="39">
                  <c:v>0.65432159730162076</c:v>
                </c:pt>
                <c:pt idx="40">
                  <c:v>0.63048298203431075</c:v>
                </c:pt>
                <c:pt idx="41">
                  <c:v>0.64670529986936653</c:v>
                </c:pt>
                <c:pt idx="42">
                  <c:v>0.71849666628117059</c:v>
                </c:pt>
                <c:pt idx="43">
                  <c:v>0.71728665059973495</c:v>
                </c:pt>
                <c:pt idx="44">
                  <c:v>0.73078441459322374</c:v>
                </c:pt>
                <c:pt idx="45">
                  <c:v>0.69965592897163675</c:v>
                </c:pt>
                <c:pt idx="46">
                  <c:v>0.78156409241292701</c:v>
                </c:pt>
                <c:pt idx="47">
                  <c:v>0.83776304554292147</c:v>
                </c:pt>
                <c:pt idx="48">
                  <c:v>0.81817419982850548</c:v>
                </c:pt>
                <c:pt idx="49">
                  <c:v>0.85014914655258245</c:v>
                </c:pt>
                <c:pt idx="50">
                  <c:v>0.88485941641314636</c:v>
                </c:pt>
                <c:pt idx="51">
                  <c:v>0.88034041193882595</c:v>
                </c:pt>
                <c:pt idx="52">
                  <c:v>0.84005639184026037</c:v>
                </c:pt>
                <c:pt idx="53">
                  <c:v>0.84530693878522456</c:v>
                </c:pt>
                <c:pt idx="54">
                  <c:v>0.77223437190170952</c:v>
                </c:pt>
                <c:pt idx="55">
                  <c:v>0.74835403745080187</c:v>
                </c:pt>
                <c:pt idx="56">
                  <c:v>0.71112295417526161</c:v>
                </c:pt>
                <c:pt idx="57">
                  <c:v>0.87405335339105295</c:v>
                </c:pt>
                <c:pt idx="58">
                  <c:v>1.0346046815646073</c:v>
                </c:pt>
                <c:pt idx="59">
                  <c:v>1.009587639303611</c:v>
                </c:pt>
                <c:pt idx="60">
                  <c:v>1.0302341314560728</c:v>
                </c:pt>
                <c:pt idx="61">
                  <c:v>1.0523536331382988</c:v>
                </c:pt>
                <c:pt idx="62">
                  <c:v>1.0588057916771521</c:v>
                </c:pt>
                <c:pt idx="63">
                  <c:v>1.0699273357288221</c:v>
                </c:pt>
                <c:pt idx="64">
                  <c:v>1.0550174383750863</c:v>
                </c:pt>
                <c:pt idx="65">
                  <c:v>1.0842716018437639</c:v>
                </c:pt>
                <c:pt idx="66">
                  <c:v>1.1262626226633778</c:v>
                </c:pt>
                <c:pt idx="67">
                  <c:v>1.1562885911541239</c:v>
                </c:pt>
                <c:pt idx="68">
                  <c:v>1.1618285511202306</c:v>
                </c:pt>
                <c:pt idx="69">
                  <c:v>1.1440646624912649</c:v>
                </c:pt>
                <c:pt idx="70">
                  <c:v>1.0544911191660749</c:v>
                </c:pt>
                <c:pt idx="71">
                  <c:v>1.103600830335262</c:v>
                </c:pt>
                <c:pt idx="72">
                  <c:v>0.76890975834759145</c:v>
                </c:pt>
                <c:pt idx="73">
                  <c:v>0.78180290412264408</c:v>
                </c:pt>
                <c:pt idx="74">
                  <c:v>0.58764528589103038</c:v>
                </c:pt>
                <c:pt idx="75">
                  <c:v>0.74375859630143604</c:v>
                </c:pt>
                <c:pt idx="76">
                  <c:v>0.73775892712963509</c:v>
                </c:pt>
                <c:pt idx="77">
                  <c:v>0.83068752081881325</c:v>
                </c:pt>
                <c:pt idx="78">
                  <c:v>0.91788721505794324</c:v>
                </c:pt>
                <c:pt idx="79">
                  <c:v>0.99051664232559422</c:v>
                </c:pt>
                <c:pt idx="80">
                  <c:v>1.0142491500915476</c:v>
                </c:pt>
                <c:pt idx="81">
                  <c:v>1.0354563732780608</c:v>
                </c:pt>
                <c:pt idx="82">
                  <c:v>1.1330536281983135</c:v>
                </c:pt>
                <c:pt idx="83">
                  <c:v>1.183504327386476</c:v>
                </c:pt>
                <c:pt idx="84">
                  <c:v>1.0715819081173297</c:v>
                </c:pt>
                <c:pt idx="85">
                  <c:v>1.0744472037081594</c:v>
                </c:pt>
                <c:pt idx="86">
                  <c:v>1.0915669859936659</c:v>
                </c:pt>
                <c:pt idx="87">
                  <c:v>1.211752605684685</c:v>
                </c:pt>
                <c:pt idx="88">
                  <c:v>1.25400289891671</c:v>
                </c:pt>
                <c:pt idx="89">
                  <c:v>1.2749313350774816</c:v>
                </c:pt>
                <c:pt idx="90">
                  <c:v>1.0333282884850106</c:v>
                </c:pt>
                <c:pt idx="91">
                  <c:v>1.2213374472679208</c:v>
                </c:pt>
                <c:pt idx="92">
                  <c:v>1.3051243967369905</c:v>
                </c:pt>
                <c:pt idx="93">
                  <c:v>1.3412260120664419</c:v>
                </c:pt>
                <c:pt idx="94">
                  <c:v>1.317812932881065</c:v>
                </c:pt>
                <c:pt idx="95">
                  <c:v>1.2975284807296568</c:v>
                </c:pt>
                <c:pt idx="96">
                  <c:v>1.3024685204996249</c:v>
                </c:pt>
                <c:pt idx="97">
                  <c:v>1.3552179834605897</c:v>
                </c:pt>
                <c:pt idx="98">
                  <c:v>1.4686441383036757</c:v>
                </c:pt>
                <c:pt idx="99">
                  <c:v>1.5433731635413053</c:v>
                </c:pt>
                <c:pt idx="100">
                  <c:v>1.5988429233440571</c:v>
                </c:pt>
                <c:pt idx="101">
                  <c:v>1.8815704417130483</c:v>
                </c:pt>
                <c:pt idx="102">
                  <c:v>1.8848244904846787</c:v>
                </c:pt>
                <c:pt idx="103">
                  <c:v>1.9128700929171076</c:v>
                </c:pt>
                <c:pt idx="104">
                  <c:v>1.9423071794618101</c:v>
                </c:pt>
                <c:pt idx="105">
                  <c:v>1.8848471740749697</c:v>
                </c:pt>
                <c:pt idx="106">
                  <c:v>1.8069407850823631</c:v>
                </c:pt>
                <c:pt idx="107">
                  <c:v>1.9600645881445071</c:v>
                </c:pt>
                <c:pt idx="108">
                  <c:v>1.8820710756617602</c:v>
                </c:pt>
                <c:pt idx="109">
                  <c:v>2.1374370032525514</c:v>
                </c:pt>
                <c:pt idx="110">
                  <c:v>2.0869498270411651</c:v>
                </c:pt>
                <c:pt idx="111">
                  <c:v>2.1606166964748166</c:v>
                </c:pt>
                <c:pt idx="112">
                  <c:v>2.1098733610413039</c:v>
                </c:pt>
                <c:pt idx="113">
                  <c:v>2.1365793635791839</c:v>
                </c:pt>
                <c:pt idx="114">
                  <c:v>2.1427096156866807</c:v>
                </c:pt>
                <c:pt idx="115">
                  <c:v>2.1577944879107203</c:v>
                </c:pt>
                <c:pt idx="116">
                  <c:v>2.1798068184776258</c:v>
                </c:pt>
                <c:pt idx="117">
                  <c:v>2.1689109721079625</c:v>
                </c:pt>
                <c:pt idx="118">
                  <c:v>2.1158874265149703</c:v>
                </c:pt>
                <c:pt idx="119">
                  <c:v>2.1146548242888374</c:v>
                </c:pt>
                <c:pt idx="120">
                  <c:v>2.0999777535533046</c:v>
                </c:pt>
                <c:pt idx="121">
                  <c:v>2.0868642626468481</c:v>
                </c:pt>
                <c:pt idx="122">
                  <c:v>2.0458245884798947</c:v>
                </c:pt>
                <c:pt idx="123">
                  <c:v>2.1443615555621727</c:v>
                </c:pt>
                <c:pt idx="124">
                  <c:v>2.1154017226391089</c:v>
                </c:pt>
                <c:pt idx="125">
                  <c:v>2.0265499538640572</c:v>
                </c:pt>
                <c:pt idx="126">
                  <c:v>2.0864202495312432</c:v>
                </c:pt>
                <c:pt idx="127">
                  <c:v>2.1186810627418096</c:v>
                </c:pt>
                <c:pt idx="128">
                  <c:v>2.1312229362454804</c:v>
                </c:pt>
                <c:pt idx="129">
                  <c:v>2.0358546207588062</c:v>
                </c:pt>
                <c:pt idx="130">
                  <c:v>2.0630065408449916</c:v>
                </c:pt>
                <c:pt idx="131">
                  <c:v>1.9648946351153478</c:v>
                </c:pt>
                <c:pt idx="132">
                  <c:v>1.9562899046499884</c:v>
                </c:pt>
                <c:pt idx="133">
                  <c:v>2.0564102035595098</c:v>
                </c:pt>
                <c:pt idx="134">
                  <c:v>2.1135058784033234</c:v>
                </c:pt>
                <c:pt idx="135">
                  <c:v>2.1296973423466112</c:v>
                </c:pt>
                <c:pt idx="136">
                  <c:v>2.0910355670426832</c:v>
                </c:pt>
                <c:pt idx="137">
                  <c:v>1.9995048181256179</c:v>
                </c:pt>
                <c:pt idx="138">
                  <c:v>1.9877586429268015</c:v>
                </c:pt>
                <c:pt idx="139">
                  <c:v>1.7730801730807784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0C-49D6-9871-9805A87C2788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0.14458023360468389</c:v>
                </c:pt>
                <c:pt idx="2">
                  <c:v>0.25347752812791846</c:v>
                </c:pt>
                <c:pt idx="3">
                  <c:v>8.0494521062866559E-2</c:v>
                </c:pt>
                <c:pt idx="4">
                  <c:v>0.18011080373667546</c:v>
                </c:pt>
                <c:pt idx="5">
                  <c:v>0.12962730173746578</c:v>
                </c:pt>
                <c:pt idx="6">
                  <c:v>0.17872911129380675</c:v>
                </c:pt>
                <c:pt idx="7">
                  <c:v>6.4966285087104253E-2</c:v>
                </c:pt>
                <c:pt idx="8">
                  <c:v>0.15103714414138145</c:v>
                </c:pt>
                <c:pt idx="9">
                  <c:v>0.16571481546904687</c:v>
                </c:pt>
                <c:pt idx="10">
                  <c:v>-6.9375291361816221E-2</c:v>
                </c:pt>
                <c:pt idx="11">
                  <c:v>8.5861808733288969E-2</c:v>
                </c:pt>
                <c:pt idx="12">
                  <c:v>6.0395899436729863E-2</c:v>
                </c:pt>
                <c:pt idx="13">
                  <c:v>0.13025371512267128</c:v>
                </c:pt>
                <c:pt idx="14">
                  <c:v>0.11415562421662545</c:v>
                </c:pt>
                <c:pt idx="15">
                  <c:v>0.43644372546565025</c:v>
                </c:pt>
                <c:pt idx="16">
                  <c:v>0.38090468647048936</c:v>
                </c:pt>
                <c:pt idx="17">
                  <c:v>0.32399365400494895</c:v>
                </c:pt>
                <c:pt idx="18">
                  <c:v>0.20972489651014645</c:v>
                </c:pt>
                <c:pt idx="19">
                  <c:v>0.19547069500136444</c:v>
                </c:pt>
                <c:pt idx="20">
                  <c:v>2.6055036901113937E-2</c:v>
                </c:pt>
                <c:pt idx="21">
                  <c:v>0.14614935679253124</c:v>
                </c:pt>
                <c:pt idx="22">
                  <c:v>0.10518487024654964</c:v>
                </c:pt>
                <c:pt idx="23">
                  <c:v>0.10080730971230042</c:v>
                </c:pt>
                <c:pt idx="24">
                  <c:v>0.15787365073442072</c:v>
                </c:pt>
                <c:pt idx="25">
                  <c:v>0.21560909461914096</c:v>
                </c:pt>
                <c:pt idx="26">
                  <c:v>0.1831545900853388</c:v>
                </c:pt>
                <c:pt idx="27">
                  <c:v>0.15292912525813074</c:v>
                </c:pt>
                <c:pt idx="28">
                  <c:v>0.14674310332179871</c:v>
                </c:pt>
                <c:pt idx="29">
                  <c:v>0.12025704482383978</c:v>
                </c:pt>
                <c:pt idx="30">
                  <c:v>7.3601076685302705E-2</c:v>
                </c:pt>
                <c:pt idx="31">
                  <c:v>4.0422652492897192E-2</c:v>
                </c:pt>
                <c:pt idx="32">
                  <c:v>3.5572793351075077E-2</c:v>
                </c:pt>
                <c:pt idx="33">
                  <c:v>-1.088017601013367E-2</c:v>
                </c:pt>
                <c:pt idx="34">
                  <c:v>7.6868227685940212E-3</c:v>
                </c:pt>
                <c:pt idx="35">
                  <c:v>4.026442177184418E-2</c:v>
                </c:pt>
                <c:pt idx="36">
                  <c:v>0.12460823410374096</c:v>
                </c:pt>
                <c:pt idx="37">
                  <c:v>0.24121027124128064</c:v>
                </c:pt>
                <c:pt idx="38">
                  <c:v>0.19241617690378568</c:v>
                </c:pt>
                <c:pt idx="39">
                  <c:v>0.10537024008398195</c:v>
                </c:pt>
                <c:pt idx="40">
                  <c:v>8.1828194425656295E-2</c:v>
                </c:pt>
                <c:pt idx="41">
                  <c:v>0.10557059175030696</c:v>
                </c:pt>
                <c:pt idx="42">
                  <c:v>0.11347650752193997</c:v>
                </c:pt>
                <c:pt idx="43">
                  <c:v>0.104477043266298</c:v>
                </c:pt>
                <c:pt idx="44">
                  <c:v>0.10734782926812393</c:v>
                </c:pt>
                <c:pt idx="45">
                  <c:v>7.9051515414264723E-2</c:v>
                </c:pt>
                <c:pt idx="46">
                  <c:v>0.18085525346517142</c:v>
                </c:pt>
                <c:pt idx="47">
                  <c:v>0.19107225507354775</c:v>
                </c:pt>
                <c:pt idx="48">
                  <c:v>0.16104610394204755</c:v>
                </c:pt>
                <c:pt idx="49">
                  <c:v>0.19932151598721276</c:v>
                </c:pt>
                <c:pt idx="50">
                  <c:v>0.22091744178567807</c:v>
                </c:pt>
                <c:pt idx="51">
                  <c:v>0.21637000955975669</c:v>
                </c:pt>
                <c:pt idx="52">
                  <c:v>0.17431942530217087</c:v>
                </c:pt>
                <c:pt idx="53">
                  <c:v>0.20511114973163624</c:v>
                </c:pt>
                <c:pt idx="54">
                  <c:v>0.11994712497426691</c:v>
                </c:pt>
                <c:pt idx="55">
                  <c:v>8.7164456348795161E-2</c:v>
                </c:pt>
                <c:pt idx="56">
                  <c:v>4.9411615582075748E-2</c:v>
                </c:pt>
                <c:pt idx="57">
                  <c:v>0.24090468843224175</c:v>
                </c:pt>
                <c:pt idx="58">
                  <c:v>0.39281234966509604</c:v>
                </c:pt>
                <c:pt idx="59">
                  <c:v>0.35076393964065872</c:v>
                </c:pt>
                <c:pt idx="60">
                  <c:v>0.3945466507814564</c:v>
                </c:pt>
                <c:pt idx="61">
                  <c:v>0.45349696240387311</c:v>
                </c:pt>
                <c:pt idx="62">
                  <c:v>0.42393833886525273</c:v>
                </c:pt>
                <c:pt idx="63">
                  <c:v>0.40557540157594468</c:v>
                </c:pt>
                <c:pt idx="64">
                  <c:v>0.38231614318908519</c:v>
                </c:pt>
                <c:pt idx="65">
                  <c:v>0.43579538730281042</c:v>
                </c:pt>
                <c:pt idx="66">
                  <c:v>0.4412552142743692</c:v>
                </c:pt>
                <c:pt idx="67">
                  <c:v>0.49275822880238329</c:v>
                </c:pt>
                <c:pt idx="68">
                  <c:v>0.5051919414663123</c:v>
                </c:pt>
                <c:pt idx="69">
                  <c:v>0.49759318090681315</c:v>
                </c:pt>
                <c:pt idx="70">
                  <c:v>0.41880194927931058</c:v>
                </c:pt>
                <c:pt idx="71">
                  <c:v>0.51347171526596747</c:v>
                </c:pt>
                <c:pt idx="72">
                  <c:v>9.1165790884644493E-2</c:v>
                </c:pt>
                <c:pt idx="73">
                  <c:v>8.9077141190895062E-2</c:v>
                </c:pt>
                <c:pt idx="74">
                  <c:v>-7.1763348024891024E-2</c:v>
                </c:pt>
                <c:pt idx="75">
                  <c:v>5.7831950591105089E-2</c:v>
                </c:pt>
                <c:pt idx="76">
                  <c:v>5.6505517273946725E-2</c:v>
                </c:pt>
                <c:pt idx="77">
                  <c:v>0.16623585978977024</c:v>
                </c:pt>
                <c:pt idx="78">
                  <c:v>0.1830523193558235</c:v>
                </c:pt>
                <c:pt idx="79">
                  <c:v>0.26819724503726733</c:v>
                </c:pt>
                <c:pt idx="80">
                  <c:v>0.2751612677551637</c:v>
                </c:pt>
                <c:pt idx="81">
                  <c:v>0.29174313119276013</c:v>
                </c:pt>
                <c:pt idx="82">
                  <c:v>0.44703075960261285</c:v>
                </c:pt>
                <c:pt idx="83">
                  <c:v>0.52504882452490409</c:v>
                </c:pt>
                <c:pt idx="84">
                  <c:v>0.40794284137387971</c:v>
                </c:pt>
                <c:pt idx="85">
                  <c:v>0.4266895450473967</c:v>
                </c:pt>
                <c:pt idx="86">
                  <c:v>0.47777151104440962</c:v>
                </c:pt>
                <c:pt idx="87">
                  <c:v>0.61960199830844953</c:v>
                </c:pt>
                <c:pt idx="88">
                  <c:v>0.68156315122490063</c:v>
                </c:pt>
                <c:pt idx="89">
                  <c:v>0.71330364928566703</c:v>
                </c:pt>
                <c:pt idx="90">
                  <c:v>0.42607388765908211</c:v>
                </c:pt>
                <c:pt idx="91">
                  <c:v>0.65640413923618313</c:v>
                </c:pt>
                <c:pt idx="92">
                  <c:v>0.80012256524664438</c:v>
                </c:pt>
                <c:pt idx="93">
                  <c:v>0.84796985317552509</c:v>
                </c:pt>
                <c:pt idx="94">
                  <c:v>0.82256367959828924</c:v>
                </c:pt>
                <c:pt idx="95">
                  <c:v>0.78943546764152095</c:v>
                </c:pt>
                <c:pt idx="96">
                  <c:v>0.80135802208052309</c:v>
                </c:pt>
                <c:pt idx="97">
                  <c:v>0.84868235937308545</c:v>
                </c:pt>
                <c:pt idx="98">
                  <c:v>1.0094957363345212</c:v>
                </c:pt>
                <c:pt idx="99">
                  <c:v>1.063008889556937</c:v>
                </c:pt>
                <c:pt idx="100">
                  <c:v>1.0462878299804836</c:v>
                </c:pt>
                <c:pt idx="101">
                  <c:v>1.3999458405436114</c:v>
                </c:pt>
                <c:pt idx="102">
                  <c:v>1.4433466934331292</c:v>
                </c:pt>
                <c:pt idx="103">
                  <c:v>1.4693653650065317</c:v>
                </c:pt>
                <c:pt idx="104">
                  <c:v>1.5154837835176223</c:v>
                </c:pt>
                <c:pt idx="105">
                  <c:v>1.4650068601533441</c:v>
                </c:pt>
                <c:pt idx="106">
                  <c:v>1.4065844316892315</c:v>
                </c:pt>
                <c:pt idx="107">
                  <c:v>1.5840599237009545</c:v>
                </c:pt>
                <c:pt idx="108">
                  <c:v>1.5013684236462972</c:v>
                </c:pt>
                <c:pt idx="109">
                  <c:v>1.817724700935035</c:v>
                </c:pt>
                <c:pt idx="110">
                  <c:v>1.7638665208451068</c:v>
                </c:pt>
                <c:pt idx="111">
                  <c:v>1.8038793297857418</c:v>
                </c:pt>
                <c:pt idx="112">
                  <c:v>1.7496790201268988</c:v>
                </c:pt>
                <c:pt idx="113">
                  <c:v>1.7757712253118487</c:v>
                </c:pt>
                <c:pt idx="114">
                  <c:v>1.8000214805503376</c:v>
                </c:pt>
                <c:pt idx="115">
                  <c:v>1.7831081617459197</c:v>
                </c:pt>
                <c:pt idx="116">
                  <c:v>1.799884934644667</c:v>
                </c:pt>
                <c:pt idx="117">
                  <c:v>1.782944580802089</c:v>
                </c:pt>
                <c:pt idx="118">
                  <c:v>1.7319174766069785</c:v>
                </c:pt>
                <c:pt idx="119">
                  <c:v>1.6964040816905526</c:v>
                </c:pt>
                <c:pt idx="120">
                  <c:v>1.6892293215924798</c:v>
                </c:pt>
                <c:pt idx="121">
                  <c:v>1.6803169585921718</c:v>
                </c:pt>
                <c:pt idx="122">
                  <c:v>1.6338069235454196</c:v>
                </c:pt>
                <c:pt idx="123">
                  <c:v>1.732707629860168</c:v>
                </c:pt>
                <c:pt idx="124">
                  <c:v>1.6922692850943741</c:v>
                </c:pt>
                <c:pt idx="125">
                  <c:v>1.605056707372857</c:v>
                </c:pt>
                <c:pt idx="126">
                  <c:v>1.6542941777274174</c:v>
                </c:pt>
                <c:pt idx="127">
                  <c:v>1.6631282786663459</c:v>
                </c:pt>
                <c:pt idx="128">
                  <c:v>1.692122408421147</c:v>
                </c:pt>
                <c:pt idx="129">
                  <c:v>1.5640093255801406</c:v>
                </c:pt>
                <c:pt idx="130">
                  <c:v>1.5931122152117489</c:v>
                </c:pt>
                <c:pt idx="131">
                  <c:v>1.5178696404338485</c:v>
                </c:pt>
                <c:pt idx="132">
                  <c:v>1.5182654018622797</c:v>
                </c:pt>
                <c:pt idx="133">
                  <c:v>1.6304519366761119</c:v>
                </c:pt>
                <c:pt idx="134">
                  <c:v>1.6785135045405273</c:v>
                </c:pt>
                <c:pt idx="135">
                  <c:v>1.7074090832334909</c:v>
                </c:pt>
                <c:pt idx="136">
                  <c:v>1.6590818641035812</c:v>
                </c:pt>
                <c:pt idx="137">
                  <c:v>1.5659167311655975</c:v>
                </c:pt>
                <c:pt idx="138">
                  <c:v>1.5245643721992495</c:v>
                </c:pt>
                <c:pt idx="139">
                  <c:v>1.2659226332601832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0C-49D6-9871-9805A87C2788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0.13787418568430576</c:v>
                </c:pt>
                <c:pt idx="2">
                  <c:v>0.16065969191660748</c:v>
                </c:pt>
                <c:pt idx="3">
                  <c:v>9.0624438721850747E-2</c:v>
                </c:pt>
                <c:pt idx="4">
                  <c:v>0.12896049734902554</c:v>
                </c:pt>
                <c:pt idx="5">
                  <c:v>5.0582190963670615E-2</c:v>
                </c:pt>
                <c:pt idx="6">
                  <c:v>8.1443831215326529E-2</c:v>
                </c:pt>
                <c:pt idx="7">
                  <c:v>-6.5178379214171078E-2</c:v>
                </c:pt>
                <c:pt idx="8">
                  <c:v>5.8787628910534906E-3</c:v>
                </c:pt>
                <c:pt idx="9">
                  <c:v>-3.0162703314746603E-2</c:v>
                </c:pt>
                <c:pt idx="10">
                  <c:v>-0.32118029365078782</c:v>
                </c:pt>
                <c:pt idx="11">
                  <c:v>-0.14369785359636461</c:v>
                </c:pt>
                <c:pt idx="12">
                  <c:v>-0.22536368612714952</c:v>
                </c:pt>
                <c:pt idx="13">
                  <c:v>-0.18142585147443943</c:v>
                </c:pt>
                <c:pt idx="14">
                  <c:v>-0.22996457723023789</c:v>
                </c:pt>
                <c:pt idx="15">
                  <c:v>-9.1413607069889824E-3</c:v>
                </c:pt>
                <c:pt idx="16">
                  <c:v>-5.7596072615239739E-2</c:v>
                </c:pt>
                <c:pt idx="17">
                  <c:v>-6.3884752406291795E-2</c:v>
                </c:pt>
                <c:pt idx="18">
                  <c:v>-7.0287739852184103E-2</c:v>
                </c:pt>
                <c:pt idx="19">
                  <c:v>-9.3521337295280477E-2</c:v>
                </c:pt>
                <c:pt idx="20">
                  <c:v>-0.30217794508360568</c:v>
                </c:pt>
                <c:pt idx="21">
                  <c:v>-0.15632394719571649</c:v>
                </c:pt>
                <c:pt idx="22">
                  <c:v>-0.19358726780496088</c:v>
                </c:pt>
                <c:pt idx="23">
                  <c:v>-0.18418025051776377</c:v>
                </c:pt>
                <c:pt idx="24">
                  <c:v>-9.9171801321698519E-2</c:v>
                </c:pt>
                <c:pt idx="25">
                  <c:v>-3.8638567148391291E-2</c:v>
                </c:pt>
                <c:pt idx="26">
                  <c:v>-0.10325985612182212</c:v>
                </c:pt>
                <c:pt idx="27">
                  <c:v>-0.15633649899550853</c:v>
                </c:pt>
                <c:pt idx="28">
                  <c:v>-0.14592429433155205</c:v>
                </c:pt>
                <c:pt idx="29">
                  <c:v>-0.15052683279977436</c:v>
                </c:pt>
                <c:pt idx="30">
                  <c:v>-0.18296862504526695</c:v>
                </c:pt>
                <c:pt idx="31">
                  <c:v>-0.2212549984321811</c:v>
                </c:pt>
                <c:pt idx="32">
                  <c:v>-0.24420260244714581</c:v>
                </c:pt>
                <c:pt idx="33">
                  <c:v>-0.31638721923964253</c:v>
                </c:pt>
                <c:pt idx="34">
                  <c:v>-0.33629898376471823</c:v>
                </c:pt>
                <c:pt idx="35">
                  <c:v>-0.27446692513823157</c:v>
                </c:pt>
                <c:pt idx="36">
                  <c:v>-0.23546043212698428</c:v>
                </c:pt>
                <c:pt idx="37">
                  <c:v>-7.6800781098916276E-2</c:v>
                </c:pt>
                <c:pt idx="38">
                  <c:v>-0.11640113056042953</c:v>
                </c:pt>
                <c:pt idx="39">
                  <c:v>-0.20504811366896358</c:v>
                </c:pt>
                <c:pt idx="40">
                  <c:v>-0.25174958603388436</c:v>
                </c:pt>
                <c:pt idx="41">
                  <c:v>-0.22629036357993892</c:v>
                </c:pt>
                <c:pt idx="42">
                  <c:v>-0.22602951105861999</c:v>
                </c:pt>
                <c:pt idx="43">
                  <c:v>-0.25085089034207464</c:v>
                </c:pt>
                <c:pt idx="44">
                  <c:v>-0.26101434423186359</c:v>
                </c:pt>
                <c:pt idx="45">
                  <c:v>-0.31611213934767474</c:v>
                </c:pt>
                <c:pt idx="46">
                  <c:v>-0.21908065420460004</c:v>
                </c:pt>
                <c:pt idx="47">
                  <c:v>-0.21099389752665179</c:v>
                </c:pt>
                <c:pt idx="48">
                  <c:v>-0.30305291900356884</c:v>
                </c:pt>
                <c:pt idx="49">
                  <c:v>-0.23415970660849636</c:v>
                </c:pt>
                <c:pt idx="50">
                  <c:v>-0.17889756162890788</c:v>
                </c:pt>
                <c:pt idx="51">
                  <c:v>-0.20102121965254427</c:v>
                </c:pt>
                <c:pt idx="52">
                  <c:v>-0.23769286326856001</c:v>
                </c:pt>
                <c:pt idx="53">
                  <c:v>-0.31999552784799157</c:v>
                </c:pt>
                <c:pt idx="54">
                  <c:v>-0.44497435254944556</c:v>
                </c:pt>
                <c:pt idx="55">
                  <c:v>-0.49968702191171027</c:v>
                </c:pt>
                <c:pt idx="56">
                  <c:v>-0.50727293580358679</c:v>
                </c:pt>
                <c:pt idx="57">
                  <c:v>-0.3202560282754815</c:v>
                </c:pt>
                <c:pt idx="58">
                  <c:v>-0.22068919157654246</c:v>
                </c:pt>
                <c:pt idx="59">
                  <c:v>-0.27803909185865089</c:v>
                </c:pt>
                <c:pt idx="60">
                  <c:v>-0.23505119591629728</c:v>
                </c:pt>
                <c:pt idx="61">
                  <c:v>-0.19194850939946781</c:v>
                </c:pt>
                <c:pt idx="62">
                  <c:v>-0.21305677975545459</c:v>
                </c:pt>
                <c:pt idx="63">
                  <c:v>-0.25126100115674432</c:v>
                </c:pt>
                <c:pt idx="64">
                  <c:v>-0.30824856876747941</c:v>
                </c:pt>
                <c:pt idx="65">
                  <c:v>-0.29817892190989254</c:v>
                </c:pt>
                <c:pt idx="66">
                  <c:v>-0.34598791815630475</c:v>
                </c:pt>
                <c:pt idx="67">
                  <c:v>-0.28828182939905833</c:v>
                </c:pt>
                <c:pt idx="68">
                  <c:v>-0.3149649536025107</c:v>
                </c:pt>
                <c:pt idx="69">
                  <c:v>-0.37653614171565342</c:v>
                </c:pt>
                <c:pt idx="70">
                  <c:v>-0.45696320475965324</c:v>
                </c:pt>
                <c:pt idx="71">
                  <c:v>-0.34012802729988356</c:v>
                </c:pt>
                <c:pt idx="72">
                  <c:v>-0.52170029530253847</c:v>
                </c:pt>
                <c:pt idx="73">
                  <c:v>-0.52511311850210418</c:v>
                </c:pt>
                <c:pt idx="74">
                  <c:v>-0.68326759196921427</c:v>
                </c:pt>
                <c:pt idx="75">
                  <c:v>-0.52676669624594807</c:v>
                </c:pt>
                <c:pt idx="76">
                  <c:v>-0.54224369242200876</c:v>
                </c:pt>
                <c:pt idx="77">
                  <c:v>-0.42147311869504794</c:v>
                </c:pt>
                <c:pt idx="78">
                  <c:v>-0.46250288548003726</c:v>
                </c:pt>
                <c:pt idx="79">
                  <c:v>-0.42568668240208418</c:v>
                </c:pt>
                <c:pt idx="80">
                  <c:v>-0.38228849624580435</c:v>
                </c:pt>
                <c:pt idx="81">
                  <c:v>-0.32567900195833138</c:v>
                </c:pt>
                <c:pt idx="82">
                  <c:v>-0.12742545983974068</c:v>
                </c:pt>
                <c:pt idx="83">
                  <c:v>2.7465915720197714E-2</c:v>
                </c:pt>
                <c:pt idx="84">
                  <c:v>-0.14550706962452997</c:v>
                </c:pt>
                <c:pt idx="85">
                  <c:v>-0.10585928600416514</c:v>
                </c:pt>
                <c:pt idx="86">
                  <c:v>-6.942916287444692E-2</c:v>
                </c:pt>
                <c:pt idx="87">
                  <c:v>7.2545819501661279E-2</c:v>
                </c:pt>
                <c:pt idx="88">
                  <c:v>0.14247460923475291</c:v>
                </c:pt>
                <c:pt idx="89">
                  <c:v>0.20648495357060925</c:v>
                </c:pt>
                <c:pt idx="90">
                  <c:v>-0.17031950987038963</c:v>
                </c:pt>
                <c:pt idx="91">
                  <c:v>0.11133337517546349</c:v>
                </c:pt>
                <c:pt idx="92">
                  <c:v>0.26913421510656466</c:v>
                </c:pt>
                <c:pt idx="93">
                  <c:v>0.33477447739058463</c:v>
                </c:pt>
                <c:pt idx="94">
                  <c:v>0.31227452473511946</c:v>
                </c:pt>
                <c:pt idx="95">
                  <c:v>0.26111854795593115</c:v>
                </c:pt>
                <c:pt idx="96">
                  <c:v>0.2406522639391433</c:v>
                </c:pt>
                <c:pt idx="97">
                  <c:v>0.30887104087653627</c:v>
                </c:pt>
                <c:pt idx="98">
                  <c:v>0.40283164291723889</c:v>
                </c:pt>
                <c:pt idx="99">
                  <c:v>0.4206637331376864</c:v>
                </c:pt>
                <c:pt idx="100">
                  <c:v>0.38657344992162895</c:v>
                </c:pt>
                <c:pt idx="101">
                  <c:v>0.70390981453117152</c:v>
                </c:pt>
                <c:pt idx="102">
                  <c:v>0.74079519105866642</c:v>
                </c:pt>
                <c:pt idx="103">
                  <c:v>0.79173783632243366</c:v>
                </c:pt>
                <c:pt idx="104">
                  <c:v>0.8550250685136831</c:v>
                </c:pt>
                <c:pt idx="105">
                  <c:v>0.7430133708956761</c:v>
                </c:pt>
                <c:pt idx="106">
                  <c:v>0.64312746699844725</c:v>
                </c:pt>
                <c:pt idx="107">
                  <c:v>0.8212449944765754</c:v>
                </c:pt>
                <c:pt idx="108">
                  <c:v>0.70292146158074242</c:v>
                </c:pt>
                <c:pt idx="109">
                  <c:v>0.77351862246126046</c:v>
                </c:pt>
                <c:pt idx="110">
                  <c:v>0.72454813923744932</c:v>
                </c:pt>
                <c:pt idx="111">
                  <c:v>0.7981887895206381</c:v>
                </c:pt>
                <c:pt idx="112">
                  <c:v>0.82682709562890955</c:v>
                </c:pt>
                <c:pt idx="113">
                  <c:v>0.88755882804773323</c:v>
                </c:pt>
                <c:pt idx="114">
                  <c:v>0.90675134408479796</c:v>
                </c:pt>
                <c:pt idx="115">
                  <c:v>0.90453175657985463</c:v>
                </c:pt>
                <c:pt idx="116">
                  <c:v>0.92527872389446009</c:v>
                </c:pt>
                <c:pt idx="117">
                  <c:v>0.89787222437927938</c:v>
                </c:pt>
                <c:pt idx="118">
                  <c:v>0.83148480254137003</c:v>
                </c:pt>
                <c:pt idx="119">
                  <c:v>0.77026287729855014</c:v>
                </c:pt>
                <c:pt idx="120">
                  <c:v>0.78673682607905293</c:v>
                </c:pt>
                <c:pt idx="121">
                  <c:v>0.77097288168377054</c:v>
                </c:pt>
                <c:pt idx="122">
                  <c:v>0.67613660508146589</c:v>
                </c:pt>
                <c:pt idx="123">
                  <c:v>0.78372153975457604</c:v>
                </c:pt>
                <c:pt idx="124">
                  <c:v>0.76382721127076048</c:v>
                </c:pt>
                <c:pt idx="125">
                  <c:v>0.67811291456033751</c:v>
                </c:pt>
                <c:pt idx="126">
                  <c:v>0.69964688164416544</c:v>
                </c:pt>
                <c:pt idx="127">
                  <c:v>0.71341450122784689</c:v>
                </c:pt>
                <c:pt idx="128">
                  <c:v>0.74069707807310292</c:v>
                </c:pt>
                <c:pt idx="129">
                  <c:v>0.59728421610137583</c:v>
                </c:pt>
                <c:pt idx="130">
                  <c:v>0.61986634494976001</c:v>
                </c:pt>
                <c:pt idx="131">
                  <c:v>0.51276471833841952</c:v>
                </c:pt>
                <c:pt idx="132">
                  <c:v>0.51624460777659553</c:v>
                </c:pt>
                <c:pt idx="133">
                  <c:v>0.62206006894544585</c:v>
                </c:pt>
                <c:pt idx="134">
                  <c:v>0.66567160287491822</c:v>
                </c:pt>
                <c:pt idx="135">
                  <c:v>0.72177624040240229</c:v>
                </c:pt>
                <c:pt idx="136">
                  <c:v>0.69296026664736765</c:v>
                </c:pt>
                <c:pt idx="137">
                  <c:v>0.64312509832041487</c:v>
                </c:pt>
                <c:pt idx="138">
                  <c:v>0.69782935915150057</c:v>
                </c:pt>
                <c:pt idx="139">
                  <c:v>0.44676236084219245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0C-49D6-9871-9805A87C2788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0.21329236713322336</c:v>
                </c:pt>
                <c:pt idx="2">
                  <c:v>0.26914047274842462</c:v>
                </c:pt>
                <c:pt idx="3">
                  <c:v>0.26540023980651395</c:v>
                </c:pt>
                <c:pt idx="4">
                  <c:v>0.30204770512971846</c:v>
                </c:pt>
                <c:pt idx="5">
                  <c:v>0.18684150071016414</c:v>
                </c:pt>
                <c:pt idx="6">
                  <c:v>0.23977643637712531</c:v>
                </c:pt>
                <c:pt idx="7">
                  <c:v>7.6404101207773412E-2</c:v>
                </c:pt>
                <c:pt idx="8">
                  <c:v>0.16113126511871254</c:v>
                </c:pt>
                <c:pt idx="9">
                  <c:v>8.5821777868291982E-2</c:v>
                </c:pt>
                <c:pt idx="10">
                  <c:v>-7.8739994171860117E-2</c:v>
                </c:pt>
                <c:pt idx="11">
                  <c:v>2.9169944505046286E-2</c:v>
                </c:pt>
                <c:pt idx="12">
                  <c:v>8.5562684355415988E-2</c:v>
                </c:pt>
                <c:pt idx="13">
                  <c:v>0.1903407546937933</c:v>
                </c:pt>
                <c:pt idx="14">
                  <c:v>0.20903910994209235</c:v>
                </c:pt>
                <c:pt idx="15">
                  <c:v>0.62036415018533608</c:v>
                </c:pt>
                <c:pt idx="16">
                  <c:v>0.61027556472719091</c:v>
                </c:pt>
                <c:pt idx="17">
                  <c:v>0.77291658299795585</c:v>
                </c:pt>
                <c:pt idx="18">
                  <c:v>0.62365335232766173</c:v>
                </c:pt>
                <c:pt idx="19">
                  <c:v>0.57534618691194161</c:v>
                </c:pt>
                <c:pt idx="20">
                  <c:v>0.14344313454235452</c:v>
                </c:pt>
                <c:pt idx="21">
                  <c:v>0.30858094594866803</c:v>
                </c:pt>
                <c:pt idx="22">
                  <c:v>0.25270377066850591</c:v>
                </c:pt>
                <c:pt idx="23">
                  <c:v>0.23995853585722615</c:v>
                </c:pt>
                <c:pt idx="24">
                  <c:v>0.32312573112499832</c:v>
                </c:pt>
                <c:pt idx="25">
                  <c:v>0.42199282111411046</c:v>
                </c:pt>
                <c:pt idx="26">
                  <c:v>0.33570730731486276</c:v>
                </c:pt>
                <c:pt idx="27">
                  <c:v>0.3159956724737224</c:v>
                </c:pt>
                <c:pt idx="28">
                  <c:v>0.35802275738936429</c:v>
                </c:pt>
                <c:pt idx="29">
                  <c:v>0.29814641849449719</c:v>
                </c:pt>
                <c:pt idx="30">
                  <c:v>0.23372082686852436</c:v>
                </c:pt>
                <c:pt idx="31">
                  <c:v>0.19619419663194587</c:v>
                </c:pt>
                <c:pt idx="32">
                  <c:v>0.17093460494722115</c:v>
                </c:pt>
                <c:pt idx="33">
                  <c:v>8.4127463033175615E-2</c:v>
                </c:pt>
                <c:pt idx="34">
                  <c:v>2.9145082703638497E-2</c:v>
                </c:pt>
                <c:pt idx="35">
                  <c:v>5.595065700305582E-2</c:v>
                </c:pt>
                <c:pt idx="36">
                  <c:v>0.11373021384452056</c:v>
                </c:pt>
                <c:pt idx="37">
                  <c:v>0.3371025973145354</c:v>
                </c:pt>
                <c:pt idx="38">
                  <c:v>0.3095712528507033</c:v>
                </c:pt>
                <c:pt idx="39">
                  <c:v>0.20188262458725331</c:v>
                </c:pt>
                <c:pt idx="40">
                  <c:v>0.10602282291181092</c:v>
                </c:pt>
                <c:pt idx="41">
                  <c:v>0.14882556120340448</c:v>
                </c:pt>
                <c:pt idx="42">
                  <c:v>0.15281855504408695</c:v>
                </c:pt>
                <c:pt idx="43">
                  <c:v>0.12581361012168094</c:v>
                </c:pt>
                <c:pt idx="44">
                  <c:v>0.10344241793339667</c:v>
                </c:pt>
                <c:pt idx="45">
                  <c:v>2.6970004859665733E-2</c:v>
                </c:pt>
                <c:pt idx="46">
                  <c:v>7.016575307923302E-2</c:v>
                </c:pt>
                <c:pt idx="47">
                  <c:v>3.9629982816981157E-2</c:v>
                </c:pt>
                <c:pt idx="48">
                  <c:v>-6.6748011295088144E-2</c:v>
                </c:pt>
                <c:pt idx="49">
                  <c:v>-3.4734157791028356E-2</c:v>
                </c:pt>
                <c:pt idx="50">
                  <c:v>-3.2022609890308452E-2</c:v>
                </c:pt>
                <c:pt idx="51">
                  <c:v>-2.3440935912680424E-2</c:v>
                </c:pt>
                <c:pt idx="52">
                  <c:v>6.424062591891451E-2</c:v>
                </c:pt>
                <c:pt idx="53">
                  <c:v>1.3394356665768492E-3</c:v>
                </c:pt>
                <c:pt idx="54">
                  <c:v>-0.15797976277142606</c:v>
                </c:pt>
                <c:pt idx="55">
                  <c:v>-0.18753979138733562</c:v>
                </c:pt>
                <c:pt idx="56">
                  <c:v>-0.31482580705406848</c:v>
                </c:pt>
                <c:pt idx="57">
                  <c:v>-0.24371195439338383</c:v>
                </c:pt>
                <c:pt idx="58">
                  <c:v>-0.13442886296124723</c:v>
                </c:pt>
                <c:pt idx="59">
                  <c:v>-0.19043419865456845</c:v>
                </c:pt>
                <c:pt idx="60">
                  <c:v>-0.19278147197806145</c:v>
                </c:pt>
                <c:pt idx="61">
                  <c:v>-0.11639791768386762</c:v>
                </c:pt>
                <c:pt idx="62">
                  <c:v>-0.20652572225427743</c:v>
                </c:pt>
                <c:pt idx="63">
                  <c:v>-0.25474089481461676</c:v>
                </c:pt>
                <c:pt idx="64">
                  <c:v>-0.258229048719745</c:v>
                </c:pt>
                <c:pt idx="65">
                  <c:v>-0.2074605998359656</c:v>
                </c:pt>
                <c:pt idx="66">
                  <c:v>-0.30354048929410749</c:v>
                </c:pt>
                <c:pt idx="67">
                  <c:v>-0.28050516827870053</c:v>
                </c:pt>
                <c:pt idx="68">
                  <c:v>-0.27672417825940721</c:v>
                </c:pt>
                <c:pt idx="69">
                  <c:v>-0.28541268337279613</c:v>
                </c:pt>
                <c:pt idx="70">
                  <c:v>-0.23770354317757914</c:v>
                </c:pt>
                <c:pt idx="71">
                  <c:v>-0.14009570953138545</c:v>
                </c:pt>
                <c:pt idx="72">
                  <c:v>-0.43062329867932614</c:v>
                </c:pt>
                <c:pt idx="73">
                  <c:v>-0.4673446825408919</c:v>
                </c:pt>
                <c:pt idx="74">
                  <c:v>-0.52187244979027825</c:v>
                </c:pt>
                <c:pt idx="75">
                  <c:v>-0.39163442465716558</c:v>
                </c:pt>
                <c:pt idx="76">
                  <c:v>-0.46048817180943707</c:v>
                </c:pt>
                <c:pt idx="77">
                  <c:v>-0.29814854534076968</c:v>
                </c:pt>
                <c:pt idx="78">
                  <c:v>-0.39069474284812844</c:v>
                </c:pt>
                <c:pt idx="79">
                  <c:v>-0.37713828423864271</c:v>
                </c:pt>
                <c:pt idx="80">
                  <c:v>-0.32823381695625786</c:v>
                </c:pt>
                <c:pt idx="81">
                  <c:v>-0.3043817334508524</c:v>
                </c:pt>
                <c:pt idx="82">
                  <c:v>-0.33935621476334593</c:v>
                </c:pt>
                <c:pt idx="83">
                  <c:v>-0.29760449759502722</c:v>
                </c:pt>
                <c:pt idx="84">
                  <c:v>-0.4711839241489677</c:v>
                </c:pt>
                <c:pt idx="85">
                  <c:v>-0.43351716021771997</c:v>
                </c:pt>
                <c:pt idx="86">
                  <c:v>-0.40326854719046268</c:v>
                </c:pt>
                <c:pt idx="87">
                  <c:v>-0.29590248379034828</c:v>
                </c:pt>
                <c:pt idx="88">
                  <c:v>-0.25194790278523405</c:v>
                </c:pt>
                <c:pt idx="89">
                  <c:v>-0.16102319063566395</c:v>
                </c:pt>
                <c:pt idx="90">
                  <c:v>-0.81349937957098439</c:v>
                </c:pt>
                <c:pt idx="91">
                  <c:v>-0.47609861931015668</c:v>
                </c:pt>
                <c:pt idx="92">
                  <c:v>-0.53123085966137795</c:v>
                </c:pt>
                <c:pt idx="93">
                  <c:v>-0.6139092340249086</c:v>
                </c:pt>
                <c:pt idx="94">
                  <c:v>-0.67566928214718225</c:v>
                </c:pt>
                <c:pt idx="95">
                  <c:v>-0.74887568129124593</c:v>
                </c:pt>
                <c:pt idx="96">
                  <c:v>-0.78594330819804725</c:v>
                </c:pt>
                <c:pt idx="97">
                  <c:v>-0.72823400475849254</c:v>
                </c:pt>
                <c:pt idx="98">
                  <c:v>-0.66716374501358555</c:v>
                </c:pt>
                <c:pt idx="99">
                  <c:v>-0.59712454690473138</c:v>
                </c:pt>
                <c:pt idx="100">
                  <c:v>-0.66460240497833634</c:v>
                </c:pt>
                <c:pt idx="101">
                  <c:v>-0.19709734928592282</c:v>
                </c:pt>
                <c:pt idx="102">
                  <c:v>-0.24296614949930781</c:v>
                </c:pt>
                <c:pt idx="103">
                  <c:v>-0.15019375558505271</c:v>
                </c:pt>
                <c:pt idx="104">
                  <c:v>-5.7694403185459972E-2</c:v>
                </c:pt>
                <c:pt idx="105">
                  <c:v>-0.20412707723528017</c:v>
                </c:pt>
                <c:pt idx="106">
                  <c:v>-0.33461686903523896</c:v>
                </c:pt>
                <c:pt idx="107">
                  <c:v>-0.18979432233322446</c:v>
                </c:pt>
                <c:pt idx="108">
                  <c:v>-0.29792066202106265</c:v>
                </c:pt>
                <c:pt idx="109">
                  <c:v>-0.22924468546049484</c:v>
                </c:pt>
                <c:pt idx="110">
                  <c:v>-0.28950930511152018</c:v>
                </c:pt>
                <c:pt idx="111">
                  <c:v>-0.18723878585536408</c:v>
                </c:pt>
                <c:pt idx="112">
                  <c:v>-0.14997911891639767</c:v>
                </c:pt>
                <c:pt idx="113">
                  <c:v>-8.6080623889412927E-2</c:v>
                </c:pt>
                <c:pt idx="114">
                  <c:v>-9.763471360092231E-2</c:v>
                </c:pt>
                <c:pt idx="115">
                  <c:v>-0.123446300096806</c:v>
                </c:pt>
                <c:pt idx="116">
                  <c:v>-0.12605172791101996</c:v>
                </c:pt>
                <c:pt idx="117">
                  <c:v>-0.20662810795259012</c:v>
                </c:pt>
                <c:pt idx="118">
                  <c:v>-0.26824341124640322</c:v>
                </c:pt>
                <c:pt idx="119">
                  <c:v>-0.33485245622585691</c:v>
                </c:pt>
                <c:pt idx="120">
                  <c:v>-0.36163802238522991</c:v>
                </c:pt>
                <c:pt idx="121">
                  <c:v>-0.42801298961722622</c:v>
                </c:pt>
                <c:pt idx="122">
                  <c:v>-0.49450866002353094</c:v>
                </c:pt>
                <c:pt idx="123">
                  <c:v>-0.37629740880502693</c:v>
                </c:pt>
                <c:pt idx="124">
                  <c:v>-0.40381871175249923</c:v>
                </c:pt>
                <c:pt idx="125">
                  <c:v>-0.51200632172246574</c:v>
                </c:pt>
                <c:pt idx="126">
                  <c:v>-0.43653285208340414</c:v>
                </c:pt>
                <c:pt idx="127">
                  <c:v>-0.47281456830746577</c:v>
                </c:pt>
                <c:pt idx="128">
                  <c:v>-0.4586427821357501</c:v>
                </c:pt>
                <c:pt idx="129">
                  <c:v>-0.60291575106920769</c:v>
                </c:pt>
                <c:pt idx="130">
                  <c:v>-0.59873531254691348</c:v>
                </c:pt>
                <c:pt idx="131">
                  <c:v>-0.74400618757742731</c:v>
                </c:pt>
                <c:pt idx="132">
                  <c:v>-0.77887479983733832</c:v>
                </c:pt>
                <c:pt idx="133">
                  <c:v>-0.73260934943013112</c:v>
                </c:pt>
                <c:pt idx="134">
                  <c:v>-0.68284447345012889</c:v>
                </c:pt>
                <c:pt idx="135">
                  <c:v>-0.5940023822812508</c:v>
                </c:pt>
                <c:pt idx="136">
                  <c:v>-0.58640796702430076</c:v>
                </c:pt>
                <c:pt idx="137">
                  <c:v>-0.65566615872693235</c:v>
                </c:pt>
                <c:pt idx="138">
                  <c:v>-0.62615760762640438</c:v>
                </c:pt>
                <c:pt idx="139">
                  <c:v>-1.0327267003156411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C-49D6-9871-9805A87C2788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0.2341991536477403</c:v>
                </c:pt>
                <c:pt idx="2">
                  <c:v>0.33352118038518963</c:v>
                </c:pt>
                <c:pt idx="3">
                  <c:v>0.25418443814866865</c:v>
                </c:pt>
                <c:pt idx="4">
                  <c:v>0.39230653187432674</c:v>
                </c:pt>
                <c:pt idx="5">
                  <c:v>0.34219106408084399</c:v>
                </c:pt>
                <c:pt idx="6">
                  <c:v>0.43777217317428208</c:v>
                </c:pt>
                <c:pt idx="7">
                  <c:v>0.34640890868219504</c:v>
                </c:pt>
                <c:pt idx="8">
                  <c:v>0.35268202636254625</c:v>
                </c:pt>
                <c:pt idx="9">
                  <c:v>0.16624395405675205</c:v>
                </c:pt>
                <c:pt idx="10">
                  <c:v>-0.17086594165620214</c:v>
                </c:pt>
                <c:pt idx="11">
                  <c:v>-5.5622125371076844E-2</c:v>
                </c:pt>
                <c:pt idx="12">
                  <c:v>-1.9720833864532467E-2</c:v>
                </c:pt>
                <c:pt idx="13">
                  <c:v>2.7305735601414971E-2</c:v>
                </c:pt>
                <c:pt idx="14">
                  <c:v>0.15171096709942106</c:v>
                </c:pt>
                <c:pt idx="15">
                  <c:v>0.82089426776129693</c:v>
                </c:pt>
                <c:pt idx="16">
                  <c:v>0.76797022842592277</c:v>
                </c:pt>
                <c:pt idx="17">
                  <c:v>0.97478801298542206</c:v>
                </c:pt>
                <c:pt idx="18">
                  <c:v>0.72703865086901209</c:v>
                </c:pt>
                <c:pt idx="19">
                  <c:v>0.94108386559993673</c:v>
                </c:pt>
                <c:pt idx="20">
                  <c:v>0.74109509194645706</c:v>
                </c:pt>
                <c:pt idx="21">
                  <c:v>0.85370858590929866</c:v>
                </c:pt>
                <c:pt idx="22">
                  <c:v>0.80081631895974847</c:v>
                </c:pt>
                <c:pt idx="23">
                  <c:v>0.80439722163713534</c:v>
                </c:pt>
                <c:pt idx="24">
                  <c:v>0.88457937015312027</c:v>
                </c:pt>
                <c:pt idx="25">
                  <c:v>1.0073291848710886</c:v>
                </c:pt>
                <c:pt idx="26">
                  <c:v>0.88700367702575711</c:v>
                </c:pt>
                <c:pt idx="27">
                  <c:v>0.90477584677155476</c:v>
                </c:pt>
                <c:pt idx="28">
                  <c:v>0.9099831798768574</c:v>
                </c:pt>
                <c:pt idx="29">
                  <c:v>0.88680187224206752</c:v>
                </c:pt>
                <c:pt idx="30">
                  <c:v>0.7789428346716718</c:v>
                </c:pt>
                <c:pt idx="31">
                  <c:v>0.69605517486590418</c:v>
                </c:pt>
                <c:pt idx="32">
                  <c:v>0.684933178682535</c:v>
                </c:pt>
                <c:pt idx="33">
                  <c:v>0.73071617218279539</c:v>
                </c:pt>
                <c:pt idx="34">
                  <c:v>0.70506534755439032</c:v>
                </c:pt>
                <c:pt idx="35">
                  <c:v>0.80824377327627184</c:v>
                </c:pt>
                <c:pt idx="36">
                  <c:v>0.80349041220667605</c:v>
                </c:pt>
                <c:pt idx="37">
                  <c:v>0.93854646354442206</c:v>
                </c:pt>
                <c:pt idx="38">
                  <c:v>0.89409470097358823</c:v>
                </c:pt>
                <c:pt idx="39">
                  <c:v>0.81624052916825984</c:v>
                </c:pt>
                <c:pt idx="40">
                  <c:v>0.78664213434353769</c:v>
                </c:pt>
                <c:pt idx="41">
                  <c:v>0.8034498804297574</c:v>
                </c:pt>
                <c:pt idx="42">
                  <c:v>0.78440326017566508</c:v>
                </c:pt>
                <c:pt idx="43">
                  <c:v>0.75638654004372241</c:v>
                </c:pt>
                <c:pt idx="44">
                  <c:v>0.75638654004372241</c:v>
                </c:pt>
                <c:pt idx="45">
                  <c:v>0.5850080122074226</c:v>
                </c:pt>
                <c:pt idx="46">
                  <c:v>0.66252199778672438</c:v>
                </c:pt>
                <c:pt idx="47">
                  <c:v>0.63463815962657977</c:v>
                </c:pt>
                <c:pt idx="48">
                  <c:v>0.59271354232784079</c:v>
                </c:pt>
                <c:pt idx="49">
                  <c:v>0.59008655795022136</c:v>
                </c:pt>
                <c:pt idx="50">
                  <c:v>0.56915575373781335</c:v>
                </c:pt>
                <c:pt idx="51">
                  <c:v>0.64306910221306701</c:v>
                </c:pt>
                <c:pt idx="52">
                  <c:v>0.73874406527255743</c:v>
                </c:pt>
                <c:pt idx="53">
                  <c:v>0.74688528091958239</c:v>
                </c:pt>
                <c:pt idx="54">
                  <c:v>0.52407274763432743</c:v>
                </c:pt>
                <c:pt idx="55">
                  <c:v>0.3936299437349009</c:v>
                </c:pt>
                <c:pt idx="56">
                  <c:v>0.34913822032568331</c:v>
                </c:pt>
                <c:pt idx="57">
                  <c:v>0.12910614447367572</c:v>
                </c:pt>
                <c:pt idx="58">
                  <c:v>0.30502193998757871</c:v>
                </c:pt>
                <c:pt idx="59">
                  <c:v>0.25526043042851487</c:v>
                </c:pt>
                <c:pt idx="60">
                  <c:v>0.27336238867139906</c:v>
                </c:pt>
                <c:pt idx="61">
                  <c:v>0.38217270393416003</c:v>
                </c:pt>
                <c:pt idx="62">
                  <c:v>0.31238792143549632</c:v>
                </c:pt>
                <c:pt idx="63">
                  <c:v>0.25885680697053376</c:v>
                </c:pt>
                <c:pt idx="64">
                  <c:v>0.24638874453366169</c:v>
                </c:pt>
                <c:pt idx="65">
                  <c:v>0.24491063726731957</c:v>
                </c:pt>
                <c:pt idx="66">
                  <c:v>0.14810344370863285</c:v>
                </c:pt>
                <c:pt idx="67">
                  <c:v>0.12336383753287691</c:v>
                </c:pt>
                <c:pt idx="68">
                  <c:v>8.0377874781040137E-2</c:v>
                </c:pt>
                <c:pt idx="69">
                  <c:v>8.7327777132019391E-3</c:v>
                </c:pt>
                <c:pt idx="70">
                  <c:v>0.10450503640921516</c:v>
                </c:pt>
                <c:pt idx="71">
                  <c:v>7.0707656825924503E-2</c:v>
                </c:pt>
                <c:pt idx="72">
                  <c:v>-0.16787873855416779</c:v>
                </c:pt>
                <c:pt idx="73">
                  <c:v>-0.21833906625826016</c:v>
                </c:pt>
                <c:pt idx="74">
                  <c:v>-0.23905001516271773</c:v>
                </c:pt>
                <c:pt idx="75">
                  <c:v>-9.2549438920177141E-2</c:v>
                </c:pt>
                <c:pt idx="76">
                  <c:v>-0.20082243264966865</c:v>
                </c:pt>
                <c:pt idx="77">
                  <c:v>-3.6904035831470755E-2</c:v>
                </c:pt>
                <c:pt idx="78">
                  <c:v>-0.31864798532045657</c:v>
                </c:pt>
                <c:pt idx="79">
                  <c:v>-0.43416410234439951</c:v>
                </c:pt>
                <c:pt idx="80">
                  <c:v>-0.38216470381092416</c:v>
                </c:pt>
                <c:pt idx="81">
                  <c:v>-0.3828421029009107</c:v>
                </c:pt>
                <c:pt idx="82">
                  <c:v>-0.4395985125779821</c:v>
                </c:pt>
                <c:pt idx="83">
                  <c:v>-0.54050135969620894</c:v>
                </c:pt>
                <c:pt idx="84">
                  <c:v>-0.7359324019095832</c:v>
                </c:pt>
                <c:pt idx="85">
                  <c:v>-0.67450433921935604</c:v>
                </c:pt>
                <c:pt idx="86">
                  <c:v>-0.59249938929266655</c:v>
                </c:pt>
                <c:pt idx="87">
                  <c:v>-0.59289801945975273</c:v>
                </c:pt>
                <c:pt idx="88">
                  <c:v>-0.67974417386016317</c:v>
                </c:pt>
                <c:pt idx="89">
                  <c:v>-0.60061590754086069</c:v>
                </c:pt>
                <c:pt idx="90">
                  <c:v>-0.89176934474810077</c:v>
                </c:pt>
                <c:pt idx="91">
                  <c:v>-0.62631040908103008</c:v>
                </c:pt>
                <c:pt idx="92">
                  <c:v>-0.71448395671598319</c:v>
                </c:pt>
                <c:pt idx="93">
                  <c:v>-0.79973127831250956</c:v>
                </c:pt>
                <c:pt idx="94">
                  <c:v>-0.80733368388084714</c:v>
                </c:pt>
                <c:pt idx="95">
                  <c:v>-0.82673909357529962</c:v>
                </c:pt>
                <c:pt idx="96">
                  <c:v>-0.9059854259420923</c:v>
                </c:pt>
                <c:pt idx="97">
                  <c:v>-0.83586647790062063</c:v>
                </c:pt>
                <c:pt idx="98">
                  <c:v>-0.81832702345534114</c:v>
                </c:pt>
                <c:pt idx="99">
                  <c:v>-0.74705829304751448</c:v>
                </c:pt>
                <c:pt idx="100">
                  <c:v>-0.74849872390951111</c:v>
                </c:pt>
                <c:pt idx="101">
                  <c:v>-0.52378358654183044</c:v>
                </c:pt>
                <c:pt idx="102">
                  <c:v>-0.58109549939201177</c:v>
                </c:pt>
                <c:pt idx="103">
                  <c:v>-0.47227999352688838</c:v>
                </c:pt>
                <c:pt idx="104">
                  <c:v>-0.47637381632256337</c:v>
                </c:pt>
                <c:pt idx="105">
                  <c:v>-0.54901691306592515</c:v>
                </c:pt>
                <c:pt idx="106">
                  <c:v>-0.59701374121596129</c:v>
                </c:pt>
                <c:pt idx="107">
                  <c:v>-0.4931714619354795</c:v>
                </c:pt>
                <c:pt idx="108">
                  <c:v>-0.70777827197893095</c:v>
                </c:pt>
                <c:pt idx="109">
                  <c:v>-0.59117009449567171</c:v>
                </c:pt>
                <c:pt idx="110">
                  <c:v>-0.72593305129297181</c:v>
                </c:pt>
                <c:pt idx="111">
                  <c:v>-0.69333585109341078</c:v>
                </c:pt>
                <c:pt idx="112">
                  <c:v>-0.5288772636239405</c:v>
                </c:pt>
                <c:pt idx="113">
                  <c:v>-0.58284909872323087</c:v>
                </c:pt>
                <c:pt idx="114">
                  <c:v>-0.5579649136251108</c:v>
                </c:pt>
                <c:pt idx="115">
                  <c:v>-0.54127146355192401</c:v>
                </c:pt>
                <c:pt idx="116">
                  <c:v>-0.49517872971882254</c:v>
                </c:pt>
                <c:pt idx="117">
                  <c:v>-0.50416145390069267</c:v>
                </c:pt>
                <c:pt idx="118">
                  <c:v>-0.54835479140777776</c:v>
                </c:pt>
                <c:pt idx="119">
                  <c:v>-0.56923440939178616</c:v>
                </c:pt>
                <c:pt idx="120">
                  <c:v>-0.65274100290093162</c:v>
                </c:pt>
                <c:pt idx="121">
                  <c:v>-0.75172336129370365</c:v>
                </c:pt>
                <c:pt idx="122">
                  <c:v>-0.87546705318465312</c:v>
                </c:pt>
                <c:pt idx="123">
                  <c:v>-0.84208671388038825</c:v>
                </c:pt>
                <c:pt idx="124">
                  <c:v>-0.93367782520802711</c:v>
                </c:pt>
                <c:pt idx="125">
                  <c:v>-1.0665339886105893</c:v>
                </c:pt>
                <c:pt idx="126">
                  <c:v>-1.0649594437440326</c:v>
                </c:pt>
                <c:pt idx="127">
                  <c:v>-1.0991951706665699</c:v>
                </c:pt>
                <c:pt idx="128">
                  <c:v>-1.1297199665466346</c:v>
                </c:pt>
                <c:pt idx="129">
                  <c:v>-1.2352925887770247</c:v>
                </c:pt>
                <c:pt idx="130">
                  <c:v>-1.1992226349198229</c:v>
                </c:pt>
                <c:pt idx="131">
                  <c:v>-1.2705637763859488</c:v>
                </c:pt>
                <c:pt idx="132">
                  <c:v>-1.3837760368394159</c:v>
                </c:pt>
                <c:pt idx="133">
                  <c:v>-1.2453846614510478</c:v>
                </c:pt>
                <c:pt idx="134">
                  <c:v>-1.1404266412705812</c:v>
                </c:pt>
                <c:pt idx="135">
                  <c:v>-1.1188083345038773</c:v>
                </c:pt>
                <c:pt idx="136">
                  <c:v>-1.2276721526599559</c:v>
                </c:pt>
                <c:pt idx="137">
                  <c:v>-1.3284866688812076</c:v>
                </c:pt>
                <c:pt idx="138">
                  <c:v>-1.308994588425678</c:v>
                </c:pt>
                <c:pt idx="139">
                  <c:v>-1.1455290983699555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0C-49D6-9871-9805A87C2788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0C-49D6-9871-9805A87C2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1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J21" sqref="EJ21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3.4946434776605882E-2</v>
      </c>
      <c r="D3" s="2">
        <v>4.9621152558988732E-2</v>
      </c>
      <c r="E3" s="2">
        <v>3.5213354523381528E-2</v>
      </c>
      <c r="F3" s="2">
        <v>3.528654428743689E-2</v>
      </c>
      <c r="G3" s="2">
        <v>2.6716500308212938E-2</v>
      </c>
      <c r="H3" s="2">
        <v>2.0847254063407979E-2</v>
      </c>
      <c r="I3" s="2">
        <v>2.868829063081851E-2</v>
      </c>
      <c r="J3" s="2">
        <v>3.022480975870807E-2</v>
      </c>
      <c r="K3" s="2">
        <v>3.5784184494395042E-2</v>
      </c>
      <c r="L3" s="2">
        <v>2.8873175879389701E-2</v>
      </c>
      <c r="M3" s="2">
        <v>3.676593961113666E-2</v>
      </c>
      <c r="N3" s="2">
        <v>2.597668483152624E-2</v>
      </c>
      <c r="O3" s="2">
        <v>3.9591469971915073E-2</v>
      </c>
      <c r="P3" s="2">
        <v>4.2728306638823203E-2</v>
      </c>
      <c r="Q3" s="2">
        <v>3.2209373169499553E-2</v>
      </c>
      <c r="R3" s="2">
        <v>2.990118621840895E-2</v>
      </c>
      <c r="S3" s="2">
        <v>3.2084464027181132E-2</v>
      </c>
      <c r="T3" s="2">
        <v>3.0145955261974309E-2</v>
      </c>
      <c r="U3" s="2">
        <v>3.1800877141706048E-2</v>
      </c>
      <c r="V3" s="2">
        <v>2.8571187496222571E-2</v>
      </c>
      <c r="W3" s="2">
        <v>2.4833809428850561E-2</v>
      </c>
      <c r="X3" s="2">
        <v>4.422438631770411E-2</v>
      </c>
      <c r="Y3" s="2">
        <v>3.058229410448237E-2</v>
      </c>
      <c r="Z3" s="2">
        <v>3.3248159660972533E-2</v>
      </c>
      <c r="AA3" s="2">
        <v>2.947324788874087E-2</v>
      </c>
      <c r="AB3" s="2">
        <v>3.5559252182618593E-2</v>
      </c>
      <c r="AC3" s="2">
        <v>3.3742425377551163E-2</v>
      </c>
      <c r="AD3" s="2">
        <v>2.9434183518290032E-2</v>
      </c>
      <c r="AE3" s="2">
        <v>3.8312600203871998E-2</v>
      </c>
      <c r="AF3" s="2">
        <v>3.5319598277822807E-2</v>
      </c>
      <c r="AG3" s="2">
        <v>2.7095981515837211E-2</v>
      </c>
      <c r="AH3" s="2">
        <v>2.4588044029715119E-2</v>
      </c>
      <c r="AI3" s="2">
        <v>3.7997597137220201E-2</v>
      </c>
      <c r="AJ3" s="2">
        <v>3.3911508457047913E-2</v>
      </c>
      <c r="AK3" s="2">
        <v>4.3063908641014483E-2</v>
      </c>
      <c r="AL3" s="2">
        <v>3.5336105491399851E-2</v>
      </c>
      <c r="AM3" s="2">
        <v>4.095453549730925E-2</v>
      </c>
      <c r="AN3" s="2">
        <v>3.9629739230367438E-2</v>
      </c>
      <c r="AO3" s="2">
        <v>5.8136437096450902E-2</v>
      </c>
      <c r="AP3" s="2">
        <v>5.3476675537943032E-2</v>
      </c>
      <c r="AQ3" s="2">
        <v>5.6036139285653083E-2</v>
      </c>
      <c r="AR3" s="2">
        <v>4.6184000737761667E-2</v>
      </c>
      <c r="AS3" s="2">
        <v>3.5389481532984962E-2</v>
      </c>
      <c r="AT3" s="2">
        <v>3.3505358739742738E-2</v>
      </c>
      <c r="AU3" s="2">
        <v>2.858092995705622E-2</v>
      </c>
      <c r="AV3" s="2">
        <v>4.5607815952215837E-2</v>
      </c>
      <c r="AW3" s="2">
        <v>4.0858801947929083E-2</v>
      </c>
      <c r="AX3" s="2">
        <v>3.912196816540315E-2</v>
      </c>
      <c r="AY3" s="2">
        <v>2.8330448117809479E-2</v>
      </c>
      <c r="AZ3" s="2">
        <v>3.4740726744102057E-2</v>
      </c>
      <c r="BA3" s="2">
        <v>4.1380134912733423E-2</v>
      </c>
      <c r="BB3" s="2">
        <v>3.8446530073234023E-2</v>
      </c>
      <c r="BC3" s="2">
        <v>3.9139660680907393E-2</v>
      </c>
      <c r="BD3" s="2">
        <v>3.4412713960316949E-2</v>
      </c>
      <c r="BE3" s="2">
        <v>3.1627384875007797E-2</v>
      </c>
      <c r="BF3" s="2">
        <v>3.2881306555447937E-2</v>
      </c>
      <c r="BG3" s="2">
        <v>2.7856516368044079E-2</v>
      </c>
      <c r="BH3" s="2">
        <v>3.9039450639835438E-2</v>
      </c>
      <c r="BI3" s="2">
        <v>3.868573434139564E-2</v>
      </c>
      <c r="BJ3" s="2">
        <v>4.2598863286148932E-2</v>
      </c>
      <c r="BK3" s="2">
        <v>4.3638506422424159E-2</v>
      </c>
      <c r="BL3" s="2">
        <v>4.1807312058529042E-2</v>
      </c>
      <c r="BM3" s="2">
        <v>3.5722916378634957E-2</v>
      </c>
      <c r="BN3" s="2">
        <v>3.5190578568229797E-2</v>
      </c>
      <c r="BO3" s="2">
        <v>3.5416976035990012E-2</v>
      </c>
      <c r="BP3" s="2">
        <v>3.713200657521562E-2</v>
      </c>
      <c r="BQ3" s="2">
        <v>3.7614323710702537E-2</v>
      </c>
      <c r="BR3" s="2">
        <v>3.7508213116778308E-2</v>
      </c>
      <c r="BS3" s="2">
        <v>3.7699116157691358E-2</v>
      </c>
      <c r="BT3" s="2">
        <v>3.6770936163800741E-2</v>
      </c>
      <c r="BU3" s="2">
        <v>3.6910402351608369E-2</v>
      </c>
      <c r="BV3" s="2">
        <v>3.6401345985563889E-2</v>
      </c>
      <c r="BW3" s="2">
        <v>3.5968201888952243E-2</v>
      </c>
      <c r="BX3" s="2">
        <v>4.360917134424671E-2</v>
      </c>
      <c r="BY3" s="2">
        <v>3.7211686504550583E-2</v>
      </c>
      <c r="BZ3" s="2">
        <v>3.6826352112766268E-2</v>
      </c>
      <c r="CA3" s="2">
        <v>3.4591508592700923E-2</v>
      </c>
      <c r="CB3" s="2">
        <v>3.4339760626077138E-2</v>
      </c>
      <c r="CC3" s="2">
        <v>2.0533243096777822E-2</v>
      </c>
      <c r="CD3" s="2">
        <v>2.2943200679351659E-2</v>
      </c>
      <c r="CE3" s="2">
        <v>3.2308526928274857E-2</v>
      </c>
      <c r="CF3" s="2">
        <v>4.7329405862239361E-2</v>
      </c>
      <c r="CG3" s="2">
        <v>3.7836284478803363E-2</v>
      </c>
      <c r="CH3" s="2">
        <v>3.8694495063321753E-2</v>
      </c>
      <c r="CI3" s="2">
        <v>3.3617094541697881E-2</v>
      </c>
      <c r="CJ3" s="2">
        <v>4.2975321891997098E-2</v>
      </c>
      <c r="CK3" s="2">
        <v>4.0264755165575199E-2</v>
      </c>
      <c r="CL3" s="2">
        <v>4.4693934288686933E-2</v>
      </c>
      <c r="CM3" s="2">
        <v>4.4606561803651169E-2</v>
      </c>
      <c r="CN3" s="2">
        <v>6.8577606946104749E-2</v>
      </c>
      <c r="CO3" s="2">
        <v>4.9189277148068387E-2</v>
      </c>
      <c r="CP3" s="2">
        <v>6.5607649619662367E-2</v>
      </c>
      <c r="CQ3" s="2">
        <v>4.3819863603946338E-2</v>
      </c>
      <c r="CR3" s="2">
        <v>5.6851400922781473E-2</v>
      </c>
      <c r="CS3" s="2">
        <v>6.2364412289304838E-2</v>
      </c>
      <c r="CT3" s="2">
        <v>4.9348826700518093E-2</v>
      </c>
      <c r="CU3" s="2">
        <v>5.0002233445896063E-2</v>
      </c>
      <c r="CV3" s="2">
        <v>5.3783352114565232E-2</v>
      </c>
      <c r="CW3" s="2">
        <v>4.673096388557773E-2</v>
      </c>
      <c r="CX3" s="2">
        <v>4.52857567116665E-2</v>
      </c>
      <c r="CY3" s="2">
        <v>3.9604666977184122E-2</v>
      </c>
      <c r="CZ3" s="2">
        <v>4.4391419906749573E-2</v>
      </c>
      <c r="DA3" s="2">
        <v>3.9334184018522997E-2</v>
      </c>
      <c r="DB3" s="2">
        <v>3.9618679725897638E-2</v>
      </c>
      <c r="DC3" s="2">
        <v>4.3580066674140057E-2</v>
      </c>
      <c r="DD3" s="2">
        <v>4.1743760534084302E-2</v>
      </c>
      <c r="DE3" s="2">
        <v>3.7124504209684453E-2</v>
      </c>
      <c r="DF3" s="2">
        <v>3.7667258315214808E-2</v>
      </c>
      <c r="DG3" s="2">
        <v>4.0633271347886857E-2</v>
      </c>
      <c r="DH3" s="2">
        <v>3.8849205925320061E-2</v>
      </c>
      <c r="DI3" s="2">
        <v>3.7289411512649348E-2</v>
      </c>
      <c r="DJ3" s="2">
        <v>3.7848875034311981E-2</v>
      </c>
      <c r="DK3" s="2">
        <v>3.462124141038013E-2</v>
      </c>
      <c r="DL3" s="2">
        <v>3.5944383409832997E-2</v>
      </c>
      <c r="DM3" s="2">
        <v>3.4440509329873713E-2</v>
      </c>
      <c r="DN3" s="2">
        <v>5.080663627630181E-2</v>
      </c>
      <c r="DO3" s="2">
        <v>4.4401319518395037E-2</v>
      </c>
      <c r="DP3" s="2">
        <v>4.0598389653240877E-2</v>
      </c>
      <c r="DQ3" s="2">
        <v>4.0608081786117911E-2</v>
      </c>
      <c r="DR3" s="2">
        <v>4.1794941830527198E-2</v>
      </c>
      <c r="DS3" s="2">
        <v>4.9788977885194548E-2</v>
      </c>
      <c r="DT3" s="2">
        <v>4.4966810815319433E-2</v>
      </c>
      <c r="DU3" s="2">
        <v>3.9216383622322187E-2</v>
      </c>
      <c r="DV3" s="2">
        <v>3.9953462868225757E-2</v>
      </c>
      <c r="DW3" s="2">
        <v>4.7966753162565323E-2</v>
      </c>
      <c r="DX3" s="2">
        <v>4.7135568202097168E-2</v>
      </c>
      <c r="DY3" s="2">
        <v>5.0681252776800433E-2</v>
      </c>
      <c r="DZ3" s="2">
        <v>4.4969453786410638E-2</v>
      </c>
      <c r="EA3" s="2">
        <v>4.4790390035127817E-2</v>
      </c>
      <c r="EB3" s="2">
        <v>4.605973794008926E-2</v>
      </c>
      <c r="EC3" s="2">
        <v>6.9799748019209198E-2</v>
      </c>
      <c r="ED3" s="2">
        <v>4.8948038728249647E-2</v>
      </c>
      <c r="EE3" s="2">
        <v>4.4489528267164347E-2</v>
      </c>
      <c r="EF3" s="2">
        <v>3.4297029215600711E-2</v>
      </c>
      <c r="EG3" s="2">
        <v>3.9822103911537593E-2</v>
      </c>
      <c r="EH3" s="2">
        <v>3.0749140984917121E-2</v>
      </c>
      <c r="EI3" s="2">
        <v>2.9755278459214E-2</v>
      </c>
      <c r="EJ3" s="2">
        <v>3.4738700682679341E-2</v>
      </c>
      <c r="EK3" s="2">
        <v>2.7110665601743609E-2</v>
      </c>
      <c r="EL3" s="2">
        <v>2.7595207896287419E-2</v>
      </c>
      <c r="EM3" s="2">
        <v>2.2173915853026749E-2</v>
      </c>
    </row>
    <row r="4" spans="1:145" x14ac:dyDescent="0.3">
      <c r="B4" s="6" t="s">
        <v>144</v>
      </c>
      <c r="C4" s="2">
        <v>-3.3355064222238093E-2</v>
      </c>
      <c r="D4" s="2">
        <v>-3.6488953372440118E-2</v>
      </c>
      <c r="E4" s="2">
        <v>-6.2951631416598125E-2</v>
      </c>
      <c r="F4" s="2">
        <v>-0.10275806713399049</v>
      </c>
      <c r="G4" s="2">
        <v>-7.9484529512434218E-2</v>
      </c>
      <c r="H4" s="2">
        <v>-7.4637566723446097E-2</v>
      </c>
      <c r="I4" s="2">
        <v>-6.0303175593075208E-2</v>
      </c>
      <c r="J4" s="2">
        <v>-6.1221976553650498E-2</v>
      </c>
      <c r="K4" s="2">
        <v>-6.3454479623673996E-2</v>
      </c>
      <c r="L4" s="2">
        <v>-4.9031802460202369E-2</v>
      </c>
      <c r="M4" s="2">
        <v>-5.5965545208011017E-2</v>
      </c>
      <c r="N4" s="2">
        <v>-3.7127413566765903E-2</v>
      </c>
      <c r="O4" s="2">
        <v>-4.4851103408314323E-2</v>
      </c>
      <c r="P4" s="2">
        <v>-6.06099750017862E-2</v>
      </c>
      <c r="Q4" s="2">
        <v>-6.142030670402978E-2</v>
      </c>
      <c r="R4" s="2">
        <v>-4.2457092293346488E-2</v>
      </c>
      <c r="S4" s="2">
        <v>-4.0181376857841532E-2</v>
      </c>
      <c r="T4" s="2">
        <v>-4.3184261416348402E-2</v>
      </c>
      <c r="U4" s="2">
        <v>-2.5671025875257259E-2</v>
      </c>
      <c r="V4" s="2">
        <v>-2.056117449423971E-2</v>
      </c>
      <c r="W4" s="2">
        <v>-1.7030228493617319E-2</v>
      </c>
      <c r="X4" s="2">
        <v>-1.9491489513123999E-2</v>
      </c>
      <c r="Y4" s="2">
        <v>-4.4162740951198293E-2</v>
      </c>
      <c r="Z4" s="2">
        <v>-4.3992704142522127E-2</v>
      </c>
      <c r="AA4" s="2">
        <v>-3.3240344419281441E-2</v>
      </c>
      <c r="AB4" s="2">
        <v>-2.8357855227329171E-2</v>
      </c>
      <c r="AC4" s="2">
        <v>-1.7753826277809508E-2</v>
      </c>
      <c r="AD4" s="2">
        <v>-1.9392872894991808E-2</v>
      </c>
      <c r="AE4" s="2">
        <v>-3.1862058027578813E-2</v>
      </c>
      <c r="AF4" s="2">
        <v>-3.3734295719027647E-2</v>
      </c>
      <c r="AG4" s="2">
        <v>-5.2378694538196572E-3</v>
      </c>
      <c r="AH4" s="2">
        <v>-1.8241859678385711E-2</v>
      </c>
      <c r="AI4" s="2">
        <v>-2.828195859844675E-2</v>
      </c>
      <c r="AJ4" s="2">
        <v>-2.6355034026264958E-2</v>
      </c>
      <c r="AK4" s="2">
        <v>-2.9560930131039269E-2</v>
      </c>
      <c r="AL4" s="2">
        <v>-3.0371173622282331E-2</v>
      </c>
      <c r="AM4" s="2">
        <v>-2.2596310124050351E-2</v>
      </c>
      <c r="AN4" s="2">
        <v>-3.0254612721411198E-2</v>
      </c>
      <c r="AO4" s="2">
        <v>-2.871524100076818E-2</v>
      </c>
      <c r="AP4" s="2">
        <v>-3.4923895599449153E-2</v>
      </c>
      <c r="AQ4" s="2">
        <v>-3.0630802592385771E-2</v>
      </c>
      <c r="AR4" s="2">
        <v>-2.9429888192270871E-2</v>
      </c>
      <c r="AS4" s="2">
        <v>-2.674265330078859E-2</v>
      </c>
      <c r="AT4" s="2">
        <v>-1.6825419341331849E-2</v>
      </c>
      <c r="AU4" s="2">
        <v>-2.028990455098131E-2</v>
      </c>
      <c r="AV4" s="2">
        <v>-1.5552740324632551E-2</v>
      </c>
      <c r="AW4" s="2">
        <v>-4.2145772018226967E-2</v>
      </c>
      <c r="AX4" s="2">
        <v>-3.2834496930954221E-2</v>
      </c>
      <c r="AY4" s="2">
        <v>-3.0620786675402481E-2</v>
      </c>
      <c r="AZ4" s="2">
        <v>-3.2526573120253401E-2</v>
      </c>
      <c r="BA4" s="2">
        <v>-3.9596641638497188E-2</v>
      </c>
      <c r="BB4" s="2">
        <v>-4.0551604006990392E-2</v>
      </c>
      <c r="BC4" s="2">
        <v>-4.2756597752440471E-2</v>
      </c>
      <c r="BD4" s="2">
        <v>-3.5755727515210577E-2</v>
      </c>
      <c r="BE4" s="2">
        <v>-2.4508874482950669E-2</v>
      </c>
      <c r="BF4" s="2">
        <v>-3.4563199381908237E-2</v>
      </c>
      <c r="BG4" s="2">
        <v>-2.5490924642281039E-2</v>
      </c>
      <c r="BH4" s="2">
        <v>-1.6368300858497931E-2</v>
      </c>
      <c r="BI4" s="2">
        <v>-1.912200225379531E-2</v>
      </c>
      <c r="BJ4" s="2">
        <v>-2.5427524184918511E-2</v>
      </c>
      <c r="BK4" s="2">
        <v>-2.17006435544887E-2</v>
      </c>
      <c r="BL4" s="2">
        <v>-2.4482338097977681E-2</v>
      </c>
      <c r="BM4" s="2">
        <v>-1.190520358379419E-2</v>
      </c>
      <c r="BN4" s="2">
        <v>-1.4200643435024611E-2</v>
      </c>
      <c r="BO4" s="2">
        <v>-1.5729074905210499E-2</v>
      </c>
      <c r="BP4" s="2">
        <v>-6.6634100191326363E-3</v>
      </c>
      <c r="BQ4" s="2">
        <v>-1.4844203425268321E-2</v>
      </c>
      <c r="BR4" s="2">
        <v>-8.2762403872860633E-3</v>
      </c>
      <c r="BS4" s="2">
        <v>-7.2950252230793069E-3</v>
      </c>
      <c r="BT4" s="2">
        <v>-1.5208431311033581E-2</v>
      </c>
      <c r="BU4" s="2">
        <v>-2.3110477045322781E-2</v>
      </c>
      <c r="BV4" s="2">
        <v>-1.216829070540934E-2</v>
      </c>
      <c r="BW4" s="2">
        <v>1.9813464894211609E-3</v>
      </c>
      <c r="BX4" s="2">
        <v>-1.249368848288873E-2</v>
      </c>
      <c r="BY4" s="2">
        <v>-1.6627473803652881E-2</v>
      </c>
      <c r="BZ4" s="2">
        <v>-2.106371981363821E-2</v>
      </c>
      <c r="CA4" s="2">
        <v>-1.4410423139406501E-2</v>
      </c>
      <c r="CB4" s="2">
        <v>-1.373600487425279E-2</v>
      </c>
      <c r="CC4" s="2">
        <v>-2.747847105042156E-2</v>
      </c>
      <c r="CD4" s="2">
        <v>-2.655987022870682E-2</v>
      </c>
      <c r="CE4" s="2">
        <v>-2.6100224897020342E-2</v>
      </c>
      <c r="CF4" s="2">
        <v>-3.2061326258670031E-2</v>
      </c>
      <c r="CG4" s="2">
        <v>-4.4699162974103299E-2</v>
      </c>
      <c r="CH4" s="2">
        <v>-3.5557718292931598E-2</v>
      </c>
      <c r="CI4" s="2">
        <v>-2.2531867995524299E-2</v>
      </c>
      <c r="CJ4" s="2">
        <v>-2.659099589059899E-2</v>
      </c>
      <c r="CK4" s="2">
        <v>-2.437831543315613E-2</v>
      </c>
      <c r="CL4" s="2">
        <v>-2.0383839681311931E-2</v>
      </c>
      <c r="CM4" s="2">
        <v>-2.0543547316843411E-2</v>
      </c>
      <c r="CN4" s="2">
        <v>-2.5366972570714349E-2</v>
      </c>
      <c r="CO4" s="2">
        <v>2.1573222511172298E-2</v>
      </c>
      <c r="CP4" s="2">
        <v>2.9656602127605611E-2</v>
      </c>
      <c r="CQ4" s="2">
        <v>-2.1208981776241909E-3</v>
      </c>
      <c r="CR4" s="2">
        <v>-1.2445462205139609E-2</v>
      </c>
      <c r="CS4" s="2">
        <v>-4.8911607001063021E-2</v>
      </c>
      <c r="CT4" s="2">
        <v>-5.4515957193264943E-2</v>
      </c>
      <c r="CU4" s="2">
        <v>-3.6987684093879661E-2</v>
      </c>
      <c r="CV4" s="2">
        <v>-2.924450214174747E-2</v>
      </c>
      <c r="CW4" s="2">
        <v>-3.5566938337920538E-2</v>
      </c>
      <c r="CX4" s="2">
        <v>-3.611216821620989E-2</v>
      </c>
      <c r="CY4" s="2">
        <v>-3.5196660099825278E-2</v>
      </c>
      <c r="CZ4" s="2">
        <v>-4.1285248368278821E-2</v>
      </c>
      <c r="DA4" s="2">
        <v>-4.4832439126435537E-2</v>
      </c>
      <c r="DB4" s="2">
        <v>-6.2436972757434497E-2</v>
      </c>
      <c r="DC4" s="2">
        <v>-6.2527983186050365E-2</v>
      </c>
      <c r="DD4" s="2">
        <v>-7.5217163321935412E-2</v>
      </c>
      <c r="DE4" s="2">
        <v>-6.4404403928414081E-2</v>
      </c>
      <c r="DF4" s="2">
        <v>-5.549385494260705E-2</v>
      </c>
      <c r="DG4" s="2">
        <v>-6.0437770445375537E-2</v>
      </c>
      <c r="DH4" s="2">
        <v>-6.1846298042840378E-2</v>
      </c>
      <c r="DI4" s="2">
        <v>-1.46626202409976E-2</v>
      </c>
      <c r="DJ4" s="2">
        <v>-4.0786143047909028E-2</v>
      </c>
      <c r="DK4" s="2">
        <v>-5.7443401521016832E-2</v>
      </c>
      <c r="DL4" s="2">
        <v>-5.8112653779270121E-2</v>
      </c>
      <c r="DM4" s="2">
        <v>-3.958925014969409E-2</v>
      </c>
      <c r="DN4" s="2">
        <v>-2.92339481001627E-2</v>
      </c>
      <c r="DO4" s="2">
        <v>-2.8268200941545508E-2</v>
      </c>
      <c r="DP4" s="2">
        <v>-2.9909023795320532E-2</v>
      </c>
      <c r="DQ4" s="2">
        <v>-4.1956447946479403E-2</v>
      </c>
      <c r="DR4" s="2">
        <v>-5.4044080376143652E-2</v>
      </c>
      <c r="DS4" s="2">
        <v>-3.6840842476137732E-2</v>
      </c>
      <c r="DT4" s="2">
        <v>-4.7088988162664012E-2</v>
      </c>
      <c r="DU4" s="2">
        <v>-4.6590530666368382E-2</v>
      </c>
      <c r="DV4" s="2">
        <v>-4.8883186543154288E-2</v>
      </c>
      <c r="DW4" s="2">
        <v>2.4644963240671989E-3</v>
      </c>
      <c r="DX4" s="2">
        <v>-1.047701340170769E-2</v>
      </c>
      <c r="DY4" s="2">
        <v>-3.2988096646797901E-2</v>
      </c>
      <c r="DZ4" s="2">
        <v>-3.5035095730103293E-2</v>
      </c>
      <c r="EA4" s="2">
        <v>-3.4035185243979679E-2</v>
      </c>
      <c r="EB4" s="2">
        <v>-3.1294101648424583E-2</v>
      </c>
      <c r="EC4" s="2">
        <v>-4.2305892800109393E-2</v>
      </c>
      <c r="ED4" s="2">
        <v>-4.7144040894120831E-2</v>
      </c>
      <c r="EE4" s="2">
        <v>-3.9341877783157779E-2</v>
      </c>
      <c r="EF4" s="2">
        <v>-3.4428937404352961E-2</v>
      </c>
      <c r="EG4" s="2">
        <v>-2.5023765356573191E-2</v>
      </c>
      <c r="EH4" s="2">
        <v>-2.3959625271420482E-2</v>
      </c>
      <c r="EI4" s="2">
        <v>-3.1018058895392529E-2</v>
      </c>
      <c r="EJ4" s="2">
        <v>-3.019292868952464E-2</v>
      </c>
      <c r="EK4" s="2">
        <v>-1.9350280734914911E-2</v>
      </c>
      <c r="EL4" s="2">
        <v>1.0475928161918681E-2</v>
      </c>
      <c r="EM4" s="2">
        <v>2.3666788585280828E-2</v>
      </c>
    </row>
    <row r="5" spans="1:145" x14ac:dyDescent="0.3">
      <c r="B5" s="1" t="s">
        <v>145</v>
      </c>
      <c r="C5" s="2">
        <v>1.7572591335771898E-2</v>
      </c>
      <c r="D5" s="2">
        <v>2.7010615886725878E-2</v>
      </c>
      <c r="E5" s="2">
        <v>1.6464920986043539E-2</v>
      </c>
      <c r="F5" s="2">
        <v>2.163583339118199E-2</v>
      </c>
      <c r="G5" s="2">
        <v>2.7978795117450529E-2</v>
      </c>
      <c r="H5" s="2">
        <v>1.82572498185327E-2</v>
      </c>
      <c r="I5" s="2">
        <v>2.262258433052575E-2</v>
      </c>
      <c r="J5" s="2">
        <v>2.4224717545351319E-2</v>
      </c>
      <c r="K5" s="2">
        <v>3.7030631729839399E-2</v>
      </c>
      <c r="L5" s="2">
        <v>2.1715734909504909E-2</v>
      </c>
      <c r="M5" s="2">
        <v>2.3471025446345321E-2</v>
      </c>
      <c r="N5" s="2">
        <v>2.9600842590959759E-2</v>
      </c>
      <c r="O5" s="2">
        <v>3.078080458498781E-2</v>
      </c>
      <c r="P5" s="2">
        <v>1.3958200077604069E-2</v>
      </c>
      <c r="Q5" s="2">
        <v>2.3899925490751529E-2</v>
      </c>
      <c r="R5" s="2">
        <v>2.827365648927253E-2</v>
      </c>
      <c r="S5" s="2">
        <v>2.8277502684533939E-2</v>
      </c>
      <c r="T5" s="2">
        <v>3.0791608587896192E-2</v>
      </c>
      <c r="U5" s="2">
        <v>3.8990634744788283E-2</v>
      </c>
      <c r="V5" s="2">
        <v>4.795564524908115E-2</v>
      </c>
      <c r="W5" s="2">
        <v>5.1885589069397997E-2</v>
      </c>
      <c r="X5" s="2">
        <v>1.8552140443308319E-2</v>
      </c>
      <c r="Y5" s="2">
        <v>1.942137293110377E-2</v>
      </c>
      <c r="Z5" s="2">
        <v>1.0422650426952311E-2</v>
      </c>
      <c r="AA5" s="2">
        <v>4.4481250419906457E-2</v>
      </c>
      <c r="AB5" s="2">
        <v>3.0099617840507689E-4</v>
      </c>
      <c r="AC5" s="2">
        <v>2.9870176157596909E-2</v>
      </c>
      <c r="AD5" s="2">
        <v>4.2866569757687677E-3</v>
      </c>
      <c r="AE5" s="2">
        <v>1.5671647496547189E-2</v>
      </c>
      <c r="AF5" s="2">
        <v>1.2668564364488089E-2</v>
      </c>
      <c r="AG5" s="2">
        <v>2.6776108631906659E-2</v>
      </c>
      <c r="AH5" s="2">
        <v>1.320201957735115E-2</v>
      </c>
      <c r="AI5" s="2">
        <v>1.7989730154352481E-2</v>
      </c>
      <c r="AJ5" s="2">
        <v>1.88525604364338E-2</v>
      </c>
      <c r="AK5" s="2">
        <v>2.0751209643580199E-2</v>
      </c>
      <c r="AL5" s="2">
        <v>1.7139197858594139E-2</v>
      </c>
      <c r="AM5" s="2">
        <v>1.4073911718798781E-2</v>
      </c>
      <c r="AN5" s="2">
        <v>7.2133540700708753E-3</v>
      </c>
      <c r="AO5" s="2">
        <v>1.940927693450302E-2</v>
      </c>
      <c r="AP5" s="2">
        <v>1.8788509035915509E-2</v>
      </c>
      <c r="AQ5" s="2">
        <v>2.576627301502598E-2</v>
      </c>
      <c r="AR5" s="2">
        <v>2.4567308164613721E-2</v>
      </c>
      <c r="AS5" s="2">
        <v>2.0403411209288149E-2</v>
      </c>
      <c r="AT5" s="2">
        <v>1.8350318395403482E-2</v>
      </c>
      <c r="AU5" s="2">
        <v>1.835820201641138E-2</v>
      </c>
      <c r="AV5" s="2">
        <v>3.066534075451257E-2</v>
      </c>
      <c r="AW5" s="2">
        <v>2.4171945032875768E-2</v>
      </c>
      <c r="AX5" s="2">
        <v>2.9301659150937479E-2</v>
      </c>
      <c r="AY5" s="2">
        <v>2.3524836383218169E-2</v>
      </c>
      <c r="AZ5" s="2">
        <v>1.619862131729324E-2</v>
      </c>
      <c r="BA5" s="2">
        <v>2.4361905285368031E-2</v>
      </c>
      <c r="BB5" s="2">
        <v>2.0847801686724499E-2</v>
      </c>
      <c r="BC5" s="2">
        <v>1.87405260419569E-2</v>
      </c>
      <c r="BD5" s="2">
        <v>-8.4357435055720787E-4</v>
      </c>
      <c r="BE5" s="2">
        <v>1.348963928267881E-2</v>
      </c>
      <c r="BF5" s="2">
        <v>1.209566450250129E-2</v>
      </c>
      <c r="BG5" s="2">
        <v>6.2031443455100891E-3</v>
      </c>
      <c r="BH5" s="2">
        <v>-1.9361090801528601E-2</v>
      </c>
      <c r="BI5" s="2">
        <v>-3.9799382821201407E-2</v>
      </c>
      <c r="BJ5" s="2">
        <v>-2.5457167335488549E-2</v>
      </c>
      <c r="BK5" s="2">
        <v>-1.9477643618262701E-2</v>
      </c>
      <c r="BL5" s="2">
        <v>-9.1218955270848633E-3</v>
      </c>
      <c r="BM5" s="2">
        <v>-1.4374787989500121E-2</v>
      </c>
      <c r="BN5" s="2">
        <v>-3.337400836610268E-2</v>
      </c>
      <c r="BO5" s="2">
        <v>-8.1813085035434014E-3</v>
      </c>
      <c r="BP5" s="2">
        <v>6.9701293808654514E-3</v>
      </c>
      <c r="BQ5" s="2">
        <v>9.2463391673495484E-3</v>
      </c>
      <c r="BR5" s="2">
        <v>2.283635783955484E-2</v>
      </c>
      <c r="BS5" s="2">
        <v>2.006030851870538E-2</v>
      </c>
      <c r="BT5" s="2">
        <v>1.4916967327142641E-2</v>
      </c>
      <c r="BU5" s="2">
        <v>1.9043070262766151E-2</v>
      </c>
      <c r="BV5" s="2">
        <v>1.6822997184360571E-2</v>
      </c>
      <c r="BW5" s="2">
        <v>1.6684982593413372E-2</v>
      </c>
      <c r="BX5" s="2">
        <v>1.3546322627577229E-2</v>
      </c>
      <c r="BY5" s="2">
        <v>8.8355555990224949E-3</v>
      </c>
      <c r="BZ5" s="2">
        <v>1.6244439848805359E-2</v>
      </c>
      <c r="CA5" s="2">
        <v>1.5969795684615099E-2</v>
      </c>
      <c r="CB5" s="2">
        <v>2.631438398547604E-3</v>
      </c>
      <c r="CC5" s="2">
        <v>1.882978449558451E-2</v>
      </c>
      <c r="CD5" s="2">
        <v>2.2816767220746569E-2</v>
      </c>
      <c r="CE5" s="2">
        <v>2.6077729361186529E-2</v>
      </c>
      <c r="CF5" s="2">
        <v>1.499489024735514E-2</v>
      </c>
      <c r="CG5" s="2">
        <v>2.6164856394656419E-3</v>
      </c>
      <c r="CH5" s="2">
        <v>1.6072216687681739E-3</v>
      </c>
      <c r="CI5" s="2">
        <v>-5.8853693828171327E-3</v>
      </c>
      <c r="CJ5" s="2">
        <v>-1.1516856996570801E-2</v>
      </c>
      <c r="CK5" s="2">
        <v>-1.071601597092706E-2</v>
      </c>
      <c r="CL5" s="2">
        <v>1.1313839274602489E-2</v>
      </c>
      <c r="CM5" s="2">
        <v>6.5575598939352948E-3</v>
      </c>
      <c r="CN5" s="2">
        <v>1.1422092272016829E-2</v>
      </c>
      <c r="CO5" s="2">
        <v>1.128965325550671E-2</v>
      </c>
      <c r="CP5" s="2">
        <v>5.1481957855028113E-2</v>
      </c>
      <c r="CQ5" s="2">
        <v>3.1199047837396739E-2</v>
      </c>
      <c r="CR5" s="2">
        <v>2.5421195525684968E-2</v>
      </c>
      <c r="CS5" s="2">
        <v>-3.0207556615997611E-3</v>
      </c>
      <c r="CT5" s="2">
        <v>7.5623451229431043E-4</v>
      </c>
      <c r="CU5" s="2">
        <v>7.2781568876731156E-4</v>
      </c>
      <c r="CV5" s="2">
        <v>9.3529038856204165E-3</v>
      </c>
      <c r="CW5" s="2">
        <v>-2.9667861932934879E-2</v>
      </c>
      <c r="CX5" s="2">
        <v>-1.0507272884670189E-2</v>
      </c>
      <c r="CY5" s="2">
        <v>9.7452893907925726E-3</v>
      </c>
      <c r="CZ5" s="2">
        <v>-7.5353985902828378E-3</v>
      </c>
      <c r="DA5" s="2">
        <v>1.3131139356618519E-2</v>
      </c>
      <c r="DB5" s="2">
        <v>4.2211342139132279E-3</v>
      </c>
      <c r="DC5" s="2">
        <v>1.093994226186313E-2</v>
      </c>
      <c r="DD5" s="2">
        <v>2.4409705725089211E-2</v>
      </c>
      <c r="DE5" s="2">
        <v>1.604921204657048E-2</v>
      </c>
      <c r="DF5" s="2">
        <v>1.667716987176554E-2</v>
      </c>
      <c r="DG5" s="2">
        <v>-3.8317962817908898E-3</v>
      </c>
      <c r="DH5" s="2">
        <v>7.3512111038037927E-3</v>
      </c>
      <c r="DI5" s="2">
        <v>-1.030442488724889E-2</v>
      </c>
      <c r="DJ5" s="2">
        <v>5.2456116056685776E-3</v>
      </c>
      <c r="DK5" s="2">
        <v>6.9237939715896509E-3</v>
      </c>
      <c r="DL5" s="2">
        <v>1.614164071279639E-2</v>
      </c>
      <c r="DM5" s="2">
        <v>1.6766743050984158E-2</v>
      </c>
      <c r="DN5" s="2">
        <v>1.4232797538885089E-2</v>
      </c>
      <c r="DO5" s="2">
        <v>1.453166794491163E-2</v>
      </c>
      <c r="DP5" s="2">
        <v>1.476260228029823E-2</v>
      </c>
      <c r="DQ5" s="2">
        <v>9.2205535843162996E-3</v>
      </c>
      <c r="DR5" s="2">
        <v>-2.0837362258463069E-2</v>
      </c>
      <c r="DS5" s="2">
        <v>5.7274386040173687E-3</v>
      </c>
      <c r="DT5" s="2">
        <v>4.0239894875113217E-4</v>
      </c>
      <c r="DU5" s="2">
        <v>1.369607227793021E-2</v>
      </c>
      <c r="DV5" s="2">
        <v>1.81797983000145E-2</v>
      </c>
      <c r="DW5" s="2">
        <v>2.0373538370568042E-2</v>
      </c>
      <c r="DX5" s="2">
        <v>1.6416783684434461E-2</v>
      </c>
      <c r="DY5" s="2">
        <v>1.4901535770104739E-2</v>
      </c>
      <c r="DZ5" s="2">
        <v>1.5353815388371319E-2</v>
      </c>
      <c r="EA5" s="2">
        <v>1.6682695081811649E-2</v>
      </c>
      <c r="EB5" s="2">
        <v>1.820220102928315E-2</v>
      </c>
      <c r="EC5" s="2">
        <v>-4.4638342298786941E-3</v>
      </c>
      <c r="ED5" s="2">
        <v>-4.6981036382316961E-3</v>
      </c>
      <c r="EE5" s="2">
        <v>1.264171640489712E-3</v>
      </c>
      <c r="EF5" s="2">
        <v>8.5178790602471154E-3</v>
      </c>
      <c r="EG5" s="2">
        <v>-2.853172849498869E-3</v>
      </c>
      <c r="EH5" s="2">
        <v>-7.6033835936986848E-3</v>
      </c>
      <c r="EI5" s="2">
        <v>-5.3008409367301841E-3</v>
      </c>
      <c r="EJ5" s="2">
        <v>-4.1330562633494598E-3</v>
      </c>
      <c r="EK5" s="2">
        <v>-2.2310332755631338E-3</v>
      </c>
      <c r="EL5" s="2">
        <v>5.5219188045471258E-3</v>
      </c>
      <c r="EM5" s="2">
        <v>1.7326816328490559E-2</v>
      </c>
    </row>
    <row r="6" spans="1:145" x14ac:dyDescent="0.3">
      <c r="A6" s="20" t="s">
        <v>146</v>
      </c>
      <c r="B6" s="21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2</v>
      </c>
      <c r="J6" s="2">
        <f t="array" ref="J6">MATCH(MAX(ABS(J3:J5)), ABS(J3:J5), 0)</f>
        <v>2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2</v>
      </c>
      <c r="N6" s="2">
        <f t="array" ref="N6">MATCH(MAX(ABS(N3:N5)), ABS(N3:N5), 0)</f>
        <v>2</v>
      </c>
      <c r="O6" s="2">
        <f t="array" ref="O6">MATCH(MAX(ABS(O3:O5)), ABS(O3:O5), 0)</f>
        <v>2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2</v>
      </c>
      <c r="S6" s="2">
        <f t="array" ref="S6">MATCH(MAX(ABS(S3:S5)), ABS(S3:S5), 0)</f>
        <v>2</v>
      </c>
      <c r="T6" s="2">
        <f t="array" ref="T6">MATCH(MAX(ABS(T3:T5)), ABS(T3:T5), 0)</f>
        <v>2</v>
      </c>
      <c r="U6" s="2">
        <f t="array" ref="U6">MATCH(MAX(ABS(U3:U5)), ABS(U3:U5), 0)</f>
        <v>3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2</v>
      </c>
      <c r="Z6" s="2">
        <f t="array" ref="Z6">MATCH(MAX(ABS(Z3:Z5)), ABS(Z3:Z5), 0)</f>
        <v>2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1</v>
      </c>
      <c r="AE6" s="2">
        <f t="array" ref="AE6">MATCH(MAX(ABS(AE3:AE5)), ABS(AE3:AE5), 0)</f>
        <v>1</v>
      </c>
      <c r="AF6" s="2">
        <f t="array" ref="AF6">MATCH(MAX(ABS(AF3:AF5)), ABS(AF3:AF5), 0)</f>
        <v>1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1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1</v>
      </c>
      <c r="AT6" s="2">
        <f t="array" ref="AT6">MATCH(MAX(ABS(AT3:AT5)), ABS(AT3:AT5), 0)</f>
        <v>1</v>
      </c>
      <c r="AU6" s="2">
        <f t="array" ref="AU6">MATCH(MAX(ABS(AU3:AU5)), ABS(AU3:AU5), 0)</f>
        <v>1</v>
      </c>
      <c r="AV6" s="2">
        <f t="array" ref="AV6">MATCH(MAX(ABS(AV3:AV5)), ABS(AV3:AV5), 0)</f>
        <v>1</v>
      </c>
      <c r="AW6" s="2">
        <f t="array" ref="AW6">MATCH(MAX(ABS(AW3:AW5)), ABS(AW3:AW5), 0)</f>
        <v>2</v>
      </c>
      <c r="AX6" s="2">
        <f t="array" ref="AX6">MATCH(MAX(ABS(AX3:AX5)), ABS(AX3:AX5), 0)</f>
        <v>1</v>
      </c>
      <c r="AY6" s="2">
        <f t="array" ref="AY6">MATCH(MAX(ABS(AY3:AY5)), ABS(AY3:AY5), 0)</f>
        <v>2</v>
      </c>
      <c r="AZ6" s="2">
        <f t="array" ref="AZ6">MATCH(MAX(ABS(AZ3:AZ5)), ABS(AZ3:AZ5), 0)</f>
        <v>1</v>
      </c>
      <c r="BA6" s="2">
        <f t="array" ref="BA6">MATCH(MAX(ABS(BA3:BA5)), ABS(BA3:BA5), 0)</f>
        <v>1</v>
      </c>
      <c r="BB6" s="2">
        <f t="array" ref="BB6">MATCH(MAX(ABS(BB3:BB5)), ABS(BB3:BB5), 0)</f>
        <v>2</v>
      </c>
      <c r="BC6" s="2">
        <f t="array" ref="BC6">MATCH(MAX(ABS(BC3:BC5)), ABS(BC3:BC5), 0)</f>
        <v>2</v>
      </c>
      <c r="BD6" s="2">
        <f t="array" ref="BD6">MATCH(MAX(ABS(BD3:BD5)), ABS(BD3:BD5), 0)</f>
        <v>2</v>
      </c>
      <c r="BE6" s="2">
        <f t="array" ref="BE6">MATCH(MAX(ABS(BE3:BE5)), ABS(BE3:BE5), 0)</f>
        <v>1</v>
      </c>
      <c r="BF6" s="2">
        <f t="array" ref="BF6">MATCH(MAX(ABS(BF3:BF5)), ABS(BF3:BF5), 0)</f>
        <v>2</v>
      </c>
      <c r="BG6" s="2">
        <f t="array" ref="BG6">MATCH(MAX(ABS(BG3:BG5)), ABS(BG3:BG5), 0)</f>
        <v>1</v>
      </c>
      <c r="BH6" s="2">
        <f t="array" ref="BH6">MATCH(MAX(ABS(BH3:BH5)), ABS(BH3:BH5), 0)</f>
        <v>1</v>
      </c>
      <c r="BI6" s="2">
        <f t="array" ref="BI6">MATCH(MAX(ABS(BI3:BI5)), ABS(BI3:BI5), 0)</f>
        <v>3</v>
      </c>
      <c r="BJ6" s="2">
        <f t="array" ref="BJ6">MATCH(MAX(ABS(BJ3:BJ5)), ABS(BJ3:BJ5), 0)</f>
        <v>1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1</v>
      </c>
      <c r="BV6" s="2">
        <f t="array" ref="BV6">MATCH(MAX(ABS(BV3:BV5)), ABS(BV3:BV5), 0)</f>
        <v>1</v>
      </c>
      <c r="BW6" s="2">
        <f t="array" ref="BW6">MATCH(MAX(ABS(BW3:BW5)), ABS(BW3:BW5), 0)</f>
        <v>1</v>
      </c>
      <c r="BX6" s="2">
        <f t="array" ref="BX6">MATCH(MAX(ABS(BX3:BX5)), ABS(BX3:BX5), 0)</f>
        <v>1</v>
      </c>
      <c r="BY6" s="2">
        <f t="array" ref="BY6">MATCH(MAX(ABS(BY3:BY5)), ABS(BY3:BY5), 0)</f>
        <v>1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1</v>
      </c>
      <c r="CC6" s="2">
        <f t="array" ref="CC6">MATCH(MAX(ABS(CC3:CC5)), ABS(CC3:CC5), 0)</f>
        <v>2</v>
      </c>
      <c r="CD6" s="2">
        <f t="array" ref="CD6">MATCH(MAX(ABS(CD3:CD5)), ABS(CD3:CD5), 0)</f>
        <v>2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1</v>
      </c>
      <c r="CK6" s="2">
        <f t="array" ref="CK6">MATCH(MAX(ABS(CK3:CK5)), ABS(CK3:CK5), 0)</f>
        <v>1</v>
      </c>
      <c r="CL6" s="2">
        <f t="array" ref="CL6">MATCH(MAX(ABS(CL3:CL5)), ABS(CL3:CL5), 0)</f>
        <v>1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1</v>
      </c>
      <c r="CP6" s="2">
        <f t="array" ref="CP6">MATCH(MAX(ABS(CP3:CP5)), ABS(CP3:CP5), 0)</f>
        <v>1</v>
      </c>
      <c r="CQ6" s="2">
        <f t="array" ref="CQ6">MATCH(MAX(ABS(CQ3:CQ5)), ABS(CQ3:CQ5), 0)</f>
        <v>1</v>
      </c>
      <c r="CR6" s="2">
        <f t="array" ref="CR6">MATCH(MAX(ABS(CR3:CR5)), ABS(CR3:CR5), 0)</f>
        <v>1</v>
      </c>
      <c r="CS6" s="2">
        <f t="array" ref="CS6">MATCH(MAX(ABS(CS3:CS5)), ABS(CS3:CS5), 0)</f>
        <v>1</v>
      </c>
      <c r="CT6" s="2">
        <f t="array" ref="CT6">MATCH(MAX(ABS(CT3:CT5)), ABS(CT3:CT5), 0)</f>
        <v>2</v>
      </c>
      <c r="CU6" s="2">
        <f t="array" ref="CU6">MATCH(MAX(ABS(CU3:CU5)), ABS(CU3:CU5), 0)</f>
        <v>1</v>
      </c>
      <c r="CV6" s="2">
        <f t="array" ref="CV6">MATCH(MAX(ABS(CV3:CV5)), ABS(CV3:CV5), 0)</f>
        <v>1</v>
      </c>
      <c r="CW6" s="2">
        <f t="array" ref="CW6">MATCH(MAX(ABS(CW3:CW5)), ABS(CW3:CW5), 0)</f>
        <v>1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2</v>
      </c>
      <c r="DD6" s="2">
        <f t="array" ref="DD6">MATCH(MAX(ABS(DD3:DD5)), ABS(DD3:DD5), 0)</f>
        <v>2</v>
      </c>
      <c r="DE6" s="2">
        <f t="array" ref="DE6">MATCH(MAX(ABS(DE3:DE5)), ABS(DE3:DE5), 0)</f>
        <v>2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1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1</v>
      </c>
      <c r="DP6" s="2">
        <f t="array" ref="DP6">MATCH(MAX(ABS(DP3:DP5)), ABS(DP3:DP5), 0)</f>
        <v>1</v>
      </c>
      <c r="DQ6" s="2">
        <f t="array" ref="DQ6">MATCH(MAX(ABS(DQ3:DQ5)), ABS(DQ3:DQ5), 0)</f>
        <v>2</v>
      </c>
      <c r="DR6" s="2">
        <f t="array" ref="DR6">MATCH(MAX(ABS(DR3:DR5)), ABS(DR3:DR5), 0)</f>
        <v>2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2</v>
      </c>
      <c r="DV6" s="2">
        <f t="array" ref="DV6">MATCH(MAX(ABS(DV3:DV5)), ABS(DV3:DV5), 0)</f>
        <v>2</v>
      </c>
      <c r="DW6" s="2">
        <f t="array" ref="DW6">MATCH(MAX(ABS(DW3:DW5)), ABS(DW3:DW5), 0)</f>
        <v>1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1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1</v>
      </c>
      <c r="EL6" s="2">
        <f t="array" ref="EL6">MATCH(MAX(ABS(EL3:EL5)), ABS(EL3:EL5), 0)</f>
        <v>1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size</v>
      </c>
      <c r="J7" s="2" t="str">
        <f t="shared" si="0"/>
        <v>size</v>
      </c>
      <c r="K7" s="2" t="str">
        <f t="shared" si="0"/>
        <v>size</v>
      </c>
      <c r="L7" s="2" t="str">
        <f t="shared" si="0"/>
        <v>size</v>
      </c>
      <c r="M7" s="2" t="str">
        <f t="shared" si="0"/>
        <v>size</v>
      </c>
      <c r="N7" s="2" t="str">
        <f t="shared" si="0"/>
        <v>size</v>
      </c>
      <c r="O7" s="2" t="str">
        <f t="shared" si="0"/>
        <v>size</v>
      </c>
      <c r="P7" s="2" t="str">
        <f t="shared" si="0"/>
        <v>size</v>
      </c>
      <c r="Q7" s="2" t="str">
        <f t="shared" si="0"/>
        <v>size</v>
      </c>
      <c r="R7" s="2" t="str">
        <f t="shared" si="0"/>
        <v>size</v>
      </c>
      <c r="S7" s="2" t="str">
        <f t="shared" si="0"/>
        <v>size</v>
      </c>
      <c r="T7" s="2" t="str">
        <f t="shared" si="0"/>
        <v>size</v>
      </c>
      <c r="U7" s="2" t="str">
        <f t="shared" si="0"/>
        <v>mom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size</v>
      </c>
      <c r="Z7" s="2" t="str">
        <f t="shared" si="0"/>
        <v>size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bm</v>
      </c>
      <c r="AE7" s="2" t="str">
        <f t="shared" si="0"/>
        <v>bm</v>
      </c>
      <c r="AF7" s="2" t="str">
        <f t="shared" si="0"/>
        <v>bm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bm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bm</v>
      </c>
      <c r="AT7" s="2" t="str">
        <f t="shared" si="1"/>
        <v>bm</v>
      </c>
      <c r="AU7" s="2" t="str">
        <f t="shared" si="1"/>
        <v>bm</v>
      </c>
      <c r="AV7" s="2" t="str">
        <f t="shared" si="1"/>
        <v>bm</v>
      </c>
      <c r="AW7" s="2" t="str">
        <f t="shared" si="1"/>
        <v>size</v>
      </c>
      <c r="AX7" s="2" t="str">
        <f t="shared" si="1"/>
        <v>bm</v>
      </c>
      <c r="AY7" s="2" t="str">
        <f t="shared" si="1"/>
        <v>size</v>
      </c>
      <c r="AZ7" s="2" t="str">
        <f t="shared" si="1"/>
        <v>bm</v>
      </c>
      <c r="BA7" s="2" t="str">
        <f t="shared" si="1"/>
        <v>bm</v>
      </c>
      <c r="BB7" s="2" t="str">
        <f t="shared" si="1"/>
        <v>size</v>
      </c>
      <c r="BC7" s="2" t="str">
        <f t="shared" si="1"/>
        <v>size</v>
      </c>
      <c r="BD7" s="2" t="str">
        <f t="shared" si="1"/>
        <v>size</v>
      </c>
      <c r="BE7" s="2" t="str">
        <f t="shared" si="1"/>
        <v>bm</v>
      </c>
      <c r="BF7" s="2" t="str">
        <f t="shared" si="1"/>
        <v>size</v>
      </c>
      <c r="BG7" s="2" t="str">
        <f t="shared" si="1"/>
        <v>bm</v>
      </c>
      <c r="BH7" s="2" t="str">
        <f t="shared" si="1"/>
        <v>bm</v>
      </c>
      <c r="BI7" s="2" t="str">
        <f t="shared" si="1"/>
        <v>mom</v>
      </c>
      <c r="BJ7" s="2" t="str">
        <f t="shared" si="1"/>
        <v>bm</v>
      </c>
      <c r="BK7" s="2" t="str">
        <f t="shared" si="1"/>
        <v>bm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bm</v>
      </c>
      <c r="BR7" s="2" t="str">
        <f t="shared" si="2"/>
        <v>bm</v>
      </c>
      <c r="BS7" s="2" t="str">
        <f t="shared" si="2"/>
        <v>bm</v>
      </c>
      <c r="BT7" s="2" t="str">
        <f t="shared" si="2"/>
        <v>bm</v>
      </c>
      <c r="BU7" s="2" t="str">
        <f t="shared" si="2"/>
        <v>bm</v>
      </c>
      <c r="BV7" s="2" t="str">
        <f t="shared" si="2"/>
        <v>bm</v>
      </c>
      <c r="BW7" s="2" t="str">
        <f t="shared" si="2"/>
        <v>bm</v>
      </c>
      <c r="BX7" s="2" t="str">
        <f t="shared" si="2"/>
        <v>bm</v>
      </c>
      <c r="BY7" s="2" t="str">
        <f t="shared" si="2"/>
        <v>bm</v>
      </c>
      <c r="BZ7" s="2" t="str">
        <f t="shared" si="2"/>
        <v>bm</v>
      </c>
      <c r="CA7" s="2" t="str">
        <f t="shared" si="2"/>
        <v>bm</v>
      </c>
      <c r="CB7" s="2" t="str">
        <f t="shared" si="2"/>
        <v>bm</v>
      </c>
      <c r="CC7" s="2" t="str">
        <f t="shared" si="2"/>
        <v>size</v>
      </c>
      <c r="CD7" s="2" t="str">
        <f t="shared" si="2"/>
        <v>size</v>
      </c>
      <c r="CE7" s="2" t="str">
        <f t="shared" si="2"/>
        <v>bm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bm</v>
      </c>
      <c r="CJ7" s="2" t="str">
        <f t="shared" si="2"/>
        <v>bm</v>
      </c>
      <c r="CK7" s="2" t="str">
        <f t="shared" si="2"/>
        <v>bm</v>
      </c>
      <c r="CL7" s="2" t="str">
        <f t="shared" si="2"/>
        <v>bm</v>
      </c>
      <c r="CM7" s="2" t="str">
        <f t="shared" si="2"/>
        <v>bm</v>
      </c>
      <c r="CN7" s="2" t="str">
        <f t="shared" si="2"/>
        <v>bm</v>
      </c>
      <c r="CO7" s="2" t="str">
        <f t="shared" si="2"/>
        <v>bm</v>
      </c>
      <c r="CP7" s="2" t="str">
        <f t="shared" si="2"/>
        <v>bm</v>
      </c>
      <c r="CQ7" s="2" t="str">
        <f t="shared" si="2"/>
        <v>bm</v>
      </c>
      <c r="CR7" s="2" t="str">
        <f t="shared" si="2"/>
        <v>bm</v>
      </c>
      <c r="CS7" s="2" t="str">
        <f t="shared" si="2"/>
        <v>bm</v>
      </c>
      <c r="CT7" s="2" t="str">
        <f t="shared" si="2"/>
        <v>size</v>
      </c>
      <c r="CU7" s="2" t="str">
        <f t="shared" ref="CU7:DZ7" si="3">IF(CU6=1,"bm",IF(CU6=2,"size",IF(CU6=3,"mom")))</f>
        <v>bm</v>
      </c>
      <c r="CV7" s="2" t="str">
        <f t="shared" si="3"/>
        <v>bm</v>
      </c>
      <c r="CW7" s="2" t="str">
        <f t="shared" si="3"/>
        <v>bm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size</v>
      </c>
      <c r="DD7" s="2" t="str">
        <f t="shared" si="3"/>
        <v>size</v>
      </c>
      <c r="DE7" s="2" t="str">
        <f t="shared" si="3"/>
        <v>size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bm</v>
      </c>
      <c r="DJ7" s="2" t="str">
        <f t="shared" si="3"/>
        <v>size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bm</v>
      </c>
      <c r="DO7" s="2" t="str">
        <f t="shared" si="3"/>
        <v>bm</v>
      </c>
      <c r="DP7" s="2" t="str">
        <f t="shared" si="3"/>
        <v>bm</v>
      </c>
      <c r="DQ7" s="2" t="str">
        <f t="shared" si="3"/>
        <v>size</v>
      </c>
      <c r="DR7" s="2" t="str">
        <f t="shared" si="3"/>
        <v>size</v>
      </c>
      <c r="DS7" s="2" t="str">
        <f t="shared" si="3"/>
        <v>bm</v>
      </c>
      <c r="DT7" s="2" t="str">
        <f t="shared" si="3"/>
        <v>size</v>
      </c>
      <c r="DU7" s="2" t="str">
        <f t="shared" si="3"/>
        <v>size</v>
      </c>
      <c r="DV7" s="2" t="str">
        <f t="shared" si="3"/>
        <v>size</v>
      </c>
      <c r="DW7" s="2" t="str">
        <f t="shared" si="3"/>
        <v>bm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bm</v>
      </c>
      <c r="EC7" s="2" t="str">
        <f t="shared" si="4"/>
        <v>bm</v>
      </c>
      <c r="ED7" s="2" t="str">
        <f t="shared" si="4"/>
        <v>bm</v>
      </c>
      <c r="EE7" s="2" t="str">
        <f t="shared" si="4"/>
        <v>bm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bm</v>
      </c>
      <c r="EL7" s="2" t="str">
        <f t="shared" si="4"/>
        <v>bm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3.4946434776605882E-2</v>
      </c>
      <c r="D8" s="2">
        <f t="shared" si="5"/>
        <v>4.9621152558988732E-2</v>
      </c>
      <c r="E8" s="2">
        <f t="shared" si="5"/>
        <v>-6.2951631416598125E-2</v>
      </c>
      <c r="F8" s="2">
        <f t="shared" si="5"/>
        <v>-0.10275806713399049</v>
      </c>
      <c r="G8" s="2">
        <f t="shared" si="5"/>
        <v>-7.9484529512434218E-2</v>
      </c>
      <c r="H8" s="2">
        <f t="shared" si="5"/>
        <v>-7.4637566723446097E-2</v>
      </c>
      <c r="I8" s="2">
        <f t="shared" si="5"/>
        <v>-6.0303175593075208E-2</v>
      </c>
      <c r="J8" s="2">
        <f t="shared" si="5"/>
        <v>-6.1221976553650498E-2</v>
      </c>
      <c r="K8" s="2">
        <f t="shared" si="5"/>
        <v>-6.3454479623673996E-2</v>
      </c>
      <c r="L8" s="2">
        <f t="shared" si="5"/>
        <v>-4.9031802460202369E-2</v>
      </c>
      <c r="M8" s="2">
        <f t="shared" si="5"/>
        <v>-5.5965545208011017E-2</v>
      </c>
      <c r="N8" s="2">
        <f t="shared" si="5"/>
        <v>-3.7127413566765903E-2</v>
      </c>
      <c r="O8" s="2">
        <f t="shared" si="5"/>
        <v>-4.4851103408314323E-2</v>
      </c>
      <c r="P8" s="2">
        <f t="shared" si="5"/>
        <v>-6.06099750017862E-2</v>
      </c>
      <c r="Q8" s="2">
        <f t="shared" si="5"/>
        <v>-6.142030670402978E-2</v>
      </c>
      <c r="R8" s="2">
        <f t="shared" si="5"/>
        <v>-4.2457092293346488E-2</v>
      </c>
      <c r="S8" s="2">
        <f t="shared" si="5"/>
        <v>-4.0181376857841532E-2</v>
      </c>
      <c r="T8" s="2">
        <f t="shared" si="5"/>
        <v>-4.3184261416348402E-2</v>
      </c>
      <c r="U8" s="2">
        <f t="shared" si="5"/>
        <v>3.8990634744788283E-2</v>
      </c>
      <c r="V8" s="2">
        <f t="shared" si="5"/>
        <v>4.795564524908115E-2</v>
      </c>
      <c r="W8" s="2">
        <f t="shared" si="5"/>
        <v>5.1885589069397997E-2</v>
      </c>
      <c r="X8" s="2">
        <f t="shared" si="5"/>
        <v>4.422438631770411E-2</v>
      </c>
      <c r="Y8" s="2">
        <f t="shared" si="5"/>
        <v>-4.4162740951198293E-2</v>
      </c>
      <c r="Z8" s="2">
        <f t="shared" si="5"/>
        <v>-4.3992704142522127E-2</v>
      </c>
      <c r="AA8" s="2">
        <f t="shared" si="5"/>
        <v>4.4481250419906457E-2</v>
      </c>
      <c r="AB8" s="2">
        <f t="shared" si="5"/>
        <v>3.5559252182618593E-2</v>
      </c>
      <c r="AC8" s="2">
        <f t="shared" si="5"/>
        <v>3.3742425377551163E-2</v>
      </c>
      <c r="AD8" s="2">
        <f t="shared" si="5"/>
        <v>2.9434183518290032E-2</v>
      </c>
      <c r="AE8" s="2">
        <f t="shared" si="5"/>
        <v>3.8312600203871998E-2</v>
      </c>
      <c r="AF8" s="2">
        <f t="shared" si="5"/>
        <v>3.5319598277822807E-2</v>
      </c>
      <c r="AG8" s="2">
        <f t="shared" si="5"/>
        <v>2.7095981515837211E-2</v>
      </c>
      <c r="AH8" s="2">
        <f t="shared" si="5"/>
        <v>2.4588044029715119E-2</v>
      </c>
      <c r="AI8" s="2">
        <f t="shared" ref="AI8:BN8" si="6">IF(AI6=1,AI3,IF(AI6=2,AI4,IF(AI6=3,AI5)))</f>
        <v>3.7997597137220201E-2</v>
      </c>
      <c r="AJ8" s="2">
        <f t="shared" si="6"/>
        <v>3.3911508457047913E-2</v>
      </c>
      <c r="AK8" s="2">
        <f t="shared" si="6"/>
        <v>4.3063908641014483E-2</v>
      </c>
      <c r="AL8" s="2">
        <f t="shared" si="6"/>
        <v>3.5336105491399851E-2</v>
      </c>
      <c r="AM8" s="2">
        <f t="shared" si="6"/>
        <v>4.095453549730925E-2</v>
      </c>
      <c r="AN8" s="2">
        <f t="shared" si="6"/>
        <v>3.9629739230367438E-2</v>
      </c>
      <c r="AO8" s="2">
        <f t="shared" si="6"/>
        <v>5.8136437096450902E-2</v>
      </c>
      <c r="AP8" s="2">
        <f t="shared" si="6"/>
        <v>5.3476675537943032E-2</v>
      </c>
      <c r="AQ8" s="2">
        <f t="shared" si="6"/>
        <v>5.6036139285653083E-2</v>
      </c>
      <c r="AR8" s="2">
        <f t="shared" si="6"/>
        <v>4.6184000737761667E-2</v>
      </c>
      <c r="AS8" s="2">
        <f t="shared" si="6"/>
        <v>3.5389481532984962E-2</v>
      </c>
      <c r="AT8" s="2">
        <f t="shared" si="6"/>
        <v>3.3505358739742738E-2</v>
      </c>
      <c r="AU8" s="2">
        <f t="shared" si="6"/>
        <v>2.858092995705622E-2</v>
      </c>
      <c r="AV8" s="2">
        <f t="shared" si="6"/>
        <v>4.5607815952215837E-2</v>
      </c>
      <c r="AW8" s="2">
        <f t="shared" si="6"/>
        <v>-4.2145772018226967E-2</v>
      </c>
      <c r="AX8" s="2">
        <f t="shared" si="6"/>
        <v>3.912196816540315E-2</v>
      </c>
      <c r="AY8" s="2">
        <f t="shared" si="6"/>
        <v>-3.0620786675402481E-2</v>
      </c>
      <c r="AZ8" s="2">
        <f t="shared" si="6"/>
        <v>3.4740726744102057E-2</v>
      </c>
      <c r="BA8" s="2">
        <f t="shared" si="6"/>
        <v>4.1380134912733423E-2</v>
      </c>
      <c r="BB8" s="2">
        <f t="shared" si="6"/>
        <v>-4.0551604006990392E-2</v>
      </c>
      <c r="BC8" s="2">
        <f t="shared" si="6"/>
        <v>-4.2756597752440471E-2</v>
      </c>
      <c r="BD8" s="2">
        <f t="shared" si="6"/>
        <v>-3.5755727515210577E-2</v>
      </c>
      <c r="BE8" s="2">
        <f t="shared" si="6"/>
        <v>3.1627384875007797E-2</v>
      </c>
      <c r="BF8" s="2">
        <f t="shared" si="6"/>
        <v>-3.4563199381908237E-2</v>
      </c>
      <c r="BG8" s="2">
        <f t="shared" si="6"/>
        <v>2.7856516368044079E-2</v>
      </c>
      <c r="BH8" s="2">
        <f t="shared" si="6"/>
        <v>3.9039450639835438E-2</v>
      </c>
      <c r="BI8" s="2">
        <f t="shared" si="6"/>
        <v>-3.9799382821201407E-2</v>
      </c>
      <c r="BJ8" s="2">
        <f t="shared" si="6"/>
        <v>4.2598863286148932E-2</v>
      </c>
      <c r="BK8" s="2">
        <f t="shared" si="6"/>
        <v>4.3638506422424159E-2</v>
      </c>
      <c r="BL8" s="2">
        <f t="shared" si="6"/>
        <v>4.1807312058529042E-2</v>
      </c>
      <c r="BM8" s="2">
        <f t="shared" si="6"/>
        <v>3.5722916378634957E-2</v>
      </c>
      <c r="BN8" s="2">
        <f t="shared" si="6"/>
        <v>3.5190578568229797E-2</v>
      </c>
      <c r="BO8" s="2">
        <f t="shared" ref="BO8:CT8" si="7">IF(BO6=1,BO3,IF(BO6=2,BO4,IF(BO6=3,BO5)))</f>
        <v>3.5416976035990012E-2</v>
      </c>
      <c r="BP8" s="2">
        <f t="shared" si="7"/>
        <v>3.713200657521562E-2</v>
      </c>
      <c r="BQ8" s="2">
        <f t="shared" si="7"/>
        <v>3.7614323710702537E-2</v>
      </c>
      <c r="BR8" s="2">
        <f t="shared" si="7"/>
        <v>3.7508213116778308E-2</v>
      </c>
      <c r="BS8" s="2">
        <f t="shared" si="7"/>
        <v>3.7699116157691358E-2</v>
      </c>
      <c r="BT8" s="2">
        <f t="shared" si="7"/>
        <v>3.6770936163800741E-2</v>
      </c>
      <c r="BU8" s="2">
        <f t="shared" si="7"/>
        <v>3.6910402351608369E-2</v>
      </c>
      <c r="BV8" s="2">
        <f t="shared" si="7"/>
        <v>3.6401345985563889E-2</v>
      </c>
      <c r="BW8" s="2">
        <f t="shared" si="7"/>
        <v>3.5968201888952243E-2</v>
      </c>
      <c r="BX8" s="2">
        <f t="shared" si="7"/>
        <v>4.360917134424671E-2</v>
      </c>
      <c r="BY8" s="2">
        <f t="shared" si="7"/>
        <v>3.7211686504550583E-2</v>
      </c>
      <c r="BZ8" s="2">
        <f t="shared" si="7"/>
        <v>3.6826352112766268E-2</v>
      </c>
      <c r="CA8" s="2">
        <f t="shared" si="7"/>
        <v>3.4591508592700923E-2</v>
      </c>
      <c r="CB8" s="2">
        <f t="shared" si="7"/>
        <v>3.4339760626077138E-2</v>
      </c>
      <c r="CC8" s="2">
        <f t="shared" si="7"/>
        <v>-2.747847105042156E-2</v>
      </c>
      <c r="CD8" s="2">
        <f t="shared" si="7"/>
        <v>-2.655987022870682E-2</v>
      </c>
      <c r="CE8" s="2">
        <f t="shared" si="7"/>
        <v>3.2308526928274857E-2</v>
      </c>
      <c r="CF8" s="2">
        <f t="shared" si="7"/>
        <v>4.7329405862239361E-2</v>
      </c>
      <c r="CG8" s="2">
        <f t="shared" si="7"/>
        <v>-4.4699162974103299E-2</v>
      </c>
      <c r="CH8" s="2">
        <f t="shared" si="7"/>
        <v>3.8694495063321753E-2</v>
      </c>
      <c r="CI8" s="2">
        <f t="shared" si="7"/>
        <v>3.3617094541697881E-2</v>
      </c>
      <c r="CJ8" s="2">
        <f t="shared" si="7"/>
        <v>4.2975321891997098E-2</v>
      </c>
      <c r="CK8" s="2">
        <f t="shared" si="7"/>
        <v>4.0264755165575199E-2</v>
      </c>
      <c r="CL8" s="2">
        <f t="shared" si="7"/>
        <v>4.4693934288686933E-2</v>
      </c>
      <c r="CM8" s="2">
        <f t="shared" si="7"/>
        <v>4.4606561803651169E-2</v>
      </c>
      <c r="CN8" s="2">
        <f t="shared" si="7"/>
        <v>6.8577606946104749E-2</v>
      </c>
      <c r="CO8" s="2">
        <f t="shared" si="7"/>
        <v>4.9189277148068387E-2</v>
      </c>
      <c r="CP8" s="2">
        <f t="shared" si="7"/>
        <v>6.5607649619662367E-2</v>
      </c>
      <c r="CQ8" s="2">
        <f t="shared" si="7"/>
        <v>4.3819863603946338E-2</v>
      </c>
      <c r="CR8" s="2">
        <f t="shared" si="7"/>
        <v>5.6851400922781473E-2</v>
      </c>
      <c r="CS8" s="2">
        <f t="shared" si="7"/>
        <v>6.2364412289304838E-2</v>
      </c>
      <c r="CT8" s="2">
        <f t="shared" si="7"/>
        <v>-5.4515957193264943E-2</v>
      </c>
      <c r="CU8" s="2">
        <f t="shared" ref="CU8:DZ8" si="8">IF(CU6=1,CU3,IF(CU6=2,CU4,IF(CU6=3,CU5)))</f>
        <v>5.0002233445896063E-2</v>
      </c>
      <c r="CV8" s="2">
        <f t="shared" si="8"/>
        <v>5.3783352114565232E-2</v>
      </c>
      <c r="CW8" s="2">
        <f t="shared" si="8"/>
        <v>4.673096388557773E-2</v>
      </c>
      <c r="CX8" s="2">
        <f t="shared" si="8"/>
        <v>4.52857567116665E-2</v>
      </c>
      <c r="CY8" s="2">
        <f t="shared" si="8"/>
        <v>3.9604666977184122E-2</v>
      </c>
      <c r="CZ8" s="2">
        <f t="shared" si="8"/>
        <v>4.4391419906749573E-2</v>
      </c>
      <c r="DA8" s="2">
        <f t="shared" si="8"/>
        <v>-4.4832439126435537E-2</v>
      </c>
      <c r="DB8" s="2">
        <f t="shared" si="8"/>
        <v>-6.2436972757434497E-2</v>
      </c>
      <c r="DC8" s="2">
        <f t="shared" si="8"/>
        <v>-6.2527983186050365E-2</v>
      </c>
      <c r="DD8" s="2">
        <f t="shared" si="8"/>
        <v>-7.5217163321935412E-2</v>
      </c>
      <c r="DE8" s="2">
        <f t="shared" si="8"/>
        <v>-6.4404403928414081E-2</v>
      </c>
      <c r="DF8" s="2">
        <f t="shared" si="8"/>
        <v>-5.549385494260705E-2</v>
      </c>
      <c r="DG8" s="2">
        <f t="shared" si="8"/>
        <v>-6.0437770445375537E-2</v>
      </c>
      <c r="DH8" s="2">
        <f t="shared" si="8"/>
        <v>-6.1846298042840378E-2</v>
      </c>
      <c r="DI8" s="2">
        <f t="shared" si="8"/>
        <v>3.7289411512649348E-2</v>
      </c>
      <c r="DJ8" s="2">
        <f t="shared" si="8"/>
        <v>-4.0786143047909028E-2</v>
      </c>
      <c r="DK8" s="2">
        <f t="shared" si="8"/>
        <v>-5.7443401521016832E-2</v>
      </c>
      <c r="DL8" s="2">
        <f t="shared" si="8"/>
        <v>-5.8112653779270121E-2</v>
      </c>
      <c r="DM8" s="2">
        <f t="shared" si="8"/>
        <v>-3.958925014969409E-2</v>
      </c>
      <c r="DN8" s="2">
        <f t="shared" si="8"/>
        <v>5.080663627630181E-2</v>
      </c>
      <c r="DO8" s="2">
        <f t="shared" si="8"/>
        <v>4.4401319518395037E-2</v>
      </c>
      <c r="DP8" s="2">
        <f t="shared" si="8"/>
        <v>4.0598389653240877E-2</v>
      </c>
      <c r="DQ8" s="2">
        <f t="shared" si="8"/>
        <v>-4.1956447946479403E-2</v>
      </c>
      <c r="DR8" s="2">
        <f t="shared" si="8"/>
        <v>-5.4044080376143652E-2</v>
      </c>
      <c r="DS8" s="2">
        <f t="shared" si="8"/>
        <v>4.9788977885194548E-2</v>
      </c>
      <c r="DT8" s="2">
        <f t="shared" si="8"/>
        <v>-4.7088988162664012E-2</v>
      </c>
      <c r="DU8" s="2">
        <f t="shared" si="8"/>
        <v>-4.6590530666368382E-2</v>
      </c>
      <c r="DV8" s="2">
        <f t="shared" si="8"/>
        <v>-4.8883186543154288E-2</v>
      </c>
      <c r="DW8" s="2">
        <f t="shared" si="8"/>
        <v>4.7966753162565323E-2</v>
      </c>
      <c r="DX8" s="2">
        <f t="shared" si="8"/>
        <v>4.7135568202097168E-2</v>
      </c>
      <c r="DY8" s="2">
        <f t="shared" si="8"/>
        <v>5.0681252776800433E-2</v>
      </c>
      <c r="DZ8" s="2">
        <f t="shared" si="8"/>
        <v>4.4969453786410638E-2</v>
      </c>
      <c r="EA8" s="2">
        <f t="shared" ref="EA8:EM8" si="9">IF(EA6=1,EA3,IF(EA6=2,EA4,IF(EA6=3,EA5)))</f>
        <v>4.4790390035127817E-2</v>
      </c>
      <c r="EB8" s="2">
        <f t="shared" si="9"/>
        <v>4.605973794008926E-2</v>
      </c>
      <c r="EC8" s="2">
        <f t="shared" si="9"/>
        <v>6.9799748019209198E-2</v>
      </c>
      <c r="ED8" s="2">
        <f t="shared" si="9"/>
        <v>4.8948038728249647E-2</v>
      </c>
      <c r="EE8" s="2">
        <f t="shared" si="9"/>
        <v>4.4489528267164347E-2</v>
      </c>
      <c r="EF8" s="2">
        <f t="shared" si="9"/>
        <v>-3.4428937404352961E-2</v>
      </c>
      <c r="EG8" s="2">
        <f t="shared" si="9"/>
        <v>3.9822103911537593E-2</v>
      </c>
      <c r="EH8" s="2">
        <f t="shared" si="9"/>
        <v>3.0749140984917121E-2</v>
      </c>
      <c r="EI8" s="2">
        <f t="shared" si="9"/>
        <v>-3.1018058895392529E-2</v>
      </c>
      <c r="EJ8" s="2">
        <f t="shared" si="9"/>
        <v>3.4738700682679341E-2</v>
      </c>
      <c r="EK8" s="2">
        <f t="shared" si="9"/>
        <v>2.7110665601743609E-2</v>
      </c>
      <c r="EL8" s="2">
        <f t="shared" si="9"/>
        <v>2.7595207896287419E-2</v>
      </c>
      <c r="EM8" s="2">
        <f t="shared" si="9"/>
        <v>2.3666788585280828E-2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8.5310185624381016E-2</v>
      </c>
      <c r="D12" s="3">
        <v>9.5570723345623929E-2</v>
      </c>
      <c r="E12" s="3">
        <v>3.0738936329518129E-2</v>
      </c>
      <c r="F12" s="3">
        <v>-1.5162804459538329E-2</v>
      </c>
      <c r="G12" s="3">
        <v>1.8088727349808261E-2</v>
      </c>
      <c r="H12" s="3">
        <v>4.7835557267440737E-2</v>
      </c>
      <c r="I12" s="3">
        <v>3.7258207099251782E-2</v>
      </c>
      <c r="J12" s="3">
        <v>3.8525161475421588E-4</v>
      </c>
      <c r="K12" s="3">
        <v>1.686692712532779E-2</v>
      </c>
      <c r="L12" s="3">
        <v>-2.3169419237732809E-2</v>
      </c>
      <c r="M12" s="3">
        <v>-1.419375934081531E-2</v>
      </c>
      <c r="N12" s="3">
        <v>7.5040921895056401E-2</v>
      </c>
      <c r="O12" s="3">
        <v>2.3884140715910031E-2</v>
      </c>
      <c r="P12" s="3">
        <v>-8.2236691274109701E-3</v>
      </c>
      <c r="Q12" s="3">
        <v>2.5795480451227319E-2</v>
      </c>
      <c r="R12" s="3">
        <v>8.1805300272218863E-3</v>
      </c>
      <c r="S12" s="3">
        <v>-2.9591407688543049E-2</v>
      </c>
      <c r="T12" s="3">
        <v>-1.1323783327106251E-2</v>
      </c>
      <c r="U12" s="3">
        <v>-2.4491258217723359E-2</v>
      </c>
      <c r="V12" s="3">
        <v>3.3924635959969043E-2</v>
      </c>
      <c r="W12" s="3">
        <v>3.198544051299556E-2</v>
      </c>
      <c r="X12" s="3">
        <v>3.8152638881136437E-2</v>
      </c>
      <c r="Y12" s="3">
        <v>2.4601127470112519E-3</v>
      </c>
      <c r="Z12" s="3">
        <v>3.9422312323986318E-2</v>
      </c>
      <c r="AA12" s="3">
        <v>-8.5790047603106455E-3</v>
      </c>
      <c r="AB12" s="3">
        <v>1.389202847833107E-2</v>
      </c>
      <c r="AC12" s="3">
        <v>1.474849401894787E-2</v>
      </c>
      <c r="AD12" s="3">
        <v>8.775350693235897E-3</v>
      </c>
      <c r="AE12" s="3">
        <v>-3.803149666245273E-2</v>
      </c>
      <c r="AF12" s="3">
        <v>2.60864694441439E-2</v>
      </c>
      <c r="AG12" s="3">
        <v>4.059571033266296E-2</v>
      </c>
      <c r="AH12" s="3">
        <v>2.661321730932097E-2</v>
      </c>
      <c r="AI12" s="3">
        <v>2.6505597852478201E-2</v>
      </c>
      <c r="AJ12" s="3">
        <v>2.2865971600156808E-2</v>
      </c>
      <c r="AK12" s="3">
        <v>2.5980140807936911E-2</v>
      </c>
      <c r="AL12" s="3">
        <v>1.9425442046022121E-2</v>
      </c>
      <c r="AM12" s="3">
        <v>3.7736910005314907E-2</v>
      </c>
      <c r="AN12" s="3">
        <v>6.7607753686044603E-2</v>
      </c>
      <c r="AO12" s="3">
        <v>2.704942461415533E-2</v>
      </c>
      <c r="AP12" s="3">
        <v>-1.9823678527574429E-2</v>
      </c>
      <c r="AQ12" s="3">
        <v>-1.118612262599551E-2</v>
      </c>
      <c r="AR12" s="3">
        <v>-1.263169188688988E-2</v>
      </c>
      <c r="AS12" s="3">
        <v>1.8769682028718971E-2</v>
      </c>
      <c r="AT12" s="3">
        <v>4.5050201055613477E-2</v>
      </c>
      <c r="AU12" s="3">
        <v>4.6253655977796029E-2</v>
      </c>
      <c r="AV12" s="3">
        <v>3.0338220131753599E-3</v>
      </c>
      <c r="AW12" s="3">
        <v>3.3312629532554462E-2</v>
      </c>
      <c r="AX12" s="3">
        <v>6.8396065521350684E-3</v>
      </c>
      <c r="AY12" s="3">
        <v>1.570908152237668E-2</v>
      </c>
      <c r="AZ12" s="3">
        <v>2.8896123031563369E-2</v>
      </c>
      <c r="BA12" s="3">
        <v>6.8079804219876153E-2</v>
      </c>
      <c r="BB12" s="3">
        <v>7.9240470281232659E-3</v>
      </c>
      <c r="BC12" s="3">
        <v>1.272448957451016E-2</v>
      </c>
      <c r="BD12" s="3">
        <v>2.6591005281702811E-2</v>
      </c>
      <c r="BE12" s="3">
        <v>-3.4301667359167509E-2</v>
      </c>
      <c r="BF12" s="3">
        <v>1.156400801662129E-2</v>
      </c>
      <c r="BG12" s="3">
        <v>2.8578305048915741E-2</v>
      </c>
      <c r="BH12" s="3">
        <v>2.219780012500272E-2</v>
      </c>
      <c r="BI12" s="3">
        <v>6.7113249728801908E-2</v>
      </c>
      <c r="BJ12" s="3">
        <v>1.259293925126055E-2</v>
      </c>
      <c r="BK12" s="3">
        <v>-2.3815173089169341E-2</v>
      </c>
      <c r="BL12" s="3">
        <v>2.3648309389235709E-2</v>
      </c>
      <c r="BM12" s="3">
        <v>-1.793851795701288E-2</v>
      </c>
      <c r="BN12" s="3">
        <v>-1.02798805723101E-2</v>
      </c>
      <c r="BO12" s="3">
        <v>1.9606890370407359E-2</v>
      </c>
      <c r="BP12" s="3">
        <v>-1.9425485641497871E-2</v>
      </c>
      <c r="BQ12" s="3">
        <v>1.8243454325372891E-2</v>
      </c>
      <c r="BR12" s="3">
        <v>2.8561973492128499E-2</v>
      </c>
      <c r="BS12" s="3">
        <v>1.1550333600400441E-2</v>
      </c>
      <c r="BT12" s="3">
        <v>-1.27222916763531E-2</v>
      </c>
      <c r="BU12" s="3">
        <v>-9.9037641364756995E-3</v>
      </c>
      <c r="BV12" s="3">
        <v>3.2587622087097011E-3</v>
      </c>
      <c r="BW12" s="3">
        <v>-2.7824399195433159E-2</v>
      </c>
      <c r="BX12" s="3">
        <v>1.000809819241621E-2</v>
      </c>
      <c r="BY12" s="3">
        <v>-5.1155688453660919E-2</v>
      </c>
      <c r="BZ12" s="3">
        <v>4.8292096269983292E-2</v>
      </c>
      <c r="CA12" s="3">
        <v>4.0587021128886402E-4</v>
      </c>
      <c r="CB12" s="3">
        <v>1.301523882957518E-2</v>
      </c>
      <c r="CC12" s="3">
        <v>1.8344543561324901E-2</v>
      </c>
      <c r="CD12" s="3">
        <v>5.8825701449292923E-2</v>
      </c>
      <c r="CE12" s="3">
        <v>9.9459205424796165E-2</v>
      </c>
      <c r="CF12" s="3">
        <v>1.7719657107009072E-2</v>
      </c>
      <c r="CG12" s="3">
        <v>2.502819555126698E-3</v>
      </c>
      <c r="CH12" s="3">
        <v>4.8299092700326458E-2</v>
      </c>
      <c r="CI12" s="3">
        <v>-1.3365637962099299E-2</v>
      </c>
      <c r="CJ12" s="3">
        <v>-1.3639223248741001E-2</v>
      </c>
      <c r="CK12" s="3">
        <v>1.432820593171919E-2</v>
      </c>
      <c r="CL12" s="3">
        <v>0.131903042596242</v>
      </c>
      <c r="CM12" s="3">
        <v>-5.519525049325312E-2</v>
      </c>
      <c r="CN12" s="3">
        <v>-9.2680875883499741E-3</v>
      </c>
      <c r="CO12" s="3">
        <v>-5.8757766524703048E-2</v>
      </c>
      <c r="CP12" s="3">
        <v>5.0032965981328163E-2</v>
      </c>
      <c r="CQ12" s="3">
        <v>2.573336708875254E-2</v>
      </c>
      <c r="CR12" s="3">
        <v>3.154874078457571E-3</v>
      </c>
      <c r="CS12" s="3">
        <v>-1.5298221605664681E-2</v>
      </c>
      <c r="CT12" s="3">
        <v>4.5910686890626308E-2</v>
      </c>
      <c r="CU12" s="3">
        <v>2.0266326665671248E-2</v>
      </c>
      <c r="CV12" s="3">
        <v>5.8283290766198113E-3</v>
      </c>
      <c r="CW12" s="3">
        <v>1.8585354328257739E-2</v>
      </c>
      <c r="CX12" s="3">
        <v>6.0884267177027232E-2</v>
      </c>
      <c r="CY12" s="3">
        <v>4.3260277626228243E-2</v>
      </c>
      <c r="CZ12" s="3">
        <v>0.121957491494347</v>
      </c>
      <c r="DA12" s="3">
        <v>3.6493285248854812E-2</v>
      </c>
      <c r="DB12" s="3">
        <v>5.6046529472568933E-2</v>
      </c>
      <c r="DC12" s="3">
        <v>3.8005427491303943E-2</v>
      </c>
      <c r="DD12" s="3">
        <v>-7.0087311206158201E-3</v>
      </c>
      <c r="DE12" s="3">
        <v>-2.2431103034701472E-2</v>
      </c>
      <c r="DF12" s="3">
        <v>5.7852151452763317E-2</v>
      </c>
      <c r="DG12" s="3">
        <v>-4.0406432212309808E-2</v>
      </c>
      <c r="DH12" s="3">
        <v>2.551073674214506E-2</v>
      </c>
      <c r="DI12" s="3">
        <v>-8.089463626578218E-3</v>
      </c>
      <c r="DJ12" s="3">
        <v>2.5182538863462861E-2</v>
      </c>
      <c r="DK12" s="3">
        <v>-4.0070119078712788E-2</v>
      </c>
      <c r="DL12" s="3">
        <v>-4.35757846794467E-3</v>
      </c>
      <c r="DM12" s="3">
        <v>-3.3111387813933531E-2</v>
      </c>
      <c r="DN12" s="3">
        <v>3.2617757554888473E-2</v>
      </c>
      <c r="DO12" s="3">
        <v>2.1373829934880371E-2</v>
      </c>
      <c r="DP12" s="3">
        <v>2.8973994338399221E-2</v>
      </c>
      <c r="DQ12" s="3">
        <v>-2.653012391278297E-2</v>
      </c>
      <c r="DR12" s="3">
        <v>1.0352314706879379E-2</v>
      </c>
      <c r="DS12" s="3">
        <v>2.9025945227469149E-2</v>
      </c>
      <c r="DT12" s="3">
        <v>8.1504897469504081E-3</v>
      </c>
      <c r="DU12" s="3">
        <v>-3.6503502857618282E-2</v>
      </c>
      <c r="DV12" s="3">
        <v>3.711596185902289E-2</v>
      </c>
      <c r="DW12" s="3">
        <v>2.457117158142522E-2</v>
      </c>
      <c r="DX12" s="3">
        <v>-2.979886427077693E-2</v>
      </c>
      <c r="DY12" s="3">
        <v>5.9673813617057342E-2</v>
      </c>
      <c r="DZ12" s="3">
        <v>2.043367961681946E-2</v>
      </c>
      <c r="EA12" s="3">
        <v>6.1732548452084382E-2</v>
      </c>
      <c r="EB12" s="3">
        <v>1.408885560515976E-2</v>
      </c>
      <c r="EC12" s="3">
        <v>1.5539109713761309E-2</v>
      </c>
      <c r="ED12" s="3">
        <v>-3.6012524003297082E-2</v>
      </c>
      <c r="EE12" s="3">
        <v>-7.3327609726668201E-3</v>
      </c>
      <c r="EF12" s="3">
        <v>3.4657339029726807E-2</v>
      </c>
      <c r="EG12" s="3">
        <v>5.109433780405101E-2</v>
      </c>
      <c r="EH12" s="3">
        <v>-1.329135042657179E-3</v>
      </c>
      <c r="EI12" s="3">
        <v>-3.2674399443190949E-2</v>
      </c>
      <c r="EJ12" s="3">
        <v>-6.1952778208385753E-2</v>
      </c>
      <c r="EK12" s="3">
        <v>-3.3894458360173231E-3</v>
      </c>
      <c r="EL12" s="3">
        <v>-2.611784667194177E-2</v>
      </c>
      <c r="EM12">
        <f t="shared" ref="EM12:EM24" si="11">AVERAGE(C12:EL12)</f>
        <v>1.4783409970645343E-2</v>
      </c>
      <c r="EN12">
        <f t="shared" ref="EN12:EN25" si="12">STDEV(C12:EL12)</f>
        <v>3.3977003318800054E-2</v>
      </c>
      <c r="EO12">
        <f t="shared" ref="EO12:EO25" si="13">EM12/EN12</f>
        <v>0.43510046580433509</v>
      </c>
    </row>
    <row r="13" spans="1:145" x14ac:dyDescent="0.3">
      <c r="A13" s="18">
        <v>20</v>
      </c>
      <c r="B13" s="18">
        <f t="shared" si="10"/>
        <v>53</v>
      </c>
      <c r="C13" s="3">
        <v>9.852463657124208E-2</v>
      </c>
      <c r="D13" s="3">
        <v>0.107705824850288</v>
      </c>
      <c r="E13" s="3">
        <v>3.4964969850274058E-2</v>
      </c>
      <c r="F13" s="3">
        <v>-4.852601939912235E-2</v>
      </c>
      <c r="G13" s="3">
        <v>3.9240173896955013E-2</v>
      </c>
      <c r="H13" s="3">
        <v>3.7260766695094892E-2</v>
      </c>
      <c r="I13" s="3">
        <v>3.3098853846101083E-2</v>
      </c>
      <c r="J13" s="3">
        <v>-5.7759742215732126E-3</v>
      </c>
      <c r="K13" s="3">
        <v>-6.3423371881913184E-3</v>
      </c>
      <c r="L13" s="3">
        <v>-2.8435091454560649E-2</v>
      </c>
      <c r="M13" s="3">
        <v>-4.102786912005392E-3</v>
      </c>
      <c r="N13" s="3">
        <v>9.365399079699771E-2</v>
      </c>
      <c r="O13" s="3">
        <v>8.2273057429135318E-3</v>
      </c>
      <c r="P13" s="3">
        <v>-4.2232874028975617E-3</v>
      </c>
      <c r="Q13" s="3">
        <v>2.2935339950687628E-2</v>
      </c>
      <c r="R13" s="3">
        <v>3.251400913332371E-2</v>
      </c>
      <c r="S13" s="3">
        <v>-2.0112650974317119E-2</v>
      </c>
      <c r="T13" s="3">
        <v>-2.838481310665688E-2</v>
      </c>
      <c r="U13" s="3">
        <v>-3.5982383265285557E-2</v>
      </c>
      <c r="V13" s="3">
        <v>4.4911952643429988E-2</v>
      </c>
      <c r="W13" s="3">
        <v>3.3531329935540248E-2</v>
      </c>
      <c r="X13" s="3">
        <v>3.7493048928294102E-2</v>
      </c>
      <c r="Y13" s="3">
        <v>-1.139832676946002E-2</v>
      </c>
      <c r="Z13" s="3">
        <v>4.4794883287159117E-2</v>
      </c>
      <c r="AA13" s="3">
        <v>-1.7115793160048839E-2</v>
      </c>
      <c r="AB13" s="3">
        <v>2.6793516049065491E-2</v>
      </c>
      <c r="AC13" s="3">
        <v>1.843099097147707E-2</v>
      </c>
      <c r="AD13" s="3">
        <v>1.1439373035358981E-2</v>
      </c>
      <c r="AE13" s="3">
        <v>-3.2107513332140639E-2</v>
      </c>
      <c r="AF13" s="3">
        <v>3.5384614636211183E-2</v>
      </c>
      <c r="AG13" s="3">
        <v>4.709562464585109E-2</v>
      </c>
      <c r="AH13" s="3">
        <v>2.7336923682959188E-2</v>
      </c>
      <c r="AI13" s="3">
        <v>2.6653312048968071E-2</v>
      </c>
      <c r="AJ13" s="3">
        <v>1.8581093787995322E-2</v>
      </c>
      <c r="AK13" s="3">
        <v>1.746985829254788E-2</v>
      </c>
      <c r="AL13" s="3">
        <v>1.918221950322636E-2</v>
      </c>
      <c r="AM13" s="3">
        <v>3.7595308862702279E-2</v>
      </c>
      <c r="AN13" s="3">
        <v>0.1016671708751387</v>
      </c>
      <c r="AO13" s="3">
        <v>2.8383241005009451E-2</v>
      </c>
      <c r="AP13" s="3">
        <v>-3.3504171501353333E-2</v>
      </c>
      <c r="AQ13" s="3">
        <v>-6.2050527004022934E-3</v>
      </c>
      <c r="AR13" s="3">
        <v>-1.8742828532572881E-2</v>
      </c>
      <c r="AS13" s="3">
        <v>4.5224214635827313E-2</v>
      </c>
      <c r="AT13" s="3">
        <v>3.0531197956891621E-2</v>
      </c>
      <c r="AU13" s="3">
        <v>5.591291970410852E-2</v>
      </c>
      <c r="AV13" s="3">
        <v>6.6072925536046611E-3</v>
      </c>
      <c r="AW13" s="3">
        <v>2.347840353275225E-2</v>
      </c>
      <c r="AX13" s="3">
        <v>1.227024607863403E-2</v>
      </c>
      <c r="AY13" s="3">
        <v>-1.000794452736169E-2</v>
      </c>
      <c r="AZ13" s="3">
        <v>2.420665633373301E-2</v>
      </c>
      <c r="BA13" s="3">
        <v>8.4311680814403545E-2</v>
      </c>
      <c r="BB13" s="3">
        <v>1.332695114997285E-2</v>
      </c>
      <c r="BC13" s="3">
        <v>4.4526549965896098E-3</v>
      </c>
      <c r="BD13" s="3">
        <v>8.3879690176449622E-3</v>
      </c>
      <c r="BE13" s="3">
        <v>-1.525432879095071E-2</v>
      </c>
      <c r="BF13" s="3">
        <v>1.9995467944245719E-2</v>
      </c>
      <c r="BG13" s="3">
        <v>3.8114878507357799E-2</v>
      </c>
      <c r="BH13" s="3">
        <v>3.7954668397897851E-2</v>
      </c>
      <c r="BI13" s="3">
        <v>4.9555215658388968E-2</v>
      </c>
      <c r="BJ13" s="3">
        <v>6.6958725046986738E-3</v>
      </c>
      <c r="BK13" s="3">
        <v>-1.9466712955859649E-2</v>
      </c>
      <c r="BL13" s="3">
        <v>3.4032351937275288E-2</v>
      </c>
      <c r="BM13" s="3">
        <v>-1.9528059105041559E-2</v>
      </c>
      <c r="BN13" s="3">
        <v>2.8560784668017242E-3</v>
      </c>
      <c r="BO13" s="3">
        <v>9.6707566458631086E-3</v>
      </c>
      <c r="BP13" s="3">
        <v>-2.54716065929259E-2</v>
      </c>
      <c r="BQ13" s="3">
        <v>4.5028528655253003E-2</v>
      </c>
      <c r="BR13" s="3">
        <v>4.6600405987451667E-2</v>
      </c>
      <c r="BS13" s="3">
        <v>-7.0313426813156388E-3</v>
      </c>
      <c r="BT13" s="3">
        <v>-1.2339942568194311E-2</v>
      </c>
      <c r="BU13" s="3">
        <v>-1.6751249034287902E-2</v>
      </c>
      <c r="BV13" s="3">
        <v>1.5687544510816789E-2</v>
      </c>
      <c r="BW13" s="3">
        <v>-7.2247425210407348E-2</v>
      </c>
      <c r="BX13" s="3">
        <v>2.2319446591241819E-2</v>
      </c>
      <c r="BY13" s="3">
        <v>-8.8724920103607413E-2</v>
      </c>
      <c r="BZ13" s="3">
        <v>4.3999484759651347E-2</v>
      </c>
      <c r="CA13" s="3">
        <v>6.8186214218399627E-3</v>
      </c>
      <c r="CB13" s="3">
        <v>1.1108062187218379E-3</v>
      </c>
      <c r="CC13" s="3">
        <v>2.3638592771056462E-2</v>
      </c>
      <c r="CD13" s="3">
        <v>7.0773841107114793E-2</v>
      </c>
      <c r="CE13" s="3">
        <v>0.1016043797560796</v>
      </c>
      <c r="CF13" s="3">
        <v>2.938448436271458E-2</v>
      </c>
      <c r="CG13" s="3">
        <v>9.1636220373699645E-3</v>
      </c>
      <c r="CH13" s="3">
        <v>6.2007258368206093E-2</v>
      </c>
      <c r="CI13" s="3">
        <v>-2.5225991456288191E-2</v>
      </c>
      <c r="CJ13" s="3">
        <v>-3.216027693422132E-2</v>
      </c>
      <c r="CK13" s="3">
        <v>2.279741213560214E-2</v>
      </c>
      <c r="CL13" s="3">
        <v>0.14150511265488319</v>
      </c>
      <c r="CM13" s="3">
        <v>-5.3294363577273553E-2</v>
      </c>
      <c r="CN13" s="3">
        <v>-2.4108565036818779E-2</v>
      </c>
      <c r="CO13" s="3">
        <v>-6.8349032945798069E-2</v>
      </c>
      <c r="CP13" s="3">
        <v>7.7702277780857684E-2</v>
      </c>
      <c r="CQ13" s="3">
        <v>2.5451267938551441E-2</v>
      </c>
      <c r="CR13" s="3">
        <v>1.7590125411319651E-3</v>
      </c>
      <c r="CS13" s="3">
        <v>-1.6965096136857941E-2</v>
      </c>
      <c r="CT13" s="3">
        <v>3.2823496700613068E-2</v>
      </c>
      <c r="CU13" s="3">
        <v>2.2486455488214509E-2</v>
      </c>
      <c r="CV13" s="3">
        <v>1.5889460991007489E-2</v>
      </c>
      <c r="CW13" s="3">
        <v>6.1893570888398482E-3</v>
      </c>
      <c r="CX13" s="3">
        <v>5.6877208534113308E-2</v>
      </c>
      <c r="CY13" s="3">
        <v>2.2531173726869889E-2</v>
      </c>
      <c r="CZ13" s="3">
        <v>0.12752101596676171</v>
      </c>
      <c r="DA13" s="3">
        <v>3.543079478911608E-2</v>
      </c>
      <c r="DB13" s="3">
        <v>8.8953239349386051E-2</v>
      </c>
      <c r="DC13" s="3">
        <v>4.2510703744082771E-2</v>
      </c>
      <c r="DD13" s="3">
        <v>-4.2848291102421193E-2</v>
      </c>
      <c r="DE13" s="3">
        <v>-3.1287481287300432E-2</v>
      </c>
      <c r="DF13" s="3">
        <v>8.3799459046846769E-2</v>
      </c>
      <c r="DG13" s="3">
        <v>-4.7283661833551337E-2</v>
      </c>
      <c r="DH13" s="3">
        <v>3.461466087356134E-2</v>
      </c>
      <c r="DI13" s="3">
        <v>-1.3691056178331E-3</v>
      </c>
      <c r="DJ13" s="3">
        <v>2.9305865564447389E-2</v>
      </c>
      <c r="DK13" s="3">
        <v>-3.3455013888648133E-2</v>
      </c>
      <c r="DL13" s="3">
        <v>3.6911553647873921E-2</v>
      </c>
      <c r="DM13" s="3">
        <v>-1.5752040956878061E-2</v>
      </c>
      <c r="DN13" s="3">
        <v>5.1475394174749348E-2</v>
      </c>
      <c r="DO13" s="3">
        <v>2.7399608100576432E-2</v>
      </c>
      <c r="DP13" s="3">
        <v>2.8753300658456622E-2</v>
      </c>
      <c r="DQ13" s="3">
        <v>-1.0064778166262431E-2</v>
      </c>
      <c r="DR13" s="3">
        <v>2.109961848015322E-2</v>
      </c>
      <c r="DS13" s="3">
        <v>3.7889277055950882E-2</v>
      </c>
      <c r="DT13" s="3">
        <v>1.0754427571697891E-2</v>
      </c>
      <c r="DU13" s="3">
        <v>-1.7963094411858629E-2</v>
      </c>
      <c r="DV13" s="3">
        <v>3.5869875359128771E-2</v>
      </c>
      <c r="DW13" s="3">
        <v>4.4807852934052587E-2</v>
      </c>
      <c r="DX13" s="3">
        <v>-4.3266530538307368E-2</v>
      </c>
      <c r="DY13" s="3">
        <v>6.1482075774946229E-2</v>
      </c>
      <c r="DZ13" s="3">
        <v>2.3758816591980491E-2</v>
      </c>
      <c r="EA13" s="3">
        <v>5.6621634410506543E-2</v>
      </c>
      <c r="EB13" s="3">
        <v>-1.9879045060744501E-2</v>
      </c>
      <c r="EC13" s="3">
        <v>1.696937975900659E-2</v>
      </c>
      <c r="ED13" s="3">
        <v>-5.1020147661806112E-2</v>
      </c>
      <c r="EE13" s="3">
        <v>-1.0711401854244041E-2</v>
      </c>
      <c r="EF13" s="3">
        <v>3.2685575397904738E-2</v>
      </c>
      <c r="EG13" s="3">
        <v>4.8350336989186962E-2</v>
      </c>
      <c r="EH13" s="3">
        <v>-1.8416856280731361E-2</v>
      </c>
      <c r="EI13" s="3">
        <v>-5.8633050937437772E-2</v>
      </c>
      <c r="EJ13" s="3">
        <v>-7.7741208291135844E-2</v>
      </c>
      <c r="EK13" s="3">
        <v>-1.7994689566764061E-2</v>
      </c>
      <c r="EL13" s="3">
        <v>-3.062983547838425E-2</v>
      </c>
      <c r="EM13">
        <f t="shared" si="11"/>
        <v>1.526691005869981E-2</v>
      </c>
      <c r="EN13">
        <f t="shared" si="12"/>
        <v>4.0533786898501033E-2</v>
      </c>
      <c r="EO13">
        <f t="shared" si="13"/>
        <v>0.37664652693144718</v>
      </c>
    </row>
    <row r="14" spans="1:145" x14ac:dyDescent="0.3">
      <c r="A14" s="18">
        <v>50</v>
      </c>
      <c r="B14" s="18">
        <f t="shared" si="10"/>
        <v>21</v>
      </c>
      <c r="C14" s="3">
        <v>0.11903240813560791</v>
      </c>
      <c r="D14" s="3">
        <v>0.1338050528241421</v>
      </c>
      <c r="E14" s="3">
        <v>7.0584121146395409E-3</v>
      </c>
      <c r="F14" s="3">
        <v>-1.4904488056636E-2</v>
      </c>
      <c r="G14" s="3">
        <v>0.12438217591705759</v>
      </c>
      <c r="H14" s="3">
        <v>5.0968347567974762E-2</v>
      </c>
      <c r="I14" s="3">
        <v>6.618543034895881E-2</v>
      </c>
      <c r="J14" s="3">
        <v>-2.1964773693619329E-2</v>
      </c>
      <c r="K14" s="3">
        <v>4.4675926443119823E-2</v>
      </c>
      <c r="L14" s="3">
        <v>-8.8288764214464448E-3</v>
      </c>
      <c r="M14" s="3">
        <v>1.0912627926869201E-2</v>
      </c>
      <c r="N14" s="3">
        <v>0.15027518623804939</v>
      </c>
      <c r="O14" s="3">
        <v>7.676664270022694E-3</v>
      </c>
      <c r="P14" s="3">
        <v>5.3630920727046547E-3</v>
      </c>
      <c r="Q14" s="3">
        <v>6.1803047538942252E-2</v>
      </c>
      <c r="R14" s="3">
        <v>6.0740558316656403E-2</v>
      </c>
      <c r="S14" s="3">
        <v>-4.09939090135989E-3</v>
      </c>
      <c r="T14" s="3">
        <v>-4.2177366567701532E-2</v>
      </c>
      <c r="U14" s="3">
        <v>-5.3039025811121188E-2</v>
      </c>
      <c r="V14" s="3">
        <v>3.0781054455128739E-2</v>
      </c>
      <c r="W14" s="3">
        <v>-1.01171999064637E-2</v>
      </c>
      <c r="X14" s="3">
        <v>7.7950147525174124E-2</v>
      </c>
      <c r="Y14" s="3">
        <v>-3.422085029035031E-2</v>
      </c>
      <c r="Z14" s="3">
        <v>3.4301476513535871E-2</v>
      </c>
      <c r="AA14" s="3">
        <v>-3.4518054928751873E-2</v>
      </c>
      <c r="AB14" s="3">
        <v>3.1670904525415287E-2</v>
      </c>
      <c r="AC14" s="3">
        <v>3.5322071133209128E-2</v>
      </c>
      <c r="AD14" s="3">
        <v>-6.16996634375689E-3</v>
      </c>
      <c r="AE14" s="3">
        <v>6.1409788444556574E-3</v>
      </c>
      <c r="AF14" s="3">
        <v>3.0999262166371059E-2</v>
      </c>
      <c r="AG14" s="3">
        <v>2.6087111941094029E-2</v>
      </c>
      <c r="AH14" s="3">
        <v>2.2119712526189848E-2</v>
      </c>
      <c r="AI14" s="3">
        <v>4.6651246775271563E-2</v>
      </c>
      <c r="AJ14" s="3">
        <v>2.5266738788262161E-2</v>
      </c>
      <c r="AK14" s="3">
        <v>5.0004772053863722E-2</v>
      </c>
      <c r="AL14" s="3">
        <v>1.01407808227099E-2</v>
      </c>
      <c r="AM14" s="3">
        <v>2.9022449174783169E-2</v>
      </c>
      <c r="AN14" s="3">
        <v>9.9087960976321623E-2</v>
      </c>
      <c r="AO14" s="3">
        <v>2.2741516191210721E-2</v>
      </c>
      <c r="AP14" s="3">
        <v>-5.0605286926482397E-2</v>
      </c>
      <c r="AQ14" s="3">
        <v>7.6733793008916893E-3</v>
      </c>
      <c r="AR14" s="3">
        <v>-3.8022287703279099E-3</v>
      </c>
      <c r="AS14" s="3">
        <v>2.282179261951061E-2</v>
      </c>
      <c r="AT14" s="3">
        <v>9.8036464116050218E-3</v>
      </c>
      <c r="AU14" s="3">
        <v>3.1228059140868219E-2</v>
      </c>
      <c r="AV14" s="3">
        <v>-8.4864575674803468E-3</v>
      </c>
      <c r="AW14" s="3">
        <v>3.2844804427537573E-2</v>
      </c>
      <c r="AX14" s="3">
        <v>5.2684459779653393E-2</v>
      </c>
      <c r="AY14" s="3">
        <v>-3.8999975335120281E-3</v>
      </c>
      <c r="AZ14" s="3">
        <v>2.7858939329337629E-2</v>
      </c>
      <c r="BA14" s="3">
        <v>8.1495188329732404E-2</v>
      </c>
      <c r="BB14" s="3">
        <v>4.8763139176207317E-2</v>
      </c>
      <c r="BC14" s="3">
        <v>2.492634150505646E-2</v>
      </c>
      <c r="BD14" s="3">
        <v>1.3890328285467719E-2</v>
      </c>
      <c r="BE14" s="3">
        <v>-3.025932349945042E-2</v>
      </c>
      <c r="BF14" s="3">
        <v>3.4030426883745739E-2</v>
      </c>
      <c r="BG14" s="3">
        <v>1.2642681953822061E-3</v>
      </c>
      <c r="BH14" s="3">
        <v>4.5026562655074709E-3</v>
      </c>
      <c r="BI14" s="3">
        <v>6.6379399591171118E-2</v>
      </c>
      <c r="BJ14" s="3">
        <v>2.4805470177477751E-3</v>
      </c>
      <c r="BK14" s="3">
        <v>1.230361209607189E-2</v>
      </c>
      <c r="BL14" s="3">
        <v>3.5492080063515778E-2</v>
      </c>
      <c r="BM14" s="3">
        <v>-1.637092147217678E-2</v>
      </c>
      <c r="BN14" s="3">
        <v>1.5503162107692141E-2</v>
      </c>
      <c r="BO14" s="3">
        <v>-1.6661513239061669E-2</v>
      </c>
      <c r="BP14" s="3">
        <v>1.8470008369599149E-2</v>
      </c>
      <c r="BQ14" s="3">
        <v>3.4953091006489349E-2</v>
      </c>
      <c r="BR14" s="3">
        <v>5.2252261749745253E-2</v>
      </c>
      <c r="BS14" s="3">
        <v>-2.9470523811744458E-2</v>
      </c>
      <c r="BT14" s="3">
        <v>-2.9970730764423428E-2</v>
      </c>
      <c r="BU14" s="3">
        <v>-3.2080047422638668E-2</v>
      </c>
      <c r="BV14" s="3">
        <v>3.1323525870015768E-3</v>
      </c>
      <c r="BW14" s="3">
        <v>-0.14766247488026399</v>
      </c>
      <c r="BX14" s="3">
        <v>3.7964245788128521E-2</v>
      </c>
      <c r="BY14" s="3">
        <v>-9.9610139769357509E-2</v>
      </c>
      <c r="BZ14" s="3">
        <v>7.8138998634319862E-2</v>
      </c>
      <c r="CA14" s="3">
        <v>-4.8601703577864164E-3</v>
      </c>
      <c r="CB14" s="3">
        <v>5.5308830805327093E-2</v>
      </c>
      <c r="CC14" s="3">
        <v>7.4570510489627762E-2</v>
      </c>
      <c r="CD14" s="3">
        <v>6.0062890745968517E-2</v>
      </c>
      <c r="CE14" s="3">
        <v>9.7206049140192791E-2</v>
      </c>
      <c r="CF14" s="3">
        <v>2.984438877302795E-2</v>
      </c>
      <c r="CG14" s="3">
        <v>1.0153263363853939E-2</v>
      </c>
      <c r="CH14" s="3">
        <v>0.1122394911991537</v>
      </c>
      <c r="CI14" s="3">
        <v>-8.0415386696114671E-2</v>
      </c>
      <c r="CJ14" s="3">
        <v>1.4442041940200941E-2</v>
      </c>
      <c r="CK14" s="3">
        <v>2.4866773635523001E-2</v>
      </c>
      <c r="CL14" s="3">
        <v>0.1428068578670475</v>
      </c>
      <c r="CM14" s="3">
        <v>-5.9571793014989473E-2</v>
      </c>
      <c r="CN14" s="3">
        <v>2.2243335172835959E-3</v>
      </c>
      <c r="CO14" s="3">
        <v>-0.1018074925019589</v>
      </c>
      <c r="CP14" s="3">
        <v>9.1388887188528861E-2</v>
      </c>
      <c r="CQ14" s="3">
        <v>2.010757454487757E-2</v>
      </c>
      <c r="CR14" s="3">
        <v>2.4130149048062231E-2</v>
      </c>
      <c r="CS14" s="3">
        <v>-6.6594950881105355E-2</v>
      </c>
      <c r="CT14" s="3">
        <v>4.9585106491111093E-2</v>
      </c>
      <c r="CU14" s="3">
        <v>4.8907090178540613E-2</v>
      </c>
      <c r="CV14" s="3">
        <v>3.6376042345567447E-2</v>
      </c>
      <c r="CW14" s="3">
        <v>3.8192375766284613E-2</v>
      </c>
      <c r="CX14" s="3">
        <v>9.8982550959310869E-2</v>
      </c>
      <c r="CY14" s="3">
        <v>1.610605655860468E-2</v>
      </c>
      <c r="CZ14" s="3">
        <v>0.17528384223262891</v>
      </c>
      <c r="DA14" s="3">
        <v>3.1258180415267262E-2</v>
      </c>
      <c r="DB14" s="3">
        <v>6.54262011376993E-2</v>
      </c>
      <c r="DC14" s="3">
        <v>4.6954613795186888E-2</v>
      </c>
      <c r="DD14" s="3">
        <v>-3.0543502477902659E-2</v>
      </c>
      <c r="DE14" s="3">
        <v>-1.7963574357808949E-2</v>
      </c>
      <c r="DF14" s="3">
        <v>7.8838608638902574E-2</v>
      </c>
      <c r="DG14" s="3">
        <v>-4.0874560898143612E-2</v>
      </c>
      <c r="DH14" s="3">
        <v>7.8920280213764904E-2</v>
      </c>
      <c r="DI14" s="3">
        <v>-2.77409852150458E-2</v>
      </c>
      <c r="DJ14" s="3">
        <v>2.8723116681476368E-2</v>
      </c>
      <c r="DK14" s="3">
        <v>-8.529232220787844E-4</v>
      </c>
      <c r="DL14" s="3">
        <v>1.8926185572480742E-2</v>
      </c>
      <c r="DM14" s="3">
        <v>-1.1585082082744331E-2</v>
      </c>
      <c r="DN14" s="3">
        <v>1.6762379305912529E-2</v>
      </c>
      <c r="DO14" s="3">
        <v>1.616277548028577E-2</v>
      </c>
      <c r="DP14" s="3">
        <v>1.0715194895356441E-2</v>
      </c>
      <c r="DQ14" s="3">
        <v>-6.3026432122097456E-3</v>
      </c>
      <c r="DR14" s="3">
        <v>3.6601876576302229E-3</v>
      </c>
      <c r="DS14" s="3">
        <v>2.0677303949522229E-2</v>
      </c>
      <c r="DT14" s="3">
        <v>-2.3204675421866008E-3</v>
      </c>
      <c r="DU14" s="3">
        <v>-6.3679610034574924E-2</v>
      </c>
      <c r="DV14" s="3">
        <v>4.0232799203120798E-2</v>
      </c>
      <c r="DW14" s="3">
        <v>4.6492586132996373E-2</v>
      </c>
      <c r="DX14" s="3">
        <v>-7.6178187477380727E-2</v>
      </c>
      <c r="DY14" s="3">
        <v>8.3442635966886974E-2</v>
      </c>
      <c r="DZ14" s="3">
        <v>-1.4760373742658491E-2</v>
      </c>
      <c r="EA14" s="3">
        <v>6.2477122304851647E-2</v>
      </c>
      <c r="EB14" s="3">
        <v>-6.0484350857091647E-2</v>
      </c>
      <c r="EC14" s="3">
        <v>1.9101578249036109E-2</v>
      </c>
      <c r="ED14" s="3">
        <v>-6.4510713108252835E-2</v>
      </c>
      <c r="EE14" s="3">
        <v>-7.6632686808824017E-3</v>
      </c>
      <c r="EF14" s="3">
        <v>3.5219261692728682E-2</v>
      </c>
      <c r="EG14" s="3">
        <v>4.9753137425037022E-2</v>
      </c>
      <c r="EH14" s="3">
        <v>-1.9999985829556061E-2</v>
      </c>
      <c r="EI14" s="3">
        <v>-3.6700917114370457E-2</v>
      </c>
      <c r="EJ14" s="3">
        <v>-4.9940148408119847E-2</v>
      </c>
      <c r="EK14" s="3">
        <v>-2.8918334245138549E-2</v>
      </c>
      <c r="EL14" s="3">
        <v>-4.9849351055899507E-2</v>
      </c>
      <c r="EM14">
        <f t="shared" si="11"/>
        <v>1.8039393905046192E-2</v>
      </c>
      <c r="EN14">
        <f t="shared" si="12"/>
        <v>5.1008810872255325E-2</v>
      </c>
      <c r="EO14">
        <f t="shared" si="13"/>
        <v>0.35365250819556282</v>
      </c>
    </row>
    <row r="15" spans="1:145" x14ac:dyDescent="0.3">
      <c r="A15" s="18">
        <v>110</v>
      </c>
      <c r="B15" s="18">
        <f t="shared" si="10"/>
        <v>10</v>
      </c>
      <c r="C15" s="3">
        <v>0.1718361289824826</v>
      </c>
      <c r="D15" s="3">
        <v>0.1617700939062979</v>
      </c>
      <c r="E15" s="3">
        <v>3.3183670238746348E-2</v>
      </c>
      <c r="F15" s="3">
        <v>-1.289891649373872E-3</v>
      </c>
      <c r="G15" s="3">
        <v>0.1641290550470878</v>
      </c>
      <c r="H15" s="3">
        <v>7.2395687381845625E-2</v>
      </c>
      <c r="I15" s="3">
        <v>7.3863426271210092E-2</v>
      </c>
      <c r="J15" s="3">
        <v>-7.293403449974388E-2</v>
      </c>
      <c r="K15" s="3">
        <v>5.3809628332251537E-2</v>
      </c>
      <c r="L15" s="3">
        <v>3.2822813450966583E-2</v>
      </c>
      <c r="M15" s="3">
        <v>-1.130740006810692E-2</v>
      </c>
      <c r="N15" s="3">
        <v>5.2712576336608787E-2</v>
      </c>
      <c r="O15" s="3">
        <v>1.6045032230403079E-2</v>
      </c>
      <c r="P15" s="3">
        <v>2.9031269683324212E-2</v>
      </c>
      <c r="Q15" s="3">
        <v>5.4108384411799007E-2</v>
      </c>
      <c r="R15" s="3">
        <v>0.15691182743968421</v>
      </c>
      <c r="S15" s="3">
        <v>3.5597380015569773E-2</v>
      </c>
      <c r="T15" s="3">
        <v>-7.3178184584969719E-2</v>
      </c>
      <c r="U15" s="3">
        <v>-9.5404026521725291E-2</v>
      </c>
      <c r="V15" s="3">
        <v>1.5464712378488409E-2</v>
      </c>
      <c r="W15" s="3">
        <v>-1.9577450097740329E-2</v>
      </c>
      <c r="X15" s="3">
        <v>8.9022687606802875E-2</v>
      </c>
      <c r="Y15" s="3">
        <v>-5.6367052173356288E-2</v>
      </c>
      <c r="Z15" s="3">
        <v>1.8047643950014888E-2</v>
      </c>
      <c r="AA15" s="3">
        <v>-4.9600712140941416E-3</v>
      </c>
      <c r="AB15" s="3">
        <v>5.3229728178275523E-2</v>
      </c>
      <c r="AC15" s="3">
        <v>1.137529678502189E-2</v>
      </c>
      <c r="AD15" s="3">
        <v>-2.0740852362779439E-2</v>
      </c>
      <c r="AE15" s="3">
        <v>-7.9954212397603808E-3</v>
      </c>
      <c r="AF15" s="3">
        <v>3.1234790475844071E-2</v>
      </c>
      <c r="AG15" s="3">
        <v>-1.8793651764778031E-2</v>
      </c>
      <c r="AH15" s="3">
        <v>-6.7967613477247762E-4</v>
      </c>
      <c r="AI15" s="3">
        <v>6.1385666332420118E-2</v>
      </c>
      <c r="AJ15" s="3">
        <v>2.7344333296420661E-2</v>
      </c>
      <c r="AK15" s="3">
        <v>2.2096204260514059E-2</v>
      </c>
      <c r="AL15" s="3">
        <v>3.8126555972877629E-3</v>
      </c>
      <c r="AM15" s="3">
        <v>5.1855838408004958E-2</v>
      </c>
      <c r="AN15" s="3">
        <v>9.8022366238476613E-2</v>
      </c>
      <c r="AO15" s="3">
        <v>1.346193207706948E-2</v>
      </c>
      <c r="AP15" s="3">
        <v>-5.9461221457579087E-2</v>
      </c>
      <c r="AQ15" s="3">
        <v>2.085201156631496E-2</v>
      </c>
      <c r="AR15" s="3">
        <v>-1.480695941343284E-2</v>
      </c>
      <c r="AS15" s="3">
        <v>3.5587176478792067E-2</v>
      </c>
      <c r="AT15" s="3">
        <v>-3.509645450878663E-3</v>
      </c>
      <c r="AU15" s="3">
        <v>2.5037281640084039E-2</v>
      </c>
      <c r="AV15" s="3">
        <v>-2.245719736895354E-2</v>
      </c>
      <c r="AW15" s="3">
        <v>3.4612749608509873E-2</v>
      </c>
      <c r="AX15" s="3">
        <v>9.8538912640412757E-2</v>
      </c>
      <c r="AY15" s="3">
        <v>-3.489795247519072E-3</v>
      </c>
      <c r="AZ15" s="3">
        <v>4.9545281532826523E-2</v>
      </c>
      <c r="BA15" s="3">
        <v>4.7636407696511757E-2</v>
      </c>
      <c r="BB15" s="3">
        <v>1.9094034056838509E-2</v>
      </c>
      <c r="BC15" s="3">
        <v>2.465391204495096E-2</v>
      </c>
      <c r="BD15" s="3">
        <v>-2.3784886093404581E-3</v>
      </c>
      <c r="BE15" s="3">
        <v>-4.2086289849400993E-2</v>
      </c>
      <c r="BF15" s="3">
        <v>-1.6269590332701339E-2</v>
      </c>
      <c r="BG15" s="3">
        <v>-3.4498970668644768E-2</v>
      </c>
      <c r="BH15" s="3">
        <v>6.4820527748885332E-2</v>
      </c>
      <c r="BI15" s="3">
        <v>5.3351130991672643E-2</v>
      </c>
      <c r="BJ15" s="3">
        <v>2.4846802853416301E-2</v>
      </c>
      <c r="BK15" s="3">
        <v>2.2574410825600901E-3</v>
      </c>
      <c r="BL15" s="3">
        <v>1.950930568379582E-2</v>
      </c>
      <c r="BM15" s="3">
        <v>-3.6619690712511102E-2</v>
      </c>
      <c r="BN15" s="3">
        <v>3.2583399488306519E-2</v>
      </c>
      <c r="BO15" s="3">
        <v>-2.510541341145241E-2</v>
      </c>
      <c r="BP15" s="3">
        <v>3.8363189756117057E-2</v>
      </c>
      <c r="BQ15" s="3">
        <v>4.5891688361991263E-2</v>
      </c>
      <c r="BR15" s="3">
        <v>5.6611006111936493E-2</v>
      </c>
      <c r="BS15" s="3">
        <v>-2.0317119337745361E-2</v>
      </c>
      <c r="BT15" s="3">
        <v>-1.1378953448967241E-2</v>
      </c>
      <c r="BU15" s="3">
        <v>-4.3267927949926149E-2</v>
      </c>
      <c r="BV15" s="3">
        <v>3.3116045180799712E-2</v>
      </c>
      <c r="BW15" s="3">
        <v>-0.27841939711704539</v>
      </c>
      <c r="BX15" s="3">
        <v>2.1263686483222091E-2</v>
      </c>
      <c r="BY15" s="3">
        <v>-0.12712628761424821</v>
      </c>
      <c r="BZ15" s="3">
        <v>0.1180813897050135</v>
      </c>
      <c r="CA15" s="3">
        <v>-3.720514049399843E-4</v>
      </c>
      <c r="CB15" s="3">
        <v>8.9792206647002479E-2</v>
      </c>
      <c r="CC15" s="3">
        <v>2.8453799634874481E-2</v>
      </c>
      <c r="CD15" s="3">
        <v>0.14262571009287789</v>
      </c>
      <c r="CE15" s="3">
        <v>5.8078254026429521E-2</v>
      </c>
      <c r="CF15" s="3">
        <v>2.1794699062198698E-2</v>
      </c>
      <c r="CG15" s="3">
        <v>2.982611837841161E-2</v>
      </c>
      <c r="CH15" s="3">
        <v>0.19048358283068481</v>
      </c>
      <c r="CI15" s="3">
        <v>-4.6637809367250843E-2</v>
      </c>
      <c r="CJ15" s="3">
        <v>-3.0780331792337679E-2</v>
      </c>
      <c r="CK15" s="3">
        <v>4.8686826322615812E-2</v>
      </c>
      <c r="CL15" s="3">
        <v>0.13791344226587049</v>
      </c>
      <c r="CM15" s="3">
        <v>-3.5822879809603303E-2</v>
      </c>
      <c r="CN15" s="3">
        <v>-2.7610637215937511E-3</v>
      </c>
      <c r="CO15" s="3">
        <v>-9.2483192809322171E-2</v>
      </c>
      <c r="CP15" s="3">
        <v>9.6894702735501395E-2</v>
      </c>
      <c r="CQ15" s="3">
        <v>6.7653276149557087E-2</v>
      </c>
      <c r="CR15" s="3">
        <v>2.5559413066177251E-2</v>
      </c>
      <c r="CS15" s="3">
        <v>-6.1345885125473079E-2</v>
      </c>
      <c r="CT15" s="3">
        <v>-3.966618048255266E-3</v>
      </c>
      <c r="CU15" s="3">
        <v>5.5573118284131473E-2</v>
      </c>
      <c r="CV15" s="3">
        <v>4.8888897089302989E-2</v>
      </c>
      <c r="CW15" s="3">
        <v>3.05515730343692E-2</v>
      </c>
      <c r="CX15" s="3">
        <v>7.9218791965220081E-2</v>
      </c>
      <c r="CY15" s="3">
        <v>4.0784914556703397E-2</v>
      </c>
      <c r="CZ15" s="3">
        <v>0.2018149877699198</v>
      </c>
      <c r="DA15" s="3">
        <v>-1.7709648170525859E-2</v>
      </c>
      <c r="DB15" s="3">
        <v>5.5158524678914127E-2</v>
      </c>
      <c r="DC15" s="3">
        <v>2.6359113650607769E-2</v>
      </c>
      <c r="DD15" s="3">
        <v>-5.2967703701371341E-2</v>
      </c>
      <c r="DE15" s="3">
        <v>9.592295115637417E-5</v>
      </c>
      <c r="DF15" s="3">
        <v>0.1016466546236395</v>
      </c>
      <c r="DG15" s="3">
        <v>-5.4563268587868197E-2</v>
      </c>
      <c r="DH15" s="3">
        <v>0.13151121241714619</v>
      </c>
      <c r="DI15" s="3">
        <v>-1.6288350424352751E-2</v>
      </c>
      <c r="DJ15" s="3">
        <v>5.2022424838235708E-2</v>
      </c>
      <c r="DK15" s="3">
        <v>-5.7082598739129631E-2</v>
      </c>
      <c r="DL15" s="3">
        <v>4.2966834655113938E-2</v>
      </c>
      <c r="DM15" s="3">
        <v>-5.3952396460883532E-2</v>
      </c>
      <c r="DN15" s="3">
        <v>8.2683975645694574E-3</v>
      </c>
      <c r="DO15" s="3">
        <v>3.1639146099234891E-2</v>
      </c>
      <c r="DP15" s="3">
        <v>2.1033257123904921E-2</v>
      </c>
      <c r="DQ15" s="3">
        <v>1.0875024677325861E-2</v>
      </c>
      <c r="DR15" s="3">
        <v>8.1386457534443971E-3</v>
      </c>
      <c r="DS15" s="3">
        <v>2.0102871458210499E-2</v>
      </c>
      <c r="DT15" s="3">
        <v>-5.3811578105942767E-3</v>
      </c>
      <c r="DU15" s="3">
        <v>-6.6420052172324967E-2</v>
      </c>
      <c r="DV15" s="3">
        <v>8.4089147986685792E-2</v>
      </c>
      <c r="DW15" s="3">
        <v>4.5189660643767032E-2</v>
      </c>
      <c r="DX15" s="3">
        <v>-9.2960517941377802E-2</v>
      </c>
      <c r="DY15" s="3">
        <v>6.8481255435678012E-2</v>
      </c>
      <c r="DZ15" s="3">
        <v>-1.484146174502371E-4</v>
      </c>
      <c r="EA15" s="3">
        <v>4.4397591948781047E-3</v>
      </c>
      <c r="EB15" s="3">
        <v>-7.4599339541422213E-2</v>
      </c>
      <c r="EC15" s="3">
        <v>1.341953169367666E-2</v>
      </c>
      <c r="ED15" s="3">
        <v>-9.093088117675871E-2</v>
      </c>
      <c r="EE15" s="3">
        <v>5.3756213477623438E-3</v>
      </c>
      <c r="EF15" s="3">
        <v>4.474163615171918E-2</v>
      </c>
      <c r="EG15" s="3">
        <v>4.3150904383901428E-2</v>
      </c>
      <c r="EH15" s="3">
        <v>2.3386236717123289E-2</v>
      </c>
      <c r="EI15" s="3">
        <v>-6.2493030690846517E-2</v>
      </c>
      <c r="EJ15" s="3">
        <v>-5.2813568083204858E-2</v>
      </c>
      <c r="EK15" s="3">
        <v>-4.1933161940353819E-2</v>
      </c>
      <c r="EL15" s="3">
        <v>-0.10520029453656631</v>
      </c>
      <c r="EM15">
        <f t="shared" si="11"/>
        <v>1.7596253078636177E-2</v>
      </c>
      <c r="EN15">
        <f t="shared" si="12"/>
        <v>6.5228724799494819E-2</v>
      </c>
      <c r="EO15">
        <f t="shared" si="13"/>
        <v>0.26976233450408427</v>
      </c>
    </row>
    <row r="16" spans="1:145" x14ac:dyDescent="0.3">
      <c r="A16" s="18">
        <v>120</v>
      </c>
      <c r="B16" s="18">
        <f t="shared" si="10"/>
        <v>9</v>
      </c>
      <c r="C16" s="3">
        <v>0.17251205914331871</v>
      </c>
      <c r="D16" s="3">
        <v>0.16221927871216679</v>
      </c>
      <c r="E16" s="3">
        <v>3.4429744060945018E-2</v>
      </c>
      <c r="F16" s="3">
        <v>1.0980054878470719E-2</v>
      </c>
      <c r="G16" s="3">
        <v>0.1553046135374011</v>
      </c>
      <c r="H16" s="3">
        <v>6.6081220955189937E-2</v>
      </c>
      <c r="I16" s="3">
        <v>9.2572439075394503E-2</v>
      </c>
      <c r="J16" s="3">
        <v>-9.8866221275113103E-2</v>
      </c>
      <c r="K16" s="3">
        <v>5.9131065446547788E-2</v>
      </c>
      <c r="L16" s="3">
        <v>1.269584031288787E-2</v>
      </c>
      <c r="M16" s="3">
        <v>-2.7385236600480328E-3</v>
      </c>
      <c r="N16" s="3">
        <v>4.9055039296946157E-2</v>
      </c>
      <c r="O16" s="3">
        <v>1.387355068384457E-2</v>
      </c>
      <c r="P16" s="3">
        <v>2.075431273261448E-2</v>
      </c>
      <c r="Q16" s="3">
        <v>6.8740296108169507E-2</v>
      </c>
      <c r="R16" s="3">
        <v>0.16368628522771539</v>
      </c>
      <c r="S16" s="3">
        <v>5.9641507088098053E-2</v>
      </c>
      <c r="T16" s="3">
        <v>-7.095115792404294E-2</v>
      </c>
      <c r="U16" s="3">
        <v>-0.1007224478039597</v>
      </c>
      <c r="V16" s="3">
        <v>2.3042067912035561E-2</v>
      </c>
      <c r="W16" s="3">
        <v>-4.9226737437242332E-2</v>
      </c>
      <c r="X16" s="3">
        <v>7.633203869974077E-2</v>
      </c>
      <c r="Y16" s="3">
        <v>-3.8366694352445628E-2</v>
      </c>
      <c r="Z16" s="3">
        <v>2.1860019163139531E-2</v>
      </c>
      <c r="AA16" s="3">
        <v>1.260578736273769E-3</v>
      </c>
      <c r="AB16" s="3">
        <v>5.4092767522888663E-2</v>
      </c>
      <c r="AC16" s="3">
        <v>2.0691588295440759E-2</v>
      </c>
      <c r="AD16" s="3">
        <v>-1.704437424096187E-2</v>
      </c>
      <c r="AE16" s="3">
        <v>-2.3931426264672262E-3</v>
      </c>
      <c r="AF16" s="3">
        <v>3.7530358673751943E-2</v>
      </c>
      <c r="AG16" s="3">
        <v>-2.1369628525599569E-2</v>
      </c>
      <c r="AH16" s="3">
        <v>1.5292022806119999E-2</v>
      </c>
      <c r="AI16" s="3">
        <v>7.0992638793425475E-2</v>
      </c>
      <c r="AJ16" s="3">
        <v>3.5674848218260148E-2</v>
      </c>
      <c r="AK16" s="3">
        <v>1.544309706942386E-2</v>
      </c>
      <c r="AL16" s="3">
        <v>2.1530321919209158E-3</v>
      </c>
      <c r="AM16" s="3">
        <v>5.632451187330749E-2</v>
      </c>
      <c r="AN16" s="3">
        <v>0.1098517259612809</v>
      </c>
      <c r="AO16" s="3">
        <v>-1.428169767714142E-3</v>
      </c>
      <c r="AP16" s="3">
        <v>-6.738263647578327E-2</v>
      </c>
      <c r="AQ16" s="3">
        <v>2.865584578771619E-2</v>
      </c>
      <c r="AR16" s="3">
        <v>-1.435938096945491E-2</v>
      </c>
      <c r="AS16" s="3">
        <v>3.4824426897256573E-2</v>
      </c>
      <c r="AT16" s="3">
        <v>-3.6786369975029168E-2</v>
      </c>
      <c r="AU16" s="3">
        <v>2.2813605788959988E-2</v>
      </c>
      <c r="AV16" s="3">
        <v>-1.5727394837144821E-2</v>
      </c>
      <c r="AW16" s="3">
        <v>3.7990734033352923E-2</v>
      </c>
      <c r="AX16" s="3">
        <v>0.1171110795157632</v>
      </c>
      <c r="AY16" s="3">
        <v>-9.4680915696573401E-3</v>
      </c>
      <c r="AZ16" s="3">
        <v>5.867875314470198E-2</v>
      </c>
      <c r="BA16" s="3">
        <v>4.6604566192630287E-2</v>
      </c>
      <c r="BB16" s="3">
        <v>2.15155373843437E-2</v>
      </c>
      <c r="BC16" s="3">
        <v>3.4310567706760477E-2</v>
      </c>
      <c r="BD16" s="3">
        <v>-1.242821162679664E-2</v>
      </c>
      <c r="BE16" s="3">
        <v>-4.6908455146552258E-2</v>
      </c>
      <c r="BF16" s="3">
        <v>-1.831734083856168E-2</v>
      </c>
      <c r="BG16" s="3">
        <v>-3.2563468544997629E-2</v>
      </c>
      <c r="BH16" s="3">
        <v>9.1731794040741582E-2</v>
      </c>
      <c r="BI16" s="3">
        <v>5.096640211778479E-2</v>
      </c>
      <c r="BJ16" s="3">
        <v>9.8130525837000077E-3</v>
      </c>
      <c r="BK16" s="3">
        <v>1.309021914659754E-2</v>
      </c>
      <c r="BL16" s="3">
        <v>2.1865168438055031E-2</v>
      </c>
      <c r="BM16" s="3">
        <v>-2.212975801660556E-2</v>
      </c>
      <c r="BN16" s="3">
        <v>4.0166322954810353E-2</v>
      </c>
      <c r="BO16" s="3">
        <v>-2.7119835597566519E-2</v>
      </c>
      <c r="BP16" s="3">
        <v>1.8744169258270531E-2</v>
      </c>
      <c r="BQ16" s="3">
        <v>3.4858099527305141E-2</v>
      </c>
      <c r="BR16" s="3">
        <v>5.5529075662738743E-2</v>
      </c>
      <c r="BS16" s="3">
        <v>-2.1148113545038261E-2</v>
      </c>
      <c r="BT16" s="3">
        <v>-1.248556531504957E-2</v>
      </c>
      <c r="BU16" s="3">
        <v>-5.3813864132559591E-2</v>
      </c>
      <c r="BV16" s="3">
        <v>3.9965389892650777E-2</v>
      </c>
      <c r="BW16" s="3">
        <v>-0.30605547360717211</v>
      </c>
      <c r="BX16" s="3">
        <v>2.5582450172424349E-2</v>
      </c>
      <c r="BY16" s="3">
        <v>-0.14916552418839829</v>
      </c>
      <c r="BZ16" s="3">
        <v>0.12720164239357709</v>
      </c>
      <c r="CA16" s="3">
        <v>-3.8609377589574398E-4</v>
      </c>
      <c r="CB16" s="3">
        <v>9.0219959629922256E-2</v>
      </c>
      <c r="CC16" s="3">
        <v>3.5848501462682689E-2</v>
      </c>
      <c r="CD16" s="3">
        <v>0.1148521298952835</v>
      </c>
      <c r="CE16" s="3">
        <v>5.8259495498237238E-2</v>
      </c>
      <c r="CF16" s="3">
        <v>2.485352541963989E-2</v>
      </c>
      <c r="CG16" s="3">
        <v>4.0025550937810267E-2</v>
      </c>
      <c r="CH16" s="3">
        <v>0.2098092304358925</v>
      </c>
      <c r="CI16" s="3">
        <v>-6.2033298877911251E-2</v>
      </c>
      <c r="CJ16" s="3">
        <v>-2.7990580669339769E-2</v>
      </c>
      <c r="CK16" s="3">
        <v>-5.2152924768637116E-4</v>
      </c>
      <c r="CL16" s="3">
        <v>0.14678848228284089</v>
      </c>
      <c r="CM16" s="3">
        <v>-1.8151815916024251E-2</v>
      </c>
      <c r="CN16" s="3">
        <v>6.2402788716351791E-3</v>
      </c>
      <c r="CO16" s="3">
        <v>-0.11683163378229119</v>
      </c>
      <c r="CP16" s="3">
        <v>6.9082439959445019E-2</v>
      </c>
      <c r="CQ16" s="3">
        <v>7.0542647504732159E-2</v>
      </c>
      <c r="CR16" s="3">
        <v>1.9103404753868469E-2</v>
      </c>
      <c r="CS16" s="3">
        <v>-7.1940390238763183E-2</v>
      </c>
      <c r="CT16" s="3">
        <v>-1.040428906046633E-2</v>
      </c>
      <c r="CU16" s="3">
        <v>6.1202332572089048E-2</v>
      </c>
      <c r="CV16" s="3">
        <v>4.3333438479234113E-2</v>
      </c>
      <c r="CW16" s="3">
        <v>3.6990659256838698E-2</v>
      </c>
      <c r="CX16" s="3">
        <v>8.5593829162125559E-2</v>
      </c>
      <c r="CY16" s="3">
        <v>5.6896335327341577E-2</v>
      </c>
      <c r="CZ16" s="3">
        <v>0.19553760415256499</v>
      </c>
      <c r="DA16" s="3">
        <v>-1.5961474980898491E-2</v>
      </c>
      <c r="DB16" s="3">
        <v>6.1015276966342881E-2</v>
      </c>
      <c r="DC16" s="3">
        <v>3.8837769815355437E-2</v>
      </c>
      <c r="DD16" s="3">
        <v>-7.2618653114134943E-2</v>
      </c>
      <c r="DE16" s="3">
        <v>-6.2903934189637864E-3</v>
      </c>
      <c r="DF16" s="3">
        <v>0.11368532630575461</v>
      </c>
      <c r="DG16" s="3">
        <v>-6.0655036156382278E-2</v>
      </c>
      <c r="DH16" s="3">
        <v>0.1446591152928639</v>
      </c>
      <c r="DI16" s="3">
        <v>-2.896983202959796E-2</v>
      </c>
      <c r="DJ16" s="3">
        <v>4.9933132868193862E-2</v>
      </c>
      <c r="DK16" s="3">
        <v>-4.2972546437387717E-2</v>
      </c>
      <c r="DL16" s="3">
        <v>2.5590026536010259E-2</v>
      </c>
      <c r="DM16" s="3">
        <v>-6.0367163124222759E-2</v>
      </c>
      <c r="DN16" s="3">
        <v>7.933176601558671E-3</v>
      </c>
      <c r="DO16" s="3">
        <v>3.9036554664336823E-2</v>
      </c>
      <c r="DP16" s="3">
        <v>-3.5309869757746068E-3</v>
      </c>
      <c r="DQ16" s="3">
        <v>-3.8947060543786223E-2</v>
      </c>
      <c r="DR16" s="3">
        <v>6.9799840721611814E-3</v>
      </c>
      <c r="DS16" s="3">
        <v>2.0596912969055359E-2</v>
      </c>
      <c r="DT16" s="3">
        <v>-3.9457195688012697E-4</v>
      </c>
      <c r="DU16" s="3">
        <v>-6.6060853756402055E-2</v>
      </c>
      <c r="DV16" s="3">
        <v>9.3201761575341463E-2</v>
      </c>
      <c r="DW16" s="3">
        <v>3.9380704617687938E-2</v>
      </c>
      <c r="DX16" s="3">
        <v>-9.5291965767777695E-2</v>
      </c>
      <c r="DY16" s="3">
        <v>8.2975718377135688E-2</v>
      </c>
      <c r="DZ16" s="3">
        <v>-2.2088833063367459E-3</v>
      </c>
      <c r="EA16" s="3">
        <v>5.7931906671982144E-3</v>
      </c>
      <c r="EB16" s="3">
        <v>-6.733079401602865E-2</v>
      </c>
      <c r="EC16" s="3">
        <v>1.469070594728121E-2</v>
      </c>
      <c r="ED16" s="3">
        <v>-9.4496087736883283E-2</v>
      </c>
      <c r="EE16" s="3">
        <v>-8.4011183479398496E-5</v>
      </c>
      <c r="EF16" s="3">
        <v>5.562649444178551E-2</v>
      </c>
      <c r="EG16" s="3">
        <v>5.3426669342173057E-2</v>
      </c>
      <c r="EH16" s="3">
        <v>1.4422355612326311E-2</v>
      </c>
      <c r="EI16" s="3">
        <v>-6.2446072090879212E-2</v>
      </c>
      <c r="EJ16" s="3">
        <v>-7.1639224591176706E-2</v>
      </c>
      <c r="EK16" s="3">
        <v>-3.7818503177748063E-2</v>
      </c>
      <c r="EL16" s="3">
        <v>-0.12604674362530269</v>
      </c>
      <c r="EM16">
        <f t="shared" si="11"/>
        <v>1.6684608260951608E-2</v>
      </c>
      <c r="EN16">
        <f t="shared" si="12"/>
        <v>6.9662198869654302E-2</v>
      </c>
      <c r="EO16">
        <f t="shared" si="13"/>
        <v>0.23950734446626296</v>
      </c>
    </row>
    <row r="17" spans="1:145" x14ac:dyDescent="0.3">
      <c r="A17" s="18">
        <v>130</v>
      </c>
      <c r="B17" s="18">
        <f t="shared" si="10"/>
        <v>8</v>
      </c>
      <c r="C17" s="3">
        <v>0.17674929879964671</v>
      </c>
      <c r="D17" s="3">
        <v>0.16474544611831279</v>
      </c>
      <c r="E17" s="3">
        <v>5.1609168122868088E-2</v>
      </c>
      <c r="F17" s="3">
        <v>-4.2526933207962019E-2</v>
      </c>
      <c r="G17" s="3">
        <v>0.15859417879831819</v>
      </c>
      <c r="H17" s="3">
        <v>8.5319360812142461E-2</v>
      </c>
      <c r="I17" s="3">
        <v>0.1009392966330106</v>
      </c>
      <c r="J17" s="3">
        <v>-9.8023006333931448E-2</v>
      </c>
      <c r="K17" s="3">
        <v>5.8532567906649763E-2</v>
      </c>
      <c r="L17" s="3">
        <v>1.781318930650946E-2</v>
      </c>
      <c r="M17" s="3">
        <v>9.3459643771122529E-3</v>
      </c>
      <c r="N17" s="3">
        <v>6.9138166725199512E-2</v>
      </c>
      <c r="O17" s="3">
        <v>2.7945166430705649E-2</v>
      </c>
      <c r="P17" s="3">
        <v>2.863883136331739E-2</v>
      </c>
      <c r="Q17" s="3">
        <v>8.2957503863032661E-2</v>
      </c>
      <c r="R17" s="3">
        <v>0.17424259214403609</v>
      </c>
      <c r="S17" s="3">
        <v>0.1007682650786455</v>
      </c>
      <c r="T17" s="3">
        <v>-4.9711046908075797E-2</v>
      </c>
      <c r="U17" s="3">
        <v>-0.1034852503553902</v>
      </c>
      <c r="V17" s="3">
        <v>1.9118300927001631E-3</v>
      </c>
      <c r="W17" s="3">
        <v>-6.3132951729102355E-2</v>
      </c>
      <c r="X17" s="3">
        <v>6.9495010736407875E-2</v>
      </c>
      <c r="Y17" s="3">
        <v>-6.5004821978949384E-2</v>
      </c>
      <c r="Z17" s="3">
        <v>2.6158229955753419E-2</v>
      </c>
      <c r="AA17" s="3">
        <v>1.406809941870512E-2</v>
      </c>
      <c r="AB17" s="3">
        <v>5.7989643721947523E-2</v>
      </c>
      <c r="AC17" s="3">
        <v>2.5386497825723189E-2</v>
      </c>
      <c r="AD17" s="3">
        <v>-2.5112974951439371E-2</v>
      </c>
      <c r="AE17" s="3">
        <v>-7.8553308661023988E-3</v>
      </c>
      <c r="AF17" s="3">
        <v>4.6897597854128573E-2</v>
      </c>
      <c r="AG17" s="3">
        <v>-3.6896193770147218E-2</v>
      </c>
      <c r="AH17" s="3">
        <v>2.7457558722597608E-3</v>
      </c>
      <c r="AI17" s="3">
        <v>7.7758742886103058E-2</v>
      </c>
      <c r="AJ17" s="3">
        <v>4.9761974958948622E-2</v>
      </c>
      <c r="AK17" s="3">
        <v>8.3242492497666749E-3</v>
      </c>
      <c r="AL17" s="3">
        <v>2.888156115871004E-3</v>
      </c>
      <c r="AM17" s="3">
        <v>5.6516435153760973E-2</v>
      </c>
      <c r="AN17" s="3">
        <v>0.101996530292937</v>
      </c>
      <c r="AO17" s="3">
        <v>5.9437494706778109E-3</v>
      </c>
      <c r="AP17" s="3">
        <v>-7.4776834521796343E-2</v>
      </c>
      <c r="AQ17" s="3">
        <v>-5.4274846226234231E-3</v>
      </c>
      <c r="AR17" s="3">
        <v>-1.4012441050241039E-2</v>
      </c>
      <c r="AS17" s="3">
        <v>3.2229535937943893E-2</v>
      </c>
      <c r="AT17" s="3">
        <v>-3.6491793043360969E-4</v>
      </c>
      <c r="AU17" s="3">
        <v>2.2320771460391499E-2</v>
      </c>
      <c r="AV17" s="3">
        <v>-2.240994288300285E-2</v>
      </c>
      <c r="AW17" s="3">
        <v>5.4684140232672707E-2</v>
      </c>
      <c r="AX17" s="3">
        <v>5.9787037186238068E-2</v>
      </c>
      <c r="AY17" s="3">
        <v>-1.2163372519083549E-2</v>
      </c>
      <c r="AZ17" s="3">
        <v>6.5755065654782369E-2</v>
      </c>
      <c r="BA17" s="3">
        <v>5.2696073812988742E-2</v>
      </c>
      <c r="BB17" s="3">
        <v>1.9595414040252279E-2</v>
      </c>
      <c r="BC17" s="3">
        <v>-7.9185761673338205E-3</v>
      </c>
      <c r="BD17" s="3">
        <v>-6.0906654768396323E-3</v>
      </c>
      <c r="BE17" s="3">
        <v>-5.5296970612909613E-2</v>
      </c>
      <c r="BF17" s="3">
        <v>-1.301914023267263E-2</v>
      </c>
      <c r="BG17" s="3">
        <v>-2.553875727394515E-2</v>
      </c>
      <c r="BH17" s="3">
        <v>6.2650247830632111E-2</v>
      </c>
      <c r="BI17" s="3">
        <v>8.8206255331108041E-2</v>
      </c>
      <c r="BJ17" s="3">
        <v>-3.1426563990400357E-2</v>
      </c>
      <c r="BK17" s="3">
        <v>1.1262542201379981E-2</v>
      </c>
      <c r="BL17" s="3">
        <v>2.4899125347501359E-2</v>
      </c>
      <c r="BM17" s="3">
        <v>1.398714481683497E-3</v>
      </c>
      <c r="BN17" s="3">
        <v>8.4385349468412037E-3</v>
      </c>
      <c r="BO17" s="3">
        <v>-1.81721962304228E-2</v>
      </c>
      <c r="BP17" s="3">
        <v>2.2646462193701328E-2</v>
      </c>
      <c r="BQ17" s="3">
        <v>3.0986313178029849E-2</v>
      </c>
      <c r="BR17" s="3">
        <v>6.1681081386874587E-2</v>
      </c>
      <c r="BS17" s="3">
        <v>-1.258360544402661E-2</v>
      </c>
      <c r="BT17" s="3">
        <v>-2.659806467310271E-4</v>
      </c>
      <c r="BU17" s="3">
        <v>-5.8229863705624621E-2</v>
      </c>
      <c r="BV17" s="3">
        <v>4.6478760761289997E-2</v>
      </c>
      <c r="BW17" s="3">
        <v>-0.36083988196049821</v>
      </c>
      <c r="BX17" s="3">
        <v>1.2438482943544729E-2</v>
      </c>
      <c r="BY17" s="3">
        <v>-0.1552232767430021</v>
      </c>
      <c r="BZ17" s="3">
        <v>0.1087469798231155</v>
      </c>
      <c r="CA17" s="3">
        <v>-8.3139667052179907E-3</v>
      </c>
      <c r="CB17" s="3">
        <v>8.3081997844156708E-2</v>
      </c>
      <c r="CC17" s="3">
        <v>5.2732441614261091E-2</v>
      </c>
      <c r="CD17" s="3">
        <v>0.11404178495304319</v>
      </c>
      <c r="CE17" s="3">
        <v>5.7484978458265043E-2</v>
      </c>
      <c r="CF17" s="3">
        <v>2.4795034932094291E-2</v>
      </c>
      <c r="CG17" s="3">
        <v>4.6457488489848653E-2</v>
      </c>
      <c r="CH17" s="3">
        <v>0.1517311442941513</v>
      </c>
      <c r="CI17" s="3">
        <v>-7.2174478395851921E-2</v>
      </c>
      <c r="CJ17" s="3">
        <v>-3.7659727932414407E-2</v>
      </c>
      <c r="CK17" s="3">
        <v>-1.346975832833168E-2</v>
      </c>
      <c r="CL17" s="3">
        <v>0.166514661456031</v>
      </c>
      <c r="CM17" s="3">
        <v>4.0541481945150504E-3</v>
      </c>
      <c r="CN17" s="3">
        <v>1.465398063057257E-2</v>
      </c>
      <c r="CO17" s="3">
        <v>-0.13414670601663189</v>
      </c>
      <c r="CP17" s="3">
        <v>0.1048817431572258</v>
      </c>
      <c r="CQ17" s="3">
        <v>8.0252014616654446E-2</v>
      </c>
      <c r="CR17" s="3">
        <v>2.2877456167867131E-2</v>
      </c>
      <c r="CS17" s="3">
        <v>-7.5750788721146933E-2</v>
      </c>
      <c r="CT17" s="3">
        <v>1.461024063474442E-2</v>
      </c>
      <c r="CU17" s="3">
        <v>3.9134247727934439E-2</v>
      </c>
      <c r="CV17" s="3">
        <v>3.4228737827260242E-2</v>
      </c>
      <c r="CW17" s="3">
        <v>3.9852944896480023E-2</v>
      </c>
      <c r="CX17" s="3">
        <v>9.4976699033380046E-2</v>
      </c>
      <c r="CY17" s="3">
        <v>5.942140194481977E-2</v>
      </c>
      <c r="CZ17" s="3">
        <v>0.21366754135731211</v>
      </c>
      <c r="DA17" s="3">
        <v>-4.9971957875653344E-3</v>
      </c>
      <c r="DB17" s="3">
        <v>5.0500076085233533E-2</v>
      </c>
      <c r="DC17" s="3">
        <v>4.5258200063738173E-2</v>
      </c>
      <c r="DD17" s="3">
        <v>-8.1734180861580352E-2</v>
      </c>
      <c r="DE17" s="3">
        <v>-2.729891060348838E-2</v>
      </c>
      <c r="DF17" s="3">
        <v>0.1219841440877007</v>
      </c>
      <c r="DG17" s="3">
        <v>-6.8368981192705083E-2</v>
      </c>
      <c r="DH17" s="3">
        <v>0.1544373591370819</v>
      </c>
      <c r="DI17" s="3">
        <v>-3.6548670351877283E-2</v>
      </c>
      <c r="DJ17" s="3">
        <v>4.8523427827428883E-2</v>
      </c>
      <c r="DK17" s="3">
        <v>-4.1652725433940892E-2</v>
      </c>
      <c r="DL17" s="3">
        <v>1.953308289362005E-2</v>
      </c>
      <c r="DM17" s="3">
        <v>-4.7602196315501097E-2</v>
      </c>
      <c r="DN17" s="3">
        <v>9.8832887281823031E-3</v>
      </c>
      <c r="DO17" s="3">
        <v>3.7775135246347492E-2</v>
      </c>
      <c r="DP17" s="3">
        <v>-8.6401857740301437E-3</v>
      </c>
      <c r="DQ17" s="3">
        <v>-5.4062164624527752E-2</v>
      </c>
      <c r="DR17" s="3">
        <v>1.45723725509616E-3</v>
      </c>
      <c r="DS17" s="3">
        <v>1.2030966958540321E-2</v>
      </c>
      <c r="DT17" s="3">
        <v>4.2188686331791452E-3</v>
      </c>
      <c r="DU17" s="3">
        <v>-6.968538454344593E-2</v>
      </c>
      <c r="DV17" s="3">
        <v>0.1017424841385287</v>
      </c>
      <c r="DW17" s="3">
        <v>5.4114514427079929E-2</v>
      </c>
      <c r="DX17" s="3">
        <v>-9.4885811440528503E-2</v>
      </c>
      <c r="DY17" s="3">
        <v>4.3504611490568619E-2</v>
      </c>
      <c r="DZ17" s="3">
        <v>-1.55224192758926E-3</v>
      </c>
      <c r="EA17" s="3">
        <v>1.701788886888831E-2</v>
      </c>
      <c r="EB17" s="3">
        <v>-6.2061614162821188E-2</v>
      </c>
      <c r="EC17" s="3">
        <v>2.9743238511962391E-2</v>
      </c>
      <c r="ED17" s="3">
        <v>-0.1076896305982679</v>
      </c>
      <c r="EE17" s="3">
        <v>2.9054790798383381E-3</v>
      </c>
      <c r="EF17" s="3">
        <v>6.6220957028516658E-2</v>
      </c>
      <c r="EG17" s="3">
        <v>7.1804972355081154E-2</v>
      </c>
      <c r="EH17" s="3">
        <v>-1.215567817183851E-3</v>
      </c>
      <c r="EI17" s="3">
        <v>-6.6933065191749852E-2</v>
      </c>
      <c r="EJ17" s="3">
        <v>-6.9431674783605568E-2</v>
      </c>
      <c r="EK17" s="3">
        <v>-1.5429167351829949E-2</v>
      </c>
      <c r="EL17" s="3">
        <v>-0.12952939713728831</v>
      </c>
      <c r="EM17">
        <f t="shared" si="11"/>
        <v>1.612747489836849E-2</v>
      </c>
      <c r="EN17">
        <f t="shared" si="12"/>
        <v>7.3543467679668004E-2</v>
      </c>
      <c r="EO17">
        <f t="shared" si="13"/>
        <v>0.21929173871178675</v>
      </c>
    </row>
    <row r="18" spans="1:145" x14ac:dyDescent="0.3">
      <c r="A18" s="18">
        <v>150</v>
      </c>
      <c r="B18" s="18">
        <f t="shared" si="10"/>
        <v>7</v>
      </c>
      <c r="C18" s="3">
        <v>0.19181078180435829</v>
      </c>
      <c r="D18" s="3">
        <v>0.1671066650581215</v>
      </c>
      <c r="E18" s="3">
        <v>0.10348122364408931</v>
      </c>
      <c r="F18" s="3">
        <v>-0.12887243734389989</v>
      </c>
      <c r="G18" s="3">
        <v>0.18044399858039201</v>
      </c>
      <c r="H18" s="3">
        <v>6.1497472580885233E-2</v>
      </c>
      <c r="I18" s="3">
        <v>0.1033412649782364</v>
      </c>
      <c r="J18" s="3">
        <v>-0.10856910491719669</v>
      </c>
      <c r="K18" s="3">
        <v>6.770047819657693E-2</v>
      </c>
      <c r="L18" s="3">
        <v>-6.5554399645779112E-3</v>
      </c>
      <c r="M18" s="3">
        <v>-2.9571450942074591E-3</v>
      </c>
      <c r="N18" s="3">
        <v>8.8890646949680893E-2</v>
      </c>
      <c r="O18" s="3">
        <v>2.2484976816929559E-2</v>
      </c>
      <c r="P18" s="3">
        <v>3.5021611988605782E-2</v>
      </c>
      <c r="Q18" s="3">
        <v>0.1002295066880973</v>
      </c>
      <c r="R18" s="3">
        <v>0.20329913247774309</v>
      </c>
      <c r="S18" s="3">
        <v>0.1222900234029769</v>
      </c>
      <c r="T18" s="3">
        <v>-5.083685189942333E-2</v>
      </c>
      <c r="U18" s="3">
        <v>-0.1407187595611786</v>
      </c>
      <c r="V18" s="3">
        <v>8.7024677770409994E-3</v>
      </c>
      <c r="W18" s="3">
        <v>-6.7606288022835401E-2</v>
      </c>
      <c r="X18" s="3">
        <v>7.146571819211836E-2</v>
      </c>
      <c r="Y18" s="3">
        <v>-5.2933629164401669E-2</v>
      </c>
      <c r="Z18" s="3">
        <v>2.4855573681035768E-2</v>
      </c>
      <c r="AA18" s="3">
        <v>3.1543504476160542E-2</v>
      </c>
      <c r="AB18" s="3">
        <v>6.7983943762114418E-2</v>
      </c>
      <c r="AC18" s="3">
        <v>1.9873464784825969E-2</v>
      </c>
      <c r="AD18" s="3">
        <v>-4.5534257538906713E-2</v>
      </c>
      <c r="AE18" s="3">
        <v>-1.94300978405785E-2</v>
      </c>
      <c r="AF18" s="3">
        <v>1.093425218555277E-2</v>
      </c>
      <c r="AG18" s="3">
        <v>-3.0032777582134351E-2</v>
      </c>
      <c r="AH18" s="3">
        <v>6.7585696595643743E-3</v>
      </c>
      <c r="AI18" s="3">
        <v>8.213943274885982E-2</v>
      </c>
      <c r="AJ18" s="3">
        <v>5.2482353217025123E-2</v>
      </c>
      <c r="AK18" s="3">
        <v>1.018486390892491E-2</v>
      </c>
      <c r="AL18" s="3">
        <v>2.9274620909192908E-3</v>
      </c>
      <c r="AM18" s="3">
        <v>5.5333145323496903E-2</v>
      </c>
      <c r="AN18" s="3">
        <v>8.9840971220085983E-2</v>
      </c>
      <c r="AO18" s="3">
        <v>1.8343867175920191E-2</v>
      </c>
      <c r="AP18" s="3">
        <v>-7.5984576177613991E-2</v>
      </c>
      <c r="AQ18" s="3">
        <v>-1.325981357916352E-2</v>
      </c>
      <c r="AR18" s="3">
        <v>-1.3898508014638161E-2</v>
      </c>
      <c r="AS18" s="3">
        <v>3.3129610896451667E-2</v>
      </c>
      <c r="AT18" s="3">
        <v>1.4806859287619361E-3</v>
      </c>
      <c r="AU18" s="3">
        <v>2.6636536994042139E-2</v>
      </c>
      <c r="AV18" s="3">
        <v>-1.8530908008034658E-2</v>
      </c>
      <c r="AW18" s="3">
        <v>5.4597013533227427E-2</v>
      </c>
      <c r="AX18" s="3">
        <v>4.4872094372089458E-2</v>
      </c>
      <c r="AY18" s="3">
        <v>-1.650413250321929E-2</v>
      </c>
      <c r="AZ18" s="3">
        <v>4.8273022270937882E-2</v>
      </c>
      <c r="BA18" s="3">
        <v>5.7639363567896257E-2</v>
      </c>
      <c r="BB18" s="3">
        <v>-1.070362536625246E-2</v>
      </c>
      <c r="BC18" s="3">
        <v>-2.299683902773237E-2</v>
      </c>
      <c r="BD18" s="3">
        <v>6.8593804489509753E-3</v>
      </c>
      <c r="BE18" s="3">
        <v>-4.9708139534531258E-2</v>
      </c>
      <c r="BF18" s="3">
        <v>-1.4894776250305931E-2</v>
      </c>
      <c r="BG18" s="3">
        <v>-2.5986117695349371E-2</v>
      </c>
      <c r="BH18" s="3">
        <v>7.7132767187823054E-2</v>
      </c>
      <c r="BI18" s="3">
        <v>9.7311308179304085E-2</v>
      </c>
      <c r="BJ18" s="3">
        <v>-2.321648429883956E-2</v>
      </c>
      <c r="BK18" s="3">
        <v>2.7457315935274191E-2</v>
      </c>
      <c r="BL18" s="3">
        <v>2.5455183652085409E-2</v>
      </c>
      <c r="BM18" s="3">
        <v>-1.3969131280423401E-2</v>
      </c>
      <c r="BN18" s="3">
        <v>1.9866487184736409E-2</v>
      </c>
      <c r="BO18" s="3">
        <v>-1.852502634362499E-4</v>
      </c>
      <c r="BP18" s="3">
        <v>2.2691973630194769E-2</v>
      </c>
      <c r="BQ18" s="3">
        <v>3.610978795844514E-2</v>
      </c>
      <c r="BR18" s="3">
        <v>3.7465920746691361E-2</v>
      </c>
      <c r="BS18" s="3">
        <v>-4.3327783978771572E-3</v>
      </c>
      <c r="BT18" s="3">
        <v>4.7863140987767892E-4</v>
      </c>
      <c r="BU18" s="3">
        <v>-6.7230901787235994E-2</v>
      </c>
      <c r="BV18" s="3">
        <v>5.0270186069498443E-2</v>
      </c>
      <c r="BW18" s="3">
        <v>-0.39615428062722652</v>
      </c>
      <c r="BX18" s="3">
        <v>1.5923371352643809E-2</v>
      </c>
      <c r="BY18" s="3">
        <v>-0.18724713585814501</v>
      </c>
      <c r="BZ18" s="3">
        <v>0.15326820504909061</v>
      </c>
      <c r="CA18" s="3">
        <v>-4.3863771914838864E-3</v>
      </c>
      <c r="CB18" s="3">
        <v>4.8372406410109509E-2</v>
      </c>
      <c r="CC18" s="3">
        <v>3.2808662877153547E-2</v>
      </c>
      <c r="CD18" s="3">
        <v>9.9908482846136293E-2</v>
      </c>
      <c r="CE18" s="3">
        <v>6.2384505955136033E-2</v>
      </c>
      <c r="CF18" s="3">
        <v>1.7232256685995071E-2</v>
      </c>
      <c r="CG18" s="3">
        <v>5.9963596345843938E-2</v>
      </c>
      <c r="CH18" s="3">
        <v>0.1352526136930205</v>
      </c>
      <c r="CI18" s="3">
        <v>-7.0910363522842745E-2</v>
      </c>
      <c r="CJ18" s="3">
        <v>-4.1656482402282161E-2</v>
      </c>
      <c r="CK18" s="3">
        <v>-7.9217122924981481E-3</v>
      </c>
      <c r="CL18" s="3">
        <v>0.178418661926392</v>
      </c>
      <c r="CM18" s="3">
        <v>1.5016504409566509E-2</v>
      </c>
      <c r="CN18" s="3">
        <v>2.5997114683567801E-2</v>
      </c>
      <c r="CO18" s="3">
        <v>-0.17531221293302751</v>
      </c>
      <c r="CP18" s="3">
        <v>0.1213785793070411</v>
      </c>
      <c r="CQ18" s="3">
        <v>0.1005389993012757</v>
      </c>
      <c r="CR18" s="3">
        <v>2.4264837075520691E-2</v>
      </c>
      <c r="CS18" s="3">
        <v>-5.0185083945541949E-2</v>
      </c>
      <c r="CT18" s="3">
        <v>-3.1884059775169481E-3</v>
      </c>
      <c r="CU18" s="3">
        <v>5.1048446429144717E-2</v>
      </c>
      <c r="CV18" s="3">
        <v>3.7962759592404749E-2</v>
      </c>
      <c r="CW18" s="3">
        <v>4.8393683878978591E-2</v>
      </c>
      <c r="CX18" s="3">
        <v>6.8720664699285103E-2</v>
      </c>
      <c r="CY18" s="3">
        <v>6.5687279062617371E-2</v>
      </c>
      <c r="CZ18" s="3">
        <v>0.2479944637519893</v>
      </c>
      <c r="DA18" s="3">
        <v>-8.1319721374477523E-4</v>
      </c>
      <c r="DB18" s="3">
        <v>3.05673272271401E-2</v>
      </c>
      <c r="DC18" s="3">
        <v>3.9571688601933122E-2</v>
      </c>
      <c r="DD18" s="3">
        <v>-9.5760892346875778E-2</v>
      </c>
      <c r="DE18" s="3">
        <v>-5.9665428608618731E-2</v>
      </c>
      <c r="DF18" s="3">
        <v>0.12508967681579281</v>
      </c>
      <c r="DG18" s="3">
        <v>-6.2156252126381761E-2</v>
      </c>
      <c r="DH18" s="3">
        <v>0.17835053042430321</v>
      </c>
      <c r="DI18" s="3">
        <v>-3.2809324015577263E-2</v>
      </c>
      <c r="DJ18" s="3">
        <v>4.4181711615725767E-2</v>
      </c>
      <c r="DK18" s="3">
        <v>-4.7603114781646728E-2</v>
      </c>
      <c r="DL18" s="3">
        <v>1.655400902860249E-2</v>
      </c>
      <c r="DM18" s="3">
        <v>1.0387908762762721E-2</v>
      </c>
      <c r="DN18" s="3">
        <v>1.3321563545344981E-2</v>
      </c>
      <c r="DO18" s="3">
        <v>4.2014956378329749E-2</v>
      </c>
      <c r="DP18" s="3">
        <v>-9.9506306729558215E-3</v>
      </c>
      <c r="DQ18" s="3">
        <v>-4.0485194285822007E-2</v>
      </c>
      <c r="DR18" s="3">
        <v>-2.9217365539234638E-3</v>
      </c>
      <c r="DS18" s="3">
        <v>1.6810763122299299E-3</v>
      </c>
      <c r="DT18" s="3">
        <v>6.7372421712205699E-4</v>
      </c>
      <c r="DU18" s="3">
        <v>-8.5308854121696143E-2</v>
      </c>
      <c r="DV18" s="3">
        <v>7.8893732983982681E-2</v>
      </c>
      <c r="DW18" s="3">
        <v>5.4273872353307551E-2</v>
      </c>
      <c r="DX18" s="3">
        <v>-7.093481542847907E-2</v>
      </c>
      <c r="DY18" s="3">
        <v>4.9366022453043737E-2</v>
      </c>
      <c r="DZ18" s="3">
        <v>3.0209033437356382E-3</v>
      </c>
      <c r="EA18" s="3">
        <v>7.1693189142794014E-3</v>
      </c>
      <c r="EB18" s="3">
        <v>-5.889635422909377E-2</v>
      </c>
      <c r="EC18" s="3">
        <v>4.3143604340369769E-2</v>
      </c>
      <c r="ED18" s="3">
        <v>-9.9707333761866107E-2</v>
      </c>
      <c r="EE18" s="3">
        <v>-3.0846225224367592E-3</v>
      </c>
      <c r="EF18" s="3">
        <v>8.0252129028198879E-2</v>
      </c>
      <c r="EG18" s="3">
        <v>5.3275135186033863E-2</v>
      </c>
      <c r="EH18" s="3">
        <v>1.282710487449486E-3</v>
      </c>
      <c r="EI18" s="3">
        <v>-8.0880032838890101E-2</v>
      </c>
      <c r="EJ18" s="3">
        <v>-7.0098840975775345E-2</v>
      </c>
      <c r="EK18" s="3">
        <v>-2.93465968788925E-2</v>
      </c>
      <c r="EL18" s="3">
        <v>-0.15356055189296569</v>
      </c>
      <c r="EM18">
        <f t="shared" si="11"/>
        <v>1.561362672549305E-2</v>
      </c>
      <c r="EN18">
        <f t="shared" si="12"/>
        <v>8.0723863570791171E-2</v>
      </c>
      <c r="EO18">
        <f t="shared" si="13"/>
        <v>0.19342021101109222</v>
      </c>
    </row>
    <row r="19" spans="1:145" x14ac:dyDescent="0.3">
      <c r="A19" s="18">
        <v>180</v>
      </c>
      <c r="B19" s="18">
        <f t="shared" si="10"/>
        <v>6</v>
      </c>
      <c r="C19" s="3">
        <v>0.2064618066910337</v>
      </c>
      <c r="D19" s="3">
        <v>8.6080595768841667E-2</v>
      </c>
      <c r="E19" s="3">
        <v>0.1063880337853426</v>
      </c>
      <c r="F19" s="3">
        <v>-0.14104510634608231</v>
      </c>
      <c r="G19" s="3">
        <v>0.19275927753026501</v>
      </c>
      <c r="H19" s="3">
        <v>3.615170439628318E-2</v>
      </c>
      <c r="I19" s="3">
        <v>0.1048404187790411</v>
      </c>
      <c r="J19" s="3">
        <v>-0.1207904168015434</v>
      </c>
      <c r="K19" s="3">
        <v>0.1059788071347392</v>
      </c>
      <c r="L19" s="3">
        <v>1.2817079605826721E-2</v>
      </c>
      <c r="M19" s="3">
        <v>-1.9241215120829741E-3</v>
      </c>
      <c r="N19" s="3">
        <v>9.9686742062780748E-2</v>
      </c>
      <c r="O19" s="3">
        <v>2.648606482411003E-2</v>
      </c>
      <c r="P19" s="3">
        <v>4.9395032488176817E-2</v>
      </c>
      <c r="Q19" s="3">
        <v>0.1216390994927081</v>
      </c>
      <c r="R19" s="3">
        <v>0.23605963292031071</v>
      </c>
      <c r="S19" s="3">
        <v>3.7739461289320743E-2</v>
      </c>
      <c r="T19" s="3">
        <v>-4.9339292182443019E-2</v>
      </c>
      <c r="U19" s="3">
        <v>-0.1561147522856132</v>
      </c>
      <c r="V19" s="3">
        <v>-1.3061218974660119E-2</v>
      </c>
      <c r="W19" s="3">
        <v>-5.6991508587483218E-2</v>
      </c>
      <c r="X19" s="3">
        <v>6.8152415778583303E-2</v>
      </c>
      <c r="Y19" s="3">
        <v>-4.309454075599746E-2</v>
      </c>
      <c r="Z19" s="3">
        <v>3.9410254071827959E-2</v>
      </c>
      <c r="AA19" s="3">
        <v>3.5519173808123992E-2</v>
      </c>
      <c r="AB19" s="3">
        <v>5.2672327851517778E-2</v>
      </c>
      <c r="AC19" s="3">
        <v>1.8142505367072379E-2</v>
      </c>
      <c r="AD19" s="3">
        <v>-4.5447613449888707E-2</v>
      </c>
      <c r="AE19" s="3">
        <v>1.433538784541534E-3</v>
      </c>
      <c r="AF19" s="3">
        <v>-5.1328296920010348E-3</v>
      </c>
      <c r="AG19" s="3">
        <v>-9.2844633004362437E-2</v>
      </c>
      <c r="AH19" s="3">
        <v>1.6115731285920951E-2</v>
      </c>
      <c r="AI19" s="3">
        <v>6.4701336705367152E-2</v>
      </c>
      <c r="AJ19" s="3">
        <v>-3.1537601799874533E-2</v>
      </c>
      <c r="AK19" s="3">
        <v>3.0189971501514489E-2</v>
      </c>
      <c r="AL19" s="3">
        <v>7.0583436892699466E-3</v>
      </c>
      <c r="AM19" s="3">
        <v>5.8406550147352132E-2</v>
      </c>
      <c r="AN19" s="3">
        <v>0.1070442258144807</v>
      </c>
      <c r="AO19" s="3">
        <v>7.5400867834129019E-3</v>
      </c>
      <c r="AP19" s="3">
        <v>-7.7286477412288265E-2</v>
      </c>
      <c r="AQ19" s="3">
        <v>-1.1458939216038379E-2</v>
      </c>
      <c r="AR19" s="3">
        <v>-1.3171657411529919E-2</v>
      </c>
      <c r="AS19" s="3">
        <v>3.1924903276152918E-2</v>
      </c>
      <c r="AT19" s="3">
        <v>-1.664628268720991E-3</v>
      </c>
      <c r="AU19" s="3">
        <v>2.7074186773355061E-2</v>
      </c>
      <c r="AV19" s="3">
        <v>-3.0524630247828879E-2</v>
      </c>
      <c r="AW19" s="3">
        <v>5.7211281709445352E-2</v>
      </c>
      <c r="AX19" s="3">
        <v>4.873181673014032E-2</v>
      </c>
      <c r="AY19" s="3">
        <v>-2.1054073657190191E-2</v>
      </c>
      <c r="AZ19" s="3">
        <v>3.2490187543148488E-2</v>
      </c>
      <c r="BA19" s="3">
        <v>2.7324818643430011E-2</v>
      </c>
      <c r="BB19" s="3">
        <v>-5.5440689054677946E-3</v>
      </c>
      <c r="BC19" s="3">
        <v>-2.2877004080106161E-2</v>
      </c>
      <c r="BD19" s="3">
        <v>1.2103063559809561E-2</v>
      </c>
      <c r="BE19" s="3">
        <v>-5.7850304736214248E-2</v>
      </c>
      <c r="BF19" s="3">
        <v>-3.052746404824809E-2</v>
      </c>
      <c r="BG19" s="3">
        <v>-3.0771666056580532E-2</v>
      </c>
      <c r="BH19" s="3">
        <v>7.8775561903433544E-2</v>
      </c>
      <c r="BI19" s="3">
        <v>8.317643717447204E-2</v>
      </c>
      <c r="BJ19" s="3">
        <v>-2.8869975445253909E-2</v>
      </c>
      <c r="BK19" s="3">
        <v>1.226503430060577E-2</v>
      </c>
      <c r="BL19" s="3">
        <v>2.352416898070812E-2</v>
      </c>
      <c r="BM19" s="3">
        <v>7.6915544455054552E-3</v>
      </c>
      <c r="BN19" s="3">
        <v>1.0913244789584119E-2</v>
      </c>
      <c r="BO19" s="3">
        <v>-1.539314246120013E-2</v>
      </c>
      <c r="BP19" s="3">
        <v>2.467969967491776E-2</v>
      </c>
      <c r="BQ19" s="3">
        <v>3.6292236362198693E-2</v>
      </c>
      <c r="BR19" s="3">
        <v>3.5444843996368762E-2</v>
      </c>
      <c r="BS19" s="3">
        <v>4.1014345434769173E-3</v>
      </c>
      <c r="BT19" s="3">
        <v>-2.4491829114527099E-2</v>
      </c>
      <c r="BU19" s="3">
        <v>-9.5223820970517181E-2</v>
      </c>
      <c r="BV19" s="3">
        <v>5.217088930022673E-2</v>
      </c>
      <c r="BW19" s="3">
        <v>-0.46474482755903979</v>
      </c>
      <c r="BX19" s="3">
        <v>1.053031472361333E-2</v>
      </c>
      <c r="BY19" s="3">
        <v>-0.18355158230393789</v>
      </c>
      <c r="BZ19" s="3">
        <v>0.1671113573982117</v>
      </c>
      <c r="CA19" s="3">
        <v>4.0525376832383948E-3</v>
      </c>
      <c r="CB19" s="3">
        <v>8.8318325405792666E-2</v>
      </c>
      <c r="CC19" s="3">
        <v>8.0532519384734061E-2</v>
      </c>
      <c r="CD19" s="3">
        <v>7.6206654524956466E-2</v>
      </c>
      <c r="CE19" s="3">
        <v>2.1973195989273692E-2</v>
      </c>
      <c r="CF19" s="3">
        <v>1.9340356189051271E-2</v>
      </c>
      <c r="CG19" s="3">
        <v>8.5628288256143492E-2</v>
      </c>
      <c r="CH19" s="3">
        <v>0.1308432120404</v>
      </c>
      <c r="CI19" s="3">
        <v>-8.9167180828519418E-2</v>
      </c>
      <c r="CJ19" s="3">
        <v>-3.7112432525495898E-2</v>
      </c>
      <c r="CK19" s="3">
        <v>-1.4328862513729E-2</v>
      </c>
      <c r="CL19" s="3">
        <v>0.14602051750529721</v>
      </c>
      <c r="CM19" s="3">
        <v>1.458006477651988E-2</v>
      </c>
      <c r="CN19" s="3">
        <v>3.0189815974948141E-2</v>
      </c>
      <c r="CO19" s="3">
        <v>-0.2130836130715964</v>
      </c>
      <c r="CP19" s="3">
        <v>0.1920367189763644</v>
      </c>
      <c r="CQ19" s="3">
        <v>9.9962715053876647E-2</v>
      </c>
      <c r="CR19" s="3">
        <v>2.682500232956498E-2</v>
      </c>
      <c r="CS19" s="3">
        <v>-1.6400304256892081E-2</v>
      </c>
      <c r="CT19" s="3">
        <v>2.2761442963917359E-2</v>
      </c>
      <c r="CU19" s="3">
        <v>2.978213972941559E-2</v>
      </c>
      <c r="CV19" s="3">
        <v>4.979481304744425E-2</v>
      </c>
      <c r="CW19" s="3">
        <v>0.1006942039992513</v>
      </c>
      <c r="CX19" s="3">
        <v>5.8235762738494339E-2</v>
      </c>
      <c r="CY19" s="3">
        <v>6.734507361182554E-2</v>
      </c>
      <c r="CZ19" s="3">
        <v>0.24515262347695591</v>
      </c>
      <c r="DA19" s="3">
        <v>1.251860865318043E-2</v>
      </c>
      <c r="DB19" s="3">
        <v>2.6153815122385841E-2</v>
      </c>
      <c r="DC19" s="3">
        <v>2.4018518899418889E-2</v>
      </c>
      <c r="DD19" s="3">
        <v>-8.4875752911036759E-2</v>
      </c>
      <c r="DE19" s="3">
        <v>-5.7522376882221518E-2</v>
      </c>
      <c r="DF19" s="3">
        <v>0.14493994931098789</v>
      </c>
      <c r="DG19" s="3">
        <v>-6.4660592287836563E-2</v>
      </c>
      <c r="DH19" s="3">
        <v>0.20875242387961601</v>
      </c>
      <c r="DI19" s="3">
        <v>-3.8548907413853771E-2</v>
      </c>
      <c r="DJ19" s="3">
        <v>5.8678702640406873E-2</v>
      </c>
      <c r="DK19" s="3">
        <v>-4.9955964860667182E-2</v>
      </c>
      <c r="DL19" s="3">
        <v>3.1446737758118411E-2</v>
      </c>
      <c r="DM19" s="3">
        <v>1.054601441056236E-2</v>
      </c>
      <c r="DN19" s="3">
        <v>2.619002836473372E-2</v>
      </c>
      <c r="DO19" s="3">
        <v>3.3761995817769501E-2</v>
      </c>
      <c r="DP19" s="3">
        <v>-1.239001093936661E-2</v>
      </c>
      <c r="DQ19" s="3">
        <v>-5.7271602984831853E-2</v>
      </c>
      <c r="DR19" s="3">
        <v>5.5079855573126231E-3</v>
      </c>
      <c r="DS19" s="3">
        <v>4.2443964239618909E-3</v>
      </c>
      <c r="DT19" s="3">
        <v>-5.9270687738365926E-3</v>
      </c>
      <c r="DU19" s="3">
        <v>-9.3648973335735824E-2</v>
      </c>
      <c r="DV19" s="3">
        <v>9.5220204874203046E-2</v>
      </c>
      <c r="DW19" s="3">
        <v>4.1271872127090201E-2</v>
      </c>
      <c r="DX19" s="3">
        <v>-8.2244674205385518E-2</v>
      </c>
      <c r="DY19" s="3">
        <v>4.9172766064246483E-2</v>
      </c>
      <c r="DZ19" s="3">
        <v>1.8828765035454699E-2</v>
      </c>
      <c r="EA19" s="3">
        <v>3.9925567484496811E-3</v>
      </c>
      <c r="EB19" s="3">
        <v>-5.8562915987497341E-2</v>
      </c>
      <c r="EC19" s="3">
        <v>3.7371374736422353E-2</v>
      </c>
      <c r="ED19" s="3">
        <v>-9.754511626866072E-2</v>
      </c>
      <c r="EE19" s="3">
        <v>-2.2546329700544689E-3</v>
      </c>
      <c r="EF19" s="3">
        <v>8.2582505853420612E-2</v>
      </c>
      <c r="EG19" s="3">
        <v>4.7116279484125417E-2</v>
      </c>
      <c r="EH19" s="3">
        <v>1.048577915410171E-3</v>
      </c>
      <c r="EI19" s="3">
        <v>-5.6609221809219373E-2</v>
      </c>
      <c r="EJ19" s="3">
        <v>-6.7110820822505093E-2</v>
      </c>
      <c r="EK19" s="3">
        <v>1.866258372846943E-3</v>
      </c>
      <c r="EL19" s="3">
        <v>-0.17076422644727571</v>
      </c>
      <c r="EM19">
        <f t="shared" si="11"/>
        <v>1.4468561403651572E-2</v>
      </c>
      <c r="EN19">
        <f t="shared" si="12"/>
        <v>8.7115677836976116E-2</v>
      </c>
      <c r="EO19">
        <f t="shared" si="13"/>
        <v>0.1660844725415247</v>
      </c>
    </row>
    <row r="20" spans="1:145" x14ac:dyDescent="0.3">
      <c r="A20" s="18">
        <v>200</v>
      </c>
      <c r="B20" s="18">
        <f t="shared" si="10"/>
        <v>5</v>
      </c>
      <c r="C20" s="3">
        <v>0.2273573609809964</v>
      </c>
      <c r="D20" s="3">
        <v>0.13639316408997171</v>
      </c>
      <c r="E20" s="3">
        <v>0.1348314581727674</v>
      </c>
      <c r="F20" s="3">
        <v>-0.209149019529107</v>
      </c>
      <c r="G20" s="3">
        <v>0.123509516692852</v>
      </c>
      <c r="H20" s="3">
        <v>-2.5818055055967151E-2</v>
      </c>
      <c r="I20" s="3">
        <v>0.1260036942262629</v>
      </c>
      <c r="J20" s="3">
        <v>-0.12438725299130619</v>
      </c>
      <c r="K20" s="3">
        <v>8.9103771577124666E-2</v>
      </c>
      <c r="L20" s="3">
        <v>2.7240261682394851E-2</v>
      </c>
      <c r="M20" s="3">
        <v>1.036732090559592E-2</v>
      </c>
      <c r="N20" s="3">
        <v>0.1300410324550775</v>
      </c>
      <c r="O20" s="3">
        <v>-1.314785188637054E-2</v>
      </c>
      <c r="P20" s="3">
        <v>6.369815550902784E-2</v>
      </c>
      <c r="Q20" s="3">
        <v>0.1052870887120908</v>
      </c>
      <c r="R20" s="3">
        <v>0.26101908650166378</v>
      </c>
      <c r="S20" s="3">
        <v>-2.5527862439142891E-2</v>
      </c>
      <c r="T20" s="3">
        <v>-8.2586350712125223E-2</v>
      </c>
      <c r="U20" s="3">
        <v>-0.14191108307987699</v>
      </c>
      <c r="V20" s="3">
        <v>-4.6736776299786002E-2</v>
      </c>
      <c r="W20" s="3">
        <v>-2.9038163957864439E-2</v>
      </c>
      <c r="X20" s="3">
        <v>8.4093100341468927E-2</v>
      </c>
      <c r="Y20" s="3">
        <v>-2.6619408954857472E-2</v>
      </c>
      <c r="Z20" s="3">
        <v>1.8532949246268141E-2</v>
      </c>
      <c r="AA20" s="3">
        <v>4.7586313802229302E-2</v>
      </c>
      <c r="AB20" s="3">
        <v>4.274221605544299E-2</v>
      </c>
      <c r="AC20" s="3">
        <v>2.480744402470848E-2</v>
      </c>
      <c r="AD20" s="3">
        <v>-2.5712383745971491E-2</v>
      </c>
      <c r="AE20" s="3">
        <v>3.4081017310229902E-2</v>
      </c>
      <c r="AF20" s="3">
        <v>3.6047617460589002E-3</v>
      </c>
      <c r="AG20" s="3">
        <v>-0.1018068445037569</v>
      </c>
      <c r="AH20" s="3">
        <v>-8.0484426144387718E-3</v>
      </c>
      <c r="AI20" s="3">
        <v>5.5541476558492731E-2</v>
      </c>
      <c r="AJ20" s="3">
        <v>-3.0588827925412791E-2</v>
      </c>
      <c r="AK20" s="3">
        <v>2.6286715117974691E-2</v>
      </c>
      <c r="AL20" s="3">
        <v>1.8776856358147031E-2</v>
      </c>
      <c r="AM20" s="3">
        <v>6.1726556092386663E-2</v>
      </c>
      <c r="AN20" s="3">
        <v>0.1097292493574262</v>
      </c>
      <c r="AO20" s="3">
        <v>-1.459946110653757E-2</v>
      </c>
      <c r="AP20" s="3">
        <v>-9.7756292140353973E-2</v>
      </c>
      <c r="AQ20" s="3">
        <v>-2.383861526731007E-2</v>
      </c>
      <c r="AR20" s="3">
        <v>1.6222317835055799E-2</v>
      </c>
      <c r="AS20" s="3">
        <v>7.1791366411804058E-2</v>
      </c>
      <c r="AT20" s="3">
        <v>-1.210015681435599E-3</v>
      </c>
      <c r="AU20" s="3">
        <v>1.3497763993488831E-2</v>
      </c>
      <c r="AV20" s="3">
        <v>-3.112848562158696E-2</v>
      </c>
      <c r="AW20" s="3">
        <v>8.1908163441290302E-2</v>
      </c>
      <c r="AX20" s="3">
        <v>5.6198953129994463E-2</v>
      </c>
      <c r="AY20" s="3">
        <v>-1.9588845714415971E-2</v>
      </c>
      <c r="AZ20" s="3">
        <v>3.1974946724076969E-2</v>
      </c>
      <c r="BA20" s="3">
        <v>3.4710269860563907E-2</v>
      </c>
      <c r="BB20" s="3">
        <v>-4.5190044743203608E-3</v>
      </c>
      <c r="BC20" s="3">
        <v>-4.0284020098565611E-2</v>
      </c>
      <c r="BD20" s="3">
        <v>5.2505469449642059E-3</v>
      </c>
      <c r="BE20" s="3">
        <v>-7.3072566883515072E-2</v>
      </c>
      <c r="BF20" s="3">
        <v>-2.388033445090763E-2</v>
      </c>
      <c r="BG20" s="3">
        <v>-3.7231083275540297E-2</v>
      </c>
      <c r="BH20" s="3">
        <v>0.16293039921579131</v>
      </c>
      <c r="BI20" s="3">
        <v>0.16055132817355439</v>
      </c>
      <c r="BJ20" s="3">
        <v>-2.5017042260996339E-2</v>
      </c>
      <c r="BK20" s="3">
        <v>2.0646492152461789E-2</v>
      </c>
      <c r="BL20" s="3">
        <v>2.2119501682225959E-2</v>
      </c>
      <c r="BM20" s="3">
        <v>6.4521585388533573E-3</v>
      </c>
      <c r="BN20" s="3">
        <v>1.1121544051670131E-2</v>
      </c>
      <c r="BO20" s="3">
        <v>-1.4909897353735871E-2</v>
      </c>
      <c r="BP20" s="3">
        <v>2.925416346867761E-2</v>
      </c>
      <c r="BQ20" s="3">
        <v>4.1991020819613992E-2</v>
      </c>
      <c r="BR20" s="3">
        <v>3.002596849074601E-2</v>
      </c>
      <c r="BS20" s="3">
        <v>5.5399599661068652E-3</v>
      </c>
      <c r="BT20" s="3">
        <v>-1.7763888628965819E-2</v>
      </c>
      <c r="BU20" s="3">
        <v>-8.9573543325190158E-2</v>
      </c>
      <c r="BV20" s="3">
        <v>4.9109711169187061E-2</v>
      </c>
      <c r="BW20" s="3">
        <v>-0.33469107198767051</v>
      </c>
      <c r="BX20" s="3">
        <v>1.289314577505259E-2</v>
      </c>
      <c r="BY20" s="3">
        <v>-0.1941576182316137</v>
      </c>
      <c r="BZ20" s="3">
        <v>0.15611331041040569</v>
      </c>
      <c r="CA20" s="3">
        <v>-5.9996691718009719E-3</v>
      </c>
      <c r="CB20" s="3">
        <v>9.2928593689178191E-2</v>
      </c>
      <c r="CC20" s="3">
        <v>8.7199694239129946E-2</v>
      </c>
      <c r="CD20" s="3">
        <v>7.2629427267650981E-2</v>
      </c>
      <c r="CE20" s="3">
        <v>2.373250776595336E-2</v>
      </c>
      <c r="CF20" s="3">
        <v>2.1207223186513319E-2</v>
      </c>
      <c r="CG20" s="3">
        <v>9.7597254920252702E-2</v>
      </c>
      <c r="CH20" s="3">
        <v>5.0450699188162633E-2</v>
      </c>
      <c r="CI20" s="3">
        <v>-0.1119224192691463</v>
      </c>
      <c r="CJ20" s="3">
        <v>2.865295590829695E-3</v>
      </c>
      <c r="CK20" s="3">
        <v>1.711978228550648E-2</v>
      </c>
      <c r="CL20" s="3">
        <v>0.1201856196910191</v>
      </c>
      <c r="CM20" s="3">
        <v>4.2250293232025053E-2</v>
      </c>
      <c r="CN20" s="3">
        <v>2.0928436160771492E-2</v>
      </c>
      <c r="CO20" s="3">
        <v>-0.24160304659247089</v>
      </c>
      <c r="CP20" s="3">
        <v>0.18800915878291019</v>
      </c>
      <c r="CQ20" s="3">
        <v>8.3786949469069755E-2</v>
      </c>
      <c r="CR20" s="3">
        <v>3.6101615329451338E-2</v>
      </c>
      <c r="CS20" s="3">
        <v>-2.3413079185376821E-2</v>
      </c>
      <c r="CT20" s="3">
        <v>-2.0284452151408349E-2</v>
      </c>
      <c r="CU20" s="3">
        <v>4.9400397699681589E-3</v>
      </c>
      <c r="CV20" s="3">
        <v>5.2749462960964937E-2</v>
      </c>
      <c r="CW20" s="3">
        <v>0.11342615484308589</v>
      </c>
      <c r="CX20" s="3">
        <v>7.4729025237629504E-2</v>
      </c>
      <c r="CY20" s="3">
        <v>5.5469759802751727E-2</v>
      </c>
      <c r="CZ20" s="3">
        <v>0.28272751836899113</v>
      </c>
      <c r="DA20" s="3">
        <v>3.254048771630276E-3</v>
      </c>
      <c r="DB20" s="3">
        <v>2.8045602432429009E-2</v>
      </c>
      <c r="DC20" s="3">
        <v>2.9437086544702479E-2</v>
      </c>
      <c r="DD20" s="3">
        <v>-5.7460005386840263E-2</v>
      </c>
      <c r="DE20" s="3">
        <v>-7.7906388992606587E-2</v>
      </c>
      <c r="DF20" s="3">
        <v>0.1531238030621441</v>
      </c>
      <c r="DG20" s="3">
        <v>-7.7993512482746927E-2</v>
      </c>
      <c r="DH20" s="3">
        <v>0.25536592759079091</v>
      </c>
      <c r="DI20" s="3">
        <v>-5.0487176211386382E-2</v>
      </c>
      <c r="DJ20" s="3">
        <v>7.3666869433651722E-2</v>
      </c>
      <c r="DK20" s="3">
        <v>-5.0743335433512927E-2</v>
      </c>
      <c r="DL20" s="3">
        <v>2.670600253787983E-2</v>
      </c>
      <c r="DM20" s="3">
        <v>6.1302521074969377E-3</v>
      </c>
      <c r="DN20" s="3">
        <v>1.50848722240395E-2</v>
      </c>
      <c r="DO20" s="3">
        <v>2.201233056690537E-2</v>
      </c>
      <c r="DP20" s="3">
        <v>-1.0895846369663341E-2</v>
      </c>
      <c r="DQ20" s="3">
        <v>-5.3023545592991987E-2</v>
      </c>
      <c r="DR20" s="3">
        <v>-1.2326022261330209E-3</v>
      </c>
      <c r="DS20" s="3">
        <v>-1.4677070735532691E-2</v>
      </c>
      <c r="DT20" s="3">
        <v>-1.3113490906456389E-2</v>
      </c>
      <c r="DU20" s="3">
        <v>-4.1039674166953338E-2</v>
      </c>
      <c r="DV20" s="3">
        <v>9.853696708227816E-2</v>
      </c>
      <c r="DW20" s="3">
        <v>-2.8959832923063891E-2</v>
      </c>
      <c r="DX20" s="3">
        <v>-8.8851768775051604E-2</v>
      </c>
      <c r="DY20" s="3">
        <v>5.9870295667185963E-2</v>
      </c>
      <c r="DZ20" s="3">
        <v>3.2260813210566439E-2</v>
      </c>
      <c r="EA20" s="3">
        <v>1.2541873503670659E-2</v>
      </c>
      <c r="EB20" s="3">
        <v>-9.5368315486674127E-2</v>
      </c>
      <c r="EC20" s="3">
        <v>2.7151920086185222E-2</v>
      </c>
      <c r="ED20" s="3">
        <v>-9.8111905729643789E-2</v>
      </c>
      <c r="EE20" s="3">
        <v>-8.6047304653593532E-3</v>
      </c>
      <c r="EF20" s="3">
        <v>0.1001202989095212</v>
      </c>
      <c r="EG20" s="3">
        <v>5.7095674843813733E-2</v>
      </c>
      <c r="EH20" s="3">
        <v>1.619146394328801E-2</v>
      </c>
      <c r="EI20" s="3">
        <v>-3.8661775303927913E-2</v>
      </c>
      <c r="EJ20" s="3">
        <v>-9.1530748917065446E-2</v>
      </c>
      <c r="EK20" s="3">
        <v>-1.1746175198816411E-2</v>
      </c>
      <c r="EL20" s="3">
        <v>-0.2146784698460231</v>
      </c>
      <c r="EM20">
        <f t="shared" si="11"/>
        <v>1.4840607616806731E-2</v>
      </c>
      <c r="EN20">
        <f t="shared" si="12"/>
        <v>8.9852137989160683E-2</v>
      </c>
      <c r="EO20">
        <f t="shared" si="13"/>
        <v>0.16516699489773998</v>
      </c>
    </row>
    <row r="21" spans="1:145" x14ac:dyDescent="0.3">
      <c r="A21" s="18">
        <v>256</v>
      </c>
      <c r="B21" s="18">
        <f t="shared" si="10"/>
        <v>4</v>
      </c>
      <c r="C21" s="3">
        <v>0.25183987954431808</v>
      </c>
      <c r="D21" s="3">
        <v>0.13267816088880971</v>
      </c>
      <c r="E21" s="3">
        <v>0.1088972945232346</v>
      </c>
      <c r="F21" s="3">
        <v>-0.1729830070650519</v>
      </c>
      <c r="G21" s="3">
        <v>9.9616282673808898E-2</v>
      </c>
      <c r="H21" s="3">
        <v>-5.0483501999209673E-2</v>
      </c>
      <c r="I21" s="3">
        <v>4.910180955634097E-2</v>
      </c>
      <c r="J21" s="3">
        <v>-0.1137628262067025</v>
      </c>
      <c r="K21" s="3">
        <v>8.6070859054277193E-2</v>
      </c>
      <c r="L21" s="3">
        <v>1.467767132766544E-2</v>
      </c>
      <c r="M21" s="3">
        <v>-0.23509010683086309</v>
      </c>
      <c r="N21" s="3">
        <v>0.15523710009510519</v>
      </c>
      <c r="O21" s="3">
        <v>-2.5465909296559109E-2</v>
      </c>
      <c r="P21" s="3">
        <v>6.9857815685941418E-2</v>
      </c>
      <c r="Q21" s="3">
        <v>-1.6098090906045831E-2</v>
      </c>
      <c r="R21" s="3">
        <v>0.32228810124902479</v>
      </c>
      <c r="S21" s="3">
        <v>-5.5539038995160862E-2</v>
      </c>
      <c r="T21" s="3">
        <v>-5.691103246554044E-2</v>
      </c>
      <c r="U21" s="3">
        <v>-0.1142687574948025</v>
      </c>
      <c r="V21" s="3">
        <v>-1.4254201508782019E-2</v>
      </c>
      <c r="W21" s="3">
        <v>-0.1694156581002505</v>
      </c>
      <c r="X21" s="3">
        <v>0.12009431989141731</v>
      </c>
      <c r="Y21" s="3">
        <v>-4.0964486545981602E-2</v>
      </c>
      <c r="Z21" s="3">
        <v>-4.3775605342492238E-3</v>
      </c>
      <c r="AA21" s="3">
        <v>5.7066341022120312E-2</v>
      </c>
      <c r="AB21" s="3">
        <v>5.7735443884720239E-2</v>
      </c>
      <c r="AC21" s="3">
        <v>-3.2454504533802157E-2</v>
      </c>
      <c r="AD21" s="3">
        <v>-3.022546482720807E-2</v>
      </c>
      <c r="AE21" s="3">
        <v>-6.1860219363320309E-3</v>
      </c>
      <c r="AF21" s="3">
        <v>-2.6486058497958931E-2</v>
      </c>
      <c r="AG21" s="3">
        <v>-4.6655968138537077E-2</v>
      </c>
      <c r="AH21" s="3">
        <v>-3.3178424192405513E-2</v>
      </c>
      <c r="AI21" s="3">
        <v>-4.8498591418221111E-3</v>
      </c>
      <c r="AJ21" s="3">
        <v>-4.6452969361208747E-2</v>
      </c>
      <c r="AK21" s="3">
        <v>1.8566998778727691E-2</v>
      </c>
      <c r="AL21" s="3">
        <v>3.2577599003250163E-2</v>
      </c>
      <c r="AM21" s="3">
        <v>8.4343812331896778E-2</v>
      </c>
      <c r="AN21" s="3">
        <v>0.11660203713753969</v>
      </c>
      <c r="AO21" s="3">
        <v>-4.8794094337494952E-2</v>
      </c>
      <c r="AP21" s="3">
        <v>-8.7045936819803729E-2</v>
      </c>
      <c r="AQ21" s="3">
        <v>-2.3542045658325659E-2</v>
      </c>
      <c r="AR21" s="3">
        <v>2.3742397324650669E-2</v>
      </c>
      <c r="AS21" s="3">
        <v>7.905915771633007E-3</v>
      </c>
      <c r="AT21" s="3">
        <v>-8.9994642556419681E-3</v>
      </c>
      <c r="AU21" s="3">
        <v>2.870786001825935E-3</v>
      </c>
      <c r="AV21" s="3">
        <v>-2.8296313853859209E-2</v>
      </c>
      <c r="AW21" s="3">
        <v>0.1018037380509067</v>
      </c>
      <c r="AX21" s="3">
        <v>1.021700160837632E-2</v>
      </c>
      <c r="AY21" s="3">
        <v>-3.002615113150019E-2</v>
      </c>
      <c r="AZ21" s="3">
        <v>3.8275412045165227E-2</v>
      </c>
      <c r="BA21" s="3">
        <v>2.159592579846532E-2</v>
      </c>
      <c r="BB21" s="3">
        <v>-4.5474322259213759E-3</v>
      </c>
      <c r="BC21" s="3">
        <v>-4.2050584257585802E-2</v>
      </c>
      <c r="BD21" s="3">
        <v>3.0791724429465379E-2</v>
      </c>
      <c r="BE21" s="3">
        <v>-8.5164024757369339E-2</v>
      </c>
      <c r="BF21" s="3">
        <v>-3.2782668625471738E-2</v>
      </c>
      <c r="BG21" s="3">
        <v>-3.7752840766719413E-2</v>
      </c>
      <c r="BH21" s="3">
        <v>0.19149307285016601</v>
      </c>
      <c r="BI21" s="3">
        <v>0.15190766123285429</v>
      </c>
      <c r="BJ21" s="3">
        <v>-4.2048410024437308E-2</v>
      </c>
      <c r="BK21" s="3">
        <v>4.3782711140797681E-2</v>
      </c>
      <c r="BL21" s="3">
        <v>5.8950311622416728E-2</v>
      </c>
      <c r="BM21" s="3">
        <v>-2.9558623538620401E-2</v>
      </c>
      <c r="BN21" s="3">
        <v>-1.836293728930807E-2</v>
      </c>
      <c r="BO21" s="3">
        <v>-2.325925838685948E-2</v>
      </c>
      <c r="BP21" s="3">
        <v>5.3479244113725247E-2</v>
      </c>
      <c r="BQ21" s="3">
        <v>5.4598269715587719E-3</v>
      </c>
      <c r="BR21" s="3">
        <v>5.1503014528014118E-2</v>
      </c>
      <c r="BS21" s="3">
        <v>1.2433712663929029E-2</v>
      </c>
      <c r="BT21" s="3">
        <v>-7.5987605594991722E-3</v>
      </c>
      <c r="BU21" s="3">
        <v>-7.8791231627502539E-2</v>
      </c>
      <c r="BV21" s="3">
        <v>9.4669765986656843E-2</v>
      </c>
      <c r="BW21" s="3">
        <v>-0.42230592438132297</v>
      </c>
      <c r="BX21" s="3">
        <v>-2.0886496937494309E-3</v>
      </c>
      <c r="BY21" s="3">
        <v>-0.16084048921578609</v>
      </c>
      <c r="BZ21" s="3">
        <v>0.12959529861599611</v>
      </c>
      <c r="CA21" s="3">
        <v>-1.3264333171583639E-3</v>
      </c>
      <c r="CB21" s="3">
        <v>0.1097303425158235</v>
      </c>
      <c r="CC21" s="3">
        <v>1.681645956605328E-2</v>
      </c>
      <c r="CD21" s="3">
        <v>8.5144925681443828E-2</v>
      </c>
      <c r="CE21" s="3">
        <v>6.9640227178963607E-3</v>
      </c>
      <c r="CF21" s="3">
        <v>1.6581863437596409E-2</v>
      </c>
      <c r="CG21" s="3">
        <v>0.15528762840985269</v>
      </c>
      <c r="CH21" s="3">
        <v>7.8018064922291269E-2</v>
      </c>
      <c r="CI21" s="3">
        <v>-0.1171059831510244</v>
      </c>
      <c r="CJ21" s="3">
        <v>1.8746703673516971E-2</v>
      </c>
      <c r="CK21" s="3">
        <v>5.1081965997012917E-2</v>
      </c>
      <c r="CL21" s="3">
        <v>0.14183048726403991</v>
      </c>
      <c r="CM21" s="3">
        <v>6.1961152916451087E-2</v>
      </c>
      <c r="CN21" s="3">
        <v>3.1740498060766453E-2</v>
      </c>
      <c r="CO21" s="3">
        <v>-0.28722976162658492</v>
      </c>
      <c r="CP21" s="3">
        <v>0.23033025157710099</v>
      </c>
      <c r="CQ21" s="3">
        <v>0.14371842601046131</v>
      </c>
      <c r="CR21" s="3">
        <v>4.7847287928880711E-2</v>
      </c>
      <c r="CS21" s="3">
        <v>-2.540617357723585E-2</v>
      </c>
      <c r="CT21" s="3">
        <v>-3.3128211956768253E-2</v>
      </c>
      <c r="CU21" s="3">
        <v>1.192255443900214E-2</v>
      </c>
      <c r="CV21" s="3">
        <v>4.7324337292562357E-2</v>
      </c>
      <c r="CW21" s="3">
        <v>0.16081337696143561</v>
      </c>
      <c r="CX21" s="3">
        <v>5.3513153222415788E-2</v>
      </c>
      <c r="CY21" s="3">
        <v>-1.6721059576453329E-2</v>
      </c>
      <c r="CZ21" s="3">
        <v>0.35365801056312779</v>
      </c>
      <c r="DA21" s="3">
        <v>4.3400852889517859E-2</v>
      </c>
      <c r="DB21" s="3">
        <v>2.6018671573402579E-2</v>
      </c>
      <c r="DC21" s="3">
        <v>4.6118418511090539E-2</v>
      </c>
      <c r="DD21" s="3">
        <v>-5.047692336427801E-2</v>
      </c>
      <c r="DE21" s="3">
        <v>-5.8422428464112552E-2</v>
      </c>
      <c r="DF21" s="3">
        <v>0.17747549201172291</v>
      </c>
      <c r="DG21" s="3">
        <v>-8.2691500054657363E-2</v>
      </c>
      <c r="DH21" s="3">
        <v>0.31635627728873772</v>
      </c>
      <c r="DI21" s="3">
        <v>-5.3858180089928202E-2</v>
      </c>
      <c r="DJ21" s="3">
        <v>4.0012808940635081E-2</v>
      </c>
      <c r="DK21" s="3">
        <v>-5.4200309658843031E-2</v>
      </c>
      <c r="DL21" s="3">
        <v>2.6092205184949861E-2</v>
      </c>
      <c r="DM21" s="3">
        <v>2.4250255238488901E-2</v>
      </c>
      <c r="DN21" s="3">
        <v>-1.6913318804417991E-2</v>
      </c>
      <c r="DO21" s="3">
        <v>1.677677289874735E-2</v>
      </c>
      <c r="DP21" s="3">
        <v>-1.6940353842578072E-2</v>
      </c>
      <c r="DQ21" s="3">
        <v>-5.1027104195110452E-2</v>
      </c>
      <c r="DR21" s="3">
        <v>-3.5513394916425911E-2</v>
      </c>
      <c r="DS21" s="3">
        <v>-7.1747600980726356E-3</v>
      </c>
      <c r="DT21" s="3">
        <v>-8.9123630003081281E-3</v>
      </c>
      <c r="DU21" s="3">
        <v>-4.6510035046752232E-2</v>
      </c>
      <c r="DV21" s="3">
        <v>9.8900706314748538E-2</v>
      </c>
      <c r="DW21" s="3">
        <v>-4.0438344765793909E-2</v>
      </c>
      <c r="DX21" s="3">
        <v>-8.7212577721517193E-2</v>
      </c>
      <c r="DY21" s="3">
        <v>4.9237470354560463E-2</v>
      </c>
      <c r="DZ21" s="3">
        <v>8.8341009389284603E-3</v>
      </c>
      <c r="EA21" s="3">
        <v>2.8994129754801031E-2</v>
      </c>
      <c r="EB21" s="3">
        <v>-0.12811308284100639</v>
      </c>
      <c r="EC21" s="3">
        <v>2.910288963160838E-2</v>
      </c>
      <c r="ED21" s="3">
        <v>-7.5242574777900459E-2</v>
      </c>
      <c r="EE21" s="3">
        <v>3.9576142843102639E-4</v>
      </c>
      <c r="EF21" s="3">
        <v>0.1121865348138322</v>
      </c>
      <c r="EG21" s="3">
        <v>4.8061567864415428E-2</v>
      </c>
      <c r="EH21" s="3">
        <v>2.8895578692963581E-2</v>
      </c>
      <c r="EI21" s="3">
        <v>-4.8327219129909879E-2</v>
      </c>
      <c r="EJ21" s="3">
        <v>-9.3165132937983716E-2</v>
      </c>
      <c r="EK21" s="3">
        <v>-4.135235896634798E-2</v>
      </c>
      <c r="EL21" s="3">
        <v>-0.25864173893906628</v>
      </c>
      <c r="EM21">
        <f t="shared" si="11"/>
        <v>1.0756146000633049E-2</v>
      </c>
      <c r="EN21">
        <f t="shared" si="12"/>
        <v>0.1036956149566053</v>
      </c>
      <c r="EO21">
        <f t="shared" si="13"/>
        <v>0.10372806993945016</v>
      </c>
    </row>
    <row r="22" spans="1:145" x14ac:dyDescent="0.3">
      <c r="A22" s="18">
        <v>400</v>
      </c>
      <c r="B22" s="18">
        <f t="shared" si="10"/>
        <v>3</v>
      </c>
      <c r="C22" s="3">
        <v>0.27861783207491803</v>
      </c>
      <c r="D22" s="3">
        <v>0.12704329228368599</v>
      </c>
      <c r="E22" s="3">
        <v>2.278550623230172E-2</v>
      </c>
      <c r="F22" s="3">
        <v>-7.003525319475673E-2</v>
      </c>
      <c r="G22" s="3">
        <v>3.8336058627174797E-2</v>
      </c>
      <c r="H22" s="3">
        <v>-7.8378306385354923E-2</v>
      </c>
      <c r="I22" s="3">
        <v>3.0861640251655911E-2</v>
      </c>
      <c r="J22" s="3">
        <v>-0.14662221042949761</v>
      </c>
      <c r="K22" s="3">
        <v>7.1057142105224569E-2</v>
      </c>
      <c r="L22" s="3">
        <v>-3.6041466205800093E-2</v>
      </c>
      <c r="M22" s="3">
        <v>-0.29101759033604119</v>
      </c>
      <c r="N22" s="3">
        <v>0.17748244005442321</v>
      </c>
      <c r="O22" s="3">
        <v>-8.1665832530784896E-2</v>
      </c>
      <c r="P22" s="3">
        <v>4.3937834652710082E-2</v>
      </c>
      <c r="Q22" s="3">
        <v>-4.8538725755798463E-2</v>
      </c>
      <c r="R22" s="3">
        <v>0.22082321652324891</v>
      </c>
      <c r="S22" s="3">
        <v>-4.8454711908250757E-2</v>
      </c>
      <c r="T22" s="3">
        <v>-6.2886797910520504E-3</v>
      </c>
      <c r="U22" s="3">
        <v>-6.4029874458923081E-3</v>
      </c>
      <c r="V22" s="3">
        <v>-2.3233597443096381E-2</v>
      </c>
      <c r="W22" s="3">
        <v>-0.2086566077883252</v>
      </c>
      <c r="X22" s="3">
        <v>0.14585399788788919</v>
      </c>
      <c r="Y22" s="3">
        <v>-3.7263320609244401E-2</v>
      </c>
      <c r="Z22" s="3">
        <v>9.4070172871971308E-3</v>
      </c>
      <c r="AA22" s="3">
        <v>8.5008449196065247E-2</v>
      </c>
      <c r="AB22" s="3">
        <v>6.0533234173307228E-2</v>
      </c>
      <c r="AC22" s="3">
        <v>-6.4621288973430821E-2</v>
      </c>
      <c r="AD22" s="3">
        <v>-5.3076642873686408E-2</v>
      </c>
      <c r="AE22" s="3">
        <v>1.041220466395649E-2</v>
      </c>
      <c r="AF22" s="3">
        <v>-4.6025384682223149E-3</v>
      </c>
      <c r="AG22" s="3">
        <v>-3.2441792245492602E-2</v>
      </c>
      <c r="AH22" s="3">
        <v>-3.8286373386914152E-2</v>
      </c>
      <c r="AI22" s="3">
        <v>-2.29476040149647E-2</v>
      </c>
      <c r="AJ22" s="3">
        <v>-7.2184616792496686E-2</v>
      </c>
      <c r="AK22" s="3">
        <v>-1.99117645250757E-2</v>
      </c>
      <c r="AL22" s="3">
        <v>6.1832058626486663E-2</v>
      </c>
      <c r="AM22" s="3">
        <v>3.9006493011247277E-2</v>
      </c>
      <c r="AN22" s="3">
        <v>0.15865965102806801</v>
      </c>
      <c r="AO22" s="3">
        <v>-3.9600349461513258E-2</v>
      </c>
      <c r="AP22" s="3">
        <v>-8.8646983108534055E-2</v>
      </c>
      <c r="AQ22" s="3">
        <v>-4.6701472364920768E-2</v>
      </c>
      <c r="AR22" s="3">
        <v>2.5459222453945451E-2</v>
      </c>
      <c r="AS22" s="3">
        <v>2.6085252131893659E-4</v>
      </c>
      <c r="AT22" s="3">
        <v>-2.4821379283454671E-2</v>
      </c>
      <c r="AU22" s="3">
        <v>-1.0163453889788969E-2</v>
      </c>
      <c r="AV22" s="3">
        <v>-5.509779511581115E-2</v>
      </c>
      <c r="AW22" s="3">
        <v>9.7031485143074692E-2</v>
      </c>
      <c r="AX22" s="3">
        <v>8.0867566779482605E-3</v>
      </c>
      <c r="AY22" s="3">
        <v>-9.2059021476917038E-2</v>
      </c>
      <c r="AZ22" s="3">
        <v>6.8893212395072484E-2</v>
      </c>
      <c r="BA22" s="3">
        <v>5.5262144979588479E-2</v>
      </c>
      <c r="BB22" s="3">
        <v>-2.2123658023636399E-2</v>
      </c>
      <c r="BC22" s="3">
        <v>-3.6671643616015749E-2</v>
      </c>
      <c r="BD22" s="3">
        <v>-8.2302664579431528E-2</v>
      </c>
      <c r="BE22" s="3">
        <v>-0.12497882470145399</v>
      </c>
      <c r="BF22" s="3">
        <v>-5.4712669362264703E-2</v>
      </c>
      <c r="BG22" s="3">
        <v>-7.5859138918765133E-3</v>
      </c>
      <c r="BH22" s="3">
        <v>0.18701690752810529</v>
      </c>
      <c r="BI22" s="3">
        <v>9.9566836698939037E-2</v>
      </c>
      <c r="BJ22" s="3">
        <v>-5.7349900282108408E-2</v>
      </c>
      <c r="BK22" s="3">
        <v>4.2987895942353617E-2</v>
      </c>
      <c r="BL22" s="3">
        <v>4.3102686516829469E-2</v>
      </c>
      <c r="BM22" s="3">
        <v>-2.110827035598677E-2</v>
      </c>
      <c r="BN22" s="3">
        <v>-3.8204221401289713E-2</v>
      </c>
      <c r="BO22" s="3">
        <v>-5.6987567610735097E-2</v>
      </c>
      <c r="BP22" s="3">
        <v>1.006964685758688E-2</v>
      </c>
      <c r="BQ22" s="3">
        <v>-4.7808996246412203E-2</v>
      </c>
      <c r="BR22" s="3">
        <v>5.7706088757246393E-2</v>
      </c>
      <c r="BS22" s="3">
        <v>-2.6683124203452351E-2</v>
      </c>
      <c r="BT22" s="3">
        <v>-6.157118811314273E-2</v>
      </c>
      <c r="BU22" s="3">
        <v>-8.0427063043999825E-2</v>
      </c>
      <c r="BV22" s="3">
        <v>0.11683517745976971</v>
      </c>
      <c r="BW22" s="3">
        <v>-0.18157226800265491</v>
      </c>
      <c r="BX22" s="3">
        <v>-3.4128231995656871E-3</v>
      </c>
      <c r="BY22" s="3">
        <v>-0.15815447346711009</v>
      </c>
      <c r="BZ22" s="3">
        <v>0.1565008957232662</v>
      </c>
      <c r="CA22" s="3">
        <v>-1.5476996176060669E-2</v>
      </c>
      <c r="CB22" s="3">
        <v>0.1207705737269608</v>
      </c>
      <c r="CC22" s="3">
        <v>-4.1029766784989333E-2</v>
      </c>
      <c r="CD22" s="3">
        <v>3.681620307795308E-2</v>
      </c>
      <c r="CE22" s="3">
        <v>4.3398186156279807E-2</v>
      </c>
      <c r="CF22" s="3">
        <v>5.6609494287472993E-2</v>
      </c>
      <c r="CG22" s="3">
        <v>0.1982535421185907</v>
      </c>
      <c r="CH22" s="3">
        <v>0.1548913755599384</v>
      </c>
      <c r="CI22" s="3">
        <v>-0.17297298534472769</v>
      </c>
      <c r="CJ22" s="3">
        <v>3.9647783620364828E-2</v>
      </c>
      <c r="CK22" s="3">
        <v>3.643012312971821E-2</v>
      </c>
      <c r="CL22" s="3">
        <v>0.1419749823761082</v>
      </c>
      <c r="CM22" s="3">
        <v>6.9928789733091648E-2</v>
      </c>
      <c r="CN22" s="3">
        <v>6.401034433585634E-2</v>
      </c>
      <c r="CO22" s="3">
        <v>-0.37680446344099888</v>
      </c>
      <c r="CP22" s="3">
        <v>0.28165288504585312</v>
      </c>
      <c r="CQ22" s="3">
        <v>0.15780083993110119</v>
      </c>
      <c r="CR22" s="3">
        <v>6.5640262284019951E-2</v>
      </c>
      <c r="CS22" s="3">
        <v>-2.2499952655465151E-2</v>
      </c>
      <c r="CT22" s="3">
        <v>-5.1155976779188338E-2</v>
      </c>
      <c r="CU22" s="3">
        <v>-2.0466284016787861E-2</v>
      </c>
      <c r="CV22" s="3">
        <v>6.821877693739295E-2</v>
      </c>
      <c r="CW22" s="3">
        <v>9.3960602040702598E-2</v>
      </c>
      <c r="CX22" s="3">
        <v>1.7832090220447499E-2</v>
      </c>
      <c r="CY22" s="3">
        <v>-3.409028321605747E-2</v>
      </c>
      <c r="CZ22" s="3">
        <v>0.31733636460954251</v>
      </c>
      <c r="DA22" s="3">
        <v>3.6885376527494892E-2</v>
      </c>
      <c r="DB22" s="3">
        <v>5.0942645263767287E-2</v>
      </c>
      <c r="DC22" s="3">
        <v>6.3287232191249487E-2</v>
      </c>
      <c r="DD22" s="3">
        <v>-0.112011697618007</v>
      </c>
      <c r="DE22" s="3">
        <v>-9.9885903897228845E-2</v>
      </c>
      <c r="DF22" s="3">
        <v>0.17811752747812809</v>
      </c>
      <c r="DG22" s="3">
        <v>-0.118323532895833</v>
      </c>
      <c r="DH22" s="3">
        <v>7.0597160880517998E-2</v>
      </c>
      <c r="DI22" s="3">
        <v>-4.8970483223811111E-2</v>
      </c>
      <c r="DJ22" s="3">
        <v>7.3640650283188738E-2</v>
      </c>
      <c r="DK22" s="3">
        <v>2.8638306108271481E-2</v>
      </c>
      <c r="DL22" s="3">
        <v>6.0731732418823632E-2</v>
      </c>
      <c r="DM22" s="3">
        <v>1.919251603706473E-2</v>
      </c>
      <c r="DN22" s="3">
        <v>-2.2195875049433431E-3</v>
      </c>
      <c r="DO22" s="3">
        <v>2.0746967314605499E-2</v>
      </c>
      <c r="DP22" s="3">
        <v>-2.7406499515180659E-2</v>
      </c>
      <c r="DQ22" s="3">
        <v>-6.6387421837909383E-2</v>
      </c>
      <c r="DR22" s="3">
        <v>-6.1221925242819858E-2</v>
      </c>
      <c r="DS22" s="3">
        <v>1.647394878050281E-2</v>
      </c>
      <c r="DT22" s="3">
        <v>-1.5763944395282361E-2</v>
      </c>
      <c r="DU22" s="3">
        <v>-9.4836276602304592E-2</v>
      </c>
      <c r="DV22" s="3">
        <v>0.1075849346731102</v>
      </c>
      <c r="DW22" s="3">
        <v>-1.9894328483815601E-2</v>
      </c>
      <c r="DX22" s="3">
        <v>-8.5714296710423021E-2</v>
      </c>
      <c r="DY22" s="3">
        <v>2.153396708382798E-2</v>
      </c>
      <c r="DZ22" s="3">
        <v>1.37676195836814E-2</v>
      </c>
      <c r="EA22" s="3">
        <v>2.728257684525601E-2</v>
      </c>
      <c r="EB22" s="3">
        <v>-0.14341286197172709</v>
      </c>
      <c r="EC22" s="3">
        <v>2.2582128848384151E-2</v>
      </c>
      <c r="ED22" s="3">
        <v>-0.1071016266113405</v>
      </c>
      <c r="EE22" s="3">
        <v>3.4798894381759759E-3</v>
      </c>
      <c r="EF22" s="3">
        <v>0.10581546116885029</v>
      </c>
      <c r="EG22" s="3">
        <v>4.3611533929472347E-2</v>
      </c>
      <c r="EH22" s="3">
        <v>5.6104637527484062E-2</v>
      </c>
      <c r="EI22" s="3">
        <v>-2.881597375503463E-2</v>
      </c>
      <c r="EJ22" s="3">
        <v>-4.9835168326952797E-2</v>
      </c>
      <c r="EK22" s="3">
        <v>5.4704260831085677E-2</v>
      </c>
      <c r="EL22" s="3">
        <v>-0.25106699830930812</v>
      </c>
      <c r="EM22">
        <f t="shared" si="11"/>
        <v>5.1039235679749351E-3</v>
      </c>
      <c r="EN22">
        <f t="shared" si="12"/>
        <v>0.10188018247543688</v>
      </c>
      <c r="EO22">
        <f t="shared" si="13"/>
        <v>5.009731474720789E-2</v>
      </c>
    </row>
    <row r="23" spans="1:145" x14ac:dyDescent="0.3">
      <c r="A23" s="18">
        <v>512</v>
      </c>
      <c r="B23" s="18">
        <f t="shared" si="10"/>
        <v>2</v>
      </c>
      <c r="C23" s="3">
        <v>0.11485421049501771</v>
      </c>
      <c r="D23" s="3">
        <v>0.1819666825512519</v>
      </c>
      <c r="E23" s="3">
        <v>5.5848105615201253E-2</v>
      </c>
      <c r="F23" s="3">
        <v>-3.740232941910691E-3</v>
      </c>
      <c r="G23" s="3">
        <v>3.6647465323204537E-2</v>
      </c>
      <c r="H23" s="3">
        <v>-0.1152062044195543</v>
      </c>
      <c r="I23" s="3">
        <v>5.2934935666961183E-2</v>
      </c>
      <c r="J23" s="3">
        <v>-0.1633723351693519</v>
      </c>
      <c r="K23" s="3">
        <v>8.4727163910939124E-2</v>
      </c>
      <c r="L23" s="3">
        <v>-7.5309487250420554E-2</v>
      </c>
      <c r="M23" s="3">
        <v>-0.1645617720401521</v>
      </c>
      <c r="N23" s="3">
        <v>0.1079099386769064</v>
      </c>
      <c r="O23" s="3">
        <v>5.6392739850369702E-2</v>
      </c>
      <c r="P23" s="3">
        <v>0.1047780703383773</v>
      </c>
      <c r="Q23" s="3">
        <v>1.8698355248299041E-2</v>
      </c>
      <c r="R23" s="3">
        <v>0.41132504024324368</v>
      </c>
      <c r="S23" s="3">
        <v>-1.008858545814512E-2</v>
      </c>
      <c r="T23" s="3">
        <v>0.16264101827076491</v>
      </c>
      <c r="U23" s="3">
        <v>-0.14926323067029409</v>
      </c>
      <c r="V23" s="3">
        <v>-4.8307165415720117E-2</v>
      </c>
      <c r="W23" s="3">
        <v>-0.43190305236958709</v>
      </c>
      <c r="X23" s="3">
        <v>0.16513781140631351</v>
      </c>
      <c r="Y23" s="3">
        <v>-5.5877175280162103E-2</v>
      </c>
      <c r="Z23" s="3">
        <v>-1.274523481127976E-2</v>
      </c>
      <c r="AA23" s="3">
        <v>8.3167195267772165E-2</v>
      </c>
      <c r="AB23" s="3">
        <v>9.8867089989112145E-2</v>
      </c>
      <c r="AC23" s="3">
        <v>-8.6285513799247676E-2</v>
      </c>
      <c r="AD23" s="3">
        <v>-1.9711634841140378E-2</v>
      </c>
      <c r="AE23" s="3">
        <v>4.202708491564186E-2</v>
      </c>
      <c r="AF23" s="3">
        <v>-5.9876338894867098E-2</v>
      </c>
      <c r="AG23" s="3">
        <v>-6.4425591625972847E-2</v>
      </c>
      <c r="AH23" s="3">
        <v>-3.7526630236578477E-2</v>
      </c>
      <c r="AI23" s="3">
        <v>-2.5259591684724719E-2</v>
      </c>
      <c r="AJ23" s="3">
        <v>-8.6807141914045538E-2</v>
      </c>
      <c r="AK23" s="3">
        <v>-5.4982380329537117E-2</v>
      </c>
      <c r="AL23" s="3">
        <v>2.6805574299417319E-2</v>
      </c>
      <c r="AM23" s="3">
        <v>5.7779556841464748E-2</v>
      </c>
      <c r="AN23" s="3">
        <v>0.22337238347001481</v>
      </c>
      <c r="AO23" s="3">
        <v>-2.75313444638321E-2</v>
      </c>
      <c r="AP23" s="3">
        <v>-0.10768862826345001</v>
      </c>
      <c r="AQ23" s="3">
        <v>-9.5859801675442391E-2</v>
      </c>
      <c r="AR23" s="3">
        <v>4.2802738291593562E-2</v>
      </c>
      <c r="AS23" s="3">
        <v>3.9929938406824718E-3</v>
      </c>
      <c r="AT23" s="3">
        <v>-2.7004944922406009E-2</v>
      </c>
      <c r="AU23" s="3">
        <v>-2.2371192188284261E-2</v>
      </c>
      <c r="AV23" s="3">
        <v>-7.6472413073730941E-2</v>
      </c>
      <c r="AW23" s="3">
        <v>4.3195748219567287E-2</v>
      </c>
      <c r="AX23" s="3">
        <v>-3.0535770262251859E-2</v>
      </c>
      <c r="AY23" s="3">
        <v>-0.1063779941120693</v>
      </c>
      <c r="AZ23" s="3">
        <v>3.2013853504059789E-2</v>
      </c>
      <c r="BA23" s="3">
        <v>2.7115479007199009E-3</v>
      </c>
      <c r="BB23" s="3">
        <v>8.5816739776280286E-3</v>
      </c>
      <c r="BC23" s="3">
        <v>8.7681561831594937E-2</v>
      </c>
      <c r="BD23" s="3">
        <v>-6.290119025233766E-2</v>
      </c>
      <c r="BE23" s="3">
        <v>-0.15931919843800291</v>
      </c>
      <c r="BF23" s="3">
        <v>-2.9560028615909551E-2</v>
      </c>
      <c r="BG23" s="3">
        <v>-0.12728601566673289</v>
      </c>
      <c r="BH23" s="3">
        <v>7.1113852660684651E-2</v>
      </c>
      <c r="BI23" s="3">
        <v>0.1092830914321366</v>
      </c>
      <c r="BJ23" s="3">
        <v>-5.6005335693321209E-2</v>
      </c>
      <c r="BK23" s="3">
        <v>-2.3472733234929919E-3</v>
      </c>
      <c r="BL23" s="3">
        <v>7.6383554294193828E-2</v>
      </c>
      <c r="BM23" s="3">
        <v>-9.0127804570409809E-2</v>
      </c>
      <c r="BN23" s="3">
        <v>-4.8215172560339317E-2</v>
      </c>
      <c r="BO23" s="3">
        <v>-3.488153905128244E-3</v>
      </c>
      <c r="BP23" s="3">
        <v>5.0768448883779398E-2</v>
      </c>
      <c r="BQ23" s="3">
        <v>-9.6079889458141887E-2</v>
      </c>
      <c r="BR23" s="3">
        <v>2.303532101540693E-2</v>
      </c>
      <c r="BS23" s="3">
        <v>3.7809900192933531E-3</v>
      </c>
      <c r="BT23" s="3">
        <v>-8.6885051133889467E-3</v>
      </c>
      <c r="BU23" s="3">
        <v>4.7709140195216992E-2</v>
      </c>
      <c r="BV23" s="3">
        <v>9.7607833646193687E-2</v>
      </c>
      <c r="BW23" s="3">
        <v>-0.29052758914794069</v>
      </c>
      <c r="BX23" s="3">
        <v>-3.6721383861565739E-2</v>
      </c>
      <c r="BY23" s="3">
        <v>-5.4527767249386322E-2</v>
      </c>
      <c r="BZ23" s="3">
        <v>0.13023802513311269</v>
      </c>
      <c r="CA23" s="3">
        <v>-6.885374715227148E-2</v>
      </c>
      <c r="CB23" s="3">
        <v>0.1623396264686674</v>
      </c>
      <c r="CC23" s="3">
        <v>-9.2546197507358749E-2</v>
      </c>
      <c r="CD23" s="3">
        <v>1.355645860948575E-2</v>
      </c>
      <c r="CE23" s="3">
        <v>4.8904467282384838E-2</v>
      </c>
      <c r="CF23" s="3">
        <v>2.3852083505405439E-2</v>
      </c>
      <c r="CG23" s="3">
        <v>-3.4974481312493533E-2</v>
      </c>
      <c r="CH23" s="3">
        <v>4.1751717168318693E-2</v>
      </c>
      <c r="CI23" s="3">
        <v>-0.17357942655394051</v>
      </c>
      <c r="CJ23" s="3">
        <v>3.7666763931247717E-2</v>
      </c>
      <c r="CK23" s="3">
        <v>3.0248613027257291E-2</v>
      </c>
      <c r="CL23" s="3">
        <v>0.1073660634001144</v>
      </c>
      <c r="CM23" s="3">
        <v>4.3954581005114228E-2</v>
      </c>
      <c r="CN23" s="3">
        <v>9.0924712149570097E-2</v>
      </c>
      <c r="CO23" s="3">
        <v>-0.65247618893532044</v>
      </c>
      <c r="CP23" s="3">
        <v>0.33740076026082771</v>
      </c>
      <c r="CQ23" s="3">
        <v>-5.5132240351221308E-2</v>
      </c>
      <c r="CR23" s="3">
        <v>-8.2678374363530691E-2</v>
      </c>
      <c r="CS23" s="3">
        <v>-6.1760048122273647E-2</v>
      </c>
      <c r="CT23" s="3">
        <v>-7.3206399144063683E-2</v>
      </c>
      <c r="CU23" s="3">
        <v>-3.7067626906801307E-2</v>
      </c>
      <c r="CV23" s="3">
        <v>5.7709303439554688E-2</v>
      </c>
      <c r="CW23" s="3">
        <v>6.1070259744906992E-2</v>
      </c>
      <c r="CX23" s="3">
        <v>7.0039198108854159E-2</v>
      </c>
      <c r="CY23" s="3">
        <v>-6.7477858073604929E-2</v>
      </c>
      <c r="CZ23" s="3">
        <v>0.46750505569241352</v>
      </c>
      <c r="DA23" s="3">
        <v>-4.5868800213384991E-2</v>
      </c>
      <c r="DB23" s="3">
        <v>9.2772393914255097E-2</v>
      </c>
      <c r="DC23" s="3">
        <v>9.2499352399592741E-2</v>
      </c>
      <c r="DD23" s="3">
        <v>-0.14643267404982019</v>
      </c>
      <c r="DE23" s="3">
        <v>-0.13048979179995879</v>
      </c>
      <c r="DF23" s="3">
        <v>0.1448225467020145</v>
      </c>
      <c r="DG23" s="3">
        <v>-0.1081263396878382</v>
      </c>
      <c r="DH23" s="3">
        <v>6.8675976560567814E-2</v>
      </c>
      <c r="DI23" s="3">
        <v>-6.026461965102535E-2</v>
      </c>
      <c r="DJ23" s="3">
        <v>0.1022705192561561</v>
      </c>
      <c r="DK23" s="3">
        <v>3.7259666938966401E-2</v>
      </c>
      <c r="DL23" s="3">
        <v>6.3898495026984747E-2</v>
      </c>
      <c r="DM23" s="3">
        <v>-1.1554089711509379E-2</v>
      </c>
      <c r="DN23" s="3">
        <v>-2.5811586495883689E-2</v>
      </c>
      <c r="DO23" s="3">
        <v>-2.6054278142139549E-3</v>
      </c>
      <c r="DP23" s="3">
        <v>-8.0576380041570181E-2</v>
      </c>
      <c r="DQ23" s="3">
        <v>-6.1615303293813109E-2</v>
      </c>
      <c r="DR23" s="3">
        <v>-6.6609044979453705E-2</v>
      </c>
      <c r="DS23" s="3">
        <v>-2.6785566159373018E-2</v>
      </c>
      <c r="DT23" s="3">
        <v>-6.6374967231996332E-2</v>
      </c>
      <c r="DU23" s="3">
        <v>-6.6495670406304719E-2</v>
      </c>
      <c r="DV23" s="3">
        <v>0.118211251218504</v>
      </c>
      <c r="DW23" s="3">
        <v>-2.7521302947472279E-2</v>
      </c>
      <c r="DX23" s="3">
        <v>-0.1081876099699665</v>
      </c>
      <c r="DY23" s="3">
        <v>7.5473469639061597E-2</v>
      </c>
      <c r="DZ23" s="3">
        <v>-3.6281716224061643E-2</v>
      </c>
      <c r="EA23" s="3">
        <v>1.4171786171715651E-2</v>
      </c>
      <c r="EB23" s="3">
        <v>-0.14427296893345759</v>
      </c>
      <c r="EC23" s="3">
        <v>4.1804385222942719E-3</v>
      </c>
      <c r="ED23" s="3">
        <v>-0.14527087503051381</v>
      </c>
      <c r="EE23" s="3">
        <v>-3.4868612259910968E-2</v>
      </c>
      <c r="EF23" s="3">
        <v>4.6265450407207233E-2</v>
      </c>
      <c r="EG23" s="3">
        <v>4.9764875980002267E-2</v>
      </c>
      <c r="EH23" s="3">
        <v>8.8842091168878062E-2</v>
      </c>
      <c r="EI23" s="3">
        <v>7.594415256950076E-3</v>
      </c>
      <c r="EJ23" s="3">
        <v>-6.9258191702631616E-2</v>
      </c>
      <c r="EK23" s="3">
        <v>2.950855110052801E-2</v>
      </c>
      <c r="EL23" s="3">
        <v>-0.40656909268923669</v>
      </c>
      <c r="EM23">
        <f t="shared" si="11"/>
        <v>-6.779986960018536E-3</v>
      </c>
      <c r="EN23">
        <f t="shared" si="12"/>
        <v>0.12729898612400722</v>
      </c>
      <c r="EO23">
        <f t="shared" si="13"/>
        <v>-5.3260337465797801E-2</v>
      </c>
    </row>
    <row r="24" spans="1:145" x14ac:dyDescent="0.3">
      <c r="A24" s="18">
        <v>1051</v>
      </c>
      <c r="B24" s="18">
        <f t="shared" si="10"/>
        <v>1</v>
      </c>
      <c r="C24" s="3">
        <v>0.1195719269206533</v>
      </c>
      <c r="D24" s="3">
        <v>0.20643218633729929</v>
      </c>
      <c r="E24" s="3">
        <v>9.9322026737449304E-2</v>
      </c>
      <c r="F24" s="3">
        <v>-7.9336742236520957E-2</v>
      </c>
      <c r="G24" s="3">
        <v>0.13812209372565809</v>
      </c>
      <c r="H24" s="3">
        <v>-5.0115467793482728E-2</v>
      </c>
      <c r="I24" s="3">
        <v>9.558110909343806E-2</v>
      </c>
      <c r="J24" s="3">
        <v>-9.1363264492087051E-2</v>
      </c>
      <c r="K24" s="3">
        <v>6.2731176803512284E-3</v>
      </c>
      <c r="L24" s="3">
        <v>-0.18643807230579421</v>
      </c>
      <c r="M24" s="3">
        <v>-0.33710989571295419</v>
      </c>
      <c r="N24" s="3">
        <v>0.1152438162851253</v>
      </c>
      <c r="O24" s="3">
        <v>3.5901291506544378E-2</v>
      </c>
      <c r="P24" s="3">
        <v>4.7026569465947438E-2</v>
      </c>
      <c r="Q24" s="3">
        <v>0.1244052314980061</v>
      </c>
      <c r="R24" s="3">
        <v>0.66918330066187592</v>
      </c>
      <c r="S24" s="3">
        <v>-5.2924039335374179E-2</v>
      </c>
      <c r="T24" s="3">
        <v>0.20681778455949931</v>
      </c>
      <c r="U24" s="3">
        <v>-0.24774936211640991</v>
      </c>
      <c r="V24" s="3">
        <v>0.21404521473092461</v>
      </c>
      <c r="W24" s="3">
        <v>-0.1999887736534797</v>
      </c>
      <c r="X24" s="3">
        <v>0.11261349396284159</v>
      </c>
      <c r="Y24" s="3">
        <v>-5.2892266949550133E-2</v>
      </c>
      <c r="Z24" s="3">
        <v>3.5809026773868618E-3</v>
      </c>
      <c r="AA24" s="3">
        <v>8.0182148515984972E-2</v>
      </c>
      <c r="AB24" s="3">
        <v>0.12274981471796841</v>
      </c>
      <c r="AC24" s="3">
        <v>-0.1203255078453315</v>
      </c>
      <c r="AD24" s="3">
        <v>1.7772169745797681E-2</v>
      </c>
      <c r="AE24" s="3">
        <v>5.2073331053026084E-3</v>
      </c>
      <c r="AF24" s="3">
        <v>-2.3181307634789889E-2</v>
      </c>
      <c r="AG24" s="3">
        <v>-0.10785903757039569</v>
      </c>
      <c r="AH24" s="3">
        <v>-8.2887659805767649E-2</v>
      </c>
      <c r="AI24" s="3">
        <v>-1.112199618336919E-2</v>
      </c>
      <c r="AJ24" s="3">
        <v>4.5782993500260369E-2</v>
      </c>
      <c r="AK24" s="3">
        <v>-2.5650824628405049E-2</v>
      </c>
      <c r="AL24" s="3">
        <v>0.1031784257218815</v>
      </c>
      <c r="AM24" s="3">
        <v>-4.7533610695957608E-3</v>
      </c>
      <c r="AN24" s="3">
        <v>0.13505605133774601</v>
      </c>
      <c r="AO24" s="3">
        <v>-4.445176257083381E-2</v>
      </c>
      <c r="AP24" s="3">
        <v>-7.7854171805328387E-2</v>
      </c>
      <c r="AQ24" s="3">
        <v>-2.9598394824722121E-2</v>
      </c>
      <c r="AR24" s="3">
        <v>1.6807746086219679E-2</v>
      </c>
      <c r="AS24" s="3">
        <v>-1.904662025409232E-2</v>
      </c>
      <c r="AT24" s="3">
        <v>-2.8016720131942709E-2</v>
      </c>
      <c r="AU24" s="3">
        <v>0</v>
      </c>
      <c r="AV24" s="3">
        <v>-0.17137852783629981</v>
      </c>
      <c r="AW24" s="3">
        <v>7.7513985579301781E-2</v>
      </c>
      <c r="AX24" s="3">
        <v>-2.7883838160144579E-2</v>
      </c>
      <c r="AY24" s="3">
        <v>-4.1924617298738948E-2</v>
      </c>
      <c r="AZ24" s="3">
        <v>-2.6269843776194758E-3</v>
      </c>
      <c r="BA24" s="3">
        <v>-2.0930804212408009E-2</v>
      </c>
      <c r="BB24" s="3">
        <v>7.391334847525366E-2</v>
      </c>
      <c r="BC24" s="3">
        <v>9.5674963059490373E-2</v>
      </c>
      <c r="BD24" s="3">
        <v>8.1412156470250102E-3</v>
      </c>
      <c r="BE24" s="3">
        <v>-0.22281253328525491</v>
      </c>
      <c r="BF24" s="3">
        <v>-0.1304428038994265</v>
      </c>
      <c r="BG24" s="3">
        <v>-4.4491723409217587E-2</v>
      </c>
      <c r="BH24" s="3">
        <v>-0.2200320758520076</v>
      </c>
      <c r="BI24" s="3">
        <v>0.17591579551390299</v>
      </c>
      <c r="BJ24" s="3">
        <v>-4.9761509559063832E-2</v>
      </c>
      <c r="BK24" s="3">
        <v>1.8101958242884169E-2</v>
      </c>
      <c r="BL24" s="3">
        <v>0.108810315262761</v>
      </c>
      <c r="BM24" s="3">
        <v>-6.9784782498663739E-2</v>
      </c>
      <c r="BN24" s="3">
        <v>-5.3531114464962573E-2</v>
      </c>
      <c r="BO24" s="3">
        <v>-1.246806243687207E-2</v>
      </c>
      <c r="BP24" s="3">
        <v>-1.4781072663421161E-3</v>
      </c>
      <c r="BQ24" s="3">
        <v>-9.6807193558686722E-2</v>
      </c>
      <c r="BR24" s="3">
        <v>-2.4739606175755931E-2</v>
      </c>
      <c r="BS24" s="3">
        <v>-4.2985962751836783E-2</v>
      </c>
      <c r="BT24" s="3">
        <v>-7.1645097067838198E-2</v>
      </c>
      <c r="BU24" s="3">
        <v>9.5772258696013218E-2</v>
      </c>
      <c r="BV24" s="3">
        <v>-3.3797379583290661E-2</v>
      </c>
      <c r="BW24" s="3">
        <v>-0.2385863953800923</v>
      </c>
      <c r="BX24" s="3">
        <v>-5.0460327704092367E-2</v>
      </c>
      <c r="BY24" s="3">
        <v>-2.0710948904457571E-2</v>
      </c>
      <c r="BZ24" s="3">
        <v>0.14650057624254059</v>
      </c>
      <c r="CA24" s="3">
        <v>-0.10827299372949151</v>
      </c>
      <c r="CB24" s="3">
        <v>0.16391839681819789</v>
      </c>
      <c r="CC24" s="3">
        <v>-0.28174394948898579</v>
      </c>
      <c r="CD24" s="3">
        <v>-0.1155161170239429</v>
      </c>
      <c r="CE24" s="3">
        <v>5.1999398533475329E-2</v>
      </c>
      <c r="CF24" s="3">
        <v>-6.7739908998654596E-4</v>
      </c>
      <c r="CG24" s="3">
        <v>-5.6756409677071427E-2</v>
      </c>
      <c r="CH24" s="3">
        <v>-0.10090284711822679</v>
      </c>
      <c r="CI24" s="3">
        <v>-0.19543104221337429</v>
      </c>
      <c r="CJ24" s="3">
        <v>6.1428062690227193E-2</v>
      </c>
      <c r="CK24" s="3">
        <v>8.200494992668951E-2</v>
      </c>
      <c r="CL24" s="3">
        <v>-3.9863016708614751E-4</v>
      </c>
      <c r="CM24" s="3">
        <v>-8.6846154400410408E-2</v>
      </c>
      <c r="CN24" s="3">
        <v>7.9128266319302504E-2</v>
      </c>
      <c r="CO24" s="3">
        <v>-0.29115343720724002</v>
      </c>
      <c r="CP24" s="3">
        <v>0.26545893566707068</v>
      </c>
      <c r="CQ24" s="3">
        <v>-8.8173547634953081E-2</v>
      </c>
      <c r="CR24" s="3">
        <v>-8.5247321596526371E-2</v>
      </c>
      <c r="CS24" s="3">
        <v>-7.6024055683375372E-3</v>
      </c>
      <c r="CT24" s="3">
        <v>-1.9405409694452522E-2</v>
      </c>
      <c r="CU24" s="3">
        <v>-7.9246332366792627E-2</v>
      </c>
      <c r="CV24" s="3">
        <v>7.0118948041471715E-2</v>
      </c>
      <c r="CW24" s="3">
        <v>1.7539454445279479E-2</v>
      </c>
      <c r="CX24" s="3">
        <v>7.1268730407826664E-2</v>
      </c>
      <c r="CY24" s="3">
        <v>-1.440430861996606E-3</v>
      </c>
      <c r="CZ24" s="3">
        <v>0.2247151373676807</v>
      </c>
      <c r="DA24" s="3">
        <v>-5.7311912850181383E-2</v>
      </c>
      <c r="DB24" s="3">
        <v>0.1088155058651234</v>
      </c>
      <c r="DC24" s="3">
        <v>-4.0938227956750228E-3</v>
      </c>
      <c r="DD24" s="3">
        <v>-7.2643096743361779E-2</v>
      </c>
      <c r="DE24" s="3">
        <v>-4.7996828150036107E-2</v>
      </c>
      <c r="DF24" s="3">
        <v>0.1038422792804818</v>
      </c>
      <c r="DG24" s="3">
        <v>-0.21460681004345139</v>
      </c>
      <c r="DH24" s="3">
        <v>0.1166081774832592</v>
      </c>
      <c r="DI24" s="3">
        <v>-0.1347629567973001</v>
      </c>
      <c r="DJ24" s="3">
        <v>3.2597200199561069E-2</v>
      </c>
      <c r="DK24" s="3">
        <v>0.16445858746947031</v>
      </c>
      <c r="DL24" s="3">
        <v>-5.3971835099290391E-2</v>
      </c>
      <c r="DM24" s="3">
        <v>2.488418509812004E-2</v>
      </c>
      <c r="DN24" s="3">
        <v>1.669345007318675E-2</v>
      </c>
      <c r="DO24" s="3">
        <v>4.6092733833101467E-2</v>
      </c>
      <c r="DP24" s="3">
        <v>-8.9827241818701258E-3</v>
      </c>
      <c r="DQ24" s="3">
        <v>-4.4193337507085123E-2</v>
      </c>
      <c r="DR24" s="3">
        <v>-2.0879617984008361E-2</v>
      </c>
      <c r="DS24" s="3">
        <v>-8.3506593509145452E-2</v>
      </c>
      <c r="DT24" s="3">
        <v>-9.8982358392772057E-2</v>
      </c>
      <c r="DU24" s="3">
        <v>-0.1237436918909495</v>
      </c>
      <c r="DV24" s="3">
        <v>3.3380339304264907E-2</v>
      </c>
      <c r="DW24" s="3">
        <v>-9.1591111327638808E-2</v>
      </c>
      <c r="DX24" s="3">
        <v>-0.13285616340256221</v>
      </c>
      <c r="DY24" s="3">
        <v>1.5745448665567261E-3</v>
      </c>
      <c r="DZ24" s="3">
        <v>-3.4235726922537367E-2</v>
      </c>
      <c r="EA24" s="3">
        <v>-3.052479588006483E-2</v>
      </c>
      <c r="EB24" s="3">
        <v>-0.1055726222303901</v>
      </c>
      <c r="EC24" s="3">
        <v>3.6069953857201749E-2</v>
      </c>
      <c r="ED24" s="3">
        <v>-7.1341141466125829E-2</v>
      </c>
      <c r="EE24" s="3">
        <v>-0.1132122604534672</v>
      </c>
      <c r="EF24" s="3">
        <v>0.13839137538836799</v>
      </c>
      <c r="EG24" s="3">
        <v>0.1049580201804665</v>
      </c>
      <c r="EH24" s="3">
        <v>2.161830676670394E-2</v>
      </c>
      <c r="EI24" s="3">
        <v>-0.10886381815607871</v>
      </c>
      <c r="EJ24" s="3">
        <v>-0.1008145162212517</v>
      </c>
      <c r="EK24" s="3">
        <v>1.9492080455529599E-2</v>
      </c>
      <c r="EL24" s="3">
        <v>0.1634654900557225</v>
      </c>
      <c r="EM24">
        <f t="shared" si="11"/>
        <v>-7.5266009911410222E-3</v>
      </c>
      <c r="EN24">
        <f t="shared" si="12"/>
        <v>0.12401216746031783</v>
      </c>
      <c r="EO24">
        <f t="shared" si="13"/>
        <v>-6.0692439663627598E-2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 t="s">
        <v>157</v>
      </c>
      <c r="D27" s="4" t="s">
        <v>157</v>
      </c>
      <c r="E27" s="4" t="s">
        <v>158</v>
      </c>
      <c r="F27" s="4" t="s">
        <v>159</v>
      </c>
      <c r="G27" s="4" t="s">
        <v>158</v>
      </c>
      <c r="H27" s="4" t="s">
        <v>158</v>
      </c>
      <c r="I27" s="4" t="s">
        <v>160</v>
      </c>
      <c r="J27" s="4" t="s">
        <v>158</v>
      </c>
      <c r="K27" s="4" t="s">
        <v>160</v>
      </c>
      <c r="L27" s="4" t="s">
        <v>158</v>
      </c>
      <c r="M27" s="4" t="s">
        <v>158</v>
      </c>
      <c r="N27" s="4" t="s">
        <v>158</v>
      </c>
      <c r="O27" s="4" t="s">
        <v>158</v>
      </c>
      <c r="P27" s="4" t="s">
        <v>160</v>
      </c>
      <c r="Q27" s="4" t="s">
        <v>160</v>
      </c>
      <c r="R27" s="4" t="s">
        <v>160</v>
      </c>
      <c r="S27" s="4" t="s">
        <v>160</v>
      </c>
      <c r="T27" s="4" t="s">
        <v>160</v>
      </c>
      <c r="U27" s="4" t="s">
        <v>161</v>
      </c>
      <c r="V27" s="4" t="s">
        <v>162</v>
      </c>
      <c r="W27" s="4" t="s">
        <v>163</v>
      </c>
      <c r="X27" s="4" t="s">
        <v>164</v>
      </c>
      <c r="Y27" s="4" t="s">
        <v>160</v>
      </c>
      <c r="Z27" s="4" t="s">
        <v>160</v>
      </c>
      <c r="AA27" s="4" t="s">
        <v>165</v>
      </c>
      <c r="AB27" s="4" t="s">
        <v>164</v>
      </c>
      <c r="AC27" s="4" t="s">
        <v>166</v>
      </c>
      <c r="AD27" s="4" t="s">
        <v>166</v>
      </c>
      <c r="AE27" s="4" t="s">
        <v>166</v>
      </c>
      <c r="AF27" s="4" t="s">
        <v>164</v>
      </c>
      <c r="AG27" s="4" t="s">
        <v>164</v>
      </c>
      <c r="AH27" s="4" t="s">
        <v>164</v>
      </c>
      <c r="AI27" s="4" t="s">
        <v>164</v>
      </c>
      <c r="AJ27" s="4" t="s">
        <v>164</v>
      </c>
      <c r="AK27" s="4" t="s">
        <v>164</v>
      </c>
      <c r="AL27" s="4" t="s">
        <v>164</v>
      </c>
      <c r="AM27" s="4" t="s">
        <v>164</v>
      </c>
      <c r="AN27" s="4" t="s">
        <v>164</v>
      </c>
      <c r="AO27" s="4" t="s">
        <v>164</v>
      </c>
      <c r="AP27" s="4" t="s">
        <v>164</v>
      </c>
      <c r="AQ27" s="4" t="s">
        <v>164</v>
      </c>
      <c r="AR27" s="4" t="s">
        <v>164</v>
      </c>
      <c r="AS27" s="4" t="s">
        <v>164</v>
      </c>
      <c r="AT27" s="4" t="s">
        <v>164</v>
      </c>
      <c r="AU27" s="4" t="s">
        <v>164</v>
      </c>
      <c r="AV27" s="4" t="s">
        <v>164</v>
      </c>
      <c r="AW27" s="4" t="s">
        <v>160</v>
      </c>
      <c r="AX27" s="4" t="s">
        <v>167</v>
      </c>
      <c r="AY27" s="4" t="s">
        <v>160</v>
      </c>
      <c r="AZ27" s="4" t="s">
        <v>164</v>
      </c>
      <c r="BA27" s="4" t="s">
        <v>164</v>
      </c>
      <c r="BB27" s="4" t="s">
        <v>160</v>
      </c>
      <c r="BC27" s="4" t="s">
        <v>160</v>
      </c>
      <c r="BD27" s="4" t="s">
        <v>160</v>
      </c>
      <c r="BE27" s="4" t="s">
        <v>164</v>
      </c>
      <c r="BF27" s="4" t="s">
        <v>168</v>
      </c>
      <c r="BG27" s="4" t="s">
        <v>164</v>
      </c>
      <c r="BH27" s="4" t="s">
        <v>164</v>
      </c>
      <c r="BI27" s="4" t="s">
        <v>169</v>
      </c>
      <c r="BJ27" s="4" t="s">
        <v>164</v>
      </c>
      <c r="BK27" s="4" t="s">
        <v>164</v>
      </c>
      <c r="BL27" s="4" t="s">
        <v>164</v>
      </c>
      <c r="BM27" s="4" t="s">
        <v>164</v>
      </c>
      <c r="BN27" s="4" t="s">
        <v>164</v>
      </c>
      <c r="BO27" s="4" t="s">
        <v>164</v>
      </c>
      <c r="BP27" s="4" t="s">
        <v>164</v>
      </c>
      <c r="BQ27" s="4" t="s">
        <v>164</v>
      </c>
      <c r="BR27" s="4" t="s">
        <v>164</v>
      </c>
      <c r="BS27" s="4" t="s">
        <v>164</v>
      </c>
      <c r="BT27" s="4" t="s">
        <v>164</v>
      </c>
      <c r="BU27" s="4" t="s">
        <v>164</v>
      </c>
      <c r="BV27" s="4" t="s">
        <v>164</v>
      </c>
      <c r="BW27" s="4" t="s">
        <v>164</v>
      </c>
      <c r="BX27" s="4" t="s">
        <v>164</v>
      </c>
      <c r="BY27" s="4" t="s">
        <v>164</v>
      </c>
      <c r="BZ27" s="4" t="s">
        <v>164</v>
      </c>
      <c r="CA27" s="4" t="s">
        <v>164</v>
      </c>
      <c r="CB27" s="4" t="s">
        <v>164</v>
      </c>
      <c r="CC27" s="4" t="s">
        <v>170</v>
      </c>
      <c r="CD27" s="4" t="s">
        <v>171</v>
      </c>
      <c r="CE27" s="4" t="s">
        <v>164</v>
      </c>
      <c r="CF27" s="4" t="s">
        <v>164</v>
      </c>
      <c r="CG27" s="4" t="s">
        <v>171</v>
      </c>
      <c r="CH27" s="4" t="s">
        <v>172</v>
      </c>
      <c r="CI27" s="4" t="s">
        <v>172</v>
      </c>
      <c r="CJ27" s="4" t="s">
        <v>172</v>
      </c>
      <c r="CK27" s="4" t="s">
        <v>172</v>
      </c>
      <c r="CL27" s="4" t="s">
        <v>172</v>
      </c>
      <c r="CM27" s="4" t="s">
        <v>172</v>
      </c>
      <c r="CN27" s="4" t="s">
        <v>172</v>
      </c>
      <c r="CO27" s="4" t="s">
        <v>172</v>
      </c>
      <c r="CP27" s="4" t="s">
        <v>172</v>
      </c>
      <c r="CQ27" s="4" t="s">
        <v>172</v>
      </c>
      <c r="CR27" s="4" t="s">
        <v>172</v>
      </c>
      <c r="CS27" s="4" t="s">
        <v>172</v>
      </c>
      <c r="CT27" s="4" t="s">
        <v>171</v>
      </c>
      <c r="CU27" s="4" t="s">
        <v>172</v>
      </c>
      <c r="CV27" s="4" t="s">
        <v>172</v>
      </c>
      <c r="CW27" s="4" t="s">
        <v>172</v>
      </c>
      <c r="CX27" s="4" t="s">
        <v>172</v>
      </c>
      <c r="CY27" s="4" t="s">
        <v>164</v>
      </c>
      <c r="CZ27" s="4" t="s">
        <v>164</v>
      </c>
      <c r="DA27" s="4" t="s">
        <v>173</v>
      </c>
      <c r="DB27" s="4" t="s">
        <v>174</v>
      </c>
      <c r="DC27" s="4" t="s">
        <v>174</v>
      </c>
      <c r="DD27" s="4" t="s">
        <v>173</v>
      </c>
      <c r="DE27" s="4" t="s">
        <v>175</v>
      </c>
      <c r="DF27" s="4" t="s">
        <v>164</v>
      </c>
      <c r="DG27" s="4" t="s">
        <v>174</v>
      </c>
      <c r="DH27" s="4" t="s">
        <v>173</v>
      </c>
      <c r="DI27" s="4" t="s">
        <v>164</v>
      </c>
      <c r="DJ27" s="4" t="s">
        <v>176</v>
      </c>
      <c r="DK27" s="4" t="s">
        <v>177</v>
      </c>
      <c r="DL27" s="4" t="s">
        <v>177</v>
      </c>
      <c r="DM27" s="4" t="s">
        <v>177</v>
      </c>
      <c r="DN27" s="4" t="s">
        <v>178</v>
      </c>
      <c r="DO27" s="4" t="s">
        <v>178</v>
      </c>
      <c r="DP27" s="4" t="s">
        <v>178</v>
      </c>
      <c r="DQ27" s="4" t="s">
        <v>175</v>
      </c>
      <c r="DR27" s="4" t="s">
        <v>179</v>
      </c>
      <c r="DS27" s="4" t="s">
        <v>172</v>
      </c>
      <c r="DT27" s="4" t="s">
        <v>179</v>
      </c>
      <c r="DU27" s="4" t="s">
        <v>179</v>
      </c>
      <c r="DV27" s="4" t="s">
        <v>175</v>
      </c>
      <c r="DW27" s="4" t="s">
        <v>180</v>
      </c>
      <c r="DX27" s="4" t="s">
        <v>172</v>
      </c>
      <c r="DY27" s="4" t="s">
        <v>180</v>
      </c>
      <c r="DZ27" s="4" t="s">
        <v>180</v>
      </c>
      <c r="EA27" s="4" t="s">
        <v>180</v>
      </c>
      <c r="EB27" s="4" t="s">
        <v>180</v>
      </c>
      <c r="EC27" s="4" t="s">
        <v>180</v>
      </c>
      <c r="ED27" s="4" t="s">
        <v>180</v>
      </c>
      <c r="EE27" s="4" t="s">
        <v>174</v>
      </c>
      <c r="EF27" s="4" t="s">
        <v>175</v>
      </c>
      <c r="EG27" s="4" t="s">
        <v>174</v>
      </c>
      <c r="EH27" s="4" t="s">
        <v>174</v>
      </c>
      <c r="EI27" s="4" t="s">
        <v>175</v>
      </c>
      <c r="EJ27" s="4" t="s">
        <v>174</v>
      </c>
      <c r="EK27" s="4" t="s">
        <v>180</v>
      </c>
      <c r="EL27" s="4" t="s">
        <v>174</v>
      </c>
      <c r="EM27" t="s">
        <v>181</v>
      </c>
    </row>
    <row r="28" spans="1:145" x14ac:dyDescent="0.3">
      <c r="C28" s="4" t="s">
        <v>182</v>
      </c>
      <c r="D28" s="4" t="s">
        <v>182</v>
      </c>
      <c r="E28" s="4" t="s">
        <v>183</v>
      </c>
      <c r="F28" s="4" t="s">
        <v>184</v>
      </c>
      <c r="G28" s="4" t="s">
        <v>183</v>
      </c>
      <c r="H28" s="4" t="s">
        <v>183</v>
      </c>
      <c r="I28" s="4" t="s">
        <v>185</v>
      </c>
      <c r="J28" s="4" t="s">
        <v>183</v>
      </c>
      <c r="K28" s="4" t="s">
        <v>185</v>
      </c>
      <c r="L28" s="4" t="s">
        <v>183</v>
      </c>
      <c r="M28" s="4" t="s">
        <v>183</v>
      </c>
      <c r="N28" s="4" t="s">
        <v>183</v>
      </c>
      <c r="O28" s="4" t="s">
        <v>183</v>
      </c>
      <c r="P28" s="4" t="s">
        <v>185</v>
      </c>
      <c r="Q28" s="4" t="s">
        <v>185</v>
      </c>
      <c r="R28" s="4" t="s">
        <v>185</v>
      </c>
      <c r="S28" s="4" t="s">
        <v>185</v>
      </c>
      <c r="T28" s="4" t="s">
        <v>185</v>
      </c>
      <c r="U28" s="4" t="s">
        <v>186</v>
      </c>
      <c r="V28" s="4" t="s">
        <v>187</v>
      </c>
      <c r="W28" s="4" t="s">
        <v>188</v>
      </c>
      <c r="X28" s="4" t="s">
        <v>189</v>
      </c>
      <c r="Y28" s="4" t="s">
        <v>185</v>
      </c>
      <c r="Z28" s="4" t="s">
        <v>185</v>
      </c>
      <c r="AA28" s="4" t="s">
        <v>190</v>
      </c>
      <c r="AB28" s="4" t="s">
        <v>189</v>
      </c>
      <c r="AC28" s="4" t="s">
        <v>191</v>
      </c>
      <c r="AD28" s="4" t="s">
        <v>191</v>
      </c>
      <c r="AE28" s="4" t="s">
        <v>191</v>
      </c>
      <c r="AF28" s="4" t="s">
        <v>189</v>
      </c>
      <c r="AG28" s="4" t="s">
        <v>189</v>
      </c>
      <c r="AH28" s="4" t="s">
        <v>189</v>
      </c>
      <c r="AI28" s="4" t="s">
        <v>189</v>
      </c>
      <c r="AJ28" s="4" t="s">
        <v>189</v>
      </c>
      <c r="AK28" s="4" t="s">
        <v>189</v>
      </c>
      <c r="AL28" s="4" t="s">
        <v>189</v>
      </c>
      <c r="AM28" s="4" t="s">
        <v>189</v>
      </c>
      <c r="AN28" s="4" t="s">
        <v>189</v>
      </c>
      <c r="AO28" s="4" t="s">
        <v>189</v>
      </c>
      <c r="AP28" s="4" t="s">
        <v>189</v>
      </c>
      <c r="AQ28" s="4" t="s">
        <v>189</v>
      </c>
      <c r="AR28" s="4" t="s">
        <v>189</v>
      </c>
      <c r="AS28" s="4" t="s">
        <v>189</v>
      </c>
      <c r="AT28" s="4" t="s">
        <v>189</v>
      </c>
      <c r="AU28" s="4" t="s">
        <v>189</v>
      </c>
      <c r="AV28" s="4" t="s">
        <v>189</v>
      </c>
      <c r="AW28" s="4" t="s">
        <v>185</v>
      </c>
      <c r="AX28" s="4" t="s">
        <v>192</v>
      </c>
      <c r="AY28" s="4" t="s">
        <v>185</v>
      </c>
      <c r="AZ28" s="4" t="s">
        <v>189</v>
      </c>
      <c r="BA28" s="4" t="s">
        <v>189</v>
      </c>
      <c r="BB28" s="4" t="s">
        <v>185</v>
      </c>
      <c r="BC28" s="4" t="s">
        <v>185</v>
      </c>
      <c r="BD28" s="4" t="s">
        <v>185</v>
      </c>
      <c r="BE28" s="4" t="s">
        <v>189</v>
      </c>
      <c r="BF28" s="4" t="s">
        <v>193</v>
      </c>
      <c r="BG28" s="4" t="s">
        <v>189</v>
      </c>
      <c r="BH28" s="4" t="s">
        <v>189</v>
      </c>
      <c r="BI28" s="4" t="s">
        <v>194</v>
      </c>
      <c r="BJ28" s="4" t="s">
        <v>189</v>
      </c>
      <c r="BK28" s="4" t="s">
        <v>189</v>
      </c>
      <c r="BL28" s="4" t="s">
        <v>189</v>
      </c>
      <c r="BM28" s="4" t="s">
        <v>189</v>
      </c>
      <c r="BN28" s="4" t="s">
        <v>189</v>
      </c>
      <c r="BO28" s="4" t="s">
        <v>189</v>
      </c>
      <c r="BP28" s="4" t="s">
        <v>189</v>
      </c>
      <c r="BQ28" s="4" t="s">
        <v>189</v>
      </c>
      <c r="BR28" s="4" t="s">
        <v>189</v>
      </c>
      <c r="BS28" s="4" t="s">
        <v>189</v>
      </c>
      <c r="BT28" s="4" t="s">
        <v>189</v>
      </c>
      <c r="BU28" s="4" t="s">
        <v>189</v>
      </c>
      <c r="BV28" s="4" t="s">
        <v>189</v>
      </c>
      <c r="BW28" s="4" t="s">
        <v>189</v>
      </c>
      <c r="BX28" s="4" t="s">
        <v>189</v>
      </c>
      <c r="BY28" s="4" t="s">
        <v>189</v>
      </c>
      <c r="BZ28" s="4" t="s">
        <v>189</v>
      </c>
      <c r="CA28" s="4" t="s">
        <v>189</v>
      </c>
      <c r="CB28" s="4" t="s">
        <v>189</v>
      </c>
      <c r="CC28" s="4" t="s">
        <v>195</v>
      </c>
      <c r="CD28" s="4" t="s">
        <v>196</v>
      </c>
      <c r="CE28" s="4" t="s">
        <v>189</v>
      </c>
      <c r="CF28" s="4" t="s">
        <v>189</v>
      </c>
      <c r="CG28" s="4" t="s">
        <v>196</v>
      </c>
      <c r="CH28" s="4" t="s">
        <v>197</v>
      </c>
      <c r="CI28" s="4" t="s">
        <v>197</v>
      </c>
      <c r="CJ28" s="4" t="s">
        <v>197</v>
      </c>
      <c r="CK28" s="4" t="s">
        <v>197</v>
      </c>
      <c r="CL28" s="4" t="s">
        <v>197</v>
      </c>
      <c r="CM28" s="4" t="s">
        <v>197</v>
      </c>
      <c r="CN28" s="4" t="s">
        <v>197</v>
      </c>
      <c r="CO28" s="4" t="s">
        <v>197</v>
      </c>
      <c r="CP28" s="4" t="s">
        <v>197</v>
      </c>
      <c r="CQ28" s="4" t="s">
        <v>197</v>
      </c>
      <c r="CR28" s="4" t="s">
        <v>197</v>
      </c>
      <c r="CS28" s="4" t="s">
        <v>197</v>
      </c>
      <c r="CT28" s="4" t="s">
        <v>196</v>
      </c>
      <c r="CU28" s="4" t="s">
        <v>197</v>
      </c>
      <c r="CV28" s="4" t="s">
        <v>197</v>
      </c>
      <c r="CW28" s="4" t="s">
        <v>197</v>
      </c>
      <c r="CX28" s="4" t="s">
        <v>197</v>
      </c>
      <c r="CY28" s="4" t="s">
        <v>189</v>
      </c>
      <c r="CZ28" s="4" t="s">
        <v>189</v>
      </c>
      <c r="DA28" s="4" t="s">
        <v>198</v>
      </c>
      <c r="DB28" s="4" t="s">
        <v>199</v>
      </c>
      <c r="DC28" s="4" t="s">
        <v>199</v>
      </c>
      <c r="DD28" s="4" t="s">
        <v>198</v>
      </c>
      <c r="DE28" s="4" t="s">
        <v>200</v>
      </c>
      <c r="DF28" s="4" t="s">
        <v>189</v>
      </c>
      <c r="DG28" s="4" t="s">
        <v>199</v>
      </c>
      <c r="DH28" s="4" t="s">
        <v>198</v>
      </c>
      <c r="DI28" s="4" t="s">
        <v>189</v>
      </c>
      <c r="DJ28" s="4" t="s">
        <v>201</v>
      </c>
      <c r="DK28" s="4" t="s">
        <v>202</v>
      </c>
      <c r="DL28" s="4" t="s">
        <v>202</v>
      </c>
      <c r="DM28" s="4" t="s">
        <v>202</v>
      </c>
      <c r="DN28" s="4" t="s">
        <v>203</v>
      </c>
      <c r="DO28" s="4" t="s">
        <v>203</v>
      </c>
      <c r="DP28" s="4" t="s">
        <v>203</v>
      </c>
      <c r="DQ28" s="4" t="s">
        <v>200</v>
      </c>
      <c r="DR28" s="4" t="s">
        <v>204</v>
      </c>
      <c r="DS28" s="4" t="s">
        <v>197</v>
      </c>
      <c r="DT28" s="4" t="s">
        <v>204</v>
      </c>
      <c r="DU28" s="4" t="s">
        <v>204</v>
      </c>
      <c r="DV28" s="4" t="s">
        <v>200</v>
      </c>
      <c r="DW28" s="4" t="s">
        <v>205</v>
      </c>
      <c r="DX28" s="4" t="s">
        <v>197</v>
      </c>
      <c r="DY28" s="4" t="s">
        <v>205</v>
      </c>
      <c r="DZ28" s="4" t="s">
        <v>205</v>
      </c>
      <c r="EA28" s="4" t="s">
        <v>205</v>
      </c>
      <c r="EB28" s="4" t="s">
        <v>205</v>
      </c>
      <c r="EC28" s="4" t="s">
        <v>205</v>
      </c>
      <c r="ED28" s="4" t="s">
        <v>205</v>
      </c>
      <c r="EE28" s="4" t="s">
        <v>199</v>
      </c>
      <c r="EF28" s="4" t="s">
        <v>200</v>
      </c>
      <c r="EG28" s="4" t="s">
        <v>199</v>
      </c>
      <c r="EH28" s="4" t="s">
        <v>199</v>
      </c>
      <c r="EI28" s="4" t="s">
        <v>200</v>
      </c>
      <c r="EJ28" s="4" t="s">
        <v>199</v>
      </c>
      <c r="EK28" s="4" t="s">
        <v>205</v>
      </c>
      <c r="EL28" s="4" t="s">
        <v>199</v>
      </c>
      <c r="EM28" t="s">
        <v>206</v>
      </c>
    </row>
    <row r="29" spans="1:145" x14ac:dyDescent="0.3">
      <c r="C29" s="4" t="s">
        <v>207</v>
      </c>
      <c r="D29" s="4" t="s">
        <v>207</v>
      </c>
      <c r="E29" s="4" t="s">
        <v>208</v>
      </c>
      <c r="F29" s="4" t="s">
        <v>208</v>
      </c>
      <c r="G29" s="4" t="s">
        <v>208</v>
      </c>
      <c r="H29" s="4" t="s">
        <v>208</v>
      </c>
      <c r="I29" s="4" t="s">
        <v>208</v>
      </c>
      <c r="J29" s="4" t="s">
        <v>208</v>
      </c>
      <c r="K29" s="4" t="s">
        <v>208</v>
      </c>
      <c r="L29" s="4" t="s">
        <v>208</v>
      </c>
      <c r="M29" s="4" t="s">
        <v>208</v>
      </c>
      <c r="N29" s="4" t="s">
        <v>208</v>
      </c>
      <c r="O29" s="4" t="s">
        <v>208</v>
      </c>
      <c r="P29" s="4" t="s">
        <v>208</v>
      </c>
      <c r="Q29" s="4" t="s">
        <v>208</v>
      </c>
      <c r="R29" s="4" t="s">
        <v>208</v>
      </c>
      <c r="S29" s="4" t="s">
        <v>208</v>
      </c>
      <c r="T29" s="4" t="s">
        <v>208</v>
      </c>
      <c r="U29" s="4" t="s">
        <v>209</v>
      </c>
      <c r="V29" s="4" t="s">
        <v>209</v>
      </c>
      <c r="W29" s="4" t="s">
        <v>158</v>
      </c>
      <c r="X29" s="4" t="s">
        <v>210</v>
      </c>
      <c r="Y29" s="4" t="s">
        <v>208</v>
      </c>
      <c r="Z29" s="4" t="s">
        <v>208</v>
      </c>
      <c r="AA29" s="4" t="s">
        <v>166</v>
      </c>
      <c r="AB29" s="4" t="s">
        <v>210</v>
      </c>
      <c r="AC29" s="4" t="s">
        <v>210</v>
      </c>
      <c r="AD29" s="4" t="s">
        <v>210</v>
      </c>
      <c r="AE29" s="4" t="s">
        <v>210</v>
      </c>
      <c r="AF29" s="4" t="s">
        <v>210</v>
      </c>
      <c r="AG29" s="4" t="s">
        <v>210</v>
      </c>
      <c r="AH29" s="4" t="s">
        <v>210</v>
      </c>
      <c r="AI29" s="4" t="s">
        <v>210</v>
      </c>
      <c r="AJ29" s="4" t="s">
        <v>210</v>
      </c>
      <c r="AK29" s="4" t="s">
        <v>210</v>
      </c>
      <c r="AL29" s="4" t="s">
        <v>210</v>
      </c>
      <c r="AM29" s="4" t="s">
        <v>210</v>
      </c>
      <c r="AN29" s="4" t="s">
        <v>210</v>
      </c>
      <c r="AO29" s="4" t="s">
        <v>210</v>
      </c>
      <c r="AP29" s="4" t="s">
        <v>210</v>
      </c>
      <c r="AQ29" s="4" t="s">
        <v>210</v>
      </c>
      <c r="AR29" s="4" t="s">
        <v>210</v>
      </c>
      <c r="AS29" s="4" t="s">
        <v>210</v>
      </c>
      <c r="AT29" s="4" t="s">
        <v>210</v>
      </c>
      <c r="AU29" s="4" t="s">
        <v>210</v>
      </c>
      <c r="AV29" s="4" t="s">
        <v>210</v>
      </c>
      <c r="AW29" s="4" t="s">
        <v>208</v>
      </c>
      <c r="AX29" s="4" t="s">
        <v>211</v>
      </c>
      <c r="AY29" s="4" t="s">
        <v>208</v>
      </c>
      <c r="AZ29" s="4" t="s">
        <v>211</v>
      </c>
      <c r="BA29" s="4" t="s">
        <v>211</v>
      </c>
      <c r="BB29" s="4" t="s">
        <v>208</v>
      </c>
      <c r="BC29" s="4" t="s">
        <v>208</v>
      </c>
      <c r="BD29" s="4" t="s">
        <v>208</v>
      </c>
      <c r="BE29" s="4" t="s">
        <v>212</v>
      </c>
      <c r="BF29" s="4" t="s">
        <v>208</v>
      </c>
      <c r="BG29" s="4" t="s">
        <v>212</v>
      </c>
      <c r="BH29" s="4" t="s">
        <v>212</v>
      </c>
      <c r="BI29" s="4" t="s">
        <v>213</v>
      </c>
      <c r="BJ29" s="4" t="s">
        <v>212</v>
      </c>
      <c r="BK29" s="4" t="s">
        <v>214</v>
      </c>
      <c r="BL29" s="4" t="s">
        <v>214</v>
      </c>
      <c r="BM29" s="4" t="s">
        <v>215</v>
      </c>
      <c r="BN29" s="4" t="s">
        <v>214</v>
      </c>
      <c r="BO29" s="4" t="s">
        <v>214</v>
      </c>
      <c r="BP29" s="4" t="s">
        <v>214</v>
      </c>
      <c r="BQ29" s="4" t="s">
        <v>211</v>
      </c>
      <c r="BR29" s="4" t="s">
        <v>216</v>
      </c>
      <c r="BS29" s="4" t="s">
        <v>211</v>
      </c>
      <c r="BT29" s="4" t="s">
        <v>217</v>
      </c>
      <c r="BU29" s="4" t="s">
        <v>217</v>
      </c>
      <c r="BV29" s="4" t="s">
        <v>175</v>
      </c>
      <c r="BW29" s="4" t="s">
        <v>211</v>
      </c>
      <c r="BX29" s="4" t="s">
        <v>211</v>
      </c>
      <c r="BY29" s="4" t="s">
        <v>211</v>
      </c>
      <c r="BZ29" s="4" t="s">
        <v>218</v>
      </c>
      <c r="CA29" s="4" t="s">
        <v>218</v>
      </c>
      <c r="CB29" s="4" t="s">
        <v>218</v>
      </c>
      <c r="CC29" s="4" t="s">
        <v>208</v>
      </c>
      <c r="CD29" s="4" t="s">
        <v>208</v>
      </c>
      <c r="CE29" s="4" t="s">
        <v>219</v>
      </c>
      <c r="CF29" s="4" t="s">
        <v>219</v>
      </c>
      <c r="CG29" s="4" t="s">
        <v>208</v>
      </c>
      <c r="CH29" s="4" t="s">
        <v>219</v>
      </c>
      <c r="CI29" s="4" t="s">
        <v>211</v>
      </c>
      <c r="CJ29" s="4" t="s">
        <v>211</v>
      </c>
      <c r="CK29" s="4" t="s">
        <v>211</v>
      </c>
      <c r="CL29" s="4" t="s">
        <v>211</v>
      </c>
      <c r="CM29" s="4" t="s">
        <v>211</v>
      </c>
      <c r="CN29" s="4" t="s">
        <v>211</v>
      </c>
      <c r="CO29" s="4" t="s">
        <v>211</v>
      </c>
      <c r="CP29" s="4" t="s">
        <v>212</v>
      </c>
      <c r="CQ29" s="4" t="s">
        <v>211</v>
      </c>
      <c r="CR29" s="4" t="s">
        <v>211</v>
      </c>
      <c r="CS29" s="4" t="s">
        <v>212</v>
      </c>
      <c r="CT29" s="4" t="s">
        <v>208</v>
      </c>
      <c r="CU29" s="4" t="s">
        <v>212</v>
      </c>
      <c r="CV29" s="4" t="s">
        <v>212</v>
      </c>
      <c r="CW29" s="4" t="s">
        <v>212</v>
      </c>
      <c r="CX29" s="4" t="s">
        <v>212</v>
      </c>
      <c r="CY29" s="4" t="s">
        <v>212</v>
      </c>
      <c r="CZ29" s="4" t="s">
        <v>212</v>
      </c>
      <c r="DA29" s="4" t="s">
        <v>208</v>
      </c>
      <c r="DB29" s="4" t="s">
        <v>208</v>
      </c>
      <c r="DC29" s="4" t="s">
        <v>208</v>
      </c>
      <c r="DD29" s="4" t="s">
        <v>208</v>
      </c>
      <c r="DE29" s="4" t="s">
        <v>208</v>
      </c>
      <c r="DF29" s="4" t="s">
        <v>208</v>
      </c>
      <c r="DG29" s="4" t="s">
        <v>208</v>
      </c>
      <c r="DH29" s="4" t="s">
        <v>208</v>
      </c>
      <c r="DI29" s="4" t="s">
        <v>220</v>
      </c>
      <c r="DJ29" s="4" t="s">
        <v>208</v>
      </c>
      <c r="DK29" s="4" t="s">
        <v>208</v>
      </c>
      <c r="DL29" s="4" t="s">
        <v>208</v>
      </c>
      <c r="DM29" s="4" t="s">
        <v>208</v>
      </c>
      <c r="DN29" s="4" t="s">
        <v>221</v>
      </c>
      <c r="DO29" s="4" t="s">
        <v>221</v>
      </c>
      <c r="DP29" s="4" t="s">
        <v>221</v>
      </c>
      <c r="DQ29" s="4" t="s">
        <v>208</v>
      </c>
      <c r="DR29" s="4" t="s">
        <v>208</v>
      </c>
      <c r="DS29" s="4" t="s">
        <v>219</v>
      </c>
      <c r="DT29" s="4" t="s">
        <v>208</v>
      </c>
      <c r="DU29" s="4" t="s">
        <v>208</v>
      </c>
      <c r="DV29" s="4" t="s">
        <v>208</v>
      </c>
      <c r="DW29" s="4" t="s">
        <v>222</v>
      </c>
      <c r="DX29" s="4" t="s">
        <v>219</v>
      </c>
      <c r="DY29" s="4" t="s">
        <v>222</v>
      </c>
      <c r="DZ29" s="4" t="s">
        <v>222</v>
      </c>
      <c r="EA29" s="4" t="s">
        <v>222</v>
      </c>
      <c r="EB29" s="4" t="s">
        <v>219</v>
      </c>
      <c r="EC29" s="4" t="s">
        <v>219</v>
      </c>
      <c r="ED29" s="4" t="s">
        <v>222</v>
      </c>
      <c r="EE29" s="4" t="s">
        <v>222</v>
      </c>
      <c r="EF29" s="4" t="s">
        <v>208</v>
      </c>
      <c r="EG29" s="4" t="s">
        <v>222</v>
      </c>
      <c r="EH29" s="4" t="s">
        <v>222</v>
      </c>
      <c r="EI29" s="4" t="s">
        <v>208</v>
      </c>
      <c r="EJ29" s="4" t="s">
        <v>219</v>
      </c>
      <c r="EK29" s="4" t="s">
        <v>219</v>
      </c>
      <c r="EL29" s="4" t="s">
        <v>222</v>
      </c>
      <c r="EM29" t="s">
        <v>223</v>
      </c>
    </row>
    <row r="30" spans="1:145" x14ac:dyDescent="0.3">
      <c r="C30" s="4" t="s">
        <v>224</v>
      </c>
      <c r="D30" s="4" t="s">
        <v>224</v>
      </c>
      <c r="E30" s="4" t="s">
        <v>225</v>
      </c>
      <c r="F30" s="4" t="s">
        <v>225</v>
      </c>
      <c r="G30" s="4" t="s">
        <v>225</v>
      </c>
      <c r="H30" s="4" t="s">
        <v>225</v>
      </c>
      <c r="I30" s="4" t="s">
        <v>225</v>
      </c>
      <c r="J30" s="4" t="s">
        <v>225</v>
      </c>
      <c r="K30" s="4" t="s">
        <v>225</v>
      </c>
      <c r="L30" s="4" t="s">
        <v>225</v>
      </c>
      <c r="M30" s="4" t="s">
        <v>225</v>
      </c>
      <c r="N30" s="4" t="s">
        <v>225</v>
      </c>
      <c r="O30" s="4" t="s">
        <v>225</v>
      </c>
      <c r="P30" s="4" t="s">
        <v>225</v>
      </c>
      <c r="Q30" s="4" t="s">
        <v>225</v>
      </c>
      <c r="R30" s="4" t="s">
        <v>225</v>
      </c>
      <c r="S30" s="4" t="s">
        <v>225</v>
      </c>
      <c r="T30" s="4" t="s">
        <v>225</v>
      </c>
      <c r="U30" s="4" t="s">
        <v>226</v>
      </c>
      <c r="V30" s="4" t="s">
        <v>226</v>
      </c>
      <c r="W30" s="4" t="s">
        <v>183</v>
      </c>
      <c r="X30" s="4" t="s">
        <v>227</v>
      </c>
      <c r="Y30" s="4" t="s">
        <v>225</v>
      </c>
      <c r="Z30" s="4" t="s">
        <v>225</v>
      </c>
      <c r="AA30" s="4" t="s">
        <v>191</v>
      </c>
      <c r="AB30" s="4" t="s">
        <v>227</v>
      </c>
      <c r="AC30" s="4" t="s">
        <v>227</v>
      </c>
      <c r="AD30" s="4" t="s">
        <v>227</v>
      </c>
      <c r="AE30" s="4" t="s">
        <v>227</v>
      </c>
      <c r="AF30" s="4" t="s">
        <v>227</v>
      </c>
      <c r="AG30" s="4" t="s">
        <v>227</v>
      </c>
      <c r="AH30" s="4" t="s">
        <v>227</v>
      </c>
      <c r="AI30" s="4" t="s">
        <v>227</v>
      </c>
      <c r="AJ30" s="4" t="s">
        <v>227</v>
      </c>
      <c r="AK30" s="4" t="s">
        <v>227</v>
      </c>
      <c r="AL30" s="4" t="s">
        <v>227</v>
      </c>
      <c r="AM30" s="4" t="s">
        <v>227</v>
      </c>
      <c r="AN30" s="4" t="s">
        <v>227</v>
      </c>
      <c r="AO30" s="4" t="s">
        <v>227</v>
      </c>
      <c r="AP30" s="4" t="s">
        <v>227</v>
      </c>
      <c r="AQ30" s="4" t="s">
        <v>227</v>
      </c>
      <c r="AR30" s="4" t="s">
        <v>227</v>
      </c>
      <c r="AS30" s="4" t="s">
        <v>227</v>
      </c>
      <c r="AT30" s="4" t="s">
        <v>227</v>
      </c>
      <c r="AU30" s="4" t="s">
        <v>227</v>
      </c>
      <c r="AV30" s="4" t="s">
        <v>227</v>
      </c>
      <c r="AW30" s="4" t="s">
        <v>225</v>
      </c>
      <c r="AX30" s="4" t="s">
        <v>228</v>
      </c>
      <c r="AY30" s="4" t="s">
        <v>225</v>
      </c>
      <c r="AZ30" s="4" t="s">
        <v>228</v>
      </c>
      <c r="BA30" s="4" t="s">
        <v>228</v>
      </c>
      <c r="BB30" s="4" t="s">
        <v>225</v>
      </c>
      <c r="BC30" s="4" t="s">
        <v>225</v>
      </c>
      <c r="BD30" s="4" t="s">
        <v>225</v>
      </c>
      <c r="BE30" s="4" t="s">
        <v>229</v>
      </c>
      <c r="BF30" s="4" t="s">
        <v>225</v>
      </c>
      <c r="BG30" s="4" t="s">
        <v>229</v>
      </c>
      <c r="BH30" s="4" t="s">
        <v>229</v>
      </c>
      <c r="BI30" s="4" t="s">
        <v>230</v>
      </c>
      <c r="BJ30" s="4" t="s">
        <v>229</v>
      </c>
      <c r="BK30" s="4" t="s">
        <v>231</v>
      </c>
      <c r="BL30" s="4" t="s">
        <v>231</v>
      </c>
      <c r="BM30" s="4" t="s">
        <v>232</v>
      </c>
      <c r="BN30" s="4" t="s">
        <v>231</v>
      </c>
      <c r="BO30" s="4" t="s">
        <v>231</v>
      </c>
      <c r="BP30" s="4" t="s">
        <v>231</v>
      </c>
      <c r="BQ30" s="4" t="s">
        <v>228</v>
      </c>
      <c r="BR30" s="4" t="s">
        <v>233</v>
      </c>
      <c r="BS30" s="4" t="s">
        <v>228</v>
      </c>
      <c r="BT30" s="4" t="s">
        <v>234</v>
      </c>
      <c r="BU30" s="4" t="s">
        <v>234</v>
      </c>
      <c r="BV30" s="4" t="s">
        <v>200</v>
      </c>
      <c r="BW30" s="4" t="s">
        <v>228</v>
      </c>
      <c r="BX30" s="4" t="s">
        <v>228</v>
      </c>
      <c r="BY30" s="4" t="s">
        <v>228</v>
      </c>
      <c r="BZ30" s="4" t="s">
        <v>235</v>
      </c>
      <c r="CA30" s="4" t="s">
        <v>235</v>
      </c>
      <c r="CB30" s="4" t="s">
        <v>235</v>
      </c>
      <c r="CC30" s="4" t="s">
        <v>225</v>
      </c>
      <c r="CD30" s="4" t="s">
        <v>225</v>
      </c>
      <c r="CE30" s="4" t="s">
        <v>236</v>
      </c>
      <c r="CF30" s="4" t="s">
        <v>236</v>
      </c>
      <c r="CG30" s="4" t="s">
        <v>225</v>
      </c>
      <c r="CH30" s="4" t="s">
        <v>236</v>
      </c>
      <c r="CI30" s="4" t="s">
        <v>228</v>
      </c>
      <c r="CJ30" s="4" t="s">
        <v>228</v>
      </c>
      <c r="CK30" s="4" t="s">
        <v>228</v>
      </c>
      <c r="CL30" s="4" t="s">
        <v>228</v>
      </c>
      <c r="CM30" s="4" t="s">
        <v>228</v>
      </c>
      <c r="CN30" s="4" t="s">
        <v>228</v>
      </c>
      <c r="CO30" s="4" t="s">
        <v>228</v>
      </c>
      <c r="CP30" s="4" t="s">
        <v>229</v>
      </c>
      <c r="CQ30" s="4" t="s">
        <v>228</v>
      </c>
      <c r="CR30" s="4" t="s">
        <v>228</v>
      </c>
      <c r="CS30" s="4" t="s">
        <v>229</v>
      </c>
      <c r="CT30" s="4" t="s">
        <v>225</v>
      </c>
      <c r="CU30" s="4" t="s">
        <v>229</v>
      </c>
      <c r="CV30" s="4" t="s">
        <v>229</v>
      </c>
      <c r="CW30" s="4" t="s">
        <v>229</v>
      </c>
      <c r="CX30" s="4" t="s">
        <v>229</v>
      </c>
      <c r="CY30" s="4" t="s">
        <v>229</v>
      </c>
      <c r="CZ30" s="4" t="s">
        <v>229</v>
      </c>
      <c r="DA30" s="4" t="s">
        <v>225</v>
      </c>
      <c r="DB30" s="4" t="s">
        <v>225</v>
      </c>
      <c r="DC30" s="4" t="s">
        <v>225</v>
      </c>
      <c r="DD30" s="4" t="s">
        <v>225</v>
      </c>
      <c r="DE30" s="4" t="s">
        <v>225</v>
      </c>
      <c r="DF30" s="4" t="s">
        <v>225</v>
      </c>
      <c r="DG30" s="4" t="s">
        <v>225</v>
      </c>
      <c r="DH30" s="4" t="s">
        <v>225</v>
      </c>
      <c r="DI30" s="4" t="s">
        <v>237</v>
      </c>
      <c r="DJ30" s="4" t="s">
        <v>225</v>
      </c>
      <c r="DK30" s="4" t="s">
        <v>225</v>
      </c>
      <c r="DL30" s="4" t="s">
        <v>225</v>
      </c>
      <c r="DM30" s="4" t="s">
        <v>225</v>
      </c>
      <c r="DN30" s="4" t="s">
        <v>238</v>
      </c>
      <c r="DO30" s="4" t="s">
        <v>238</v>
      </c>
      <c r="DP30" s="4" t="s">
        <v>238</v>
      </c>
      <c r="DQ30" s="4" t="s">
        <v>225</v>
      </c>
      <c r="DR30" s="4" t="s">
        <v>225</v>
      </c>
      <c r="DS30" s="4" t="s">
        <v>236</v>
      </c>
      <c r="DT30" s="4" t="s">
        <v>225</v>
      </c>
      <c r="DU30" s="4" t="s">
        <v>225</v>
      </c>
      <c r="DV30" s="4" t="s">
        <v>225</v>
      </c>
      <c r="DW30" s="4" t="s">
        <v>239</v>
      </c>
      <c r="DX30" s="4" t="s">
        <v>236</v>
      </c>
      <c r="DY30" s="4" t="s">
        <v>239</v>
      </c>
      <c r="DZ30" s="4" t="s">
        <v>239</v>
      </c>
      <c r="EA30" s="4" t="s">
        <v>239</v>
      </c>
      <c r="EB30" s="4" t="s">
        <v>236</v>
      </c>
      <c r="EC30" s="4" t="s">
        <v>236</v>
      </c>
      <c r="ED30" s="4" t="s">
        <v>239</v>
      </c>
      <c r="EE30" s="4" t="s">
        <v>239</v>
      </c>
      <c r="EF30" s="4" t="s">
        <v>225</v>
      </c>
      <c r="EG30" s="4" t="s">
        <v>239</v>
      </c>
      <c r="EH30" s="4" t="s">
        <v>239</v>
      </c>
      <c r="EI30" s="4" t="s">
        <v>225</v>
      </c>
      <c r="EJ30" s="4" t="s">
        <v>236</v>
      </c>
      <c r="EK30" s="4" t="s">
        <v>236</v>
      </c>
      <c r="EL30" s="4" t="s">
        <v>239</v>
      </c>
      <c r="EM30" t="s">
        <v>240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5">
      <formula>EN12&lt;$EN$25</formula>
    </cfRule>
  </conditionalFormatting>
  <conditionalFormatting sqref="EO12:EO24">
    <cfRule type="expression" dxfId="4" priority="4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17" sqref="EN1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241</v>
      </c>
      <c r="EN11" s="6" t="s">
        <v>242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0</v>
      </c>
      <c r="Y12" s="10">
        <f>IF(預測IC!Y12&gt;預測IC!Y$25,1,0)</f>
        <v>1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1</v>
      </c>
      <c r="AG12" s="10">
        <f>IF(預測IC!AG12&gt;預測IC!AG$25,1,0)</f>
        <v>1</v>
      </c>
      <c r="AH12" s="10">
        <f>IF(預測IC!AH12&gt;預測IC!AH$25,1,0)</f>
        <v>1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0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1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1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0</v>
      </c>
      <c r="CP12" s="10">
        <f>IF(預測IC!CP12&gt;預測IC!CP$25,1,0)</f>
        <v>1</v>
      </c>
      <c r="CQ12" s="10">
        <f>IF(預測IC!CQ12&gt;預測IC!CQ$25,1,0)</f>
        <v>1</v>
      </c>
      <c r="CR12" s="10">
        <f>IF(預測IC!CR12&gt;預測IC!CR$25,1,0)</f>
        <v>1</v>
      </c>
      <c r="CS12" s="10">
        <f>IF(預測IC!CS12&gt;預測IC!CS$25,1,0)</f>
        <v>0</v>
      </c>
      <c r="CT12" s="10">
        <f>IF(預測IC!CT12&gt;預測IC!CT$25,1,0)</f>
        <v>1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1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1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1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80</v>
      </c>
      <c r="EN12" s="19">
        <f t="shared" ref="EN12:EN24" si="12">EM12/140</f>
        <v>0.5714285714285714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1</v>
      </c>
      <c r="H13" s="10">
        <f>IF(預測IC!H13&gt;預測IC!H$25,1,0)</f>
        <v>1</v>
      </c>
      <c r="I13" s="10">
        <f>IF(預測IC!I13&gt;預測IC!I$25,1,0)</f>
        <v>1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1</v>
      </c>
      <c r="S13" s="10">
        <f>IF(預測IC!S13&gt;預測IC!S$25,1,0)</f>
        <v>0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0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1</v>
      </c>
      <c r="AG13" s="10">
        <f>IF(預測IC!AG13&gt;預測IC!AG$25,1,0)</f>
        <v>1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1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0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1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1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1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0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1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1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81</v>
      </c>
      <c r="EN13" s="19">
        <f t="shared" si="12"/>
        <v>0.57857142857142863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0</v>
      </c>
      <c r="F14" s="10">
        <f>IF(預測IC!F14&gt;預測IC!F$25,1,0)</f>
        <v>0</v>
      </c>
      <c r="G14" s="10">
        <f>IF(預測IC!G14&gt;預測IC!G$25,1,0)</f>
        <v>1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0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0</v>
      </c>
      <c r="Q14" s="10">
        <f>IF(預測IC!Q14&gt;預測IC!Q$25,1,0)</f>
        <v>1</v>
      </c>
      <c r="R14" s="10">
        <f>IF(預測IC!R14&gt;預測IC!R$25,1,0)</f>
        <v>1</v>
      </c>
      <c r="S14" s="10">
        <f>IF(預測IC!S14&gt;預測IC!S$25,1,0)</f>
        <v>1</v>
      </c>
      <c r="T14" s="10">
        <f>IF(預測IC!T14&gt;預測IC!T$25,1,0)</f>
        <v>0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0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1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1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1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1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0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0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1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1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1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1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0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1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1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78</v>
      </c>
      <c r="EN14" s="19">
        <f t="shared" si="12"/>
        <v>0.55714285714285716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1</v>
      </c>
      <c r="G15" s="10">
        <f>IF(預測IC!G15&gt;預測IC!G$25,1,0)</f>
        <v>1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0</v>
      </c>
      <c r="K15" s="10">
        <f>IF(預測IC!K15&gt;預測IC!K$25,1,0)</f>
        <v>1</v>
      </c>
      <c r="L15" s="10">
        <f>IF(預測IC!L15&gt;預測IC!L$25,1,0)</f>
        <v>1</v>
      </c>
      <c r="M15" s="10">
        <f>IF(預測IC!M15&gt;預測IC!M$25,1,0)</f>
        <v>0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1</v>
      </c>
      <c r="R15" s="10">
        <f>IF(預測IC!R15&gt;預測IC!R$25,1,0)</f>
        <v>1</v>
      </c>
      <c r="S15" s="10">
        <f>IF(預測IC!S15&gt;預測IC!S$25,1,0)</f>
        <v>1</v>
      </c>
      <c r="T15" s="10">
        <f>IF(預測IC!T15&gt;預測IC!T$25,1,0)</f>
        <v>0</v>
      </c>
      <c r="U15" s="10">
        <f>IF(預測IC!U15&gt;預測IC!U$25,1,0)</f>
        <v>0</v>
      </c>
      <c r="V15" s="10">
        <f>IF(預測IC!V15&gt;預測IC!V$25,1,0)</f>
        <v>1</v>
      </c>
      <c r="W15" s="10">
        <f>IF(預測IC!W15&gt;預測IC!W$25,1,0)</f>
        <v>0</v>
      </c>
      <c r="X15" s="10">
        <f>IF(預測IC!X15&gt;預測IC!X$25,1,0)</f>
        <v>1</v>
      </c>
      <c r="Y15" s="10">
        <f>IF(預測IC!Y15&gt;預測IC!Y$25,1,0)</f>
        <v>0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1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1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0</v>
      </c>
      <c r="AQ15" s="10">
        <f>IF(預測IC!AQ15&gt;預測IC!AQ$25,1,0)</f>
        <v>1</v>
      </c>
      <c r="AR15" s="10">
        <f>IF(預測IC!AR15&gt;預測IC!AR$25,1,0)</f>
        <v>0</v>
      </c>
      <c r="AS15" s="10">
        <f>IF(預測IC!AS15&gt;預測IC!AS$25,1,0)</f>
        <v>1</v>
      </c>
      <c r="AT15" s="10">
        <f>IF(預測IC!AT15&gt;預測IC!AT$25,1,0)</f>
        <v>0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1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0</v>
      </c>
      <c r="BF15" s="10">
        <f>IF(預測IC!BF15&gt;預測IC!BF$25,1,0)</f>
        <v>0</v>
      </c>
      <c r="BG15" s="10">
        <f>IF(預測IC!BG15&gt;預測IC!BG$25,1,0)</f>
        <v>0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1</v>
      </c>
      <c r="BR15" s="10">
        <f>IF(預測IC!BR15&gt;預測IC!BR$25,1,0)</f>
        <v>1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0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1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1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0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1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1</v>
      </c>
      <c r="CX15" s="10">
        <f>IF(預測IC!CX15&gt;預測IC!CX$25,1,0)</f>
        <v>1</v>
      </c>
      <c r="CY15" s="10">
        <f>IF(預測IC!CY15&gt;預測IC!CY$25,1,0)</f>
        <v>1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0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1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1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1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84</v>
      </c>
      <c r="EN15" s="19">
        <f t="shared" si="12"/>
        <v>0.6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1</v>
      </c>
      <c r="D16" s="10">
        <f>IF(預測IC!D16&gt;預測IC!D$25,1,0)</f>
        <v>1</v>
      </c>
      <c r="E16" s="10">
        <f>IF(預測IC!E16&gt;預測IC!E$25,1,0)</f>
        <v>1</v>
      </c>
      <c r="F16" s="10">
        <f>IF(預測IC!F16&gt;預測IC!F$25,1,0)</f>
        <v>1</v>
      </c>
      <c r="G16" s="10">
        <f>IF(預測IC!G16&gt;預測IC!G$25,1,0)</f>
        <v>1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0</v>
      </c>
      <c r="K16" s="10">
        <f>IF(預測IC!K16&gt;預測IC!K$25,1,0)</f>
        <v>1</v>
      </c>
      <c r="L16" s="10">
        <f>IF(預測IC!L16&gt;預測IC!L$25,1,0)</f>
        <v>1</v>
      </c>
      <c r="M16" s="10">
        <f>IF(預測IC!M16&gt;預測IC!M$25,1,0)</f>
        <v>0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0</v>
      </c>
      <c r="Q16" s="10">
        <f>IF(預測IC!Q16&gt;預測IC!Q$25,1,0)</f>
        <v>1</v>
      </c>
      <c r="R16" s="10">
        <f>IF(預測IC!R16&gt;預測IC!R$25,1,0)</f>
        <v>1</v>
      </c>
      <c r="S16" s="10">
        <f>IF(預測IC!S16&gt;預測IC!S$25,1,0)</f>
        <v>1</v>
      </c>
      <c r="T16" s="10">
        <f>IF(預測IC!T16&gt;預測IC!T$25,1,0)</f>
        <v>0</v>
      </c>
      <c r="U16" s="10">
        <f>IF(預測IC!U16&gt;預測IC!U$25,1,0)</f>
        <v>0</v>
      </c>
      <c r="V16" s="10">
        <f>IF(預測IC!V16&gt;預測IC!V$25,1,0)</f>
        <v>1</v>
      </c>
      <c r="W16" s="10">
        <f>IF(預測IC!W16&gt;預測IC!W$25,1,0)</f>
        <v>0</v>
      </c>
      <c r="X16" s="10">
        <f>IF(預測IC!X16&gt;預測IC!X$25,1,0)</f>
        <v>1</v>
      </c>
      <c r="Y16" s="10">
        <f>IF(預測IC!Y16&gt;預測IC!Y$25,1,0)</f>
        <v>0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1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1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0</v>
      </c>
      <c r="AP16" s="10">
        <f>IF(預測IC!AP16&gt;預測IC!AP$25,1,0)</f>
        <v>0</v>
      </c>
      <c r="AQ16" s="10">
        <f>IF(預測IC!AQ16&gt;預測IC!AQ$25,1,0)</f>
        <v>1</v>
      </c>
      <c r="AR16" s="10">
        <f>IF(預測IC!AR16&gt;預測IC!AR$25,1,0)</f>
        <v>0</v>
      </c>
      <c r="AS16" s="10">
        <f>IF(預測IC!AS16&gt;預測IC!AS$25,1,0)</f>
        <v>1</v>
      </c>
      <c r="AT16" s="10">
        <f>IF(預測IC!AT16&gt;預測IC!AT$25,1,0)</f>
        <v>0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0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0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0</v>
      </c>
      <c r="BQ16" s="10">
        <f>IF(預測IC!BQ16&gt;預測IC!BQ$25,1,0)</f>
        <v>1</v>
      </c>
      <c r="BR16" s="10">
        <f>IF(預測IC!BR16&gt;預測IC!BR$25,1,0)</f>
        <v>1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0</v>
      </c>
      <c r="BV16" s="10">
        <f>IF(預測IC!BV16&gt;預測IC!BV$25,1,0)</f>
        <v>0</v>
      </c>
      <c r="BW16" s="10">
        <f>IF(預測IC!BW16&gt;預測IC!BW$25,1,0)</f>
        <v>0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1</v>
      </c>
      <c r="CA16" s="10">
        <f>IF(預測IC!CA16&gt;預測IC!CA$25,1,0)</f>
        <v>1</v>
      </c>
      <c r="CB16" s="10">
        <f>IF(預測IC!CB16&gt;預測IC!CB$25,1,0)</f>
        <v>1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1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0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1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1</v>
      </c>
      <c r="CV16" s="10">
        <f>IF(預測IC!CV16&gt;預測IC!CV$25,1,0)</f>
        <v>1</v>
      </c>
      <c r="CW16" s="10">
        <f>IF(預測IC!CW16&gt;預測IC!CW$25,1,0)</f>
        <v>1</v>
      </c>
      <c r="CX16" s="10">
        <f>IF(預測IC!CX16&gt;預測IC!CX$25,1,0)</f>
        <v>1</v>
      </c>
      <c r="CY16" s="10">
        <f>IF(預測IC!CY16&gt;預測IC!CY$25,1,0)</f>
        <v>1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0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1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1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1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1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82</v>
      </c>
      <c r="EN16" s="19">
        <f t="shared" si="12"/>
        <v>0.58571428571428574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1</v>
      </c>
      <c r="D17" s="10">
        <f>IF(預測IC!D17&gt;預測IC!D$25,1,0)</f>
        <v>1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1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0</v>
      </c>
      <c r="K17" s="10">
        <f>IF(預測IC!K17&gt;預測IC!K$25,1,0)</f>
        <v>1</v>
      </c>
      <c r="L17" s="10">
        <f>IF(預測IC!L17&gt;預測IC!L$25,1,0)</f>
        <v>1</v>
      </c>
      <c r="M17" s="10">
        <f>IF(預測IC!M17&gt;預測IC!M$25,1,0)</f>
        <v>0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1</v>
      </c>
      <c r="R17" s="10">
        <f>IF(預測IC!R17&gt;預測IC!R$25,1,0)</f>
        <v>1</v>
      </c>
      <c r="S17" s="10">
        <f>IF(預測IC!S17&gt;預測IC!S$25,1,0)</f>
        <v>1</v>
      </c>
      <c r="T17" s="10">
        <f>IF(預測IC!T17&gt;預測IC!T$25,1,0)</f>
        <v>0</v>
      </c>
      <c r="U17" s="10">
        <f>IF(預測IC!U17&gt;預測IC!U$25,1,0)</f>
        <v>0</v>
      </c>
      <c r="V17" s="10">
        <f>IF(預測IC!V17&gt;預測IC!V$25,1,0)</f>
        <v>1</v>
      </c>
      <c r="W17" s="10">
        <f>IF(預測IC!W17&gt;預測IC!W$25,1,0)</f>
        <v>0</v>
      </c>
      <c r="X17" s="10">
        <f>IF(預測IC!X17&gt;預測IC!X$25,1,0)</f>
        <v>1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1</v>
      </c>
      <c r="AB17" s="10">
        <f>IF(預測IC!AB17&gt;預測IC!AB$25,1,0)</f>
        <v>1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1</v>
      </c>
      <c r="AG17" s="10">
        <f>IF(預測IC!AG17&gt;預測IC!AG$25,1,0)</f>
        <v>0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0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0</v>
      </c>
      <c r="AS17" s="10">
        <f>IF(預測IC!AS17&gt;預測IC!AS$25,1,0)</f>
        <v>1</v>
      </c>
      <c r="AT17" s="10">
        <f>IF(預測IC!AT17&gt;預測IC!AT$25,1,0)</f>
        <v>0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0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0</v>
      </c>
      <c r="BG17" s="10">
        <f>IF(預測IC!BG17&gt;預測IC!BG$25,1,0)</f>
        <v>0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0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0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1</v>
      </c>
      <c r="BR17" s="10">
        <f>IF(預測IC!BR17&gt;預測IC!BR$25,1,0)</f>
        <v>1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0</v>
      </c>
      <c r="BV17" s="10">
        <f>IF(預測IC!BV17&gt;預測IC!BV$25,1,0)</f>
        <v>1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0</v>
      </c>
      <c r="BZ17" s="10">
        <f>IF(預測IC!BZ17&gt;預測IC!BZ$25,1,0)</f>
        <v>0</v>
      </c>
      <c r="CA17" s="10">
        <f>IF(預測IC!CA17&gt;預測IC!CA$25,1,0)</f>
        <v>0</v>
      </c>
      <c r="CB17" s="10">
        <f>IF(預測IC!CB17&gt;預測IC!CB$25,1,0)</f>
        <v>1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0</v>
      </c>
      <c r="CL17" s="10">
        <f>IF(預測IC!CL17&gt;預測IC!CL$25,1,0)</f>
        <v>1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1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1</v>
      </c>
      <c r="CV17" s="10">
        <f>IF(預測IC!CV17&gt;預測IC!CV$25,1,0)</f>
        <v>1</v>
      </c>
      <c r="CW17" s="10">
        <f>IF(預測IC!CW17&gt;預測IC!CW$25,1,0)</f>
        <v>1</v>
      </c>
      <c r="CX17" s="10">
        <f>IF(預測IC!CX17&gt;預測IC!CX$25,1,0)</f>
        <v>1</v>
      </c>
      <c r="CY17" s="10">
        <f>IF(預測IC!CY17&gt;預測IC!CY$25,1,0)</f>
        <v>1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1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1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75</v>
      </c>
      <c r="EN17" s="19">
        <f t="shared" si="12"/>
        <v>0.5357142857142857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1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0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0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1</v>
      </c>
      <c r="R18" s="10">
        <f>IF(預測IC!R18&gt;預測IC!R$25,1,0)</f>
        <v>1</v>
      </c>
      <c r="S18" s="10">
        <f>IF(預測IC!S18&gt;預測IC!S$25,1,0)</f>
        <v>1</v>
      </c>
      <c r="T18" s="10">
        <f>IF(預測IC!T18&gt;預測IC!T$25,1,0)</f>
        <v>0</v>
      </c>
      <c r="U18" s="10">
        <f>IF(預測IC!U18&gt;預測IC!U$25,1,0)</f>
        <v>0</v>
      </c>
      <c r="V18" s="10">
        <f>IF(預測IC!V18&gt;預測IC!V$25,1,0)</f>
        <v>1</v>
      </c>
      <c r="W18" s="10">
        <f>IF(預測IC!W18&gt;預測IC!W$25,1,0)</f>
        <v>0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1</v>
      </c>
      <c r="AC18" s="10">
        <f>IF(預測IC!AC18&gt;預測IC!AC$25,1,0)</f>
        <v>0</v>
      </c>
      <c r="AD18" s="10">
        <f>IF(預測IC!AD18&gt;預測IC!AD$25,1,0)</f>
        <v>0</v>
      </c>
      <c r="AE18" s="10">
        <f>IF(預測IC!AE18&gt;預測IC!AE$25,1,0)</f>
        <v>0</v>
      </c>
      <c r="AF18" s="10">
        <f>IF(預測IC!AF18&gt;預測IC!AF$25,1,0)</f>
        <v>0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0</v>
      </c>
      <c r="AQ18" s="10">
        <f>IF(預測IC!AQ18&gt;預測IC!AQ$25,1,0)</f>
        <v>0</v>
      </c>
      <c r="AR18" s="10">
        <f>IF(預測IC!AR18&gt;預測IC!AR$25,1,0)</f>
        <v>0</v>
      </c>
      <c r="AS18" s="10">
        <f>IF(預測IC!AS18&gt;預測IC!AS$25,1,0)</f>
        <v>1</v>
      </c>
      <c r="AT18" s="10">
        <f>IF(預測IC!AT18&gt;預測IC!AT$25,1,0)</f>
        <v>0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1</v>
      </c>
      <c r="BC18" s="10">
        <f>IF(預測IC!BC18&gt;預測IC!BC$25,1,0)</f>
        <v>0</v>
      </c>
      <c r="BD18" s="10">
        <f>IF(預測IC!BD18&gt;預測IC!BD$25,1,0)</f>
        <v>1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0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0</v>
      </c>
      <c r="BK18" s="10">
        <f>IF(預測IC!BK18&gt;預測IC!BK$25,1,0)</f>
        <v>1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0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1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0</v>
      </c>
      <c r="BV18" s="10">
        <f>IF(預測IC!BV18&gt;預測IC!BV$25,1,0)</f>
        <v>1</v>
      </c>
      <c r="BW18" s="10">
        <f>IF(預測IC!BW18&gt;預測IC!BW$25,1,0)</f>
        <v>0</v>
      </c>
      <c r="BX18" s="10">
        <f>IF(預測IC!BX18&gt;預測IC!BX$25,1,0)</f>
        <v>1</v>
      </c>
      <c r="BY18" s="10">
        <f>IF(預測IC!BY18&gt;預測IC!BY$25,1,0)</f>
        <v>0</v>
      </c>
      <c r="BZ18" s="10">
        <f>IF(預測IC!BZ18&gt;預測IC!BZ$25,1,0)</f>
        <v>1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0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1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1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1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0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0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1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1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1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76</v>
      </c>
      <c r="EN18" s="19">
        <f t="shared" si="12"/>
        <v>0.54285714285714282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1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0</v>
      </c>
      <c r="K19" s="10">
        <f>IF(預測IC!K19&gt;預測IC!K$25,1,0)</f>
        <v>1</v>
      </c>
      <c r="L19" s="10">
        <f>IF(預測IC!L19&gt;預測IC!L$25,1,0)</f>
        <v>1</v>
      </c>
      <c r="M19" s="10">
        <f>IF(預測IC!M19&gt;預測IC!M$25,1,0)</f>
        <v>0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1</v>
      </c>
      <c r="S19" s="10">
        <f>IF(預測IC!S19&gt;預測IC!S$25,1,0)</f>
        <v>1</v>
      </c>
      <c r="T19" s="10">
        <f>IF(預測IC!T19&gt;預測IC!T$25,1,0)</f>
        <v>0</v>
      </c>
      <c r="U19" s="10">
        <f>IF(預測IC!U19&gt;預測IC!U$25,1,0)</f>
        <v>0</v>
      </c>
      <c r="V19" s="10">
        <f>IF(預測IC!V19&gt;預測IC!V$25,1,0)</f>
        <v>1</v>
      </c>
      <c r="W19" s="10">
        <f>IF(預測IC!W19&gt;預測IC!W$25,1,0)</f>
        <v>0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1</v>
      </c>
      <c r="AB19" s="10">
        <f>IF(預測IC!AB19&gt;預測IC!AB$25,1,0)</f>
        <v>1</v>
      </c>
      <c r="AC19" s="10">
        <f>IF(預測IC!AC19&gt;預測IC!AC$25,1,0)</f>
        <v>0</v>
      </c>
      <c r="AD19" s="10">
        <f>IF(預測IC!AD19&gt;預測IC!AD$25,1,0)</f>
        <v>0</v>
      </c>
      <c r="AE19" s="10">
        <f>IF(預測IC!AE19&gt;預測IC!AE$25,1,0)</f>
        <v>0</v>
      </c>
      <c r="AF19" s="10">
        <f>IF(預測IC!AF19&gt;預測IC!AF$25,1,0)</f>
        <v>0</v>
      </c>
      <c r="AG19" s="10">
        <f>IF(預測IC!AG19&gt;預測IC!AG$25,1,0)</f>
        <v>0</v>
      </c>
      <c r="AH19" s="10">
        <f>IF(預測IC!AH19&gt;預測IC!AH$25,1,0)</f>
        <v>1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0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1</v>
      </c>
      <c r="AT19" s="10">
        <f>IF(預測IC!AT19&gt;預測IC!AT$25,1,0)</f>
        <v>0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1</v>
      </c>
      <c r="BA19" s="10">
        <f>IF(預測IC!BA19&gt;預測IC!BA$25,1,0)</f>
        <v>1</v>
      </c>
      <c r="BB19" s="10">
        <f>IF(預測IC!BB19&gt;預測IC!BB$25,1,0)</f>
        <v>1</v>
      </c>
      <c r="BC19" s="10">
        <f>IF(預測IC!BC19&gt;預測IC!BC$25,1,0)</f>
        <v>0</v>
      </c>
      <c r="BD19" s="10">
        <f>IF(預測IC!BD19&gt;預測IC!BD$25,1,0)</f>
        <v>1</v>
      </c>
      <c r="BE19" s="10">
        <f>IF(預測IC!BE19&gt;預測IC!BE$25,1,0)</f>
        <v>0</v>
      </c>
      <c r="BF19" s="10">
        <f>IF(預測IC!BF19&gt;預測IC!BF$25,1,0)</f>
        <v>0</v>
      </c>
      <c r="BG19" s="10">
        <f>IF(預測IC!BG19&gt;預測IC!BG$25,1,0)</f>
        <v>0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0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0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1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0</v>
      </c>
      <c r="BV19" s="10">
        <f>IF(預測IC!BV19&gt;預測IC!BV$25,1,0)</f>
        <v>1</v>
      </c>
      <c r="BW19" s="10">
        <f>IF(預測IC!BW19&gt;預測IC!BW$25,1,0)</f>
        <v>0</v>
      </c>
      <c r="BX19" s="10">
        <f>IF(預測IC!BX19&gt;預測IC!BX$25,1,0)</f>
        <v>1</v>
      </c>
      <c r="BY19" s="10">
        <f>IF(預測IC!BY19&gt;預測IC!BY$25,1,0)</f>
        <v>0</v>
      </c>
      <c r="BZ19" s="10">
        <f>IF(預測IC!BZ19&gt;預測IC!BZ$25,1,0)</f>
        <v>1</v>
      </c>
      <c r="CA19" s="10">
        <f>IF(預測IC!CA19&gt;預測IC!CA$25,1,0)</f>
        <v>1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0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1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1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1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0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1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1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1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1</v>
      </c>
      <c r="EA19" s="10">
        <f>IF(預測IC!EA19&gt;預測IC!EA$25,1,0)</f>
        <v>1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1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80</v>
      </c>
      <c r="EN19" s="19">
        <f t="shared" si="12"/>
        <v>0.5714285714285714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0</v>
      </c>
      <c r="G20" s="10">
        <f>IF(預測IC!G20&gt;預測IC!G$25,1,0)</f>
        <v>1</v>
      </c>
      <c r="H20" s="10">
        <f>IF(預測IC!H20&gt;預測IC!H$25,1,0)</f>
        <v>0</v>
      </c>
      <c r="I20" s="10">
        <f>IF(預測IC!I20&gt;預測IC!I$25,1,0)</f>
        <v>1</v>
      </c>
      <c r="J20" s="10">
        <f>IF(預測IC!J20&gt;預測IC!J$25,1,0)</f>
        <v>0</v>
      </c>
      <c r="K20" s="10">
        <f>IF(預測IC!K20&gt;預測IC!K$25,1,0)</f>
        <v>1</v>
      </c>
      <c r="L20" s="10">
        <f>IF(預測IC!L20&gt;預測IC!L$25,1,0)</f>
        <v>1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0</v>
      </c>
      <c r="P20" s="10">
        <f>IF(預測IC!P20&gt;預測IC!P$25,1,0)</f>
        <v>1</v>
      </c>
      <c r="Q20" s="10">
        <f>IF(預測IC!Q20&gt;預測IC!Q$25,1,0)</f>
        <v>1</v>
      </c>
      <c r="R20" s="10">
        <f>IF(預測IC!R20&gt;預測IC!R$25,1,0)</f>
        <v>1</v>
      </c>
      <c r="S20" s="10">
        <f>IF(預測IC!S20&gt;預測IC!S$25,1,0)</f>
        <v>0</v>
      </c>
      <c r="T20" s="10">
        <f>IF(預測IC!T20&gt;預測IC!T$25,1,0)</f>
        <v>0</v>
      </c>
      <c r="U20" s="10">
        <f>IF(預測IC!U20&gt;預測IC!U$25,1,0)</f>
        <v>0</v>
      </c>
      <c r="V20" s="10">
        <f>IF(預測IC!V20&gt;預測IC!V$25,1,0)</f>
        <v>1</v>
      </c>
      <c r="W20" s="10">
        <f>IF(預測IC!W20&gt;預測IC!W$25,1,0)</f>
        <v>0</v>
      </c>
      <c r="X20" s="10">
        <f>IF(預測IC!X20&gt;預測IC!X$25,1,0)</f>
        <v>1</v>
      </c>
      <c r="Y20" s="10">
        <f>IF(預測IC!Y20&gt;預測IC!Y$25,1,0)</f>
        <v>1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1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0</v>
      </c>
      <c r="AK20" s="10">
        <f>IF(預測IC!AK20&gt;預測IC!AK$25,1,0)</f>
        <v>1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0</v>
      </c>
      <c r="AP20" s="10">
        <f>IF(預測IC!AP20&gt;預測IC!AP$25,1,0)</f>
        <v>0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1</v>
      </c>
      <c r="AT20" s="10">
        <f>IF(預測IC!AT20&gt;預測IC!AT$25,1,0)</f>
        <v>0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1</v>
      </c>
      <c r="BA20" s="10">
        <f>IF(預測IC!BA20&gt;預測IC!BA$25,1,0)</f>
        <v>1</v>
      </c>
      <c r="BB20" s="10">
        <f>IF(預測IC!BB20&gt;預測IC!BB$25,1,0)</f>
        <v>1</v>
      </c>
      <c r="BC20" s="10">
        <f>IF(預測IC!BC20&gt;預測IC!BC$25,1,0)</f>
        <v>0</v>
      </c>
      <c r="BD20" s="10">
        <f>IF(預測IC!BD20&gt;預測IC!BD$25,1,0)</f>
        <v>1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0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0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1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0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1</v>
      </c>
      <c r="BY20" s="10">
        <f>IF(預測IC!BY20&gt;預測IC!BY$25,1,0)</f>
        <v>0</v>
      </c>
      <c r="BZ20" s="10">
        <f>IF(預測IC!BZ20&gt;預測IC!BZ$25,1,0)</f>
        <v>1</v>
      </c>
      <c r="CA20" s="10">
        <f>IF(預測IC!CA20&gt;預測IC!CA$25,1,0)</f>
        <v>0</v>
      </c>
      <c r="CB20" s="10">
        <f>IF(預測IC!CB20&gt;預測IC!CB$25,1,0)</f>
        <v>1</v>
      </c>
      <c r="CC20" s="10">
        <f>IF(預測IC!CC20&gt;預測IC!CC$25,1,0)</f>
        <v>1</v>
      </c>
      <c r="CD20" s="10">
        <f>IF(預測IC!CD20&gt;預測IC!CD$25,1,0)</f>
        <v>1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0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1</v>
      </c>
      <c r="CS20" s="10">
        <f>IF(預測IC!CS20&gt;預測IC!CS$25,1,0)</f>
        <v>0</v>
      </c>
      <c r="CT20" s="10">
        <f>IF(預測IC!CT20&gt;預測IC!CT$25,1,0)</f>
        <v>0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1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1</v>
      </c>
      <c r="EA20" s="10">
        <f>IF(預測IC!EA20&gt;預測IC!EA$25,1,0)</f>
        <v>1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1</v>
      </c>
      <c r="EG20" s="10">
        <f>IF(預測IC!EG20&gt;預測IC!EG$25,1,0)</f>
        <v>1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75</v>
      </c>
      <c r="EN20" s="19">
        <f t="shared" si="12"/>
        <v>0.5357142857142857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1</v>
      </c>
      <c r="H21" s="10">
        <f>IF(預測IC!H21&gt;預測IC!H$25,1,0)</f>
        <v>0</v>
      </c>
      <c r="I21" s="10">
        <f>IF(預測IC!I21&gt;預測IC!I$25,1,0)</f>
        <v>1</v>
      </c>
      <c r="J21" s="10">
        <f>IF(預測IC!J21&gt;預測IC!J$25,1,0)</f>
        <v>0</v>
      </c>
      <c r="K21" s="10">
        <f>IF(預測IC!K21&gt;預測IC!K$25,1,0)</f>
        <v>1</v>
      </c>
      <c r="L21" s="10">
        <f>IF(預測IC!L21&gt;預測IC!L$25,1,0)</f>
        <v>1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0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1</v>
      </c>
      <c r="S21" s="10">
        <f>IF(預測IC!S21&gt;預測IC!S$25,1,0)</f>
        <v>0</v>
      </c>
      <c r="T21" s="10">
        <f>IF(預測IC!T21&gt;預測IC!T$25,1,0)</f>
        <v>0</v>
      </c>
      <c r="U21" s="10">
        <f>IF(預測IC!U21&gt;預測IC!U$25,1,0)</f>
        <v>0</v>
      </c>
      <c r="V21" s="10">
        <f>IF(預測IC!V21&gt;預測IC!V$25,1,0)</f>
        <v>1</v>
      </c>
      <c r="W21" s="10">
        <f>IF(預測IC!W21&gt;預測IC!W$25,1,0)</f>
        <v>0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0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0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0</v>
      </c>
      <c r="AJ21" s="10">
        <f>IF(預測IC!AJ21&gt;預測IC!AJ$25,1,0)</f>
        <v>0</v>
      </c>
      <c r="AK21" s="10">
        <f>IF(預測IC!AK21&gt;預測IC!AK$25,1,0)</f>
        <v>1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0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0</v>
      </c>
      <c r="AS21" s="10">
        <f>IF(預測IC!AS21&gt;預測IC!AS$25,1,0)</f>
        <v>1</v>
      </c>
      <c r="AT21" s="10">
        <f>IF(預測IC!AT21&gt;預測IC!AT$25,1,0)</f>
        <v>0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1</v>
      </c>
      <c r="BB21" s="10">
        <f>IF(預測IC!BB21&gt;預測IC!BB$25,1,0)</f>
        <v>1</v>
      </c>
      <c r="BC21" s="10">
        <f>IF(預測IC!BC21&gt;預測IC!BC$25,1,0)</f>
        <v>0</v>
      </c>
      <c r="BD21" s="10">
        <f>IF(預測IC!BD21&gt;預測IC!BD$25,1,0)</f>
        <v>1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0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0</v>
      </c>
      <c r="BK21" s="10">
        <f>IF(預測IC!BK21&gt;預測IC!BK$25,1,0)</f>
        <v>1</v>
      </c>
      <c r="BL21" s="10">
        <f>IF(預測IC!BL21&gt;預測IC!BL$25,1,0)</f>
        <v>1</v>
      </c>
      <c r="BM21" s="10">
        <f>IF(預測IC!BM21&gt;預測IC!BM$25,1,0)</f>
        <v>0</v>
      </c>
      <c r="BN21" s="10">
        <f>IF(預測IC!BN21&gt;預測IC!BN$25,1,0)</f>
        <v>0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0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0</v>
      </c>
      <c r="BU21" s="10">
        <f>IF(預測IC!BU21&gt;預測IC!BU$25,1,0)</f>
        <v>0</v>
      </c>
      <c r="BV21" s="10">
        <f>IF(預測IC!BV21&gt;預測IC!BV$25,1,0)</f>
        <v>1</v>
      </c>
      <c r="BW21" s="10">
        <f>IF(預測IC!BW21&gt;預測IC!BW$25,1,0)</f>
        <v>0</v>
      </c>
      <c r="BX21" s="10">
        <f>IF(預測IC!BX21&gt;預測IC!BX$25,1,0)</f>
        <v>1</v>
      </c>
      <c r="BY21" s="10">
        <f>IF(預測IC!BY21&gt;預測IC!BY$25,1,0)</f>
        <v>0</v>
      </c>
      <c r="BZ21" s="10">
        <f>IF(預測IC!BZ21&gt;預測IC!BZ$25,1,0)</f>
        <v>1</v>
      </c>
      <c r="CA21" s="10">
        <f>IF(預測IC!CA21&gt;預測IC!CA$25,1,0)</f>
        <v>1</v>
      </c>
      <c r="CB21" s="10">
        <f>IF(預測IC!CB21&gt;預測IC!CB$25,1,0)</f>
        <v>1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1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1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1</v>
      </c>
      <c r="CS21" s="10">
        <f>IF(預測IC!CS21&gt;預測IC!CS$25,1,0)</f>
        <v>0</v>
      </c>
      <c r="CT21" s="10">
        <f>IF(預測IC!CT21&gt;預測IC!CT$25,1,0)</f>
        <v>0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1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0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1</v>
      </c>
      <c r="EA21" s="10">
        <f>IF(預測IC!EA21&gt;預測IC!EA$25,1,0)</f>
        <v>1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0</v>
      </c>
      <c r="EF21" s="10">
        <f>IF(預測IC!EF21&gt;預測IC!EF$25,1,0)</f>
        <v>1</v>
      </c>
      <c r="EG21" s="10">
        <f>IF(預測IC!EG21&gt;預測IC!EG$25,1,0)</f>
        <v>1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74</v>
      </c>
      <c r="EN21" s="19">
        <f t="shared" si="12"/>
        <v>0.52857142857142858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1</v>
      </c>
      <c r="D22" s="10">
        <f>IF(預測IC!D22&gt;預測IC!D$25,1,0)</f>
        <v>1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1</v>
      </c>
      <c r="H22" s="10">
        <f>IF(預測IC!H22&gt;預測IC!H$25,1,0)</f>
        <v>0</v>
      </c>
      <c r="I22" s="10">
        <f>IF(預測IC!I22&gt;預測IC!I$25,1,0)</f>
        <v>1</v>
      </c>
      <c r="J22" s="10">
        <f>IF(預測IC!J22&gt;預測IC!J$25,1,0)</f>
        <v>0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0</v>
      </c>
      <c r="P22" s="10">
        <f>IF(預測IC!P22&gt;預測IC!P$25,1,0)</f>
        <v>1</v>
      </c>
      <c r="Q22" s="10">
        <f>IF(預測IC!Q22&gt;預測IC!Q$25,1,0)</f>
        <v>0</v>
      </c>
      <c r="R22" s="10">
        <f>IF(預測IC!R22&gt;預測IC!R$25,1,0)</f>
        <v>1</v>
      </c>
      <c r="S22" s="10">
        <f>IF(預測IC!S22&gt;預測IC!S$25,1,0)</f>
        <v>0</v>
      </c>
      <c r="T22" s="10">
        <f>IF(預測IC!T22&gt;預測IC!T$25,1,0)</f>
        <v>1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0</v>
      </c>
      <c r="X22" s="10">
        <f>IF(預測IC!X22&gt;預測IC!X$25,1,0)</f>
        <v>1</v>
      </c>
      <c r="Y22" s="10">
        <f>IF(預測IC!Y22&gt;預測IC!Y$25,1,0)</f>
        <v>0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0</v>
      </c>
      <c r="AD22" s="10">
        <f>IF(預測IC!AD22&gt;預測IC!AD$25,1,0)</f>
        <v>0</v>
      </c>
      <c r="AE22" s="10">
        <f>IF(預測IC!AE22&gt;預測IC!AE$25,1,0)</f>
        <v>0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0</v>
      </c>
      <c r="AK22" s="10">
        <f>IF(預測IC!AK22&gt;預測IC!AK$25,1,0)</f>
        <v>0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0</v>
      </c>
      <c r="AP22" s="10">
        <f>IF(預測IC!AP22&gt;預測IC!AP$25,1,0)</f>
        <v>0</v>
      </c>
      <c r="AQ22" s="10">
        <f>IF(預測IC!AQ22&gt;預測IC!AQ$25,1,0)</f>
        <v>0</v>
      </c>
      <c r="AR22" s="10">
        <f>IF(預測IC!AR22&gt;預測IC!AR$25,1,0)</f>
        <v>0</v>
      </c>
      <c r="AS22" s="10">
        <f>IF(預測IC!AS22&gt;預測IC!AS$25,1,0)</f>
        <v>0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1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0</v>
      </c>
      <c r="BE22" s="10">
        <f>IF(預測IC!BE22&gt;預測IC!BE$25,1,0)</f>
        <v>0</v>
      </c>
      <c r="BF22" s="10">
        <f>IF(預測IC!BF22&gt;預測IC!BF$25,1,0)</f>
        <v>0</v>
      </c>
      <c r="BG22" s="10">
        <f>IF(預測IC!BG22&gt;預測IC!BG$25,1,0)</f>
        <v>0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0</v>
      </c>
      <c r="BK22" s="10">
        <f>IF(預測IC!BK22&gt;預測IC!BK$25,1,0)</f>
        <v>1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0</v>
      </c>
      <c r="BP22" s="10">
        <f>IF(預測IC!BP22&gt;預測IC!BP$25,1,0)</f>
        <v>0</v>
      </c>
      <c r="BQ22" s="10">
        <f>IF(預測IC!BQ22&gt;預測IC!BQ$25,1,0)</f>
        <v>0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0</v>
      </c>
      <c r="BU22" s="10">
        <f>IF(預測IC!BU22&gt;預測IC!BU$25,1,0)</f>
        <v>0</v>
      </c>
      <c r="BV22" s="10">
        <f>IF(預測IC!BV22&gt;預測IC!BV$25,1,0)</f>
        <v>1</v>
      </c>
      <c r="BW22" s="10">
        <f>IF(預測IC!BW22&gt;預測IC!BW$25,1,0)</f>
        <v>0</v>
      </c>
      <c r="BX22" s="10">
        <f>IF(預測IC!BX22&gt;預測IC!BX$25,1,0)</f>
        <v>1</v>
      </c>
      <c r="BY22" s="10">
        <f>IF(預測IC!BY22&gt;預測IC!BY$25,1,0)</f>
        <v>0</v>
      </c>
      <c r="BZ22" s="10">
        <f>IF(預測IC!BZ22&gt;預測IC!BZ$25,1,0)</f>
        <v>1</v>
      </c>
      <c r="CA22" s="10">
        <f>IF(預測IC!CA22&gt;預測IC!CA$25,1,0)</f>
        <v>0</v>
      </c>
      <c r="CB22" s="10">
        <f>IF(預測IC!CB22&gt;預測IC!CB$25,1,0)</f>
        <v>1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1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1</v>
      </c>
      <c r="CM22" s="10">
        <f>IF(預測IC!CM22&gt;預測IC!CM$25,1,0)</f>
        <v>1</v>
      </c>
      <c r="CN22" s="10">
        <f>IF(預測IC!CN22&gt;預測IC!CN$25,1,0)</f>
        <v>1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1</v>
      </c>
      <c r="CS22" s="10">
        <f>IF(預測IC!CS22&gt;預測IC!CS$25,1,0)</f>
        <v>0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1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1</v>
      </c>
      <c r="DP22" s="10">
        <f>IF(預測IC!DP22&gt;預測IC!DP$25,1,0)</f>
        <v>0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1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1</v>
      </c>
      <c r="EA22" s="10">
        <f>IF(預測IC!EA22&gt;預測IC!EA$25,1,0)</f>
        <v>1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68</v>
      </c>
      <c r="EN22" s="19">
        <f t="shared" si="12"/>
        <v>0.48571428571428571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1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0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1</v>
      </c>
      <c r="Q23" s="10">
        <f>IF(預測IC!Q23&gt;預測IC!Q$25,1,0)</f>
        <v>1</v>
      </c>
      <c r="R23" s="10">
        <f>IF(預測IC!R23&gt;預測IC!R$25,1,0)</f>
        <v>1</v>
      </c>
      <c r="S23" s="10">
        <f>IF(預測IC!S23&gt;預測IC!S$25,1,0)</f>
        <v>1</v>
      </c>
      <c r="T23" s="10">
        <f>IF(預測IC!T23&gt;預測IC!T$25,1,0)</f>
        <v>1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0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0</v>
      </c>
      <c r="AA23" s="10">
        <f>IF(預測IC!AA23&gt;預測IC!AA$25,1,0)</f>
        <v>1</v>
      </c>
      <c r="AB23" s="10">
        <f>IF(預測IC!AB23&gt;預測IC!AB$25,1,0)</f>
        <v>1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1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0</v>
      </c>
      <c r="AL23" s="10">
        <f>IF(預測IC!AL23&gt;預測IC!AL$25,1,0)</f>
        <v>1</v>
      </c>
      <c r="AM23" s="10">
        <f>IF(預測IC!AM23&gt;預測IC!AM$25,1,0)</f>
        <v>1</v>
      </c>
      <c r="AN23" s="10">
        <f>IF(預測IC!AN23&gt;預測IC!AN$25,1,0)</f>
        <v>1</v>
      </c>
      <c r="AO23" s="10">
        <f>IF(預測IC!AO23&gt;預測IC!AO$25,1,0)</f>
        <v>0</v>
      </c>
      <c r="AP23" s="10">
        <f>IF(預測IC!AP23&gt;預測IC!AP$25,1,0)</f>
        <v>0</v>
      </c>
      <c r="AQ23" s="10">
        <f>IF(預測IC!AQ23&gt;預測IC!AQ$25,1,0)</f>
        <v>0</v>
      </c>
      <c r="AR23" s="10">
        <f>IF(預測IC!AR23&gt;預測IC!AR$25,1,0)</f>
        <v>1</v>
      </c>
      <c r="AS23" s="10">
        <f>IF(預測IC!AS23&gt;預測IC!AS$25,1,0)</f>
        <v>1</v>
      </c>
      <c r="AT23" s="10">
        <f>IF(預測IC!AT23&gt;預測IC!AT$25,1,0)</f>
        <v>0</v>
      </c>
      <c r="AU23" s="10">
        <f>IF(預測IC!AU23&gt;預測IC!AU$25,1,0)</f>
        <v>0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0</v>
      </c>
      <c r="AY23" s="10">
        <f>IF(預測IC!AY23&gt;預測IC!AY$25,1,0)</f>
        <v>0</v>
      </c>
      <c r="AZ23" s="10">
        <f>IF(預測IC!AZ23&gt;預測IC!AZ$25,1,0)</f>
        <v>1</v>
      </c>
      <c r="BA23" s="10">
        <f>IF(預測IC!BA23&gt;預測IC!BA$25,1,0)</f>
        <v>0</v>
      </c>
      <c r="BB23" s="10">
        <f>IF(預測IC!BB23&gt;預測IC!BB$25,1,0)</f>
        <v>1</v>
      </c>
      <c r="BC23" s="10">
        <f>IF(預測IC!BC23&gt;預測IC!BC$25,1,0)</f>
        <v>1</v>
      </c>
      <c r="BD23" s="10">
        <f>IF(預測IC!BD23&gt;預測IC!BD$25,1,0)</f>
        <v>0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0</v>
      </c>
      <c r="BH23" s="10">
        <f>IF(預測IC!BH23&gt;預測IC!BH$25,1,0)</f>
        <v>1</v>
      </c>
      <c r="BI23" s="10">
        <f>IF(預測IC!BI23&gt;預測IC!BI$25,1,0)</f>
        <v>1</v>
      </c>
      <c r="BJ23" s="10">
        <f>IF(預測IC!BJ23&gt;預測IC!BJ$25,1,0)</f>
        <v>0</v>
      </c>
      <c r="BK23" s="10">
        <f>IF(預測IC!BK23&gt;預測IC!BK$25,1,0)</f>
        <v>0</v>
      </c>
      <c r="BL23" s="10">
        <f>IF(預測IC!BL23&gt;預測IC!BL$25,1,0)</f>
        <v>1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0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0</v>
      </c>
      <c r="BU23" s="10">
        <f>IF(預測IC!BU23&gt;預測IC!BU$25,1,0)</f>
        <v>1</v>
      </c>
      <c r="BV23" s="10">
        <f>IF(預測IC!BV23&gt;預測IC!BV$25,1,0)</f>
        <v>1</v>
      </c>
      <c r="BW23" s="10">
        <f>IF(預測IC!BW23&gt;預測IC!BW$25,1,0)</f>
        <v>0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1</v>
      </c>
      <c r="CA23" s="10">
        <f>IF(預測IC!CA23&gt;預測IC!CA$25,1,0)</f>
        <v>0</v>
      </c>
      <c r="CB23" s="10">
        <f>IF(預測IC!CB23&gt;預測IC!CB$25,1,0)</f>
        <v>1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1</v>
      </c>
      <c r="CF23" s="10">
        <f>IF(預測IC!CF23&gt;預測IC!CF$25,1,0)</f>
        <v>1</v>
      </c>
      <c r="CG23" s="10">
        <f>IF(預測IC!CG23&gt;預測IC!CG$25,1,0)</f>
        <v>0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1</v>
      </c>
      <c r="CM23" s="10">
        <f>IF(預測IC!CM23&gt;預測IC!CM$25,1,0)</f>
        <v>1</v>
      </c>
      <c r="CN23" s="10">
        <f>IF(預測IC!CN23&gt;預測IC!CN$25,1,0)</f>
        <v>1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0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0</v>
      </c>
      <c r="CV23" s="10">
        <f>IF(預測IC!CV23&gt;預測IC!CV$25,1,0)</f>
        <v>1</v>
      </c>
      <c r="CW23" s="10">
        <f>IF(預測IC!CW23&gt;預測IC!CW$25,1,0)</f>
        <v>1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0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1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0</v>
      </c>
      <c r="DQ23" s="10">
        <f>IF(預測IC!DQ23&gt;預測IC!DQ$25,1,0)</f>
        <v>0</v>
      </c>
      <c r="DR23" s="10">
        <f>IF(預測IC!DR23&gt;預測IC!DR$25,1,0)</f>
        <v>0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1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0</v>
      </c>
      <c r="EF23" s="10">
        <f>IF(預測IC!EF23&gt;預測IC!EF$25,1,0)</f>
        <v>1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67</v>
      </c>
      <c r="EN23" s="19">
        <f t="shared" si="12"/>
        <v>0.47857142857142859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0</v>
      </c>
      <c r="G24" s="10">
        <f>IF(預測IC!G24&gt;預測IC!G$25,1,0)</f>
        <v>1</v>
      </c>
      <c r="H24" s="10">
        <f>IF(預測IC!H24&gt;預測IC!H$25,1,0)</f>
        <v>0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1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0</v>
      </c>
      <c r="T24" s="10">
        <f>IF(預測IC!T24&gt;預測IC!T$25,1,0)</f>
        <v>1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1</v>
      </c>
      <c r="Y24" s="10">
        <f>IF(預測IC!Y24&gt;預測IC!Y$25,1,0)</f>
        <v>0</v>
      </c>
      <c r="Z24" s="10">
        <f>IF(預測IC!Z24&gt;預測IC!Z$25,1,0)</f>
        <v>1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0</v>
      </c>
      <c r="AF24" s="10">
        <f>IF(預測IC!AF24&gt;預測IC!AF$25,1,0)</f>
        <v>0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1</v>
      </c>
      <c r="AK24" s="10">
        <f>IF(預測IC!AK24&gt;預測IC!AK$25,1,0)</f>
        <v>0</v>
      </c>
      <c r="AL24" s="10">
        <f>IF(預測IC!AL24&gt;預測IC!AL$25,1,0)</f>
        <v>1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0</v>
      </c>
      <c r="AP24" s="10">
        <f>IF(預測IC!AP24&gt;預測IC!AP$25,1,0)</f>
        <v>0</v>
      </c>
      <c r="AQ24" s="10">
        <f>IF(預測IC!AQ24&gt;預測IC!AQ$25,1,0)</f>
        <v>0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0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0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1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0</v>
      </c>
      <c r="BH24" s="10">
        <f>IF(預測IC!BH24&gt;預測IC!BH$25,1,0)</f>
        <v>0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0</v>
      </c>
      <c r="BL24" s="10">
        <f>IF(預測IC!BL24&gt;預測IC!BL$25,1,0)</f>
        <v>1</v>
      </c>
      <c r="BM24" s="10">
        <f>IF(預測IC!BM24&gt;預測IC!BM$25,1,0)</f>
        <v>0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0</v>
      </c>
      <c r="BQ24" s="10">
        <f>IF(預測IC!BQ24&gt;預測IC!BQ$25,1,0)</f>
        <v>0</v>
      </c>
      <c r="BR24" s="10">
        <f>IF(預測IC!BR24&gt;預測IC!BR$25,1,0)</f>
        <v>0</v>
      </c>
      <c r="BS24" s="10">
        <f>IF(預測IC!BS24&gt;預測IC!BS$25,1,0)</f>
        <v>0</v>
      </c>
      <c r="BT24" s="10">
        <f>IF(預測IC!BT24&gt;預測IC!BT$25,1,0)</f>
        <v>0</v>
      </c>
      <c r="BU24" s="10">
        <f>IF(預測IC!BU24&gt;預測IC!BU$25,1,0)</f>
        <v>1</v>
      </c>
      <c r="BV24" s="10">
        <f>IF(預測IC!BV24&gt;預測IC!BV$25,1,0)</f>
        <v>0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1</v>
      </c>
      <c r="CA24" s="10">
        <f>IF(預測IC!CA24&gt;預測IC!CA$25,1,0)</f>
        <v>0</v>
      </c>
      <c r="CB24" s="10">
        <f>IF(預測IC!CB24&gt;預測IC!CB$25,1,0)</f>
        <v>1</v>
      </c>
      <c r="CC24" s="10">
        <f>IF(預測IC!CC24&gt;預測IC!CC$25,1,0)</f>
        <v>0</v>
      </c>
      <c r="CD24" s="10">
        <f>IF(預測IC!CD24&gt;預測IC!CD$25,1,0)</f>
        <v>0</v>
      </c>
      <c r="CE24" s="10">
        <f>IF(預測IC!CE24&gt;預測IC!CE$25,1,0)</f>
        <v>1</v>
      </c>
      <c r="CF24" s="10">
        <f>IF(預測IC!CF24&gt;預測IC!CF$25,1,0)</f>
        <v>0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1</v>
      </c>
      <c r="CL24" s="10">
        <f>IF(預測IC!CL24&gt;預測IC!CL$25,1,0)</f>
        <v>0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0</v>
      </c>
      <c r="CR24" s="10">
        <f>IF(預測IC!CR24&gt;預測IC!CR$25,1,0)</f>
        <v>0</v>
      </c>
      <c r="CS24" s="10">
        <f>IF(預測IC!CS24&gt;預測IC!CS$25,1,0)</f>
        <v>0</v>
      </c>
      <c r="CT24" s="10">
        <f>IF(預測IC!CT24&gt;預測IC!CT$25,1,0)</f>
        <v>0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0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0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0</v>
      </c>
      <c r="DJ24" s="10">
        <f>IF(預測IC!DJ24&gt;預測IC!DJ$25,1,0)</f>
        <v>1</v>
      </c>
      <c r="DK24" s="10">
        <f>IF(預測IC!DK24&gt;預測IC!DK$25,1,0)</f>
        <v>1</v>
      </c>
      <c r="DL24" s="10">
        <f>IF(預測IC!DL24&gt;預測IC!DL$25,1,0)</f>
        <v>0</v>
      </c>
      <c r="DM24" s="10">
        <f>IF(預測IC!DM24&gt;預測IC!DM$25,1,0)</f>
        <v>1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1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0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0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0</v>
      </c>
      <c r="EL24" s="10">
        <f>IF(預測IC!EL24&gt;預測IC!EL$25,1,0)</f>
        <v>1</v>
      </c>
      <c r="EM24" s="6">
        <f t="shared" si="11"/>
        <v>60</v>
      </c>
      <c r="EN24" s="19">
        <f t="shared" si="12"/>
        <v>0.42857142857142855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8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0.10365580277954198</v>
      </c>
      <c r="E12" s="2">
        <f>D12+預測IC!E12</f>
        <v>0.13439473910906011</v>
      </c>
      <c r="F12" s="2">
        <f>E12+預測IC!F12</f>
        <v>0.11923193464952178</v>
      </c>
      <c r="G12" s="2">
        <f>F12+預測IC!G12</f>
        <v>0.13732066199933005</v>
      </c>
      <c r="H12" s="2">
        <f>G12+預測IC!H12</f>
        <v>0.18515621926677078</v>
      </c>
      <c r="I12" s="2">
        <f>H12+預測IC!I12</f>
        <v>0.22241442636602257</v>
      </c>
      <c r="J12" s="2">
        <f>I12+預測IC!J12</f>
        <v>0.22279967798077679</v>
      </c>
      <c r="K12" s="2">
        <f>J12+預測IC!K12</f>
        <v>0.23966660510610457</v>
      </c>
      <c r="L12" s="2">
        <f>K12+預測IC!L12</f>
        <v>0.21649718586837177</v>
      </c>
      <c r="M12" s="2">
        <f>L12+預測IC!M12</f>
        <v>0.20230342652755645</v>
      </c>
      <c r="N12" s="2">
        <f>M12+預測IC!N12</f>
        <v>0.27734434842261285</v>
      </c>
      <c r="O12" s="2">
        <f>N12+預測IC!O12</f>
        <v>0.3012284891385229</v>
      </c>
      <c r="P12" s="2">
        <f>O12+預測IC!P12</f>
        <v>0.29300482001111194</v>
      </c>
      <c r="Q12" s="2">
        <f>P12+預測IC!Q12</f>
        <v>0.31880030046233926</v>
      </c>
      <c r="R12" s="2">
        <f>Q12+預測IC!R12</f>
        <v>0.32698083048956117</v>
      </c>
      <c r="S12" s="2">
        <f>R12+預測IC!S12</f>
        <v>0.2973894228010181</v>
      </c>
      <c r="T12" s="2">
        <f>S12+預測IC!T12</f>
        <v>0.28606563947391184</v>
      </c>
      <c r="U12" s="2">
        <f>T12+預測IC!U12</f>
        <v>0.26157438125618848</v>
      </c>
      <c r="V12" s="2">
        <f>U12+預測IC!V12</f>
        <v>0.29549901721615751</v>
      </c>
      <c r="W12" s="2">
        <f>V12+預測IC!W12</f>
        <v>0.32748445772915308</v>
      </c>
      <c r="X12" s="2">
        <f>W12+預測IC!X12</f>
        <v>0.36563709661028954</v>
      </c>
      <c r="Y12" s="2">
        <f>X12+預測IC!Y12</f>
        <v>0.36809720935730078</v>
      </c>
      <c r="Z12" s="2">
        <f>Y12+預測IC!Z12</f>
        <v>0.40751952168128708</v>
      </c>
      <c r="AA12" s="2">
        <f>Z12+預測IC!AA12</f>
        <v>0.39894051692097643</v>
      </c>
      <c r="AB12" s="2">
        <f>AA12+預測IC!AB12</f>
        <v>0.41283254539930747</v>
      </c>
      <c r="AC12" s="2">
        <f>AB12+預測IC!AC12</f>
        <v>0.42758103941825532</v>
      </c>
      <c r="AD12" s="2">
        <f>AC12+預測IC!AD12</f>
        <v>0.43635639011149119</v>
      </c>
      <c r="AE12" s="2">
        <f>AD12+預測IC!AE12</f>
        <v>0.39832489344903843</v>
      </c>
      <c r="AF12" s="2">
        <f>AE12+預測IC!AF12</f>
        <v>0.42441136289318232</v>
      </c>
      <c r="AG12" s="2">
        <f>AF12+預測IC!AG12</f>
        <v>0.46500707322584528</v>
      </c>
      <c r="AH12" s="2">
        <f>AG12+預測IC!AH12</f>
        <v>0.49162029053516626</v>
      </c>
      <c r="AI12" s="2">
        <f>AH12+預測IC!AI12</f>
        <v>0.51812588838764451</v>
      </c>
      <c r="AJ12" s="2">
        <f>AI12+預測IC!AJ12</f>
        <v>0.5409918599878013</v>
      </c>
      <c r="AK12" s="2">
        <f>AJ12+預測IC!AK12</f>
        <v>0.56697200079573817</v>
      </c>
      <c r="AL12" s="2">
        <f>AK12+預測IC!AL12</f>
        <v>0.58639744284176032</v>
      </c>
      <c r="AM12" s="2">
        <f>AL12+預測IC!AM12</f>
        <v>0.62413435284707519</v>
      </c>
      <c r="AN12" s="2">
        <f>AM12+預測IC!AN12</f>
        <v>0.69174210653311974</v>
      </c>
      <c r="AO12" s="2">
        <f>AN12+預測IC!AO12</f>
        <v>0.71879153114727512</v>
      </c>
      <c r="AP12" s="2">
        <f>AO12+預測IC!AP12</f>
        <v>0.69896785261970074</v>
      </c>
      <c r="AQ12" s="2">
        <f>AP12+預測IC!AQ12</f>
        <v>0.68778172999370524</v>
      </c>
      <c r="AR12" s="2">
        <f>AQ12+預測IC!AR12</f>
        <v>0.6751500381068154</v>
      </c>
      <c r="AS12" s="2">
        <f>AR12+預測IC!AS12</f>
        <v>0.69391972013553438</v>
      </c>
      <c r="AT12" s="2">
        <f>AS12+預測IC!AT12</f>
        <v>0.7389699211911479</v>
      </c>
      <c r="AU12" s="2">
        <f>AT12+預測IC!AU12</f>
        <v>0.78522357716894398</v>
      </c>
      <c r="AV12" s="2">
        <f>AU12+預測IC!AV12</f>
        <v>0.78825739918211934</v>
      </c>
      <c r="AW12" s="2">
        <f>AV12+預測IC!AW12</f>
        <v>0.82157002871467377</v>
      </c>
      <c r="AX12" s="2">
        <f>AW12+預測IC!AX12</f>
        <v>0.82840963526680889</v>
      </c>
      <c r="AY12" s="2">
        <f>AX12+預測IC!AY12</f>
        <v>0.8441187167891856</v>
      </c>
      <c r="AZ12" s="2">
        <f>AY12+預測IC!AZ12</f>
        <v>0.87301483982074901</v>
      </c>
      <c r="BA12" s="2">
        <f>AZ12+預測IC!BA12</f>
        <v>0.94109464404062515</v>
      </c>
      <c r="BB12" s="2">
        <f>BA12+預測IC!BB12</f>
        <v>0.94901869106874837</v>
      </c>
      <c r="BC12" s="2">
        <f>BB12+預測IC!BC12</f>
        <v>0.96174318064325848</v>
      </c>
      <c r="BD12" s="2">
        <f>BC12+預測IC!BD12</f>
        <v>0.98833418592496125</v>
      </c>
      <c r="BE12" s="2">
        <f>BD12+預測IC!BE12</f>
        <v>0.95403251856579374</v>
      </c>
      <c r="BF12" s="2">
        <f>BE12+預測IC!BF12</f>
        <v>0.96559652658241502</v>
      </c>
      <c r="BG12" s="2">
        <f>BF12+預測IC!BG12</f>
        <v>0.9941748316313308</v>
      </c>
      <c r="BH12" s="2">
        <f>BG12+預測IC!BH12</f>
        <v>1.0163726317563335</v>
      </c>
      <c r="BI12" s="2">
        <f>BH12+預測IC!BI12</f>
        <v>1.0834858814851354</v>
      </c>
      <c r="BJ12" s="2">
        <f>BI12+預測IC!BJ12</f>
        <v>1.0960788207363958</v>
      </c>
      <c r="BK12" s="2">
        <f>BJ12+預測IC!BK12</f>
        <v>1.0722636476472265</v>
      </c>
      <c r="BL12" s="2">
        <f>BK12+預測IC!BL12</f>
        <v>1.0959119570364622</v>
      </c>
      <c r="BM12" s="2">
        <f>BL12+預測IC!BM12</f>
        <v>1.0779734390794493</v>
      </c>
      <c r="BN12" s="2">
        <f>BM12+預測IC!BN12</f>
        <v>1.0676935585071392</v>
      </c>
      <c r="BO12" s="2">
        <f>BN12+預測IC!BO12</f>
        <v>1.0873004488775466</v>
      </c>
      <c r="BP12" s="2">
        <f>BO12+預測IC!BP12</f>
        <v>1.0678749632360487</v>
      </c>
      <c r="BQ12" s="2">
        <f>BP12+預測IC!BQ12</f>
        <v>1.0861184175614216</v>
      </c>
      <c r="BR12" s="2">
        <f>BQ12+預測IC!BR12</f>
        <v>1.1146803910535501</v>
      </c>
      <c r="BS12" s="2">
        <f>BR12+預測IC!BS12</f>
        <v>1.1262307246539505</v>
      </c>
      <c r="BT12" s="2">
        <f>BS12+預測IC!BT12</f>
        <v>1.1135084329775973</v>
      </c>
      <c r="BU12" s="2">
        <f>BT12+預測IC!BU12</f>
        <v>1.1036046688411216</v>
      </c>
      <c r="BV12" s="2">
        <f>BU12+預測IC!BV12</f>
        <v>1.1068634310498313</v>
      </c>
      <c r="BW12" s="2">
        <f>BV12+預測IC!BW12</f>
        <v>1.0790390318543981</v>
      </c>
      <c r="BX12" s="2">
        <f>BW12+預測IC!BX12</f>
        <v>1.0890471300468143</v>
      </c>
      <c r="BY12" s="2">
        <f>BX12+預測IC!BY12</f>
        <v>1.0378914415931533</v>
      </c>
      <c r="BZ12" s="2">
        <f>BY12+預測IC!BZ12</f>
        <v>1.0861835378631366</v>
      </c>
      <c r="CA12" s="2">
        <f>BZ12+預測IC!CA12</f>
        <v>1.0865894080744254</v>
      </c>
      <c r="CB12" s="2">
        <f>CA12+預測IC!CB12</f>
        <v>1.0996046469040006</v>
      </c>
      <c r="CC12" s="2">
        <f>CB12+預測IC!CC12</f>
        <v>1.1179491904653256</v>
      </c>
      <c r="CD12" s="2">
        <f>CC12+預測IC!CD12</f>
        <v>1.1767748919146186</v>
      </c>
      <c r="CE12" s="2">
        <f>CD12+預測IC!CE12</f>
        <v>1.2762340973394148</v>
      </c>
      <c r="CF12" s="2">
        <f>CE12+預測IC!CF12</f>
        <v>1.2939537544464239</v>
      </c>
      <c r="CG12" s="2">
        <f>CF12+預測IC!CG12</f>
        <v>1.2964565740015506</v>
      </c>
      <c r="CH12" s="2">
        <f>CG12+預測IC!CH12</f>
        <v>1.344755666701877</v>
      </c>
      <c r="CI12" s="2">
        <f>CH12+預測IC!CI12</f>
        <v>1.3313900287397777</v>
      </c>
      <c r="CJ12" s="2">
        <f>CI12+預測IC!CJ12</f>
        <v>1.3177508054910367</v>
      </c>
      <c r="CK12" s="2">
        <f>CJ12+預測IC!CK12</f>
        <v>1.3320790114227559</v>
      </c>
      <c r="CL12" s="2">
        <f>CK12+預測IC!CL12</f>
        <v>1.4639820540189978</v>
      </c>
      <c r="CM12" s="2">
        <f>CL12+預測IC!CM12</f>
        <v>1.4087868035257447</v>
      </c>
      <c r="CN12" s="2">
        <f>CM12+預測IC!CN12</f>
        <v>1.3995187159373947</v>
      </c>
      <c r="CO12" s="2">
        <f>CN12+預測IC!CO12</f>
        <v>1.3407609494126917</v>
      </c>
      <c r="CP12" s="2">
        <f>CO12+預測IC!CP12</f>
        <v>1.3907939153940199</v>
      </c>
      <c r="CQ12" s="2">
        <f>CP12+預測IC!CQ12</f>
        <v>1.4165272824827724</v>
      </c>
      <c r="CR12" s="2">
        <f>CQ12+預測IC!CR12</f>
        <v>1.4196821565612299</v>
      </c>
      <c r="CS12" s="2">
        <f>CR12+預測IC!CS12</f>
        <v>1.4043839349555651</v>
      </c>
      <c r="CT12" s="2">
        <f>CS12+預測IC!CT12</f>
        <v>1.4502946218461914</v>
      </c>
      <c r="CU12" s="2">
        <f>CT12+預測IC!CU12</f>
        <v>1.4705609485118627</v>
      </c>
      <c r="CV12" s="2">
        <f>CU12+預測IC!CV12</f>
        <v>1.4763892775884826</v>
      </c>
      <c r="CW12" s="2">
        <f>CV12+預測IC!CW12</f>
        <v>1.4949746319167403</v>
      </c>
      <c r="CX12" s="2">
        <f>CW12+預測IC!CX12</f>
        <v>1.5558588990937676</v>
      </c>
      <c r="CY12" s="2">
        <f>CX12+預測IC!CY12</f>
        <v>1.5991191767199959</v>
      </c>
      <c r="CZ12" s="2">
        <f>CY12+預測IC!CZ12</f>
        <v>1.721076668214343</v>
      </c>
      <c r="DA12" s="2">
        <f>CZ12+預測IC!DA12</f>
        <v>1.7575699534631979</v>
      </c>
      <c r="DB12" s="2">
        <f>DA12+預測IC!DB12</f>
        <v>1.8136164829357668</v>
      </c>
      <c r="DC12" s="2">
        <f>DB12+預測IC!DC12</f>
        <v>1.8516219104270708</v>
      </c>
      <c r="DD12" s="2">
        <f>DC12+預測IC!DD12</f>
        <v>1.8446131793064551</v>
      </c>
      <c r="DE12" s="2">
        <f>DD12+預測IC!DE12</f>
        <v>1.8221820762717535</v>
      </c>
      <c r="DF12" s="2">
        <f>DE12+預測IC!DF12</f>
        <v>1.8800342277245168</v>
      </c>
      <c r="DG12" s="2">
        <f>DF12+預測IC!DG12</f>
        <v>1.8396277955122069</v>
      </c>
      <c r="DH12" s="2">
        <f>DG12+預測IC!DH12</f>
        <v>1.8651385322543519</v>
      </c>
      <c r="DI12" s="2">
        <f>DH12+預測IC!DI12</f>
        <v>1.8570490686277736</v>
      </c>
      <c r="DJ12" s="2">
        <f>DI12+預測IC!DJ12</f>
        <v>1.8822316074912364</v>
      </c>
      <c r="DK12" s="2">
        <f>DJ12+預測IC!DK12</f>
        <v>1.8421614884125237</v>
      </c>
      <c r="DL12" s="2">
        <f>DK12+預測IC!DL12</f>
        <v>1.8378039099445791</v>
      </c>
      <c r="DM12" s="2">
        <f>DL12+預測IC!DM12</f>
        <v>1.8046925221306456</v>
      </c>
      <c r="DN12" s="2">
        <f>DM12+預測IC!DN12</f>
        <v>1.8373102796855341</v>
      </c>
      <c r="DO12" s="2">
        <f>DN12+預測IC!DO12</f>
        <v>1.8586841096204145</v>
      </c>
      <c r="DP12" s="2">
        <f>DO12+預測IC!DP12</f>
        <v>1.8876581039588138</v>
      </c>
      <c r="DQ12" s="2">
        <f>DP12+預測IC!DQ12</f>
        <v>1.861127980046031</v>
      </c>
      <c r="DR12" s="2">
        <f>DQ12+預測IC!DR12</f>
        <v>1.8714802947529103</v>
      </c>
      <c r="DS12" s="2">
        <f>DR12+預測IC!DS12</f>
        <v>1.9005062399803794</v>
      </c>
      <c r="DT12" s="2">
        <f>DS12+預測IC!DT12</f>
        <v>1.9086567297273298</v>
      </c>
      <c r="DU12" s="2">
        <f>DT12+預測IC!DU12</f>
        <v>1.8721532268697114</v>
      </c>
      <c r="DV12" s="2">
        <f>DU12+預測IC!DV12</f>
        <v>1.9092691887287343</v>
      </c>
      <c r="DW12" s="2">
        <f>DV12+預測IC!DW12</f>
        <v>1.9338403603101595</v>
      </c>
      <c r="DX12" s="2">
        <f>DW12+預測IC!DX12</f>
        <v>1.9040414960393826</v>
      </c>
      <c r="DY12" s="2">
        <f>DX12+預測IC!DY12</f>
        <v>1.9637153096564399</v>
      </c>
      <c r="DZ12" s="2">
        <f>DY12+預測IC!DZ12</f>
        <v>1.9841489892732593</v>
      </c>
      <c r="EA12" s="2">
        <f>DZ12+預測IC!EA12</f>
        <v>2.0458815377253439</v>
      </c>
      <c r="EB12" s="2">
        <f>EA12+預測IC!EB12</f>
        <v>2.0599703933305036</v>
      </c>
      <c r="EC12" s="2">
        <f>EB12+預測IC!EC12</f>
        <v>2.0755095030442647</v>
      </c>
      <c r="ED12" s="2">
        <f>EC12+預測IC!ED12</f>
        <v>2.0394969790409676</v>
      </c>
      <c r="EE12" s="2">
        <f>ED12+預測IC!EE12</f>
        <v>2.0321642180683006</v>
      </c>
      <c r="EF12" s="2">
        <f>EE12+預測IC!EF12</f>
        <v>2.0668215570980273</v>
      </c>
      <c r="EG12" s="2">
        <f>EF12+預測IC!EG12</f>
        <v>2.1179158949020782</v>
      </c>
      <c r="EH12" s="2">
        <f>EG12+預測IC!EH12</f>
        <v>2.116586759859421</v>
      </c>
      <c r="EI12" s="2">
        <f>EH12+預測IC!EI12</f>
        <v>2.08391236041623</v>
      </c>
      <c r="EJ12" s="2">
        <f>EI12+預測IC!EJ12</f>
        <v>2.021959582207844</v>
      </c>
      <c r="EK12" s="2">
        <f>EJ12+預測IC!EK12</f>
        <v>2.0185701363718267</v>
      </c>
      <c r="EL12" s="2">
        <f>EK12+預測IC!EL12</f>
        <v>1.9924522896998849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7.8201230317261575E-2</v>
      </c>
      <c r="E13" s="2">
        <f>D13+預測IC!E13</f>
        <v>0.11316620016753563</v>
      </c>
      <c r="F13" s="2">
        <f>E13+預測IC!F13</f>
        <v>6.4640180768413283E-2</v>
      </c>
      <c r="G13" s="2">
        <f>F13+預測IC!G13</f>
        <v>0.1038803546653683</v>
      </c>
      <c r="H13" s="2">
        <f>G13+預測IC!H13</f>
        <v>0.1411411213604632</v>
      </c>
      <c r="I13" s="2">
        <f>H13+預測IC!I13</f>
        <v>0.17423997520656428</v>
      </c>
      <c r="J13" s="2">
        <f>I13+預測IC!J13</f>
        <v>0.16846400098499106</v>
      </c>
      <c r="K13" s="2">
        <f>J13+預測IC!K13</f>
        <v>0.16212166379679974</v>
      </c>
      <c r="L13" s="2">
        <f>K13+預測IC!L13</f>
        <v>0.13368657234223907</v>
      </c>
      <c r="M13" s="2">
        <f>L13+預測IC!M13</f>
        <v>0.12958378543023369</v>
      </c>
      <c r="N13" s="2">
        <f>M13+預測IC!N13</f>
        <v>0.2232377762272314</v>
      </c>
      <c r="O13" s="2">
        <f>N13+預測IC!O13</f>
        <v>0.23146508197014493</v>
      </c>
      <c r="P13" s="2">
        <f>O13+預測IC!P13</f>
        <v>0.22724179456724736</v>
      </c>
      <c r="Q13" s="2">
        <f>P13+預測IC!Q13</f>
        <v>0.250177134517935</v>
      </c>
      <c r="R13" s="2">
        <f>Q13+預測IC!R13</f>
        <v>0.28269114365125869</v>
      </c>
      <c r="S13" s="2">
        <f>R13+預測IC!S13</f>
        <v>0.26257849267694156</v>
      </c>
      <c r="T13" s="2">
        <f>S13+預測IC!T13</f>
        <v>0.23419367957028467</v>
      </c>
      <c r="U13" s="2">
        <f>T13+預測IC!U13</f>
        <v>0.19821129630499912</v>
      </c>
      <c r="V13" s="2">
        <f>U13+預測IC!V13</f>
        <v>0.2431232489484291</v>
      </c>
      <c r="W13" s="2">
        <f>V13+預測IC!W13</f>
        <v>0.27665457888396933</v>
      </c>
      <c r="X13" s="2">
        <f>W13+預測IC!X13</f>
        <v>0.31414762781226341</v>
      </c>
      <c r="Y13" s="2">
        <f>X13+預測IC!Y13</f>
        <v>0.3027493010428034</v>
      </c>
      <c r="Z13" s="2">
        <f>Y13+預測IC!Z13</f>
        <v>0.34754418432996254</v>
      </c>
      <c r="AA13" s="2">
        <f>Z13+預測IC!AA13</f>
        <v>0.33042839116991368</v>
      </c>
      <c r="AB13" s="2">
        <f>AA13+預測IC!AB13</f>
        <v>0.35722190721897917</v>
      </c>
      <c r="AC13" s="2">
        <f>AB13+預測IC!AC13</f>
        <v>0.37565289819045622</v>
      </c>
      <c r="AD13" s="2">
        <f>AC13+預測IC!AD13</f>
        <v>0.38709227122581519</v>
      </c>
      <c r="AE13" s="2">
        <f>AD13+預測IC!AE13</f>
        <v>0.35498475789367456</v>
      </c>
      <c r="AF13" s="2">
        <f>AE13+預測IC!AF13</f>
        <v>0.39036937252988574</v>
      </c>
      <c r="AG13" s="2">
        <f>AF13+預測IC!AG13</f>
        <v>0.43746499717573684</v>
      </c>
      <c r="AH13" s="2">
        <f>AG13+預測IC!AH13</f>
        <v>0.46480192085869604</v>
      </c>
      <c r="AI13" s="2">
        <f>AH13+預測IC!AI13</f>
        <v>0.49145523290766413</v>
      </c>
      <c r="AJ13" s="2">
        <f>AI13+預測IC!AJ13</f>
        <v>0.51003632669565946</v>
      </c>
      <c r="AK13" s="2">
        <f>AJ13+預測IC!AK13</f>
        <v>0.52750618498820734</v>
      </c>
      <c r="AL13" s="2">
        <f>AK13+預測IC!AL13</f>
        <v>0.54668840449143374</v>
      </c>
      <c r="AM13" s="2">
        <f>AL13+預測IC!AM13</f>
        <v>0.58428371335413598</v>
      </c>
      <c r="AN13" s="2">
        <f>AM13+預測IC!AN13</f>
        <v>0.68595088422927464</v>
      </c>
      <c r="AO13" s="2">
        <f>AN13+預測IC!AO13</f>
        <v>0.71433412523428408</v>
      </c>
      <c r="AP13" s="2">
        <f>AO13+預測IC!AP13</f>
        <v>0.68082995373293076</v>
      </c>
      <c r="AQ13" s="2">
        <f>AP13+預測IC!AQ13</f>
        <v>0.67462490103252848</v>
      </c>
      <c r="AR13" s="2">
        <f>AQ13+預測IC!AR13</f>
        <v>0.65588207249995556</v>
      </c>
      <c r="AS13" s="2">
        <f>AR13+預測IC!AS13</f>
        <v>0.70110628713578282</v>
      </c>
      <c r="AT13" s="2">
        <f>AS13+預測IC!AT13</f>
        <v>0.73163748509267446</v>
      </c>
      <c r="AU13" s="2">
        <f>AT13+預測IC!AU13</f>
        <v>0.78755040479678295</v>
      </c>
      <c r="AV13" s="2">
        <f>AU13+預測IC!AV13</f>
        <v>0.79415769735038766</v>
      </c>
      <c r="AW13" s="2">
        <f>AV13+預測IC!AW13</f>
        <v>0.81763610088313987</v>
      </c>
      <c r="AX13" s="2">
        <f>AW13+預測IC!AX13</f>
        <v>0.8299063469617739</v>
      </c>
      <c r="AY13" s="2">
        <f>AX13+預測IC!AY13</f>
        <v>0.81989840243441225</v>
      </c>
      <c r="AZ13" s="2">
        <f>AY13+預測IC!AZ13</f>
        <v>0.84410505876814523</v>
      </c>
      <c r="BA13" s="2">
        <f>AZ13+預測IC!BA13</f>
        <v>0.92841673958254878</v>
      </c>
      <c r="BB13" s="2">
        <f>BA13+預測IC!BB13</f>
        <v>0.94174369073252162</v>
      </c>
      <c r="BC13" s="2">
        <f>BB13+預測IC!BC13</f>
        <v>0.94619634572911127</v>
      </c>
      <c r="BD13" s="2">
        <f>BC13+預測IC!BD13</f>
        <v>0.9545843147467562</v>
      </c>
      <c r="BE13" s="2">
        <f>BD13+預測IC!BE13</f>
        <v>0.93932998595580552</v>
      </c>
      <c r="BF13" s="2">
        <f>BE13+預測IC!BF13</f>
        <v>0.95932545390005119</v>
      </c>
      <c r="BG13" s="2">
        <f>BF13+預測IC!BG13</f>
        <v>0.99744033240740904</v>
      </c>
      <c r="BH13" s="2">
        <f>BG13+預測IC!BH13</f>
        <v>1.0353950008053068</v>
      </c>
      <c r="BI13" s="2">
        <f>BH13+預測IC!BI13</f>
        <v>1.0849502164636957</v>
      </c>
      <c r="BJ13" s="2">
        <f>BI13+預測IC!BJ13</f>
        <v>1.0916460889683943</v>
      </c>
      <c r="BK13" s="2">
        <f>BJ13+預測IC!BK13</f>
        <v>1.0721793760125347</v>
      </c>
      <c r="BL13" s="2">
        <f>BK13+預測IC!BL13</f>
        <v>1.10621172794981</v>
      </c>
      <c r="BM13" s="2">
        <f>BL13+預測IC!BM13</f>
        <v>1.0866836688447685</v>
      </c>
      <c r="BN13" s="2">
        <f>BM13+預測IC!BN13</f>
        <v>1.0895397473115702</v>
      </c>
      <c r="BO13" s="2">
        <f>BN13+預測IC!BO13</f>
        <v>1.0992105039574334</v>
      </c>
      <c r="BP13" s="2">
        <f>BO13+預測IC!BP13</f>
        <v>1.0737388973645074</v>
      </c>
      <c r="BQ13" s="2">
        <f>BP13+預測IC!BQ13</f>
        <v>1.1187674260197604</v>
      </c>
      <c r="BR13" s="2">
        <f>BQ13+預測IC!BR13</f>
        <v>1.1653678320072121</v>
      </c>
      <c r="BS13" s="2">
        <f>BR13+預測IC!BS13</f>
        <v>1.1583364893258965</v>
      </c>
      <c r="BT13" s="2">
        <f>BS13+預測IC!BT13</f>
        <v>1.1459965467577022</v>
      </c>
      <c r="BU13" s="2">
        <f>BT13+預測IC!BU13</f>
        <v>1.1292452977234144</v>
      </c>
      <c r="BV13" s="2">
        <f>BU13+預測IC!BV13</f>
        <v>1.1449328422342313</v>
      </c>
      <c r="BW13" s="2">
        <f>BV13+預測IC!BW13</f>
        <v>1.072685417023824</v>
      </c>
      <c r="BX13" s="2">
        <f>BW13+預測IC!BX13</f>
        <v>1.0950048636150658</v>
      </c>
      <c r="BY13" s="2">
        <f>BX13+預測IC!BY13</f>
        <v>1.0062799435114584</v>
      </c>
      <c r="BZ13" s="2">
        <f>BY13+預測IC!BZ13</f>
        <v>1.0502794282711099</v>
      </c>
      <c r="CA13" s="2">
        <f>BZ13+預測IC!CA13</f>
        <v>1.0570980496929498</v>
      </c>
      <c r="CB13" s="2">
        <f>CA13+預測IC!CB13</f>
        <v>1.0582088559116716</v>
      </c>
      <c r="CC13" s="2">
        <f>CB13+預測IC!CC13</f>
        <v>1.0818474486827281</v>
      </c>
      <c r="CD13" s="2">
        <f>CC13+預測IC!CD13</f>
        <v>1.1526212897898429</v>
      </c>
      <c r="CE13" s="2">
        <f>CD13+預測IC!CE13</f>
        <v>1.2542256695459224</v>
      </c>
      <c r="CF13" s="2">
        <f>CE13+預測IC!CF13</f>
        <v>1.2836101539086371</v>
      </c>
      <c r="CG13" s="2">
        <f>CF13+預測IC!CG13</f>
        <v>1.292773775946007</v>
      </c>
      <c r="CH13" s="2">
        <f>CG13+預測IC!CH13</f>
        <v>1.354781034314213</v>
      </c>
      <c r="CI13" s="2">
        <f>CH13+預測IC!CI13</f>
        <v>1.3295550428579248</v>
      </c>
      <c r="CJ13" s="2">
        <f>CI13+預測IC!CJ13</f>
        <v>1.2973947659237035</v>
      </c>
      <c r="CK13" s="2">
        <f>CJ13+預測IC!CK13</f>
        <v>1.3201921780593056</v>
      </c>
      <c r="CL13" s="2">
        <f>CK13+預測IC!CL13</f>
        <v>1.4616972907141887</v>
      </c>
      <c r="CM13" s="2">
        <f>CL13+預測IC!CM13</f>
        <v>1.4084029271369152</v>
      </c>
      <c r="CN13" s="2">
        <f>CM13+預測IC!CN13</f>
        <v>1.3842943621000965</v>
      </c>
      <c r="CO13" s="2">
        <f>CN13+預測IC!CO13</f>
        <v>1.3159453291542984</v>
      </c>
      <c r="CP13" s="2">
        <f>CO13+預測IC!CP13</f>
        <v>1.393647606935156</v>
      </c>
      <c r="CQ13" s="2">
        <f>CP13+預測IC!CQ13</f>
        <v>1.4190988748737074</v>
      </c>
      <c r="CR13" s="2">
        <f>CQ13+預測IC!CR13</f>
        <v>1.4208578874148394</v>
      </c>
      <c r="CS13" s="2">
        <f>CR13+預測IC!CS13</f>
        <v>1.4038927912779815</v>
      </c>
      <c r="CT13" s="2">
        <f>CS13+預測IC!CT13</f>
        <v>1.4367162879785946</v>
      </c>
      <c r="CU13" s="2">
        <f>CT13+預測IC!CU13</f>
        <v>1.4592027434668091</v>
      </c>
      <c r="CV13" s="2">
        <f>CU13+預測IC!CV13</f>
        <v>1.4750922044578165</v>
      </c>
      <c r="CW13" s="2">
        <f>CV13+預測IC!CW13</f>
        <v>1.4812815615466564</v>
      </c>
      <c r="CX13" s="2">
        <f>CW13+預測IC!CX13</f>
        <v>1.5381587700807697</v>
      </c>
      <c r="CY13" s="2">
        <f>CX13+預測IC!CY13</f>
        <v>1.5606899438076396</v>
      </c>
      <c r="CZ13" s="2">
        <f>CY13+預測IC!CZ13</f>
        <v>1.6882109597744013</v>
      </c>
      <c r="DA13" s="2">
        <f>CZ13+預測IC!DA13</f>
        <v>1.7236417545635174</v>
      </c>
      <c r="DB13" s="2">
        <f>DA13+預測IC!DB13</f>
        <v>1.8125949939129036</v>
      </c>
      <c r="DC13" s="2">
        <f>DB13+預測IC!DC13</f>
        <v>1.8551056976569864</v>
      </c>
      <c r="DD13" s="2">
        <f>DC13+預測IC!DD13</f>
        <v>1.8122574065545651</v>
      </c>
      <c r="DE13" s="2">
        <f>DD13+預測IC!DE13</f>
        <v>1.7809699252672646</v>
      </c>
      <c r="DF13" s="2">
        <f>DE13+預測IC!DF13</f>
        <v>1.8647693843141113</v>
      </c>
      <c r="DG13" s="2">
        <f>DF13+預測IC!DG13</f>
        <v>1.8174857224805601</v>
      </c>
      <c r="DH13" s="2">
        <f>DG13+預測IC!DH13</f>
        <v>1.8521003833541214</v>
      </c>
      <c r="DI13" s="2">
        <f>DH13+預測IC!DI13</f>
        <v>1.8507312777362883</v>
      </c>
      <c r="DJ13" s="2">
        <f>DI13+預測IC!DJ13</f>
        <v>1.8800371433007357</v>
      </c>
      <c r="DK13" s="2">
        <f>DJ13+預測IC!DK13</f>
        <v>1.8465821294120874</v>
      </c>
      <c r="DL13" s="2">
        <f>DK13+預測IC!DL13</f>
        <v>1.8834936830599613</v>
      </c>
      <c r="DM13" s="2">
        <f>DL13+預測IC!DM13</f>
        <v>1.8677416421030832</v>
      </c>
      <c r="DN13" s="2">
        <f>DM13+預測IC!DN13</f>
        <v>1.9192170362778327</v>
      </c>
      <c r="DO13" s="2">
        <f>DN13+預測IC!DO13</f>
        <v>1.9466166443784092</v>
      </c>
      <c r="DP13" s="2">
        <f>DO13+預測IC!DP13</f>
        <v>1.9753699450368658</v>
      </c>
      <c r="DQ13" s="2">
        <f>DP13+預測IC!DQ13</f>
        <v>1.9653051668706034</v>
      </c>
      <c r="DR13" s="2">
        <f>DQ13+預測IC!DR13</f>
        <v>1.9864047853507567</v>
      </c>
      <c r="DS13" s="2">
        <f>DR13+預測IC!DS13</f>
        <v>2.0242940624067076</v>
      </c>
      <c r="DT13" s="2">
        <f>DS13+預測IC!DT13</f>
        <v>2.0350484899784056</v>
      </c>
      <c r="DU13" s="2">
        <f>DT13+預測IC!DU13</f>
        <v>2.0170853955665469</v>
      </c>
      <c r="DV13" s="2">
        <f>DU13+預測IC!DV13</f>
        <v>2.0529552709256755</v>
      </c>
      <c r="DW13" s="2">
        <f>DV13+預測IC!DW13</f>
        <v>2.0977631238597283</v>
      </c>
      <c r="DX13" s="2">
        <f>DW13+預測IC!DX13</f>
        <v>2.0544965933214208</v>
      </c>
      <c r="DY13" s="2">
        <f>DX13+預測IC!DY13</f>
        <v>2.1159786690963669</v>
      </c>
      <c r="DZ13" s="2">
        <f>DY13+預測IC!DZ13</f>
        <v>2.1397374856883475</v>
      </c>
      <c r="EA13" s="2">
        <f>DZ13+預測IC!EA13</f>
        <v>2.1963591200988541</v>
      </c>
      <c r="EB13" s="2">
        <f>EA13+預測IC!EB13</f>
        <v>2.1764800750381097</v>
      </c>
      <c r="EC13" s="2">
        <f>EB13+預測IC!EC13</f>
        <v>2.1934494547971162</v>
      </c>
      <c r="ED13" s="2">
        <f>EC13+預測IC!ED13</f>
        <v>2.14242930713531</v>
      </c>
      <c r="EE13" s="2">
        <f>ED13+預測IC!EE13</f>
        <v>2.1317179052810658</v>
      </c>
      <c r="EF13" s="2">
        <f>EE13+預測IC!EF13</f>
        <v>2.1644034806789705</v>
      </c>
      <c r="EG13" s="2">
        <f>EF13+預測IC!EG13</f>
        <v>2.2127538176681574</v>
      </c>
      <c r="EH13" s="2">
        <f>EG13+預測IC!EH13</f>
        <v>2.194336961387426</v>
      </c>
      <c r="EI13" s="2">
        <f>EH13+預測IC!EI13</f>
        <v>2.1357039104499882</v>
      </c>
      <c r="EJ13" s="2">
        <f>EI13+預測IC!EJ13</f>
        <v>2.0579627021588522</v>
      </c>
      <c r="EK13" s="2">
        <f>EJ13+預測IC!EK13</f>
        <v>2.0399680125920883</v>
      </c>
      <c r="EL13" s="2">
        <f>EK13+預測IC!EL13</f>
        <v>2.0093381771137042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7.6951789293592782E-2</v>
      </c>
      <c r="E14" s="2">
        <f>D14+預測IC!E14</f>
        <v>8.4010201408232316E-2</v>
      </c>
      <c r="F14" s="2">
        <f>E14+預測IC!F14</f>
        <v>6.9105713351596321E-2</v>
      </c>
      <c r="G14" s="2">
        <f>F14+預測IC!G14</f>
        <v>0.1934878892686539</v>
      </c>
      <c r="H14" s="2">
        <f>G14+預測IC!H14</f>
        <v>0.24445623683662865</v>
      </c>
      <c r="I14" s="2">
        <f>H14+預測IC!I14</f>
        <v>0.31064166718558744</v>
      </c>
      <c r="J14" s="2">
        <f>I14+預測IC!J14</f>
        <v>0.28867689349196812</v>
      </c>
      <c r="K14" s="2">
        <f>J14+預測IC!K14</f>
        <v>0.33335281993508792</v>
      </c>
      <c r="L14" s="2">
        <f>K14+預測IC!L14</f>
        <v>0.3245239435136415</v>
      </c>
      <c r="M14" s="2">
        <f>L14+預測IC!M14</f>
        <v>0.3354365714405107</v>
      </c>
      <c r="N14" s="2">
        <f>M14+預測IC!N14</f>
        <v>0.48571175767856012</v>
      </c>
      <c r="O14" s="2">
        <f>N14+預測IC!O14</f>
        <v>0.49338842194858279</v>
      </c>
      <c r="P14" s="2">
        <f>O14+預測IC!P14</f>
        <v>0.49875151402128742</v>
      </c>
      <c r="Q14" s="2">
        <f>P14+預測IC!Q14</f>
        <v>0.56055456156022965</v>
      </c>
      <c r="R14" s="2">
        <f>Q14+預測IC!R14</f>
        <v>0.62129511987688602</v>
      </c>
      <c r="S14" s="2">
        <f>R14+預測IC!S14</f>
        <v>0.6171957289755261</v>
      </c>
      <c r="T14" s="2">
        <f>S14+預測IC!T14</f>
        <v>0.57501836240782456</v>
      </c>
      <c r="U14" s="2">
        <f>T14+預測IC!U14</f>
        <v>0.52197933659670337</v>
      </c>
      <c r="V14" s="2">
        <f>U14+預測IC!V14</f>
        <v>0.55276039105183206</v>
      </c>
      <c r="W14" s="2">
        <f>V14+預測IC!W14</f>
        <v>0.54264319114536841</v>
      </c>
      <c r="X14" s="2">
        <f>W14+預測IC!X14</f>
        <v>0.62059333867054256</v>
      </c>
      <c r="Y14" s="2">
        <f>X14+預測IC!Y14</f>
        <v>0.58637248838019229</v>
      </c>
      <c r="Z14" s="2">
        <f>Y14+預測IC!Z14</f>
        <v>0.62067396489372817</v>
      </c>
      <c r="AA14" s="2">
        <f>Z14+預測IC!AA14</f>
        <v>0.58615590996497624</v>
      </c>
      <c r="AB14" s="2">
        <f>AA14+預測IC!AB14</f>
        <v>0.61782681449039156</v>
      </c>
      <c r="AC14" s="2">
        <f>AB14+預測IC!AC14</f>
        <v>0.65314888562360074</v>
      </c>
      <c r="AD14" s="2">
        <f>AC14+預測IC!AD14</f>
        <v>0.64697891927984386</v>
      </c>
      <c r="AE14" s="2">
        <f>AD14+預測IC!AE14</f>
        <v>0.65311989812429949</v>
      </c>
      <c r="AF14" s="2">
        <f>AE14+預測IC!AF14</f>
        <v>0.68411916029067055</v>
      </c>
      <c r="AG14" s="2">
        <f>AF14+預測IC!AG14</f>
        <v>0.71020627223176458</v>
      </c>
      <c r="AH14" s="2">
        <f>AG14+預測IC!AH14</f>
        <v>0.73232598475795441</v>
      </c>
      <c r="AI14" s="2">
        <f>AH14+預測IC!AI14</f>
        <v>0.77897723153322596</v>
      </c>
      <c r="AJ14" s="2">
        <f>AI14+預測IC!AJ14</f>
        <v>0.80424397032148809</v>
      </c>
      <c r="AK14" s="2">
        <f>AJ14+預測IC!AK14</f>
        <v>0.85424874237535176</v>
      </c>
      <c r="AL14" s="2">
        <f>AK14+預測IC!AL14</f>
        <v>0.86438952319806162</v>
      </c>
      <c r="AM14" s="2">
        <f>AL14+預測IC!AM14</f>
        <v>0.89341197237284475</v>
      </c>
      <c r="AN14" s="2">
        <f>AM14+預測IC!AN14</f>
        <v>0.99249993334916642</v>
      </c>
      <c r="AO14" s="2">
        <f>AN14+預測IC!AO14</f>
        <v>1.0152414495403772</v>
      </c>
      <c r="AP14" s="2">
        <f>AO14+預測IC!AP14</f>
        <v>0.96463616261389484</v>
      </c>
      <c r="AQ14" s="2">
        <f>AP14+預測IC!AQ14</f>
        <v>0.97230954191478658</v>
      </c>
      <c r="AR14" s="2">
        <f>AQ14+預測IC!AR14</f>
        <v>0.9685073131444587</v>
      </c>
      <c r="AS14" s="2">
        <f>AR14+預測IC!AS14</f>
        <v>0.99132910576396926</v>
      </c>
      <c r="AT14" s="2">
        <f>AS14+預測IC!AT14</f>
        <v>1.0011327521755742</v>
      </c>
      <c r="AU14" s="2">
        <f>AT14+預測IC!AU14</f>
        <v>1.0323608113164424</v>
      </c>
      <c r="AV14" s="2">
        <f>AU14+預測IC!AV14</f>
        <v>1.0238743537489621</v>
      </c>
      <c r="AW14" s="2">
        <f>AV14+預測IC!AW14</f>
        <v>1.0567191581764996</v>
      </c>
      <c r="AX14" s="2">
        <f>AW14+預測IC!AX14</f>
        <v>1.1094036179561531</v>
      </c>
      <c r="AY14" s="2">
        <f>AX14+預測IC!AY14</f>
        <v>1.1055036204226409</v>
      </c>
      <c r="AZ14" s="2">
        <f>AY14+預測IC!AZ14</f>
        <v>1.1333625597519785</v>
      </c>
      <c r="BA14" s="2">
        <f>AZ14+預測IC!BA14</f>
        <v>1.2148577480817109</v>
      </c>
      <c r="BB14" s="2">
        <f>BA14+預測IC!BB14</f>
        <v>1.2636208872579182</v>
      </c>
      <c r="BC14" s="2">
        <f>BB14+預測IC!BC14</f>
        <v>1.2885472287629747</v>
      </c>
      <c r="BD14" s="2">
        <f>BC14+預測IC!BD14</f>
        <v>1.3024375570484423</v>
      </c>
      <c r="BE14" s="2">
        <f>BD14+預測IC!BE14</f>
        <v>1.272178233548992</v>
      </c>
      <c r="BF14" s="2">
        <f>BE14+預測IC!BF14</f>
        <v>1.3062086604327376</v>
      </c>
      <c r="BG14" s="2">
        <f>BF14+預測IC!BG14</f>
        <v>1.3074729286281199</v>
      </c>
      <c r="BH14" s="2">
        <f>BG14+預測IC!BH14</f>
        <v>1.3119755848936274</v>
      </c>
      <c r="BI14" s="2">
        <f>BH14+預測IC!BI14</f>
        <v>1.3783549844847984</v>
      </c>
      <c r="BJ14" s="2">
        <f>BI14+預測IC!BJ14</f>
        <v>1.3808355315025462</v>
      </c>
      <c r="BK14" s="2">
        <f>BJ14+預測IC!BK14</f>
        <v>1.393139143598618</v>
      </c>
      <c r="BL14" s="2">
        <f>BK14+預測IC!BL14</f>
        <v>1.4286312236621337</v>
      </c>
      <c r="BM14" s="2">
        <f>BL14+預測IC!BM14</f>
        <v>1.4122603021899569</v>
      </c>
      <c r="BN14" s="2">
        <f>BM14+預測IC!BN14</f>
        <v>1.4277634642976491</v>
      </c>
      <c r="BO14" s="2">
        <f>BN14+預測IC!BO14</f>
        <v>1.4111019510585874</v>
      </c>
      <c r="BP14" s="2">
        <f>BO14+預測IC!BP14</f>
        <v>1.4295719594281866</v>
      </c>
      <c r="BQ14" s="2">
        <f>BP14+預測IC!BQ14</f>
        <v>1.4645250504346758</v>
      </c>
      <c r="BR14" s="2">
        <f>BQ14+預測IC!BR14</f>
        <v>1.516777312184421</v>
      </c>
      <c r="BS14" s="2">
        <f>BR14+預測IC!BS14</f>
        <v>1.4873067883726765</v>
      </c>
      <c r="BT14" s="2">
        <f>BS14+預測IC!BT14</f>
        <v>1.457336057608253</v>
      </c>
      <c r="BU14" s="2">
        <f>BT14+預測IC!BU14</f>
        <v>1.4252560101856144</v>
      </c>
      <c r="BV14" s="2">
        <f>BU14+預測IC!BV14</f>
        <v>1.4283883627726159</v>
      </c>
      <c r="BW14" s="2">
        <f>BV14+預測IC!BW14</f>
        <v>1.280725887892352</v>
      </c>
      <c r="BX14" s="2">
        <f>BW14+預測IC!BX14</f>
        <v>1.3186901336804806</v>
      </c>
      <c r="BY14" s="2">
        <f>BX14+預測IC!BY14</f>
        <v>1.219079993911123</v>
      </c>
      <c r="BZ14" s="2">
        <f>BY14+預測IC!BZ14</f>
        <v>1.2972189925454429</v>
      </c>
      <c r="CA14" s="2">
        <f>BZ14+預測IC!CA14</f>
        <v>1.2923588221876565</v>
      </c>
      <c r="CB14" s="2">
        <f>CA14+預測IC!CB14</f>
        <v>1.3476676529929836</v>
      </c>
      <c r="CC14" s="2">
        <f>CB14+預測IC!CC14</f>
        <v>1.4222381634826113</v>
      </c>
      <c r="CD14" s="2">
        <f>CC14+預測IC!CD14</f>
        <v>1.4823010542285799</v>
      </c>
      <c r="CE14" s="2">
        <f>CD14+預測IC!CE14</f>
        <v>1.5795071033687726</v>
      </c>
      <c r="CF14" s="2">
        <f>CE14+預測IC!CF14</f>
        <v>1.6093514921418006</v>
      </c>
      <c r="CG14" s="2">
        <f>CF14+預測IC!CG14</f>
        <v>1.6195047555056545</v>
      </c>
      <c r="CH14" s="2">
        <f>CG14+預測IC!CH14</f>
        <v>1.7317442467048083</v>
      </c>
      <c r="CI14" s="2">
        <f>CH14+預測IC!CI14</f>
        <v>1.6513288600086937</v>
      </c>
      <c r="CJ14" s="2">
        <f>CI14+預測IC!CJ14</f>
        <v>1.6657709019488947</v>
      </c>
      <c r="CK14" s="2">
        <f>CJ14+預測IC!CK14</f>
        <v>1.6906376755844177</v>
      </c>
      <c r="CL14" s="2">
        <f>CK14+預測IC!CL14</f>
        <v>1.8334445334514653</v>
      </c>
      <c r="CM14" s="2">
        <f>CL14+預測IC!CM14</f>
        <v>1.7738727404364758</v>
      </c>
      <c r="CN14" s="2">
        <f>CM14+預測IC!CN14</f>
        <v>1.7760970739537594</v>
      </c>
      <c r="CO14" s="2">
        <f>CN14+預測IC!CO14</f>
        <v>1.6742895814518004</v>
      </c>
      <c r="CP14" s="2">
        <f>CO14+預測IC!CP14</f>
        <v>1.7656784686403293</v>
      </c>
      <c r="CQ14" s="2">
        <f>CP14+預測IC!CQ14</f>
        <v>1.7857860431852068</v>
      </c>
      <c r="CR14" s="2">
        <f>CQ14+預測IC!CR14</f>
        <v>1.8099161922332692</v>
      </c>
      <c r="CS14" s="2">
        <f>CR14+預測IC!CS14</f>
        <v>1.7433212413521637</v>
      </c>
      <c r="CT14" s="2">
        <f>CS14+預測IC!CT14</f>
        <v>1.7929063478432747</v>
      </c>
      <c r="CU14" s="2">
        <f>CT14+預測IC!CU14</f>
        <v>1.8418134380218154</v>
      </c>
      <c r="CV14" s="2">
        <f>CU14+預測IC!CV14</f>
        <v>1.8781894803673829</v>
      </c>
      <c r="CW14" s="2">
        <f>CV14+預測IC!CW14</f>
        <v>1.9163818561336674</v>
      </c>
      <c r="CX14" s="2">
        <f>CW14+預測IC!CX14</f>
        <v>2.0153644070929784</v>
      </c>
      <c r="CY14" s="2">
        <f>CX14+預測IC!CY14</f>
        <v>2.031470463651583</v>
      </c>
      <c r="CZ14" s="2">
        <f>CY14+預測IC!CZ14</f>
        <v>2.2067543058842118</v>
      </c>
      <c r="DA14" s="2">
        <f>CZ14+預測IC!DA14</f>
        <v>2.2380124862994792</v>
      </c>
      <c r="DB14" s="2">
        <f>DA14+預測IC!DB14</f>
        <v>2.3034386874371786</v>
      </c>
      <c r="DC14" s="2">
        <f>DB14+預測IC!DC14</f>
        <v>2.3503933012323657</v>
      </c>
      <c r="DD14" s="2">
        <f>DC14+預測IC!DD14</f>
        <v>2.3198497987544631</v>
      </c>
      <c r="DE14" s="2">
        <f>DD14+預測IC!DE14</f>
        <v>2.3018862243966542</v>
      </c>
      <c r="DF14" s="2">
        <f>DE14+預測IC!DF14</f>
        <v>2.3807248330355568</v>
      </c>
      <c r="DG14" s="2">
        <f>DF14+預測IC!DG14</f>
        <v>2.3398502721374133</v>
      </c>
      <c r="DH14" s="2">
        <f>DG14+預測IC!DH14</f>
        <v>2.418770552351178</v>
      </c>
      <c r="DI14" s="2">
        <f>DH14+預測IC!DI14</f>
        <v>2.3910295671361323</v>
      </c>
      <c r="DJ14" s="2">
        <f>DI14+預測IC!DJ14</f>
        <v>2.4197526838176087</v>
      </c>
      <c r="DK14" s="2">
        <f>DJ14+預測IC!DK14</f>
        <v>2.4188997605955298</v>
      </c>
      <c r="DL14" s="2">
        <f>DK14+預測IC!DL14</f>
        <v>2.4378259461680107</v>
      </c>
      <c r="DM14" s="2">
        <f>DL14+預測IC!DM14</f>
        <v>2.4262408640852664</v>
      </c>
      <c r="DN14" s="2">
        <f>DM14+預測IC!DN14</f>
        <v>2.4430032433911788</v>
      </c>
      <c r="DO14" s="2">
        <f>DN14+預測IC!DO14</f>
        <v>2.4591660188714646</v>
      </c>
      <c r="DP14" s="2">
        <f>DO14+預測IC!DP14</f>
        <v>2.4698812137668211</v>
      </c>
      <c r="DQ14" s="2">
        <f>DP14+預測IC!DQ14</f>
        <v>2.4635785705546116</v>
      </c>
      <c r="DR14" s="2">
        <f>DQ14+預測IC!DR14</f>
        <v>2.4672387582122419</v>
      </c>
      <c r="DS14" s="2">
        <f>DR14+預測IC!DS14</f>
        <v>2.487916062161764</v>
      </c>
      <c r="DT14" s="2">
        <f>DS14+預測IC!DT14</f>
        <v>2.4855955946195776</v>
      </c>
      <c r="DU14" s="2">
        <f>DT14+預測IC!DU14</f>
        <v>2.4219159845850027</v>
      </c>
      <c r="DV14" s="2">
        <f>DU14+預測IC!DV14</f>
        <v>2.4621487837881233</v>
      </c>
      <c r="DW14" s="2">
        <f>DV14+預測IC!DW14</f>
        <v>2.5086413699211199</v>
      </c>
      <c r="DX14" s="2">
        <f>DW14+預測IC!DX14</f>
        <v>2.432463182443739</v>
      </c>
      <c r="DY14" s="2">
        <f>DX14+預測IC!DY14</f>
        <v>2.515905818410626</v>
      </c>
      <c r="DZ14" s="2">
        <f>DY14+預測IC!DZ14</f>
        <v>2.5011454446679675</v>
      </c>
      <c r="EA14" s="2">
        <f>DZ14+預測IC!EA14</f>
        <v>2.563622566972819</v>
      </c>
      <c r="EB14" s="2">
        <f>EA14+預測IC!EB14</f>
        <v>2.5031382161157274</v>
      </c>
      <c r="EC14" s="2">
        <f>EB14+預測IC!EC14</f>
        <v>2.5222397943647636</v>
      </c>
      <c r="ED14" s="2">
        <f>EC14+預測IC!ED14</f>
        <v>2.4577290812565109</v>
      </c>
      <c r="EE14" s="2">
        <f>ED14+預測IC!EE14</f>
        <v>2.4500658125756285</v>
      </c>
      <c r="EF14" s="2">
        <f>EE14+預測IC!EF14</f>
        <v>2.485285074268357</v>
      </c>
      <c r="EG14" s="2">
        <f>EF14+預測IC!EG14</f>
        <v>2.5350382116933941</v>
      </c>
      <c r="EH14" s="2">
        <f>EG14+預測IC!EH14</f>
        <v>2.515038225863838</v>
      </c>
      <c r="EI14" s="2">
        <f>EH14+預測IC!EI14</f>
        <v>2.4783373087494676</v>
      </c>
      <c r="EJ14" s="2">
        <f>EI14+預測IC!EJ14</f>
        <v>2.4283971603413477</v>
      </c>
      <c r="EK14" s="2">
        <f>EJ14+預測IC!EK14</f>
        <v>2.399478826096209</v>
      </c>
      <c r="EL14" s="2">
        <f>EK14+預測IC!EL14</f>
        <v>2.3496294750403095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6.6732558322519606E-2</v>
      </c>
      <c r="E15" s="2">
        <f>D15+預測IC!E15</f>
        <v>9.9916228561265946E-2</v>
      </c>
      <c r="F15" s="2">
        <f>E15+預測IC!F15</f>
        <v>9.8626336911892071E-2</v>
      </c>
      <c r="G15" s="2">
        <f>F15+預測IC!G15</f>
        <v>0.2627553919589799</v>
      </c>
      <c r="H15" s="2">
        <f>G15+預測IC!H15</f>
        <v>0.33515107934082555</v>
      </c>
      <c r="I15" s="2">
        <f>H15+預測IC!I15</f>
        <v>0.40901450561203567</v>
      </c>
      <c r="J15" s="2">
        <f>I15+預測IC!J15</f>
        <v>0.33608047111229178</v>
      </c>
      <c r="K15" s="2">
        <f>J15+預測IC!K15</f>
        <v>0.38989009944454334</v>
      </c>
      <c r="L15" s="2">
        <f>K15+預測IC!L15</f>
        <v>0.42271291289550994</v>
      </c>
      <c r="M15" s="2">
        <f>L15+預測IC!M15</f>
        <v>0.41140551282740301</v>
      </c>
      <c r="N15" s="2">
        <f>M15+預測IC!N15</f>
        <v>0.46411808916401182</v>
      </c>
      <c r="O15" s="2">
        <f>N15+預測IC!O15</f>
        <v>0.48016312139441492</v>
      </c>
      <c r="P15" s="2">
        <f>O15+預測IC!P15</f>
        <v>0.50919439107773912</v>
      </c>
      <c r="Q15" s="2">
        <f>P15+預測IC!Q15</f>
        <v>0.56330277548953811</v>
      </c>
      <c r="R15" s="2">
        <f>Q15+預測IC!R15</f>
        <v>0.72021460292922235</v>
      </c>
      <c r="S15" s="2">
        <f>R15+預測IC!S15</f>
        <v>0.75581198294479213</v>
      </c>
      <c r="T15" s="2">
        <f>S15+預測IC!T15</f>
        <v>0.68263379835982241</v>
      </c>
      <c r="U15" s="2">
        <f>T15+預測IC!U15</f>
        <v>0.5872297718380971</v>
      </c>
      <c r="V15" s="2">
        <f>U15+預測IC!V15</f>
        <v>0.60269448421658556</v>
      </c>
      <c r="W15" s="2">
        <f>V15+預測IC!W15</f>
        <v>0.58311703411884519</v>
      </c>
      <c r="X15" s="2">
        <f>W15+預測IC!X15</f>
        <v>0.67213972172564806</v>
      </c>
      <c r="Y15" s="2">
        <f>X15+預測IC!Y15</f>
        <v>0.61577266955229182</v>
      </c>
      <c r="Z15" s="2">
        <f>Y15+預測IC!Z15</f>
        <v>0.63382031350230672</v>
      </c>
      <c r="AA15" s="2">
        <f>Z15+預測IC!AA15</f>
        <v>0.62886024228821258</v>
      </c>
      <c r="AB15" s="2">
        <f>AA15+預測IC!AB15</f>
        <v>0.68208997046648812</v>
      </c>
      <c r="AC15" s="2">
        <f>AB15+預測IC!AC15</f>
        <v>0.69346526725151003</v>
      </c>
      <c r="AD15" s="2">
        <f>AC15+預測IC!AD15</f>
        <v>0.67272441488873058</v>
      </c>
      <c r="AE15" s="2">
        <f>AD15+預測IC!AE15</f>
        <v>0.6647289936489702</v>
      </c>
      <c r="AF15" s="2">
        <f>AE15+預測IC!AF15</f>
        <v>0.6959637841248143</v>
      </c>
      <c r="AG15" s="2">
        <f>AF15+預測IC!AG15</f>
        <v>0.67717013236003631</v>
      </c>
      <c r="AH15" s="2">
        <f>AG15+預測IC!AH15</f>
        <v>0.67649045622526383</v>
      </c>
      <c r="AI15" s="2">
        <f>AH15+預測IC!AI15</f>
        <v>0.73787612255768398</v>
      </c>
      <c r="AJ15" s="2">
        <f>AI15+預測IC!AJ15</f>
        <v>0.76522045585410459</v>
      </c>
      <c r="AK15" s="2">
        <f>AJ15+預測IC!AK15</f>
        <v>0.78731666011461865</v>
      </c>
      <c r="AL15" s="2">
        <f>AK15+預測IC!AL15</f>
        <v>0.79112931571190637</v>
      </c>
      <c r="AM15" s="2">
        <f>AL15+預測IC!AM15</f>
        <v>0.84298515411991137</v>
      </c>
      <c r="AN15" s="2">
        <f>AM15+預測IC!AN15</f>
        <v>0.94100752035838797</v>
      </c>
      <c r="AO15" s="2">
        <f>AN15+預測IC!AO15</f>
        <v>0.95446945243545744</v>
      </c>
      <c r="AP15" s="2">
        <f>AO15+預測IC!AP15</f>
        <v>0.89500823097787841</v>
      </c>
      <c r="AQ15" s="2">
        <f>AP15+預測IC!AQ15</f>
        <v>0.9158602425441934</v>
      </c>
      <c r="AR15" s="2">
        <f>AQ15+預測IC!AR15</f>
        <v>0.90105328313076061</v>
      </c>
      <c r="AS15" s="2">
        <f>AR15+預測IC!AS15</f>
        <v>0.93664045960955267</v>
      </c>
      <c r="AT15" s="2">
        <f>AS15+預測IC!AT15</f>
        <v>0.93313081415867405</v>
      </c>
      <c r="AU15" s="2">
        <f>AT15+預測IC!AU15</f>
        <v>0.95816809579875806</v>
      </c>
      <c r="AV15" s="2">
        <f>AU15+預測IC!AV15</f>
        <v>0.93571089842980448</v>
      </c>
      <c r="AW15" s="2">
        <f>AV15+預測IC!AW15</f>
        <v>0.97032364803831439</v>
      </c>
      <c r="AX15" s="2">
        <f>AW15+預測IC!AX15</f>
        <v>1.0688625606787272</v>
      </c>
      <c r="AY15" s="2">
        <f>AX15+預測IC!AY15</f>
        <v>1.0653727654312082</v>
      </c>
      <c r="AZ15" s="2">
        <f>AY15+預測IC!AZ15</f>
        <v>1.1149180469640347</v>
      </c>
      <c r="BA15" s="2">
        <f>AZ15+預測IC!BA15</f>
        <v>1.1625544546605464</v>
      </c>
      <c r="BB15" s="2">
        <f>BA15+預測IC!BB15</f>
        <v>1.1816484887173848</v>
      </c>
      <c r="BC15" s="2">
        <f>BB15+預測IC!BC15</f>
        <v>1.2063024007623357</v>
      </c>
      <c r="BD15" s="2">
        <f>BC15+預測IC!BD15</f>
        <v>1.2039239121529952</v>
      </c>
      <c r="BE15" s="2">
        <f>BD15+預測IC!BE15</f>
        <v>1.1618376223035942</v>
      </c>
      <c r="BF15" s="2">
        <f>BE15+預測IC!BF15</f>
        <v>1.145568031970893</v>
      </c>
      <c r="BG15" s="2">
        <f>BF15+預測IC!BG15</f>
        <v>1.1110690613022483</v>
      </c>
      <c r="BH15" s="2">
        <f>BG15+預測IC!BH15</f>
        <v>1.1758895890511336</v>
      </c>
      <c r="BI15" s="2">
        <f>BH15+預測IC!BI15</f>
        <v>1.2292407200428062</v>
      </c>
      <c r="BJ15" s="2">
        <f>BI15+預測IC!BJ15</f>
        <v>1.2540875228962225</v>
      </c>
      <c r="BK15" s="2">
        <f>BJ15+預測IC!BK15</f>
        <v>1.2563449639787825</v>
      </c>
      <c r="BL15" s="2">
        <f>BK15+預測IC!BL15</f>
        <v>1.2758542696625783</v>
      </c>
      <c r="BM15" s="2">
        <f>BL15+預測IC!BM15</f>
        <v>1.2392345789500672</v>
      </c>
      <c r="BN15" s="2">
        <f>BM15+預測IC!BN15</f>
        <v>1.2718179784383736</v>
      </c>
      <c r="BO15" s="2">
        <f>BN15+預測IC!BO15</f>
        <v>1.2467125650269213</v>
      </c>
      <c r="BP15" s="2">
        <f>BO15+預測IC!BP15</f>
        <v>1.2850757547830383</v>
      </c>
      <c r="BQ15" s="2">
        <f>BP15+預測IC!BQ15</f>
        <v>1.3309674431450296</v>
      </c>
      <c r="BR15" s="2">
        <f>BQ15+預測IC!BR15</f>
        <v>1.3875784492569661</v>
      </c>
      <c r="BS15" s="2">
        <f>BR15+預測IC!BS15</f>
        <v>1.3672613299192207</v>
      </c>
      <c r="BT15" s="2">
        <f>BS15+預測IC!BT15</f>
        <v>1.3558823764702534</v>
      </c>
      <c r="BU15" s="2">
        <f>BT15+預測IC!BU15</f>
        <v>1.3126144485203273</v>
      </c>
      <c r="BV15" s="2">
        <f>BU15+預測IC!BV15</f>
        <v>1.345730493701127</v>
      </c>
      <c r="BW15" s="2">
        <f>BV15+預測IC!BW15</f>
        <v>1.0673110965840815</v>
      </c>
      <c r="BX15" s="2">
        <f>BW15+預測IC!BX15</f>
        <v>1.0885747830673036</v>
      </c>
      <c r="BY15" s="2">
        <f>BX15+預測IC!BY15</f>
        <v>0.96144849545305533</v>
      </c>
      <c r="BZ15" s="2">
        <f>BY15+預測IC!BZ15</f>
        <v>1.0795298851580688</v>
      </c>
      <c r="CA15" s="2">
        <f>BZ15+預測IC!CA15</f>
        <v>1.0791578337531289</v>
      </c>
      <c r="CB15" s="2">
        <f>CA15+預測IC!CB15</f>
        <v>1.1689500404001314</v>
      </c>
      <c r="CC15" s="2">
        <f>CB15+預測IC!CC15</f>
        <v>1.1974038400350058</v>
      </c>
      <c r="CD15" s="2">
        <f>CC15+預測IC!CD15</f>
        <v>1.3400295501278836</v>
      </c>
      <c r="CE15" s="2">
        <f>CD15+預測IC!CE15</f>
        <v>1.3981078041543131</v>
      </c>
      <c r="CF15" s="2">
        <f>CE15+預測IC!CF15</f>
        <v>1.4199025032165118</v>
      </c>
      <c r="CG15" s="2">
        <f>CF15+預測IC!CG15</f>
        <v>1.4497286215949234</v>
      </c>
      <c r="CH15" s="2">
        <f>CG15+預測IC!CH15</f>
        <v>1.6402122044256082</v>
      </c>
      <c r="CI15" s="2">
        <f>CH15+預測IC!CI15</f>
        <v>1.5935743950583574</v>
      </c>
      <c r="CJ15" s="2">
        <f>CI15+預測IC!CJ15</f>
        <v>1.5627940632660198</v>
      </c>
      <c r="CK15" s="2">
        <f>CJ15+預測IC!CK15</f>
        <v>1.6114808895886357</v>
      </c>
      <c r="CL15" s="2">
        <f>CK15+預測IC!CL15</f>
        <v>1.7493943318545062</v>
      </c>
      <c r="CM15" s="2">
        <f>CL15+預測IC!CM15</f>
        <v>1.7135714520449028</v>
      </c>
      <c r="CN15" s="2">
        <f>CM15+預測IC!CN15</f>
        <v>1.710810388323309</v>
      </c>
      <c r="CO15" s="2">
        <f>CN15+預測IC!CO15</f>
        <v>1.6183271955139868</v>
      </c>
      <c r="CP15" s="2">
        <f>CO15+預測IC!CP15</f>
        <v>1.7152218982494882</v>
      </c>
      <c r="CQ15" s="2">
        <f>CP15+預測IC!CQ15</f>
        <v>1.7828751743990454</v>
      </c>
      <c r="CR15" s="2">
        <f>CQ15+預測IC!CR15</f>
        <v>1.8084345874652226</v>
      </c>
      <c r="CS15" s="2">
        <f>CR15+預測IC!CS15</f>
        <v>1.7470887023397494</v>
      </c>
      <c r="CT15" s="2">
        <f>CS15+預測IC!CT15</f>
        <v>1.7431220842914943</v>
      </c>
      <c r="CU15" s="2">
        <f>CT15+預測IC!CU15</f>
        <v>1.7986952025756258</v>
      </c>
      <c r="CV15" s="2">
        <f>CU15+預測IC!CV15</f>
        <v>1.8475840996649286</v>
      </c>
      <c r="CW15" s="2">
        <f>CV15+預測IC!CW15</f>
        <v>1.8781356726992979</v>
      </c>
      <c r="CX15" s="2">
        <f>CW15+預測IC!CX15</f>
        <v>1.957354464664518</v>
      </c>
      <c r="CY15" s="2">
        <f>CX15+預測IC!CY15</f>
        <v>1.9981393792212214</v>
      </c>
      <c r="CZ15" s="2">
        <f>CY15+預測IC!CZ15</f>
        <v>2.1999543669911414</v>
      </c>
      <c r="DA15" s="2">
        <f>CZ15+預測IC!DA15</f>
        <v>2.1822447188206158</v>
      </c>
      <c r="DB15" s="2">
        <f>DA15+預測IC!DB15</f>
        <v>2.2374032434995299</v>
      </c>
      <c r="DC15" s="2">
        <f>DB15+預測IC!DC15</f>
        <v>2.2637623571501377</v>
      </c>
      <c r="DD15" s="2">
        <f>DC15+預測IC!DD15</f>
        <v>2.2107946534487666</v>
      </c>
      <c r="DE15" s="2">
        <f>DD15+預測IC!DE15</f>
        <v>2.2108905763999229</v>
      </c>
      <c r="DF15" s="2">
        <f>DE15+預測IC!DF15</f>
        <v>2.3125372310235623</v>
      </c>
      <c r="DG15" s="2">
        <f>DF15+預測IC!DG15</f>
        <v>2.257973962435694</v>
      </c>
      <c r="DH15" s="2">
        <f>DG15+預測IC!DH15</f>
        <v>2.3894851748528403</v>
      </c>
      <c r="DI15" s="2">
        <f>DH15+預測IC!DI15</f>
        <v>2.3731968244284873</v>
      </c>
      <c r="DJ15" s="2">
        <f>DI15+預測IC!DJ15</f>
        <v>2.4252192492667231</v>
      </c>
      <c r="DK15" s="2">
        <f>DJ15+預測IC!DK15</f>
        <v>2.3681366505275934</v>
      </c>
      <c r="DL15" s="2">
        <f>DK15+預測IC!DL15</f>
        <v>2.4111034851827071</v>
      </c>
      <c r="DM15" s="2">
        <f>DL15+預測IC!DM15</f>
        <v>2.3571510887218237</v>
      </c>
      <c r="DN15" s="2">
        <f>DM15+預測IC!DN15</f>
        <v>2.3654194862863931</v>
      </c>
      <c r="DO15" s="2">
        <f>DN15+預測IC!DO15</f>
        <v>2.3970586323856278</v>
      </c>
      <c r="DP15" s="2">
        <f>DO15+預測IC!DP15</f>
        <v>2.4180918895095327</v>
      </c>
      <c r="DQ15" s="2">
        <f>DP15+預測IC!DQ15</f>
        <v>2.4289669141868586</v>
      </c>
      <c r="DR15" s="2">
        <f>DQ15+預測IC!DR15</f>
        <v>2.4371055599403029</v>
      </c>
      <c r="DS15" s="2">
        <f>DR15+預測IC!DS15</f>
        <v>2.4572084313985134</v>
      </c>
      <c r="DT15" s="2">
        <f>DS15+預測IC!DT15</f>
        <v>2.4518272735879192</v>
      </c>
      <c r="DU15" s="2">
        <f>DT15+預測IC!DU15</f>
        <v>2.3854072214155941</v>
      </c>
      <c r="DV15" s="2">
        <f>DU15+預測IC!DV15</f>
        <v>2.4694963694022798</v>
      </c>
      <c r="DW15" s="2">
        <f>DV15+預測IC!DW15</f>
        <v>2.5146860300460467</v>
      </c>
      <c r="DX15" s="2">
        <f>DW15+預測IC!DX15</f>
        <v>2.4217255121046688</v>
      </c>
      <c r="DY15" s="2">
        <f>DX15+預測IC!DY15</f>
        <v>2.490206767540347</v>
      </c>
      <c r="DZ15" s="2">
        <f>DY15+預測IC!DZ15</f>
        <v>2.4900583529228966</v>
      </c>
      <c r="EA15" s="2">
        <f>DZ15+預測IC!EA15</f>
        <v>2.4944981121177747</v>
      </c>
      <c r="EB15" s="2">
        <f>EA15+預測IC!EB15</f>
        <v>2.4198987725763526</v>
      </c>
      <c r="EC15" s="2">
        <f>EB15+預測IC!EC15</f>
        <v>2.433318304270029</v>
      </c>
      <c r="ED15" s="2">
        <f>EC15+預測IC!ED15</f>
        <v>2.3423874230932702</v>
      </c>
      <c r="EE15" s="2">
        <f>ED15+預測IC!EE15</f>
        <v>2.3477630444410327</v>
      </c>
      <c r="EF15" s="2">
        <f>EE15+預測IC!EF15</f>
        <v>2.3925046805927517</v>
      </c>
      <c r="EG15" s="2">
        <f>EF15+預測IC!EG15</f>
        <v>2.435655584976653</v>
      </c>
      <c r="EH15" s="2">
        <f>EG15+預測IC!EH15</f>
        <v>2.4590418216937762</v>
      </c>
      <c r="EI15" s="2">
        <f>EH15+預測IC!EI15</f>
        <v>2.3965487910029295</v>
      </c>
      <c r="EJ15" s="2">
        <f>EI15+預測IC!EJ15</f>
        <v>2.3437352229197246</v>
      </c>
      <c r="EK15" s="2">
        <f>EJ15+預測IC!EK15</f>
        <v>2.3018020609793708</v>
      </c>
      <c r="EL15" s="2">
        <f>EK15+預測IC!EL15</f>
        <v>2.1966017664428046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6.5051240969032392E-2</v>
      </c>
      <c r="E16" s="2">
        <f>D16+預測IC!E16</f>
        <v>9.9480985029977403E-2</v>
      </c>
      <c r="F16" s="2">
        <f>E16+預測IC!F16</f>
        <v>0.11046103990844812</v>
      </c>
      <c r="G16" s="2">
        <f>F16+預測IC!G16</f>
        <v>0.26576565344584924</v>
      </c>
      <c r="H16" s="2">
        <f>G16+預測IC!H16</f>
        <v>0.33184687440103916</v>
      </c>
      <c r="I16" s="2">
        <f>H16+預測IC!I16</f>
        <v>0.42441931347643369</v>
      </c>
      <c r="J16" s="2">
        <f>I16+預測IC!J16</f>
        <v>0.32555309220132056</v>
      </c>
      <c r="K16" s="2">
        <f>J16+預測IC!K16</f>
        <v>0.38468415764786834</v>
      </c>
      <c r="L16" s="2">
        <f>K16+預測IC!L16</f>
        <v>0.39737999796075624</v>
      </c>
      <c r="M16" s="2">
        <f>L16+預測IC!M16</f>
        <v>0.39464147430070823</v>
      </c>
      <c r="N16" s="2">
        <f>M16+預測IC!N16</f>
        <v>0.44369651359765439</v>
      </c>
      <c r="O16" s="2">
        <f>N16+預測IC!O16</f>
        <v>0.45757006428149893</v>
      </c>
      <c r="P16" s="2">
        <f>O16+預測IC!P16</f>
        <v>0.4783243770141134</v>
      </c>
      <c r="Q16" s="2">
        <f>P16+預測IC!Q16</f>
        <v>0.54706467312228291</v>
      </c>
      <c r="R16" s="2">
        <f>Q16+預測IC!R16</f>
        <v>0.71075095834999824</v>
      </c>
      <c r="S16" s="2">
        <f>R16+預測IC!S16</f>
        <v>0.77039246543809625</v>
      </c>
      <c r="T16" s="2">
        <f>S16+預測IC!T16</f>
        <v>0.69944130751405331</v>
      </c>
      <c r="U16" s="2">
        <f>T16+預測IC!U16</f>
        <v>0.59871885971009364</v>
      </c>
      <c r="V16" s="2">
        <f>U16+預測IC!V16</f>
        <v>0.6217609276221292</v>
      </c>
      <c r="W16" s="2">
        <f>V16+預測IC!W16</f>
        <v>0.57253419018488683</v>
      </c>
      <c r="X16" s="2">
        <f>W16+預測IC!X16</f>
        <v>0.64886622888462764</v>
      </c>
      <c r="Y16" s="2">
        <f>X16+預測IC!Y16</f>
        <v>0.61049953453218198</v>
      </c>
      <c r="Z16" s="2">
        <f>Y16+預測IC!Z16</f>
        <v>0.63235955369532149</v>
      </c>
      <c r="AA16" s="2">
        <f>Z16+預測IC!AA16</f>
        <v>0.63362013243159521</v>
      </c>
      <c r="AB16" s="2">
        <f>AA16+預測IC!AB16</f>
        <v>0.68771289995448392</v>
      </c>
      <c r="AC16" s="2">
        <f>AB16+預測IC!AC16</f>
        <v>0.70840448824992464</v>
      </c>
      <c r="AD16" s="2">
        <f>AC16+預測IC!AD16</f>
        <v>0.6913601140089628</v>
      </c>
      <c r="AE16" s="2">
        <f>AD16+預測IC!AE16</f>
        <v>0.68896697138249552</v>
      </c>
      <c r="AF16" s="2">
        <f>AE16+預測IC!AF16</f>
        <v>0.7264973300562475</v>
      </c>
      <c r="AG16" s="2">
        <f>AF16+預測IC!AG16</f>
        <v>0.70512770153064797</v>
      </c>
      <c r="AH16" s="2">
        <f>AG16+預測IC!AH16</f>
        <v>0.72041972433676793</v>
      </c>
      <c r="AI16" s="2">
        <f>AH16+預測IC!AI16</f>
        <v>0.79141236313019336</v>
      </c>
      <c r="AJ16" s="2">
        <f>AI16+預測IC!AJ16</f>
        <v>0.82708721134845353</v>
      </c>
      <c r="AK16" s="2">
        <f>AJ16+預測IC!AK16</f>
        <v>0.84253030841787735</v>
      </c>
      <c r="AL16" s="2">
        <f>AK16+預測IC!AL16</f>
        <v>0.84468334060979822</v>
      </c>
      <c r="AM16" s="2">
        <f>AL16+預測IC!AM16</f>
        <v>0.90100785248310566</v>
      </c>
      <c r="AN16" s="2">
        <f>AM16+預測IC!AN16</f>
        <v>1.0108595784443866</v>
      </c>
      <c r="AO16" s="2">
        <f>AN16+預測IC!AO16</f>
        <v>1.0094314086766725</v>
      </c>
      <c r="AP16" s="2">
        <f>AO16+預測IC!AP16</f>
        <v>0.94204877220088923</v>
      </c>
      <c r="AQ16" s="2">
        <f>AP16+預測IC!AQ16</f>
        <v>0.97070461798860541</v>
      </c>
      <c r="AR16" s="2">
        <f>AQ16+預測IC!AR16</f>
        <v>0.95634523701915053</v>
      </c>
      <c r="AS16" s="2">
        <f>AR16+預測IC!AS16</f>
        <v>0.99116966391640715</v>
      </c>
      <c r="AT16" s="2">
        <f>AS16+預測IC!AT16</f>
        <v>0.954383293941378</v>
      </c>
      <c r="AU16" s="2">
        <f>AT16+預測IC!AU16</f>
        <v>0.97719689973033796</v>
      </c>
      <c r="AV16" s="2">
        <f>AU16+預測IC!AV16</f>
        <v>0.96146950489319316</v>
      </c>
      <c r="AW16" s="2">
        <f>AV16+預測IC!AW16</f>
        <v>0.99946023892654612</v>
      </c>
      <c r="AX16" s="2">
        <f>AW16+預測IC!AX16</f>
        <v>1.1165713184423094</v>
      </c>
      <c r="AY16" s="2">
        <f>AX16+預測IC!AY16</f>
        <v>1.1071032268726519</v>
      </c>
      <c r="AZ16" s="2">
        <f>AY16+預測IC!AZ16</f>
        <v>1.1657819800173539</v>
      </c>
      <c r="BA16" s="2">
        <f>AZ16+預測IC!BA16</f>
        <v>1.2123865462099841</v>
      </c>
      <c r="BB16" s="2">
        <f>BA16+預測IC!BB16</f>
        <v>1.2339020835943277</v>
      </c>
      <c r="BC16" s="2">
        <f>BB16+預測IC!BC16</f>
        <v>1.2682126513010883</v>
      </c>
      <c r="BD16" s="2">
        <f>BC16+預測IC!BD16</f>
        <v>1.2557844396742917</v>
      </c>
      <c r="BE16" s="2">
        <f>BD16+預測IC!BE16</f>
        <v>1.2088759845277395</v>
      </c>
      <c r="BF16" s="2">
        <f>BE16+預測IC!BF16</f>
        <v>1.1905586436891777</v>
      </c>
      <c r="BG16" s="2">
        <f>BF16+預測IC!BG16</f>
        <v>1.1579951751441802</v>
      </c>
      <c r="BH16" s="2">
        <f>BG16+預測IC!BH16</f>
        <v>1.2497269691849218</v>
      </c>
      <c r="BI16" s="2">
        <f>BH16+預測IC!BI16</f>
        <v>1.3006933713027065</v>
      </c>
      <c r="BJ16" s="2">
        <f>BI16+預測IC!BJ16</f>
        <v>1.3105064238864064</v>
      </c>
      <c r="BK16" s="2">
        <f>BJ16+預測IC!BK16</f>
        <v>1.323596643033004</v>
      </c>
      <c r="BL16" s="2">
        <f>BK16+預測IC!BL16</f>
        <v>1.345461811471059</v>
      </c>
      <c r="BM16" s="2">
        <f>BL16+預測IC!BM16</f>
        <v>1.3233320534544535</v>
      </c>
      <c r="BN16" s="2">
        <f>BM16+預測IC!BN16</f>
        <v>1.3634983764092639</v>
      </c>
      <c r="BO16" s="2">
        <f>BN16+預測IC!BO16</f>
        <v>1.3363785408116973</v>
      </c>
      <c r="BP16" s="2">
        <f>BO16+預測IC!BP16</f>
        <v>1.3551227100699679</v>
      </c>
      <c r="BQ16" s="2">
        <f>BP16+預測IC!BQ16</f>
        <v>1.389980809597273</v>
      </c>
      <c r="BR16" s="2">
        <f>BQ16+預測IC!BR16</f>
        <v>1.4455098852600117</v>
      </c>
      <c r="BS16" s="2">
        <f>BR16+預測IC!BS16</f>
        <v>1.4243617717149735</v>
      </c>
      <c r="BT16" s="2">
        <f>BS16+預測IC!BT16</f>
        <v>1.4118762063999239</v>
      </c>
      <c r="BU16" s="2">
        <f>BT16+預測IC!BU16</f>
        <v>1.3580623422673643</v>
      </c>
      <c r="BV16" s="2">
        <f>BU16+預測IC!BV16</f>
        <v>1.3980277321600152</v>
      </c>
      <c r="BW16" s="2">
        <f>BV16+預測IC!BW16</f>
        <v>1.0919722585528431</v>
      </c>
      <c r="BX16" s="2">
        <f>BW16+預測IC!BX16</f>
        <v>1.1175547087252675</v>
      </c>
      <c r="BY16" s="2">
        <f>BX16+預測IC!BY16</f>
        <v>0.96838918453686929</v>
      </c>
      <c r="BZ16" s="2">
        <f>BY16+預測IC!BZ16</f>
        <v>1.0955908269304464</v>
      </c>
      <c r="CA16" s="2">
        <f>BZ16+預測IC!CA16</f>
        <v>1.0952047331545507</v>
      </c>
      <c r="CB16" s="2">
        <f>CA16+預測IC!CB16</f>
        <v>1.1854246927844729</v>
      </c>
      <c r="CC16" s="2">
        <f>CB16+預測IC!CC16</f>
        <v>1.2212731942471555</v>
      </c>
      <c r="CD16" s="2">
        <f>CC16+預測IC!CD16</f>
        <v>1.3361253241424391</v>
      </c>
      <c r="CE16" s="2">
        <f>CD16+預測IC!CE16</f>
        <v>1.3943848196406763</v>
      </c>
      <c r="CF16" s="2">
        <f>CE16+預測IC!CF16</f>
        <v>1.4192383450603161</v>
      </c>
      <c r="CG16" s="2">
        <f>CF16+預測IC!CG16</f>
        <v>1.4592638959981263</v>
      </c>
      <c r="CH16" s="2">
        <f>CG16+預測IC!CH16</f>
        <v>1.6690731264340188</v>
      </c>
      <c r="CI16" s="2">
        <f>CH16+預測IC!CI16</f>
        <v>1.6070398275561075</v>
      </c>
      <c r="CJ16" s="2">
        <f>CI16+預測IC!CJ16</f>
        <v>1.5790492468867678</v>
      </c>
      <c r="CK16" s="2">
        <f>CJ16+預測IC!CK16</f>
        <v>1.5785277176390815</v>
      </c>
      <c r="CL16" s="2">
        <f>CK16+預測IC!CL16</f>
        <v>1.7253161999219224</v>
      </c>
      <c r="CM16" s="2">
        <f>CL16+預測IC!CM16</f>
        <v>1.7071643840058981</v>
      </c>
      <c r="CN16" s="2">
        <f>CM16+預測IC!CN16</f>
        <v>1.7134046628775332</v>
      </c>
      <c r="CO16" s="2">
        <f>CN16+預測IC!CO16</f>
        <v>1.596573029095242</v>
      </c>
      <c r="CP16" s="2">
        <f>CO16+預測IC!CP16</f>
        <v>1.665655469054687</v>
      </c>
      <c r="CQ16" s="2">
        <f>CP16+預測IC!CQ16</f>
        <v>1.7361981165594191</v>
      </c>
      <c r="CR16" s="2">
        <f>CQ16+預測IC!CR16</f>
        <v>1.7553015213132876</v>
      </c>
      <c r="CS16" s="2">
        <f>CR16+預測IC!CS16</f>
        <v>1.6833611310745245</v>
      </c>
      <c r="CT16" s="2">
        <f>CS16+預測IC!CT16</f>
        <v>1.6729568420140581</v>
      </c>
      <c r="CU16" s="2">
        <f>CT16+預測IC!CU16</f>
        <v>1.7341591745861471</v>
      </c>
      <c r="CV16" s="2">
        <f>CU16+預測IC!CV16</f>
        <v>1.7774926130653812</v>
      </c>
      <c r="CW16" s="2">
        <f>CV16+預測IC!CW16</f>
        <v>1.81448327232222</v>
      </c>
      <c r="CX16" s="2">
        <f>CW16+預測IC!CX16</f>
        <v>1.9000771014843456</v>
      </c>
      <c r="CY16" s="2">
        <f>CX16+預測IC!CY16</f>
        <v>1.9569734368116871</v>
      </c>
      <c r="CZ16" s="2">
        <f>CY16+預測IC!CZ16</f>
        <v>2.1525110409642521</v>
      </c>
      <c r="DA16" s="2">
        <f>CZ16+預測IC!DA16</f>
        <v>2.1365495659833535</v>
      </c>
      <c r="DB16" s="2">
        <f>DA16+預測IC!DB16</f>
        <v>2.1975648429496966</v>
      </c>
      <c r="DC16" s="2">
        <f>DB16+預測IC!DC16</f>
        <v>2.236402612765052</v>
      </c>
      <c r="DD16" s="2">
        <f>DC16+預測IC!DD16</f>
        <v>2.163783959650917</v>
      </c>
      <c r="DE16" s="2">
        <f>DD16+預測IC!DE16</f>
        <v>2.157493566231953</v>
      </c>
      <c r="DF16" s="2">
        <f>DE16+預測IC!DF16</f>
        <v>2.2711788925377077</v>
      </c>
      <c r="DG16" s="2">
        <f>DF16+預測IC!DG16</f>
        <v>2.2105238563813252</v>
      </c>
      <c r="DH16" s="2">
        <f>DG16+預測IC!DH16</f>
        <v>2.3551829716741892</v>
      </c>
      <c r="DI16" s="2">
        <f>DH16+預測IC!DI16</f>
        <v>2.3262131396445911</v>
      </c>
      <c r="DJ16" s="2">
        <f>DI16+預測IC!DJ16</f>
        <v>2.3761462725127851</v>
      </c>
      <c r="DK16" s="2">
        <f>DJ16+預測IC!DK16</f>
        <v>2.3331737260753975</v>
      </c>
      <c r="DL16" s="2">
        <f>DK16+預測IC!DL16</f>
        <v>2.3587637526114076</v>
      </c>
      <c r="DM16" s="2">
        <f>DL16+預測IC!DM16</f>
        <v>2.2983965894871847</v>
      </c>
      <c r="DN16" s="2">
        <f>DM16+預測IC!DN16</f>
        <v>2.3063297660887434</v>
      </c>
      <c r="DO16" s="2">
        <f>DN16+預測IC!DO16</f>
        <v>2.3453663207530804</v>
      </c>
      <c r="DP16" s="2">
        <f>DO16+預測IC!DP16</f>
        <v>2.3418353337773059</v>
      </c>
      <c r="DQ16" s="2">
        <f>DP16+預測IC!DQ16</f>
        <v>2.3028882732335196</v>
      </c>
      <c r="DR16" s="2">
        <f>DQ16+預測IC!DR16</f>
        <v>2.309868257305681</v>
      </c>
      <c r="DS16" s="2">
        <f>DR16+預測IC!DS16</f>
        <v>2.3304651702747363</v>
      </c>
      <c r="DT16" s="2">
        <f>DS16+預測IC!DT16</f>
        <v>2.3300705983178562</v>
      </c>
      <c r="DU16" s="2">
        <f>DT16+預測IC!DU16</f>
        <v>2.264009744561454</v>
      </c>
      <c r="DV16" s="2">
        <f>DU16+預測IC!DV16</f>
        <v>2.3572115061367955</v>
      </c>
      <c r="DW16" s="2">
        <f>DV16+預測IC!DW16</f>
        <v>2.3965922107544833</v>
      </c>
      <c r="DX16" s="2">
        <f>DW16+預測IC!DX16</f>
        <v>2.3013002449867055</v>
      </c>
      <c r="DY16" s="2">
        <f>DX16+預測IC!DY16</f>
        <v>2.3842759633638413</v>
      </c>
      <c r="DZ16" s="2">
        <f>DY16+預測IC!DZ16</f>
        <v>2.3820670800575043</v>
      </c>
      <c r="EA16" s="2">
        <f>DZ16+預測IC!EA16</f>
        <v>2.3878602707247025</v>
      </c>
      <c r="EB16" s="2">
        <f>EA16+預測IC!EB16</f>
        <v>2.3205294767086739</v>
      </c>
      <c r="EC16" s="2">
        <f>EB16+預測IC!EC16</f>
        <v>2.3352201826559553</v>
      </c>
      <c r="ED16" s="2">
        <f>EC16+預測IC!ED16</f>
        <v>2.2407240949190719</v>
      </c>
      <c r="EE16" s="2">
        <f>ED16+預測IC!EE16</f>
        <v>2.2406400837355926</v>
      </c>
      <c r="EF16" s="2">
        <f>EE16+預測IC!EF16</f>
        <v>2.2962665781773781</v>
      </c>
      <c r="EG16" s="2">
        <f>EF16+預測IC!EG16</f>
        <v>2.3496932475195513</v>
      </c>
      <c r="EH16" s="2">
        <f>EG16+預測IC!EH16</f>
        <v>2.3641156031318777</v>
      </c>
      <c r="EI16" s="2">
        <f>EH16+預測IC!EI16</f>
        <v>2.3016695310409987</v>
      </c>
      <c r="EJ16" s="2">
        <f>EI16+預測IC!EJ16</f>
        <v>2.2300303064498221</v>
      </c>
      <c r="EK16" s="2">
        <f>EJ16+預測IC!EK16</f>
        <v>2.1922118032720741</v>
      </c>
      <c r="EL16" s="2">
        <f>EK16+預測IC!EL16</f>
        <v>2.0661650596467713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5.62600282553265E-2</v>
      </c>
      <c r="E17" s="2">
        <f>D17+預測IC!E17</f>
        <v>0.10786919637819459</v>
      </c>
      <c r="F17" s="2">
        <f>E17+預測IC!F17</f>
        <v>6.5342263170232562E-2</v>
      </c>
      <c r="G17" s="2">
        <f>F17+預測IC!G17</f>
        <v>0.22393644196855075</v>
      </c>
      <c r="H17" s="2">
        <f>G17+預測IC!H17</f>
        <v>0.3092558027806932</v>
      </c>
      <c r="I17" s="2">
        <f>H17+預測IC!I17</f>
        <v>0.4101950994137038</v>
      </c>
      <c r="J17" s="2">
        <f>I17+預測IC!J17</f>
        <v>0.31217209307977234</v>
      </c>
      <c r="K17" s="2">
        <f>J17+預測IC!K17</f>
        <v>0.37070466098642207</v>
      </c>
      <c r="L17" s="2">
        <f>K17+預測IC!L17</f>
        <v>0.38851785029293151</v>
      </c>
      <c r="M17" s="2">
        <f>L17+預測IC!M17</f>
        <v>0.39786381467004378</v>
      </c>
      <c r="N17" s="2">
        <f>M17+預測IC!N17</f>
        <v>0.46700198139524329</v>
      </c>
      <c r="O17" s="2">
        <f>N17+預測IC!O17</f>
        <v>0.49494714782594895</v>
      </c>
      <c r="P17" s="2">
        <f>O17+預測IC!P17</f>
        <v>0.5235859791892663</v>
      </c>
      <c r="Q17" s="2">
        <f>P17+預測IC!Q17</f>
        <v>0.60654348305229899</v>
      </c>
      <c r="R17" s="2">
        <f>Q17+預測IC!R17</f>
        <v>0.78078607519633514</v>
      </c>
      <c r="S17" s="2">
        <f>R17+預測IC!S17</f>
        <v>0.88155434027498059</v>
      </c>
      <c r="T17" s="2">
        <f>S17+預測IC!T17</f>
        <v>0.83184329336690477</v>
      </c>
      <c r="U17" s="2">
        <f>T17+預測IC!U17</f>
        <v>0.72835804301151452</v>
      </c>
      <c r="V17" s="2">
        <f>U17+預測IC!V17</f>
        <v>0.73026987310421465</v>
      </c>
      <c r="W17" s="2">
        <f>V17+預測IC!W17</f>
        <v>0.66713692137511227</v>
      </c>
      <c r="X17" s="2">
        <f>W17+預測IC!X17</f>
        <v>0.73663193211152012</v>
      </c>
      <c r="Y17" s="2">
        <f>X17+預測IC!Y17</f>
        <v>0.6716271101325707</v>
      </c>
      <c r="Z17" s="2">
        <f>Y17+預測IC!Z17</f>
        <v>0.69778534008832416</v>
      </c>
      <c r="AA17" s="2">
        <f>Z17+預測IC!AA17</f>
        <v>0.71185343950702928</v>
      </c>
      <c r="AB17" s="2">
        <f>AA17+預測IC!AB17</f>
        <v>0.76984308322897677</v>
      </c>
      <c r="AC17" s="2">
        <f>AB17+預測IC!AC17</f>
        <v>0.79522958105469999</v>
      </c>
      <c r="AD17" s="2">
        <f>AC17+預測IC!AD17</f>
        <v>0.7701166061032606</v>
      </c>
      <c r="AE17" s="2">
        <f>AD17+預測IC!AE17</f>
        <v>0.76226127523715825</v>
      </c>
      <c r="AF17" s="2">
        <f>AE17+預測IC!AF17</f>
        <v>0.80915887309128687</v>
      </c>
      <c r="AG17" s="2">
        <f>AF17+預測IC!AG17</f>
        <v>0.77226267932113968</v>
      </c>
      <c r="AH17" s="2">
        <f>AG17+預測IC!AH17</f>
        <v>0.77500843519339946</v>
      </c>
      <c r="AI17" s="2">
        <f>AH17+預測IC!AI17</f>
        <v>0.85276717807950253</v>
      </c>
      <c r="AJ17" s="2">
        <f>AI17+預測IC!AJ17</f>
        <v>0.90252915303845116</v>
      </c>
      <c r="AK17" s="2">
        <f>AJ17+預測IC!AK17</f>
        <v>0.91085340228821787</v>
      </c>
      <c r="AL17" s="2">
        <f>AK17+預測IC!AL17</f>
        <v>0.91374155840408888</v>
      </c>
      <c r="AM17" s="2">
        <f>AL17+預測IC!AM17</f>
        <v>0.97025799355784981</v>
      </c>
      <c r="AN17" s="2">
        <f>AM17+預測IC!AN17</f>
        <v>1.0722545238507868</v>
      </c>
      <c r="AO17" s="2">
        <f>AN17+預測IC!AO17</f>
        <v>1.0781982733214646</v>
      </c>
      <c r="AP17" s="2">
        <f>AO17+預測IC!AP17</f>
        <v>1.0034214387996683</v>
      </c>
      <c r="AQ17" s="2">
        <f>AP17+預測IC!AQ17</f>
        <v>0.99799395417704484</v>
      </c>
      <c r="AR17" s="2">
        <f>AQ17+預測IC!AR17</f>
        <v>0.98398151312680382</v>
      </c>
      <c r="AS17" s="2">
        <f>AR17+預測IC!AS17</f>
        <v>1.0162110490647478</v>
      </c>
      <c r="AT17" s="2">
        <f>AS17+預測IC!AT17</f>
        <v>1.0158461311343141</v>
      </c>
      <c r="AU17" s="2">
        <f>AT17+預測IC!AU17</f>
        <v>1.0381669025947056</v>
      </c>
      <c r="AV17" s="2">
        <f>AU17+預測IC!AV17</f>
        <v>1.0157569597117027</v>
      </c>
      <c r="AW17" s="2">
        <f>AV17+預測IC!AW17</f>
        <v>1.0704410999443754</v>
      </c>
      <c r="AX17" s="2">
        <f>AW17+預測IC!AX17</f>
        <v>1.1302281371306135</v>
      </c>
      <c r="AY17" s="2">
        <f>AX17+預測IC!AY17</f>
        <v>1.11806476461153</v>
      </c>
      <c r="AZ17" s="2">
        <f>AY17+預測IC!AZ17</f>
        <v>1.1838198302663123</v>
      </c>
      <c r="BA17" s="2">
        <f>AZ17+預測IC!BA17</f>
        <v>1.236515904079301</v>
      </c>
      <c r="BB17" s="2">
        <f>BA17+預測IC!BB17</f>
        <v>1.2561113181195533</v>
      </c>
      <c r="BC17" s="2">
        <f>BB17+預測IC!BC17</f>
        <v>1.2481927419522196</v>
      </c>
      <c r="BD17" s="2">
        <f>BC17+預測IC!BD17</f>
        <v>1.2421020764753801</v>
      </c>
      <c r="BE17" s="2">
        <f>BD17+預測IC!BE17</f>
        <v>1.1868051058624705</v>
      </c>
      <c r="BF17" s="2">
        <f>BE17+預測IC!BF17</f>
        <v>1.1737859656297978</v>
      </c>
      <c r="BG17" s="2">
        <f>BF17+預測IC!BG17</f>
        <v>1.1482472083558526</v>
      </c>
      <c r="BH17" s="2">
        <f>BG17+預測IC!BH17</f>
        <v>1.2108974561864847</v>
      </c>
      <c r="BI17" s="2">
        <f>BH17+預測IC!BI17</f>
        <v>1.2991037115175927</v>
      </c>
      <c r="BJ17" s="2">
        <f>BI17+預測IC!BJ17</f>
        <v>1.2676771475271924</v>
      </c>
      <c r="BK17" s="2">
        <f>BJ17+預測IC!BK17</f>
        <v>1.2789396897285723</v>
      </c>
      <c r="BL17" s="2">
        <f>BK17+預測IC!BL17</f>
        <v>1.3038388150760736</v>
      </c>
      <c r="BM17" s="2">
        <f>BL17+預測IC!BM17</f>
        <v>1.3052375295577572</v>
      </c>
      <c r="BN17" s="2">
        <f>BM17+預測IC!BN17</f>
        <v>1.3136760645045984</v>
      </c>
      <c r="BO17" s="2">
        <f>BN17+預測IC!BO17</f>
        <v>1.2955038682741755</v>
      </c>
      <c r="BP17" s="2">
        <f>BO17+預測IC!BP17</f>
        <v>1.3181503304678768</v>
      </c>
      <c r="BQ17" s="2">
        <f>BP17+預測IC!BQ17</f>
        <v>1.3491366436459067</v>
      </c>
      <c r="BR17" s="2">
        <f>BQ17+預測IC!BR17</f>
        <v>1.4108177250327814</v>
      </c>
      <c r="BS17" s="2">
        <f>BR17+預測IC!BS17</f>
        <v>1.3982341195887547</v>
      </c>
      <c r="BT17" s="2">
        <f>BS17+預測IC!BT17</f>
        <v>1.3979681389420235</v>
      </c>
      <c r="BU17" s="2">
        <f>BT17+預測IC!BU17</f>
        <v>1.3397382752363989</v>
      </c>
      <c r="BV17" s="2">
        <f>BU17+預測IC!BV17</f>
        <v>1.3862170359976889</v>
      </c>
      <c r="BW17" s="2">
        <f>BV17+預測IC!BW17</f>
        <v>1.0253771540371908</v>
      </c>
      <c r="BX17" s="2">
        <f>BW17+預測IC!BX17</f>
        <v>1.0378156369807354</v>
      </c>
      <c r="BY17" s="2">
        <f>BX17+預測IC!BY17</f>
        <v>0.88259236023773335</v>
      </c>
      <c r="BZ17" s="2">
        <f>BY17+預測IC!BZ17</f>
        <v>0.99133934006084889</v>
      </c>
      <c r="CA17" s="2">
        <f>BZ17+預測IC!CA17</f>
        <v>0.98302537335563089</v>
      </c>
      <c r="CB17" s="2">
        <f>CA17+預測IC!CB17</f>
        <v>1.0661073711997875</v>
      </c>
      <c r="CC17" s="2">
        <f>CB17+預測IC!CC17</f>
        <v>1.1188398128140487</v>
      </c>
      <c r="CD17" s="2">
        <f>CC17+預測IC!CD17</f>
        <v>1.2328815977670919</v>
      </c>
      <c r="CE17" s="2">
        <f>CD17+預測IC!CE17</f>
        <v>1.2903665762253569</v>
      </c>
      <c r="CF17" s="2">
        <f>CE17+預測IC!CF17</f>
        <v>1.3151616111574511</v>
      </c>
      <c r="CG17" s="2">
        <f>CF17+預測IC!CG17</f>
        <v>1.3616190996472999</v>
      </c>
      <c r="CH17" s="2">
        <f>CG17+預測IC!CH17</f>
        <v>1.5133502439414512</v>
      </c>
      <c r="CI17" s="2">
        <f>CH17+預測IC!CI17</f>
        <v>1.4411757655455992</v>
      </c>
      <c r="CJ17" s="2">
        <f>CI17+預測IC!CJ17</f>
        <v>1.4035160376131848</v>
      </c>
      <c r="CK17" s="2">
        <f>CJ17+預測IC!CK17</f>
        <v>1.3900462792848531</v>
      </c>
      <c r="CL17" s="2">
        <f>CK17+預測IC!CL17</f>
        <v>1.556560940740884</v>
      </c>
      <c r="CM17" s="2">
        <f>CL17+預測IC!CM17</f>
        <v>1.5606150889353991</v>
      </c>
      <c r="CN17" s="2">
        <f>CM17+預測IC!CN17</f>
        <v>1.5752690695659717</v>
      </c>
      <c r="CO17" s="2">
        <f>CN17+預測IC!CO17</f>
        <v>1.4411223635493398</v>
      </c>
      <c r="CP17" s="2">
        <f>CO17+預測IC!CP17</f>
        <v>1.5460041067065655</v>
      </c>
      <c r="CQ17" s="2">
        <f>CP17+預測IC!CQ17</f>
        <v>1.6262561213232201</v>
      </c>
      <c r="CR17" s="2">
        <f>CQ17+預測IC!CR17</f>
        <v>1.6491335774910871</v>
      </c>
      <c r="CS17" s="2">
        <f>CR17+預測IC!CS17</f>
        <v>1.5733827887699401</v>
      </c>
      <c r="CT17" s="2">
        <f>CS17+預測IC!CT17</f>
        <v>1.5879930294046845</v>
      </c>
      <c r="CU17" s="2">
        <f>CT17+預測IC!CU17</f>
        <v>1.6271272771326188</v>
      </c>
      <c r="CV17" s="2">
        <f>CU17+預測IC!CV17</f>
        <v>1.6613560149598792</v>
      </c>
      <c r="CW17" s="2">
        <f>CV17+預測IC!CW17</f>
        <v>1.7012089598563591</v>
      </c>
      <c r="CX17" s="2">
        <f>CW17+預測IC!CX17</f>
        <v>1.7961856588897391</v>
      </c>
      <c r="CY17" s="2">
        <f>CX17+預測IC!CY17</f>
        <v>1.855607060834559</v>
      </c>
      <c r="CZ17" s="2">
        <f>CY17+預測IC!CZ17</f>
        <v>2.0692746021918711</v>
      </c>
      <c r="DA17" s="2">
        <f>CZ17+預測IC!DA17</f>
        <v>2.0642774064043059</v>
      </c>
      <c r="DB17" s="2">
        <f>DA17+預測IC!DB17</f>
        <v>2.1147774824895396</v>
      </c>
      <c r="DC17" s="2">
        <f>DB17+預測IC!DC17</f>
        <v>2.1600356825532776</v>
      </c>
      <c r="DD17" s="2">
        <f>DC17+預測IC!DD17</f>
        <v>2.0783015016916973</v>
      </c>
      <c r="DE17" s="2">
        <f>DD17+預測IC!DE17</f>
        <v>2.051002591088209</v>
      </c>
      <c r="DF17" s="2">
        <f>DE17+預測IC!DF17</f>
        <v>2.1729867351759098</v>
      </c>
      <c r="DG17" s="2">
        <f>DF17+預測IC!DG17</f>
        <v>2.1046177539832045</v>
      </c>
      <c r="DH17" s="2">
        <f>DG17+預測IC!DH17</f>
        <v>2.2590551131202865</v>
      </c>
      <c r="DI17" s="2">
        <f>DH17+預測IC!DI17</f>
        <v>2.2225064427684091</v>
      </c>
      <c r="DJ17" s="2">
        <f>DI17+預測IC!DJ17</f>
        <v>2.2710298705958381</v>
      </c>
      <c r="DK17" s="2">
        <f>DJ17+預測IC!DK17</f>
        <v>2.2293771451618971</v>
      </c>
      <c r="DL17" s="2">
        <f>DK17+預測IC!DL17</f>
        <v>2.2489102280555171</v>
      </c>
      <c r="DM17" s="2">
        <f>DL17+預測IC!DM17</f>
        <v>2.201308031740016</v>
      </c>
      <c r="DN17" s="2">
        <f>DM17+預測IC!DN17</f>
        <v>2.2111913204681981</v>
      </c>
      <c r="DO17" s="2">
        <f>DN17+預測IC!DO17</f>
        <v>2.2489664557145455</v>
      </c>
      <c r="DP17" s="2">
        <f>DO17+預測IC!DP17</f>
        <v>2.2403262699405153</v>
      </c>
      <c r="DQ17" s="2">
        <f>DP17+預測IC!DQ17</f>
        <v>2.1862641053159875</v>
      </c>
      <c r="DR17" s="2">
        <f>DQ17+預測IC!DR17</f>
        <v>2.1877213425710837</v>
      </c>
      <c r="DS17" s="2">
        <f>DR17+預測IC!DS17</f>
        <v>2.1997523095296239</v>
      </c>
      <c r="DT17" s="2">
        <f>DS17+預測IC!DT17</f>
        <v>2.2039711781628029</v>
      </c>
      <c r="DU17" s="2">
        <f>DT17+預測IC!DU17</f>
        <v>2.1342857936193571</v>
      </c>
      <c r="DV17" s="2">
        <f>DU17+預測IC!DV17</f>
        <v>2.2360282777578857</v>
      </c>
      <c r="DW17" s="2">
        <f>DV17+預測IC!DW17</f>
        <v>2.2901427921849655</v>
      </c>
      <c r="DX17" s="2">
        <f>DW17+預測IC!DX17</f>
        <v>2.1952569807444369</v>
      </c>
      <c r="DY17" s="2">
        <f>DX17+預測IC!DY17</f>
        <v>2.2387615922350057</v>
      </c>
      <c r="DZ17" s="2">
        <f>DY17+預測IC!DZ17</f>
        <v>2.2372093503074164</v>
      </c>
      <c r="EA17" s="2">
        <f>DZ17+預測IC!EA17</f>
        <v>2.2542272391763047</v>
      </c>
      <c r="EB17" s="2">
        <f>EA17+預測IC!EB17</f>
        <v>2.1921656250134838</v>
      </c>
      <c r="EC17" s="2">
        <f>EB17+預測IC!EC17</f>
        <v>2.2219088635254463</v>
      </c>
      <c r="ED17" s="2">
        <f>EC17+預測IC!ED17</f>
        <v>2.1142192329271783</v>
      </c>
      <c r="EE17" s="2">
        <f>ED17+預測IC!EE17</f>
        <v>2.1171247120070165</v>
      </c>
      <c r="EF17" s="2">
        <f>EE17+預測IC!EF17</f>
        <v>2.1833456690355333</v>
      </c>
      <c r="EG17" s="2">
        <f>EF17+預測IC!EG17</f>
        <v>2.2551506413906144</v>
      </c>
      <c r="EH17" s="2">
        <f>EG17+預測IC!EH17</f>
        <v>2.2539350735734307</v>
      </c>
      <c r="EI17" s="2">
        <f>EH17+預測IC!EI17</f>
        <v>2.1870020083816808</v>
      </c>
      <c r="EJ17" s="2">
        <f>EI17+預測IC!EJ17</f>
        <v>2.1175703335980751</v>
      </c>
      <c r="EK17" s="2">
        <f>EJ17+預測IC!EK17</f>
        <v>2.1021411662462453</v>
      </c>
      <c r="EL17" s="2">
        <f>EK17+預測IC!EL17</f>
        <v>1.9726117691089569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0.11446307863265708</v>
      </c>
      <c r="E18" s="2">
        <f>D18+預測IC!E18</f>
        <v>0.21794430227674638</v>
      </c>
      <c r="F18" s="2">
        <f>E18+預測IC!F18</f>
        <v>8.9071864932846495E-2</v>
      </c>
      <c r="G18" s="2">
        <f>F18+預測IC!G18</f>
        <v>0.26951586351323853</v>
      </c>
      <c r="H18" s="2">
        <f>G18+預測IC!H18</f>
        <v>0.33101333609412376</v>
      </c>
      <c r="I18" s="2">
        <f>H18+預測IC!I18</f>
        <v>0.43435460107236012</v>
      </c>
      <c r="J18" s="2">
        <f>I18+預測IC!J18</f>
        <v>0.32578549615516345</v>
      </c>
      <c r="K18" s="2">
        <f>J18+預測IC!K18</f>
        <v>0.39348597435174038</v>
      </c>
      <c r="L18" s="2">
        <f>K18+預測IC!L18</f>
        <v>0.38693053438716246</v>
      </c>
      <c r="M18" s="2">
        <f>L18+預測IC!M18</f>
        <v>0.38397338929295499</v>
      </c>
      <c r="N18" s="2">
        <f>M18+預測IC!N18</f>
        <v>0.4728640362426359</v>
      </c>
      <c r="O18" s="2">
        <f>N18+預測IC!O18</f>
        <v>0.49534901305956547</v>
      </c>
      <c r="P18" s="2">
        <f>O18+預測IC!P18</f>
        <v>0.53037062504817123</v>
      </c>
      <c r="Q18" s="2">
        <f>P18+預測IC!Q18</f>
        <v>0.6306001317362685</v>
      </c>
      <c r="R18" s="2">
        <f>Q18+預測IC!R18</f>
        <v>0.83389926421401162</v>
      </c>
      <c r="S18" s="2">
        <f>R18+預測IC!S18</f>
        <v>0.95618928761698851</v>
      </c>
      <c r="T18" s="2">
        <f>S18+預測IC!T18</f>
        <v>0.90535243571756518</v>
      </c>
      <c r="U18" s="2">
        <f>T18+預測IC!U18</f>
        <v>0.76463367615638655</v>
      </c>
      <c r="V18" s="2">
        <f>U18+預測IC!V18</f>
        <v>0.77333614393342753</v>
      </c>
      <c r="W18" s="2">
        <f>V18+預測IC!W18</f>
        <v>0.70572985591059212</v>
      </c>
      <c r="X18" s="2">
        <f>W18+預測IC!X18</f>
        <v>0.77719557410271045</v>
      </c>
      <c r="Y18" s="2">
        <f>X18+預測IC!Y18</f>
        <v>0.72426194493830875</v>
      </c>
      <c r="Z18" s="2">
        <f>Y18+預測IC!Z18</f>
        <v>0.7491175186193445</v>
      </c>
      <c r="AA18" s="2">
        <f>Z18+預測IC!AA18</f>
        <v>0.780661023095505</v>
      </c>
      <c r="AB18" s="2">
        <f>AA18+預測IC!AB18</f>
        <v>0.84864496685761948</v>
      </c>
      <c r="AC18" s="2">
        <f>AB18+預測IC!AC18</f>
        <v>0.86851843164244547</v>
      </c>
      <c r="AD18" s="2">
        <f>AC18+預測IC!AD18</f>
        <v>0.82298417410353875</v>
      </c>
      <c r="AE18" s="2">
        <f>AD18+預測IC!AE18</f>
        <v>0.80355407626296027</v>
      </c>
      <c r="AF18" s="2">
        <f>AE18+預測IC!AF18</f>
        <v>0.81448832844851304</v>
      </c>
      <c r="AG18" s="2">
        <f>AF18+預測IC!AG18</f>
        <v>0.78445555086637864</v>
      </c>
      <c r="AH18" s="2">
        <f>AG18+預測IC!AH18</f>
        <v>0.79121412052594298</v>
      </c>
      <c r="AI18" s="2">
        <f>AH18+預測IC!AI18</f>
        <v>0.8733535532748028</v>
      </c>
      <c r="AJ18" s="2">
        <f>AI18+預測IC!AJ18</f>
        <v>0.9258359064918279</v>
      </c>
      <c r="AK18" s="2">
        <f>AJ18+預測IC!AK18</f>
        <v>0.93602077040075282</v>
      </c>
      <c r="AL18" s="2">
        <f>AK18+預測IC!AL18</f>
        <v>0.93894823249167214</v>
      </c>
      <c r="AM18" s="2">
        <f>AL18+預測IC!AM18</f>
        <v>0.99428137781516901</v>
      </c>
      <c r="AN18" s="2">
        <f>AM18+預測IC!AN18</f>
        <v>1.084122349035255</v>
      </c>
      <c r="AO18" s="2">
        <f>AN18+預測IC!AO18</f>
        <v>1.1024662162111751</v>
      </c>
      <c r="AP18" s="2">
        <f>AO18+預測IC!AP18</f>
        <v>1.0264816400335612</v>
      </c>
      <c r="AQ18" s="2">
        <f>AP18+預測IC!AQ18</f>
        <v>1.0132218264543977</v>
      </c>
      <c r="AR18" s="2">
        <f>AQ18+預測IC!AR18</f>
        <v>0.99932331843975952</v>
      </c>
      <c r="AS18" s="2">
        <f>AR18+預測IC!AS18</f>
        <v>1.0324529293362112</v>
      </c>
      <c r="AT18" s="2">
        <f>AS18+預測IC!AT18</f>
        <v>1.0339336152649732</v>
      </c>
      <c r="AU18" s="2">
        <f>AT18+預測IC!AU18</f>
        <v>1.0605701522590154</v>
      </c>
      <c r="AV18" s="2">
        <f>AU18+預測IC!AV18</f>
        <v>1.0420392442509807</v>
      </c>
      <c r="AW18" s="2">
        <f>AV18+預測IC!AW18</f>
        <v>1.0966362577842081</v>
      </c>
      <c r="AX18" s="2">
        <f>AW18+預測IC!AX18</f>
        <v>1.1415083521562976</v>
      </c>
      <c r="AY18" s="2">
        <f>AX18+預測IC!AY18</f>
        <v>1.1250042196530783</v>
      </c>
      <c r="AZ18" s="2">
        <f>AY18+預測IC!AZ18</f>
        <v>1.1732772419240161</v>
      </c>
      <c r="BA18" s="2">
        <f>AZ18+預測IC!BA18</f>
        <v>1.2309166054919123</v>
      </c>
      <c r="BB18" s="2">
        <f>BA18+預測IC!BB18</f>
        <v>1.2202129801256598</v>
      </c>
      <c r="BC18" s="2">
        <f>BB18+預測IC!BC18</f>
        <v>1.1972161410979274</v>
      </c>
      <c r="BD18" s="2">
        <f>BC18+預測IC!BD18</f>
        <v>1.2040755215468784</v>
      </c>
      <c r="BE18" s="2">
        <f>BD18+預測IC!BE18</f>
        <v>1.154367382012347</v>
      </c>
      <c r="BF18" s="2">
        <f>BE18+預測IC!BF18</f>
        <v>1.139472605762041</v>
      </c>
      <c r="BG18" s="2">
        <f>BF18+預測IC!BG18</f>
        <v>1.1134864880666917</v>
      </c>
      <c r="BH18" s="2">
        <f>BG18+預測IC!BH18</f>
        <v>1.1906192552545147</v>
      </c>
      <c r="BI18" s="2">
        <f>BH18+預測IC!BI18</f>
        <v>1.2879305634338187</v>
      </c>
      <c r="BJ18" s="2">
        <f>BI18+預測IC!BJ18</f>
        <v>1.2647140791349791</v>
      </c>
      <c r="BK18" s="2">
        <f>BJ18+預測IC!BK18</f>
        <v>1.2921713950702534</v>
      </c>
      <c r="BL18" s="2">
        <f>BK18+預測IC!BL18</f>
        <v>1.3176265787223387</v>
      </c>
      <c r="BM18" s="2">
        <f>BL18+預測IC!BM18</f>
        <v>1.3036574474419154</v>
      </c>
      <c r="BN18" s="2">
        <f>BM18+預測IC!BN18</f>
        <v>1.3235239346266519</v>
      </c>
      <c r="BO18" s="2">
        <f>BN18+預測IC!BO18</f>
        <v>1.3233386843632156</v>
      </c>
      <c r="BP18" s="2">
        <f>BO18+預測IC!BP18</f>
        <v>1.3460306579934103</v>
      </c>
      <c r="BQ18" s="2">
        <f>BP18+預測IC!BQ18</f>
        <v>1.3821404459518554</v>
      </c>
      <c r="BR18" s="2">
        <f>BQ18+預測IC!BR18</f>
        <v>1.4196063666985468</v>
      </c>
      <c r="BS18" s="2">
        <f>BR18+預測IC!BS18</f>
        <v>1.4152735883006695</v>
      </c>
      <c r="BT18" s="2">
        <f>BS18+預測IC!BT18</f>
        <v>1.4157522197105472</v>
      </c>
      <c r="BU18" s="2">
        <f>BT18+預測IC!BU18</f>
        <v>1.3485213179233113</v>
      </c>
      <c r="BV18" s="2">
        <f>BU18+預測IC!BV18</f>
        <v>1.3987915039928098</v>
      </c>
      <c r="BW18" s="2">
        <f>BV18+預測IC!BW18</f>
        <v>1.0026372233655834</v>
      </c>
      <c r="BX18" s="2">
        <f>BW18+預測IC!BX18</f>
        <v>1.0185605947182272</v>
      </c>
      <c r="BY18" s="2">
        <f>BX18+預測IC!BY18</f>
        <v>0.83131345886008223</v>
      </c>
      <c r="BZ18" s="2">
        <f>BY18+預測IC!BZ18</f>
        <v>0.9845816639091729</v>
      </c>
      <c r="CA18" s="2">
        <f>BZ18+預測IC!CA18</f>
        <v>0.98019528671768896</v>
      </c>
      <c r="CB18" s="2">
        <f>CA18+預測IC!CB18</f>
        <v>1.0285676931277985</v>
      </c>
      <c r="CC18" s="2">
        <f>CB18+預測IC!CC18</f>
        <v>1.0613763560049521</v>
      </c>
      <c r="CD18" s="2">
        <f>CC18+預測IC!CD18</f>
        <v>1.1612848388510884</v>
      </c>
      <c r="CE18" s="2">
        <f>CD18+預測IC!CE18</f>
        <v>1.2236693448062244</v>
      </c>
      <c r="CF18" s="2">
        <f>CE18+預測IC!CF18</f>
        <v>1.2409016014922194</v>
      </c>
      <c r="CG18" s="2">
        <f>CF18+預測IC!CG18</f>
        <v>1.3008651978380634</v>
      </c>
      <c r="CH18" s="2">
        <f>CG18+預測IC!CH18</f>
        <v>1.436117811531084</v>
      </c>
      <c r="CI18" s="2">
        <f>CH18+預測IC!CI18</f>
        <v>1.3652074480082412</v>
      </c>
      <c r="CJ18" s="2">
        <f>CI18+預測IC!CJ18</f>
        <v>1.323550965605959</v>
      </c>
      <c r="CK18" s="2">
        <f>CJ18+預測IC!CK18</f>
        <v>1.3156292533134608</v>
      </c>
      <c r="CL18" s="2">
        <f>CK18+預測IC!CL18</f>
        <v>1.4940479152398529</v>
      </c>
      <c r="CM18" s="2">
        <f>CL18+預測IC!CM18</f>
        <v>1.5090644196494194</v>
      </c>
      <c r="CN18" s="2">
        <f>CM18+預測IC!CN18</f>
        <v>1.5350615343329872</v>
      </c>
      <c r="CO18" s="2">
        <f>CN18+預測IC!CO18</f>
        <v>1.3597493213999596</v>
      </c>
      <c r="CP18" s="2">
        <f>CO18+預測IC!CP18</f>
        <v>1.4811279007070008</v>
      </c>
      <c r="CQ18" s="2">
        <f>CP18+預測IC!CQ18</f>
        <v>1.5816669000082766</v>
      </c>
      <c r="CR18" s="2">
        <f>CQ18+預測IC!CR18</f>
        <v>1.6059317370837973</v>
      </c>
      <c r="CS18" s="2">
        <f>CR18+預測IC!CS18</f>
        <v>1.5557466531382553</v>
      </c>
      <c r="CT18" s="2">
        <f>CS18+預測IC!CT18</f>
        <v>1.5525582471607384</v>
      </c>
      <c r="CU18" s="2">
        <f>CT18+預測IC!CU18</f>
        <v>1.6036066935898832</v>
      </c>
      <c r="CV18" s="2">
        <f>CU18+預測IC!CV18</f>
        <v>1.641569453182288</v>
      </c>
      <c r="CW18" s="2">
        <f>CV18+預測IC!CW18</f>
        <v>1.6899631370612667</v>
      </c>
      <c r="CX18" s="2">
        <f>CW18+預測IC!CX18</f>
        <v>1.7586838017605517</v>
      </c>
      <c r="CY18" s="2">
        <f>CX18+預測IC!CY18</f>
        <v>1.824371080823169</v>
      </c>
      <c r="CZ18" s="2">
        <f>CY18+預測IC!CZ18</f>
        <v>2.0723655445751583</v>
      </c>
      <c r="DA18" s="2">
        <f>CZ18+預測IC!DA18</f>
        <v>2.0715523473614135</v>
      </c>
      <c r="DB18" s="2">
        <f>DA18+預測IC!DB18</f>
        <v>2.1021196745885535</v>
      </c>
      <c r="DC18" s="2">
        <f>DB18+預測IC!DC18</f>
        <v>2.1416913631904868</v>
      </c>
      <c r="DD18" s="2">
        <f>DC18+預測IC!DD18</f>
        <v>2.045930470843611</v>
      </c>
      <c r="DE18" s="2">
        <f>DD18+預測IC!DE18</f>
        <v>1.9862650422349923</v>
      </c>
      <c r="DF18" s="2">
        <f>DE18+預測IC!DF18</f>
        <v>2.1113547190507851</v>
      </c>
      <c r="DG18" s="2">
        <f>DF18+預測IC!DG18</f>
        <v>2.0491984669244032</v>
      </c>
      <c r="DH18" s="2">
        <f>DG18+預測IC!DH18</f>
        <v>2.2275489973487064</v>
      </c>
      <c r="DI18" s="2">
        <f>DH18+預測IC!DI18</f>
        <v>2.194739673333129</v>
      </c>
      <c r="DJ18" s="2">
        <f>DI18+預測IC!DJ18</f>
        <v>2.238921384948855</v>
      </c>
      <c r="DK18" s="2">
        <f>DJ18+預測IC!DK18</f>
        <v>2.191318270167208</v>
      </c>
      <c r="DL18" s="2">
        <f>DK18+預測IC!DL18</f>
        <v>2.2078722791958105</v>
      </c>
      <c r="DM18" s="2">
        <f>DL18+預測IC!DM18</f>
        <v>2.218260187958573</v>
      </c>
      <c r="DN18" s="2">
        <f>DM18+預測IC!DN18</f>
        <v>2.231581751503918</v>
      </c>
      <c r="DO18" s="2">
        <f>DN18+預測IC!DO18</f>
        <v>2.2735967078822479</v>
      </c>
      <c r="DP18" s="2">
        <f>DO18+預測IC!DP18</f>
        <v>2.2636460772092919</v>
      </c>
      <c r="DQ18" s="2">
        <f>DP18+預測IC!DQ18</f>
        <v>2.2231608829234699</v>
      </c>
      <c r="DR18" s="2">
        <f>DQ18+預測IC!DR18</f>
        <v>2.2202391463695466</v>
      </c>
      <c r="DS18" s="2">
        <f>DR18+預測IC!DS18</f>
        <v>2.2219202226817765</v>
      </c>
      <c r="DT18" s="2">
        <f>DS18+預測IC!DT18</f>
        <v>2.2225939468988987</v>
      </c>
      <c r="DU18" s="2">
        <f>DT18+預測IC!DU18</f>
        <v>2.1372850927772027</v>
      </c>
      <c r="DV18" s="2">
        <f>DU18+預測IC!DV18</f>
        <v>2.2161788257611854</v>
      </c>
      <c r="DW18" s="2">
        <f>DV18+預測IC!DW18</f>
        <v>2.270452698114493</v>
      </c>
      <c r="DX18" s="2">
        <f>DW18+預測IC!DX18</f>
        <v>2.1995178826860138</v>
      </c>
      <c r="DY18" s="2">
        <f>DX18+預測IC!DY18</f>
        <v>2.2488839051390577</v>
      </c>
      <c r="DZ18" s="2">
        <f>DY18+預測IC!DZ18</f>
        <v>2.2519048084827933</v>
      </c>
      <c r="EA18" s="2">
        <f>DZ18+預測IC!EA18</f>
        <v>2.2590741273970725</v>
      </c>
      <c r="EB18" s="2">
        <f>EA18+預測IC!EB18</f>
        <v>2.2001777731679786</v>
      </c>
      <c r="EC18" s="2">
        <f>EB18+預測IC!EC18</f>
        <v>2.2433213775083485</v>
      </c>
      <c r="ED18" s="2">
        <f>EC18+預測IC!ED18</f>
        <v>2.1436140437464823</v>
      </c>
      <c r="EE18" s="2">
        <f>ED18+預測IC!EE18</f>
        <v>2.1405294212240458</v>
      </c>
      <c r="EF18" s="2">
        <f>EE18+預測IC!EF18</f>
        <v>2.2207815502522448</v>
      </c>
      <c r="EG18" s="2">
        <f>EF18+預測IC!EG18</f>
        <v>2.2740566854382784</v>
      </c>
      <c r="EH18" s="2">
        <f>EG18+預測IC!EH18</f>
        <v>2.275339395925728</v>
      </c>
      <c r="EI18" s="2">
        <f>EH18+預測IC!EI18</f>
        <v>2.1944593630868381</v>
      </c>
      <c r="EJ18" s="2">
        <f>EI18+預測IC!EJ18</f>
        <v>2.1243605221110626</v>
      </c>
      <c r="EK18" s="2">
        <f>EJ18+預測IC!EK18</f>
        <v>2.0950139252321702</v>
      </c>
      <c r="EL18" s="2">
        <f>EK18+預測IC!EL18</f>
        <v>1.9414533733392045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2.2218524817248689E-2</v>
      </c>
      <c r="E19" s="2">
        <f>D19+預測IC!E19</f>
        <v>0.12860655860259129</v>
      </c>
      <c r="F19" s="2">
        <f>E19+預測IC!F19</f>
        <v>-1.2438547743491013E-2</v>
      </c>
      <c r="G19" s="2">
        <f>F19+預測IC!G19</f>
        <v>0.18032072978677399</v>
      </c>
      <c r="H19" s="2">
        <f>G19+預測IC!H19</f>
        <v>0.21647243418305717</v>
      </c>
      <c r="I19" s="2">
        <f>H19+預測IC!I19</f>
        <v>0.32131285296209827</v>
      </c>
      <c r="J19" s="2">
        <f>I19+預測IC!J19</f>
        <v>0.20052243616055487</v>
      </c>
      <c r="K19" s="2">
        <f>J19+預測IC!K19</f>
        <v>0.30650124329529405</v>
      </c>
      <c r="L19" s="2">
        <f>K19+預測IC!L19</f>
        <v>0.31931832290112078</v>
      </c>
      <c r="M19" s="2">
        <f>L19+預測IC!M19</f>
        <v>0.31739420138903779</v>
      </c>
      <c r="N19" s="2">
        <f>M19+預測IC!N19</f>
        <v>0.41708094345181856</v>
      </c>
      <c r="O19" s="2">
        <f>N19+預測IC!O19</f>
        <v>0.4435670082759286</v>
      </c>
      <c r="P19" s="2">
        <f>O19+預測IC!P19</f>
        <v>0.49296204076410544</v>
      </c>
      <c r="Q19" s="2">
        <f>P19+預測IC!Q19</f>
        <v>0.61460114025681356</v>
      </c>
      <c r="R19" s="2">
        <f>Q19+預測IC!R19</f>
        <v>0.8506607731771243</v>
      </c>
      <c r="S19" s="2">
        <f>R19+預測IC!S19</f>
        <v>0.888400234466445</v>
      </c>
      <c r="T19" s="2">
        <f>S19+預測IC!T19</f>
        <v>0.83906094228400196</v>
      </c>
      <c r="U19" s="2">
        <f>T19+預測IC!U19</f>
        <v>0.68294618999838874</v>
      </c>
      <c r="V19" s="2">
        <f>U19+預測IC!V19</f>
        <v>0.66988497102372857</v>
      </c>
      <c r="W19" s="2">
        <f>V19+預測IC!W19</f>
        <v>0.61289346243624532</v>
      </c>
      <c r="X19" s="2">
        <f>W19+預測IC!X19</f>
        <v>0.68104587821482865</v>
      </c>
      <c r="Y19" s="2">
        <f>X19+預測IC!Y19</f>
        <v>0.63795133745883115</v>
      </c>
      <c r="Z19" s="2">
        <f>Y19+預測IC!Z19</f>
        <v>0.67736159153065911</v>
      </c>
      <c r="AA19" s="2">
        <f>Z19+預測IC!AA19</f>
        <v>0.71288076533878308</v>
      </c>
      <c r="AB19" s="2">
        <f>AA19+預測IC!AB19</f>
        <v>0.76555309319030085</v>
      </c>
      <c r="AC19" s="2">
        <f>AB19+預測IC!AC19</f>
        <v>0.78369559855737325</v>
      </c>
      <c r="AD19" s="2">
        <f>AC19+預測IC!AD19</f>
        <v>0.73824798510748457</v>
      </c>
      <c r="AE19" s="2">
        <f>AD19+預測IC!AE19</f>
        <v>0.73968152389202613</v>
      </c>
      <c r="AF19" s="2">
        <f>AE19+預測IC!AF19</f>
        <v>0.73454869420002511</v>
      </c>
      <c r="AG19" s="2">
        <f>AF19+預測IC!AG19</f>
        <v>0.6417040611956627</v>
      </c>
      <c r="AH19" s="2">
        <f>AG19+預測IC!AH19</f>
        <v>0.65781979248158362</v>
      </c>
      <c r="AI19" s="2">
        <f>AH19+預測IC!AI19</f>
        <v>0.72252112918695077</v>
      </c>
      <c r="AJ19" s="2">
        <f>AI19+預測IC!AJ19</f>
        <v>0.69098352738707625</v>
      </c>
      <c r="AK19" s="2">
        <f>AJ19+預測IC!AK19</f>
        <v>0.72117349888859072</v>
      </c>
      <c r="AL19" s="2">
        <f>AK19+預測IC!AL19</f>
        <v>0.72823184257786067</v>
      </c>
      <c r="AM19" s="2">
        <f>AL19+預測IC!AM19</f>
        <v>0.78663839272521274</v>
      </c>
      <c r="AN19" s="2">
        <f>AM19+預測IC!AN19</f>
        <v>0.89368261853969344</v>
      </c>
      <c r="AO19" s="2">
        <f>AN19+預測IC!AO19</f>
        <v>0.90122270532310633</v>
      </c>
      <c r="AP19" s="2">
        <f>AO19+預測IC!AP19</f>
        <v>0.82393622791081811</v>
      </c>
      <c r="AQ19" s="2">
        <f>AP19+預測IC!AQ19</f>
        <v>0.81247728869477975</v>
      </c>
      <c r="AR19" s="2">
        <f>AQ19+預測IC!AR19</f>
        <v>0.79930563128324983</v>
      </c>
      <c r="AS19" s="2">
        <f>AR19+預測IC!AS19</f>
        <v>0.83123053455940277</v>
      </c>
      <c r="AT19" s="2">
        <f>AS19+預測IC!AT19</f>
        <v>0.82956590629068183</v>
      </c>
      <c r="AU19" s="2">
        <f>AT19+預測IC!AU19</f>
        <v>0.85664009306403688</v>
      </c>
      <c r="AV19" s="2">
        <f>AU19+預測IC!AV19</f>
        <v>0.82611546281620796</v>
      </c>
      <c r="AW19" s="2">
        <f>AV19+預測IC!AW19</f>
        <v>0.8833267445256533</v>
      </c>
      <c r="AX19" s="2">
        <f>AW19+預測IC!AX19</f>
        <v>0.93205856125579367</v>
      </c>
      <c r="AY19" s="2">
        <f>AX19+預測IC!AY19</f>
        <v>0.91100448759860353</v>
      </c>
      <c r="AZ19" s="2">
        <f>AY19+預測IC!AZ19</f>
        <v>0.943494675141752</v>
      </c>
      <c r="BA19" s="2">
        <f>AZ19+預測IC!BA19</f>
        <v>0.97081949378518206</v>
      </c>
      <c r="BB19" s="2">
        <f>BA19+預測IC!BB19</f>
        <v>0.96527542487971429</v>
      </c>
      <c r="BC19" s="2">
        <f>BB19+預測IC!BC19</f>
        <v>0.94239842079960812</v>
      </c>
      <c r="BD19" s="2">
        <f>BC19+預測IC!BD19</f>
        <v>0.95450148435941773</v>
      </c>
      <c r="BE19" s="2">
        <f>BD19+預測IC!BE19</f>
        <v>0.89665117962320351</v>
      </c>
      <c r="BF19" s="2">
        <f>BE19+預測IC!BF19</f>
        <v>0.86612371557495538</v>
      </c>
      <c r="BG19" s="2">
        <f>BF19+預測IC!BG19</f>
        <v>0.83535204951837483</v>
      </c>
      <c r="BH19" s="2">
        <f>BG19+預測IC!BH19</f>
        <v>0.91412761142180843</v>
      </c>
      <c r="BI19" s="2">
        <f>BH19+預測IC!BI19</f>
        <v>0.99730404859628052</v>
      </c>
      <c r="BJ19" s="2">
        <f>BI19+預測IC!BJ19</f>
        <v>0.96843407315102659</v>
      </c>
      <c r="BK19" s="2">
        <f>BJ19+預測IC!BK19</f>
        <v>0.98069910745163236</v>
      </c>
      <c r="BL19" s="2">
        <f>BK19+預測IC!BL19</f>
        <v>1.0042232764323404</v>
      </c>
      <c r="BM19" s="2">
        <f>BL19+預測IC!BM19</f>
        <v>1.0119148308778458</v>
      </c>
      <c r="BN19" s="2">
        <f>BM19+預測IC!BN19</f>
        <v>1.0228280756674299</v>
      </c>
      <c r="BO19" s="2">
        <f>BN19+預測IC!BO19</f>
        <v>1.0074349332062298</v>
      </c>
      <c r="BP19" s="2">
        <f>BO19+預測IC!BP19</f>
        <v>1.0321146328811475</v>
      </c>
      <c r="BQ19" s="2">
        <f>BP19+預測IC!BQ19</f>
        <v>1.0684068692433462</v>
      </c>
      <c r="BR19" s="2">
        <f>BQ19+預測IC!BR19</f>
        <v>1.103851713239715</v>
      </c>
      <c r="BS19" s="2">
        <f>BR19+預測IC!BS19</f>
        <v>1.1079531477831919</v>
      </c>
      <c r="BT19" s="2">
        <f>BS19+預測IC!BT19</f>
        <v>1.0834613186686648</v>
      </c>
      <c r="BU19" s="2">
        <f>BT19+預測IC!BU19</f>
        <v>0.98823749769814762</v>
      </c>
      <c r="BV19" s="2">
        <f>BU19+預測IC!BV19</f>
        <v>1.0404083869983745</v>
      </c>
      <c r="BW19" s="2">
        <f>BV19+預測IC!BW19</f>
        <v>0.57566355943933467</v>
      </c>
      <c r="BX19" s="2">
        <f>BW19+預測IC!BX19</f>
        <v>0.58619387416294799</v>
      </c>
      <c r="BY19" s="2">
        <f>BX19+預測IC!BY19</f>
        <v>0.40264229185901013</v>
      </c>
      <c r="BZ19" s="2">
        <f>BY19+預測IC!BZ19</f>
        <v>0.56975364925722183</v>
      </c>
      <c r="CA19" s="2">
        <f>BZ19+預測IC!CA19</f>
        <v>0.57380618694046026</v>
      </c>
      <c r="CB19" s="2">
        <f>CA19+預測IC!CB19</f>
        <v>0.66212451234625291</v>
      </c>
      <c r="CC19" s="2">
        <f>CB19+預測IC!CC19</f>
        <v>0.74265703173098696</v>
      </c>
      <c r="CD19" s="2">
        <f>CC19+預測IC!CD19</f>
        <v>0.81886368625594341</v>
      </c>
      <c r="CE19" s="2">
        <f>CD19+預測IC!CE19</f>
        <v>0.84083688224521713</v>
      </c>
      <c r="CF19" s="2">
        <f>CE19+預測IC!CF19</f>
        <v>0.86017723843426841</v>
      </c>
      <c r="CG19" s="2">
        <f>CF19+預測IC!CG19</f>
        <v>0.94580552669041196</v>
      </c>
      <c r="CH19" s="2">
        <f>CG19+預測IC!CH19</f>
        <v>1.0766487387308119</v>
      </c>
      <c r="CI19" s="2">
        <f>CH19+預測IC!CI19</f>
        <v>0.98748155790229253</v>
      </c>
      <c r="CJ19" s="2">
        <f>CI19+預測IC!CJ19</f>
        <v>0.95036912537679663</v>
      </c>
      <c r="CK19" s="2">
        <f>CJ19+預測IC!CK19</f>
        <v>0.93604026286306763</v>
      </c>
      <c r="CL19" s="2">
        <f>CK19+預測IC!CL19</f>
        <v>1.0820607803683648</v>
      </c>
      <c r="CM19" s="2">
        <f>CL19+預測IC!CM19</f>
        <v>1.0966408451448848</v>
      </c>
      <c r="CN19" s="2">
        <f>CM19+預測IC!CN19</f>
        <v>1.1268306611198329</v>
      </c>
      <c r="CO19" s="2">
        <f>CN19+預測IC!CO19</f>
        <v>0.91374704804823648</v>
      </c>
      <c r="CP19" s="2">
        <f>CO19+預測IC!CP19</f>
        <v>1.1057837670246009</v>
      </c>
      <c r="CQ19" s="2">
        <f>CP19+預測IC!CQ19</f>
        <v>1.2057464820784776</v>
      </c>
      <c r="CR19" s="2">
        <f>CQ19+預測IC!CR19</f>
        <v>1.2325714844080427</v>
      </c>
      <c r="CS19" s="2">
        <f>CR19+預測IC!CS19</f>
        <v>1.2161711801511506</v>
      </c>
      <c r="CT19" s="2">
        <f>CS19+預測IC!CT19</f>
        <v>1.2389326231150679</v>
      </c>
      <c r="CU19" s="2">
        <f>CT19+預測IC!CU19</f>
        <v>1.2687147628444835</v>
      </c>
      <c r="CV19" s="2">
        <f>CU19+預測IC!CV19</f>
        <v>1.3185095758919276</v>
      </c>
      <c r="CW19" s="2">
        <f>CV19+預測IC!CW19</f>
        <v>1.419203779891179</v>
      </c>
      <c r="CX19" s="2">
        <f>CW19+預測IC!CX19</f>
        <v>1.4774395426296734</v>
      </c>
      <c r="CY19" s="2">
        <f>CX19+預測IC!CY19</f>
        <v>1.5447846162414989</v>
      </c>
      <c r="CZ19" s="2">
        <f>CY19+預測IC!CZ19</f>
        <v>1.7899372397184548</v>
      </c>
      <c r="DA19" s="2">
        <f>CZ19+預測IC!DA19</f>
        <v>1.8024558483716351</v>
      </c>
      <c r="DB19" s="2">
        <f>DA19+預測IC!DB19</f>
        <v>1.828609663494021</v>
      </c>
      <c r="DC19" s="2">
        <f>DB19+預測IC!DC19</f>
        <v>1.8526281823934398</v>
      </c>
      <c r="DD19" s="2">
        <f>DC19+預測IC!DD19</f>
        <v>1.7677524294824032</v>
      </c>
      <c r="DE19" s="2">
        <f>DD19+預測IC!DE19</f>
        <v>1.7102300526001817</v>
      </c>
      <c r="DF19" s="2">
        <f>DE19+預測IC!DF19</f>
        <v>1.8551700019111697</v>
      </c>
      <c r="DG19" s="2">
        <f>DF19+預測IC!DG19</f>
        <v>1.7905094096233332</v>
      </c>
      <c r="DH19" s="2">
        <f>DG19+預測IC!DH19</f>
        <v>1.9992618335029491</v>
      </c>
      <c r="DI19" s="2">
        <f>DH19+預測IC!DI19</f>
        <v>1.9607129260890952</v>
      </c>
      <c r="DJ19" s="2">
        <f>DI19+預測IC!DJ19</f>
        <v>2.019391628729502</v>
      </c>
      <c r="DK19" s="2">
        <f>DJ19+預測IC!DK19</f>
        <v>1.9694356638688348</v>
      </c>
      <c r="DL19" s="2">
        <f>DK19+預測IC!DL19</f>
        <v>2.0008824016269533</v>
      </c>
      <c r="DM19" s="2">
        <f>DL19+預測IC!DM19</f>
        <v>2.0114284160375155</v>
      </c>
      <c r="DN19" s="2">
        <f>DM19+預測IC!DN19</f>
        <v>2.0376184444022494</v>
      </c>
      <c r="DO19" s="2">
        <f>DN19+預測IC!DO19</f>
        <v>2.0713804402200187</v>
      </c>
      <c r="DP19" s="2">
        <f>DO19+預測IC!DP19</f>
        <v>2.058990429280652</v>
      </c>
      <c r="DQ19" s="2">
        <f>DP19+預測IC!DQ19</f>
        <v>2.0017188262958201</v>
      </c>
      <c r="DR19" s="2">
        <f>DQ19+預測IC!DR19</f>
        <v>2.0072268118531329</v>
      </c>
      <c r="DS19" s="2">
        <f>DR19+預測IC!DS19</f>
        <v>2.0114712082770949</v>
      </c>
      <c r="DT19" s="2">
        <f>DS19+預測IC!DT19</f>
        <v>2.0055441395032583</v>
      </c>
      <c r="DU19" s="2">
        <f>DT19+預測IC!DU19</f>
        <v>1.9118951661675225</v>
      </c>
      <c r="DV19" s="2">
        <f>DU19+預測IC!DV19</f>
        <v>2.0071153710417255</v>
      </c>
      <c r="DW19" s="2">
        <f>DV19+預測IC!DW19</f>
        <v>2.0483872431688157</v>
      </c>
      <c r="DX19" s="2">
        <f>DW19+預測IC!DX19</f>
        <v>1.9661425689634302</v>
      </c>
      <c r="DY19" s="2">
        <f>DX19+預測IC!DY19</f>
        <v>2.0153153350276769</v>
      </c>
      <c r="DZ19" s="2">
        <f>DY19+預測IC!DZ19</f>
        <v>2.0341441000631315</v>
      </c>
      <c r="EA19" s="2">
        <f>DZ19+預測IC!EA19</f>
        <v>2.0381366568115813</v>
      </c>
      <c r="EB19" s="2">
        <f>EA19+預測IC!EB19</f>
        <v>1.9795737408240839</v>
      </c>
      <c r="EC19" s="2">
        <f>EB19+預測IC!EC19</f>
        <v>2.0169451155605063</v>
      </c>
      <c r="ED19" s="2">
        <f>EC19+預測IC!ED19</f>
        <v>1.9193999992918456</v>
      </c>
      <c r="EE19" s="2">
        <f>ED19+預測IC!EE19</f>
        <v>1.917145366321791</v>
      </c>
      <c r="EF19" s="2">
        <f>EE19+預測IC!EF19</f>
        <v>1.9997278721752116</v>
      </c>
      <c r="EG19" s="2">
        <f>EF19+預測IC!EG19</f>
        <v>2.0468441516593372</v>
      </c>
      <c r="EH19" s="2">
        <f>EG19+預測IC!EH19</f>
        <v>2.0478927295747473</v>
      </c>
      <c r="EI19" s="2">
        <f>EH19+預測IC!EI19</f>
        <v>1.991283507765528</v>
      </c>
      <c r="EJ19" s="2">
        <f>EI19+預測IC!EJ19</f>
        <v>1.9241726869430229</v>
      </c>
      <c r="EK19" s="2">
        <f>EJ19+預測IC!EK19</f>
        <v>1.9260389453158699</v>
      </c>
      <c r="EL19" s="2">
        <f>EK19+預測IC!EL19</f>
        <v>1.7552747188685942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5.9145631798804485E-2</v>
      </c>
      <c r="E20" s="2">
        <f>D20+預測IC!E20</f>
        <v>0.19397708997157187</v>
      </c>
      <c r="F20" s="2">
        <f>E20+預測IC!F20</f>
        <v>-1.517192955753513E-2</v>
      </c>
      <c r="G20" s="2">
        <f>F20+預測IC!G20</f>
        <v>0.10833758713531687</v>
      </c>
      <c r="H20" s="2">
        <f>G20+預測IC!H20</f>
        <v>8.2519532079349714E-2</v>
      </c>
      <c r="I20" s="2">
        <f>H20+預測IC!I20</f>
        <v>0.2085232263056126</v>
      </c>
      <c r="J20" s="2">
        <f>I20+預測IC!J20</f>
        <v>8.4135973314306403E-2</v>
      </c>
      <c r="K20" s="2">
        <f>J20+預測IC!K20</f>
        <v>0.17323974489143107</v>
      </c>
      <c r="L20" s="2">
        <f>K20+預測IC!L20</f>
        <v>0.20048000657382592</v>
      </c>
      <c r="M20" s="2">
        <f>L20+預測IC!M20</f>
        <v>0.21084732747942184</v>
      </c>
      <c r="N20" s="2">
        <f>M20+預測IC!N20</f>
        <v>0.34088835993449934</v>
      </c>
      <c r="O20" s="2">
        <f>N20+預測IC!O20</f>
        <v>0.32774050804812882</v>
      </c>
      <c r="P20" s="2">
        <f>O20+預測IC!P20</f>
        <v>0.39143866355715667</v>
      </c>
      <c r="Q20" s="2">
        <f>P20+預測IC!Q20</f>
        <v>0.49672575226924748</v>
      </c>
      <c r="R20" s="2">
        <f>Q20+預測IC!R20</f>
        <v>0.75774483877091126</v>
      </c>
      <c r="S20" s="2">
        <f>R20+預測IC!S20</f>
        <v>0.73221697633176841</v>
      </c>
      <c r="T20" s="2">
        <f>S20+預測IC!T20</f>
        <v>0.64963062561964313</v>
      </c>
      <c r="U20" s="2">
        <f>T20+預測IC!U20</f>
        <v>0.50771954253976614</v>
      </c>
      <c r="V20" s="2">
        <f>U20+預測IC!V20</f>
        <v>0.46098276623998014</v>
      </c>
      <c r="W20" s="2">
        <f>V20+預測IC!W20</f>
        <v>0.43194460228211567</v>
      </c>
      <c r="X20" s="2">
        <f>W20+預測IC!X20</f>
        <v>0.51603770262358462</v>
      </c>
      <c r="Y20" s="2">
        <f>X20+預測IC!Y20</f>
        <v>0.48941829366872713</v>
      </c>
      <c r="Z20" s="2">
        <f>Y20+預測IC!Z20</f>
        <v>0.50795124291499527</v>
      </c>
      <c r="AA20" s="2">
        <f>Z20+預測IC!AA20</f>
        <v>0.5555375567172246</v>
      </c>
      <c r="AB20" s="2">
        <f>AA20+預測IC!AB20</f>
        <v>0.59827977277266764</v>
      </c>
      <c r="AC20" s="2">
        <f>AB20+預測IC!AC20</f>
        <v>0.62308721679737611</v>
      </c>
      <c r="AD20" s="2">
        <f>AC20+預測IC!AD20</f>
        <v>0.5973748330514046</v>
      </c>
      <c r="AE20" s="2">
        <f>AD20+預測IC!AE20</f>
        <v>0.63145585036163454</v>
      </c>
      <c r="AF20" s="2">
        <f>AE20+預測IC!AF20</f>
        <v>0.63506061210769349</v>
      </c>
      <c r="AG20" s="2">
        <f>AF20+預測IC!AG20</f>
        <v>0.53325376760393661</v>
      </c>
      <c r="AH20" s="2">
        <f>AG20+預測IC!AH20</f>
        <v>0.52520532498949779</v>
      </c>
      <c r="AI20" s="2">
        <f>AH20+預測IC!AI20</f>
        <v>0.58074680154799052</v>
      </c>
      <c r="AJ20" s="2">
        <f>AI20+預測IC!AJ20</f>
        <v>0.55015797362257768</v>
      </c>
      <c r="AK20" s="2">
        <f>AJ20+預測IC!AK20</f>
        <v>0.57644468874055232</v>
      </c>
      <c r="AL20" s="2">
        <f>AK20+預測IC!AL20</f>
        <v>0.5952215450986994</v>
      </c>
      <c r="AM20" s="2">
        <f>AL20+預測IC!AM20</f>
        <v>0.65694810119108604</v>
      </c>
      <c r="AN20" s="2">
        <f>AM20+預測IC!AN20</f>
        <v>0.76667735054851227</v>
      </c>
      <c r="AO20" s="2">
        <f>AN20+預測IC!AO20</f>
        <v>0.75207788944197473</v>
      </c>
      <c r="AP20" s="2">
        <f>AO20+預測IC!AP20</f>
        <v>0.65432159730162076</v>
      </c>
      <c r="AQ20" s="2">
        <f>AP20+預測IC!AQ20</f>
        <v>0.63048298203431075</v>
      </c>
      <c r="AR20" s="2">
        <f>AQ20+預測IC!AR20</f>
        <v>0.64670529986936653</v>
      </c>
      <c r="AS20" s="2">
        <f>AR20+預測IC!AS20</f>
        <v>0.71849666628117059</v>
      </c>
      <c r="AT20" s="2">
        <f>AS20+預測IC!AT20</f>
        <v>0.71728665059973495</v>
      </c>
      <c r="AU20" s="2">
        <f>AT20+預測IC!AU20</f>
        <v>0.73078441459322374</v>
      </c>
      <c r="AV20" s="2">
        <f>AU20+預測IC!AV20</f>
        <v>0.69965592897163675</v>
      </c>
      <c r="AW20" s="2">
        <f>AV20+預測IC!AW20</f>
        <v>0.78156409241292701</v>
      </c>
      <c r="AX20" s="2">
        <f>AW20+預測IC!AX20</f>
        <v>0.83776304554292147</v>
      </c>
      <c r="AY20" s="2">
        <f>AX20+預測IC!AY20</f>
        <v>0.81817419982850548</v>
      </c>
      <c r="AZ20" s="2">
        <f>AY20+預測IC!AZ20</f>
        <v>0.85014914655258245</v>
      </c>
      <c r="BA20" s="2">
        <f>AZ20+預測IC!BA20</f>
        <v>0.88485941641314636</v>
      </c>
      <c r="BB20" s="2">
        <f>BA20+預測IC!BB20</f>
        <v>0.88034041193882595</v>
      </c>
      <c r="BC20" s="2">
        <f>BB20+預測IC!BC20</f>
        <v>0.84005639184026037</v>
      </c>
      <c r="BD20" s="2">
        <f>BC20+預測IC!BD20</f>
        <v>0.84530693878522456</v>
      </c>
      <c r="BE20" s="2">
        <f>BD20+預測IC!BE20</f>
        <v>0.77223437190170952</v>
      </c>
      <c r="BF20" s="2">
        <f>BE20+預測IC!BF20</f>
        <v>0.74835403745080187</v>
      </c>
      <c r="BG20" s="2">
        <f>BF20+預測IC!BG20</f>
        <v>0.71112295417526161</v>
      </c>
      <c r="BH20" s="2">
        <f>BG20+預測IC!BH20</f>
        <v>0.87405335339105295</v>
      </c>
      <c r="BI20" s="2">
        <f>BH20+預測IC!BI20</f>
        <v>1.0346046815646073</v>
      </c>
      <c r="BJ20" s="2">
        <f>BI20+預測IC!BJ20</f>
        <v>1.009587639303611</v>
      </c>
      <c r="BK20" s="2">
        <f>BJ20+預測IC!BK20</f>
        <v>1.0302341314560728</v>
      </c>
      <c r="BL20" s="2">
        <f>BK20+預測IC!BL20</f>
        <v>1.0523536331382988</v>
      </c>
      <c r="BM20" s="2">
        <f>BL20+預測IC!BM20</f>
        <v>1.0588057916771521</v>
      </c>
      <c r="BN20" s="2">
        <f>BM20+預測IC!BN20</f>
        <v>1.0699273357288221</v>
      </c>
      <c r="BO20" s="2">
        <f>BN20+預測IC!BO20</f>
        <v>1.0550174383750863</v>
      </c>
      <c r="BP20" s="2">
        <f>BO20+預測IC!BP20</f>
        <v>1.0842716018437639</v>
      </c>
      <c r="BQ20" s="2">
        <f>BP20+預測IC!BQ20</f>
        <v>1.1262626226633778</v>
      </c>
      <c r="BR20" s="2">
        <f>BQ20+預測IC!BR20</f>
        <v>1.1562885911541239</v>
      </c>
      <c r="BS20" s="2">
        <f>BR20+預測IC!BS20</f>
        <v>1.1618285511202306</v>
      </c>
      <c r="BT20" s="2">
        <f>BS20+預測IC!BT20</f>
        <v>1.1440646624912649</v>
      </c>
      <c r="BU20" s="2">
        <f>BT20+預測IC!BU20</f>
        <v>1.0544911191660749</v>
      </c>
      <c r="BV20" s="2">
        <f>BU20+預測IC!BV20</f>
        <v>1.103600830335262</v>
      </c>
      <c r="BW20" s="2">
        <f>BV20+預測IC!BW20</f>
        <v>0.76890975834759145</v>
      </c>
      <c r="BX20" s="2">
        <f>BW20+預測IC!BX20</f>
        <v>0.78180290412264408</v>
      </c>
      <c r="BY20" s="2">
        <f>BX20+預測IC!BY20</f>
        <v>0.58764528589103038</v>
      </c>
      <c r="BZ20" s="2">
        <f>BY20+預測IC!BZ20</f>
        <v>0.74375859630143604</v>
      </c>
      <c r="CA20" s="2">
        <f>BZ20+預測IC!CA20</f>
        <v>0.73775892712963509</v>
      </c>
      <c r="CB20" s="2">
        <f>CA20+預測IC!CB20</f>
        <v>0.83068752081881325</v>
      </c>
      <c r="CC20" s="2">
        <f>CB20+預測IC!CC20</f>
        <v>0.91788721505794324</v>
      </c>
      <c r="CD20" s="2">
        <f>CC20+預測IC!CD20</f>
        <v>0.99051664232559422</v>
      </c>
      <c r="CE20" s="2">
        <f>CD20+預測IC!CE20</f>
        <v>1.0142491500915476</v>
      </c>
      <c r="CF20" s="2">
        <f>CE20+預測IC!CF20</f>
        <v>1.0354563732780608</v>
      </c>
      <c r="CG20" s="2">
        <f>CF20+預測IC!CG20</f>
        <v>1.1330536281983135</v>
      </c>
      <c r="CH20" s="2">
        <f>CG20+預測IC!CH20</f>
        <v>1.183504327386476</v>
      </c>
      <c r="CI20" s="2">
        <f>CH20+預測IC!CI20</f>
        <v>1.0715819081173297</v>
      </c>
      <c r="CJ20" s="2">
        <f>CI20+預測IC!CJ20</f>
        <v>1.0744472037081594</v>
      </c>
      <c r="CK20" s="2">
        <f>CJ20+預測IC!CK20</f>
        <v>1.0915669859936659</v>
      </c>
      <c r="CL20" s="2">
        <f>CK20+預測IC!CL20</f>
        <v>1.211752605684685</v>
      </c>
      <c r="CM20" s="2">
        <f>CL20+預測IC!CM20</f>
        <v>1.25400289891671</v>
      </c>
      <c r="CN20" s="2">
        <f>CM20+預測IC!CN20</f>
        <v>1.2749313350774816</v>
      </c>
      <c r="CO20" s="2">
        <f>CN20+預測IC!CO20</f>
        <v>1.0333282884850106</v>
      </c>
      <c r="CP20" s="2">
        <f>CO20+預測IC!CP20</f>
        <v>1.2213374472679208</v>
      </c>
      <c r="CQ20" s="2">
        <f>CP20+預測IC!CQ20</f>
        <v>1.3051243967369905</v>
      </c>
      <c r="CR20" s="2">
        <f>CQ20+預測IC!CR20</f>
        <v>1.3412260120664419</v>
      </c>
      <c r="CS20" s="2">
        <f>CR20+預測IC!CS20</f>
        <v>1.317812932881065</v>
      </c>
      <c r="CT20" s="2">
        <f>CS20+預測IC!CT20</f>
        <v>1.2975284807296568</v>
      </c>
      <c r="CU20" s="2">
        <f>CT20+預測IC!CU20</f>
        <v>1.3024685204996249</v>
      </c>
      <c r="CV20" s="2">
        <f>CU20+預測IC!CV20</f>
        <v>1.3552179834605897</v>
      </c>
      <c r="CW20" s="2">
        <f>CV20+預測IC!CW20</f>
        <v>1.4686441383036757</v>
      </c>
      <c r="CX20" s="2">
        <f>CW20+預測IC!CX20</f>
        <v>1.5433731635413053</v>
      </c>
      <c r="CY20" s="2">
        <f>CX20+預測IC!CY20</f>
        <v>1.5988429233440571</v>
      </c>
      <c r="CZ20" s="2">
        <f>CY20+預測IC!CZ20</f>
        <v>1.8815704417130483</v>
      </c>
      <c r="DA20" s="2">
        <f>CZ20+預測IC!DA20</f>
        <v>1.8848244904846787</v>
      </c>
      <c r="DB20" s="2">
        <f>DA20+預測IC!DB20</f>
        <v>1.9128700929171076</v>
      </c>
      <c r="DC20" s="2">
        <f>DB20+預測IC!DC20</f>
        <v>1.9423071794618101</v>
      </c>
      <c r="DD20" s="2">
        <f>DC20+預測IC!DD20</f>
        <v>1.8848471740749697</v>
      </c>
      <c r="DE20" s="2">
        <f>DD20+預測IC!DE20</f>
        <v>1.8069407850823631</v>
      </c>
      <c r="DF20" s="2">
        <f>DE20+預測IC!DF20</f>
        <v>1.9600645881445071</v>
      </c>
      <c r="DG20" s="2">
        <f>DF20+預測IC!DG20</f>
        <v>1.8820710756617602</v>
      </c>
      <c r="DH20" s="2">
        <f>DG20+預測IC!DH20</f>
        <v>2.1374370032525514</v>
      </c>
      <c r="DI20" s="2">
        <f>DH20+預測IC!DI20</f>
        <v>2.0869498270411651</v>
      </c>
      <c r="DJ20" s="2">
        <f>DI20+預測IC!DJ20</f>
        <v>2.1606166964748166</v>
      </c>
      <c r="DK20" s="2">
        <f>DJ20+預測IC!DK20</f>
        <v>2.1098733610413039</v>
      </c>
      <c r="DL20" s="2">
        <f>DK20+預測IC!DL20</f>
        <v>2.1365793635791839</v>
      </c>
      <c r="DM20" s="2">
        <f>DL20+預測IC!DM20</f>
        <v>2.1427096156866807</v>
      </c>
      <c r="DN20" s="2">
        <f>DM20+預測IC!DN20</f>
        <v>2.1577944879107203</v>
      </c>
      <c r="DO20" s="2">
        <f>DN20+預測IC!DO20</f>
        <v>2.1798068184776258</v>
      </c>
      <c r="DP20" s="2">
        <f>DO20+預測IC!DP20</f>
        <v>2.1689109721079625</v>
      </c>
      <c r="DQ20" s="2">
        <f>DP20+預測IC!DQ20</f>
        <v>2.1158874265149703</v>
      </c>
      <c r="DR20" s="2">
        <f>DQ20+預測IC!DR20</f>
        <v>2.1146548242888374</v>
      </c>
      <c r="DS20" s="2">
        <f>DR20+預測IC!DS20</f>
        <v>2.0999777535533046</v>
      </c>
      <c r="DT20" s="2">
        <f>DS20+預測IC!DT20</f>
        <v>2.0868642626468481</v>
      </c>
      <c r="DU20" s="2">
        <f>DT20+預測IC!DU20</f>
        <v>2.0458245884798947</v>
      </c>
      <c r="DV20" s="2">
        <f>DU20+預測IC!DV20</f>
        <v>2.1443615555621727</v>
      </c>
      <c r="DW20" s="2">
        <f>DV20+預測IC!DW20</f>
        <v>2.1154017226391089</v>
      </c>
      <c r="DX20" s="2">
        <f>DW20+預測IC!DX20</f>
        <v>2.0265499538640572</v>
      </c>
      <c r="DY20" s="2">
        <f>DX20+預測IC!DY20</f>
        <v>2.0864202495312432</v>
      </c>
      <c r="DZ20" s="2">
        <f>DY20+預測IC!DZ20</f>
        <v>2.1186810627418096</v>
      </c>
      <c r="EA20" s="2">
        <f>DZ20+預測IC!EA20</f>
        <v>2.1312229362454804</v>
      </c>
      <c r="EB20" s="2">
        <f>EA20+預測IC!EB20</f>
        <v>2.0358546207588062</v>
      </c>
      <c r="EC20" s="2">
        <f>EB20+預測IC!EC20</f>
        <v>2.0630065408449916</v>
      </c>
      <c r="ED20" s="2">
        <f>EC20+預測IC!ED20</f>
        <v>1.9648946351153478</v>
      </c>
      <c r="EE20" s="2">
        <f>ED20+預測IC!EE20</f>
        <v>1.9562899046499884</v>
      </c>
      <c r="EF20" s="2">
        <f>EE20+預測IC!EF20</f>
        <v>2.0564102035595098</v>
      </c>
      <c r="EG20" s="2">
        <f>EF20+預測IC!EG20</f>
        <v>2.1135058784033234</v>
      </c>
      <c r="EH20" s="2">
        <f>EG20+預測IC!EH20</f>
        <v>2.1296973423466112</v>
      </c>
      <c r="EI20" s="2">
        <f>EH20+預測IC!EI20</f>
        <v>2.0910355670426832</v>
      </c>
      <c r="EJ20" s="2">
        <f>EI20+預測IC!EJ20</f>
        <v>1.9995048181256179</v>
      </c>
      <c r="EK20" s="2">
        <f>EJ20+預測IC!EK20</f>
        <v>1.9877586429268015</v>
      </c>
      <c r="EL20" s="2">
        <f>EK20+預測IC!EL20</f>
        <v>1.7730801730807784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0.14458023360468389</v>
      </c>
      <c r="E21" s="2">
        <f>D21+預測IC!E21</f>
        <v>0.25347752812791846</v>
      </c>
      <c r="F21" s="2">
        <f>E21+預測IC!F21</f>
        <v>8.0494521062866559E-2</v>
      </c>
      <c r="G21" s="2">
        <f>F21+預測IC!G21</f>
        <v>0.18011080373667546</v>
      </c>
      <c r="H21" s="2">
        <f>G21+預測IC!H21</f>
        <v>0.12962730173746578</v>
      </c>
      <c r="I21" s="2">
        <f>H21+預測IC!I21</f>
        <v>0.17872911129380675</v>
      </c>
      <c r="J21" s="2">
        <f>I21+預測IC!J21</f>
        <v>6.4966285087104253E-2</v>
      </c>
      <c r="K21" s="2">
        <f>J21+預測IC!K21</f>
        <v>0.15103714414138145</v>
      </c>
      <c r="L21" s="2">
        <f>K21+預測IC!L21</f>
        <v>0.16571481546904687</v>
      </c>
      <c r="M21" s="2">
        <f>L21+預測IC!M21</f>
        <v>-6.9375291361816221E-2</v>
      </c>
      <c r="N21" s="2">
        <f>M21+預測IC!N21</f>
        <v>8.5861808733288969E-2</v>
      </c>
      <c r="O21" s="2">
        <f>N21+預測IC!O21</f>
        <v>6.0395899436729863E-2</v>
      </c>
      <c r="P21" s="2">
        <f>O21+預測IC!P21</f>
        <v>0.13025371512267128</v>
      </c>
      <c r="Q21" s="2">
        <f>P21+預測IC!Q21</f>
        <v>0.11415562421662545</v>
      </c>
      <c r="R21" s="2">
        <f>Q21+預測IC!R21</f>
        <v>0.43644372546565025</v>
      </c>
      <c r="S21" s="2">
        <f>R21+預測IC!S21</f>
        <v>0.38090468647048936</v>
      </c>
      <c r="T21" s="2">
        <f>S21+預測IC!T21</f>
        <v>0.32399365400494895</v>
      </c>
      <c r="U21" s="2">
        <f>T21+預測IC!U21</f>
        <v>0.20972489651014645</v>
      </c>
      <c r="V21" s="2">
        <f>U21+預測IC!V21</f>
        <v>0.19547069500136444</v>
      </c>
      <c r="W21" s="2">
        <f>V21+預測IC!W21</f>
        <v>2.6055036901113937E-2</v>
      </c>
      <c r="X21" s="2">
        <f>W21+預測IC!X21</f>
        <v>0.14614935679253124</v>
      </c>
      <c r="Y21" s="2">
        <f>X21+預測IC!Y21</f>
        <v>0.10518487024654964</v>
      </c>
      <c r="Z21" s="2">
        <f>Y21+預測IC!Z21</f>
        <v>0.10080730971230042</v>
      </c>
      <c r="AA21" s="2">
        <f>Z21+預測IC!AA21</f>
        <v>0.15787365073442072</v>
      </c>
      <c r="AB21" s="2">
        <f>AA21+預測IC!AB21</f>
        <v>0.21560909461914096</v>
      </c>
      <c r="AC21" s="2">
        <f>AB21+預測IC!AC21</f>
        <v>0.1831545900853388</v>
      </c>
      <c r="AD21" s="2">
        <f>AC21+預測IC!AD21</f>
        <v>0.15292912525813074</v>
      </c>
      <c r="AE21" s="2">
        <f>AD21+預測IC!AE21</f>
        <v>0.14674310332179871</v>
      </c>
      <c r="AF21" s="2">
        <f>AE21+預測IC!AF21</f>
        <v>0.12025704482383978</v>
      </c>
      <c r="AG21" s="2">
        <f>AF21+預測IC!AG21</f>
        <v>7.3601076685302705E-2</v>
      </c>
      <c r="AH21" s="2">
        <f>AG21+預測IC!AH21</f>
        <v>4.0422652492897192E-2</v>
      </c>
      <c r="AI21" s="2">
        <f>AH21+預測IC!AI21</f>
        <v>3.5572793351075077E-2</v>
      </c>
      <c r="AJ21" s="2">
        <f>AI21+預測IC!AJ21</f>
        <v>-1.088017601013367E-2</v>
      </c>
      <c r="AK21" s="2">
        <f>AJ21+預測IC!AK21</f>
        <v>7.6868227685940212E-3</v>
      </c>
      <c r="AL21" s="2">
        <f>AK21+預測IC!AL21</f>
        <v>4.026442177184418E-2</v>
      </c>
      <c r="AM21" s="2">
        <f>AL21+預測IC!AM21</f>
        <v>0.12460823410374096</v>
      </c>
      <c r="AN21" s="2">
        <f>AM21+預測IC!AN21</f>
        <v>0.24121027124128064</v>
      </c>
      <c r="AO21" s="2">
        <f>AN21+預測IC!AO21</f>
        <v>0.19241617690378568</v>
      </c>
      <c r="AP21" s="2">
        <f>AO21+預測IC!AP21</f>
        <v>0.10537024008398195</v>
      </c>
      <c r="AQ21" s="2">
        <f>AP21+預測IC!AQ21</f>
        <v>8.1828194425656295E-2</v>
      </c>
      <c r="AR21" s="2">
        <f>AQ21+預測IC!AR21</f>
        <v>0.10557059175030696</v>
      </c>
      <c r="AS21" s="2">
        <f>AR21+預測IC!AS21</f>
        <v>0.11347650752193997</v>
      </c>
      <c r="AT21" s="2">
        <f>AS21+預測IC!AT21</f>
        <v>0.104477043266298</v>
      </c>
      <c r="AU21" s="2">
        <f>AT21+預測IC!AU21</f>
        <v>0.10734782926812393</v>
      </c>
      <c r="AV21" s="2">
        <f>AU21+預測IC!AV21</f>
        <v>7.9051515414264723E-2</v>
      </c>
      <c r="AW21" s="2">
        <f>AV21+預測IC!AW21</f>
        <v>0.18085525346517142</v>
      </c>
      <c r="AX21" s="2">
        <f>AW21+預測IC!AX21</f>
        <v>0.19107225507354775</v>
      </c>
      <c r="AY21" s="2">
        <f>AX21+預測IC!AY21</f>
        <v>0.16104610394204755</v>
      </c>
      <c r="AZ21" s="2">
        <f>AY21+預測IC!AZ21</f>
        <v>0.19932151598721276</v>
      </c>
      <c r="BA21" s="2">
        <f>AZ21+預測IC!BA21</f>
        <v>0.22091744178567807</v>
      </c>
      <c r="BB21" s="2">
        <f>BA21+預測IC!BB21</f>
        <v>0.21637000955975669</v>
      </c>
      <c r="BC21" s="2">
        <f>BB21+預測IC!BC21</f>
        <v>0.17431942530217087</v>
      </c>
      <c r="BD21" s="2">
        <f>BC21+預測IC!BD21</f>
        <v>0.20511114973163624</v>
      </c>
      <c r="BE21" s="2">
        <f>BD21+預測IC!BE21</f>
        <v>0.11994712497426691</v>
      </c>
      <c r="BF21" s="2">
        <f>BE21+預測IC!BF21</f>
        <v>8.7164456348795161E-2</v>
      </c>
      <c r="BG21" s="2">
        <f>BF21+預測IC!BG21</f>
        <v>4.9411615582075748E-2</v>
      </c>
      <c r="BH21" s="2">
        <f>BG21+預測IC!BH21</f>
        <v>0.24090468843224175</v>
      </c>
      <c r="BI21" s="2">
        <f>BH21+預測IC!BI21</f>
        <v>0.39281234966509604</v>
      </c>
      <c r="BJ21" s="2">
        <f>BI21+預測IC!BJ21</f>
        <v>0.35076393964065872</v>
      </c>
      <c r="BK21" s="2">
        <f>BJ21+預測IC!BK21</f>
        <v>0.3945466507814564</v>
      </c>
      <c r="BL21" s="2">
        <f>BK21+預測IC!BL21</f>
        <v>0.45349696240387311</v>
      </c>
      <c r="BM21" s="2">
        <f>BL21+預測IC!BM21</f>
        <v>0.42393833886525273</v>
      </c>
      <c r="BN21" s="2">
        <f>BM21+預測IC!BN21</f>
        <v>0.40557540157594468</v>
      </c>
      <c r="BO21" s="2">
        <f>BN21+預測IC!BO21</f>
        <v>0.38231614318908519</v>
      </c>
      <c r="BP21" s="2">
        <f>BO21+預測IC!BP21</f>
        <v>0.43579538730281042</v>
      </c>
      <c r="BQ21" s="2">
        <f>BP21+預測IC!BQ21</f>
        <v>0.4412552142743692</v>
      </c>
      <c r="BR21" s="2">
        <f>BQ21+預測IC!BR21</f>
        <v>0.49275822880238329</v>
      </c>
      <c r="BS21" s="2">
        <f>BR21+預測IC!BS21</f>
        <v>0.5051919414663123</v>
      </c>
      <c r="BT21" s="2">
        <f>BS21+預測IC!BT21</f>
        <v>0.49759318090681315</v>
      </c>
      <c r="BU21" s="2">
        <f>BT21+預測IC!BU21</f>
        <v>0.41880194927931058</v>
      </c>
      <c r="BV21" s="2">
        <f>BU21+預測IC!BV21</f>
        <v>0.51347171526596747</v>
      </c>
      <c r="BW21" s="2">
        <f>BV21+預測IC!BW21</f>
        <v>9.1165790884644493E-2</v>
      </c>
      <c r="BX21" s="2">
        <f>BW21+預測IC!BX21</f>
        <v>8.9077141190895062E-2</v>
      </c>
      <c r="BY21" s="2">
        <f>BX21+預測IC!BY21</f>
        <v>-7.1763348024891024E-2</v>
      </c>
      <c r="BZ21" s="2">
        <f>BY21+預測IC!BZ21</f>
        <v>5.7831950591105089E-2</v>
      </c>
      <c r="CA21" s="2">
        <f>BZ21+預測IC!CA21</f>
        <v>5.6505517273946725E-2</v>
      </c>
      <c r="CB21" s="2">
        <f>CA21+預測IC!CB21</f>
        <v>0.16623585978977024</v>
      </c>
      <c r="CC21" s="2">
        <f>CB21+預測IC!CC21</f>
        <v>0.1830523193558235</v>
      </c>
      <c r="CD21" s="2">
        <f>CC21+預測IC!CD21</f>
        <v>0.26819724503726733</v>
      </c>
      <c r="CE21" s="2">
        <f>CD21+預測IC!CE21</f>
        <v>0.2751612677551637</v>
      </c>
      <c r="CF21" s="2">
        <f>CE21+預測IC!CF21</f>
        <v>0.29174313119276013</v>
      </c>
      <c r="CG21" s="2">
        <f>CF21+預測IC!CG21</f>
        <v>0.44703075960261285</v>
      </c>
      <c r="CH21" s="2">
        <f>CG21+預測IC!CH21</f>
        <v>0.52504882452490409</v>
      </c>
      <c r="CI21" s="2">
        <f>CH21+預測IC!CI21</f>
        <v>0.40794284137387971</v>
      </c>
      <c r="CJ21" s="2">
        <f>CI21+預測IC!CJ21</f>
        <v>0.4266895450473967</v>
      </c>
      <c r="CK21" s="2">
        <f>CJ21+預測IC!CK21</f>
        <v>0.47777151104440962</v>
      </c>
      <c r="CL21" s="2">
        <f>CK21+預測IC!CL21</f>
        <v>0.61960199830844953</v>
      </c>
      <c r="CM21" s="2">
        <f>CL21+預測IC!CM21</f>
        <v>0.68156315122490063</v>
      </c>
      <c r="CN21" s="2">
        <f>CM21+預測IC!CN21</f>
        <v>0.71330364928566703</v>
      </c>
      <c r="CO21" s="2">
        <f>CN21+預測IC!CO21</f>
        <v>0.42607388765908211</v>
      </c>
      <c r="CP21" s="2">
        <f>CO21+預測IC!CP21</f>
        <v>0.65640413923618313</v>
      </c>
      <c r="CQ21" s="2">
        <f>CP21+預測IC!CQ21</f>
        <v>0.80012256524664438</v>
      </c>
      <c r="CR21" s="2">
        <f>CQ21+預測IC!CR21</f>
        <v>0.84796985317552509</v>
      </c>
      <c r="CS21" s="2">
        <f>CR21+預測IC!CS21</f>
        <v>0.82256367959828924</v>
      </c>
      <c r="CT21" s="2">
        <f>CS21+預測IC!CT21</f>
        <v>0.78943546764152095</v>
      </c>
      <c r="CU21" s="2">
        <f>CT21+預測IC!CU21</f>
        <v>0.80135802208052309</v>
      </c>
      <c r="CV21" s="2">
        <f>CU21+預測IC!CV21</f>
        <v>0.84868235937308545</v>
      </c>
      <c r="CW21" s="2">
        <f>CV21+預測IC!CW21</f>
        <v>1.0094957363345212</v>
      </c>
      <c r="CX21" s="2">
        <f>CW21+預測IC!CX21</f>
        <v>1.063008889556937</v>
      </c>
      <c r="CY21" s="2">
        <f>CX21+預測IC!CY21</f>
        <v>1.0462878299804836</v>
      </c>
      <c r="CZ21" s="2">
        <f>CY21+預測IC!CZ21</f>
        <v>1.3999458405436114</v>
      </c>
      <c r="DA21" s="2">
        <f>CZ21+預測IC!DA21</f>
        <v>1.4433466934331292</v>
      </c>
      <c r="DB21" s="2">
        <f>DA21+預測IC!DB21</f>
        <v>1.4693653650065317</v>
      </c>
      <c r="DC21" s="2">
        <f>DB21+預測IC!DC21</f>
        <v>1.5154837835176223</v>
      </c>
      <c r="DD21" s="2">
        <f>DC21+預測IC!DD21</f>
        <v>1.4650068601533441</v>
      </c>
      <c r="DE21" s="2">
        <f>DD21+預測IC!DE21</f>
        <v>1.4065844316892315</v>
      </c>
      <c r="DF21" s="2">
        <f>DE21+預測IC!DF21</f>
        <v>1.5840599237009545</v>
      </c>
      <c r="DG21" s="2">
        <f>DF21+預測IC!DG21</f>
        <v>1.5013684236462972</v>
      </c>
      <c r="DH21" s="2">
        <f>DG21+預測IC!DH21</f>
        <v>1.817724700935035</v>
      </c>
      <c r="DI21" s="2">
        <f>DH21+預測IC!DI21</f>
        <v>1.7638665208451068</v>
      </c>
      <c r="DJ21" s="2">
        <f>DI21+預測IC!DJ21</f>
        <v>1.8038793297857418</v>
      </c>
      <c r="DK21" s="2">
        <f>DJ21+預測IC!DK21</f>
        <v>1.7496790201268988</v>
      </c>
      <c r="DL21" s="2">
        <f>DK21+預測IC!DL21</f>
        <v>1.7757712253118487</v>
      </c>
      <c r="DM21" s="2">
        <f>DL21+預測IC!DM21</f>
        <v>1.8000214805503376</v>
      </c>
      <c r="DN21" s="2">
        <f>DM21+預測IC!DN21</f>
        <v>1.7831081617459197</v>
      </c>
      <c r="DO21" s="2">
        <f>DN21+預測IC!DO21</f>
        <v>1.799884934644667</v>
      </c>
      <c r="DP21" s="2">
        <f>DO21+預測IC!DP21</f>
        <v>1.782944580802089</v>
      </c>
      <c r="DQ21" s="2">
        <f>DP21+預測IC!DQ21</f>
        <v>1.7319174766069785</v>
      </c>
      <c r="DR21" s="2">
        <f>DQ21+預測IC!DR21</f>
        <v>1.6964040816905526</v>
      </c>
      <c r="DS21" s="2">
        <f>DR21+預測IC!DS21</f>
        <v>1.6892293215924798</v>
      </c>
      <c r="DT21" s="2">
        <f>DS21+預測IC!DT21</f>
        <v>1.6803169585921718</v>
      </c>
      <c r="DU21" s="2">
        <f>DT21+預測IC!DU21</f>
        <v>1.6338069235454196</v>
      </c>
      <c r="DV21" s="2">
        <f>DU21+預測IC!DV21</f>
        <v>1.732707629860168</v>
      </c>
      <c r="DW21" s="2">
        <f>DV21+預測IC!DW21</f>
        <v>1.6922692850943741</v>
      </c>
      <c r="DX21" s="2">
        <f>DW21+預測IC!DX21</f>
        <v>1.605056707372857</v>
      </c>
      <c r="DY21" s="2">
        <f>DX21+預測IC!DY21</f>
        <v>1.6542941777274174</v>
      </c>
      <c r="DZ21" s="2">
        <f>DY21+預測IC!DZ21</f>
        <v>1.6631282786663459</v>
      </c>
      <c r="EA21" s="2">
        <f>DZ21+預測IC!EA21</f>
        <v>1.692122408421147</v>
      </c>
      <c r="EB21" s="2">
        <f>EA21+預測IC!EB21</f>
        <v>1.5640093255801406</v>
      </c>
      <c r="EC21" s="2">
        <f>EB21+預測IC!EC21</f>
        <v>1.5931122152117489</v>
      </c>
      <c r="ED21" s="2">
        <f>EC21+預測IC!ED21</f>
        <v>1.5178696404338485</v>
      </c>
      <c r="EE21" s="2">
        <f>ED21+預測IC!EE21</f>
        <v>1.5182654018622797</v>
      </c>
      <c r="EF21" s="2">
        <f>EE21+預測IC!EF21</f>
        <v>1.6304519366761119</v>
      </c>
      <c r="EG21" s="2">
        <f>EF21+預測IC!EG21</f>
        <v>1.6785135045405273</v>
      </c>
      <c r="EH21" s="2">
        <f>EG21+預測IC!EH21</f>
        <v>1.7074090832334909</v>
      </c>
      <c r="EI21" s="2">
        <f>EH21+預測IC!EI21</f>
        <v>1.6590818641035812</v>
      </c>
      <c r="EJ21" s="2">
        <f>EI21+預測IC!EJ21</f>
        <v>1.5659167311655975</v>
      </c>
      <c r="EK21" s="2">
        <f>EJ21+預測IC!EK21</f>
        <v>1.5245643721992495</v>
      </c>
      <c r="EL21" s="2">
        <f>EK21+預測IC!EL21</f>
        <v>1.2659226332601832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0.13787418568430576</v>
      </c>
      <c r="E22" s="2">
        <f>D22+預測IC!E22</f>
        <v>0.16065969191660748</v>
      </c>
      <c r="F22" s="2">
        <f>E22+預測IC!F22</f>
        <v>9.0624438721850747E-2</v>
      </c>
      <c r="G22" s="2">
        <f>F22+預測IC!G22</f>
        <v>0.12896049734902554</v>
      </c>
      <c r="H22" s="2">
        <f>G22+預測IC!H22</f>
        <v>5.0582190963670615E-2</v>
      </c>
      <c r="I22" s="2">
        <f>H22+預測IC!I22</f>
        <v>8.1443831215326529E-2</v>
      </c>
      <c r="J22" s="2">
        <f>I22+預測IC!J22</f>
        <v>-6.5178379214171078E-2</v>
      </c>
      <c r="K22" s="2">
        <f>J22+預測IC!K22</f>
        <v>5.8787628910534906E-3</v>
      </c>
      <c r="L22" s="2">
        <f>K22+預測IC!L22</f>
        <v>-3.0162703314746603E-2</v>
      </c>
      <c r="M22" s="2">
        <f>L22+預測IC!M22</f>
        <v>-0.32118029365078782</v>
      </c>
      <c r="N22" s="2">
        <f>M22+預測IC!N22</f>
        <v>-0.14369785359636461</v>
      </c>
      <c r="O22" s="2">
        <f>N22+預測IC!O22</f>
        <v>-0.22536368612714952</v>
      </c>
      <c r="P22" s="2">
        <f>O22+預測IC!P22</f>
        <v>-0.18142585147443943</v>
      </c>
      <c r="Q22" s="2">
        <f>P22+預測IC!Q22</f>
        <v>-0.22996457723023789</v>
      </c>
      <c r="R22" s="2">
        <f>Q22+預測IC!R22</f>
        <v>-9.1413607069889824E-3</v>
      </c>
      <c r="S22" s="2">
        <f>R22+預測IC!S22</f>
        <v>-5.7596072615239739E-2</v>
      </c>
      <c r="T22" s="2">
        <f>S22+預測IC!T22</f>
        <v>-6.3884752406291795E-2</v>
      </c>
      <c r="U22" s="2">
        <f>T22+預測IC!U22</f>
        <v>-7.0287739852184103E-2</v>
      </c>
      <c r="V22" s="2">
        <f>U22+預測IC!V22</f>
        <v>-9.3521337295280477E-2</v>
      </c>
      <c r="W22" s="2">
        <f>V22+預測IC!W22</f>
        <v>-0.30217794508360568</v>
      </c>
      <c r="X22" s="2">
        <f>W22+預測IC!X22</f>
        <v>-0.15632394719571649</v>
      </c>
      <c r="Y22" s="2">
        <f>X22+預測IC!Y22</f>
        <v>-0.19358726780496088</v>
      </c>
      <c r="Z22" s="2">
        <f>Y22+預測IC!Z22</f>
        <v>-0.18418025051776377</v>
      </c>
      <c r="AA22" s="2">
        <f>Z22+預測IC!AA22</f>
        <v>-9.9171801321698519E-2</v>
      </c>
      <c r="AB22" s="2">
        <f>AA22+預測IC!AB22</f>
        <v>-3.8638567148391291E-2</v>
      </c>
      <c r="AC22" s="2">
        <f>AB22+預測IC!AC22</f>
        <v>-0.10325985612182212</v>
      </c>
      <c r="AD22" s="2">
        <f>AC22+預測IC!AD22</f>
        <v>-0.15633649899550853</v>
      </c>
      <c r="AE22" s="2">
        <f>AD22+預測IC!AE22</f>
        <v>-0.14592429433155205</v>
      </c>
      <c r="AF22" s="2">
        <f>AE22+預測IC!AF22</f>
        <v>-0.15052683279977436</v>
      </c>
      <c r="AG22" s="2">
        <f>AF22+預測IC!AG22</f>
        <v>-0.18296862504526695</v>
      </c>
      <c r="AH22" s="2">
        <f>AG22+預測IC!AH22</f>
        <v>-0.2212549984321811</v>
      </c>
      <c r="AI22" s="2">
        <f>AH22+預測IC!AI22</f>
        <v>-0.24420260244714581</v>
      </c>
      <c r="AJ22" s="2">
        <f>AI22+預測IC!AJ22</f>
        <v>-0.31638721923964253</v>
      </c>
      <c r="AK22" s="2">
        <f>AJ22+預測IC!AK22</f>
        <v>-0.33629898376471823</v>
      </c>
      <c r="AL22" s="2">
        <f>AK22+預測IC!AL22</f>
        <v>-0.27446692513823157</v>
      </c>
      <c r="AM22" s="2">
        <f>AL22+預測IC!AM22</f>
        <v>-0.23546043212698428</v>
      </c>
      <c r="AN22" s="2">
        <f>AM22+預測IC!AN22</f>
        <v>-7.6800781098916276E-2</v>
      </c>
      <c r="AO22" s="2">
        <f>AN22+預測IC!AO22</f>
        <v>-0.11640113056042953</v>
      </c>
      <c r="AP22" s="2">
        <f>AO22+預測IC!AP22</f>
        <v>-0.20504811366896358</v>
      </c>
      <c r="AQ22" s="2">
        <f>AP22+預測IC!AQ22</f>
        <v>-0.25174958603388436</v>
      </c>
      <c r="AR22" s="2">
        <f>AQ22+預測IC!AR22</f>
        <v>-0.22629036357993892</v>
      </c>
      <c r="AS22" s="2">
        <f>AR22+預測IC!AS22</f>
        <v>-0.22602951105861999</v>
      </c>
      <c r="AT22" s="2">
        <f>AS22+預測IC!AT22</f>
        <v>-0.25085089034207464</v>
      </c>
      <c r="AU22" s="2">
        <f>AT22+預測IC!AU22</f>
        <v>-0.26101434423186359</v>
      </c>
      <c r="AV22" s="2">
        <f>AU22+預測IC!AV22</f>
        <v>-0.31611213934767474</v>
      </c>
      <c r="AW22" s="2">
        <f>AV22+預測IC!AW22</f>
        <v>-0.21908065420460004</v>
      </c>
      <c r="AX22" s="2">
        <f>AW22+預測IC!AX22</f>
        <v>-0.21099389752665179</v>
      </c>
      <c r="AY22" s="2">
        <f>AX22+預測IC!AY22</f>
        <v>-0.30305291900356884</v>
      </c>
      <c r="AZ22" s="2">
        <f>AY22+預測IC!AZ22</f>
        <v>-0.23415970660849636</v>
      </c>
      <c r="BA22" s="2">
        <f>AZ22+預測IC!BA22</f>
        <v>-0.17889756162890788</v>
      </c>
      <c r="BB22" s="2">
        <f>BA22+預測IC!BB22</f>
        <v>-0.20102121965254427</v>
      </c>
      <c r="BC22" s="2">
        <f>BB22+預測IC!BC22</f>
        <v>-0.23769286326856001</v>
      </c>
      <c r="BD22" s="2">
        <f>BC22+預測IC!BD22</f>
        <v>-0.31999552784799157</v>
      </c>
      <c r="BE22" s="2">
        <f>BD22+預測IC!BE22</f>
        <v>-0.44497435254944556</v>
      </c>
      <c r="BF22" s="2">
        <f>BE22+預測IC!BF22</f>
        <v>-0.49968702191171027</v>
      </c>
      <c r="BG22" s="2">
        <f>BF22+預測IC!BG22</f>
        <v>-0.50727293580358679</v>
      </c>
      <c r="BH22" s="2">
        <f>BG22+預測IC!BH22</f>
        <v>-0.3202560282754815</v>
      </c>
      <c r="BI22" s="2">
        <f>BH22+預測IC!BI22</f>
        <v>-0.22068919157654246</v>
      </c>
      <c r="BJ22" s="2">
        <f>BI22+預測IC!BJ22</f>
        <v>-0.27803909185865089</v>
      </c>
      <c r="BK22" s="2">
        <f>BJ22+預測IC!BK22</f>
        <v>-0.23505119591629728</v>
      </c>
      <c r="BL22" s="2">
        <f>BK22+預測IC!BL22</f>
        <v>-0.19194850939946781</v>
      </c>
      <c r="BM22" s="2">
        <f>BL22+預測IC!BM22</f>
        <v>-0.21305677975545459</v>
      </c>
      <c r="BN22" s="2">
        <f>BM22+預測IC!BN22</f>
        <v>-0.25126100115674432</v>
      </c>
      <c r="BO22" s="2">
        <f>BN22+預測IC!BO22</f>
        <v>-0.30824856876747941</v>
      </c>
      <c r="BP22" s="2">
        <f>BO22+預測IC!BP22</f>
        <v>-0.29817892190989254</v>
      </c>
      <c r="BQ22" s="2">
        <f>BP22+預測IC!BQ22</f>
        <v>-0.34598791815630475</v>
      </c>
      <c r="BR22" s="2">
        <f>BQ22+預測IC!BR22</f>
        <v>-0.28828182939905833</v>
      </c>
      <c r="BS22" s="2">
        <f>BR22+預測IC!BS22</f>
        <v>-0.3149649536025107</v>
      </c>
      <c r="BT22" s="2">
        <f>BS22+預測IC!BT22</f>
        <v>-0.37653614171565342</v>
      </c>
      <c r="BU22" s="2">
        <f>BT22+預測IC!BU22</f>
        <v>-0.45696320475965324</v>
      </c>
      <c r="BV22" s="2">
        <f>BU22+預測IC!BV22</f>
        <v>-0.34012802729988356</v>
      </c>
      <c r="BW22" s="2">
        <f>BV22+預測IC!BW22</f>
        <v>-0.52170029530253847</v>
      </c>
      <c r="BX22" s="2">
        <f>BW22+預測IC!BX22</f>
        <v>-0.52511311850210418</v>
      </c>
      <c r="BY22" s="2">
        <f>BX22+預測IC!BY22</f>
        <v>-0.68326759196921427</v>
      </c>
      <c r="BZ22" s="2">
        <f>BY22+預測IC!BZ22</f>
        <v>-0.52676669624594807</v>
      </c>
      <c r="CA22" s="2">
        <f>BZ22+預測IC!CA22</f>
        <v>-0.54224369242200876</v>
      </c>
      <c r="CB22" s="2">
        <f>CA22+預測IC!CB22</f>
        <v>-0.42147311869504794</v>
      </c>
      <c r="CC22" s="2">
        <f>CB22+預測IC!CC22</f>
        <v>-0.46250288548003726</v>
      </c>
      <c r="CD22" s="2">
        <f>CC22+預測IC!CD22</f>
        <v>-0.42568668240208418</v>
      </c>
      <c r="CE22" s="2">
        <f>CD22+預測IC!CE22</f>
        <v>-0.38228849624580435</v>
      </c>
      <c r="CF22" s="2">
        <f>CE22+預測IC!CF22</f>
        <v>-0.32567900195833138</v>
      </c>
      <c r="CG22" s="2">
        <f>CF22+預測IC!CG22</f>
        <v>-0.12742545983974068</v>
      </c>
      <c r="CH22" s="2">
        <f>CG22+預測IC!CH22</f>
        <v>2.7465915720197714E-2</v>
      </c>
      <c r="CI22" s="2">
        <f>CH22+預測IC!CI22</f>
        <v>-0.14550706962452997</v>
      </c>
      <c r="CJ22" s="2">
        <f>CI22+預測IC!CJ22</f>
        <v>-0.10585928600416514</v>
      </c>
      <c r="CK22" s="2">
        <f>CJ22+預測IC!CK22</f>
        <v>-6.942916287444692E-2</v>
      </c>
      <c r="CL22" s="2">
        <f>CK22+預測IC!CL22</f>
        <v>7.2545819501661279E-2</v>
      </c>
      <c r="CM22" s="2">
        <f>CL22+預測IC!CM22</f>
        <v>0.14247460923475291</v>
      </c>
      <c r="CN22" s="2">
        <f>CM22+預測IC!CN22</f>
        <v>0.20648495357060925</v>
      </c>
      <c r="CO22" s="2">
        <f>CN22+預測IC!CO22</f>
        <v>-0.17031950987038963</v>
      </c>
      <c r="CP22" s="2">
        <f>CO22+預測IC!CP22</f>
        <v>0.11133337517546349</v>
      </c>
      <c r="CQ22" s="2">
        <f>CP22+預測IC!CQ22</f>
        <v>0.26913421510656466</v>
      </c>
      <c r="CR22" s="2">
        <f>CQ22+預測IC!CR22</f>
        <v>0.33477447739058463</v>
      </c>
      <c r="CS22" s="2">
        <f>CR22+預測IC!CS22</f>
        <v>0.31227452473511946</v>
      </c>
      <c r="CT22" s="2">
        <f>CS22+預測IC!CT22</f>
        <v>0.26111854795593115</v>
      </c>
      <c r="CU22" s="2">
        <f>CT22+預測IC!CU22</f>
        <v>0.2406522639391433</v>
      </c>
      <c r="CV22" s="2">
        <f>CU22+預測IC!CV22</f>
        <v>0.30887104087653627</v>
      </c>
      <c r="CW22" s="2">
        <f>CV22+預測IC!CW22</f>
        <v>0.40283164291723889</v>
      </c>
      <c r="CX22" s="2">
        <f>CW22+預測IC!CX22</f>
        <v>0.4206637331376864</v>
      </c>
      <c r="CY22" s="2">
        <f>CX22+預測IC!CY22</f>
        <v>0.38657344992162895</v>
      </c>
      <c r="CZ22" s="2">
        <f>CY22+預測IC!CZ22</f>
        <v>0.70390981453117152</v>
      </c>
      <c r="DA22" s="2">
        <f>CZ22+預測IC!DA22</f>
        <v>0.74079519105866642</v>
      </c>
      <c r="DB22" s="2">
        <f>DA22+預測IC!DB22</f>
        <v>0.79173783632243366</v>
      </c>
      <c r="DC22" s="2">
        <f>DB22+預測IC!DC22</f>
        <v>0.8550250685136831</v>
      </c>
      <c r="DD22" s="2">
        <f>DC22+預測IC!DD22</f>
        <v>0.7430133708956761</v>
      </c>
      <c r="DE22" s="2">
        <f>DD22+預測IC!DE22</f>
        <v>0.64312746699844725</v>
      </c>
      <c r="DF22" s="2">
        <f>DE22+預測IC!DF22</f>
        <v>0.8212449944765754</v>
      </c>
      <c r="DG22" s="2">
        <f>DF22+預測IC!DG22</f>
        <v>0.70292146158074242</v>
      </c>
      <c r="DH22" s="2">
        <f>DG22+預測IC!DH22</f>
        <v>0.77351862246126046</v>
      </c>
      <c r="DI22" s="2">
        <f>DH22+預測IC!DI22</f>
        <v>0.72454813923744932</v>
      </c>
      <c r="DJ22" s="2">
        <f>DI22+預測IC!DJ22</f>
        <v>0.7981887895206381</v>
      </c>
      <c r="DK22" s="2">
        <f>DJ22+預測IC!DK22</f>
        <v>0.82682709562890955</v>
      </c>
      <c r="DL22" s="2">
        <f>DK22+預測IC!DL22</f>
        <v>0.88755882804773323</v>
      </c>
      <c r="DM22" s="2">
        <f>DL22+預測IC!DM22</f>
        <v>0.90675134408479796</v>
      </c>
      <c r="DN22" s="2">
        <f>DM22+預測IC!DN22</f>
        <v>0.90453175657985463</v>
      </c>
      <c r="DO22" s="2">
        <f>DN22+預測IC!DO22</f>
        <v>0.92527872389446009</v>
      </c>
      <c r="DP22" s="2">
        <f>DO22+預測IC!DP22</f>
        <v>0.89787222437927938</v>
      </c>
      <c r="DQ22" s="2">
        <f>DP22+預測IC!DQ22</f>
        <v>0.83148480254137003</v>
      </c>
      <c r="DR22" s="2">
        <f>DQ22+預測IC!DR22</f>
        <v>0.77026287729855014</v>
      </c>
      <c r="DS22" s="2">
        <f>DR22+預測IC!DS22</f>
        <v>0.78673682607905293</v>
      </c>
      <c r="DT22" s="2">
        <f>DS22+預測IC!DT22</f>
        <v>0.77097288168377054</v>
      </c>
      <c r="DU22" s="2">
        <f>DT22+預測IC!DU22</f>
        <v>0.67613660508146589</v>
      </c>
      <c r="DV22" s="2">
        <f>DU22+預測IC!DV22</f>
        <v>0.78372153975457604</v>
      </c>
      <c r="DW22" s="2">
        <f>DV22+預測IC!DW22</f>
        <v>0.76382721127076048</v>
      </c>
      <c r="DX22" s="2">
        <f>DW22+預測IC!DX22</f>
        <v>0.67811291456033751</v>
      </c>
      <c r="DY22" s="2">
        <f>DX22+預測IC!DY22</f>
        <v>0.69964688164416544</v>
      </c>
      <c r="DZ22" s="2">
        <f>DY22+預測IC!DZ22</f>
        <v>0.71341450122784689</v>
      </c>
      <c r="EA22" s="2">
        <f>DZ22+預測IC!EA22</f>
        <v>0.74069707807310292</v>
      </c>
      <c r="EB22" s="2">
        <f>EA22+預測IC!EB22</f>
        <v>0.59728421610137583</v>
      </c>
      <c r="EC22" s="2">
        <f>EB22+預測IC!EC22</f>
        <v>0.61986634494976001</v>
      </c>
      <c r="ED22" s="2">
        <f>EC22+預測IC!ED22</f>
        <v>0.51276471833841952</v>
      </c>
      <c r="EE22" s="2">
        <f>ED22+預測IC!EE22</f>
        <v>0.51624460777659553</v>
      </c>
      <c r="EF22" s="2">
        <f>EE22+預測IC!EF22</f>
        <v>0.62206006894544585</v>
      </c>
      <c r="EG22" s="2">
        <f>EF22+預測IC!EG22</f>
        <v>0.66567160287491822</v>
      </c>
      <c r="EH22" s="2">
        <f>EG22+預測IC!EH22</f>
        <v>0.72177624040240229</v>
      </c>
      <c r="EI22" s="2">
        <f>EH22+預測IC!EI22</f>
        <v>0.69296026664736765</v>
      </c>
      <c r="EJ22" s="2">
        <f>EI22+預測IC!EJ22</f>
        <v>0.64312509832041487</v>
      </c>
      <c r="EK22" s="2">
        <f>EJ22+預測IC!EK22</f>
        <v>0.69782935915150057</v>
      </c>
      <c r="EL22" s="2">
        <f>EK22+預測IC!EL22</f>
        <v>0.44676236084219245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0.21329236713322336</v>
      </c>
      <c r="E23" s="2">
        <f>D23+預測IC!E23</f>
        <v>0.26914047274842462</v>
      </c>
      <c r="F23" s="2">
        <f>E23+預測IC!F23</f>
        <v>0.26540023980651395</v>
      </c>
      <c r="G23" s="2">
        <f>F23+預測IC!G23</f>
        <v>0.30204770512971846</v>
      </c>
      <c r="H23" s="2">
        <f>G23+預測IC!H23</f>
        <v>0.18684150071016414</v>
      </c>
      <c r="I23" s="2">
        <f>H23+預測IC!I23</f>
        <v>0.23977643637712531</v>
      </c>
      <c r="J23" s="2">
        <f>I23+預測IC!J23</f>
        <v>7.6404101207773412E-2</v>
      </c>
      <c r="K23" s="2">
        <f>J23+預測IC!K23</f>
        <v>0.16113126511871254</v>
      </c>
      <c r="L23" s="2">
        <f>K23+預測IC!L23</f>
        <v>8.5821777868291982E-2</v>
      </c>
      <c r="M23" s="2">
        <f>L23+預測IC!M23</f>
        <v>-7.8739994171860117E-2</v>
      </c>
      <c r="N23" s="2">
        <f>M23+預測IC!N23</f>
        <v>2.9169944505046286E-2</v>
      </c>
      <c r="O23" s="2">
        <f>N23+預測IC!O23</f>
        <v>8.5562684355415988E-2</v>
      </c>
      <c r="P23" s="2">
        <f>O23+預測IC!P23</f>
        <v>0.1903407546937933</v>
      </c>
      <c r="Q23" s="2">
        <f>P23+預測IC!Q23</f>
        <v>0.20903910994209235</v>
      </c>
      <c r="R23" s="2">
        <f>Q23+預測IC!R23</f>
        <v>0.62036415018533608</v>
      </c>
      <c r="S23" s="2">
        <f>R23+預測IC!S23</f>
        <v>0.61027556472719091</v>
      </c>
      <c r="T23" s="2">
        <f>S23+預測IC!T23</f>
        <v>0.77291658299795585</v>
      </c>
      <c r="U23" s="2">
        <f>T23+預測IC!U23</f>
        <v>0.62365335232766173</v>
      </c>
      <c r="V23" s="2">
        <f>U23+預測IC!V23</f>
        <v>0.57534618691194161</v>
      </c>
      <c r="W23" s="2">
        <f>V23+預測IC!W23</f>
        <v>0.14344313454235452</v>
      </c>
      <c r="X23" s="2">
        <f>W23+預測IC!X23</f>
        <v>0.30858094594866803</v>
      </c>
      <c r="Y23" s="2">
        <f>X23+預測IC!Y23</f>
        <v>0.25270377066850591</v>
      </c>
      <c r="Z23" s="2">
        <f>Y23+預測IC!Z23</f>
        <v>0.23995853585722615</v>
      </c>
      <c r="AA23" s="2">
        <f>Z23+預測IC!AA23</f>
        <v>0.32312573112499832</v>
      </c>
      <c r="AB23" s="2">
        <f>AA23+預測IC!AB23</f>
        <v>0.42199282111411046</v>
      </c>
      <c r="AC23" s="2">
        <f>AB23+預測IC!AC23</f>
        <v>0.33570730731486276</v>
      </c>
      <c r="AD23" s="2">
        <f>AC23+預測IC!AD23</f>
        <v>0.3159956724737224</v>
      </c>
      <c r="AE23" s="2">
        <f>AD23+預測IC!AE23</f>
        <v>0.35802275738936429</v>
      </c>
      <c r="AF23" s="2">
        <f>AE23+預測IC!AF23</f>
        <v>0.29814641849449719</v>
      </c>
      <c r="AG23" s="2">
        <f>AF23+預測IC!AG23</f>
        <v>0.23372082686852436</v>
      </c>
      <c r="AH23" s="2">
        <f>AG23+預測IC!AH23</f>
        <v>0.19619419663194587</v>
      </c>
      <c r="AI23" s="2">
        <f>AH23+預測IC!AI23</f>
        <v>0.17093460494722115</v>
      </c>
      <c r="AJ23" s="2">
        <f>AI23+預測IC!AJ23</f>
        <v>8.4127463033175615E-2</v>
      </c>
      <c r="AK23" s="2">
        <f>AJ23+預測IC!AK23</f>
        <v>2.9145082703638497E-2</v>
      </c>
      <c r="AL23" s="2">
        <f>AK23+預測IC!AL23</f>
        <v>5.595065700305582E-2</v>
      </c>
      <c r="AM23" s="2">
        <f>AL23+預測IC!AM23</f>
        <v>0.11373021384452056</v>
      </c>
      <c r="AN23" s="2">
        <f>AM23+預測IC!AN23</f>
        <v>0.3371025973145354</v>
      </c>
      <c r="AO23" s="2">
        <f>AN23+預測IC!AO23</f>
        <v>0.3095712528507033</v>
      </c>
      <c r="AP23" s="2">
        <f>AO23+預測IC!AP23</f>
        <v>0.20188262458725331</v>
      </c>
      <c r="AQ23" s="2">
        <f>AP23+預測IC!AQ23</f>
        <v>0.10602282291181092</v>
      </c>
      <c r="AR23" s="2">
        <f>AQ23+預測IC!AR23</f>
        <v>0.14882556120340448</v>
      </c>
      <c r="AS23" s="2">
        <f>AR23+預測IC!AS23</f>
        <v>0.15281855504408695</v>
      </c>
      <c r="AT23" s="2">
        <f>AS23+預測IC!AT23</f>
        <v>0.12581361012168094</v>
      </c>
      <c r="AU23" s="2">
        <f>AT23+預測IC!AU23</f>
        <v>0.10344241793339667</v>
      </c>
      <c r="AV23" s="2">
        <f>AU23+預測IC!AV23</f>
        <v>2.6970004859665733E-2</v>
      </c>
      <c r="AW23" s="2">
        <f>AV23+預測IC!AW23</f>
        <v>7.016575307923302E-2</v>
      </c>
      <c r="AX23" s="2">
        <f>AW23+預測IC!AX23</f>
        <v>3.9629982816981157E-2</v>
      </c>
      <c r="AY23" s="2">
        <f>AX23+預測IC!AY23</f>
        <v>-6.6748011295088144E-2</v>
      </c>
      <c r="AZ23" s="2">
        <f>AY23+預測IC!AZ23</f>
        <v>-3.4734157791028356E-2</v>
      </c>
      <c r="BA23" s="2">
        <f>AZ23+預測IC!BA23</f>
        <v>-3.2022609890308452E-2</v>
      </c>
      <c r="BB23" s="2">
        <f>BA23+預測IC!BB23</f>
        <v>-2.3440935912680424E-2</v>
      </c>
      <c r="BC23" s="2">
        <f>BB23+預測IC!BC23</f>
        <v>6.424062591891451E-2</v>
      </c>
      <c r="BD23" s="2">
        <f>BC23+預測IC!BD23</f>
        <v>1.3394356665768492E-3</v>
      </c>
      <c r="BE23" s="2">
        <f>BD23+預測IC!BE23</f>
        <v>-0.15797976277142606</v>
      </c>
      <c r="BF23" s="2">
        <f>BE23+預測IC!BF23</f>
        <v>-0.18753979138733562</v>
      </c>
      <c r="BG23" s="2">
        <f>BF23+預測IC!BG23</f>
        <v>-0.31482580705406848</v>
      </c>
      <c r="BH23" s="2">
        <f>BG23+預測IC!BH23</f>
        <v>-0.24371195439338383</v>
      </c>
      <c r="BI23" s="2">
        <f>BH23+預測IC!BI23</f>
        <v>-0.13442886296124723</v>
      </c>
      <c r="BJ23" s="2">
        <f>BI23+預測IC!BJ23</f>
        <v>-0.19043419865456845</v>
      </c>
      <c r="BK23" s="2">
        <f>BJ23+預測IC!BK23</f>
        <v>-0.19278147197806145</v>
      </c>
      <c r="BL23" s="2">
        <f>BK23+預測IC!BL23</f>
        <v>-0.11639791768386762</v>
      </c>
      <c r="BM23" s="2">
        <f>BL23+預測IC!BM23</f>
        <v>-0.20652572225427743</v>
      </c>
      <c r="BN23" s="2">
        <f>BM23+預測IC!BN23</f>
        <v>-0.25474089481461676</v>
      </c>
      <c r="BO23" s="2">
        <f>BN23+預測IC!BO23</f>
        <v>-0.258229048719745</v>
      </c>
      <c r="BP23" s="2">
        <f>BO23+預測IC!BP23</f>
        <v>-0.2074605998359656</v>
      </c>
      <c r="BQ23" s="2">
        <f>BP23+預測IC!BQ23</f>
        <v>-0.30354048929410749</v>
      </c>
      <c r="BR23" s="2">
        <f>BQ23+預測IC!BR23</f>
        <v>-0.28050516827870053</v>
      </c>
      <c r="BS23" s="2">
        <f>BR23+預測IC!BS23</f>
        <v>-0.27672417825940721</v>
      </c>
      <c r="BT23" s="2">
        <f>BS23+預測IC!BT23</f>
        <v>-0.28541268337279613</v>
      </c>
      <c r="BU23" s="2">
        <f>BT23+預測IC!BU23</f>
        <v>-0.23770354317757914</v>
      </c>
      <c r="BV23" s="2">
        <f>BU23+預測IC!BV23</f>
        <v>-0.14009570953138545</v>
      </c>
      <c r="BW23" s="2">
        <f>BV23+預測IC!BW23</f>
        <v>-0.43062329867932614</v>
      </c>
      <c r="BX23" s="2">
        <f>BW23+預測IC!BX23</f>
        <v>-0.4673446825408919</v>
      </c>
      <c r="BY23" s="2">
        <f>BX23+預測IC!BY23</f>
        <v>-0.52187244979027825</v>
      </c>
      <c r="BZ23" s="2">
        <f>BY23+預測IC!BZ23</f>
        <v>-0.39163442465716558</v>
      </c>
      <c r="CA23" s="2">
        <f>BZ23+預測IC!CA23</f>
        <v>-0.46048817180943707</v>
      </c>
      <c r="CB23" s="2">
        <f>CA23+預測IC!CB23</f>
        <v>-0.29814854534076968</v>
      </c>
      <c r="CC23" s="2">
        <f>CB23+預測IC!CC23</f>
        <v>-0.39069474284812844</v>
      </c>
      <c r="CD23" s="2">
        <f>CC23+預測IC!CD23</f>
        <v>-0.37713828423864271</v>
      </c>
      <c r="CE23" s="2">
        <f>CD23+預測IC!CE23</f>
        <v>-0.32823381695625786</v>
      </c>
      <c r="CF23" s="2">
        <f>CE23+預測IC!CF23</f>
        <v>-0.3043817334508524</v>
      </c>
      <c r="CG23" s="2">
        <f>CF23+預測IC!CG23</f>
        <v>-0.33935621476334593</v>
      </c>
      <c r="CH23" s="2">
        <f>CG23+預測IC!CH23</f>
        <v>-0.29760449759502722</v>
      </c>
      <c r="CI23" s="2">
        <f>CH23+預測IC!CI23</f>
        <v>-0.4711839241489677</v>
      </c>
      <c r="CJ23" s="2">
        <f>CI23+預測IC!CJ23</f>
        <v>-0.43351716021771997</v>
      </c>
      <c r="CK23" s="2">
        <f>CJ23+預測IC!CK23</f>
        <v>-0.40326854719046268</v>
      </c>
      <c r="CL23" s="2">
        <f>CK23+預測IC!CL23</f>
        <v>-0.29590248379034828</v>
      </c>
      <c r="CM23" s="2">
        <f>CL23+預測IC!CM23</f>
        <v>-0.25194790278523405</v>
      </c>
      <c r="CN23" s="2">
        <f>CM23+預測IC!CN23</f>
        <v>-0.16102319063566395</v>
      </c>
      <c r="CO23" s="2">
        <f>CN23+預測IC!CO23</f>
        <v>-0.81349937957098439</v>
      </c>
      <c r="CP23" s="2">
        <f>CO23+預測IC!CP23</f>
        <v>-0.47609861931015668</v>
      </c>
      <c r="CQ23" s="2">
        <f>CP23+預測IC!CQ23</f>
        <v>-0.53123085966137795</v>
      </c>
      <c r="CR23" s="2">
        <f>CQ23+預測IC!CR23</f>
        <v>-0.6139092340249086</v>
      </c>
      <c r="CS23" s="2">
        <f>CR23+預測IC!CS23</f>
        <v>-0.67566928214718225</v>
      </c>
      <c r="CT23" s="2">
        <f>CS23+預測IC!CT23</f>
        <v>-0.74887568129124593</v>
      </c>
      <c r="CU23" s="2">
        <f>CT23+預測IC!CU23</f>
        <v>-0.78594330819804725</v>
      </c>
      <c r="CV23" s="2">
        <f>CU23+預測IC!CV23</f>
        <v>-0.72823400475849254</v>
      </c>
      <c r="CW23" s="2">
        <f>CV23+預測IC!CW23</f>
        <v>-0.66716374501358555</v>
      </c>
      <c r="CX23" s="2">
        <f>CW23+預測IC!CX23</f>
        <v>-0.59712454690473138</v>
      </c>
      <c r="CY23" s="2">
        <f>CX23+預測IC!CY23</f>
        <v>-0.66460240497833634</v>
      </c>
      <c r="CZ23" s="2">
        <f>CY23+預測IC!CZ23</f>
        <v>-0.19709734928592282</v>
      </c>
      <c r="DA23" s="2">
        <f>CZ23+預測IC!DA23</f>
        <v>-0.24296614949930781</v>
      </c>
      <c r="DB23" s="2">
        <f>DA23+預測IC!DB23</f>
        <v>-0.15019375558505271</v>
      </c>
      <c r="DC23" s="2">
        <f>DB23+預測IC!DC23</f>
        <v>-5.7694403185459972E-2</v>
      </c>
      <c r="DD23" s="2">
        <f>DC23+預測IC!DD23</f>
        <v>-0.20412707723528017</v>
      </c>
      <c r="DE23" s="2">
        <f>DD23+預測IC!DE23</f>
        <v>-0.33461686903523896</v>
      </c>
      <c r="DF23" s="2">
        <f>DE23+預測IC!DF23</f>
        <v>-0.18979432233322446</v>
      </c>
      <c r="DG23" s="2">
        <f>DF23+預測IC!DG23</f>
        <v>-0.29792066202106265</v>
      </c>
      <c r="DH23" s="2">
        <f>DG23+預測IC!DH23</f>
        <v>-0.22924468546049484</v>
      </c>
      <c r="DI23" s="2">
        <f>DH23+預測IC!DI23</f>
        <v>-0.28950930511152018</v>
      </c>
      <c r="DJ23" s="2">
        <f>DI23+預測IC!DJ23</f>
        <v>-0.18723878585536408</v>
      </c>
      <c r="DK23" s="2">
        <f>DJ23+預測IC!DK23</f>
        <v>-0.14997911891639767</v>
      </c>
      <c r="DL23" s="2">
        <f>DK23+預測IC!DL23</f>
        <v>-8.6080623889412927E-2</v>
      </c>
      <c r="DM23" s="2">
        <f>DL23+預測IC!DM23</f>
        <v>-9.763471360092231E-2</v>
      </c>
      <c r="DN23" s="2">
        <f>DM23+預測IC!DN23</f>
        <v>-0.123446300096806</v>
      </c>
      <c r="DO23" s="2">
        <f>DN23+預測IC!DO23</f>
        <v>-0.12605172791101996</v>
      </c>
      <c r="DP23" s="2">
        <f>DO23+預測IC!DP23</f>
        <v>-0.20662810795259012</v>
      </c>
      <c r="DQ23" s="2">
        <f>DP23+預測IC!DQ23</f>
        <v>-0.26824341124640322</v>
      </c>
      <c r="DR23" s="2">
        <f>DQ23+預測IC!DR23</f>
        <v>-0.33485245622585691</v>
      </c>
      <c r="DS23" s="2">
        <f>DR23+預測IC!DS23</f>
        <v>-0.36163802238522991</v>
      </c>
      <c r="DT23" s="2">
        <f>DS23+預測IC!DT23</f>
        <v>-0.42801298961722622</v>
      </c>
      <c r="DU23" s="2">
        <f>DT23+預測IC!DU23</f>
        <v>-0.49450866002353094</v>
      </c>
      <c r="DV23" s="2">
        <f>DU23+預測IC!DV23</f>
        <v>-0.37629740880502693</v>
      </c>
      <c r="DW23" s="2">
        <f>DV23+預測IC!DW23</f>
        <v>-0.40381871175249923</v>
      </c>
      <c r="DX23" s="2">
        <f>DW23+預測IC!DX23</f>
        <v>-0.51200632172246574</v>
      </c>
      <c r="DY23" s="2">
        <f>DX23+預測IC!DY23</f>
        <v>-0.43653285208340414</v>
      </c>
      <c r="DZ23" s="2">
        <f>DY23+預測IC!DZ23</f>
        <v>-0.47281456830746577</v>
      </c>
      <c r="EA23" s="2">
        <f>DZ23+預測IC!EA23</f>
        <v>-0.4586427821357501</v>
      </c>
      <c r="EB23" s="2">
        <f>EA23+預測IC!EB23</f>
        <v>-0.60291575106920769</v>
      </c>
      <c r="EC23" s="2">
        <f>EB23+預測IC!EC23</f>
        <v>-0.59873531254691348</v>
      </c>
      <c r="ED23" s="2">
        <f>EC23+預測IC!ED23</f>
        <v>-0.74400618757742731</v>
      </c>
      <c r="EE23" s="2">
        <f>ED23+預測IC!EE23</f>
        <v>-0.77887479983733832</v>
      </c>
      <c r="EF23" s="2">
        <f>EE23+預測IC!EF23</f>
        <v>-0.73260934943013112</v>
      </c>
      <c r="EG23" s="2">
        <f>EF23+預測IC!EG23</f>
        <v>-0.68284447345012889</v>
      </c>
      <c r="EH23" s="2">
        <f>EG23+預測IC!EH23</f>
        <v>-0.5940023822812508</v>
      </c>
      <c r="EI23" s="2">
        <f>EH23+預測IC!EI23</f>
        <v>-0.58640796702430076</v>
      </c>
      <c r="EJ23" s="2">
        <f>EI23+預測IC!EJ23</f>
        <v>-0.65566615872693235</v>
      </c>
      <c r="EK23" s="2">
        <f>EJ23+預測IC!EK23</f>
        <v>-0.62615760762640438</v>
      </c>
      <c r="EL23" s="2">
        <f>EK23+預測IC!EL23</f>
        <v>-1.0327267003156411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0.2341991536477403</v>
      </c>
      <c r="E24" s="2">
        <f>D24+預測IC!E24</f>
        <v>0.33352118038518963</v>
      </c>
      <c r="F24" s="2">
        <f>E24+預測IC!F24</f>
        <v>0.25418443814866865</v>
      </c>
      <c r="G24" s="2">
        <f>F24+預測IC!G24</f>
        <v>0.39230653187432674</v>
      </c>
      <c r="H24" s="2">
        <f>G24+預測IC!H24</f>
        <v>0.34219106408084399</v>
      </c>
      <c r="I24" s="2">
        <f>H24+預測IC!I24</f>
        <v>0.43777217317428208</v>
      </c>
      <c r="J24" s="2">
        <f>I24+預測IC!J24</f>
        <v>0.34640890868219504</v>
      </c>
      <c r="K24" s="2">
        <f>J24+預測IC!K24</f>
        <v>0.35268202636254625</v>
      </c>
      <c r="L24" s="2">
        <f>K24+預測IC!L24</f>
        <v>0.16624395405675205</v>
      </c>
      <c r="M24" s="2">
        <f>L24+預測IC!M24</f>
        <v>-0.17086594165620214</v>
      </c>
      <c r="N24" s="2">
        <f>M24+預測IC!N24</f>
        <v>-5.5622125371076844E-2</v>
      </c>
      <c r="O24" s="2">
        <f>N24+預測IC!O24</f>
        <v>-1.9720833864532467E-2</v>
      </c>
      <c r="P24" s="2">
        <f>O24+預測IC!P24</f>
        <v>2.7305735601414971E-2</v>
      </c>
      <c r="Q24" s="2">
        <f>P24+預測IC!Q24</f>
        <v>0.15171096709942106</v>
      </c>
      <c r="R24" s="2">
        <f>Q24+預測IC!R24</f>
        <v>0.82089426776129693</v>
      </c>
      <c r="S24" s="2">
        <f>R24+預測IC!S24</f>
        <v>0.76797022842592277</v>
      </c>
      <c r="T24" s="2">
        <f>S24+預測IC!T24</f>
        <v>0.97478801298542206</v>
      </c>
      <c r="U24" s="2">
        <f>T24+預測IC!U24</f>
        <v>0.72703865086901209</v>
      </c>
      <c r="V24" s="2">
        <f>U24+預測IC!V24</f>
        <v>0.94108386559993673</v>
      </c>
      <c r="W24" s="2">
        <f>V24+預測IC!W24</f>
        <v>0.74109509194645706</v>
      </c>
      <c r="X24" s="2">
        <f>W24+預測IC!X24</f>
        <v>0.85370858590929866</v>
      </c>
      <c r="Y24" s="2">
        <f>X24+預測IC!Y24</f>
        <v>0.80081631895974847</v>
      </c>
      <c r="Z24" s="2">
        <f>Y24+預測IC!Z24</f>
        <v>0.80439722163713534</v>
      </c>
      <c r="AA24" s="2">
        <f>Z24+預測IC!AA24</f>
        <v>0.88457937015312027</v>
      </c>
      <c r="AB24" s="2">
        <f>AA24+預測IC!AB24</f>
        <v>1.0073291848710886</v>
      </c>
      <c r="AC24" s="2">
        <f>AB24+預測IC!AC24</f>
        <v>0.88700367702575711</v>
      </c>
      <c r="AD24" s="2">
        <f>AC24+預測IC!AD24</f>
        <v>0.90477584677155476</v>
      </c>
      <c r="AE24" s="2">
        <f>AD24+預測IC!AE24</f>
        <v>0.9099831798768574</v>
      </c>
      <c r="AF24" s="2">
        <f>AE24+預測IC!AF24</f>
        <v>0.88680187224206752</v>
      </c>
      <c r="AG24" s="2">
        <f>AF24+預測IC!AG24</f>
        <v>0.7789428346716718</v>
      </c>
      <c r="AH24" s="2">
        <f>AG24+預測IC!AH24</f>
        <v>0.69605517486590418</v>
      </c>
      <c r="AI24" s="2">
        <f>AH24+預測IC!AI24</f>
        <v>0.684933178682535</v>
      </c>
      <c r="AJ24" s="2">
        <f>AI24+預測IC!AJ24</f>
        <v>0.73071617218279539</v>
      </c>
      <c r="AK24" s="2">
        <f>AJ24+預測IC!AK24</f>
        <v>0.70506534755439032</v>
      </c>
      <c r="AL24" s="2">
        <f>AK24+預測IC!AL24</f>
        <v>0.80824377327627184</v>
      </c>
      <c r="AM24" s="2">
        <f>AL24+預測IC!AM24</f>
        <v>0.80349041220667605</v>
      </c>
      <c r="AN24" s="2">
        <f>AM24+預測IC!AN24</f>
        <v>0.93854646354442206</v>
      </c>
      <c r="AO24" s="2">
        <f>AN24+預測IC!AO24</f>
        <v>0.89409470097358823</v>
      </c>
      <c r="AP24" s="2">
        <f>AO24+預測IC!AP24</f>
        <v>0.81624052916825984</v>
      </c>
      <c r="AQ24" s="2">
        <f>AP24+預測IC!AQ24</f>
        <v>0.78664213434353769</v>
      </c>
      <c r="AR24" s="2">
        <f>AQ24+預測IC!AR24</f>
        <v>0.8034498804297574</v>
      </c>
      <c r="AS24" s="2">
        <f>AR24+預測IC!AS24</f>
        <v>0.78440326017566508</v>
      </c>
      <c r="AT24" s="2">
        <f>AS24+預測IC!AT24</f>
        <v>0.75638654004372241</v>
      </c>
      <c r="AU24" s="2">
        <f>AT24+預測IC!AU24</f>
        <v>0.75638654004372241</v>
      </c>
      <c r="AV24" s="2">
        <f>AU24+預測IC!AV24</f>
        <v>0.5850080122074226</v>
      </c>
      <c r="AW24" s="2">
        <f>AV24+預測IC!AW24</f>
        <v>0.66252199778672438</v>
      </c>
      <c r="AX24" s="2">
        <f>AW24+預測IC!AX24</f>
        <v>0.63463815962657977</v>
      </c>
      <c r="AY24" s="2">
        <f>AX24+預測IC!AY24</f>
        <v>0.59271354232784079</v>
      </c>
      <c r="AZ24" s="2">
        <f>AY24+預測IC!AZ24</f>
        <v>0.59008655795022136</v>
      </c>
      <c r="BA24" s="2">
        <f>AZ24+預測IC!BA24</f>
        <v>0.56915575373781335</v>
      </c>
      <c r="BB24" s="2">
        <f>BA24+預測IC!BB24</f>
        <v>0.64306910221306701</v>
      </c>
      <c r="BC24" s="2">
        <f>BB24+預測IC!BC24</f>
        <v>0.73874406527255743</v>
      </c>
      <c r="BD24" s="2">
        <f>BC24+預測IC!BD24</f>
        <v>0.74688528091958239</v>
      </c>
      <c r="BE24" s="2">
        <f>BD24+預測IC!BE24</f>
        <v>0.52407274763432743</v>
      </c>
      <c r="BF24" s="2">
        <f>BE24+預測IC!BF24</f>
        <v>0.3936299437349009</v>
      </c>
      <c r="BG24" s="2">
        <f>BF24+預測IC!BG24</f>
        <v>0.34913822032568331</v>
      </c>
      <c r="BH24" s="2">
        <f>BG24+預測IC!BH24</f>
        <v>0.12910614447367572</v>
      </c>
      <c r="BI24" s="2">
        <f>BH24+預測IC!BI24</f>
        <v>0.30502193998757871</v>
      </c>
      <c r="BJ24" s="2">
        <f>BI24+預測IC!BJ24</f>
        <v>0.25526043042851487</v>
      </c>
      <c r="BK24" s="2">
        <f>BJ24+預測IC!BK24</f>
        <v>0.27336238867139906</v>
      </c>
      <c r="BL24" s="2">
        <f>BK24+預測IC!BL24</f>
        <v>0.38217270393416003</v>
      </c>
      <c r="BM24" s="2">
        <f>BL24+預測IC!BM24</f>
        <v>0.31238792143549632</v>
      </c>
      <c r="BN24" s="2">
        <f>BM24+預測IC!BN24</f>
        <v>0.25885680697053376</v>
      </c>
      <c r="BO24" s="2">
        <f>BN24+預測IC!BO24</f>
        <v>0.24638874453366169</v>
      </c>
      <c r="BP24" s="2">
        <f>BO24+預測IC!BP24</f>
        <v>0.24491063726731957</v>
      </c>
      <c r="BQ24" s="2">
        <f>BP24+預測IC!BQ24</f>
        <v>0.14810344370863285</v>
      </c>
      <c r="BR24" s="2">
        <f>BQ24+預測IC!BR24</f>
        <v>0.12336383753287691</v>
      </c>
      <c r="BS24" s="2">
        <f>BR24+預測IC!BS24</f>
        <v>8.0377874781040137E-2</v>
      </c>
      <c r="BT24" s="2">
        <f>BS24+預測IC!BT24</f>
        <v>8.7327777132019391E-3</v>
      </c>
      <c r="BU24" s="2">
        <f>BT24+預測IC!BU24</f>
        <v>0.10450503640921516</v>
      </c>
      <c r="BV24" s="2">
        <f>BU24+預測IC!BV24</f>
        <v>7.0707656825924503E-2</v>
      </c>
      <c r="BW24" s="2">
        <f>BV24+預測IC!BW24</f>
        <v>-0.16787873855416779</v>
      </c>
      <c r="BX24" s="2">
        <f>BW24+預測IC!BX24</f>
        <v>-0.21833906625826016</v>
      </c>
      <c r="BY24" s="2">
        <f>BX24+預測IC!BY24</f>
        <v>-0.23905001516271773</v>
      </c>
      <c r="BZ24" s="2">
        <f>BY24+預測IC!BZ24</f>
        <v>-9.2549438920177141E-2</v>
      </c>
      <c r="CA24" s="2">
        <f>BZ24+預測IC!CA24</f>
        <v>-0.20082243264966865</v>
      </c>
      <c r="CB24" s="2">
        <f>CA24+預測IC!CB24</f>
        <v>-3.6904035831470755E-2</v>
      </c>
      <c r="CC24" s="2">
        <f>CB24+預測IC!CC24</f>
        <v>-0.31864798532045657</v>
      </c>
      <c r="CD24" s="2">
        <f>CC24+預測IC!CD24</f>
        <v>-0.43416410234439951</v>
      </c>
      <c r="CE24" s="2">
        <f>CD24+預測IC!CE24</f>
        <v>-0.38216470381092416</v>
      </c>
      <c r="CF24" s="2">
        <f>CE24+預測IC!CF24</f>
        <v>-0.3828421029009107</v>
      </c>
      <c r="CG24" s="2">
        <f>CF24+預測IC!CG24</f>
        <v>-0.4395985125779821</v>
      </c>
      <c r="CH24" s="2">
        <f>CG24+預測IC!CH24</f>
        <v>-0.54050135969620894</v>
      </c>
      <c r="CI24" s="2">
        <f>CH24+預測IC!CI24</f>
        <v>-0.7359324019095832</v>
      </c>
      <c r="CJ24" s="2">
        <f>CI24+預測IC!CJ24</f>
        <v>-0.67450433921935604</v>
      </c>
      <c r="CK24" s="2">
        <f>CJ24+預測IC!CK24</f>
        <v>-0.59249938929266655</v>
      </c>
      <c r="CL24" s="2">
        <f>CK24+預測IC!CL24</f>
        <v>-0.59289801945975273</v>
      </c>
      <c r="CM24" s="2">
        <f>CL24+預測IC!CM24</f>
        <v>-0.67974417386016317</v>
      </c>
      <c r="CN24" s="2">
        <f>CM24+預測IC!CN24</f>
        <v>-0.60061590754086069</v>
      </c>
      <c r="CO24" s="2">
        <f>CN24+預測IC!CO24</f>
        <v>-0.89176934474810077</v>
      </c>
      <c r="CP24" s="2">
        <f>CO24+預測IC!CP24</f>
        <v>-0.62631040908103008</v>
      </c>
      <c r="CQ24" s="2">
        <f>CP24+預測IC!CQ24</f>
        <v>-0.71448395671598319</v>
      </c>
      <c r="CR24" s="2">
        <f>CQ24+預測IC!CR24</f>
        <v>-0.79973127831250956</v>
      </c>
      <c r="CS24" s="2">
        <f>CR24+預測IC!CS24</f>
        <v>-0.80733368388084714</v>
      </c>
      <c r="CT24" s="2">
        <f>CS24+預測IC!CT24</f>
        <v>-0.82673909357529962</v>
      </c>
      <c r="CU24" s="2">
        <f>CT24+預測IC!CU24</f>
        <v>-0.9059854259420923</v>
      </c>
      <c r="CV24" s="2">
        <f>CU24+預測IC!CV24</f>
        <v>-0.83586647790062063</v>
      </c>
      <c r="CW24" s="2">
        <f>CV24+預測IC!CW24</f>
        <v>-0.81832702345534114</v>
      </c>
      <c r="CX24" s="2">
        <f>CW24+預測IC!CX24</f>
        <v>-0.74705829304751448</v>
      </c>
      <c r="CY24" s="2">
        <f>CX24+預測IC!CY24</f>
        <v>-0.74849872390951111</v>
      </c>
      <c r="CZ24" s="2">
        <f>CY24+預測IC!CZ24</f>
        <v>-0.52378358654183044</v>
      </c>
      <c r="DA24" s="2">
        <f>CZ24+預測IC!DA24</f>
        <v>-0.58109549939201177</v>
      </c>
      <c r="DB24" s="2">
        <f>DA24+預測IC!DB24</f>
        <v>-0.47227999352688838</v>
      </c>
      <c r="DC24" s="2">
        <f>DB24+預測IC!DC24</f>
        <v>-0.47637381632256337</v>
      </c>
      <c r="DD24" s="2">
        <f>DC24+預測IC!DD24</f>
        <v>-0.54901691306592515</v>
      </c>
      <c r="DE24" s="2">
        <f>DD24+預測IC!DE24</f>
        <v>-0.59701374121596129</v>
      </c>
      <c r="DF24" s="2">
        <f>DE24+預測IC!DF24</f>
        <v>-0.4931714619354795</v>
      </c>
      <c r="DG24" s="2">
        <f>DF24+預測IC!DG24</f>
        <v>-0.70777827197893095</v>
      </c>
      <c r="DH24" s="2">
        <f>DG24+預測IC!DH24</f>
        <v>-0.59117009449567171</v>
      </c>
      <c r="DI24" s="2">
        <f>DH24+預測IC!DI24</f>
        <v>-0.72593305129297181</v>
      </c>
      <c r="DJ24" s="2">
        <f>DI24+預測IC!DJ24</f>
        <v>-0.69333585109341078</v>
      </c>
      <c r="DK24" s="2">
        <f>DJ24+預測IC!DK24</f>
        <v>-0.5288772636239405</v>
      </c>
      <c r="DL24" s="2">
        <f>DK24+預測IC!DL24</f>
        <v>-0.58284909872323087</v>
      </c>
      <c r="DM24" s="2">
        <f>DL24+預測IC!DM24</f>
        <v>-0.5579649136251108</v>
      </c>
      <c r="DN24" s="2">
        <f>DM24+預測IC!DN24</f>
        <v>-0.54127146355192401</v>
      </c>
      <c r="DO24" s="2">
        <f>DN24+預測IC!DO24</f>
        <v>-0.49517872971882254</v>
      </c>
      <c r="DP24" s="2">
        <f>DO24+預測IC!DP24</f>
        <v>-0.50416145390069267</v>
      </c>
      <c r="DQ24" s="2">
        <f>DP24+預測IC!DQ24</f>
        <v>-0.54835479140777776</v>
      </c>
      <c r="DR24" s="2">
        <f>DQ24+預測IC!DR24</f>
        <v>-0.56923440939178616</v>
      </c>
      <c r="DS24" s="2">
        <f>DR24+預測IC!DS24</f>
        <v>-0.65274100290093162</v>
      </c>
      <c r="DT24" s="2">
        <f>DS24+預測IC!DT24</f>
        <v>-0.75172336129370365</v>
      </c>
      <c r="DU24" s="2">
        <f>DT24+預測IC!DU24</f>
        <v>-0.87546705318465312</v>
      </c>
      <c r="DV24" s="2">
        <f>DU24+預測IC!DV24</f>
        <v>-0.84208671388038825</v>
      </c>
      <c r="DW24" s="2">
        <f>DV24+預測IC!DW24</f>
        <v>-0.93367782520802711</v>
      </c>
      <c r="DX24" s="2">
        <f>DW24+預測IC!DX24</f>
        <v>-1.0665339886105893</v>
      </c>
      <c r="DY24" s="2">
        <f>DX24+預測IC!DY24</f>
        <v>-1.0649594437440326</v>
      </c>
      <c r="DZ24" s="2">
        <f>DY24+預測IC!DZ24</f>
        <v>-1.0991951706665699</v>
      </c>
      <c r="EA24" s="2">
        <f>DZ24+預測IC!EA24</f>
        <v>-1.1297199665466346</v>
      </c>
      <c r="EB24" s="2">
        <f>EA24+預測IC!EB24</f>
        <v>-1.2352925887770247</v>
      </c>
      <c r="EC24" s="2">
        <f>EB24+預測IC!EC24</f>
        <v>-1.1992226349198229</v>
      </c>
      <c r="ED24" s="2">
        <f>EC24+預測IC!ED24</f>
        <v>-1.2705637763859488</v>
      </c>
      <c r="EE24" s="2">
        <f>ED24+預測IC!EE24</f>
        <v>-1.3837760368394159</v>
      </c>
      <c r="EF24" s="2">
        <f>EE24+預測IC!EF24</f>
        <v>-1.2453846614510478</v>
      </c>
      <c r="EG24" s="2">
        <f>EF24+預測IC!EG24</f>
        <v>-1.1404266412705812</v>
      </c>
      <c r="EH24" s="2">
        <f>EG24+預測IC!EH24</f>
        <v>-1.1188083345038773</v>
      </c>
      <c r="EI24" s="2">
        <f>EH24+預測IC!EI24</f>
        <v>-1.2276721526599559</v>
      </c>
      <c r="EJ24" s="2">
        <f>EI24+預測IC!EJ24</f>
        <v>-1.3284866688812076</v>
      </c>
      <c r="EK24" s="2">
        <f>EJ24+預測IC!EK24</f>
        <v>-1.308994588425678</v>
      </c>
      <c r="EL24" s="2">
        <f>EK24+預測IC!EL24</f>
        <v>-1.1455290983699555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F7" sqref="F7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7" width="16.19921875" style="12" customWidth="1"/>
    <col min="8" max="16384" width="16.19921875" style="12"/>
  </cols>
  <sheetData>
    <row r="1" spans="1:142" x14ac:dyDescent="0.55000000000000004">
      <c r="A1" s="11" t="s">
        <v>243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5">
        <v>3.4946434776605882E-2</v>
      </c>
      <c r="D3" s="15">
        <v>4.9621152558988732E-2</v>
      </c>
      <c r="E3" s="15">
        <v>3.5213354523381528E-2</v>
      </c>
      <c r="F3" s="15">
        <v>3.528654428743689E-2</v>
      </c>
      <c r="G3" s="15">
        <v>2.6716500308212938E-2</v>
      </c>
      <c r="H3" s="15">
        <v>2.0847254063407979E-2</v>
      </c>
      <c r="I3" s="15">
        <v>2.868829063081851E-2</v>
      </c>
      <c r="J3" s="15">
        <v>3.022480975870807E-2</v>
      </c>
      <c r="K3" s="15">
        <v>3.5784184494395042E-2</v>
      </c>
      <c r="L3" s="15">
        <v>2.8873175879389701E-2</v>
      </c>
      <c r="M3" s="15">
        <v>3.676593961113666E-2</v>
      </c>
      <c r="N3" s="15">
        <v>2.597668483152624E-2</v>
      </c>
      <c r="O3" s="15">
        <v>3.9591469971915073E-2</v>
      </c>
      <c r="P3" s="15">
        <v>4.2728306638823203E-2</v>
      </c>
      <c r="Q3" s="15">
        <v>3.2209373169499553E-2</v>
      </c>
      <c r="R3" s="15">
        <v>2.990118621840895E-2</v>
      </c>
      <c r="S3" s="15">
        <v>3.2084464027181132E-2</v>
      </c>
      <c r="T3" s="15">
        <v>3.0145955261974309E-2</v>
      </c>
      <c r="U3" s="15">
        <v>3.1800877141706048E-2</v>
      </c>
      <c r="V3" s="15">
        <v>2.8571187496222571E-2</v>
      </c>
      <c r="W3" s="15">
        <v>2.4833809428850561E-2</v>
      </c>
      <c r="X3" s="15">
        <v>4.422438631770411E-2</v>
      </c>
      <c r="Y3" s="15">
        <v>3.058229410448237E-2</v>
      </c>
      <c r="Z3" s="15">
        <v>3.3248159660972533E-2</v>
      </c>
      <c r="AA3" s="15">
        <v>2.947324788874087E-2</v>
      </c>
      <c r="AB3" s="15">
        <v>3.5559252182618593E-2</v>
      </c>
      <c r="AC3" s="15">
        <v>3.3742425377551163E-2</v>
      </c>
      <c r="AD3" s="15">
        <v>2.9434183518290032E-2</v>
      </c>
      <c r="AE3" s="15">
        <v>3.8312600203871998E-2</v>
      </c>
      <c r="AF3" s="15">
        <v>3.5319598277822807E-2</v>
      </c>
      <c r="AG3" s="15">
        <v>2.7095981515837211E-2</v>
      </c>
      <c r="AH3" s="15">
        <v>2.4588044029715119E-2</v>
      </c>
      <c r="AI3" s="15">
        <v>3.7997597137220201E-2</v>
      </c>
      <c r="AJ3" s="15">
        <v>3.3911508457047913E-2</v>
      </c>
      <c r="AK3" s="15">
        <v>4.3063908641014483E-2</v>
      </c>
      <c r="AL3" s="15">
        <v>3.5336105491399851E-2</v>
      </c>
      <c r="AM3" s="15">
        <v>4.095453549730925E-2</v>
      </c>
      <c r="AN3" s="15">
        <v>3.9629739230367438E-2</v>
      </c>
      <c r="AO3" s="15">
        <v>5.8136437096450902E-2</v>
      </c>
      <c r="AP3" s="15">
        <v>5.3476675537943032E-2</v>
      </c>
      <c r="AQ3" s="15">
        <v>5.6036139285653083E-2</v>
      </c>
      <c r="AR3" s="15">
        <v>4.6184000737761667E-2</v>
      </c>
      <c r="AS3" s="15">
        <v>3.5389481532984962E-2</v>
      </c>
      <c r="AT3" s="15">
        <v>3.3505358739742738E-2</v>
      </c>
      <c r="AU3" s="15">
        <v>2.858092995705622E-2</v>
      </c>
      <c r="AV3" s="15">
        <v>4.5607815952215837E-2</v>
      </c>
      <c r="AW3" s="15">
        <v>4.0858801947929083E-2</v>
      </c>
      <c r="AX3" s="15">
        <v>3.912196816540315E-2</v>
      </c>
      <c r="AY3" s="15">
        <v>2.8330448117809479E-2</v>
      </c>
      <c r="AZ3" s="15">
        <v>3.4740726744102057E-2</v>
      </c>
      <c r="BA3" s="15">
        <v>4.1380134912733423E-2</v>
      </c>
      <c r="BB3" s="15">
        <v>3.8446530073234023E-2</v>
      </c>
      <c r="BC3" s="15">
        <v>3.9139660680907393E-2</v>
      </c>
      <c r="BD3" s="15">
        <v>3.4412713960316949E-2</v>
      </c>
      <c r="BE3" s="15">
        <v>3.1627384875007797E-2</v>
      </c>
      <c r="BF3" s="15">
        <v>3.2881306555447937E-2</v>
      </c>
      <c r="BG3" s="15">
        <v>2.7856516368044079E-2</v>
      </c>
      <c r="BH3" s="15">
        <v>3.9039450639835438E-2</v>
      </c>
      <c r="BI3" s="15">
        <v>3.868573434139564E-2</v>
      </c>
      <c r="BJ3" s="15">
        <v>4.2598863286148932E-2</v>
      </c>
      <c r="BK3" s="15">
        <v>4.3638506422424159E-2</v>
      </c>
      <c r="BL3" s="15">
        <v>4.1807312058529042E-2</v>
      </c>
      <c r="BM3" s="15">
        <v>3.5722916378634957E-2</v>
      </c>
      <c r="BN3" s="15">
        <v>3.5190578568229797E-2</v>
      </c>
      <c r="BO3" s="15">
        <v>3.5416976035990012E-2</v>
      </c>
      <c r="BP3" s="15">
        <v>3.713200657521562E-2</v>
      </c>
      <c r="BQ3" s="15">
        <v>3.7614323710702537E-2</v>
      </c>
      <c r="BR3" s="15">
        <v>3.7508213116778308E-2</v>
      </c>
      <c r="BS3" s="15">
        <v>3.7699116157691358E-2</v>
      </c>
      <c r="BT3" s="15">
        <v>3.6770936163800741E-2</v>
      </c>
      <c r="BU3" s="15">
        <v>3.6910402351608369E-2</v>
      </c>
      <c r="BV3" s="15">
        <v>3.6401345985563889E-2</v>
      </c>
      <c r="BW3" s="15">
        <v>3.5968201888952243E-2</v>
      </c>
      <c r="BX3" s="15">
        <v>4.360917134424671E-2</v>
      </c>
      <c r="BY3" s="15">
        <v>3.7211686504550583E-2</v>
      </c>
      <c r="BZ3" s="15">
        <v>3.6826352112766268E-2</v>
      </c>
      <c r="CA3" s="15">
        <v>3.4591508592700923E-2</v>
      </c>
      <c r="CB3" s="15">
        <v>3.4339760626077138E-2</v>
      </c>
      <c r="CC3" s="15">
        <v>2.0533243096777822E-2</v>
      </c>
      <c r="CD3" s="15">
        <v>2.2943200679351659E-2</v>
      </c>
      <c r="CE3" s="15">
        <v>3.2308526928274857E-2</v>
      </c>
      <c r="CF3" s="15">
        <v>4.7329405862239361E-2</v>
      </c>
      <c r="CG3" s="15">
        <v>3.7836284478803363E-2</v>
      </c>
      <c r="CH3" s="15">
        <v>3.8694495063321753E-2</v>
      </c>
      <c r="CI3" s="15">
        <v>3.3617094541697881E-2</v>
      </c>
      <c r="CJ3" s="15">
        <v>4.2975321891997098E-2</v>
      </c>
      <c r="CK3" s="15">
        <v>4.0264755165575199E-2</v>
      </c>
      <c r="CL3" s="15">
        <v>4.4693934288686933E-2</v>
      </c>
      <c r="CM3" s="15">
        <v>4.4606561803651169E-2</v>
      </c>
      <c r="CN3" s="15">
        <v>6.8577606946104749E-2</v>
      </c>
      <c r="CO3" s="15">
        <v>4.9189277148068387E-2</v>
      </c>
      <c r="CP3" s="15">
        <v>6.5607649619662367E-2</v>
      </c>
      <c r="CQ3" s="15">
        <v>4.3819863603946338E-2</v>
      </c>
      <c r="CR3" s="15">
        <v>5.6851400922781473E-2</v>
      </c>
      <c r="CS3" s="15">
        <v>6.2364412289304838E-2</v>
      </c>
      <c r="CT3" s="15">
        <v>4.9348826700518093E-2</v>
      </c>
      <c r="CU3" s="15">
        <v>5.0002233445896063E-2</v>
      </c>
      <c r="CV3" s="15">
        <v>5.3783352114565232E-2</v>
      </c>
      <c r="CW3" s="15">
        <v>4.673096388557773E-2</v>
      </c>
      <c r="CX3" s="15">
        <v>4.52857567116665E-2</v>
      </c>
      <c r="CY3" s="15">
        <v>3.9604666977184122E-2</v>
      </c>
      <c r="CZ3" s="15">
        <v>4.4391419906749573E-2</v>
      </c>
      <c r="DA3" s="15">
        <v>3.9334184018522997E-2</v>
      </c>
      <c r="DB3" s="15">
        <v>3.9618679725897638E-2</v>
      </c>
      <c r="DC3" s="15">
        <v>4.3580066674140057E-2</v>
      </c>
      <c r="DD3" s="15">
        <v>4.1743760534084302E-2</v>
      </c>
      <c r="DE3" s="15">
        <v>3.7124504209684453E-2</v>
      </c>
      <c r="DF3" s="15">
        <v>3.7667258315214808E-2</v>
      </c>
      <c r="DG3" s="15">
        <v>4.0633271347886857E-2</v>
      </c>
      <c r="DH3" s="15">
        <v>3.8849205925320061E-2</v>
      </c>
      <c r="DI3" s="15">
        <v>3.7289411512649348E-2</v>
      </c>
      <c r="DJ3" s="15">
        <v>3.7848875034311981E-2</v>
      </c>
      <c r="DK3" s="15">
        <v>3.462124141038013E-2</v>
      </c>
      <c r="DL3" s="15">
        <v>3.5944383409832997E-2</v>
      </c>
      <c r="DM3" s="15">
        <v>3.4440509329873713E-2</v>
      </c>
      <c r="DN3" s="15">
        <v>5.080663627630181E-2</v>
      </c>
      <c r="DO3" s="15">
        <v>4.4401319518395037E-2</v>
      </c>
      <c r="DP3" s="15">
        <v>4.0598389653240877E-2</v>
      </c>
      <c r="DQ3" s="15">
        <v>4.0608081786117911E-2</v>
      </c>
      <c r="DR3" s="15">
        <v>4.1794941830527198E-2</v>
      </c>
      <c r="DS3" s="15">
        <v>4.9788977885194548E-2</v>
      </c>
      <c r="DT3" s="15">
        <v>4.4966810815319433E-2</v>
      </c>
      <c r="DU3" s="15">
        <v>3.9216383622322187E-2</v>
      </c>
      <c r="DV3" s="15">
        <v>3.9953462868225757E-2</v>
      </c>
      <c r="DW3" s="15">
        <v>4.7966753162565323E-2</v>
      </c>
      <c r="DX3" s="15">
        <v>4.7135568202097168E-2</v>
      </c>
      <c r="DY3" s="15">
        <v>5.0681252776800433E-2</v>
      </c>
      <c r="DZ3" s="15">
        <v>4.4969453786410638E-2</v>
      </c>
      <c r="EA3" s="15">
        <v>4.4790390035127817E-2</v>
      </c>
      <c r="EB3" s="15">
        <v>4.605973794008926E-2</v>
      </c>
      <c r="EC3" s="15">
        <v>6.9799748019209198E-2</v>
      </c>
      <c r="ED3" s="15">
        <v>4.8948038728249647E-2</v>
      </c>
      <c r="EE3" s="15">
        <v>4.4489528267164347E-2</v>
      </c>
      <c r="EF3" s="15">
        <v>3.4297029215600711E-2</v>
      </c>
      <c r="EG3" s="15">
        <v>3.9822103911537593E-2</v>
      </c>
      <c r="EH3" s="15">
        <v>3.0749140984917121E-2</v>
      </c>
      <c r="EI3" s="15">
        <v>2.9755278459214E-2</v>
      </c>
      <c r="EJ3" s="15">
        <v>3.4738700682679341E-2</v>
      </c>
      <c r="EK3" s="15">
        <v>2.7110665601743609E-2</v>
      </c>
      <c r="EL3" s="15">
        <v>2.7595207896287419E-2</v>
      </c>
    </row>
    <row r="4" spans="1:142" x14ac:dyDescent="0.55000000000000004">
      <c r="B4" s="11" t="s">
        <v>144</v>
      </c>
      <c r="C4" s="15">
        <v>-3.3355064222238093E-2</v>
      </c>
      <c r="D4" s="15">
        <v>-3.6488953372440118E-2</v>
      </c>
      <c r="E4" s="15">
        <v>-6.2951631416598125E-2</v>
      </c>
      <c r="F4" s="15">
        <v>-0.10275806713399049</v>
      </c>
      <c r="G4" s="15">
        <v>-7.9484529512434218E-2</v>
      </c>
      <c r="H4" s="15">
        <v>-7.4637566723446097E-2</v>
      </c>
      <c r="I4" s="15">
        <v>-6.0303175593075208E-2</v>
      </c>
      <c r="J4" s="15">
        <v>-6.1221976553650498E-2</v>
      </c>
      <c r="K4" s="15">
        <v>-6.3454479623673996E-2</v>
      </c>
      <c r="L4" s="15">
        <v>-4.9031802460202369E-2</v>
      </c>
      <c r="M4" s="15">
        <v>-5.5965545208011017E-2</v>
      </c>
      <c r="N4" s="15">
        <v>-3.7127413566765903E-2</v>
      </c>
      <c r="O4" s="15">
        <v>-4.4851103408314323E-2</v>
      </c>
      <c r="P4" s="15">
        <v>-6.06099750017862E-2</v>
      </c>
      <c r="Q4" s="15">
        <v>-6.142030670402978E-2</v>
      </c>
      <c r="R4" s="15">
        <v>-4.2457092293346488E-2</v>
      </c>
      <c r="S4" s="15">
        <v>-4.0181376857841532E-2</v>
      </c>
      <c r="T4" s="15">
        <v>-4.3184261416348402E-2</v>
      </c>
      <c r="U4" s="15">
        <v>-2.5671025875257259E-2</v>
      </c>
      <c r="V4" s="15">
        <v>-2.056117449423971E-2</v>
      </c>
      <c r="W4" s="15">
        <v>-1.7030228493617319E-2</v>
      </c>
      <c r="X4" s="15">
        <v>-1.9491489513123999E-2</v>
      </c>
      <c r="Y4" s="15">
        <v>-4.4162740951198293E-2</v>
      </c>
      <c r="Z4" s="15">
        <v>-4.3992704142522127E-2</v>
      </c>
      <c r="AA4" s="15">
        <v>-3.3240344419281441E-2</v>
      </c>
      <c r="AB4" s="15">
        <v>-2.8357855227329171E-2</v>
      </c>
      <c r="AC4" s="15">
        <v>-1.7753826277809508E-2</v>
      </c>
      <c r="AD4" s="15">
        <v>-1.9392872894991808E-2</v>
      </c>
      <c r="AE4" s="15">
        <v>-3.1862058027578813E-2</v>
      </c>
      <c r="AF4" s="15">
        <v>-3.3734295719027647E-2</v>
      </c>
      <c r="AG4" s="15">
        <v>-5.2378694538196572E-3</v>
      </c>
      <c r="AH4" s="15">
        <v>-1.8241859678385711E-2</v>
      </c>
      <c r="AI4" s="15">
        <v>-2.828195859844675E-2</v>
      </c>
      <c r="AJ4" s="15">
        <v>-2.6355034026264958E-2</v>
      </c>
      <c r="AK4" s="15">
        <v>-2.9560930131039269E-2</v>
      </c>
      <c r="AL4" s="15">
        <v>-3.0371173622282331E-2</v>
      </c>
      <c r="AM4" s="15">
        <v>-2.2596310124050351E-2</v>
      </c>
      <c r="AN4" s="15">
        <v>-3.0254612721411198E-2</v>
      </c>
      <c r="AO4" s="15">
        <v>-2.871524100076818E-2</v>
      </c>
      <c r="AP4" s="15">
        <v>-3.4923895599449153E-2</v>
      </c>
      <c r="AQ4" s="15">
        <v>-3.0630802592385771E-2</v>
      </c>
      <c r="AR4" s="15">
        <v>-2.9429888192270871E-2</v>
      </c>
      <c r="AS4" s="15">
        <v>-2.674265330078859E-2</v>
      </c>
      <c r="AT4" s="15">
        <v>-1.6825419341331849E-2</v>
      </c>
      <c r="AU4" s="15">
        <v>-2.028990455098131E-2</v>
      </c>
      <c r="AV4" s="15">
        <v>-1.5552740324632551E-2</v>
      </c>
      <c r="AW4" s="15">
        <v>-4.2145772018226967E-2</v>
      </c>
      <c r="AX4" s="15">
        <v>-3.2834496930954221E-2</v>
      </c>
      <c r="AY4" s="15">
        <v>-3.0620786675402481E-2</v>
      </c>
      <c r="AZ4" s="15">
        <v>-3.2526573120253401E-2</v>
      </c>
      <c r="BA4" s="15">
        <v>-3.9596641638497188E-2</v>
      </c>
      <c r="BB4" s="15">
        <v>-4.0551604006990392E-2</v>
      </c>
      <c r="BC4" s="15">
        <v>-4.2756597752440471E-2</v>
      </c>
      <c r="BD4" s="15">
        <v>-3.5755727515210577E-2</v>
      </c>
      <c r="BE4" s="15">
        <v>-2.4508874482950669E-2</v>
      </c>
      <c r="BF4" s="15">
        <v>-3.4563199381908237E-2</v>
      </c>
      <c r="BG4" s="15">
        <v>-2.5490924642281039E-2</v>
      </c>
      <c r="BH4" s="15">
        <v>-1.6368300858497931E-2</v>
      </c>
      <c r="BI4" s="15">
        <v>-1.912200225379531E-2</v>
      </c>
      <c r="BJ4" s="15">
        <v>-2.5427524184918511E-2</v>
      </c>
      <c r="BK4" s="15">
        <v>-2.17006435544887E-2</v>
      </c>
      <c r="BL4" s="15">
        <v>-2.4482338097977681E-2</v>
      </c>
      <c r="BM4" s="15">
        <v>-1.190520358379419E-2</v>
      </c>
      <c r="BN4" s="15">
        <v>-1.4200643435024611E-2</v>
      </c>
      <c r="BO4" s="15">
        <v>-1.5729074905210499E-2</v>
      </c>
      <c r="BP4" s="15">
        <v>-6.6634100191326363E-3</v>
      </c>
      <c r="BQ4" s="15">
        <v>-1.4844203425268321E-2</v>
      </c>
      <c r="BR4" s="15">
        <v>-8.2762403872860633E-3</v>
      </c>
      <c r="BS4" s="15">
        <v>-7.2950252230793069E-3</v>
      </c>
      <c r="BT4" s="15">
        <v>-1.5208431311033581E-2</v>
      </c>
      <c r="BU4" s="15">
        <v>-2.3110477045322781E-2</v>
      </c>
      <c r="BV4" s="15">
        <v>-1.216829070540934E-2</v>
      </c>
      <c r="BW4" s="15">
        <v>1.9813464894211609E-3</v>
      </c>
      <c r="BX4" s="15">
        <v>-1.249368848288873E-2</v>
      </c>
      <c r="BY4" s="15">
        <v>-1.6627473803652881E-2</v>
      </c>
      <c r="BZ4" s="15">
        <v>-2.106371981363821E-2</v>
      </c>
      <c r="CA4" s="15">
        <v>-1.4410423139406501E-2</v>
      </c>
      <c r="CB4" s="15">
        <v>-1.373600487425279E-2</v>
      </c>
      <c r="CC4" s="15">
        <v>-2.747847105042156E-2</v>
      </c>
      <c r="CD4" s="15">
        <v>-2.655987022870682E-2</v>
      </c>
      <c r="CE4" s="15">
        <v>-2.6100224897020342E-2</v>
      </c>
      <c r="CF4" s="15">
        <v>-3.2061326258670031E-2</v>
      </c>
      <c r="CG4" s="15">
        <v>-4.4699162974103299E-2</v>
      </c>
      <c r="CH4" s="15">
        <v>-3.5557718292931598E-2</v>
      </c>
      <c r="CI4" s="15">
        <v>-2.2531867995524299E-2</v>
      </c>
      <c r="CJ4" s="15">
        <v>-2.659099589059899E-2</v>
      </c>
      <c r="CK4" s="15">
        <v>-2.437831543315613E-2</v>
      </c>
      <c r="CL4" s="15">
        <v>-2.0383839681311931E-2</v>
      </c>
      <c r="CM4" s="15">
        <v>-2.0543547316843411E-2</v>
      </c>
      <c r="CN4" s="15">
        <v>-2.5366972570714349E-2</v>
      </c>
      <c r="CO4" s="15">
        <v>2.1573222511172298E-2</v>
      </c>
      <c r="CP4" s="15">
        <v>2.9656602127605611E-2</v>
      </c>
      <c r="CQ4" s="15">
        <v>-2.1208981776241909E-3</v>
      </c>
      <c r="CR4" s="15">
        <v>-1.2445462205139609E-2</v>
      </c>
      <c r="CS4" s="15">
        <v>-4.8911607001063021E-2</v>
      </c>
      <c r="CT4" s="15">
        <v>-5.4515957193264943E-2</v>
      </c>
      <c r="CU4" s="15">
        <v>-3.6987684093879661E-2</v>
      </c>
      <c r="CV4" s="15">
        <v>-2.924450214174747E-2</v>
      </c>
      <c r="CW4" s="15">
        <v>-3.5566938337920538E-2</v>
      </c>
      <c r="CX4" s="15">
        <v>-3.611216821620989E-2</v>
      </c>
      <c r="CY4" s="15">
        <v>-3.5196660099825278E-2</v>
      </c>
      <c r="CZ4" s="15">
        <v>-4.1285248368278821E-2</v>
      </c>
      <c r="DA4" s="15">
        <v>-4.4832439126435537E-2</v>
      </c>
      <c r="DB4" s="15">
        <v>-6.2436972757434497E-2</v>
      </c>
      <c r="DC4" s="15">
        <v>-6.2527983186050365E-2</v>
      </c>
      <c r="DD4" s="15">
        <v>-7.5217163321935412E-2</v>
      </c>
      <c r="DE4" s="15">
        <v>-6.4404403928414081E-2</v>
      </c>
      <c r="DF4" s="15">
        <v>-5.549385494260705E-2</v>
      </c>
      <c r="DG4" s="15">
        <v>-6.0437770445375537E-2</v>
      </c>
      <c r="DH4" s="15">
        <v>-6.1846298042840378E-2</v>
      </c>
      <c r="DI4" s="15">
        <v>-1.46626202409976E-2</v>
      </c>
      <c r="DJ4" s="15">
        <v>-4.0786143047909028E-2</v>
      </c>
      <c r="DK4" s="15">
        <v>-5.7443401521016832E-2</v>
      </c>
      <c r="DL4" s="15">
        <v>-5.8112653779270121E-2</v>
      </c>
      <c r="DM4" s="15">
        <v>-3.958925014969409E-2</v>
      </c>
      <c r="DN4" s="15">
        <v>-2.92339481001627E-2</v>
      </c>
      <c r="DO4" s="15">
        <v>-2.8268200941545508E-2</v>
      </c>
      <c r="DP4" s="15">
        <v>-2.9909023795320532E-2</v>
      </c>
      <c r="DQ4" s="15">
        <v>-4.1956447946479403E-2</v>
      </c>
      <c r="DR4" s="15">
        <v>-5.4044080376143652E-2</v>
      </c>
      <c r="DS4" s="15">
        <v>-3.6840842476137732E-2</v>
      </c>
      <c r="DT4" s="15">
        <v>-4.7088988162664012E-2</v>
      </c>
      <c r="DU4" s="15">
        <v>-4.6590530666368382E-2</v>
      </c>
      <c r="DV4" s="15">
        <v>-4.8883186543154288E-2</v>
      </c>
      <c r="DW4" s="15">
        <v>2.4644963240671989E-3</v>
      </c>
      <c r="DX4" s="15">
        <v>-1.047701340170769E-2</v>
      </c>
      <c r="DY4" s="15">
        <v>-3.2988096646797901E-2</v>
      </c>
      <c r="DZ4" s="15">
        <v>-3.5035095730103293E-2</v>
      </c>
      <c r="EA4" s="15">
        <v>-3.4035185243979679E-2</v>
      </c>
      <c r="EB4" s="15">
        <v>-3.1294101648424583E-2</v>
      </c>
      <c r="EC4" s="15">
        <v>-4.2305892800109393E-2</v>
      </c>
      <c r="ED4" s="15">
        <v>-4.7144040894120831E-2</v>
      </c>
      <c r="EE4" s="15">
        <v>-3.9341877783157779E-2</v>
      </c>
      <c r="EF4" s="15">
        <v>-3.4428937404352961E-2</v>
      </c>
      <c r="EG4" s="15">
        <v>-2.5023765356573191E-2</v>
      </c>
      <c r="EH4" s="15">
        <v>-2.3959625271420482E-2</v>
      </c>
      <c r="EI4" s="15">
        <v>-3.1018058895392529E-2</v>
      </c>
      <c r="EJ4" s="15">
        <v>-3.019292868952464E-2</v>
      </c>
      <c r="EK4" s="15">
        <v>-1.9350280734914911E-2</v>
      </c>
      <c r="EL4" s="15">
        <v>1.0475928161918681E-2</v>
      </c>
    </row>
    <row r="5" spans="1:142" x14ac:dyDescent="0.55000000000000004">
      <c r="B5" s="14" t="s">
        <v>145</v>
      </c>
      <c r="C5" s="15">
        <v>1.7572591335771898E-2</v>
      </c>
      <c r="D5" s="15">
        <v>2.7010615886725878E-2</v>
      </c>
      <c r="E5" s="15">
        <v>1.6464920986043539E-2</v>
      </c>
      <c r="F5" s="15">
        <v>2.163583339118199E-2</v>
      </c>
      <c r="G5" s="15">
        <v>2.7978795117450529E-2</v>
      </c>
      <c r="H5" s="15">
        <v>1.82572498185327E-2</v>
      </c>
      <c r="I5" s="15">
        <v>2.262258433052575E-2</v>
      </c>
      <c r="J5" s="15">
        <v>2.4224717545351319E-2</v>
      </c>
      <c r="K5" s="15">
        <v>3.7030631729839399E-2</v>
      </c>
      <c r="L5" s="15">
        <v>2.1715734909504909E-2</v>
      </c>
      <c r="M5" s="15">
        <v>2.3471025446345321E-2</v>
      </c>
      <c r="N5" s="15">
        <v>2.9600842590959759E-2</v>
      </c>
      <c r="O5" s="15">
        <v>3.078080458498781E-2</v>
      </c>
      <c r="P5" s="15">
        <v>1.3958200077604069E-2</v>
      </c>
      <c r="Q5" s="15">
        <v>2.3899925490751529E-2</v>
      </c>
      <c r="R5" s="15">
        <v>2.827365648927253E-2</v>
      </c>
      <c r="S5" s="15">
        <v>2.8277502684533939E-2</v>
      </c>
      <c r="T5" s="15">
        <v>3.0791608587896192E-2</v>
      </c>
      <c r="U5" s="15">
        <v>3.8990634744788283E-2</v>
      </c>
      <c r="V5" s="15">
        <v>4.795564524908115E-2</v>
      </c>
      <c r="W5" s="15">
        <v>5.1885589069397997E-2</v>
      </c>
      <c r="X5" s="15">
        <v>1.8552140443308319E-2</v>
      </c>
      <c r="Y5" s="15">
        <v>1.942137293110377E-2</v>
      </c>
      <c r="Z5" s="15">
        <v>1.0422650426952311E-2</v>
      </c>
      <c r="AA5" s="15">
        <v>4.4481250419906457E-2</v>
      </c>
      <c r="AB5" s="15">
        <v>3.0099617840507689E-4</v>
      </c>
      <c r="AC5" s="15">
        <v>2.9870176157596909E-2</v>
      </c>
      <c r="AD5" s="15">
        <v>4.2866569757687677E-3</v>
      </c>
      <c r="AE5" s="15">
        <v>1.5671647496547189E-2</v>
      </c>
      <c r="AF5" s="15">
        <v>1.2668564364488089E-2</v>
      </c>
      <c r="AG5" s="15">
        <v>2.6776108631906659E-2</v>
      </c>
      <c r="AH5" s="15">
        <v>1.320201957735115E-2</v>
      </c>
      <c r="AI5" s="15">
        <v>1.7989730154352481E-2</v>
      </c>
      <c r="AJ5" s="15">
        <v>1.88525604364338E-2</v>
      </c>
      <c r="AK5" s="15">
        <v>2.0751209643580199E-2</v>
      </c>
      <c r="AL5" s="15">
        <v>1.7139197858594139E-2</v>
      </c>
      <c r="AM5" s="15">
        <v>1.4073911718798781E-2</v>
      </c>
      <c r="AN5" s="15">
        <v>7.2133540700708753E-3</v>
      </c>
      <c r="AO5" s="15">
        <v>1.940927693450302E-2</v>
      </c>
      <c r="AP5" s="15">
        <v>1.8788509035915509E-2</v>
      </c>
      <c r="AQ5" s="15">
        <v>2.576627301502598E-2</v>
      </c>
      <c r="AR5" s="15">
        <v>2.4567308164613721E-2</v>
      </c>
      <c r="AS5" s="15">
        <v>2.0403411209288149E-2</v>
      </c>
      <c r="AT5" s="15">
        <v>1.8350318395403482E-2</v>
      </c>
      <c r="AU5" s="15">
        <v>1.835820201641138E-2</v>
      </c>
      <c r="AV5" s="15">
        <v>3.066534075451257E-2</v>
      </c>
      <c r="AW5" s="15">
        <v>2.4171945032875768E-2</v>
      </c>
      <c r="AX5" s="15">
        <v>2.9301659150937479E-2</v>
      </c>
      <c r="AY5" s="15">
        <v>2.3524836383218169E-2</v>
      </c>
      <c r="AZ5" s="15">
        <v>1.619862131729324E-2</v>
      </c>
      <c r="BA5" s="15">
        <v>2.4361905285368031E-2</v>
      </c>
      <c r="BB5" s="15">
        <v>2.0847801686724499E-2</v>
      </c>
      <c r="BC5" s="15">
        <v>1.87405260419569E-2</v>
      </c>
      <c r="BD5" s="15">
        <v>-8.4357435055720787E-4</v>
      </c>
      <c r="BE5" s="15">
        <v>1.348963928267881E-2</v>
      </c>
      <c r="BF5" s="15">
        <v>1.209566450250129E-2</v>
      </c>
      <c r="BG5" s="15">
        <v>6.2031443455100891E-3</v>
      </c>
      <c r="BH5" s="15">
        <v>-1.9361090801528601E-2</v>
      </c>
      <c r="BI5" s="15">
        <v>-3.9799382821201407E-2</v>
      </c>
      <c r="BJ5" s="15">
        <v>-2.5457167335488549E-2</v>
      </c>
      <c r="BK5" s="15">
        <v>-1.9477643618262701E-2</v>
      </c>
      <c r="BL5" s="15">
        <v>-9.1218955270848633E-3</v>
      </c>
      <c r="BM5" s="15">
        <v>-1.4374787989500121E-2</v>
      </c>
      <c r="BN5" s="15">
        <v>-3.337400836610268E-2</v>
      </c>
      <c r="BO5" s="15">
        <v>-8.1813085035434014E-3</v>
      </c>
      <c r="BP5" s="15">
        <v>6.9701293808654514E-3</v>
      </c>
      <c r="BQ5" s="15">
        <v>9.2463391673495484E-3</v>
      </c>
      <c r="BR5" s="15">
        <v>2.283635783955484E-2</v>
      </c>
      <c r="BS5" s="15">
        <v>2.006030851870538E-2</v>
      </c>
      <c r="BT5" s="15">
        <v>1.4916967327142641E-2</v>
      </c>
      <c r="BU5" s="15">
        <v>1.9043070262766151E-2</v>
      </c>
      <c r="BV5" s="15">
        <v>1.6822997184360571E-2</v>
      </c>
      <c r="BW5" s="15">
        <v>1.6684982593413372E-2</v>
      </c>
      <c r="BX5" s="15">
        <v>1.3546322627577229E-2</v>
      </c>
      <c r="BY5" s="15">
        <v>8.8355555990224949E-3</v>
      </c>
      <c r="BZ5" s="15">
        <v>1.6244439848805359E-2</v>
      </c>
      <c r="CA5" s="15">
        <v>1.5969795684615099E-2</v>
      </c>
      <c r="CB5" s="15">
        <v>2.631438398547604E-3</v>
      </c>
      <c r="CC5" s="15">
        <v>1.882978449558451E-2</v>
      </c>
      <c r="CD5" s="15">
        <v>2.2816767220746569E-2</v>
      </c>
      <c r="CE5" s="15">
        <v>2.6077729361186529E-2</v>
      </c>
      <c r="CF5" s="15">
        <v>1.499489024735514E-2</v>
      </c>
      <c r="CG5" s="15">
        <v>2.6164856394656419E-3</v>
      </c>
      <c r="CH5" s="15">
        <v>1.6072216687681739E-3</v>
      </c>
      <c r="CI5" s="15">
        <v>-5.8853693828171327E-3</v>
      </c>
      <c r="CJ5" s="15">
        <v>-1.1516856996570801E-2</v>
      </c>
      <c r="CK5" s="15">
        <v>-1.071601597092706E-2</v>
      </c>
      <c r="CL5" s="15">
        <v>1.1313839274602489E-2</v>
      </c>
      <c r="CM5" s="15">
        <v>6.5575598939352948E-3</v>
      </c>
      <c r="CN5" s="15">
        <v>1.1422092272016829E-2</v>
      </c>
      <c r="CO5" s="15">
        <v>1.128965325550671E-2</v>
      </c>
      <c r="CP5" s="15">
        <v>5.1481957855028113E-2</v>
      </c>
      <c r="CQ5" s="15">
        <v>3.1199047837396739E-2</v>
      </c>
      <c r="CR5" s="15">
        <v>2.5421195525684968E-2</v>
      </c>
      <c r="CS5" s="15">
        <v>-3.0207556615997611E-3</v>
      </c>
      <c r="CT5" s="15">
        <v>7.5623451229431043E-4</v>
      </c>
      <c r="CU5" s="15">
        <v>7.2781568876731156E-4</v>
      </c>
      <c r="CV5" s="15">
        <v>9.3529038856204165E-3</v>
      </c>
      <c r="CW5" s="15">
        <v>-2.9667861932934879E-2</v>
      </c>
      <c r="CX5" s="15">
        <v>-1.0507272884670189E-2</v>
      </c>
      <c r="CY5" s="15">
        <v>9.7452893907925726E-3</v>
      </c>
      <c r="CZ5" s="15">
        <v>-7.5353985902828378E-3</v>
      </c>
      <c r="DA5" s="15">
        <v>1.3131139356618519E-2</v>
      </c>
      <c r="DB5" s="15">
        <v>4.2211342139132279E-3</v>
      </c>
      <c r="DC5" s="15">
        <v>1.093994226186313E-2</v>
      </c>
      <c r="DD5" s="15">
        <v>2.4409705725089211E-2</v>
      </c>
      <c r="DE5" s="15">
        <v>1.604921204657048E-2</v>
      </c>
      <c r="DF5" s="15">
        <v>1.667716987176554E-2</v>
      </c>
      <c r="DG5" s="15">
        <v>-3.8317962817908898E-3</v>
      </c>
      <c r="DH5" s="15">
        <v>7.3512111038037927E-3</v>
      </c>
      <c r="DI5" s="15">
        <v>-1.030442488724889E-2</v>
      </c>
      <c r="DJ5" s="15">
        <v>5.2456116056685776E-3</v>
      </c>
      <c r="DK5" s="15">
        <v>6.9237939715896509E-3</v>
      </c>
      <c r="DL5" s="15">
        <v>1.614164071279639E-2</v>
      </c>
      <c r="DM5" s="15">
        <v>1.6766743050984158E-2</v>
      </c>
      <c r="DN5" s="15">
        <v>1.4232797538885089E-2</v>
      </c>
      <c r="DO5" s="15">
        <v>1.453166794491163E-2</v>
      </c>
      <c r="DP5" s="15">
        <v>1.476260228029823E-2</v>
      </c>
      <c r="DQ5" s="15">
        <v>9.2205535843162996E-3</v>
      </c>
      <c r="DR5" s="15">
        <v>-2.0837362258463069E-2</v>
      </c>
      <c r="DS5" s="15">
        <v>5.7274386040173687E-3</v>
      </c>
      <c r="DT5" s="15">
        <v>4.0239894875113217E-4</v>
      </c>
      <c r="DU5" s="15">
        <v>1.369607227793021E-2</v>
      </c>
      <c r="DV5" s="15">
        <v>1.81797983000145E-2</v>
      </c>
      <c r="DW5" s="15">
        <v>2.0373538370568042E-2</v>
      </c>
      <c r="DX5" s="15">
        <v>1.6416783684434461E-2</v>
      </c>
      <c r="DY5" s="15">
        <v>1.4901535770104739E-2</v>
      </c>
      <c r="DZ5" s="15">
        <v>1.5353815388371319E-2</v>
      </c>
      <c r="EA5" s="15">
        <v>1.6682695081811649E-2</v>
      </c>
      <c r="EB5" s="15">
        <v>1.820220102928315E-2</v>
      </c>
      <c r="EC5" s="15">
        <v>-4.4638342298786941E-3</v>
      </c>
      <c r="ED5" s="15">
        <v>-4.6981036382316961E-3</v>
      </c>
      <c r="EE5" s="15">
        <v>1.264171640489712E-3</v>
      </c>
      <c r="EF5" s="15">
        <v>8.5178790602471154E-3</v>
      </c>
      <c r="EG5" s="15">
        <v>-2.853172849498869E-3</v>
      </c>
      <c r="EH5" s="15">
        <v>-7.6033835936986848E-3</v>
      </c>
      <c r="EI5" s="15">
        <v>-5.3008409367301841E-3</v>
      </c>
      <c r="EJ5" s="15">
        <v>-4.1330562633494598E-3</v>
      </c>
      <c r="EK5" s="15">
        <v>-2.2310332755631338E-3</v>
      </c>
      <c r="EL5" s="15">
        <v>5.5219188045471258E-3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244</v>
      </c>
      <c r="B13" s="11" t="s">
        <v>143</v>
      </c>
      <c r="C13" s="12">
        <f t="shared" ref="C13:AH13" si="0">(C3-C9)^2</f>
        <v>6.0213087517648027E-3</v>
      </c>
      <c r="D13" s="12">
        <f t="shared" si="0"/>
        <v>2.4099643528890306E-4</v>
      </c>
      <c r="E13" s="12">
        <f t="shared" si="0"/>
        <v>4.8032683014092685E-3</v>
      </c>
      <c r="F13" s="12">
        <f t="shared" si="0"/>
        <v>2.6363291871590202E-3</v>
      </c>
      <c r="G13" s="12">
        <f t="shared" si="0"/>
        <v>8.9730261855227396E-4</v>
      </c>
      <c r="H13" s="12">
        <f t="shared" si="0"/>
        <v>2.9083373561987968E-4</v>
      </c>
      <c r="I13" s="12">
        <f t="shared" si="0"/>
        <v>2.8187768692901329E-2</v>
      </c>
      <c r="J13" s="12">
        <f t="shared" si="0"/>
        <v>8.7465875721717771E-3</v>
      </c>
      <c r="K13" s="12">
        <f t="shared" si="0"/>
        <v>1.5391688604190687E-3</v>
      </c>
      <c r="L13" s="12">
        <f t="shared" si="0"/>
        <v>7.5196565694082948E-4</v>
      </c>
      <c r="M13" s="12">
        <f t="shared" si="0"/>
        <v>4.9051169929561567E-3</v>
      </c>
      <c r="N13" s="12">
        <f t="shared" si="0"/>
        <v>1.1956979368195737E-2</v>
      </c>
      <c r="O13" s="12">
        <f t="shared" si="0"/>
        <v>9.7933975936564295E-5</v>
      </c>
      <c r="P13" s="12">
        <f t="shared" si="0"/>
        <v>1.4077310499975333E-2</v>
      </c>
      <c r="Q13" s="12">
        <f t="shared" si="0"/>
        <v>9.0168279126989492E-3</v>
      </c>
      <c r="R13" s="12">
        <f t="shared" si="0"/>
        <v>1.9656696164843416E-5</v>
      </c>
      <c r="S13" s="12">
        <f t="shared" si="0"/>
        <v>2.148383331204988E-2</v>
      </c>
      <c r="T13" s="12">
        <f t="shared" si="0"/>
        <v>2.514030726885846E-2</v>
      </c>
      <c r="U13" s="12">
        <f t="shared" si="0"/>
        <v>2.4954927146393258E-3</v>
      </c>
      <c r="V13" s="12">
        <f t="shared" si="0"/>
        <v>4.721481655992424E-3</v>
      </c>
      <c r="W13" s="12">
        <f t="shared" si="0"/>
        <v>1.5723009966624039E-3</v>
      </c>
      <c r="X13" s="12">
        <f t="shared" si="0"/>
        <v>7.8286073830051914E-3</v>
      </c>
      <c r="Y13" s="12">
        <f t="shared" si="0"/>
        <v>3.0851238631989381E-2</v>
      </c>
      <c r="Z13" s="12">
        <f t="shared" si="0"/>
        <v>1.6024993687281341E-2</v>
      </c>
      <c r="AA13" s="12">
        <f t="shared" si="0"/>
        <v>1.1862024605908392E-2</v>
      </c>
      <c r="AB13" s="12">
        <f t="shared" si="0"/>
        <v>8.9428024530193741E-4</v>
      </c>
      <c r="AC13" s="12">
        <f t="shared" si="0"/>
        <v>5.5763775926110952E-3</v>
      </c>
      <c r="AD13" s="12">
        <f t="shared" si="0"/>
        <v>3.2808957614554929E-5</v>
      </c>
      <c r="AE13" s="12">
        <f t="shared" si="0"/>
        <v>2.9209057027417645E-2</v>
      </c>
      <c r="AF13" s="12">
        <f t="shared" si="0"/>
        <v>1.9226193534849685E-3</v>
      </c>
      <c r="AG13" s="12">
        <f t="shared" si="0"/>
        <v>1.4484415810521246E-2</v>
      </c>
      <c r="AH13" s="12">
        <f t="shared" si="0"/>
        <v>6.9877950265124899E-3</v>
      </c>
      <c r="AI13" s="12">
        <f t="shared" ref="AI13:BN13" si="1">(AI3-AI9)^2</f>
        <v>4.2153222883189031E-5</v>
      </c>
      <c r="AJ13" s="12">
        <f t="shared" si="1"/>
        <v>1.1842590896831689E-3</v>
      </c>
      <c r="AK13" s="12">
        <f t="shared" si="1"/>
        <v>9.2768703813546332E-3</v>
      </c>
      <c r="AL13" s="12">
        <f t="shared" si="1"/>
        <v>1.1386143970155572E-3</v>
      </c>
      <c r="AM13" s="12">
        <f t="shared" si="1"/>
        <v>5.7818835392605536E-3</v>
      </c>
      <c r="AN13" s="12">
        <f t="shared" si="1"/>
        <v>2.0695215544346265E-2</v>
      </c>
      <c r="AO13" s="12">
        <f t="shared" si="1"/>
        <v>5.1496511338589117E-3</v>
      </c>
      <c r="AP13" s="12">
        <f t="shared" si="1"/>
        <v>2.5550173559575163E-2</v>
      </c>
      <c r="AQ13" s="12">
        <f t="shared" si="1"/>
        <v>6.88325001281293E-3</v>
      </c>
      <c r="AR13" s="12">
        <f t="shared" si="1"/>
        <v>1.7201508205708385E-5</v>
      </c>
      <c r="AS13" s="12">
        <f t="shared" si="1"/>
        <v>2.7865274187996848E-4</v>
      </c>
      <c r="AT13" s="12">
        <f t="shared" si="1"/>
        <v>2.9361327076369122E-4</v>
      </c>
      <c r="AU13" s="12">
        <f t="shared" si="1"/>
        <v>1.0132907746452642E-3</v>
      </c>
      <c r="AV13" s="12">
        <f t="shared" si="1"/>
        <v>8.9647630660517515E-3</v>
      </c>
      <c r="AW13" s="12">
        <f t="shared" si="1"/>
        <v>2.4870845701546706E-7</v>
      </c>
      <c r="AX13" s="12">
        <f t="shared" si="1"/>
        <v>8.7611719008807033E-3</v>
      </c>
      <c r="AY13" s="12">
        <f t="shared" si="1"/>
        <v>6.9144445766524591E-4</v>
      </c>
      <c r="AZ13" s="12">
        <f t="shared" si="1"/>
        <v>3.6267128937613082E-4</v>
      </c>
      <c r="BA13" s="12">
        <f t="shared" si="1"/>
        <v>8.2310401982670816E-4</v>
      </c>
      <c r="BB13" s="12">
        <f t="shared" si="1"/>
        <v>4.3436649377834018E-3</v>
      </c>
      <c r="BC13" s="12">
        <f t="shared" si="1"/>
        <v>1.2866426901113112E-4</v>
      </c>
      <c r="BD13" s="12">
        <f t="shared" si="1"/>
        <v>3.4701699861190238E-4</v>
      </c>
      <c r="BE13" s="12">
        <f t="shared" si="1"/>
        <v>4.8896499188353661E-4</v>
      </c>
      <c r="BF13" s="12">
        <f t="shared" si="1"/>
        <v>1.4611280491043439E-2</v>
      </c>
      <c r="BG13" s="12">
        <f t="shared" si="1"/>
        <v>1.4259537984313867E-2</v>
      </c>
      <c r="BH13" s="12">
        <f t="shared" si="1"/>
        <v>3.8935515106309338E-4</v>
      </c>
      <c r="BI13" s="12">
        <f t="shared" si="1"/>
        <v>2.6009825753468109E-3</v>
      </c>
      <c r="BJ13" s="12">
        <f t="shared" si="1"/>
        <v>7.0282521398972748E-3</v>
      </c>
      <c r="BK13" s="12">
        <f t="shared" si="1"/>
        <v>1.6737433844772193E-2</v>
      </c>
      <c r="BL13" s="12">
        <f t="shared" si="1"/>
        <v>5.572776033801796E-4</v>
      </c>
      <c r="BM13" s="12">
        <f t="shared" si="1"/>
        <v>4.5012384614190968E-3</v>
      </c>
      <c r="BN13" s="12">
        <f t="shared" si="1"/>
        <v>2.8575525207785525E-8</v>
      </c>
      <c r="BO13" s="12">
        <f t="shared" ref="BO13:CT13" si="2">(BO3-BO9)^2</f>
        <v>1.7882164919869182E-3</v>
      </c>
      <c r="BP13" s="12">
        <f t="shared" si="2"/>
        <v>2.6699040850282105E-3</v>
      </c>
      <c r="BQ13" s="12">
        <f t="shared" si="2"/>
        <v>2.8440599789260036E-4</v>
      </c>
      <c r="BR13" s="12">
        <f t="shared" si="2"/>
        <v>2.4490786194347543E-3</v>
      </c>
      <c r="BS13" s="12">
        <f t="shared" si="2"/>
        <v>5.7539096804721775E-4</v>
      </c>
      <c r="BT13" s="12">
        <f t="shared" si="2"/>
        <v>3.671515667749826E-4</v>
      </c>
      <c r="BU13" s="12">
        <f t="shared" si="2"/>
        <v>1.2353400295818356E-3</v>
      </c>
      <c r="BV13" s="12">
        <f t="shared" si="2"/>
        <v>1.89225717751984E-3</v>
      </c>
      <c r="BW13" s="12">
        <f t="shared" si="2"/>
        <v>3.8532532929910104E-3</v>
      </c>
      <c r="BX13" s="12">
        <f t="shared" si="2"/>
        <v>4.6039415462232957E-4</v>
      </c>
      <c r="BY13" s="12">
        <f t="shared" si="2"/>
        <v>1.1640125020448821E-2</v>
      </c>
      <c r="BZ13" s="12">
        <f t="shared" si="2"/>
        <v>4.1531926660565563E-3</v>
      </c>
      <c r="CA13" s="12">
        <f t="shared" si="2"/>
        <v>2.1390463536130132E-2</v>
      </c>
      <c r="CB13" s="12">
        <f t="shared" si="2"/>
        <v>1.6893600893579377E-4</v>
      </c>
      <c r="CC13" s="12">
        <f t="shared" si="2"/>
        <v>6.3854111019553635E-4</v>
      </c>
      <c r="CD13" s="12">
        <f t="shared" si="2"/>
        <v>2.4526006595610973E-2</v>
      </c>
      <c r="CE13" s="12">
        <f t="shared" si="2"/>
        <v>8.4094870658121227E-4</v>
      </c>
      <c r="CF13" s="12">
        <f t="shared" si="2"/>
        <v>1.9603082234268283E-3</v>
      </c>
      <c r="CG13" s="12">
        <f t="shared" si="2"/>
        <v>3.582707331416194E-3</v>
      </c>
      <c r="CH13" s="12">
        <f t="shared" si="2"/>
        <v>1.4031025434160497E-2</v>
      </c>
      <c r="CI13" s="12">
        <f t="shared" si="2"/>
        <v>1.4948554342246184E-2</v>
      </c>
      <c r="CJ13" s="12">
        <f t="shared" si="2"/>
        <v>3.3536721102358133E-3</v>
      </c>
      <c r="CK13" s="12">
        <f t="shared" si="2"/>
        <v>4.2288586766404373E-6</v>
      </c>
      <c r="CL13" s="12">
        <f t="shared" si="2"/>
        <v>7.4291461624329286E-2</v>
      </c>
      <c r="CM13" s="12">
        <f t="shared" si="2"/>
        <v>8.940937640591378E-3</v>
      </c>
      <c r="CN13" s="12">
        <f t="shared" si="2"/>
        <v>1.1454272212781492E-2</v>
      </c>
      <c r="CO13" s="12">
        <f t="shared" si="2"/>
        <v>2.3501615904312641E-3</v>
      </c>
      <c r="CP13" s="12">
        <f t="shared" si="2"/>
        <v>6.2575897355661401E-3</v>
      </c>
      <c r="CQ13" s="12">
        <f t="shared" si="2"/>
        <v>1.1123737539598104E-2</v>
      </c>
      <c r="CR13" s="12">
        <f t="shared" si="2"/>
        <v>9.3416970663241436E-3</v>
      </c>
      <c r="CS13" s="12">
        <f t="shared" si="2"/>
        <v>1.1861460216525824E-2</v>
      </c>
      <c r="CT13" s="12">
        <f t="shared" si="2"/>
        <v>2.3150117229359801E-4</v>
      </c>
      <c r="CU13" s="12">
        <f t="shared" ref="CU13:DZ13" si="3">(CU3-CU9)^2</f>
        <v>6.2018494918831182E-3</v>
      </c>
      <c r="CV13" s="12">
        <f t="shared" si="3"/>
        <v>4.9053321181766044E-4</v>
      </c>
      <c r="CW13" s="12">
        <f t="shared" si="3"/>
        <v>3.0651736968233423E-5</v>
      </c>
      <c r="CX13" s="12">
        <f t="shared" si="3"/>
        <v>1.3902693491974361E-2</v>
      </c>
      <c r="CY13" s="12">
        <f t="shared" si="3"/>
        <v>6.8425479722936857E-3</v>
      </c>
      <c r="CZ13" s="12">
        <f t="shared" si="3"/>
        <v>3.0862414267875501E-2</v>
      </c>
      <c r="DA13" s="12">
        <f t="shared" si="3"/>
        <v>6.5218407307221209E-3</v>
      </c>
      <c r="DB13" s="12">
        <f t="shared" si="3"/>
        <v>2.6375059088764464E-3</v>
      </c>
      <c r="DC13" s="12">
        <f t="shared" si="3"/>
        <v>4.1204851759465535E-3</v>
      </c>
      <c r="DD13" s="12">
        <f t="shared" si="3"/>
        <v>6.4924329971688573E-4</v>
      </c>
      <c r="DE13" s="12">
        <f t="shared" si="3"/>
        <v>5.9693597964873748E-3</v>
      </c>
      <c r="DF13" s="12">
        <f t="shared" si="3"/>
        <v>1.6138038838922058E-6</v>
      </c>
      <c r="DG13" s="12">
        <f t="shared" si="3"/>
        <v>1.9236114964509294E-2</v>
      </c>
      <c r="DH13" s="12">
        <f t="shared" si="3"/>
        <v>2.5903065416203828E-3</v>
      </c>
      <c r="DI13" s="12">
        <f t="shared" si="3"/>
        <v>1.6052886638656855E-2</v>
      </c>
      <c r="DJ13" s="12">
        <f t="shared" si="3"/>
        <v>2.9391688566655141E-4</v>
      </c>
      <c r="DK13" s="12">
        <f t="shared" si="3"/>
        <v>8.4286776479671373E-3</v>
      </c>
      <c r="DL13" s="12">
        <f t="shared" si="3"/>
        <v>4.25478133181432E-3</v>
      </c>
      <c r="DM13" s="12">
        <f t="shared" si="3"/>
        <v>4.335358434637125E-3</v>
      </c>
      <c r="DN13" s="12">
        <f t="shared" si="3"/>
        <v>1.1294295535964E-3</v>
      </c>
      <c r="DO13" s="12">
        <f t="shared" si="3"/>
        <v>1.4209115146497281E-5</v>
      </c>
      <c r="DP13" s="12">
        <f t="shared" si="3"/>
        <v>2.4748668311662769E-3</v>
      </c>
      <c r="DQ13" s="12">
        <f t="shared" si="3"/>
        <v>2.5371543956102079E-2</v>
      </c>
      <c r="DR13" s="12">
        <f t="shared" si="3"/>
        <v>4.721424736221818E-3</v>
      </c>
      <c r="DS13" s="12">
        <f t="shared" si="3"/>
        <v>1.5277849222082201E-2</v>
      </c>
      <c r="DT13" s="12">
        <f t="shared" si="3"/>
        <v>2.289339802763718E-2</v>
      </c>
      <c r="DU13" s="12">
        <f t="shared" si="3"/>
        <v>8.7576705630157241E-4</v>
      </c>
      <c r="DV13" s="12">
        <f t="shared" si="3"/>
        <v>1.0861340732608421E-2</v>
      </c>
      <c r="DW13" s="12">
        <f t="shared" si="3"/>
        <v>1.3946833255692923E-3</v>
      </c>
      <c r="DX13" s="12">
        <f t="shared" si="3"/>
        <v>2.4811210849593271E-2</v>
      </c>
      <c r="DY13" s="12">
        <f t="shared" si="3"/>
        <v>6.0881302472407936E-3</v>
      </c>
      <c r="DZ13" s="12">
        <f t="shared" si="3"/>
        <v>9.6510111820858197E-3</v>
      </c>
      <c r="EA13" s="12">
        <f t="shared" ref="EA13:EL13" si="4">(EA3-EA9)^2</f>
        <v>1.6503632809132654E-2</v>
      </c>
      <c r="EB13" s="12">
        <f t="shared" si="4"/>
        <v>1.1421220601647336E-3</v>
      </c>
      <c r="EC13" s="12">
        <f t="shared" si="4"/>
        <v>5.656160649367828E-5</v>
      </c>
      <c r="ED13" s="12">
        <f t="shared" si="4"/>
        <v>4.581816310624242E-2</v>
      </c>
      <c r="EE13" s="12">
        <f t="shared" si="4"/>
        <v>1.0958029520951465E-3</v>
      </c>
      <c r="EF13" s="12">
        <f t="shared" si="4"/>
        <v>5.0136966791034985E-4</v>
      </c>
      <c r="EG13" s="12">
        <f t="shared" si="4"/>
        <v>1.846671560029611E-2</v>
      </c>
      <c r="EH13" s="12">
        <f t="shared" si="4"/>
        <v>6.6399518402632416E-3</v>
      </c>
      <c r="EI13" s="12">
        <f t="shared" si="4"/>
        <v>3.935674330228311E-3</v>
      </c>
      <c r="EJ13" s="12">
        <f t="shared" si="4"/>
        <v>4.4021076128246434E-2</v>
      </c>
      <c r="EK13" s="12">
        <f t="shared" si="4"/>
        <v>2.3612473183844932E-3</v>
      </c>
      <c r="EL13" s="12">
        <f t="shared" si="4"/>
        <v>1.9336000080126401E-2</v>
      </c>
    </row>
    <row r="14" spans="1:142" x14ac:dyDescent="0.55000000000000004">
      <c r="B14" s="11" t="s">
        <v>144</v>
      </c>
      <c r="C14" s="12">
        <f t="shared" ref="C14:AH14" si="5">(C4-C10)^2</f>
        <v>5.3972577907555941E-2</v>
      </c>
      <c r="D14" s="12">
        <f t="shared" si="5"/>
        <v>5.1192169652628371E-2</v>
      </c>
      <c r="E14" s="12">
        <f t="shared" si="5"/>
        <v>2.4786927318989259E-4</v>
      </c>
      <c r="F14" s="12">
        <f t="shared" si="5"/>
        <v>2.8380413301293046E-2</v>
      </c>
      <c r="G14" s="12">
        <f t="shared" si="5"/>
        <v>3.7965747030804759E-4</v>
      </c>
      <c r="H14" s="12">
        <f t="shared" si="5"/>
        <v>2.6066302171384102E-4</v>
      </c>
      <c r="I14" s="12">
        <f t="shared" si="5"/>
        <v>9.4616029450253405E-4</v>
      </c>
      <c r="J14" s="12">
        <f t="shared" si="5"/>
        <v>1.6894297795281801E-2</v>
      </c>
      <c r="K14" s="12">
        <f t="shared" si="5"/>
        <v>3.2485284438894682E-4</v>
      </c>
      <c r="L14" s="12">
        <f t="shared" si="5"/>
        <v>1.9988668482948106E-2</v>
      </c>
      <c r="M14" s="12">
        <f t="shared" si="5"/>
        <v>3.7821002547662919E-3</v>
      </c>
      <c r="N14" s="12">
        <f t="shared" si="5"/>
        <v>2.739095931120164E-2</v>
      </c>
      <c r="O14" s="12">
        <f t="shared" si="5"/>
        <v>1.1210755415568845E-4</v>
      </c>
      <c r="P14" s="12">
        <f t="shared" si="5"/>
        <v>1.5284231699867474E-2</v>
      </c>
      <c r="Q14" s="12">
        <f t="shared" si="5"/>
        <v>1.0594247622073694E-4</v>
      </c>
      <c r="R14" s="12">
        <f t="shared" si="5"/>
        <v>1.5856456079961835E-3</v>
      </c>
      <c r="S14" s="12">
        <f t="shared" si="5"/>
        <v>2.4822576303851311E-2</v>
      </c>
      <c r="T14" s="12">
        <f t="shared" si="5"/>
        <v>5.0844485551419186E-3</v>
      </c>
      <c r="U14" s="12">
        <f t="shared" si="5"/>
        <v>2.5070774253114743E-3</v>
      </c>
      <c r="V14" s="12">
        <f t="shared" si="5"/>
        <v>5.3040362514717603E-4</v>
      </c>
      <c r="W14" s="12">
        <f t="shared" si="5"/>
        <v>1.2607194298161024E-2</v>
      </c>
      <c r="X14" s="12">
        <f t="shared" si="5"/>
        <v>3.4447628435952823E-3</v>
      </c>
      <c r="Y14" s="12">
        <f t="shared" si="5"/>
        <v>7.4931824153829318E-4</v>
      </c>
      <c r="Z14" s="12">
        <f t="shared" si="5"/>
        <v>4.9447670754047726E-4</v>
      </c>
      <c r="AA14" s="12">
        <f t="shared" si="5"/>
        <v>7.9754037812343418E-3</v>
      </c>
      <c r="AB14" s="12">
        <f t="shared" si="5"/>
        <v>4.8636892991732038E-6</v>
      </c>
      <c r="AC14" s="12">
        <f t="shared" si="5"/>
        <v>2.7869556077369621E-3</v>
      </c>
      <c r="AD14" s="12">
        <f t="shared" si="5"/>
        <v>7.1110148015593477E-4</v>
      </c>
      <c r="AE14" s="12">
        <f t="shared" si="5"/>
        <v>2.7187429593699772E-2</v>
      </c>
      <c r="AF14" s="12">
        <f t="shared" si="5"/>
        <v>3.0850757499582397E-3</v>
      </c>
      <c r="AG14" s="12">
        <f t="shared" si="5"/>
        <v>2.9249587984683735E-3</v>
      </c>
      <c r="AH14" s="12">
        <f t="shared" si="5"/>
        <v>1.3694584316208385E-3</v>
      </c>
      <c r="AI14" s="12">
        <f t="shared" ref="AI14:BN14" si="6">(AI4-AI10)^2</f>
        <v>3.7833959576618816E-5</v>
      </c>
      <c r="AJ14" s="12">
        <f t="shared" si="6"/>
        <v>6.422784846567489E-4</v>
      </c>
      <c r="AK14" s="12">
        <f t="shared" si="6"/>
        <v>1.5714187596210932E-3</v>
      </c>
      <c r="AL14" s="12">
        <f t="shared" si="6"/>
        <v>8.0124942348225626E-3</v>
      </c>
      <c r="AM14" s="12">
        <f t="shared" si="6"/>
        <v>3.0217202108196502E-4</v>
      </c>
      <c r="AN14" s="12">
        <f t="shared" si="6"/>
        <v>6.0979376292487333E-3</v>
      </c>
      <c r="AO14" s="12">
        <f t="shared" si="6"/>
        <v>8.7888145000660986E-4</v>
      </c>
      <c r="AP14" s="12">
        <f t="shared" si="6"/>
        <v>2.093387397718706E-3</v>
      </c>
      <c r="AQ14" s="12">
        <f t="shared" si="6"/>
        <v>1.5839290325161323E-3</v>
      </c>
      <c r="AR14" s="12">
        <f t="shared" si="6"/>
        <v>1.5411750258414266E-2</v>
      </c>
      <c r="AS14" s="12">
        <f t="shared" si="6"/>
        <v>5.4768546827406115E-6</v>
      </c>
      <c r="AT14" s="12">
        <f t="shared" si="6"/>
        <v>3.5489368845415247E-4</v>
      </c>
      <c r="AU14" s="12">
        <f t="shared" si="6"/>
        <v>2.1568059312756245E-2</v>
      </c>
      <c r="AV14" s="12">
        <f t="shared" si="6"/>
        <v>2.4527258844433213E-3</v>
      </c>
      <c r="AW14" s="12">
        <f t="shared" si="6"/>
        <v>6.4053705605606132E-4</v>
      </c>
      <c r="AX14" s="12">
        <f t="shared" si="6"/>
        <v>3.5041997793575508E-6</v>
      </c>
      <c r="AY14" s="12">
        <f t="shared" si="6"/>
        <v>1.281927274143951E-3</v>
      </c>
      <c r="AZ14" s="12">
        <f t="shared" si="6"/>
        <v>7.6055835048594702E-3</v>
      </c>
      <c r="BA14" s="12">
        <f t="shared" si="6"/>
        <v>9.1424360774183186E-3</v>
      </c>
      <c r="BB14" s="12">
        <f t="shared" si="6"/>
        <v>3.3101155739564733E-3</v>
      </c>
      <c r="BC14" s="12">
        <f t="shared" si="6"/>
        <v>4.3337160415385188E-3</v>
      </c>
      <c r="BD14" s="12">
        <f t="shared" si="6"/>
        <v>7.0961775759842E-3</v>
      </c>
      <c r="BE14" s="12">
        <f t="shared" si="6"/>
        <v>2.3665931829940139E-2</v>
      </c>
      <c r="BF14" s="12">
        <f t="shared" si="6"/>
        <v>2.6289322536526731E-3</v>
      </c>
      <c r="BG14" s="12">
        <f t="shared" si="6"/>
        <v>1.0138984747339333E-5</v>
      </c>
      <c r="BH14" s="12">
        <f t="shared" si="6"/>
        <v>3.0993027446505582E-3</v>
      </c>
      <c r="BI14" s="12">
        <f t="shared" si="6"/>
        <v>6.6205681868553709E-3</v>
      </c>
      <c r="BJ14" s="12">
        <f t="shared" si="6"/>
        <v>5.8618549433021158E-3</v>
      </c>
      <c r="BK14" s="12">
        <f t="shared" si="6"/>
        <v>1.4780795327176339E-2</v>
      </c>
      <c r="BL14" s="12">
        <f t="shared" si="6"/>
        <v>7.1431216503955376E-5</v>
      </c>
      <c r="BM14" s="12">
        <f t="shared" si="6"/>
        <v>1.45868262891412E-3</v>
      </c>
      <c r="BN14" s="12">
        <f t="shared" si="6"/>
        <v>1.4773463457726272E-2</v>
      </c>
      <c r="BO14" s="12">
        <f t="shared" ref="BO14:CT14" si="7">(BO4-BO10)^2</f>
        <v>9.7560303362518775E-5</v>
      </c>
      <c r="BP14" s="12">
        <f t="shared" si="7"/>
        <v>1.6660402534412113E-2</v>
      </c>
      <c r="BQ14" s="12">
        <f t="shared" si="7"/>
        <v>9.3611374067964893E-4</v>
      </c>
      <c r="BR14" s="12">
        <f t="shared" si="7"/>
        <v>3.9680849263133578E-3</v>
      </c>
      <c r="BS14" s="12">
        <f t="shared" si="7"/>
        <v>3.6971062596097611E-3</v>
      </c>
      <c r="BT14" s="12">
        <f t="shared" si="7"/>
        <v>1.1537276114048338E-2</v>
      </c>
      <c r="BU14" s="12">
        <f t="shared" si="7"/>
        <v>1.1238140225257166E-2</v>
      </c>
      <c r="BV14" s="12">
        <f t="shared" si="7"/>
        <v>8.4872212307393526E-4</v>
      </c>
      <c r="BW14" s="12">
        <f t="shared" si="7"/>
        <v>1.0268281320756471E-2</v>
      </c>
      <c r="BX14" s="12">
        <f t="shared" si="7"/>
        <v>6.5798400442593978E-4</v>
      </c>
      <c r="BY14" s="12">
        <f t="shared" si="7"/>
        <v>1.6670656050542857E-2</v>
      </c>
      <c r="BZ14" s="12">
        <f t="shared" si="7"/>
        <v>2.8279679169015081E-4</v>
      </c>
      <c r="CA14" s="12">
        <f t="shared" si="7"/>
        <v>5.949280626063801E-3</v>
      </c>
      <c r="CB14" s="12">
        <f t="shared" si="7"/>
        <v>1.2298045522703496E-2</v>
      </c>
      <c r="CC14" s="12">
        <f t="shared" si="7"/>
        <v>1.1711093270375904E-3</v>
      </c>
      <c r="CD14" s="12">
        <f t="shared" si="7"/>
        <v>2.4313283550262224E-3</v>
      </c>
      <c r="CE14" s="12">
        <f t="shared" si="7"/>
        <v>3.8098808054116272E-2</v>
      </c>
      <c r="CF14" s="12">
        <f t="shared" si="7"/>
        <v>1.6594977979850272E-3</v>
      </c>
      <c r="CG14" s="12">
        <f t="shared" si="7"/>
        <v>5.8500205931901455E-3</v>
      </c>
      <c r="CH14" s="12">
        <f t="shared" si="7"/>
        <v>5.0913301646158196E-6</v>
      </c>
      <c r="CI14" s="12">
        <f t="shared" si="7"/>
        <v>5.1956613947323725E-3</v>
      </c>
      <c r="CJ14" s="12">
        <f t="shared" si="7"/>
        <v>2.6118821957452396E-4</v>
      </c>
      <c r="CK14" s="12">
        <f t="shared" si="7"/>
        <v>3.4769929321512307E-3</v>
      </c>
      <c r="CL14" s="12">
        <f t="shared" si="7"/>
        <v>1.0915274510045407E-3</v>
      </c>
      <c r="CM14" s="12">
        <f t="shared" si="7"/>
        <v>4.4487734946757423E-2</v>
      </c>
      <c r="CN14" s="12">
        <f t="shared" si="7"/>
        <v>6.9864189752462252E-3</v>
      </c>
      <c r="CO14" s="12">
        <f t="shared" si="7"/>
        <v>2.69746920413588E-2</v>
      </c>
      <c r="CP14" s="12">
        <f t="shared" si="7"/>
        <v>1.4689868000348398E-4</v>
      </c>
      <c r="CQ14" s="12">
        <f t="shared" si="7"/>
        <v>2.7998276012259554E-2</v>
      </c>
      <c r="CR14" s="12">
        <f t="shared" si="7"/>
        <v>5.2366618286284403E-3</v>
      </c>
      <c r="CS14" s="12">
        <f t="shared" si="7"/>
        <v>1.9996045587471865E-4</v>
      </c>
      <c r="CT14" s="12">
        <f t="shared" si="7"/>
        <v>4.196577003547401E-3</v>
      </c>
      <c r="CU14" s="12">
        <f t="shared" ref="CU14:DZ14" si="8">(CU4-CU10)^2</f>
        <v>3.6835225567560955E-4</v>
      </c>
      <c r="CV14" s="12">
        <f t="shared" si="8"/>
        <v>2.0765889571429735E-4</v>
      </c>
      <c r="CW14" s="12">
        <f t="shared" si="8"/>
        <v>1.156082546350319E-4</v>
      </c>
      <c r="CX14" s="12">
        <f t="shared" si="8"/>
        <v>3.6629756298064181E-3</v>
      </c>
      <c r="CY14" s="12">
        <f t="shared" si="8"/>
        <v>1.9042510728874526E-3</v>
      </c>
      <c r="CZ14" s="12">
        <f t="shared" si="8"/>
        <v>2.9323516118891377E-2</v>
      </c>
      <c r="DA14" s="12">
        <f t="shared" si="8"/>
        <v>4.7407469697886085E-3</v>
      </c>
      <c r="DB14" s="12">
        <f t="shared" si="8"/>
        <v>1.4560025791254962E-2</v>
      </c>
      <c r="DC14" s="12">
        <f t="shared" si="8"/>
        <v>4.0112552193696246E-4</v>
      </c>
      <c r="DD14" s="12">
        <f t="shared" si="8"/>
        <v>1.0616161654510334E-2</v>
      </c>
      <c r="DE14" s="12">
        <f t="shared" si="8"/>
        <v>1.7692282898995052E-2</v>
      </c>
      <c r="DF14" s="12">
        <f t="shared" si="8"/>
        <v>6.0219162218392974E-3</v>
      </c>
      <c r="DG14" s="12">
        <f t="shared" si="8"/>
        <v>8.0052574790984321E-2</v>
      </c>
      <c r="DH14" s="12">
        <f t="shared" si="8"/>
        <v>4.7489304564139511E-3</v>
      </c>
      <c r="DI14" s="12">
        <f t="shared" si="8"/>
        <v>9.0305515230131531E-3</v>
      </c>
      <c r="DJ14" s="12">
        <f t="shared" si="8"/>
        <v>4.8563585558953643E-3</v>
      </c>
      <c r="DK14" s="12">
        <f t="shared" si="8"/>
        <v>2.0448654854248047E-2</v>
      </c>
      <c r="DL14" s="12">
        <f t="shared" si="8"/>
        <v>4.0843965150259512E-4</v>
      </c>
      <c r="DM14" s="12">
        <f t="shared" si="8"/>
        <v>1.5163431253894957E-2</v>
      </c>
      <c r="DN14" s="12">
        <f t="shared" si="8"/>
        <v>6.6722538162671896E-4</v>
      </c>
      <c r="DO14" s="12">
        <f t="shared" si="8"/>
        <v>3.9861766188907036E-3</v>
      </c>
      <c r="DP14" s="12">
        <f t="shared" si="8"/>
        <v>1.3560343519199283E-2</v>
      </c>
      <c r="DQ14" s="12">
        <f t="shared" si="8"/>
        <v>1.3119608033425422E-2</v>
      </c>
      <c r="DR14" s="12">
        <f t="shared" si="8"/>
        <v>2.9108103479728512E-4</v>
      </c>
      <c r="DS14" s="12">
        <f t="shared" si="8"/>
        <v>1.4798207932733697E-2</v>
      </c>
      <c r="DT14" s="12">
        <f t="shared" si="8"/>
        <v>8.7887835953417157E-4</v>
      </c>
      <c r="DU14" s="12">
        <f t="shared" si="8"/>
        <v>3.7292951506064313E-2</v>
      </c>
      <c r="DV14" s="12">
        <f t="shared" si="8"/>
        <v>3.3753124647262957E-3</v>
      </c>
      <c r="DW14" s="12">
        <f t="shared" si="8"/>
        <v>1.7045659680947331E-2</v>
      </c>
      <c r="DX14" s="12">
        <f t="shared" si="8"/>
        <v>2.2384030957933085E-3</v>
      </c>
      <c r="DY14" s="12">
        <f t="shared" si="8"/>
        <v>4.9762598380208977E-3</v>
      </c>
      <c r="DZ14" s="12">
        <f t="shared" si="8"/>
        <v>3.316819862571485E-4</v>
      </c>
      <c r="EA14" s="12">
        <f t="shared" ref="EA14:EL14" si="9">(EA4-EA10)^2</f>
        <v>5.9253101077655001E-3</v>
      </c>
      <c r="EB14" s="12">
        <f t="shared" si="9"/>
        <v>6.7823472170676943E-4</v>
      </c>
      <c r="EC14" s="12">
        <f t="shared" si="9"/>
        <v>9.1150974813694677E-3</v>
      </c>
      <c r="ED14" s="12">
        <f t="shared" si="9"/>
        <v>1.0612099978485983E-2</v>
      </c>
      <c r="EE14" s="12">
        <f t="shared" si="9"/>
        <v>3.7133260085565875E-2</v>
      </c>
      <c r="EF14" s="12">
        <f t="shared" si="9"/>
        <v>6.3684270471903743E-3</v>
      </c>
      <c r="EG14" s="12">
        <f t="shared" si="9"/>
        <v>3.6031068090656054E-4</v>
      </c>
      <c r="EH14" s="12">
        <f t="shared" si="9"/>
        <v>1.7225634917777438E-3</v>
      </c>
      <c r="EI14" s="12">
        <f t="shared" si="9"/>
        <v>1.3794228200699761E-2</v>
      </c>
      <c r="EJ14" s="12">
        <f t="shared" si="9"/>
        <v>2.7351693592908597E-2</v>
      </c>
      <c r="EK14" s="12">
        <f t="shared" si="9"/>
        <v>2.1564480763709919E-2</v>
      </c>
      <c r="EL14" s="12">
        <f t="shared" si="9"/>
        <v>1.6710966650231981E-3</v>
      </c>
    </row>
    <row r="15" spans="1:142" x14ac:dyDescent="0.55000000000000004">
      <c r="B15" s="14" t="s">
        <v>145</v>
      </c>
      <c r="C15" s="12">
        <f t="shared" ref="C15:AH15" si="10">(C5-C11)^2</f>
        <v>1.7378521708722647E-3</v>
      </c>
      <c r="D15" s="12">
        <f t="shared" si="10"/>
        <v>1.2789344759049803E-2</v>
      </c>
      <c r="E15" s="12">
        <f t="shared" si="10"/>
        <v>4.8170543020516345E-4</v>
      </c>
      <c r="F15" s="12">
        <f t="shared" si="10"/>
        <v>4.8586188274503377E-3</v>
      </c>
      <c r="G15" s="12">
        <f t="shared" si="10"/>
        <v>4.9812112061024113E-3</v>
      </c>
      <c r="H15" s="12">
        <f t="shared" si="10"/>
        <v>2.0251310539013093E-4</v>
      </c>
      <c r="I15" s="12">
        <f t="shared" si="10"/>
        <v>5.9313874821500185E-3</v>
      </c>
      <c r="J15" s="12">
        <f t="shared" si="10"/>
        <v>6.2546992706587179E-4</v>
      </c>
      <c r="K15" s="12">
        <f t="shared" si="10"/>
        <v>2.5451845568748826E-5</v>
      </c>
      <c r="L15" s="12">
        <f t="shared" si="10"/>
        <v>7.2474256783484892E-4</v>
      </c>
      <c r="M15" s="12">
        <f t="shared" si="10"/>
        <v>3.6377966345226592E-3</v>
      </c>
      <c r="N15" s="12">
        <f t="shared" si="10"/>
        <v>7.484900634746966E-3</v>
      </c>
      <c r="O15" s="12">
        <f t="shared" si="10"/>
        <v>1.4235238980819383E-3</v>
      </c>
      <c r="P15" s="12">
        <f t="shared" si="10"/>
        <v>2.1465609145153271E-4</v>
      </c>
      <c r="Q15" s="12">
        <f t="shared" si="10"/>
        <v>1.8450378283457443E-3</v>
      </c>
      <c r="R15" s="12">
        <f t="shared" si="10"/>
        <v>9.2875702017738927E-4</v>
      </c>
      <c r="S15" s="12">
        <f t="shared" si="10"/>
        <v>1.1240958793152123E-2</v>
      </c>
      <c r="T15" s="12">
        <f t="shared" si="10"/>
        <v>1.0025309495983107E-2</v>
      </c>
      <c r="U15" s="12">
        <f t="shared" si="10"/>
        <v>6.6856600415867514E-4</v>
      </c>
      <c r="V15" s="12">
        <f t="shared" si="10"/>
        <v>4.740409338667565E-4</v>
      </c>
      <c r="W15" s="12">
        <f t="shared" si="10"/>
        <v>2.1369474903595961E-2</v>
      </c>
      <c r="X15" s="12">
        <f t="shared" si="10"/>
        <v>0.10232035537104718</v>
      </c>
      <c r="Y15" s="12">
        <f t="shared" si="10"/>
        <v>7.9223482631467917E-3</v>
      </c>
      <c r="Z15" s="12">
        <f t="shared" si="10"/>
        <v>2.315497392552858E-2</v>
      </c>
      <c r="AA15" s="12">
        <f t="shared" si="10"/>
        <v>5.2620495438512093E-3</v>
      </c>
      <c r="AB15" s="12">
        <f t="shared" si="10"/>
        <v>5.0539718241773867E-4</v>
      </c>
      <c r="AC15" s="12">
        <f t="shared" si="10"/>
        <v>1.3532933513250646E-2</v>
      </c>
      <c r="AD15" s="12">
        <f t="shared" si="10"/>
        <v>2.9509113672565953E-4</v>
      </c>
      <c r="AE15" s="12">
        <f t="shared" si="10"/>
        <v>1.9195157367806259E-2</v>
      </c>
      <c r="AF15" s="12">
        <f t="shared" si="10"/>
        <v>2.5331272782426438E-2</v>
      </c>
      <c r="AG15" s="12">
        <f t="shared" si="10"/>
        <v>5.4452092091354081E-3</v>
      </c>
      <c r="AH15" s="12">
        <f t="shared" si="10"/>
        <v>4.20964691413673E-5</v>
      </c>
      <c r="AI15" s="12">
        <f t="shared" ref="AI15:BN15" si="11">(AI5-AI11)^2</f>
        <v>4.5451622066626821E-4</v>
      </c>
      <c r="AJ15" s="12">
        <f t="shared" si="11"/>
        <v>2.0680743237207464E-3</v>
      </c>
      <c r="AK15" s="12">
        <f t="shared" si="11"/>
        <v>2.1046359391285793E-3</v>
      </c>
      <c r="AL15" s="12">
        <f t="shared" si="11"/>
        <v>1.4540300814807413E-2</v>
      </c>
      <c r="AM15" s="12">
        <f t="shared" si="11"/>
        <v>2.2874035568420988E-3</v>
      </c>
      <c r="AN15" s="12">
        <f t="shared" si="11"/>
        <v>4.8327107710673086E-3</v>
      </c>
      <c r="AO15" s="12">
        <f t="shared" si="11"/>
        <v>6.3319332856185823E-3</v>
      </c>
      <c r="AP15" s="12">
        <f t="shared" si="11"/>
        <v>1.2452559393622499E-3</v>
      </c>
      <c r="AQ15" s="12">
        <f t="shared" si="11"/>
        <v>3.1380348120067904E-3</v>
      </c>
      <c r="AR15" s="12">
        <f t="shared" si="11"/>
        <v>5.8168767601650927E-4</v>
      </c>
      <c r="AS15" s="12">
        <f t="shared" si="11"/>
        <v>2.4791288438804535E-3</v>
      </c>
      <c r="AT15" s="12">
        <f t="shared" si="11"/>
        <v>2.4318064355699713E-2</v>
      </c>
      <c r="AU15" s="12">
        <f t="shared" si="11"/>
        <v>9.9488391764282862E-3</v>
      </c>
      <c r="AV15" s="12">
        <f t="shared" si="11"/>
        <v>1.4421796458927152E-2</v>
      </c>
      <c r="AW15" s="12">
        <f t="shared" si="11"/>
        <v>1.1042178028601432E-3</v>
      </c>
      <c r="AX15" s="12">
        <f t="shared" si="11"/>
        <v>3.4679569492615699E-2</v>
      </c>
      <c r="AY15" s="12">
        <f t="shared" si="11"/>
        <v>5.5557203466664417E-4</v>
      </c>
      <c r="AZ15" s="12">
        <f t="shared" si="11"/>
        <v>5.3753252353992238E-3</v>
      </c>
      <c r="BA15" s="12">
        <f t="shared" si="11"/>
        <v>2.1877453788284366E-3</v>
      </c>
      <c r="BB15" s="12">
        <f t="shared" si="11"/>
        <v>3.0134889389539742E-2</v>
      </c>
      <c r="BC15" s="12">
        <f t="shared" si="11"/>
        <v>1.787316951850537E-5</v>
      </c>
      <c r="BD15" s="12">
        <f t="shared" si="11"/>
        <v>3.5526253385088689E-6</v>
      </c>
      <c r="BE15" s="12">
        <f t="shared" si="11"/>
        <v>2.1490582879208742E-2</v>
      </c>
      <c r="BF15" s="12">
        <f t="shared" si="11"/>
        <v>4.3349466010972643E-2</v>
      </c>
      <c r="BG15" s="12">
        <f t="shared" si="11"/>
        <v>3.8031332343606686E-2</v>
      </c>
      <c r="BH15" s="12">
        <f t="shared" si="11"/>
        <v>6.6187911881004681E-3</v>
      </c>
      <c r="BI15" s="12">
        <f t="shared" si="11"/>
        <v>7.3928757644523202E-3</v>
      </c>
      <c r="BJ15" s="12">
        <f t="shared" si="11"/>
        <v>2.1055375789282897E-4</v>
      </c>
      <c r="BK15" s="12">
        <f t="shared" si="11"/>
        <v>1.7699925541956069E-3</v>
      </c>
      <c r="BL15" s="12">
        <f t="shared" si="11"/>
        <v>1.9976058848084604E-2</v>
      </c>
      <c r="BM15" s="12">
        <f t="shared" si="11"/>
        <v>2.0157619863416229E-2</v>
      </c>
      <c r="BN15" s="12">
        <f t="shared" si="11"/>
        <v>2.4047342843939204E-4</v>
      </c>
      <c r="BO15" s="12">
        <f t="shared" ref="BO15:CT15" si="12">(BO5-BO11)^2</f>
        <v>2.9387033862162499E-4</v>
      </c>
      <c r="BP15" s="12">
        <f t="shared" si="12"/>
        <v>1.0943593582187822E-3</v>
      </c>
      <c r="BQ15" s="12">
        <f t="shared" si="12"/>
        <v>2.6531714711592299E-3</v>
      </c>
      <c r="BR15" s="12">
        <f t="shared" si="12"/>
        <v>2.4350289391081286E-2</v>
      </c>
      <c r="BS15" s="12">
        <f t="shared" si="12"/>
        <v>1.4206102014271261E-2</v>
      </c>
      <c r="BT15" s="12">
        <f t="shared" si="12"/>
        <v>6.5756574706370412E-4</v>
      </c>
      <c r="BU15" s="12">
        <f t="shared" si="12"/>
        <v>1.9535326707128108E-3</v>
      </c>
      <c r="BV15" s="12">
        <f t="shared" si="12"/>
        <v>1.2770108767243365E-2</v>
      </c>
      <c r="BW15" s="12">
        <f t="shared" si="12"/>
        <v>2.333190171862046E-2</v>
      </c>
      <c r="BX15" s="12">
        <f t="shared" si="12"/>
        <v>3.4478005741888523E-4</v>
      </c>
      <c r="BY15" s="12">
        <f t="shared" si="12"/>
        <v>1.0713147436042764E-2</v>
      </c>
      <c r="BZ15" s="12">
        <f t="shared" si="12"/>
        <v>3.2323180317209621E-4</v>
      </c>
      <c r="CA15" s="12">
        <f t="shared" si="12"/>
        <v>2.9247992873823367E-3</v>
      </c>
      <c r="CB15" s="12">
        <f t="shared" si="12"/>
        <v>4.4232164757699634E-4</v>
      </c>
      <c r="CC15" s="12">
        <f t="shared" si="12"/>
        <v>5.6412717145604167E-3</v>
      </c>
      <c r="CD15" s="12">
        <f t="shared" si="12"/>
        <v>2.7805303819224349E-3</v>
      </c>
      <c r="CE15" s="12">
        <f t="shared" si="12"/>
        <v>1.7670408937291708E-2</v>
      </c>
      <c r="CF15" s="12">
        <f t="shared" si="12"/>
        <v>5.4137577042313251E-3</v>
      </c>
      <c r="CG15" s="12">
        <f t="shared" si="12"/>
        <v>1.4684735204972968E-2</v>
      </c>
      <c r="CH15" s="12">
        <f t="shared" si="12"/>
        <v>2.4426019580708704E-3</v>
      </c>
      <c r="CI15" s="12">
        <f t="shared" si="12"/>
        <v>3.099788800349338E-3</v>
      </c>
      <c r="CJ15" s="12">
        <f t="shared" si="12"/>
        <v>5.7090539495767874E-2</v>
      </c>
      <c r="CK15" s="12">
        <f t="shared" si="12"/>
        <v>2.0722989029801756E-2</v>
      </c>
      <c r="CL15" s="12">
        <f t="shared" si="12"/>
        <v>8.3796787254453154E-4</v>
      </c>
      <c r="CM15" s="12">
        <f t="shared" si="12"/>
        <v>6.4733181777839504E-3</v>
      </c>
      <c r="CN15" s="12">
        <f t="shared" si="12"/>
        <v>5.5447298305986353E-2</v>
      </c>
      <c r="CO15" s="12">
        <f t="shared" si="12"/>
        <v>1.3393546288020097E-2</v>
      </c>
      <c r="CP15" s="12">
        <f t="shared" si="12"/>
        <v>4.6909420430579852E-3</v>
      </c>
      <c r="CQ15" s="12">
        <f t="shared" si="12"/>
        <v>5.7424335516982519E-2</v>
      </c>
      <c r="CR15" s="12">
        <f t="shared" si="12"/>
        <v>1.1962929894449244E-2</v>
      </c>
      <c r="CS15" s="12">
        <f t="shared" si="12"/>
        <v>8.0356945073725584E-3</v>
      </c>
      <c r="CT15" s="12">
        <f t="shared" si="12"/>
        <v>7.3122890359462718E-4</v>
      </c>
      <c r="CU15" s="12">
        <f t="shared" ref="CU15:DZ15" si="13">(CU5-CU11)^2</f>
        <v>9.0325886916224826E-2</v>
      </c>
      <c r="CV15" s="12">
        <f t="shared" si="13"/>
        <v>5.3336594484357042E-2</v>
      </c>
      <c r="CW15" s="12">
        <f t="shared" si="13"/>
        <v>1.4700888874847724E-2</v>
      </c>
      <c r="CX15" s="12">
        <f t="shared" si="13"/>
        <v>7.8604223523493551E-3</v>
      </c>
      <c r="CY15" s="12">
        <f t="shared" si="13"/>
        <v>9.587627116200037E-3</v>
      </c>
      <c r="CZ15" s="12">
        <f t="shared" si="13"/>
        <v>2.1818050179751749E-3</v>
      </c>
      <c r="DA15" s="12">
        <f t="shared" si="13"/>
        <v>4.8165057632088143E-3</v>
      </c>
      <c r="DB15" s="12">
        <f t="shared" si="13"/>
        <v>1.7500362867489239E-2</v>
      </c>
      <c r="DC15" s="12">
        <f t="shared" si="13"/>
        <v>6.1828504527965491E-4</v>
      </c>
      <c r="DD15" s="12">
        <f t="shared" si="13"/>
        <v>2.696339530823616E-2</v>
      </c>
      <c r="DE15" s="12">
        <f t="shared" si="13"/>
        <v>1.2136014772574727E-2</v>
      </c>
      <c r="DF15" s="12">
        <f t="shared" si="13"/>
        <v>1.3070246608636476E-3</v>
      </c>
      <c r="DG15" s="12">
        <f t="shared" si="13"/>
        <v>3.8202446268517654E-2</v>
      </c>
      <c r="DH15" s="12">
        <f t="shared" si="13"/>
        <v>8.9847513718354505E-3</v>
      </c>
      <c r="DI15" s="12">
        <f t="shared" si="13"/>
        <v>2.3114193351511849E-3</v>
      </c>
      <c r="DJ15" s="12">
        <f t="shared" si="13"/>
        <v>3.6243268623563142E-3</v>
      </c>
      <c r="DK15" s="12">
        <f t="shared" si="13"/>
        <v>2.7805402639504758E-3</v>
      </c>
      <c r="DL15" s="12">
        <f t="shared" si="13"/>
        <v>6.2716790023418676E-3</v>
      </c>
      <c r="DM15" s="12">
        <f t="shared" si="13"/>
        <v>5.6259897576543154E-4</v>
      </c>
      <c r="DN15" s="12">
        <f t="shared" si="13"/>
        <v>1.1532187313223911E-4</v>
      </c>
      <c r="DO15" s="12">
        <f t="shared" si="13"/>
        <v>1.4554036629804794E-2</v>
      </c>
      <c r="DP15" s="12">
        <f t="shared" si="13"/>
        <v>6.7368535974586141E-2</v>
      </c>
      <c r="DQ15" s="12">
        <f t="shared" si="13"/>
        <v>4.1867874622380591E-2</v>
      </c>
      <c r="DR15" s="12">
        <f t="shared" si="13"/>
        <v>1.0066042912236404E-3</v>
      </c>
      <c r="DS15" s="12">
        <f t="shared" si="13"/>
        <v>1.6484485432982726E-2</v>
      </c>
      <c r="DT15" s="12">
        <f t="shared" si="13"/>
        <v>1.5318891331472163E-2</v>
      </c>
      <c r="DU15" s="12">
        <f t="shared" si="13"/>
        <v>4.1473363503801066E-3</v>
      </c>
      <c r="DV15" s="12">
        <f t="shared" si="13"/>
        <v>5.1977216326531666E-3</v>
      </c>
      <c r="DW15" s="12">
        <f t="shared" si="13"/>
        <v>1.9537982680622804E-3</v>
      </c>
      <c r="DX15" s="12">
        <f t="shared" si="13"/>
        <v>2.5098046743670757E-3</v>
      </c>
      <c r="DY15" s="12">
        <f t="shared" si="13"/>
        <v>1.9889559006471079E-5</v>
      </c>
      <c r="DZ15" s="12">
        <f t="shared" si="13"/>
        <v>1.1534121131904441E-5</v>
      </c>
      <c r="EA15" s="12">
        <f t="shared" ref="EA15:EL15" si="14">(EA5-EA11)^2</f>
        <v>9.0135674446749858E-2</v>
      </c>
      <c r="EB15" s="12">
        <f t="shared" si="14"/>
        <v>2.3132769481487299E-2</v>
      </c>
      <c r="EC15" s="12">
        <f t="shared" si="14"/>
        <v>3.3308412926886637E-4</v>
      </c>
      <c r="ED15" s="12">
        <f t="shared" si="14"/>
        <v>2.4309974019335288E-3</v>
      </c>
      <c r="EE15" s="12">
        <f t="shared" si="14"/>
        <v>1.698465103191741E-2</v>
      </c>
      <c r="EF15" s="12">
        <f t="shared" si="14"/>
        <v>5.5146115526321822E-3</v>
      </c>
      <c r="EG15" s="12">
        <f t="shared" si="14"/>
        <v>1.3080419128654016E-2</v>
      </c>
      <c r="EH15" s="12">
        <f t="shared" si="14"/>
        <v>3.5887952215029798E-4</v>
      </c>
      <c r="EI15" s="12">
        <f t="shared" si="14"/>
        <v>7.6810543975956507E-4</v>
      </c>
      <c r="EJ15" s="12">
        <f t="shared" si="14"/>
        <v>2.51103503885104E-3</v>
      </c>
      <c r="EK15" s="12">
        <f t="shared" si="14"/>
        <v>4.4896030913699481E-3</v>
      </c>
      <c r="EL15" s="12">
        <f t="shared" si="14"/>
        <v>8.3949890805820769E-5</v>
      </c>
    </row>
    <row r="17" spans="1:142" x14ac:dyDescent="0.55000000000000004">
      <c r="A17" s="12" t="s">
        <v>245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246</v>
      </c>
      <c r="B21" s="12">
        <f>1-SUM(C13:EL15)/SUM(C17:EL19)</f>
        <v>1.4833668885774198E-2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C10" sqref="C10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243</v>
      </c>
    </row>
    <row r="2" spans="1:142" ht="25" customHeight="1" x14ac:dyDescent="0.55000000000000004">
      <c r="A2" s="11" t="s">
        <v>247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5">
        <v>3.4946434776605882E-2</v>
      </c>
      <c r="D3" s="15">
        <v>4.9621152558988732E-2</v>
      </c>
      <c r="E3" s="15">
        <v>3.5213354523381528E-2</v>
      </c>
      <c r="F3" s="15">
        <v>3.528654428743689E-2</v>
      </c>
      <c r="G3" s="15">
        <v>2.6716500308212938E-2</v>
      </c>
      <c r="H3" s="15">
        <v>2.0847254063407979E-2</v>
      </c>
      <c r="I3" s="15">
        <v>2.868829063081851E-2</v>
      </c>
      <c r="J3" s="15">
        <v>3.022480975870807E-2</v>
      </c>
      <c r="K3" s="15">
        <v>3.5784184494395042E-2</v>
      </c>
      <c r="L3" s="15">
        <v>2.8873175879389701E-2</v>
      </c>
      <c r="M3" s="15">
        <v>3.676593961113666E-2</v>
      </c>
      <c r="N3" s="15">
        <v>2.597668483152624E-2</v>
      </c>
      <c r="O3" s="15">
        <v>3.9591469971915073E-2</v>
      </c>
      <c r="P3" s="15">
        <v>4.2728306638823203E-2</v>
      </c>
      <c r="Q3" s="15">
        <v>3.2209373169499553E-2</v>
      </c>
      <c r="R3" s="15">
        <v>2.990118621840895E-2</v>
      </c>
      <c r="S3" s="15">
        <v>3.2084464027181132E-2</v>
      </c>
      <c r="T3" s="15">
        <v>3.0145955261974309E-2</v>
      </c>
      <c r="U3" s="15">
        <v>3.1800877141706048E-2</v>
      </c>
      <c r="V3" s="15">
        <v>2.8571187496222571E-2</v>
      </c>
      <c r="W3" s="15">
        <v>2.4833809428850561E-2</v>
      </c>
      <c r="X3" s="15">
        <v>4.422438631770411E-2</v>
      </c>
      <c r="Y3" s="15">
        <v>3.058229410448237E-2</v>
      </c>
      <c r="Z3" s="15">
        <v>3.3248159660972533E-2</v>
      </c>
      <c r="AA3" s="15">
        <v>2.947324788874087E-2</v>
      </c>
      <c r="AB3" s="15">
        <v>3.5559252182618593E-2</v>
      </c>
      <c r="AC3" s="15">
        <v>3.3742425377551163E-2</v>
      </c>
      <c r="AD3" s="15">
        <v>2.9434183518290032E-2</v>
      </c>
      <c r="AE3" s="15">
        <v>3.8312600203871998E-2</v>
      </c>
      <c r="AF3" s="15">
        <v>3.5319598277822807E-2</v>
      </c>
      <c r="AG3" s="15">
        <v>2.7095981515837211E-2</v>
      </c>
      <c r="AH3" s="15">
        <v>2.4588044029715119E-2</v>
      </c>
      <c r="AI3" s="15">
        <v>3.7997597137220201E-2</v>
      </c>
      <c r="AJ3" s="15">
        <v>3.3911508457047913E-2</v>
      </c>
      <c r="AK3" s="15">
        <v>4.3063908641014483E-2</v>
      </c>
      <c r="AL3" s="15">
        <v>3.5336105491399851E-2</v>
      </c>
      <c r="AM3" s="15">
        <v>4.095453549730925E-2</v>
      </c>
      <c r="AN3" s="15">
        <v>3.9629739230367438E-2</v>
      </c>
      <c r="AO3" s="15">
        <v>5.8136437096450902E-2</v>
      </c>
      <c r="AP3" s="15">
        <v>5.3476675537943032E-2</v>
      </c>
      <c r="AQ3" s="15">
        <v>5.6036139285653083E-2</v>
      </c>
      <c r="AR3" s="15">
        <v>4.6184000737761667E-2</v>
      </c>
      <c r="AS3" s="15">
        <v>3.5389481532984962E-2</v>
      </c>
      <c r="AT3" s="15">
        <v>3.3505358739742738E-2</v>
      </c>
      <c r="AU3" s="15">
        <v>2.858092995705622E-2</v>
      </c>
      <c r="AV3" s="15">
        <v>4.5607815952215837E-2</v>
      </c>
      <c r="AW3" s="15">
        <v>4.0858801947929083E-2</v>
      </c>
      <c r="AX3" s="15">
        <v>3.912196816540315E-2</v>
      </c>
      <c r="AY3" s="15">
        <v>2.8330448117809479E-2</v>
      </c>
      <c r="AZ3" s="15">
        <v>3.4740726744102057E-2</v>
      </c>
      <c r="BA3" s="15">
        <v>4.1380134912733423E-2</v>
      </c>
      <c r="BB3" s="15">
        <v>3.8446530073234023E-2</v>
      </c>
      <c r="BC3" s="15">
        <v>3.9139660680907393E-2</v>
      </c>
      <c r="BD3" s="15">
        <v>3.4412713960316949E-2</v>
      </c>
      <c r="BE3" s="15">
        <v>3.1627384875007797E-2</v>
      </c>
      <c r="BF3" s="15">
        <v>3.2881306555447937E-2</v>
      </c>
      <c r="BG3" s="15">
        <v>2.7856516368044079E-2</v>
      </c>
      <c r="BH3" s="15">
        <v>3.9039450639835438E-2</v>
      </c>
      <c r="BI3" s="15">
        <v>3.868573434139564E-2</v>
      </c>
      <c r="BJ3" s="15">
        <v>4.2598863286148932E-2</v>
      </c>
      <c r="BK3" s="15">
        <v>4.3638506422424159E-2</v>
      </c>
      <c r="BL3" s="15">
        <v>4.1807312058529042E-2</v>
      </c>
      <c r="BM3" s="15">
        <v>3.5722916378634957E-2</v>
      </c>
      <c r="BN3" s="15">
        <v>3.5190578568229797E-2</v>
      </c>
      <c r="BO3" s="15">
        <v>3.5416976035990012E-2</v>
      </c>
      <c r="BP3" s="15">
        <v>3.713200657521562E-2</v>
      </c>
      <c r="BQ3" s="15">
        <v>3.7614323710702537E-2</v>
      </c>
      <c r="BR3" s="15">
        <v>3.7508213116778308E-2</v>
      </c>
      <c r="BS3" s="15">
        <v>3.7699116157691358E-2</v>
      </c>
      <c r="BT3" s="15">
        <v>3.6770936163800741E-2</v>
      </c>
      <c r="BU3" s="15">
        <v>3.6910402351608369E-2</v>
      </c>
      <c r="BV3" s="15">
        <v>3.6401345985563889E-2</v>
      </c>
      <c r="BW3" s="15">
        <v>3.5968201888952243E-2</v>
      </c>
      <c r="BX3" s="15">
        <v>4.360917134424671E-2</v>
      </c>
      <c r="BY3" s="15">
        <v>3.7211686504550583E-2</v>
      </c>
      <c r="BZ3" s="15">
        <v>3.6826352112766268E-2</v>
      </c>
      <c r="CA3" s="15">
        <v>3.4591508592700923E-2</v>
      </c>
      <c r="CB3" s="15">
        <v>3.4339760626077138E-2</v>
      </c>
      <c r="CC3" s="15">
        <v>2.0533243096777822E-2</v>
      </c>
      <c r="CD3" s="15">
        <v>2.2943200679351659E-2</v>
      </c>
      <c r="CE3" s="15">
        <v>3.2308526928274857E-2</v>
      </c>
      <c r="CF3" s="15">
        <v>4.7329405862239361E-2</v>
      </c>
      <c r="CG3" s="15">
        <v>3.7836284478803363E-2</v>
      </c>
      <c r="CH3" s="15">
        <v>3.8694495063321753E-2</v>
      </c>
      <c r="CI3" s="15">
        <v>3.3617094541697881E-2</v>
      </c>
      <c r="CJ3" s="15">
        <v>4.2975321891997098E-2</v>
      </c>
      <c r="CK3" s="15">
        <v>4.0264755165575199E-2</v>
      </c>
      <c r="CL3" s="15">
        <v>4.4693934288686933E-2</v>
      </c>
      <c r="CM3" s="15">
        <v>4.4606561803651169E-2</v>
      </c>
      <c r="CN3" s="15">
        <v>6.8577606946104749E-2</v>
      </c>
      <c r="CO3" s="15">
        <v>4.9189277148068387E-2</v>
      </c>
      <c r="CP3" s="15">
        <v>6.5607649619662367E-2</v>
      </c>
      <c r="CQ3" s="15">
        <v>4.3819863603946338E-2</v>
      </c>
      <c r="CR3" s="15">
        <v>5.6851400922781473E-2</v>
      </c>
      <c r="CS3" s="15">
        <v>6.2364412289304838E-2</v>
      </c>
      <c r="CT3" s="15">
        <v>4.9348826700518093E-2</v>
      </c>
      <c r="CU3" s="15">
        <v>5.0002233445896063E-2</v>
      </c>
      <c r="CV3" s="15">
        <v>5.3783352114565232E-2</v>
      </c>
      <c r="CW3" s="15">
        <v>4.673096388557773E-2</v>
      </c>
      <c r="CX3" s="15">
        <v>4.52857567116665E-2</v>
      </c>
      <c r="CY3" s="15">
        <v>3.9604666977184122E-2</v>
      </c>
      <c r="CZ3" s="15">
        <v>4.4391419906749573E-2</v>
      </c>
      <c r="DA3" s="15">
        <v>3.9334184018522997E-2</v>
      </c>
      <c r="DB3" s="15">
        <v>3.9618679725897638E-2</v>
      </c>
      <c r="DC3" s="15">
        <v>4.3580066674140057E-2</v>
      </c>
      <c r="DD3" s="15">
        <v>4.1743760534084302E-2</v>
      </c>
      <c r="DE3" s="15">
        <v>3.7124504209684453E-2</v>
      </c>
      <c r="DF3" s="15">
        <v>3.7667258315214808E-2</v>
      </c>
      <c r="DG3" s="15">
        <v>4.0633271347886857E-2</v>
      </c>
      <c r="DH3" s="15">
        <v>3.8849205925320061E-2</v>
      </c>
      <c r="DI3" s="15">
        <v>3.7289411512649348E-2</v>
      </c>
      <c r="DJ3" s="15">
        <v>3.7848875034311981E-2</v>
      </c>
      <c r="DK3" s="15">
        <v>3.462124141038013E-2</v>
      </c>
      <c r="DL3" s="15">
        <v>3.5944383409832997E-2</v>
      </c>
      <c r="DM3" s="15">
        <v>3.4440509329873713E-2</v>
      </c>
      <c r="DN3" s="15">
        <v>5.080663627630181E-2</v>
      </c>
      <c r="DO3" s="15">
        <v>4.4401319518395037E-2</v>
      </c>
      <c r="DP3" s="15">
        <v>4.0598389653240877E-2</v>
      </c>
      <c r="DQ3" s="15">
        <v>4.0608081786117911E-2</v>
      </c>
      <c r="DR3" s="15">
        <v>4.1794941830527198E-2</v>
      </c>
      <c r="DS3" s="15">
        <v>4.9788977885194548E-2</v>
      </c>
      <c r="DT3" s="15">
        <v>4.4966810815319433E-2</v>
      </c>
      <c r="DU3" s="15">
        <v>3.9216383622322187E-2</v>
      </c>
      <c r="DV3" s="15">
        <v>3.9953462868225757E-2</v>
      </c>
      <c r="DW3" s="15">
        <v>4.7966753162565323E-2</v>
      </c>
      <c r="DX3" s="15">
        <v>4.7135568202097168E-2</v>
      </c>
      <c r="DY3" s="15">
        <v>5.0681252776800433E-2</v>
      </c>
      <c r="DZ3" s="15">
        <v>4.4969453786410638E-2</v>
      </c>
      <c r="EA3" s="15">
        <v>4.4790390035127817E-2</v>
      </c>
      <c r="EB3" s="15">
        <v>4.605973794008926E-2</v>
      </c>
      <c r="EC3" s="15">
        <v>6.9799748019209198E-2</v>
      </c>
      <c r="ED3" s="15">
        <v>4.8948038728249647E-2</v>
      </c>
      <c r="EE3" s="15">
        <v>4.4489528267164347E-2</v>
      </c>
      <c r="EF3" s="15">
        <v>3.4297029215600711E-2</v>
      </c>
      <c r="EG3" s="15">
        <v>3.9822103911537593E-2</v>
      </c>
      <c r="EH3" s="15">
        <v>3.0749140984917121E-2</v>
      </c>
      <c r="EI3" s="15">
        <v>2.9755278459214E-2</v>
      </c>
      <c r="EJ3" s="15">
        <v>3.4738700682679341E-2</v>
      </c>
      <c r="EK3" s="15">
        <v>2.7110665601743609E-2</v>
      </c>
      <c r="EL3" s="15">
        <v>2.7595207896287419E-2</v>
      </c>
    </row>
    <row r="4" spans="1:142" ht="25" customHeight="1" x14ac:dyDescent="0.55000000000000004">
      <c r="B4" s="11" t="s">
        <v>144</v>
      </c>
      <c r="C4" s="15">
        <v>-3.3355064222238093E-2</v>
      </c>
      <c r="D4" s="15">
        <v>-3.6488953372440118E-2</v>
      </c>
      <c r="E4" s="15">
        <v>-6.2951631416598125E-2</v>
      </c>
      <c r="F4" s="15">
        <v>-0.10275806713399049</v>
      </c>
      <c r="G4" s="15">
        <v>-7.9484529512434218E-2</v>
      </c>
      <c r="H4" s="15">
        <v>-7.4637566723446097E-2</v>
      </c>
      <c r="I4" s="15">
        <v>-6.0303175593075208E-2</v>
      </c>
      <c r="J4" s="15">
        <v>-6.1221976553650498E-2</v>
      </c>
      <c r="K4" s="15">
        <v>-6.3454479623673996E-2</v>
      </c>
      <c r="L4" s="15">
        <v>-4.9031802460202369E-2</v>
      </c>
      <c r="M4" s="15">
        <v>-5.5965545208011017E-2</v>
      </c>
      <c r="N4" s="15">
        <v>-3.7127413566765903E-2</v>
      </c>
      <c r="O4" s="15">
        <v>-4.4851103408314323E-2</v>
      </c>
      <c r="P4" s="15">
        <v>-6.06099750017862E-2</v>
      </c>
      <c r="Q4" s="15">
        <v>-6.142030670402978E-2</v>
      </c>
      <c r="R4" s="15">
        <v>-4.2457092293346488E-2</v>
      </c>
      <c r="S4" s="15">
        <v>-4.0181376857841532E-2</v>
      </c>
      <c r="T4" s="15">
        <v>-4.3184261416348402E-2</v>
      </c>
      <c r="U4" s="15">
        <v>-2.5671025875257259E-2</v>
      </c>
      <c r="V4" s="15">
        <v>-2.056117449423971E-2</v>
      </c>
      <c r="W4" s="15">
        <v>-1.7030228493617319E-2</v>
      </c>
      <c r="X4" s="15">
        <v>-1.9491489513123999E-2</v>
      </c>
      <c r="Y4" s="15">
        <v>-4.4162740951198293E-2</v>
      </c>
      <c r="Z4" s="15">
        <v>-4.3992704142522127E-2</v>
      </c>
      <c r="AA4" s="15">
        <v>-3.3240344419281441E-2</v>
      </c>
      <c r="AB4" s="15">
        <v>-2.8357855227329171E-2</v>
      </c>
      <c r="AC4" s="15">
        <v>-1.7753826277809508E-2</v>
      </c>
      <c r="AD4" s="15">
        <v>-1.9392872894991808E-2</v>
      </c>
      <c r="AE4" s="15">
        <v>-3.1862058027578813E-2</v>
      </c>
      <c r="AF4" s="15">
        <v>-3.3734295719027647E-2</v>
      </c>
      <c r="AG4" s="15">
        <v>-5.2378694538196572E-3</v>
      </c>
      <c r="AH4" s="15">
        <v>-1.8241859678385711E-2</v>
      </c>
      <c r="AI4" s="15">
        <v>-2.828195859844675E-2</v>
      </c>
      <c r="AJ4" s="15">
        <v>-2.6355034026264958E-2</v>
      </c>
      <c r="AK4" s="15">
        <v>-2.9560930131039269E-2</v>
      </c>
      <c r="AL4" s="15">
        <v>-3.0371173622282331E-2</v>
      </c>
      <c r="AM4" s="15">
        <v>-2.2596310124050351E-2</v>
      </c>
      <c r="AN4" s="15">
        <v>-3.0254612721411198E-2</v>
      </c>
      <c r="AO4" s="15">
        <v>-2.871524100076818E-2</v>
      </c>
      <c r="AP4" s="15">
        <v>-3.4923895599449153E-2</v>
      </c>
      <c r="AQ4" s="15">
        <v>-3.0630802592385771E-2</v>
      </c>
      <c r="AR4" s="15">
        <v>-2.9429888192270871E-2</v>
      </c>
      <c r="AS4" s="15">
        <v>-2.674265330078859E-2</v>
      </c>
      <c r="AT4" s="15">
        <v>-1.6825419341331849E-2</v>
      </c>
      <c r="AU4" s="15">
        <v>-2.028990455098131E-2</v>
      </c>
      <c r="AV4" s="15">
        <v>-1.5552740324632551E-2</v>
      </c>
      <c r="AW4" s="15">
        <v>-4.2145772018226967E-2</v>
      </c>
      <c r="AX4" s="15">
        <v>-3.2834496930954221E-2</v>
      </c>
      <c r="AY4" s="15">
        <v>-3.0620786675402481E-2</v>
      </c>
      <c r="AZ4" s="15">
        <v>-3.2526573120253401E-2</v>
      </c>
      <c r="BA4" s="15">
        <v>-3.9596641638497188E-2</v>
      </c>
      <c r="BB4" s="15">
        <v>-4.0551604006990392E-2</v>
      </c>
      <c r="BC4" s="15">
        <v>-4.2756597752440471E-2</v>
      </c>
      <c r="BD4" s="15">
        <v>-3.5755727515210577E-2</v>
      </c>
      <c r="BE4" s="15">
        <v>-2.4508874482950669E-2</v>
      </c>
      <c r="BF4" s="15">
        <v>-3.4563199381908237E-2</v>
      </c>
      <c r="BG4" s="15">
        <v>-2.5490924642281039E-2</v>
      </c>
      <c r="BH4" s="15">
        <v>-1.6368300858497931E-2</v>
      </c>
      <c r="BI4" s="15">
        <v>-1.912200225379531E-2</v>
      </c>
      <c r="BJ4" s="15">
        <v>-2.5427524184918511E-2</v>
      </c>
      <c r="BK4" s="15">
        <v>-2.17006435544887E-2</v>
      </c>
      <c r="BL4" s="15">
        <v>-2.4482338097977681E-2</v>
      </c>
      <c r="BM4" s="15">
        <v>-1.190520358379419E-2</v>
      </c>
      <c r="BN4" s="15">
        <v>-1.4200643435024611E-2</v>
      </c>
      <c r="BO4" s="15">
        <v>-1.5729074905210499E-2</v>
      </c>
      <c r="BP4" s="15">
        <v>-6.6634100191326363E-3</v>
      </c>
      <c r="BQ4" s="15">
        <v>-1.4844203425268321E-2</v>
      </c>
      <c r="BR4" s="15">
        <v>-8.2762403872860633E-3</v>
      </c>
      <c r="BS4" s="15">
        <v>-7.2950252230793069E-3</v>
      </c>
      <c r="BT4" s="15">
        <v>-1.5208431311033581E-2</v>
      </c>
      <c r="BU4" s="15">
        <v>-2.3110477045322781E-2</v>
      </c>
      <c r="BV4" s="15">
        <v>-1.216829070540934E-2</v>
      </c>
      <c r="BW4" s="15">
        <v>1.9813464894211609E-3</v>
      </c>
      <c r="BX4" s="15">
        <v>-1.249368848288873E-2</v>
      </c>
      <c r="BY4" s="15">
        <v>-1.6627473803652881E-2</v>
      </c>
      <c r="BZ4" s="15">
        <v>-2.106371981363821E-2</v>
      </c>
      <c r="CA4" s="15">
        <v>-1.4410423139406501E-2</v>
      </c>
      <c r="CB4" s="15">
        <v>-1.373600487425279E-2</v>
      </c>
      <c r="CC4" s="15">
        <v>-2.747847105042156E-2</v>
      </c>
      <c r="CD4" s="15">
        <v>-2.655987022870682E-2</v>
      </c>
      <c r="CE4" s="15">
        <v>-2.6100224897020342E-2</v>
      </c>
      <c r="CF4" s="15">
        <v>-3.2061326258670031E-2</v>
      </c>
      <c r="CG4" s="15">
        <v>-4.4699162974103299E-2</v>
      </c>
      <c r="CH4" s="15">
        <v>-3.5557718292931598E-2</v>
      </c>
      <c r="CI4" s="15">
        <v>-2.2531867995524299E-2</v>
      </c>
      <c r="CJ4" s="15">
        <v>-2.659099589059899E-2</v>
      </c>
      <c r="CK4" s="15">
        <v>-2.437831543315613E-2</v>
      </c>
      <c r="CL4" s="15">
        <v>-2.0383839681311931E-2</v>
      </c>
      <c r="CM4" s="15">
        <v>-2.0543547316843411E-2</v>
      </c>
      <c r="CN4" s="15">
        <v>-2.5366972570714349E-2</v>
      </c>
      <c r="CO4" s="15">
        <v>2.1573222511172298E-2</v>
      </c>
      <c r="CP4" s="15">
        <v>2.9656602127605611E-2</v>
      </c>
      <c r="CQ4" s="15">
        <v>-2.1208981776241909E-3</v>
      </c>
      <c r="CR4" s="15">
        <v>-1.2445462205139609E-2</v>
      </c>
      <c r="CS4" s="15">
        <v>-4.8911607001063021E-2</v>
      </c>
      <c r="CT4" s="15">
        <v>-5.4515957193264943E-2</v>
      </c>
      <c r="CU4" s="15">
        <v>-3.6987684093879661E-2</v>
      </c>
      <c r="CV4" s="15">
        <v>-2.924450214174747E-2</v>
      </c>
      <c r="CW4" s="15">
        <v>-3.5566938337920538E-2</v>
      </c>
      <c r="CX4" s="15">
        <v>-3.611216821620989E-2</v>
      </c>
      <c r="CY4" s="15">
        <v>-3.5196660099825278E-2</v>
      </c>
      <c r="CZ4" s="15">
        <v>-4.1285248368278821E-2</v>
      </c>
      <c r="DA4" s="15">
        <v>-4.4832439126435537E-2</v>
      </c>
      <c r="DB4" s="15">
        <v>-6.2436972757434497E-2</v>
      </c>
      <c r="DC4" s="15">
        <v>-6.2527983186050365E-2</v>
      </c>
      <c r="DD4" s="15">
        <v>-7.5217163321935412E-2</v>
      </c>
      <c r="DE4" s="15">
        <v>-6.4404403928414081E-2</v>
      </c>
      <c r="DF4" s="15">
        <v>-5.549385494260705E-2</v>
      </c>
      <c r="DG4" s="15">
        <v>-6.0437770445375537E-2</v>
      </c>
      <c r="DH4" s="15">
        <v>-6.1846298042840378E-2</v>
      </c>
      <c r="DI4" s="15">
        <v>-1.46626202409976E-2</v>
      </c>
      <c r="DJ4" s="15">
        <v>-4.0786143047909028E-2</v>
      </c>
      <c r="DK4" s="15">
        <v>-5.7443401521016832E-2</v>
      </c>
      <c r="DL4" s="15">
        <v>-5.8112653779270121E-2</v>
      </c>
      <c r="DM4" s="15">
        <v>-3.958925014969409E-2</v>
      </c>
      <c r="DN4" s="15">
        <v>-2.92339481001627E-2</v>
      </c>
      <c r="DO4" s="15">
        <v>-2.8268200941545508E-2</v>
      </c>
      <c r="DP4" s="15">
        <v>-2.9909023795320532E-2</v>
      </c>
      <c r="DQ4" s="15">
        <v>-4.1956447946479403E-2</v>
      </c>
      <c r="DR4" s="15">
        <v>-5.4044080376143652E-2</v>
      </c>
      <c r="DS4" s="15">
        <v>-3.6840842476137732E-2</v>
      </c>
      <c r="DT4" s="15">
        <v>-4.7088988162664012E-2</v>
      </c>
      <c r="DU4" s="15">
        <v>-4.6590530666368382E-2</v>
      </c>
      <c r="DV4" s="15">
        <v>-4.8883186543154288E-2</v>
      </c>
      <c r="DW4" s="15">
        <v>2.4644963240671989E-3</v>
      </c>
      <c r="DX4" s="15">
        <v>-1.047701340170769E-2</v>
      </c>
      <c r="DY4" s="15">
        <v>-3.2988096646797901E-2</v>
      </c>
      <c r="DZ4" s="15">
        <v>-3.5035095730103293E-2</v>
      </c>
      <c r="EA4" s="15">
        <v>-3.4035185243979679E-2</v>
      </c>
      <c r="EB4" s="15">
        <v>-3.1294101648424583E-2</v>
      </c>
      <c r="EC4" s="15">
        <v>-4.2305892800109393E-2</v>
      </c>
      <c r="ED4" s="15">
        <v>-4.7144040894120831E-2</v>
      </c>
      <c r="EE4" s="15">
        <v>-3.9341877783157779E-2</v>
      </c>
      <c r="EF4" s="15">
        <v>-3.4428937404352961E-2</v>
      </c>
      <c r="EG4" s="15">
        <v>-2.5023765356573191E-2</v>
      </c>
      <c r="EH4" s="15">
        <v>-2.3959625271420482E-2</v>
      </c>
      <c r="EI4" s="15">
        <v>-3.1018058895392529E-2</v>
      </c>
      <c r="EJ4" s="15">
        <v>-3.019292868952464E-2</v>
      </c>
      <c r="EK4" s="15">
        <v>-1.9350280734914911E-2</v>
      </c>
      <c r="EL4" s="15">
        <v>1.0475928161918681E-2</v>
      </c>
    </row>
    <row r="5" spans="1:142" ht="25" customHeight="1" x14ac:dyDescent="0.55000000000000004">
      <c r="B5" s="14" t="s">
        <v>145</v>
      </c>
      <c r="C5" s="15">
        <v>1.7572591335771898E-2</v>
      </c>
      <c r="D5" s="15">
        <v>2.7010615886725878E-2</v>
      </c>
      <c r="E5" s="15">
        <v>1.6464920986043539E-2</v>
      </c>
      <c r="F5" s="15">
        <v>2.163583339118199E-2</v>
      </c>
      <c r="G5" s="15">
        <v>2.7978795117450529E-2</v>
      </c>
      <c r="H5" s="15">
        <v>1.82572498185327E-2</v>
      </c>
      <c r="I5" s="15">
        <v>2.262258433052575E-2</v>
      </c>
      <c r="J5" s="15">
        <v>2.4224717545351319E-2</v>
      </c>
      <c r="K5" s="15">
        <v>3.7030631729839399E-2</v>
      </c>
      <c r="L5" s="15">
        <v>2.1715734909504909E-2</v>
      </c>
      <c r="M5" s="15">
        <v>2.3471025446345321E-2</v>
      </c>
      <c r="N5" s="15">
        <v>2.9600842590959759E-2</v>
      </c>
      <c r="O5" s="15">
        <v>3.078080458498781E-2</v>
      </c>
      <c r="P5" s="15">
        <v>1.3958200077604069E-2</v>
      </c>
      <c r="Q5" s="15">
        <v>2.3899925490751529E-2</v>
      </c>
      <c r="R5" s="15">
        <v>2.827365648927253E-2</v>
      </c>
      <c r="S5" s="15">
        <v>2.8277502684533939E-2</v>
      </c>
      <c r="T5" s="15">
        <v>3.0791608587896192E-2</v>
      </c>
      <c r="U5" s="15">
        <v>3.8990634744788283E-2</v>
      </c>
      <c r="V5" s="15">
        <v>4.795564524908115E-2</v>
      </c>
      <c r="W5" s="15">
        <v>5.1885589069397997E-2</v>
      </c>
      <c r="X5" s="15">
        <v>1.8552140443308319E-2</v>
      </c>
      <c r="Y5" s="15">
        <v>1.942137293110377E-2</v>
      </c>
      <c r="Z5" s="15">
        <v>1.0422650426952311E-2</v>
      </c>
      <c r="AA5" s="15">
        <v>4.4481250419906457E-2</v>
      </c>
      <c r="AB5" s="15">
        <v>3.0099617840507689E-4</v>
      </c>
      <c r="AC5" s="15">
        <v>2.9870176157596909E-2</v>
      </c>
      <c r="AD5" s="15">
        <v>4.2866569757687677E-3</v>
      </c>
      <c r="AE5" s="15">
        <v>1.5671647496547189E-2</v>
      </c>
      <c r="AF5" s="15">
        <v>1.2668564364488089E-2</v>
      </c>
      <c r="AG5" s="15">
        <v>2.6776108631906659E-2</v>
      </c>
      <c r="AH5" s="15">
        <v>1.320201957735115E-2</v>
      </c>
      <c r="AI5" s="15">
        <v>1.7989730154352481E-2</v>
      </c>
      <c r="AJ5" s="15">
        <v>1.88525604364338E-2</v>
      </c>
      <c r="AK5" s="15">
        <v>2.0751209643580199E-2</v>
      </c>
      <c r="AL5" s="15">
        <v>1.7139197858594139E-2</v>
      </c>
      <c r="AM5" s="15">
        <v>1.4073911718798781E-2</v>
      </c>
      <c r="AN5" s="15">
        <v>7.2133540700708753E-3</v>
      </c>
      <c r="AO5" s="15">
        <v>1.940927693450302E-2</v>
      </c>
      <c r="AP5" s="15">
        <v>1.8788509035915509E-2</v>
      </c>
      <c r="AQ5" s="15">
        <v>2.576627301502598E-2</v>
      </c>
      <c r="AR5" s="15">
        <v>2.4567308164613721E-2</v>
      </c>
      <c r="AS5" s="15">
        <v>2.0403411209288149E-2</v>
      </c>
      <c r="AT5" s="15">
        <v>1.8350318395403482E-2</v>
      </c>
      <c r="AU5" s="15">
        <v>1.835820201641138E-2</v>
      </c>
      <c r="AV5" s="15">
        <v>3.066534075451257E-2</v>
      </c>
      <c r="AW5" s="15">
        <v>2.4171945032875768E-2</v>
      </c>
      <c r="AX5" s="15">
        <v>2.9301659150937479E-2</v>
      </c>
      <c r="AY5" s="15">
        <v>2.3524836383218169E-2</v>
      </c>
      <c r="AZ5" s="15">
        <v>1.619862131729324E-2</v>
      </c>
      <c r="BA5" s="15">
        <v>2.4361905285368031E-2</v>
      </c>
      <c r="BB5" s="15">
        <v>2.0847801686724499E-2</v>
      </c>
      <c r="BC5" s="15">
        <v>1.87405260419569E-2</v>
      </c>
      <c r="BD5" s="15">
        <v>-8.4357435055720787E-4</v>
      </c>
      <c r="BE5" s="15">
        <v>1.348963928267881E-2</v>
      </c>
      <c r="BF5" s="15">
        <v>1.209566450250129E-2</v>
      </c>
      <c r="BG5" s="15">
        <v>6.2031443455100891E-3</v>
      </c>
      <c r="BH5" s="15">
        <v>-1.9361090801528601E-2</v>
      </c>
      <c r="BI5" s="15">
        <v>-3.9799382821201407E-2</v>
      </c>
      <c r="BJ5" s="15">
        <v>-2.5457167335488549E-2</v>
      </c>
      <c r="BK5" s="15">
        <v>-1.9477643618262701E-2</v>
      </c>
      <c r="BL5" s="15">
        <v>-9.1218955270848633E-3</v>
      </c>
      <c r="BM5" s="15">
        <v>-1.4374787989500121E-2</v>
      </c>
      <c r="BN5" s="15">
        <v>-3.337400836610268E-2</v>
      </c>
      <c r="BO5" s="15">
        <v>-8.1813085035434014E-3</v>
      </c>
      <c r="BP5" s="15">
        <v>6.9701293808654514E-3</v>
      </c>
      <c r="BQ5" s="15">
        <v>9.2463391673495484E-3</v>
      </c>
      <c r="BR5" s="15">
        <v>2.283635783955484E-2</v>
      </c>
      <c r="BS5" s="15">
        <v>2.006030851870538E-2</v>
      </c>
      <c r="BT5" s="15">
        <v>1.4916967327142641E-2</v>
      </c>
      <c r="BU5" s="15">
        <v>1.9043070262766151E-2</v>
      </c>
      <c r="BV5" s="15">
        <v>1.6822997184360571E-2</v>
      </c>
      <c r="BW5" s="15">
        <v>1.6684982593413372E-2</v>
      </c>
      <c r="BX5" s="15">
        <v>1.3546322627577229E-2</v>
      </c>
      <c r="BY5" s="15">
        <v>8.8355555990224949E-3</v>
      </c>
      <c r="BZ5" s="15">
        <v>1.6244439848805359E-2</v>
      </c>
      <c r="CA5" s="15">
        <v>1.5969795684615099E-2</v>
      </c>
      <c r="CB5" s="15">
        <v>2.631438398547604E-3</v>
      </c>
      <c r="CC5" s="15">
        <v>1.882978449558451E-2</v>
      </c>
      <c r="CD5" s="15">
        <v>2.2816767220746569E-2</v>
      </c>
      <c r="CE5" s="15">
        <v>2.6077729361186529E-2</v>
      </c>
      <c r="CF5" s="15">
        <v>1.499489024735514E-2</v>
      </c>
      <c r="CG5" s="15">
        <v>2.6164856394656419E-3</v>
      </c>
      <c r="CH5" s="15">
        <v>1.6072216687681739E-3</v>
      </c>
      <c r="CI5" s="15">
        <v>-5.8853693828171327E-3</v>
      </c>
      <c r="CJ5" s="15">
        <v>-1.1516856996570801E-2</v>
      </c>
      <c r="CK5" s="15">
        <v>-1.071601597092706E-2</v>
      </c>
      <c r="CL5" s="15">
        <v>1.1313839274602489E-2</v>
      </c>
      <c r="CM5" s="15">
        <v>6.5575598939352948E-3</v>
      </c>
      <c r="CN5" s="15">
        <v>1.1422092272016829E-2</v>
      </c>
      <c r="CO5" s="15">
        <v>1.128965325550671E-2</v>
      </c>
      <c r="CP5" s="15">
        <v>5.1481957855028113E-2</v>
      </c>
      <c r="CQ5" s="15">
        <v>3.1199047837396739E-2</v>
      </c>
      <c r="CR5" s="15">
        <v>2.5421195525684968E-2</v>
      </c>
      <c r="CS5" s="15">
        <v>-3.0207556615997611E-3</v>
      </c>
      <c r="CT5" s="15">
        <v>7.5623451229431043E-4</v>
      </c>
      <c r="CU5" s="15">
        <v>7.2781568876731156E-4</v>
      </c>
      <c r="CV5" s="15">
        <v>9.3529038856204165E-3</v>
      </c>
      <c r="CW5" s="15">
        <v>-2.9667861932934879E-2</v>
      </c>
      <c r="CX5" s="15">
        <v>-1.0507272884670189E-2</v>
      </c>
      <c r="CY5" s="15">
        <v>9.7452893907925726E-3</v>
      </c>
      <c r="CZ5" s="15">
        <v>-7.5353985902828378E-3</v>
      </c>
      <c r="DA5" s="15">
        <v>1.3131139356618519E-2</v>
      </c>
      <c r="DB5" s="15">
        <v>4.2211342139132279E-3</v>
      </c>
      <c r="DC5" s="15">
        <v>1.093994226186313E-2</v>
      </c>
      <c r="DD5" s="15">
        <v>2.4409705725089211E-2</v>
      </c>
      <c r="DE5" s="15">
        <v>1.604921204657048E-2</v>
      </c>
      <c r="DF5" s="15">
        <v>1.667716987176554E-2</v>
      </c>
      <c r="DG5" s="15">
        <v>-3.8317962817908898E-3</v>
      </c>
      <c r="DH5" s="15">
        <v>7.3512111038037927E-3</v>
      </c>
      <c r="DI5" s="15">
        <v>-1.030442488724889E-2</v>
      </c>
      <c r="DJ5" s="15">
        <v>5.2456116056685776E-3</v>
      </c>
      <c r="DK5" s="15">
        <v>6.9237939715896509E-3</v>
      </c>
      <c r="DL5" s="15">
        <v>1.614164071279639E-2</v>
      </c>
      <c r="DM5" s="15">
        <v>1.6766743050984158E-2</v>
      </c>
      <c r="DN5" s="15">
        <v>1.4232797538885089E-2</v>
      </c>
      <c r="DO5" s="15">
        <v>1.453166794491163E-2</v>
      </c>
      <c r="DP5" s="15">
        <v>1.476260228029823E-2</v>
      </c>
      <c r="DQ5" s="15">
        <v>9.2205535843162996E-3</v>
      </c>
      <c r="DR5" s="15">
        <v>-2.0837362258463069E-2</v>
      </c>
      <c r="DS5" s="15">
        <v>5.7274386040173687E-3</v>
      </c>
      <c r="DT5" s="15">
        <v>4.0239894875113217E-4</v>
      </c>
      <c r="DU5" s="15">
        <v>1.369607227793021E-2</v>
      </c>
      <c r="DV5" s="15">
        <v>1.81797983000145E-2</v>
      </c>
      <c r="DW5" s="15">
        <v>2.0373538370568042E-2</v>
      </c>
      <c r="DX5" s="15">
        <v>1.6416783684434461E-2</v>
      </c>
      <c r="DY5" s="15">
        <v>1.4901535770104739E-2</v>
      </c>
      <c r="DZ5" s="15">
        <v>1.5353815388371319E-2</v>
      </c>
      <c r="EA5" s="15">
        <v>1.6682695081811649E-2</v>
      </c>
      <c r="EB5" s="15">
        <v>1.820220102928315E-2</v>
      </c>
      <c r="EC5" s="15">
        <v>-4.4638342298786941E-3</v>
      </c>
      <c r="ED5" s="15">
        <v>-4.6981036382316961E-3</v>
      </c>
      <c r="EE5" s="15">
        <v>1.264171640489712E-3</v>
      </c>
      <c r="EF5" s="15">
        <v>8.5178790602471154E-3</v>
      </c>
      <c r="EG5" s="15">
        <v>-2.853172849498869E-3</v>
      </c>
      <c r="EH5" s="15">
        <v>-7.6033835936986848E-3</v>
      </c>
      <c r="EI5" s="15">
        <v>-5.3008409367301841E-3</v>
      </c>
      <c r="EJ5" s="15">
        <v>-4.1330562633494598E-3</v>
      </c>
      <c r="EK5" s="15">
        <v>-2.2310332755631338E-3</v>
      </c>
      <c r="EL5" s="15">
        <v>5.5219188045471258E-3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248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249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1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1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250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0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0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1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1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1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1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1</v>
      </c>
      <c r="CB15" s="12">
        <f t="shared" si="12"/>
        <v>1</v>
      </c>
      <c r="CC15" s="12">
        <f t="shared" si="12"/>
        <v>1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1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1</v>
      </c>
      <c r="DI15" s="12">
        <f t="shared" si="13"/>
        <v>0</v>
      </c>
      <c r="DJ15" s="12">
        <f t="shared" si="13"/>
        <v>1</v>
      </c>
      <c r="DK15" s="12">
        <f t="shared" si="13"/>
        <v>1</v>
      </c>
      <c r="DL15" s="12">
        <f t="shared" si="13"/>
        <v>1</v>
      </c>
      <c r="DM15" s="12">
        <f t="shared" si="13"/>
        <v>1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249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148</v>
      </c>
    </row>
    <row r="17" spans="1:142" ht="25" customHeight="1" x14ac:dyDescent="0.55000000000000004">
      <c r="A17" s="12" t="s">
        <v>251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252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0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0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0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1</v>
      </c>
      <c r="K19" s="12">
        <f t="shared" si="25"/>
        <v>0</v>
      </c>
      <c r="L19" s="12">
        <f t="shared" si="25"/>
        <v>1</v>
      </c>
      <c r="M19" s="12">
        <f t="shared" si="25"/>
        <v>0</v>
      </c>
      <c r="N19" s="12">
        <f t="shared" si="25"/>
        <v>1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1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1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1</v>
      </c>
      <c r="BA19" s="12">
        <f t="shared" si="26"/>
        <v>1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1</v>
      </c>
      <c r="BG19" s="12">
        <f t="shared" si="26"/>
        <v>1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1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1</v>
      </c>
      <c r="CF19" s="12">
        <f t="shared" si="27"/>
        <v>1</v>
      </c>
      <c r="CG19" s="12">
        <f t="shared" si="27"/>
        <v>1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1</v>
      </c>
      <c r="EF19" s="12">
        <f t="shared" si="29"/>
        <v>1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7" t="s">
        <v>251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111</v>
      </c>
    </row>
    <row r="21" spans="1:142" ht="25" customHeight="1" x14ac:dyDescent="0.55000000000000004">
      <c r="A21" s="12" t="s">
        <v>253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254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1</v>
      </c>
      <c r="U22" s="12">
        <f t="shared" si="35"/>
        <v>1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1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1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1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1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1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0</v>
      </c>
      <c r="DI23" s="12">
        <f t="shared" si="43"/>
        <v>1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1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253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60</v>
      </c>
    </row>
    <row r="25" spans="1:142" ht="25" customHeight="1" x14ac:dyDescent="0.55000000000000004">
      <c r="A25" s="12" t="s">
        <v>255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256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1</v>
      </c>
      <c r="O26" s="12">
        <f t="shared" si="50"/>
        <v>1</v>
      </c>
      <c r="P26" s="12">
        <f t="shared" si="50"/>
        <v>0</v>
      </c>
      <c r="Q26" s="12">
        <f t="shared" si="50"/>
        <v>1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1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0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1</v>
      </c>
      <c r="BR26" s="12">
        <f t="shared" si="52"/>
        <v>1</v>
      </c>
      <c r="BS26" s="12">
        <f t="shared" si="52"/>
        <v>1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1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1</v>
      </c>
      <c r="CW26" s="12">
        <f t="shared" si="53"/>
        <v>1</v>
      </c>
      <c r="CX26" s="12">
        <f t="shared" si="53"/>
        <v>1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1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1</v>
      </c>
      <c r="DS26" s="12">
        <f t="shared" si="53"/>
        <v>1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0</v>
      </c>
      <c r="BH27" s="12">
        <f t="shared" si="56"/>
        <v>1</v>
      </c>
      <c r="BI27" s="12">
        <f t="shared" si="56"/>
        <v>1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1</v>
      </c>
      <c r="CY27" s="12">
        <f t="shared" si="58"/>
        <v>0</v>
      </c>
      <c r="CZ27" s="12">
        <f t="shared" si="58"/>
        <v>1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1</v>
      </c>
      <c r="ED27" s="12">
        <f t="shared" si="59"/>
        <v>0</v>
      </c>
      <c r="EE27" s="12">
        <f t="shared" si="59"/>
        <v>0</v>
      </c>
      <c r="EF27" s="12">
        <f t="shared" si="59"/>
        <v>0</v>
      </c>
      <c r="EG27" s="12">
        <f t="shared" si="59"/>
        <v>1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7" t="s">
        <v>255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101</v>
      </c>
    </row>
    <row r="30" spans="1:142" ht="25" customHeight="1" x14ac:dyDescent="0.55000000000000004">
      <c r="A30" s="12" t="s">
        <v>257</v>
      </c>
      <c r="B30" s="12" t="s">
        <v>258</v>
      </c>
      <c r="C30" s="16">
        <f>(C16+C28)/(C16+C28+C20+C24)</f>
        <v>0.59285714285714286</v>
      </c>
    </row>
    <row r="31" spans="1:142" ht="25" customHeight="1" x14ac:dyDescent="0.55000000000000004">
      <c r="A31" s="12" t="s">
        <v>259</v>
      </c>
      <c r="B31" s="12" t="s">
        <v>260</v>
      </c>
      <c r="C31" s="16">
        <f>C16/(C16+C20)</f>
        <v>0.5714285714285714</v>
      </c>
    </row>
    <row r="32" spans="1:142" ht="25" customHeight="1" x14ac:dyDescent="0.55000000000000004">
      <c r="A32" s="12" t="s">
        <v>261</v>
      </c>
      <c r="B32" s="12" t="s">
        <v>262</v>
      </c>
      <c r="C32" s="16">
        <f>C16/(C16+C24)</f>
        <v>0.71153846153846156</v>
      </c>
    </row>
    <row r="33" spans="1:3" ht="25" customHeight="1" x14ac:dyDescent="0.55000000000000004">
      <c r="A33" s="12" t="s">
        <v>263</v>
      </c>
      <c r="B33" s="12" t="s">
        <v>264</v>
      </c>
      <c r="C33" s="16">
        <f>2*(C31*C32)/(C31+C32)</f>
        <v>0.63383297644539616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2026-01-03T05:58:16Z</dcterms:modified>
</cp:coreProperties>
</file>