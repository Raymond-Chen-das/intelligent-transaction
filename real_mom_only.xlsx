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1C39A0B7-61F5-4278-988D-556152123059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真實IC" sheetId="1" r:id="rId1"/>
    <sheet name="勝率" sheetId="2" r:id="rId2"/>
    <sheet name="累積報酬" sheetId="3" r:id="rId3"/>
    <sheet name="畫圖0" sheetId="4" state="hidden" r:id="rId4"/>
    <sheet name="畫圖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5" i="4" l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G24" i="4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E24" i="4"/>
  <c r="F24" i="4" s="1"/>
  <c r="D24" i="4"/>
  <c r="E23" i="4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D23" i="4"/>
  <c r="G22" i="4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F22" i="4"/>
  <c r="D22" i="4"/>
  <c r="E22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E20" i="4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D20" i="4"/>
  <c r="F19" i="4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E19" i="4"/>
  <c r="D19" i="4"/>
  <c r="F18" i="4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E18" i="4"/>
  <c r="D18" i="4"/>
  <c r="CW17" i="4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E16" i="4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D16" i="4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I13" i="4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E13" i="4"/>
  <c r="F13" i="4" s="1"/>
  <c r="G13" i="4" s="1"/>
  <c r="H13" i="4" s="1"/>
  <c r="D13" i="4"/>
  <c r="J12" i="4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E12" i="4" s="1"/>
  <c r="F12" i="4" s="1"/>
  <c r="G12" i="4" s="1"/>
  <c r="H12" i="4" s="1"/>
  <c r="I12" i="4" s="1"/>
  <c r="EI8" i="4"/>
  <c r="EE8" i="4"/>
  <c r="ED8" i="4"/>
  <c r="DU8" i="4"/>
  <c r="DR8" i="4"/>
  <c r="DQ8" i="4"/>
  <c r="DO8" i="4"/>
  <c r="DI8" i="4"/>
  <c r="DE8" i="4"/>
  <c r="DA8" i="4"/>
  <c r="CY8" i="4"/>
  <c r="CW8" i="4"/>
  <c r="CS8" i="4"/>
  <c r="CM8" i="4"/>
  <c r="CL8" i="4"/>
  <c r="CJ8" i="4"/>
  <c r="CI8" i="4"/>
  <c r="CA8" i="4"/>
  <c r="BZ8" i="4"/>
  <c r="BY8" i="4"/>
  <c r="BW8" i="4"/>
  <c r="BN8" i="4"/>
  <c r="BM8" i="4"/>
  <c r="BL8" i="4"/>
  <c r="BK8" i="4"/>
  <c r="BI8" i="4"/>
  <c r="BB8" i="4"/>
  <c r="AY8" i="4"/>
  <c r="AT8" i="4"/>
  <c r="AM8" i="4"/>
  <c r="AL8" i="4"/>
  <c r="AK8" i="4"/>
  <c r="AH8" i="4"/>
  <c r="AC8" i="4"/>
  <c r="AA8" i="4"/>
  <c r="Y8" i="4"/>
  <c r="Q8" i="4"/>
  <c r="O8" i="4"/>
  <c r="N8" i="4"/>
  <c r="J8" i="4"/>
  <c r="G8" i="4"/>
  <c r="D8" i="4"/>
  <c r="C8" i="4"/>
  <c r="EI7" i="4"/>
  <c r="EH7" i="4"/>
  <c r="EE7" i="4"/>
  <c r="EB7" i="4"/>
  <c r="EA7" i="4"/>
  <c r="DW7" i="4"/>
  <c r="DR7" i="4"/>
  <c r="DN7" i="4"/>
  <c r="DL7" i="4"/>
  <c r="DI7" i="4"/>
  <c r="DE7" i="4"/>
  <c r="CZ7" i="4"/>
  <c r="CY7" i="4"/>
  <c r="CW7" i="4"/>
  <c r="CV7" i="4"/>
  <c r="CU7" i="4"/>
  <c r="CS7" i="4"/>
  <c r="CM7" i="4"/>
  <c r="CL7" i="4"/>
  <c r="CJ7" i="4"/>
  <c r="CI7" i="4"/>
  <c r="CF7" i="4"/>
  <c r="BY7" i="4"/>
  <c r="BX7" i="4"/>
  <c r="BW7" i="4"/>
  <c r="BN7" i="4"/>
  <c r="BM7" i="4"/>
  <c r="BL7" i="4"/>
  <c r="BK7" i="4"/>
  <c r="BG7" i="4"/>
  <c r="BF7" i="4"/>
  <c r="BC7" i="4"/>
  <c r="BB7" i="4"/>
  <c r="BA7" i="4"/>
  <c r="AM7" i="4"/>
  <c r="AK7" i="4"/>
  <c r="AA7" i="4"/>
  <c r="Y7" i="4"/>
  <c r="U7" i="4"/>
  <c r="T7" i="4"/>
  <c r="Q7" i="4"/>
  <c r="O7" i="4"/>
  <c r="L7" i="4"/>
  <c r="EL6" i="4" a="1"/>
  <c r="EL6" i="4" s="1"/>
  <c r="EK6" i="4" a="1"/>
  <c r="EK6" i="4"/>
  <c r="EJ6" i="4" a="1"/>
  <c r="EJ6" i="4" s="1"/>
  <c r="EI6" i="4" a="1"/>
  <c r="EI6" i="4"/>
  <c r="EH6" i="4" a="1"/>
  <c r="EH6" i="4"/>
  <c r="EH8" i="4" s="1"/>
  <c r="EG6" i="4" a="1"/>
  <c r="EG6" i="4" s="1"/>
  <c r="EF6" i="4" a="1"/>
  <c r="EF6" i="4" s="1"/>
  <c r="EE6" i="4" a="1"/>
  <c r="EE6" i="4" s="1"/>
  <c r="ED6" i="4" a="1"/>
  <c r="ED6" i="4" s="1"/>
  <c r="ED7" i="4" s="1"/>
  <c r="EC6" i="4" a="1"/>
  <c r="EC6" i="4"/>
  <c r="EB6" i="4" a="1"/>
  <c r="EB6" i="4"/>
  <c r="EB8" i="4" s="1"/>
  <c r="EA6" i="4" a="1"/>
  <c r="EA6" i="4" s="1"/>
  <c r="EA8" i="4" s="1"/>
  <c r="DZ6" i="4" a="1"/>
  <c r="DZ6" i="4"/>
  <c r="DZ8" i="4" s="1"/>
  <c r="DY6" i="4" a="1"/>
  <c r="DY6" i="4"/>
  <c r="DX6" i="4" a="1"/>
  <c r="DX6" i="4"/>
  <c r="DW6" i="4" a="1"/>
  <c r="DW6" i="4" s="1"/>
  <c r="DW8" i="4" s="1"/>
  <c r="DV6" i="4" a="1"/>
  <c r="DV6" i="4"/>
  <c r="DV7" i="4" s="1"/>
  <c r="DU6" i="4" a="1"/>
  <c r="DU6" i="4"/>
  <c r="DU7" i="4" s="1"/>
  <c r="DT6" i="4" a="1"/>
  <c r="DT6" i="4" s="1"/>
  <c r="DS6" i="4" a="1"/>
  <c r="DS6" i="4" s="1"/>
  <c r="DR6" i="4" a="1"/>
  <c r="DR6" i="4" s="1"/>
  <c r="DQ6" i="4" a="1"/>
  <c r="DQ6" i="4"/>
  <c r="DQ7" i="4" s="1"/>
  <c r="DP6" i="4" a="1"/>
  <c r="DP6" i="4" s="1"/>
  <c r="DO6" i="4" a="1"/>
  <c r="DO6" i="4"/>
  <c r="DO7" i="4" s="1"/>
  <c r="DN6" i="4" a="1"/>
  <c r="DN6" i="4" s="1"/>
  <c r="DN8" i="4" s="1"/>
  <c r="DM6" i="4" a="1"/>
  <c r="DM6" i="4"/>
  <c r="DM7" i="4" s="1"/>
  <c r="DL6" i="4" a="1"/>
  <c r="DL6" i="4"/>
  <c r="DL8" i="4" s="1"/>
  <c r="DK6" i="4" a="1"/>
  <c r="DK6" i="4"/>
  <c r="DJ6" i="4" a="1"/>
  <c r="DJ6" i="4"/>
  <c r="DI6" i="4" a="1"/>
  <c r="DI6" i="4" s="1"/>
  <c r="DH6" i="4" a="1"/>
  <c r="DH6" i="4"/>
  <c r="DH8" i="4" s="1"/>
  <c r="DG6" i="4" a="1"/>
  <c r="DG6" i="4"/>
  <c r="DF6" i="4" a="1"/>
  <c r="DF6" i="4" s="1"/>
  <c r="DE6" i="4" a="1"/>
  <c r="DE6" i="4" s="1"/>
  <c r="DD6" i="4" a="1"/>
  <c r="DD6" i="4"/>
  <c r="DC6" i="4" a="1"/>
  <c r="DC6" i="4"/>
  <c r="DB6" i="4" a="1"/>
  <c r="DB6" i="4"/>
  <c r="DA6" i="4" a="1"/>
  <c r="DA6" i="4"/>
  <c r="DA7" i="4" s="1"/>
  <c r="CZ6" i="4" a="1"/>
  <c r="CZ6" i="4"/>
  <c r="CZ8" i="4" s="1"/>
  <c r="CY6" i="4" a="1"/>
  <c r="CY6" i="4"/>
  <c r="CX6" i="4" a="1"/>
  <c r="CX6" i="4" s="1"/>
  <c r="CX7" i="4" s="1"/>
  <c r="CW6" i="4" a="1"/>
  <c r="CW6" i="4"/>
  <c r="CV6" i="4" a="1"/>
  <c r="CV6" i="4"/>
  <c r="CV8" i="4" s="1"/>
  <c r="CU6" i="4" a="1"/>
  <c r="CU6" i="4"/>
  <c r="CU8" i="4" s="1"/>
  <c r="CT6" i="4" a="1"/>
  <c r="CT6" i="4" s="1"/>
  <c r="CS6" i="4" a="1"/>
  <c r="CS6" i="4"/>
  <c r="CR6" i="4" a="1"/>
  <c r="CR6" i="4"/>
  <c r="CQ6" i="4" a="1"/>
  <c r="CQ6" i="4"/>
  <c r="CP6" i="4" a="1"/>
  <c r="CP6" i="4"/>
  <c r="CO6" i="4" a="1"/>
  <c r="CO6" i="4"/>
  <c r="CO8" i="4" s="1"/>
  <c r="CN6" i="4" a="1"/>
  <c r="CN6" i="4"/>
  <c r="CM6" i="4" a="1"/>
  <c r="CM6" i="4" s="1"/>
  <c r="CL6" i="4" a="1"/>
  <c r="CL6" i="4" s="1"/>
  <c r="CK6" i="4" a="1"/>
  <c r="CK6" i="4" s="1"/>
  <c r="CK7" i="4" s="1"/>
  <c r="CJ6" i="4" a="1"/>
  <c r="CJ6" i="4"/>
  <c r="CI6" i="4" a="1"/>
  <c r="CI6" i="4" s="1"/>
  <c r="CH6" i="4" a="1"/>
  <c r="CH6" i="4"/>
  <c r="CG6" i="4" a="1"/>
  <c r="CG6" i="4"/>
  <c r="CF6" i="4" a="1"/>
  <c r="CF6" i="4"/>
  <c r="CF8" i="4" s="1"/>
  <c r="CE6" i="4" a="1"/>
  <c r="CE6" i="4"/>
  <c r="CE7" i="4" s="1"/>
  <c r="CD6" i="4" a="1"/>
  <c r="CD6" i="4"/>
  <c r="CC6" i="4" a="1"/>
  <c r="CC6" i="4"/>
  <c r="CB6" i="4" a="1"/>
  <c r="CB6" i="4" s="1"/>
  <c r="CA6" i="4" a="1"/>
  <c r="CA6" i="4"/>
  <c r="CA7" i="4" s="1"/>
  <c r="BZ6" i="4" a="1"/>
  <c r="BZ6" i="4" s="1"/>
  <c r="BZ7" i="4" s="1"/>
  <c r="BY6" i="4" a="1"/>
  <c r="BY6" i="4"/>
  <c r="BX6" i="4" a="1"/>
  <c r="BX6" i="4" s="1"/>
  <c r="BX8" i="4" s="1"/>
  <c r="BW6" i="4" a="1"/>
  <c r="BW6" i="4"/>
  <c r="BV6" i="4" a="1"/>
  <c r="BV6" i="4"/>
  <c r="BV7" i="4" s="1"/>
  <c r="BU6" i="4" a="1"/>
  <c r="BU6" i="4"/>
  <c r="BU8" i="4" s="1"/>
  <c r="BT6" i="4" a="1"/>
  <c r="BT6" i="4" s="1"/>
  <c r="BS6" i="4" a="1"/>
  <c r="BS6" i="4"/>
  <c r="BR6" i="4" a="1"/>
  <c r="BR6" i="4"/>
  <c r="BQ6" i="4" a="1"/>
  <c r="BQ6" i="4" s="1"/>
  <c r="BP6" i="4" a="1"/>
  <c r="BP6" i="4"/>
  <c r="BO6" i="4" a="1"/>
  <c r="BO6" i="4" s="1"/>
  <c r="BN6" i="4" a="1"/>
  <c r="BN6" i="4" s="1"/>
  <c r="BM6" i="4" a="1"/>
  <c r="BM6" i="4" s="1"/>
  <c r="BL6" i="4" a="1"/>
  <c r="BL6" i="4"/>
  <c r="BK6" i="4" a="1"/>
  <c r="BK6" i="4"/>
  <c r="BJ6" i="4" a="1"/>
  <c r="BJ6" i="4" s="1"/>
  <c r="BI6" i="4" a="1"/>
  <c r="BI6" i="4"/>
  <c r="BI7" i="4" s="1"/>
  <c r="BH6" i="4" a="1"/>
  <c r="BH6" i="4"/>
  <c r="BG6" i="4" a="1"/>
  <c r="BG6" i="4"/>
  <c r="BG8" i="4" s="1"/>
  <c r="BF6" i="4" a="1"/>
  <c r="BF6" i="4" s="1"/>
  <c r="BF8" i="4" s="1"/>
  <c r="BE6" i="4" a="1"/>
  <c r="BE6" i="4" s="1"/>
  <c r="BD6" i="4" a="1"/>
  <c r="BD6" i="4"/>
  <c r="BC6" i="4" a="1"/>
  <c r="BC6" i="4"/>
  <c r="BC8" i="4" s="1"/>
  <c r="BB6" i="4" a="1"/>
  <c r="BB6" i="4" s="1"/>
  <c r="BA6" i="4" a="1"/>
  <c r="BA6" i="4"/>
  <c r="BA8" i="4" s="1"/>
  <c r="AZ6" i="4" a="1"/>
  <c r="AZ6" i="4"/>
  <c r="AY6" i="4" a="1"/>
  <c r="AY6" i="4"/>
  <c r="AY7" i="4" s="1"/>
  <c r="AX6" i="4" a="1"/>
  <c r="AX6" i="4" s="1"/>
  <c r="AX8" i="4" s="1"/>
  <c r="AW6" i="4" a="1"/>
  <c r="AW6" i="4"/>
  <c r="AV6" i="4" a="1"/>
  <c r="AV6" i="4"/>
  <c r="AU6" i="4" a="1"/>
  <c r="AU6" i="4" s="1"/>
  <c r="AT6" i="4" a="1"/>
  <c r="AT6" i="4"/>
  <c r="AT7" i="4" s="1"/>
  <c r="AS6" i="4" a="1"/>
  <c r="AS6" i="4"/>
  <c r="AR6" i="4" a="1"/>
  <c r="AR6" i="4" s="1"/>
  <c r="AQ6" i="4" a="1"/>
  <c r="AQ6" i="4" s="1"/>
  <c r="AP6" i="4" a="1"/>
  <c r="AP6" i="4" s="1"/>
  <c r="AO6" i="4" a="1"/>
  <c r="AO6" i="4"/>
  <c r="AN6" i="4" a="1"/>
  <c r="AN6" i="4" s="1"/>
  <c r="AM6" i="4" a="1"/>
  <c r="AM6" i="4"/>
  <c r="AL6" i="4" a="1"/>
  <c r="AL6" i="4" s="1"/>
  <c r="AL7" i="4" s="1"/>
  <c r="AK6" i="4" a="1"/>
  <c r="AK6" i="4"/>
  <c r="AJ6" i="4" a="1"/>
  <c r="AJ6" i="4" s="1"/>
  <c r="AI6" i="4" a="1"/>
  <c r="AI6" i="4" s="1"/>
  <c r="AH6" i="4" a="1"/>
  <c r="AH6" i="4"/>
  <c r="AH7" i="4" s="1"/>
  <c r="AG6" i="4" a="1"/>
  <c r="AG6" i="4"/>
  <c r="AF6" i="4" a="1"/>
  <c r="AF6" i="4" s="1"/>
  <c r="AF8" i="4" s="1"/>
  <c r="AE6" i="4" a="1"/>
  <c r="AE6" i="4"/>
  <c r="AE7" i="4" s="1"/>
  <c r="AD6" i="4" a="1"/>
  <c r="AD6" i="4"/>
  <c r="AC6" i="4" a="1"/>
  <c r="AC6" i="4"/>
  <c r="AC7" i="4" s="1"/>
  <c r="AB6" i="4" a="1"/>
  <c r="AB6" i="4"/>
  <c r="AA6" i="4" a="1"/>
  <c r="AA6" i="4"/>
  <c r="Z6" i="4" a="1"/>
  <c r="Z6" i="4"/>
  <c r="Y6" i="4" a="1"/>
  <c r="Y6" i="4" s="1"/>
  <c r="X6" i="4" a="1"/>
  <c r="X6" i="4"/>
  <c r="W6" i="4" a="1"/>
  <c r="W6" i="4" s="1"/>
  <c r="V6" i="4" a="1"/>
  <c r="V6" i="4" s="1"/>
  <c r="U6" i="4" a="1"/>
  <c r="U6" i="4" s="1"/>
  <c r="U8" i="4" s="1"/>
  <c r="T6" i="4" a="1"/>
  <c r="T6" i="4"/>
  <c r="T8" i="4" s="1"/>
  <c r="S6" i="4" a="1"/>
  <c r="S6" i="4"/>
  <c r="R6" i="4" a="1"/>
  <c r="R6" i="4"/>
  <c r="Q6" i="4" a="1"/>
  <c r="Q6" i="4"/>
  <c r="P6" i="4" a="1"/>
  <c r="P6" i="4"/>
  <c r="P7" i="4" s="1"/>
  <c r="O6" i="4" a="1"/>
  <c r="O6" i="4"/>
  <c r="N6" i="4" a="1"/>
  <c r="N6" i="4" s="1"/>
  <c r="N7" i="4" s="1"/>
  <c r="M6" i="4" a="1"/>
  <c r="M6" i="4" s="1"/>
  <c r="L6" i="4" a="1"/>
  <c r="L6" i="4" s="1"/>
  <c r="L8" i="4" s="1"/>
  <c r="K6" i="4" a="1"/>
  <c r="K6" i="4"/>
  <c r="K7" i="4" s="1"/>
  <c r="J6" i="4" a="1"/>
  <c r="J6" i="4" s="1"/>
  <c r="J7" i="4" s="1"/>
  <c r="I6" i="4" a="1"/>
  <c r="I6" i="4"/>
  <c r="H6" i="4" a="1"/>
  <c r="H6" i="4"/>
  <c r="H8" i="4" s="1"/>
  <c r="G6" i="4" a="1"/>
  <c r="G6" i="4"/>
  <c r="G7" i="4" s="1"/>
  <c r="F6" i="4" a="1"/>
  <c r="F6" i="4"/>
  <c r="E6" i="4" a="1"/>
  <c r="E6" i="4"/>
  <c r="D6" i="4" a="1"/>
  <c r="D6" i="4"/>
  <c r="D7" i="4" s="1"/>
  <c r="C6" i="4" a="1"/>
  <c r="C6" i="4" s="1"/>
  <c r="C7" i="4" s="1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AZ25" i="3" s="1"/>
  <c r="BA25" i="3" s="1"/>
  <c r="BB25" i="3" s="1"/>
  <c r="BC25" i="3" s="1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CF25" i="3" s="1"/>
  <c r="CG25" i="3" s="1"/>
  <c r="CH25" i="3" s="1"/>
  <c r="CI25" i="3" s="1"/>
  <c r="CJ25" i="3" s="1"/>
  <c r="CK25" i="3" s="1"/>
  <c r="CL25" i="3" s="1"/>
  <c r="CM25" i="3" s="1"/>
  <c r="CN25" i="3" s="1"/>
  <c r="CO25" i="3" s="1"/>
  <c r="CP25" i="3" s="1"/>
  <c r="CQ25" i="3" s="1"/>
  <c r="CR25" i="3" s="1"/>
  <c r="CS25" i="3" s="1"/>
  <c r="CT25" i="3" s="1"/>
  <c r="CU25" i="3" s="1"/>
  <c r="CV25" i="3" s="1"/>
  <c r="CW25" i="3" s="1"/>
  <c r="CX25" i="3" s="1"/>
  <c r="CY25" i="3" s="1"/>
  <c r="CZ25" i="3" s="1"/>
  <c r="DA25" i="3" s="1"/>
  <c r="DB25" i="3" s="1"/>
  <c r="DC25" i="3" s="1"/>
  <c r="DD25" i="3" s="1"/>
  <c r="DE25" i="3" s="1"/>
  <c r="DF25" i="3" s="1"/>
  <c r="DG25" i="3" s="1"/>
  <c r="DH25" i="3" s="1"/>
  <c r="DI25" i="3" s="1"/>
  <c r="DJ25" i="3" s="1"/>
  <c r="DK25" i="3" s="1"/>
  <c r="DL25" i="3" s="1"/>
  <c r="DM25" i="3" s="1"/>
  <c r="DN25" i="3" s="1"/>
  <c r="DO25" i="3" s="1"/>
  <c r="DP25" i="3" s="1"/>
  <c r="DQ25" i="3" s="1"/>
  <c r="DR25" i="3" s="1"/>
  <c r="DS25" i="3" s="1"/>
  <c r="DT25" i="3" s="1"/>
  <c r="DU25" i="3" s="1"/>
  <c r="DV25" i="3" s="1"/>
  <c r="DW25" i="3" s="1"/>
  <c r="DX25" i="3" s="1"/>
  <c r="DY25" i="3" s="1"/>
  <c r="DZ25" i="3" s="1"/>
  <c r="EA25" i="3" s="1"/>
  <c r="EB25" i="3" s="1"/>
  <c r="EC25" i="3" s="1"/>
  <c r="ED25" i="3" s="1"/>
  <c r="EE25" i="3" s="1"/>
  <c r="EF25" i="3" s="1"/>
  <c r="EG25" i="3" s="1"/>
  <c r="EH25" i="3" s="1"/>
  <c r="EI25" i="3" s="1"/>
  <c r="EJ25" i="3" s="1"/>
  <c r="EK25" i="3" s="1"/>
  <c r="EL25" i="3" s="1"/>
  <c r="D24" i="3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BC24" i="3" s="1"/>
  <c r="BD24" i="3" s="1"/>
  <c r="BE24" i="3" s="1"/>
  <c r="BF24" i="3" s="1"/>
  <c r="BG24" i="3" s="1"/>
  <c r="BH24" i="3" s="1"/>
  <c r="BI24" i="3" s="1"/>
  <c r="BJ24" i="3" s="1"/>
  <c r="BK24" i="3" s="1"/>
  <c r="BL24" i="3" s="1"/>
  <c r="BM24" i="3" s="1"/>
  <c r="BN24" i="3" s="1"/>
  <c r="BO24" i="3" s="1"/>
  <c r="BP24" i="3" s="1"/>
  <c r="BQ24" i="3" s="1"/>
  <c r="BR24" i="3" s="1"/>
  <c r="BS24" i="3" s="1"/>
  <c r="BT24" i="3" s="1"/>
  <c r="BU24" i="3" s="1"/>
  <c r="BV24" i="3" s="1"/>
  <c r="BW24" i="3" s="1"/>
  <c r="BX24" i="3" s="1"/>
  <c r="BY24" i="3" s="1"/>
  <c r="BZ24" i="3" s="1"/>
  <c r="CA24" i="3" s="1"/>
  <c r="CB24" i="3" s="1"/>
  <c r="CC24" i="3" s="1"/>
  <c r="CD24" i="3" s="1"/>
  <c r="CE24" i="3" s="1"/>
  <c r="CF24" i="3" s="1"/>
  <c r="CG24" i="3" s="1"/>
  <c r="CH24" i="3" s="1"/>
  <c r="CI24" i="3" s="1"/>
  <c r="CJ24" i="3" s="1"/>
  <c r="CK24" i="3" s="1"/>
  <c r="CL24" i="3" s="1"/>
  <c r="CM24" i="3" s="1"/>
  <c r="CN24" i="3" s="1"/>
  <c r="CO24" i="3" s="1"/>
  <c r="CP24" i="3" s="1"/>
  <c r="CQ24" i="3" s="1"/>
  <c r="CR24" i="3" s="1"/>
  <c r="CS24" i="3" s="1"/>
  <c r="CT24" i="3" s="1"/>
  <c r="CU24" i="3" s="1"/>
  <c r="CV24" i="3" s="1"/>
  <c r="CW24" i="3" s="1"/>
  <c r="CX24" i="3" s="1"/>
  <c r="CY24" i="3" s="1"/>
  <c r="CZ24" i="3" s="1"/>
  <c r="DA24" i="3" s="1"/>
  <c r="DB24" i="3" s="1"/>
  <c r="DC24" i="3" s="1"/>
  <c r="DD24" i="3" s="1"/>
  <c r="DE24" i="3" s="1"/>
  <c r="DF24" i="3" s="1"/>
  <c r="DG24" i="3" s="1"/>
  <c r="DH24" i="3" s="1"/>
  <c r="DI24" i="3" s="1"/>
  <c r="DJ24" i="3" s="1"/>
  <c r="DK24" i="3" s="1"/>
  <c r="DL24" i="3" s="1"/>
  <c r="DM24" i="3" s="1"/>
  <c r="DN24" i="3" s="1"/>
  <c r="DO24" i="3" s="1"/>
  <c r="DP24" i="3" s="1"/>
  <c r="DQ24" i="3" s="1"/>
  <c r="DR24" i="3" s="1"/>
  <c r="DS24" i="3" s="1"/>
  <c r="DT24" i="3" s="1"/>
  <c r="DU24" i="3" s="1"/>
  <c r="DV24" i="3" s="1"/>
  <c r="DW24" i="3" s="1"/>
  <c r="DX24" i="3" s="1"/>
  <c r="DY24" i="3" s="1"/>
  <c r="DZ24" i="3" s="1"/>
  <c r="EA24" i="3" s="1"/>
  <c r="EB24" i="3" s="1"/>
  <c r="EC24" i="3" s="1"/>
  <c r="ED24" i="3" s="1"/>
  <c r="EE24" i="3" s="1"/>
  <c r="EF24" i="3" s="1"/>
  <c r="EG24" i="3" s="1"/>
  <c r="EH24" i="3" s="1"/>
  <c r="EI24" i="3" s="1"/>
  <c r="EJ24" i="3" s="1"/>
  <c r="EK24" i="3" s="1"/>
  <c r="EL24" i="3" s="1"/>
  <c r="B24" i="3"/>
  <c r="E23" i="3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I23" i="3" s="1"/>
  <c r="CJ23" i="3" s="1"/>
  <c r="CK23" i="3" s="1"/>
  <c r="CL23" i="3" s="1"/>
  <c r="CM23" i="3" s="1"/>
  <c r="CN23" i="3" s="1"/>
  <c r="CO23" i="3" s="1"/>
  <c r="CP23" i="3" s="1"/>
  <c r="CQ23" i="3" s="1"/>
  <c r="CR23" i="3" s="1"/>
  <c r="CS23" i="3" s="1"/>
  <c r="CT23" i="3" s="1"/>
  <c r="CU23" i="3" s="1"/>
  <c r="CV23" i="3" s="1"/>
  <c r="CW23" i="3" s="1"/>
  <c r="CX23" i="3" s="1"/>
  <c r="CY23" i="3" s="1"/>
  <c r="CZ23" i="3" s="1"/>
  <c r="DA23" i="3" s="1"/>
  <c r="DB23" i="3" s="1"/>
  <c r="DC23" i="3" s="1"/>
  <c r="DD23" i="3" s="1"/>
  <c r="DE23" i="3" s="1"/>
  <c r="DF23" i="3" s="1"/>
  <c r="DG23" i="3" s="1"/>
  <c r="DH23" i="3" s="1"/>
  <c r="DI23" i="3" s="1"/>
  <c r="DJ23" i="3" s="1"/>
  <c r="DK23" i="3" s="1"/>
  <c r="DL23" i="3" s="1"/>
  <c r="DM23" i="3" s="1"/>
  <c r="DN23" i="3" s="1"/>
  <c r="DO23" i="3" s="1"/>
  <c r="DP23" i="3" s="1"/>
  <c r="DQ23" i="3" s="1"/>
  <c r="DR23" i="3" s="1"/>
  <c r="DS23" i="3" s="1"/>
  <c r="DT23" i="3" s="1"/>
  <c r="DU23" i="3" s="1"/>
  <c r="DV23" i="3" s="1"/>
  <c r="DW23" i="3" s="1"/>
  <c r="DX23" i="3" s="1"/>
  <c r="DY23" i="3" s="1"/>
  <c r="DZ23" i="3" s="1"/>
  <c r="EA23" i="3" s="1"/>
  <c r="EB23" i="3" s="1"/>
  <c r="EC23" i="3" s="1"/>
  <c r="ED23" i="3" s="1"/>
  <c r="EE23" i="3" s="1"/>
  <c r="EF23" i="3" s="1"/>
  <c r="EG23" i="3" s="1"/>
  <c r="EH23" i="3" s="1"/>
  <c r="EI23" i="3" s="1"/>
  <c r="EJ23" i="3" s="1"/>
  <c r="EK23" i="3" s="1"/>
  <c r="EL23" i="3" s="1"/>
  <c r="D23" i="3"/>
  <c r="B23" i="3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Z22" i="3" s="1"/>
  <c r="BA22" i="3" s="1"/>
  <c r="BB22" i="3" s="1"/>
  <c r="BC22" i="3" s="1"/>
  <c r="BD22" i="3" s="1"/>
  <c r="BE22" i="3" s="1"/>
  <c r="BF22" i="3" s="1"/>
  <c r="BG22" i="3" s="1"/>
  <c r="BH22" i="3" s="1"/>
  <c r="BI22" i="3" s="1"/>
  <c r="BJ22" i="3" s="1"/>
  <c r="BK22" i="3" s="1"/>
  <c r="BL22" i="3" s="1"/>
  <c r="BM22" i="3" s="1"/>
  <c r="BN22" i="3" s="1"/>
  <c r="BO22" i="3" s="1"/>
  <c r="BP22" i="3" s="1"/>
  <c r="BQ22" i="3" s="1"/>
  <c r="BR22" i="3" s="1"/>
  <c r="BS22" i="3" s="1"/>
  <c r="BT22" i="3" s="1"/>
  <c r="BU22" i="3" s="1"/>
  <c r="BV22" i="3" s="1"/>
  <c r="BW22" i="3" s="1"/>
  <c r="BX22" i="3" s="1"/>
  <c r="BY22" i="3" s="1"/>
  <c r="BZ22" i="3" s="1"/>
  <c r="CA22" i="3" s="1"/>
  <c r="CB22" i="3" s="1"/>
  <c r="CC22" i="3" s="1"/>
  <c r="CD22" i="3" s="1"/>
  <c r="CE22" i="3" s="1"/>
  <c r="CF22" i="3" s="1"/>
  <c r="CG22" i="3" s="1"/>
  <c r="CH22" i="3" s="1"/>
  <c r="CI22" i="3" s="1"/>
  <c r="CJ22" i="3" s="1"/>
  <c r="CK22" i="3" s="1"/>
  <c r="CL22" i="3" s="1"/>
  <c r="CM22" i="3" s="1"/>
  <c r="CN22" i="3" s="1"/>
  <c r="CO22" i="3" s="1"/>
  <c r="CP22" i="3" s="1"/>
  <c r="CQ22" i="3" s="1"/>
  <c r="CR22" i="3" s="1"/>
  <c r="CS22" i="3" s="1"/>
  <c r="CT22" i="3" s="1"/>
  <c r="CU22" i="3" s="1"/>
  <c r="CV22" i="3" s="1"/>
  <c r="CW22" i="3" s="1"/>
  <c r="CX22" i="3" s="1"/>
  <c r="CY22" i="3" s="1"/>
  <c r="CZ22" i="3" s="1"/>
  <c r="DA22" i="3" s="1"/>
  <c r="DB22" i="3" s="1"/>
  <c r="DC22" i="3" s="1"/>
  <c r="DD22" i="3" s="1"/>
  <c r="DE22" i="3" s="1"/>
  <c r="DF22" i="3" s="1"/>
  <c r="DG22" i="3" s="1"/>
  <c r="DH22" i="3" s="1"/>
  <c r="DI22" i="3" s="1"/>
  <c r="DJ22" i="3" s="1"/>
  <c r="DK22" i="3" s="1"/>
  <c r="DL22" i="3" s="1"/>
  <c r="DM22" i="3" s="1"/>
  <c r="DN22" i="3" s="1"/>
  <c r="DO22" i="3" s="1"/>
  <c r="DP22" i="3" s="1"/>
  <c r="DQ22" i="3" s="1"/>
  <c r="DR22" i="3" s="1"/>
  <c r="DS22" i="3" s="1"/>
  <c r="DT22" i="3" s="1"/>
  <c r="DU22" i="3" s="1"/>
  <c r="DV22" i="3" s="1"/>
  <c r="DW22" i="3" s="1"/>
  <c r="DX22" i="3" s="1"/>
  <c r="DY22" i="3" s="1"/>
  <c r="DZ22" i="3" s="1"/>
  <c r="EA22" i="3" s="1"/>
  <c r="EB22" i="3" s="1"/>
  <c r="EC22" i="3" s="1"/>
  <c r="ED22" i="3" s="1"/>
  <c r="EE22" i="3" s="1"/>
  <c r="EF22" i="3" s="1"/>
  <c r="EG22" i="3" s="1"/>
  <c r="EH22" i="3" s="1"/>
  <c r="EI22" i="3" s="1"/>
  <c r="EJ22" i="3" s="1"/>
  <c r="EK22" i="3" s="1"/>
  <c r="EL22" i="3" s="1"/>
  <c r="D22" i="3"/>
  <c r="B22" i="3"/>
  <c r="AN21" i="3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AZ21" i="3" s="1"/>
  <c r="BA21" i="3" s="1"/>
  <c r="BB21" i="3" s="1"/>
  <c r="BC21" i="3" s="1"/>
  <c r="BD21" i="3" s="1"/>
  <c r="BE21" i="3" s="1"/>
  <c r="BF21" i="3" s="1"/>
  <c r="BG21" i="3" s="1"/>
  <c r="BH21" i="3" s="1"/>
  <c r="BI21" i="3" s="1"/>
  <c r="BJ21" i="3" s="1"/>
  <c r="BK21" i="3" s="1"/>
  <c r="BL21" i="3" s="1"/>
  <c r="BM21" i="3" s="1"/>
  <c r="BN21" i="3" s="1"/>
  <c r="BO21" i="3" s="1"/>
  <c r="BP21" i="3" s="1"/>
  <c r="BQ21" i="3" s="1"/>
  <c r="BR21" i="3" s="1"/>
  <c r="BS21" i="3" s="1"/>
  <c r="BT21" i="3" s="1"/>
  <c r="BU21" i="3" s="1"/>
  <c r="BV21" i="3" s="1"/>
  <c r="BW21" i="3" s="1"/>
  <c r="BX21" i="3" s="1"/>
  <c r="BY21" i="3" s="1"/>
  <c r="BZ21" i="3" s="1"/>
  <c r="CA21" i="3" s="1"/>
  <c r="CB21" i="3" s="1"/>
  <c r="CC21" i="3" s="1"/>
  <c r="CD21" i="3" s="1"/>
  <c r="CE21" i="3" s="1"/>
  <c r="CF21" i="3" s="1"/>
  <c r="CG21" i="3" s="1"/>
  <c r="CH21" i="3" s="1"/>
  <c r="CI21" i="3" s="1"/>
  <c r="CJ21" i="3" s="1"/>
  <c r="CK21" i="3" s="1"/>
  <c r="CL21" i="3" s="1"/>
  <c r="CM21" i="3" s="1"/>
  <c r="CN21" i="3" s="1"/>
  <c r="CO21" i="3" s="1"/>
  <c r="CP21" i="3" s="1"/>
  <c r="CQ21" i="3" s="1"/>
  <c r="CR21" i="3" s="1"/>
  <c r="CS21" i="3" s="1"/>
  <c r="CT21" i="3" s="1"/>
  <c r="CU21" i="3" s="1"/>
  <c r="CV21" i="3" s="1"/>
  <c r="CW21" i="3" s="1"/>
  <c r="CX21" i="3" s="1"/>
  <c r="CY21" i="3" s="1"/>
  <c r="CZ21" i="3" s="1"/>
  <c r="DA21" i="3" s="1"/>
  <c r="DB21" i="3" s="1"/>
  <c r="DC21" i="3" s="1"/>
  <c r="DD21" i="3" s="1"/>
  <c r="DE21" i="3" s="1"/>
  <c r="DF21" i="3" s="1"/>
  <c r="DG21" i="3" s="1"/>
  <c r="DH21" i="3" s="1"/>
  <c r="DI21" i="3" s="1"/>
  <c r="DJ21" i="3" s="1"/>
  <c r="DK21" i="3" s="1"/>
  <c r="DL21" i="3" s="1"/>
  <c r="DM21" i="3" s="1"/>
  <c r="DN21" i="3" s="1"/>
  <c r="DO21" i="3" s="1"/>
  <c r="DP21" i="3" s="1"/>
  <c r="DQ21" i="3" s="1"/>
  <c r="DR21" i="3" s="1"/>
  <c r="DS21" i="3" s="1"/>
  <c r="DT21" i="3" s="1"/>
  <c r="DU21" i="3" s="1"/>
  <c r="DV21" i="3" s="1"/>
  <c r="DW21" i="3" s="1"/>
  <c r="DX21" i="3" s="1"/>
  <c r="DY21" i="3" s="1"/>
  <c r="DZ21" i="3" s="1"/>
  <c r="EA21" i="3" s="1"/>
  <c r="EB21" i="3" s="1"/>
  <c r="EC21" i="3" s="1"/>
  <c r="ED21" i="3" s="1"/>
  <c r="EE21" i="3" s="1"/>
  <c r="EF21" i="3" s="1"/>
  <c r="EG21" i="3" s="1"/>
  <c r="EH21" i="3" s="1"/>
  <c r="EI21" i="3" s="1"/>
  <c r="EJ21" i="3" s="1"/>
  <c r="EK21" i="3" s="1"/>
  <c r="EL21" i="3" s="1"/>
  <c r="D21" i="3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AM21" i="3" s="1"/>
  <c r="B21" i="3"/>
  <c r="D20" i="3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CU20" i="3" s="1"/>
  <c r="CV20" i="3" s="1"/>
  <c r="CW20" i="3" s="1"/>
  <c r="CX20" i="3" s="1"/>
  <c r="CY20" i="3" s="1"/>
  <c r="CZ20" i="3" s="1"/>
  <c r="DA20" i="3" s="1"/>
  <c r="DB20" i="3" s="1"/>
  <c r="DC20" i="3" s="1"/>
  <c r="DD20" i="3" s="1"/>
  <c r="DE20" i="3" s="1"/>
  <c r="DF20" i="3" s="1"/>
  <c r="DG20" i="3" s="1"/>
  <c r="DH20" i="3" s="1"/>
  <c r="DI20" i="3" s="1"/>
  <c r="DJ20" i="3" s="1"/>
  <c r="DK20" i="3" s="1"/>
  <c r="DL20" i="3" s="1"/>
  <c r="DM20" i="3" s="1"/>
  <c r="DN20" i="3" s="1"/>
  <c r="DO20" i="3" s="1"/>
  <c r="DP20" i="3" s="1"/>
  <c r="DQ20" i="3" s="1"/>
  <c r="DR20" i="3" s="1"/>
  <c r="DS20" i="3" s="1"/>
  <c r="DT20" i="3" s="1"/>
  <c r="DU20" i="3" s="1"/>
  <c r="DV20" i="3" s="1"/>
  <c r="DW20" i="3" s="1"/>
  <c r="DX20" i="3" s="1"/>
  <c r="DY20" i="3" s="1"/>
  <c r="DZ20" i="3" s="1"/>
  <c r="EA20" i="3" s="1"/>
  <c r="EB20" i="3" s="1"/>
  <c r="EC20" i="3" s="1"/>
  <c r="ED20" i="3" s="1"/>
  <c r="EE20" i="3" s="1"/>
  <c r="EF20" i="3" s="1"/>
  <c r="EG20" i="3" s="1"/>
  <c r="EH20" i="3" s="1"/>
  <c r="EI20" i="3" s="1"/>
  <c r="EJ20" i="3" s="1"/>
  <c r="EK20" i="3" s="1"/>
  <c r="EL20" i="3" s="1"/>
  <c r="B20" i="3"/>
  <c r="D19" i="3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DC19" i="3" s="1"/>
  <c r="DD19" i="3" s="1"/>
  <c r="DE19" i="3" s="1"/>
  <c r="DF19" i="3" s="1"/>
  <c r="DG19" i="3" s="1"/>
  <c r="DH19" i="3" s="1"/>
  <c r="DI19" i="3" s="1"/>
  <c r="DJ19" i="3" s="1"/>
  <c r="DK19" i="3" s="1"/>
  <c r="DL19" i="3" s="1"/>
  <c r="DM19" i="3" s="1"/>
  <c r="DN19" i="3" s="1"/>
  <c r="DO19" i="3" s="1"/>
  <c r="DP19" i="3" s="1"/>
  <c r="DQ19" i="3" s="1"/>
  <c r="DR19" i="3" s="1"/>
  <c r="DS19" i="3" s="1"/>
  <c r="DT19" i="3" s="1"/>
  <c r="DU19" i="3" s="1"/>
  <c r="DV19" i="3" s="1"/>
  <c r="DW19" i="3" s="1"/>
  <c r="DX19" i="3" s="1"/>
  <c r="DY19" i="3" s="1"/>
  <c r="DZ19" i="3" s="1"/>
  <c r="EA19" i="3" s="1"/>
  <c r="EB19" i="3" s="1"/>
  <c r="EC19" i="3" s="1"/>
  <c r="ED19" i="3" s="1"/>
  <c r="EE19" i="3" s="1"/>
  <c r="EF19" i="3" s="1"/>
  <c r="EG19" i="3" s="1"/>
  <c r="EH19" i="3" s="1"/>
  <c r="EI19" i="3" s="1"/>
  <c r="EJ19" i="3" s="1"/>
  <c r="EK19" i="3" s="1"/>
  <c r="EL19" i="3" s="1"/>
  <c r="B19" i="3"/>
  <c r="D18" i="3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AZ18" i="3" s="1"/>
  <c r="BA18" i="3" s="1"/>
  <c r="BB18" i="3" s="1"/>
  <c r="BC18" i="3" s="1"/>
  <c r="BD18" i="3" s="1"/>
  <c r="BE18" i="3" s="1"/>
  <c r="BF18" i="3" s="1"/>
  <c r="BG18" i="3" s="1"/>
  <c r="BH18" i="3" s="1"/>
  <c r="BI18" i="3" s="1"/>
  <c r="BJ18" i="3" s="1"/>
  <c r="BK18" i="3" s="1"/>
  <c r="BL18" i="3" s="1"/>
  <c r="BM18" i="3" s="1"/>
  <c r="BN18" i="3" s="1"/>
  <c r="BO18" i="3" s="1"/>
  <c r="BP18" i="3" s="1"/>
  <c r="BQ18" i="3" s="1"/>
  <c r="BR18" i="3" s="1"/>
  <c r="BS18" i="3" s="1"/>
  <c r="BT18" i="3" s="1"/>
  <c r="BU18" i="3" s="1"/>
  <c r="BV18" i="3" s="1"/>
  <c r="BW18" i="3" s="1"/>
  <c r="BX18" i="3" s="1"/>
  <c r="BY18" i="3" s="1"/>
  <c r="BZ18" i="3" s="1"/>
  <c r="CA18" i="3" s="1"/>
  <c r="CB18" i="3" s="1"/>
  <c r="CC18" i="3" s="1"/>
  <c r="CD18" i="3" s="1"/>
  <c r="CE18" i="3" s="1"/>
  <c r="CF18" i="3" s="1"/>
  <c r="CG18" i="3" s="1"/>
  <c r="CH18" i="3" s="1"/>
  <c r="CI18" i="3" s="1"/>
  <c r="CJ18" i="3" s="1"/>
  <c r="CK18" i="3" s="1"/>
  <c r="CL18" i="3" s="1"/>
  <c r="CM18" i="3" s="1"/>
  <c r="CN18" i="3" s="1"/>
  <c r="CO18" i="3" s="1"/>
  <c r="CP18" i="3" s="1"/>
  <c r="CQ18" i="3" s="1"/>
  <c r="CR18" i="3" s="1"/>
  <c r="CS18" i="3" s="1"/>
  <c r="CT18" i="3" s="1"/>
  <c r="CU18" i="3" s="1"/>
  <c r="CV18" i="3" s="1"/>
  <c r="CW18" i="3" s="1"/>
  <c r="CX18" i="3" s="1"/>
  <c r="CY18" i="3" s="1"/>
  <c r="CZ18" i="3" s="1"/>
  <c r="DA18" i="3" s="1"/>
  <c r="DB18" i="3" s="1"/>
  <c r="DC18" i="3" s="1"/>
  <c r="DD18" i="3" s="1"/>
  <c r="DE18" i="3" s="1"/>
  <c r="DF18" i="3" s="1"/>
  <c r="DG18" i="3" s="1"/>
  <c r="DH18" i="3" s="1"/>
  <c r="DI18" i="3" s="1"/>
  <c r="DJ18" i="3" s="1"/>
  <c r="DK18" i="3" s="1"/>
  <c r="DL18" i="3" s="1"/>
  <c r="DM18" i="3" s="1"/>
  <c r="DN18" i="3" s="1"/>
  <c r="DO18" i="3" s="1"/>
  <c r="DP18" i="3" s="1"/>
  <c r="DQ18" i="3" s="1"/>
  <c r="DR18" i="3" s="1"/>
  <c r="DS18" i="3" s="1"/>
  <c r="DT18" i="3" s="1"/>
  <c r="DU18" i="3" s="1"/>
  <c r="DV18" i="3" s="1"/>
  <c r="DW18" i="3" s="1"/>
  <c r="DX18" i="3" s="1"/>
  <c r="DY18" i="3" s="1"/>
  <c r="DZ18" i="3" s="1"/>
  <c r="EA18" i="3" s="1"/>
  <c r="EB18" i="3" s="1"/>
  <c r="EC18" i="3" s="1"/>
  <c r="ED18" i="3" s="1"/>
  <c r="EE18" i="3" s="1"/>
  <c r="EF18" i="3" s="1"/>
  <c r="EG18" i="3" s="1"/>
  <c r="EH18" i="3" s="1"/>
  <c r="EI18" i="3" s="1"/>
  <c r="EJ18" i="3" s="1"/>
  <c r="EK18" i="3" s="1"/>
  <c r="EL18" i="3" s="1"/>
  <c r="B18" i="3"/>
  <c r="M17" i="3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DK17" i="3" s="1"/>
  <c r="DL17" i="3" s="1"/>
  <c r="DM17" i="3" s="1"/>
  <c r="DN17" i="3" s="1"/>
  <c r="DO17" i="3" s="1"/>
  <c r="DP17" i="3" s="1"/>
  <c r="DQ17" i="3" s="1"/>
  <c r="DR17" i="3" s="1"/>
  <c r="DS17" i="3" s="1"/>
  <c r="DT17" i="3" s="1"/>
  <c r="DU17" i="3" s="1"/>
  <c r="DV17" i="3" s="1"/>
  <c r="DW17" i="3" s="1"/>
  <c r="DX17" i="3" s="1"/>
  <c r="DY17" i="3" s="1"/>
  <c r="DZ17" i="3" s="1"/>
  <c r="EA17" i="3" s="1"/>
  <c r="EB17" i="3" s="1"/>
  <c r="EC17" i="3" s="1"/>
  <c r="ED17" i="3" s="1"/>
  <c r="EE17" i="3" s="1"/>
  <c r="EF17" i="3" s="1"/>
  <c r="EG17" i="3" s="1"/>
  <c r="EH17" i="3" s="1"/>
  <c r="EI17" i="3" s="1"/>
  <c r="EJ17" i="3" s="1"/>
  <c r="EK17" i="3" s="1"/>
  <c r="EL17" i="3" s="1"/>
  <c r="D17" i="3"/>
  <c r="E17" i="3" s="1"/>
  <c r="F17" i="3" s="1"/>
  <c r="G17" i="3" s="1"/>
  <c r="H17" i="3" s="1"/>
  <c r="I17" i="3" s="1"/>
  <c r="J17" i="3" s="1"/>
  <c r="K17" i="3" s="1"/>
  <c r="L17" i="3" s="1"/>
  <c r="B17" i="3"/>
  <c r="E16" i="3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BC16" i="3" s="1"/>
  <c r="BD16" i="3" s="1"/>
  <c r="BE16" i="3" s="1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BS16" i="3" s="1"/>
  <c r="BT16" i="3" s="1"/>
  <c r="BU16" i="3" s="1"/>
  <c r="BV16" i="3" s="1"/>
  <c r="BW16" i="3" s="1"/>
  <c r="BX16" i="3" s="1"/>
  <c r="BY16" i="3" s="1"/>
  <c r="BZ16" i="3" s="1"/>
  <c r="CA16" i="3" s="1"/>
  <c r="CB16" i="3" s="1"/>
  <c r="CC16" i="3" s="1"/>
  <c r="CD16" i="3" s="1"/>
  <c r="CE16" i="3" s="1"/>
  <c r="CF16" i="3" s="1"/>
  <c r="CG16" i="3" s="1"/>
  <c r="CH16" i="3" s="1"/>
  <c r="CI16" i="3" s="1"/>
  <c r="CJ16" i="3" s="1"/>
  <c r="CK16" i="3" s="1"/>
  <c r="CL16" i="3" s="1"/>
  <c r="CM16" i="3" s="1"/>
  <c r="CN16" i="3" s="1"/>
  <c r="CO16" i="3" s="1"/>
  <c r="CP16" i="3" s="1"/>
  <c r="CQ16" i="3" s="1"/>
  <c r="CR16" i="3" s="1"/>
  <c r="CS16" i="3" s="1"/>
  <c r="CT16" i="3" s="1"/>
  <c r="CU16" i="3" s="1"/>
  <c r="CV16" i="3" s="1"/>
  <c r="CW16" i="3" s="1"/>
  <c r="CX16" i="3" s="1"/>
  <c r="CY16" i="3" s="1"/>
  <c r="CZ16" i="3" s="1"/>
  <c r="DA16" i="3" s="1"/>
  <c r="DB16" i="3" s="1"/>
  <c r="DC16" i="3" s="1"/>
  <c r="DD16" i="3" s="1"/>
  <c r="DE16" i="3" s="1"/>
  <c r="DF16" i="3" s="1"/>
  <c r="DG16" i="3" s="1"/>
  <c r="DH16" i="3" s="1"/>
  <c r="DI16" i="3" s="1"/>
  <c r="DJ16" i="3" s="1"/>
  <c r="DK16" i="3" s="1"/>
  <c r="DL16" i="3" s="1"/>
  <c r="DM16" i="3" s="1"/>
  <c r="DN16" i="3" s="1"/>
  <c r="DO16" i="3" s="1"/>
  <c r="DP16" i="3" s="1"/>
  <c r="DQ16" i="3" s="1"/>
  <c r="DR16" i="3" s="1"/>
  <c r="DS16" i="3" s="1"/>
  <c r="DT16" i="3" s="1"/>
  <c r="DU16" i="3" s="1"/>
  <c r="DV16" i="3" s="1"/>
  <c r="DW16" i="3" s="1"/>
  <c r="DX16" i="3" s="1"/>
  <c r="DY16" i="3" s="1"/>
  <c r="DZ16" i="3" s="1"/>
  <c r="EA16" i="3" s="1"/>
  <c r="EB16" i="3" s="1"/>
  <c r="EC16" i="3" s="1"/>
  <c r="ED16" i="3" s="1"/>
  <c r="EE16" i="3" s="1"/>
  <c r="EF16" i="3" s="1"/>
  <c r="EG16" i="3" s="1"/>
  <c r="EH16" i="3" s="1"/>
  <c r="EI16" i="3" s="1"/>
  <c r="EJ16" i="3" s="1"/>
  <c r="EK16" i="3" s="1"/>
  <c r="EL16" i="3" s="1"/>
  <c r="D16" i="3"/>
  <c r="B16" i="3"/>
  <c r="D15" i="3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AZ15" i="3" s="1"/>
  <c r="BA15" i="3" s="1"/>
  <c r="BB15" i="3" s="1"/>
  <c r="BC15" i="3" s="1"/>
  <c r="BD15" i="3" s="1"/>
  <c r="BE15" i="3" s="1"/>
  <c r="BF15" i="3" s="1"/>
  <c r="BG15" i="3" s="1"/>
  <c r="BH15" i="3" s="1"/>
  <c r="BI15" i="3" s="1"/>
  <c r="BJ15" i="3" s="1"/>
  <c r="BK15" i="3" s="1"/>
  <c r="BL15" i="3" s="1"/>
  <c r="BM15" i="3" s="1"/>
  <c r="BN15" i="3" s="1"/>
  <c r="BO15" i="3" s="1"/>
  <c r="BP15" i="3" s="1"/>
  <c r="BQ15" i="3" s="1"/>
  <c r="BR15" i="3" s="1"/>
  <c r="BS15" i="3" s="1"/>
  <c r="BT15" i="3" s="1"/>
  <c r="BU15" i="3" s="1"/>
  <c r="BV15" i="3" s="1"/>
  <c r="BW15" i="3" s="1"/>
  <c r="BX15" i="3" s="1"/>
  <c r="BY15" i="3" s="1"/>
  <c r="BZ15" i="3" s="1"/>
  <c r="CA15" i="3" s="1"/>
  <c r="CB15" i="3" s="1"/>
  <c r="CC15" i="3" s="1"/>
  <c r="CD15" i="3" s="1"/>
  <c r="CE15" i="3" s="1"/>
  <c r="CF15" i="3" s="1"/>
  <c r="CG15" i="3" s="1"/>
  <c r="CH15" i="3" s="1"/>
  <c r="CI15" i="3" s="1"/>
  <c r="CJ15" i="3" s="1"/>
  <c r="CK15" i="3" s="1"/>
  <c r="CL15" i="3" s="1"/>
  <c r="CM15" i="3" s="1"/>
  <c r="CN15" i="3" s="1"/>
  <c r="CO15" i="3" s="1"/>
  <c r="CP15" i="3" s="1"/>
  <c r="CQ15" i="3" s="1"/>
  <c r="CR15" i="3" s="1"/>
  <c r="CS15" i="3" s="1"/>
  <c r="CT15" i="3" s="1"/>
  <c r="CU15" i="3" s="1"/>
  <c r="CV15" i="3" s="1"/>
  <c r="CW15" i="3" s="1"/>
  <c r="CX15" i="3" s="1"/>
  <c r="CY15" i="3" s="1"/>
  <c r="CZ15" i="3" s="1"/>
  <c r="DA15" i="3" s="1"/>
  <c r="DB15" i="3" s="1"/>
  <c r="DC15" i="3" s="1"/>
  <c r="DD15" i="3" s="1"/>
  <c r="DE15" i="3" s="1"/>
  <c r="DF15" i="3" s="1"/>
  <c r="DG15" i="3" s="1"/>
  <c r="DH15" i="3" s="1"/>
  <c r="DI15" i="3" s="1"/>
  <c r="DJ15" i="3" s="1"/>
  <c r="DK15" i="3" s="1"/>
  <c r="DL15" i="3" s="1"/>
  <c r="DM15" i="3" s="1"/>
  <c r="DN15" i="3" s="1"/>
  <c r="DO15" i="3" s="1"/>
  <c r="DP15" i="3" s="1"/>
  <c r="DQ15" i="3" s="1"/>
  <c r="DR15" i="3" s="1"/>
  <c r="DS15" i="3" s="1"/>
  <c r="DT15" i="3" s="1"/>
  <c r="DU15" i="3" s="1"/>
  <c r="DV15" i="3" s="1"/>
  <c r="DW15" i="3" s="1"/>
  <c r="DX15" i="3" s="1"/>
  <c r="DY15" i="3" s="1"/>
  <c r="DZ15" i="3" s="1"/>
  <c r="EA15" i="3" s="1"/>
  <c r="EB15" i="3" s="1"/>
  <c r="EC15" i="3" s="1"/>
  <c r="ED15" i="3" s="1"/>
  <c r="EE15" i="3" s="1"/>
  <c r="EF15" i="3" s="1"/>
  <c r="EG15" i="3" s="1"/>
  <c r="EH15" i="3" s="1"/>
  <c r="EI15" i="3" s="1"/>
  <c r="EJ15" i="3" s="1"/>
  <c r="EK15" i="3" s="1"/>
  <c r="EL15" i="3" s="1"/>
  <c r="B15" i="3"/>
  <c r="D14" i="3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AK14" i="3" s="1"/>
  <c r="AL14" i="3" s="1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Z14" i="3" s="1"/>
  <c r="BA14" i="3" s="1"/>
  <c r="BB14" i="3" s="1"/>
  <c r="BC14" i="3" s="1"/>
  <c r="BD14" i="3" s="1"/>
  <c r="BE14" i="3" s="1"/>
  <c r="BF14" i="3" s="1"/>
  <c r="BG14" i="3" s="1"/>
  <c r="BH14" i="3" s="1"/>
  <c r="BI14" i="3" s="1"/>
  <c r="BJ14" i="3" s="1"/>
  <c r="BK14" i="3" s="1"/>
  <c r="BL14" i="3" s="1"/>
  <c r="BM14" i="3" s="1"/>
  <c r="BN14" i="3" s="1"/>
  <c r="BO14" i="3" s="1"/>
  <c r="BP14" i="3" s="1"/>
  <c r="BQ14" i="3" s="1"/>
  <c r="BR14" i="3" s="1"/>
  <c r="BS14" i="3" s="1"/>
  <c r="BT14" i="3" s="1"/>
  <c r="BU14" i="3" s="1"/>
  <c r="BV14" i="3" s="1"/>
  <c r="BW14" i="3" s="1"/>
  <c r="BX14" i="3" s="1"/>
  <c r="BY14" i="3" s="1"/>
  <c r="BZ14" i="3" s="1"/>
  <c r="CA14" i="3" s="1"/>
  <c r="CB14" i="3" s="1"/>
  <c r="CC14" i="3" s="1"/>
  <c r="CD14" i="3" s="1"/>
  <c r="CE14" i="3" s="1"/>
  <c r="CF14" i="3" s="1"/>
  <c r="CG14" i="3" s="1"/>
  <c r="CH14" i="3" s="1"/>
  <c r="CI14" i="3" s="1"/>
  <c r="CJ14" i="3" s="1"/>
  <c r="CK14" i="3" s="1"/>
  <c r="CL14" i="3" s="1"/>
  <c r="CM14" i="3" s="1"/>
  <c r="CN14" i="3" s="1"/>
  <c r="CO14" i="3" s="1"/>
  <c r="CP14" i="3" s="1"/>
  <c r="CQ14" i="3" s="1"/>
  <c r="CR14" i="3" s="1"/>
  <c r="CS14" i="3" s="1"/>
  <c r="CT14" i="3" s="1"/>
  <c r="CU14" i="3" s="1"/>
  <c r="CV14" i="3" s="1"/>
  <c r="CW14" i="3" s="1"/>
  <c r="CX14" i="3" s="1"/>
  <c r="CY14" i="3" s="1"/>
  <c r="CZ14" i="3" s="1"/>
  <c r="DA14" i="3" s="1"/>
  <c r="DB14" i="3" s="1"/>
  <c r="DC14" i="3" s="1"/>
  <c r="DD14" i="3" s="1"/>
  <c r="DE14" i="3" s="1"/>
  <c r="DF14" i="3" s="1"/>
  <c r="DG14" i="3" s="1"/>
  <c r="DH14" i="3" s="1"/>
  <c r="DI14" i="3" s="1"/>
  <c r="DJ14" i="3" s="1"/>
  <c r="DK14" i="3" s="1"/>
  <c r="DL14" i="3" s="1"/>
  <c r="DM14" i="3" s="1"/>
  <c r="DN14" i="3" s="1"/>
  <c r="DO14" i="3" s="1"/>
  <c r="DP14" i="3" s="1"/>
  <c r="DQ14" i="3" s="1"/>
  <c r="DR14" i="3" s="1"/>
  <c r="DS14" i="3" s="1"/>
  <c r="DT14" i="3" s="1"/>
  <c r="DU14" i="3" s="1"/>
  <c r="DV14" i="3" s="1"/>
  <c r="DW14" i="3" s="1"/>
  <c r="DX14" i="3" s="1"/>
  <c r="DY14" i="3" s="1"/>
  <c r="DZ14" i="3" s="1"/>
  <c r="EA14" i="3" s="1"/>
  <c r="EB14" i="3" s="1"/>
  <c r="EC14" i="3" s="1"/>
  <c r="ED14" i="3" s="1"/>
  <c r="EE14" i="3" s="1"/>
  <c r="EF14" i="3" s="1"/>
  <c r="EG14" i="3" s="1"/>
  <c r="EH14" i="3" s="1"/>
  <c r="EI14" i="3" s="1"/>
  <c r="EJ14" i="3" s="1"/>
  <c r="EK14" i="3" s="1"/>
  <c r="EL14" i="3" s="1"/>
  <c r="B14" i="3"/>
  <c r="H13" i="3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CU13" i="3" s="1"/>
  <c r="CV13" i="3" s="1"/>
  <c r="CW13" i="3" s="1"/>
  <c r="CX13" i="3" s="1"/>
  <c r="CY13" i="3" s="1"/>
  <c r="CZ13" i="3" s="1"/>
  <c r="DA13" i="3" s="1"/>
  <c r="DB13" i="3" s="1"/>
  <c r="DC13" i="3" s="1"/>
  <c r="DD13" i="3" s="1"/>
  <c r="DE13" i="3" s="1"/>
  <c r="DF13" i="3" s="1"/>
  <c r="DG13" i="3" s="1"/>
  <c r="DH13" i="3" s="1"/>
  <c r="DI13" i="3" s="1"/>
  <c r="DJ13" i="3" s="1"/>
  <c r="DK13" i="3" s="1"/>
  <c r="DL13" i="3" s="1"/>
  <c r="DM13" i="3" s="1"/>
  <c r="DN13" i="3" s="1"/>
  <c r="DO13" i="3" s="1"/>
  <c r="DP13" i="3" s="1"/>
  <c r="DQ13" i="3" s="1"/>
  <c r="DR13" i="3" s="1"/>
  <c r="DS13" i="3" s="1"/>
  <c r="DT13" i="3" s="1"/>
  <c r="DU13" i="3" s="1"/>
  <c r="DV13" i="3" s="1"/>
  <c r="DW13" i="3" s="1"/>
  <c r="DX13" i="3" s="1"/>
  <c r="DY13" i="3" s="1"/>
  <c r="DZ13" i="3" s="1"/>
  <c r="EA13" i="3" s="1"/>
  <c r="EB13" i="3" s="1"/>
  <c r="EC13" i="3" s="1"/>
  <c r="ED13" i="3" s="1"/>
  <c r="EE13" i="3" s="1"/>
  <c r="EF13" i="3" s="1"/>
  <c r="EG13" i="3" s="1"/>
  <c r="EH13" i="3" s="1"/>
  <c r="EI13" i="3" s="1"/>
  <c r="EJ13" i="3" s="1"/>
  <c r="EK13" i="3" s="1"/>
  <c r="EL13" i="3" s="1"/>
  <c r="D13" i="3"/>
  <c r="E13" i="3" s="1"/>
  <c r="F13" i="3" s="1"/>
  <c r="G13" i="3" s="1"/>
  <c r="B13" i="3"/>
  <c r="J12" i="3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AZ12" i="3" s="1"/>
  <c r="BA12" i="3" s="1"/>
  <c r="BB12" i="3" s="1"/>
  <c r="BC12" i="3" s="1"/>
  <c r="BD12" i="3" s="1"/>
  <c r="BE12" i="3" s="1"/>
  <c r="BF12" i="3" s="1"/>
  <c r="BG12" i="3" s="1"/>
  <c r="BH12" i="3" s="1"/>
  <c r="BI12" i="3" s="1"/>
  <c r="BJ12" i="3" s="1"/>
  <c r="BK12" i="3" s="1"/>
  <c r="BL12" i="3" s="1"/>
  <c r="BM12" i="3" s="1"/>
  <c r="BN12" i="3" s="1"/>
  <c r="BO12" i="3" s="1"/>
  <c r="BP12" i="3" s="1"/>
  <c r="BQ12" i="3" s="1"/>
  <c r="BR12" i="3" s="1"/>
  <c r="BS12" i="3" s="1"/>
  <c r="BT12" i="3" s="1"/>
  <c r="BU12" i="3" s="1"/>
  <c r="BV12" i="3" s="1"/>
  <c r="BW12" i="3" s="1"/>
  <c r="BX12" i="3" s="1"/>
  <c r="BY12" i="3" s="1"/>
  <c r="BZ12" i="3" s="1"/>
  <c r="CA12" i="3" s="1"/>
  <c r="CB12" i="3" s="1"/>
  <c r="CC12" i="3" s="1"/>
  <c r="CD12" i="3" s="1"/>
  <c r="CE12" i="3" s="1"/>
  <c r="CF12" i="3" s="1"/>
  <c r="CG12" i="3" s="1"/>
  <c r="CH12" i="3" s="1"/>
  <c r="CI12" i="3" s="1"/>
  <c r="CJ12" i="3" s="1"/>
  <c r="CK12" i="3" s="1"/>
  <c r="CL12" i="3" s="1"/>
  <c r="CM12" i="3" s="1"/>
  <c r="CN12" i="3" s="1"/>
  <c r="CO12" i="3" s="1"/>
  <c r="CP12" i="3" s="1"/>
  <c r="CQ12" i="3" s="1"/>
  <c r="CR12" i="3" s="1"/>
  <c r="CS12" i="3" s="1"/>
  <c r="CT12" i="3" s="1"/>
  <c r="CU12" i="3" s="1"/>
  <c r="CV12" i="3" s="1"/>
  <c r="CW12" i="3" s="1"/>
  <c r="CX12" i="3" s="1"/>
  <c r="CY12" i="3" s="1"/>
  <c r="CZ12" i="3" s="1"/>
  <c r="DA12" i="3" s="1"/>
  <c r="DB12" i="3" s="1"/>
  <c r="DC12" i="3" s="1"/>
  <c r="DD12" i="3" s="1"/>
  <c r="DE12" i="3" s="1"/>
  <c r="DF12" i="3" s="1"/>
  <c r="DG12" i="3" s="1"/>
  <c r="DH12" i="3" s="1"/>
  <c r="DI12" i="3" s="1"/>
  <c r="DJ12" i="3" s="1"/>
  <c r="DK12" i="3" s="1"/>
  <c r="DL12" i="3" s="1"/>
  <c r="DM12" i="3" s="1"/>
  <c r="DN12" i="3" s="1"/>
  <c r="DO12" i="3" s="1"/>
  <c r="DP12" i="3" s="1"/>
  <c r="DQ12" i="3" s="1"/>
  <c r="DR12" i="3" s="1"/>
  <c r="DS12" i="3" s="1"/>
  <c r="DT12" i="3" s="1"/>
  <c r="DU12" i="3" s="1"/>
  <c r="DV12" i="3" s="1"/>
  <c r="DW12" i="3" s="1"/>
  <c r="DX12" i="3" s="1"/>
  <c r="DY12" i="3" s="1"/>
  <c r="DZ12" i="3" s="1"/>
  <c r="EA12" i="3" s="1"/>
  <c r="EB12" i="3" s="1"/>
  <c r="EC12" i="3" s="1"/>
  <c r="ED12" i="3" s="1"/>
  <c r="EE12" i="3" s="1"/>
  <c r="EF12" i="3" s="1"/>
  <c r="EG12" i="3" s="1"/>
  <c r="EH12" i="3" s="1"/>
  <c r="EI12" i="3" s="1"/>
  <c r="EJ12" i="3" s="1"/>
  <c r="EK12" i="3" s="1"/>
  <c r="EL12" i="3" s="1"/>
  <c r="E12" i="3"/>
  <c r="F12" i="3" s="1"/>
  <c r="G12" i="3" s="1"/>
  <c r="H12" i="3" s="1"/>
  <c r="I12" i="3" s="1"/>
  <c r="D12" i="3"/>
  <c r="B12" i="3"/>
  <c r="EK8" i="3"/>
  <c r="EJ8" i="3"/>
  <c r="EI8" i="3"/>
  <c r="EH8" i="3"/>
  <c r="EG8" i="3"/>
  <c r="EF8" i="3"/>
  <c r="EE8" i="3"/>
  <c r="EA8" i="3"/>
  <c r="DZ8" i="3"/>
  <c r="DX8" i="3"/>
  <c r="DW8" i="3"/>
  <c r="DV8" i="3"/>
  <c r="DO8" i="3"/>
  <c r="DN8" i="3"/>
  <c r="DM8" i="3"/>
  <c r="DL8" i="3"/>
  <c r="DK8" i="3"/>
  <c r="DE8" i="3"/>
  <c r="CZ8" i="3"/>
  <c r="CY8" i="3"/>
  <c r="CX8" i="3"/>
  <c r="CU8" i="3"/>
  <c r="CS8" i="3"/>
  <c r="CR8" i="3"/>
  <c r="CO8" i="3"/>
  <c r="CN8" i="3"/>
  <c r="CJ8" i="3"/>
  <c r="CH8" i="3"/>
  <c r="CD8" i="3"/>
  <c r="BY8" i="3"/>
  <c r="BX8" i="3"/>
  <c r="BW8" i="3"/>
  <c r="BV8" i="3"/>
  <c r="BS8" i="3"/>
  <c r="BR8" i="3"/>
  <c r="BQ8" i="3"/>
  <c r="BH8" i="3"/>
  <c r="BG8" i="3"/>
  <c r="BF8" i="3"/>
  <c r="BA8" i="3"/>
  <c r="AZ8" i="3"/>
  <c r="AW8" i="3"/>
  <c r="AP8" i="3"/>
  <c r="AM8" i="3"/>
  <c r="AL8" i="3"/>
  <c r="AK8" i="3"/>
  <c r="AB8" i="3"/>
  <c r="AA8" i="3"/>
  <c r="Z8" i="3"/>
  <c r="T8" i="3"/>
  <c r="R8" i="3"/>
  <c r="P8" i="3"/>
  <c r="O8" i="3"/>
  <c r="N8" i="3"/>
  <c r="J8" i="3"/>
  <c r="H8" i="3"/>
  <c r="G8" i="3"/>
  <c r="E8" i="3"/>
  <c r="EK7" i="3"/>
  <c r="EJ7" i="3"/>
  <c r="EI7" i="3"/>
  <c r="EE7" i="3"/>
  <c r="DZ7" i="3"/>
  <c r="DY7" i="3"/>
  <c r="DX7" i="3"/>
  <c r="DW7" i="3"/>
  <c r="DU7" i="3"/>
  <c r="DT7" i="3"/>
  <c r="DO7" i="3"/>
  <c r="DN7" i="3"/>
  <c r="DM7" i="3"/>
  <c r="DD7" i="3"/>
  <c r="DC7" i="3"/>
  <c r="DB7" i="3"/>
  <c r="DA7" i="3"/>
  <c r="CZ7" i="3"/>
  <c r="CT7" i="3"/>
  <c r="CS7" i="3"/>
  <c r="CP7" i="3"/>
  <c r="CN7" i="3"/>
  <c r="CM7" i="3"/>
  <c r="CF7" i="3"/>
  <c r="CD7" i="3"/>
  <c r="BY7" i="3"/>
  <c r="BX7" i="3"/>
  <c r="BW7" i="3"/>
  <c r="BS7" i="3"/>
  <c r="BL7" i="3"/>
  <c r="BK7" i="3"/>
  <c r="BH7" i="3"/>
  <c r="BG7" i="3"/>
  <c r="BA7" i="3"/>
  <c r="AZ7" i="3"/>
  <c r="AX7" i="3"/>
  <c r="AW7" i="3"/>
  <c r="AV7" i="3"/>
  <c r="AP7" i="3"/>
  <c r="AO7" i="3"/>
  <c r="AN7" i="3"/>
  <c r="AM7" i="3"/>
  <c r="AG7" i="3"/>
  <c r="AF7" i="3"/>
  <c r="AE7" i="3"/>
  <c r="AD7" i="3"/>
  <c r="AC7" i="3"/>
  <c r="AA7" i="3"/>
  <c r="T7" i="3"/>
  <c r="S7" i="3"/>
  <c r="R7" i="3"/>
  <c r="Q7" i="3"/>
  <c r="P7" i="3"/>
  <c r="I7" i="3"/>
  <c r="H7" i="3"/>
  <c r="G7" i="3"/>
  <c r="F7" i="3"/>
  <c r="E7" i="3"/>
  <c r="D7" i="3"/>
  <c r="C7" i="3"/>
  <c r="EL6" i="3" a="1"/>
  <c r="EL6" i="3"/>
  <c r="EK6" i="3" a="1"/>
  <c r="EK6" i="3"/>
  <c r="EJ6" i="3" a="1"/>
  <c r="EJ6" i="3"/>
  <c r="EI6" i="3" a="1"/>
  <c r="EI6" i="3"/>
  <c r="EH6" i="3" a="1"/>
  <c r="EH6" i="3"/>
  <c r="EH7" i="3" s="1"/>
  <c r="EG6" i="3" a="1"/>
  <c r="EG6" i="3"/>
  <c r="EG7" i="3" s="1"/>
  <c r="EF6" i="3" a="1"/>
  <c r="EF6" i="3"/>
  <c r="EF7" i="3" s="1"/>
  <c r="EE6" i="3" a="1"/>
  <c r="EE6" i="3"/>
  <c r="ED6" i="3" a="1"/>
  <c r="ED6" i="3"/>
  <c r="EC6" i="3" a="1"/>
  <c r="EC6" i="3"/>
  <c r="EB6" i="3" a="1"/>
  <c r="EB6" i="3"/>
  <c r="EA6" i="3" a="1"/>
  <c r="EA6" i="3"/>
  <c r="EA7" i="3" s="1"/>
  <c r="DZ6" i="3" a="1"/>
  <c r="DZ6" i="3"/>
  <c r="DY6" i="3" a="1"/>
  <c r="DY6" i="3"/>
  <c r="DY8" i="3" s="1"/>
  <c r="DX6" i="3" a="1"/>
  <c r="DX6" i="3"/>
  <c r="DW6" i="3" a="1"/>
  <c r="DW6" i="3"/>
  <c r="DV6" i="3" a="1"/>
  <c r="DV6" i="3"/>
  <c r="DV7" i="3" s="1"/>
  <c r="DU6" i="3" a="1"/>
  <c r="DU6" i="3"/>
  <c r="DU8" i="3" s="1"/>
  <c r="DT6" i="3" a="1"/>
  <c r="DT6" i="3"/>
  <c r="DT8" i="3" s="1"/>
  <c r="DS6" i="3" a="1"/>
  <c r="DS6" i="3"/>
  <c r="DR6" i="3" a="1"/>
  <c r="DR6" i="3"/>
  <c r="DQ6" i="3" a="1"/>
  <c r="DQ6" i="3"/>
  <c r="DP6" i="3" a="1"/>
  <c r="DP6" i="3"/>
  <c r="DO6" i="3" a="1"/>
  <c r="DO6" i="3"/>
  <c r="DN6" i="3" a="1"/>
  <c r="DN6" i="3"/>
  <c r="DM6" i="3" a="1"/>
  <c r="DM6" i="3"/>
  <c r="DL6" i="3" a="1"/>
  <c r="DL6" i="3"/>
  <c r="DL7" i="3" s="1"/>
  <c r="DK6" i="3" a="1"/>
  <c r="DK6" i="3"/>
  <c r="DK7" i="3" s="1"/>
  <c r="DJ6" i="3" a="1"/>
  <c r="DJ6" i="3"/>
  <c r="DJ7" i="3" s="1"/>
  <c r="DI6" i="3" a="1"/>
  <c r="DI6" i="3"/>
  <c r="DI7" i="3" s="1"/>
  <c r="DH6" i="3" a="1"/>
  <c r="DH6" i="3"/>
  <c r="DG6" i="3" a="1"/>
  <c r="DG6" i="3"/>
  <c r="DF6" i="3" a="1"/>
  <c r="DF6" i="3"/>
  <c r="DE6" i="3" a="1"/>
  <c r="DE6" i="3"/>
  <c r="DE7" i="3" s="1"/>
  <c r="DD6" i="3" a="1"/>
  <c r="DD6" i="3"/>
  <c r="DD8" i="3" s="1"/>
  <c r="DC6" i="3" a="1"/>
  <c r="DC6" i="3"/>
  <c r="DC8" i="3" s="1"/>
  <c r="DB6" i="3" a="1"/>
  <c r="DB6" i="3"/>
  <c r="DB8" i="3" s="1"/>
  <c r="DA6" i="3" a="1"/>
  <c r="DA6" i="3"/>
  <c r="DA8" i="3" s="1"/>
  <c r="CZ6" i="3" a="1"/>
  <c r="CZ6" i="3"/>
  <c r="CY6" i="3" a="1"/>
  <c r="CY6" i="3"/>
  <c r="CY7" i="3" s="1"/>
  <c r="CX6" i="3" a="1"/>
  <c r="CX6" i="3"/>
  <c r="CX7" i="3" s="1"/>
  <c r="CW6" i="3" a="1"/>
  <c r="CW6" i="3"/>
  <c r="CV6" i="3" a="1"/>
  <c r="CV6" i="3"/>
  <c r="CU6" i="3" a="1"/>
  <c r="CU6" i="3"/>
  <c r="CU7" i="3" s="1"/>
  <c r="CT6" i="3" a="1"/>
  <c r="CT6" i="3"/>
  <c r="CT8" i="3" s="1"/>
  <c r="CS6" i="3" a="1"/>
  <c r="CS6" i="3"/>
  <c r="CR6" i="3" a="1"/>
  <c r="CR6" i="3"/>
  <c r="CR7" i="3" s="1"/>
  <c r="CQ6" i="3" a="1"/>
  <c r="CQ6" i="3"/>
  <c r="CQ7" i="3" s="1"/>
  <c r="CP6" i="3" a="1"/>
  <c r="CP6" i="3"/>
  <c r="CP8" i="3" s="1"/>
  <c r="CO6" i="3" a="1"/>
  <c r="CO6" i="3"/>
  <c r="CO7" i="3" s="1"/>
  <c r="CN6" i="3" a="1"/>
  <c r="CN6" i="3"/>
  <c r="CM6" i="3" a="1"/>
  <c r="CM6" i="3"/>
  <c r="CM8" i="3" s="1"/>
  <c r="CL6" i="3" a="1"/>
  <c r="CL6" i="3"/>
  <c r="CK6" i="3" a="1"/>
  <c r="CK6" i="3"/>
  <c r="CJ6" i="3" a="1"/>
  <c r="CJ6" i="3"/>
  <c r="CJ7" i="3" s="1"/>
  <c r="CI6" i="3" a="1"/>
  <c r="CI6" i="3"/>
  <c r="CI8" i="3" s="1"/>
  <c r="CH6" i="3" a="1"/>
  <c r="CH6" i="3"/>
  <c r="CH7" i="3" s="1"/>
  <c r="CG6" i="3" a="1"/>
  <c r="CG6" i="3"/>
  <c r="CF6" i="3" a="1"/>
  <c r="CF6" i="3"/>
  <c r="CF8" i="3" s="1"/>
  <c r="CE6" i="3" a="1"/>
  <c r="CE6" i="3"/>
  <c r="CD6" i="3" a="1"/>
  <c r="CD6" i="3"/>
  <c r="CC6" i="3" a="1"/>
  <c r="CC6" i="3"/>
  <c r="CC8" i="3" s="1"/>
  <c r="CB6" i="3" a="1"/>
  <c r="CB6" i="3"/>
  <c r="CB7" i="3" s="1"/>
  <c r="CA6" i="3" a="1"/>
  <c r="CA6" i="3"/>
  <c r="BZ6" i="3" a="1"/>
  <c r="BZ6" i="3"/>
  <c r="BY6" i="3" a="1"/>
  <c r="BY6" i="3"/>
  <c r="BX6" i="3" a="1"/>
  <c r="BX6" i="3"/>
  <c r="BW6" i="3" a="1"/>
  <c r="BW6" i="3"/>
  <c r="BV6" i="3" a="1"/>
  <c r="BV6" i="3"/>
  <c r="BV7" i="3" s="1"/>
  <c r="BU6" i="3" a="1"/>
  <c r="BU6" i="3"/>
  <c r="BU8" i="3" s="1"/>
  <c r="BT6" i="3" a="1"/>
  <c r="BT6" i="3"/>
  <c r="BS6" i="3" a="1"/>
  <c r="BS6" i="3"/>
  <c r="BR6" i="3" a="1"/>
  <c r="BR6" i="3"/>
  <c r="BR7" i="3" s="1"/>
  <c r="BQ6" i="3" a="1"/>
  <c r="BQ6" i="3"/>
  <c r="BQ7" i="3" s="1"/>
  <c r="BP6" i="3" a="1"/>
  <c r="BP6" i="3"/>
  <c r="BO6" i="3" a="1"/>
  <c r="BO6" i="3"/>
  <c r="BN6" i="3" a="1"/>
  <c r="BN6" i="3"/>
  <c r="BM6" i="3" a="1"/>
  <c r="BM6" i="3"/>
  <c r="BL6" i="3" a="1"/>
  <c r="BL6" i="3"/>
  <c r="BL8" i="3" s="1"/>
  <c r="BK6" i="3" a="1"/>
  <c r="BK6" i="3"/>
  <c r="BK8" i="3" s="1"/>
  <c r="BJ6" i="3" a="1"/>
  <c r="BJ6" i="3"/>
  <c r="BJ7" i="3" s="1"/>
  <c r="BI6" i="3" a="1"/>
  <c r="BI6" i="3"/>
  <c r="BH6" i="3" a="1"/>
  <c r="BH6" i="3"/>
  <c r="BG6" i="3" a="1"/>
  <c r="BG6" i="3"/>
  <c r="BF6" i="3" a="1"/>
  <c r="BF6" i="3"/>
  <c r="BF7" i="3" s="1"/>
  <c r="BE6" i="3" a="1"/>
  <c r="BE6" i="3"/>
  <c r="BE8" i="3" s="1"/>
  <c r="BD6" i="3" a="1"/>
  <c r="BD6" i="3"/>
  <c r="BD8" i="3" s="1"/>
  <c r="BC6" i="3" a="1"/>
  <c r="BC6" i="3"/>
  <c r="BB6" i="3" a="1"/>
  <c r="BB6" i="3"/>
  <c r="BA6" i="3" a="1"/>
  <c r="BA6" i="3"/>
  <c r="AZ6" i="3" a="1"/>
  <c r="AZ6" i="3"/>
  <c r="AY6" i="3" a="1"/>
  <c r="AY6" i="3"/>
  <c r="AY7" i="3" s="1"/>
  <c r="AX6" i="3" a="1"/>
  <c r="AX6" i="3"/>
  <c r="AX8" i="3" s="1"/>
  <c r="AW6" i="3" a="1"/>
  <c r="AW6" i="3"/>
  <c r="AV6" i="3" a="1"/>
  <c r="AV6" i="3"/>
  <c r="AV8" i="3" s="1"/>
  <c r="AU6" i="3" a="1"/>
  <c r="AU6" i="3"/>
  <c r="AT6" i="3" a="1"/>
  <c r="AT6" i="3"/>
  <c r="AS6" i="3" a="1"/>
  <c r="AS6" i="3"/>
  <c r="AR6" i="3" a="1"/>
  <c r="AR6" i="3"/>
  <c r="AR7" i="3" s="1"/>
  <c r="AQ6" i="3" a="1"/>
  <c r="AQ6" i="3"/>
  <c r="AQ7" i="3" s="1"/>
  <c r="AP6" i="3" a="1"/>
  <c r="AP6" i="3"/>
  <c r="AO6" i="3" a="1"/>
  <c r="AO6" i="3"/>
  <c r="AO8" i="3" s="1"/>
  <c r="AN6" i="3" a="1"/>
  <c r="AN6" i="3"/>
  <c r="AN8" i="3" s="1"/>
  <c r="AM6" i="3" a="1"/>
  <c r="AM6" i="3"/>
  <c r="AL6" i="3" a="1"/>
  <c r="AL6" i="3"/>
  <c r="AL7" i="3" s="1"/>
  <c r="AK6" i="3" a="1"/>
  <c r="AK6" i="3"/>
  <c r="AK7" i="3" s="1"/>
  <c r="AJ6" i="3" a="1"/>
  <c r="AJ6" i="3"/>
  <c r="AJ7" i="3" s="1"/>
  <c r="AI6" i="3" a="1"/>
  <c r="AI6" i="3"/>
  <c r="AH6" i="3" a="1"/>
  <c r="AH6" i="3"/>
  <c r="AG6" i="3" a="1"/>
  <c r="AG6" i="3"/>
  <c r="AG8" i="3" s="1"/>
  <c r="AF6" i="3" a="1"/>
  <c r="AF6" i="3"/>
  <c r="AF8" i="3" s="1"/>
  <c r="AE6" i="3" a="1"/>
  <c r="AE6" i="3"/>
  <c r="AE8" i="3" s="1"/>
  <c r="AD6" i="3" a="1"/>
  <c r="AD6" i="3"/>
  <c r="AD8" i="3" s="1"/>
  <c r="AC6" i="3" a="1"/>
  <c r="AC6" i="3"/>
  <c r="AC8" i="3" s="1"/>
  <c r="AB6" i="3" a="1"/>
  <c r="AB6" i="3"/>
  <c r="AB7" i="3" s="1"/>
  <c r="AA6" i="3" a="1"/>
  <c r="AA6" i="3"/>
  <c r="Z6" i="3" a="1"/>
  <c r="Z6" i="3"/>
  <c r="Z7" i="3" s="1"/>
  <c r="Y6" i="3" a="1"/>
  <c r="Y6" i="3"/>
  <c r="Y7" i="3" s="1"/>
  <c r="X6" i="3" a="1"/>
  <c r="X6" i="3"/>
  <c r="W6" i="3" a="1"/>
  <c r="W6" i="3"/>
  <c r="V6" i="3" a="1"/>
  <c r="V6" i="3"/>
  <c r="U6" i="3" a="1"/>
  <c r="U6" i="3"/>
  <c r="T6" i="3" a="1"/>
  <c r="T6" i="3"/>
  <c r="S6" i="3" a="1"/>
  <c r="S6" i="3"/>
  <c r="S8" i="3" s="1"/>
  <c r="R6" i="3" a="1"/>
  <c r="R6" i="3"/>
  <c r="Q6" i="3" a="1"/>
  <c r="Q6" i="3"/>
  <c r="Q8" i="3" s="1"/>
  <c r="P6" i="3" a="1"/>
  <c r="P6" i="3"/>
  <c r="O6" i="3" a="1"/>
  <c r="O6" i="3"/>
  <c r="O7" i="3" s="1"/>
  <c r="N6" i="3" a="1"/>
  <c r="N6" i="3"/>
  <c r="N7" i="3" s="1"/>
  <c r="M6" i="3" a="1"/>
  <c r="M6" i="3"/>
  <c r="L6" i="3" a="1"/>
  <c r="L6" i="3"/>
  <c r="K6" i="3" a="1"/>
  <c r="K6" i="3"/>
  <c r="J6" i="3" a="1"/>
  <c r="J6" i="3"/>
  <c r="J7" i="3" s="1"/>
  <c r="I6" i="3" a="1"/>
  <c r="I6" i="3"/>
  <c r="I8" i="3" s="1"/>
  <c r="H6" i="3" a="1"/>
  <c r="H6" i="3"/>
  <c r="G6" i="3" a="1"/>
  <c r="G6" i="3"/>
  <c r="F6" i="3" a="1"/>
  <c r="F6" i="3"/>
  <c r="F8" i="3" s="1"/>
  <c r="E6" i="3" a="1"/>
  <c r="E6" i="3"/>
  <c r="D6" i="3" a="1"/>
  <c r="D6" i="3"/>
  <c r="D8" i="3" s="1"/>
  <c r="C6" i="3" a="1"/>
  <c r="C6" i="3"/>
  <c r="C8" i="3" s="1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EM24" i="2" s="1"/>
  <c r="EN24" i="2" s="1"/>
  <c r="H24" i="2"/>
  <c r="G24" i="2"/>
  <c r="F24" i="2"/>
  <c r="E24" i="2"/>
  <c r="D24" i="2"/>
  <c r="C24" i="2"/>
  <c r="B24" i="2"/>
  <c r="EL23" i="2"/>
  <c r="EK23" i="2"/>
  <c r="EJ23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EM22" i="2" s="1"/>
  <c r="EN22" i="2" s="1"/>
  <c r="F22" i="2"/>
  <c r="E22" i="2"/>
  <c r="D22" i="2"/>
  <c r="C22" i="2"/>
  <c r="B22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EM20" i="2" s="1"/>
  <c r="EN20" i="2" s="1"/>
  <c r="D20" i="2"/>
  <c r="C20" i="2"/>
  <c r="B20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EM18" i="2" s="1"/>
  <c r="EN18" i="2" s="1"/>
  <c r="D18" i="2"/>
  <c r="C18" i="2"/>
  <c r="B18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EM13" i="2" s="1"/>
  <c r="EN13" i="2" s="1"/>
  <c r="B13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EJ8" i="2"/>
  <c r="EI8" i="2"/>
  <c r="EG8" i="2"/>
  <c r="DY8" i="2"/>
  <c r="DX8" i="2"/>
  <c r="DW8" i="2"/>
  <c r="DV8" i="2"/>
  <c r="DU8" i="2"/>
  <c r="DS8" i="2"/>
  <c r="DI8" i="2"/>
  <c r="DD8" i="2"/>
  <c r="DC8" i="2"/>
  <c r="CV8" i="2"/>
  <c r="CU8" i="2"/>
  <c r="CT8" i="2"/>
  <c r="CQ8" i="2"/>
  <c r="CO8" i="2"/>
  <c r="CN8" i="2"/>
  <c r="CM8" i="2"/>
  <c r="CL8" i="2"/>
  <c r="CK8" i="2"/>
  <c r="CD8" i="2"/>
  <c r="CC8" i="2"/>
  <c r="CA8" i="2"/>
  <c r="BZ8" i="2"/>
  <c r="BW8" i="2"/>
  <c r="BV8" i="2"/>
  <c r="BQ8" i="2"/>
  <c r="BP8" i="2"/>
  <c r="BI8" i="2"/>
  <c r="BH8" i="2"/>
  <c r="BC8" i="2"/>
  <c r="AZ8" i="2"/>
  <c r="AY8" i="2"/>
  <c r="AW8" i="2"/>
  <c r="AR8" i="2"/>
  <c r="AQ8" i="2"/>
  <c r="AP8" i="2"/>
  <c r="AO8" i="2"/>
  <c r="AL8" i="2"/>
  <c r="AK8" i="2"/>
  <c r="AI8" i="2"/>
  <c r="AH8" i="2"/>
  <c r="AE8" i="2"/>
  <c r="V8" i="2"/>
  <c r="U8" i="2"/>
  <c r="T8" i="2"/>
  <c r="S8" i="2"/>
  <c r="K8" i="2"/>
  <c r="J8" i="2"/>
  <c r="I8" i="2"/>
  <c r="H8" i="2"/>
  <c r="G8" i="2"/>
  <c r="E8" i="2"/>
  <c r="C8" i="2"/>
  <c r="EM7" i="2"/>
  <c r="ED7" i="2"/>
  <c r="DX7" i="2"/>
  <c r="DV7" i="2"/>
  <c r="DS7" i="2"/>
  <c r="DQ7" i="2"/>
  <c r="DP7" i="2"/>
  <c r="DI7" i="2"/>
  <c r="DH7" i="2"/>
  <c r="CV7" i="2"/>
  <c r="CU7" i="2"/>
  <c r="CQ7" i="2"/>
  <c r="CP7" i="2"/>
  <c r="CM7" i="2"/>
  <c r="CL7" i="2"/>
  <c r="CJ7" i="2"/>
  <c r="CI7" i="2"/>
  <c r="CH7" i="2"/>
  <c r="CG7" i="2"/>
  <c r="CD7" i="2"/>
  <c r="BW7" i="2"/>
  <c r="BV7" i="2"/>
  <c r="BU7" i="2"/>
  <c r="BT7" i="2"/>
  <c r="BK7" i="2"/>
  <c r="BI7" i="2"/>
  <c r="BE7" i="2"/>
  <c r="BD7" i="2"/>
  <c r="BC7" i="2"/>
  <c r="BB7" i="2"/>
  <c r="BA7" i="2"/>
  <c r="AZ7" i="2"/>
  <c r="AY7" i="2"/>
  <c r="AV7" i="2"/>
  <c r="AT7" i="2"/>
  <c r="AP7" i="2"/>
  <c r="AO7" i="2"/>
  <c r="AJ7" i="2"/>
  <c r="AE7" i="2"/>
  <c r="AB7" i="2"/>
  <c r="AA7" i="2"/>
  <c r="Z7" i="2"/>
  <c r="Y7" i="2"/>
  <c r="G7" i="2"/>
  <c r="F7" i="2"/>
  <c r="E7" i="2"/>
  <c r="C7" i="2"/>
  <c r="EM6" i="2" a="1"/>
  <c r="EM6" i="2" s="1"/>
  <c r="EM8" i="2" s="1"/>
  <c r="EL6" i="2" a="1"/>
  <c r="EL6" i="2" s="1"/>
  <c r="EL8" i="2" s="1"/>
  <c r="EK6" i="2" a="1"/>
  <c r="EK6" i="2"/>
  <c r="EJ6" i="2" a="1"/>
  <c r="EJ6" i="2"/>
  <c r="EJ7" i="2" s="1"/>
  <c r="EI6" i="2" a="1"/>
  <c r="EI6" i="2" s="1"/>
  <c r="EI7" i="2" s="1"/>
  <c r="EH6" i="2" a="1"/>
  <c r="EH6" i="2"/>
  <c r="EH8" i="2" s="1"/>
  <c r="EG6" i="2" a="1"/>
  <c r="EG6" i="2"/>
  <c r="EG7" i="2" s="1"/>
  <c r="EF6" i="2" a="1"/>
  <c r="EF6" i="2" s="1"/>
  <c r="EE6" i="2" a="1"/>
  <c r="EE6" i="2"/>
  <c r="ED6" i="2" a="1"/>
  <c r="ED6" i="2"/>
  <c r="ED8" i="2" s="1"/>
  <c r="EC6" i="2" a="1"/>
  <c r="EC6" i="2"/>
  <c r="EC7" i="2" s="1"/>
  <c r="EB6" i="2" a="1"/>
  <c r="EB6" i="2" s="1"/>
  <c r="EA6" i="2" a="1"/>
  <c r="EA6" i="2"/>
  <c r="DZ6" i="2" a="1"/>
  <c r="DZ6" i="2"/>
  <c r="DZ7" i="2" s="1"/>
  <c r="DY6" i="2" a="1"/>
  <c r="DY6" i="2"/>
  <c r="DY7" i="2" s="1"/>
  <c r="DX6" i="2" a="1"/>
  <c r="DX6" i="2" s="1"/>
  <c r="DW6" i="2" a="1"/>
  <c r="DW6" i="2"/>
  <c r="DW7" i="2" s="1"/>
  <c r="DV6" i="2" a="1"/>
  <c r="DV6" i="2"/>
  <c r="DU6" i="2" a="1"/>
  <c r="DU6" i="2"/>
  <c r="DU7" i="2" s="1"/>
  <c r="DT6" i="2" a="1"/>
  <c r="DT6" i="2" s="1"/>
  <c r="DT8" i="2" s="1"/>
  <c r="DS6" i="2" a="1"/>
  <c r="DS6" i="2"/>
  <c r="DR6" i="2" a="1"/>
  <c r="DR6" i="2" s="1"/>
  <c r="DR7" i="2" s="1"/>
  <c r="DQ6" i="2" a="1"/>
  <c r="DQ6" i="2" s="1"/>
  <c r="DQ8" i="2" s="1"/>
  <c r="DP6" i="2" a="1"/>
  <c r="DP6" i="2"/>
  <c r="DP8" i="2" s="1"/>
  <c r="DO6" i="2" a="1"/>
  <c r="DO6" i="2"/>
  <c r="DO7" i="2" s="1"/>
  <c r="DN6" i="2" a="1"/>
  <c r="DN6" i="2"/>
  <c r="DN7" i="2" s="1"/>
  <c r="DM6" i="2" a="1"/>
  <c r="DM6" i="2" s="1"/>
  <c r="DL6" i="2" a="1"/>
  <c r="DL6" i="2" s="1"/>
  <c r="DK6" i="2" a="1"/>
  <c r="DK6" i="2"/>
  <c r="DJ6" i="2" a="1"/>
  <c r="DJ6" i="2" s="1"/>
  <c r="DI6" i="2" a="1"/>
  <c r="DI6" i="2"/>
  <c r="DH6" i="2" a="1"/>
  <c r="DH6" i="2" s="1"/>
  <c r="DH8" i="2" s="1"/>
  <c r="DG6" i="2" a="1"/>
  <c r="DG6" i="2"/>
  <c r="DF6" i="2" a="1"/>
  <c r="DF6" i="2" s="1"/>
  <c r="DE6" i="2" a="1"/>
  <c r="DE6" i="2" s="1"/>
  <c r="DD6" i="2" a="1"/>
  <c r="DD6" i="2"/>
  <c r="DD7" i="2" s="1"/>
  <c r="DC6" i="2" a="1"/>
  <c r="DC6" i="2"/>
  <c r="DC7" i="2" s="1"/>
  <c r="DB6" i="2" a="1"/>
  <c r="DB6" i="2" s="1"/>
  <c r="DA6" i="2" a="1"/>
  <c r="DA6" i="2"/>
  <c r="CZ6" i="2" a="1"/>
  <c r="CZ6" i="2" s="1"/>
  <c r="CY6" i="2" a="1"/>
  <c r="CY6" i="2"/>
  <c r="CX6" i="2" a="1"/>
  <c r="CX6" i="2" s="1"/>
  <c r="CW6" i="2" a="1"/>
  <c r="CW6" i="2" s="1"/>
  <c r="CV6" i="2" a="1"/>
  <c r="CV6" i="2" s="1"/>
  <c r="CU6" i="2" a="1"/>
  <c r="CU6" i="2" s="1"/>
  <c r="CT6" i="2" a="1"/>
  <c r="CT6" i="2"/>
  <c r="CT7" i="2" s="1"/>
  <c r="CS6" i="2" a="1"/>
  <c r="CS6" i="2"/>
  <c r="CR6" i="2" a="1"/>
  <c r="CR6" i="2" s="1"/>
  <c r="CQ6" i="2" a="1"/>
  <c r="CQ6" i="2" s="1"/>
  <c r="CP6" i="2" a="1"/>
  <c r="CP6" i="2"/>
  <c r="CP8" i="2" s="1"/>
  <c r="CO6" i="2" a="1"/>
  <c r="CO6" i="2"/>
  <c r="CO7" i="2" s="1"/>
  <c r="CN6" i="2" a="1"/>
  <c r="CN6" i="2" s="1"/>
  <c r="CN7" i="2" s="1"/>
  <c r="CM6" i="2" a="1"/>
  <c r="CM6" i="2"/>
  <c r="CL6" i="2" a="1"/>
  <c r="CL6" i="2"/>
  <c r="CK6" i="2" a="1"/>
  <c r="CK6" i="2"/>
  <c r="CK7" i="2" s="1"/>
  <c r="CJ6" i="2" a="1"/>
  <c r="CJ6" i="2" s="1"/>
  <c r="CJ8" i="2" s="1"/>
  <c r="CI6" i="2" a="1"/>
  <c r="CI6" i="2"/>
  <c r="CI8" i="2" s="1"/>
  <c r="CH6" i="2" a="1"/>
  <c r="CH6" i="2"/>
  <c r="CH8" i="2" s="1"/>
  <c r="CG6" i="2" a="1"/>
  <c r="CG6" i="2"/>
  <c r="CG8" i="2" s="1"/>
  <c r="CF6" i="2" a="1"/>
  <c r="CF6" i="2" s="1"/>
  <c r="CE6" i="2" a="1"/>
  <c r="CE6" i="2" s="1"/>
  <c r="CD6" i="2" a="1"/>
  <c r="CD6" i="2"/>
  <c r="CC6" i="2" a="1"/>
  <c r="CC6" i="2"/>
  <c r="CC7" i="2" s="1"/>
  <c r="CB6" i="2" a="1"/>
  <c r="CB6" i="2" s="1"/>
  <c r="CA6" i="2" a="1"/>
  <c r="CA6" i="2"/>
  <c r="CA7" i="2" s="1"/>
  <c r="BZ6" i="2" a="1"/>
  <c r="BZ6" i="2"/>
  <c r="BZ7" i="2" s="1"/>
  <c r="BY6" i="2" a="1"/>
  <c r="BY6" i="2" s="1"/>
  <c r="BX6" i="2" a="1"/>
  <c r="BX6" i="2"/>
  <c r="BW6" i="2" a="1"/>
  <c r="BW6" i="2"/>
  <c r="BV6" i="2" a="1"/>
  <c r="BV6" i="2"/>
  <c r="BU6" i="2" a="1"/>
  <c r="BU6" i="2" s="1"/>
  <c r="BU8" i="2" s="1"/>
  <c r="BT6" i="2" a="1"/>
  <c r="BT6" i="2"/>
  <c r="BT8" i="2" s="1"/>
  <c r="BS6" i="2" a="1"/>
  <c r="BS6" i="2"/>
  <c r="BR6" i="2" a="1"/>
  <c r="BR6" i="2" s="1"/>
  <c r="BQ6" i="2" a="1"/>
  <c r="BQ6" i="2"/>
  <c r="BQ7" i="2" s="1"/>
  <c r="BP6" i="2" a="1"/>
  <c r="BP6" i="2" s="1"/>
  <c r="BP7" i="2" s="1"/>
  <c r="BO6" i="2" a="1"/>
  <c r="BO6" i="2"/>
  <c r="BN6" i="2" a="1"/>
  <c r="BN6" i="2" s="1"/>
  <c r="BM6" i="2" a="1"/>
  <c r="BM6" i="2"/>
  <c r="BL6" i="2" a="1"/>
  <c r="BL6" i="2"/>
  <c r="BL8" i="2" s="1"/>
  <c r="BK6" i="2" a="1"/>
  <c r="BK6" i="2"/>
  <c r="BK8" i="2" s="1"/>
  <c r="BJ6" i="2" a="1"/>
  <c r="BJ6" i="2" s="1"/>
  <c r="BI6" i="2" a="1"/>
  <c r="BI6" i="2"/>
  <c r="BH6" i="2" a="1"/>
  <c r="BH6" i="2"/>
  <c r="BH7" i="2" s="1"/>
  <c r="BG6" i="2" a="1"/>
  <c r="BG6" i="2"/>
  <c r="BF6" i="2" a="1"/>
  <c r="BF6" i="2"/>
  <c r="BE6" i="2" a="1"/>
  <c r="BE6" i="2"/>
  <c r="BE8" i="2" s="1"/>
  <c r="BD6" i="2" a="1"/>
  <c r="BD6" i="2" s="1"/>
  <c r="BD8" i="2" s="1"/>
  <c r="BC6" i="2" a="1"/>
  <c r="BC6" i="2" s="1"/>
  <c r="BB6" i="2" a="1"/>
  <c r="BB6" i="2"/>
  <c r="BB8" i="2" s="1"/>
  <c r="BA6" i="2" a="1"/>
  <c r="BA6" i="2"/>
  <c r="BA8" i="2" s="1"/>
  <c r="AZ6" i="2" a="1"/>
  <c r="AZ6" i="2"/>
  <c r="AY6" i="2" a="1"/>
  <c r="AY6" i="2" s="1"/>
  <c r="AX6" i="2" a="1"/>
  <c r="AX6" i="2"/>
  <c r="AW6" i="2" a="1"/>
  <c r="AW6" i="2" s="1"/>
  <c r="AW7" i="2" s="1"/>
  <c r="AV6" i="2" a="1"/>
  <c r="AV6" i="2"/>
  <c r="AV8" i="2" s="1"/>
  <c r="AU6" i="2" a="1"/>
  <c r="AU6" i="2"/>
  <c r="AU8" i="2" s="1"/>
  <c r="AT6" i="2" a="1"/>
  <c r="AT6" i="2"/>
  <c r="AT8" i="2" s="1"/>
  <c r="AS6" i="2" a="1"/>
  <c r="AS6" i="2" s="1"/>
  <c r="AR6" i="2" a="1"/>
  <c r="AR6" i="2" s="1"/>
  <c r="AR7" i="2" s="1"/>
  <c r="AQ6" i="2" a="1"/>
  <c r="AQ6" i="2"/>
  <c r="AQ7" i="2" s="1"/>
  <c r="AP6" i="2" a="1"/>
  <c r="AP6" i="2"/>
  <c r="AO6" i="2" a="1"/>
  <c r="AO6" i="2"/>
  <c r="AN6" i="2" a="1"/>
  <c r="AN6" i="2" s="1"/>
  <c r="AM6" i="2" a="1"/>
  <c r="AM6" i="2" s="1"/>
  <c r="AL6" i="2" a="1"/>
  <c r="AL6" i="2"/>
  <c r="AL7" i="2" s="1"/>
  <c r="AK6" i="2" a="1"/>
  <c r="AK6" i="2"/>
  <c r="AK7" i="2" s="1"/>
  <c r="AJ6" i="2" a="1"/>
  <c r="AJ6" i="2"/>
  <c r="AJ8" i="2" s="1"/>
  <c r="AI6" i="2" a="1"/>
  <c r="AI6" i="2"/>
  <c r="AI7" i="2" s="1"/>
  <c r="AH6" i="2" a="1"/>
  <c r="AH6" i="2"/>
  <c r="AH7" i="2" s="1"/>
  <c r="AG6" i="2" a="1"/>
  <c r="AG6" i="2" s="1"/>
  <c r="AG8" i="2" s="1"/>
  <c r="AF6" i="2" a="1"/>
  <c r="AF6" i="2" s="1"/>
  <c r="AE6" i="2" a="1"/>
  <c r="AE6" i="2"/>
  <c r="AD6" i="2" a="1"/>
  <c r="AD6" i="2"/>
  <c r="AC6" i="2" a="1"/>
  <c r="AC6" i="2" s="1"/>
  <c r="AB6" i="2" a="1"/>
  <c r="AB6" i="2" s="1"/>
  <c r="AB8" i="2" s="1"/>
  <c r="AA6" i="2" a="1"/>
  <c r="AA6" i="2" s="1"/>
  <c r="AA8" i="2" s="1"/>
  <c r="Z6" i="2" a="1"/>
  <c r="Z6" i="2"/>
  <c r="Z8" i="2" s="1"/>
  <c r="Y6" i="2" a="1"/>
  <c r="Y6" i="2"/>
  <c r="Y8" i="2" s="1"/>
  <c r="X6" i="2" a="1"/>
  <c r="X6" i="2" s="1"/>
  <c r="X8" i="2" s="1"/>
  <c r="W6" i="2" a="1"/>
  <c r="W6" i="2"/>
  <c r="V6" i="2" a="1"/>
  <c r="V6" i="2" s="1"/>
  <c r="V7" i="2" s="1"/>
  <c r="U6" i="2" a="1"/>
  <c r="U6" i="2"/>
  <c r="U7" i="2" s="1"/>
  <c r="T6" i="2" a="1"/>
  <c r="T6" i="2"/>
  <c r="T7" i="2" s="1"/>
  <c r="S6" i="2" a="1"/>
  <c r="S6" i="2"/>
  <c r="S7" i="2" s="1"/>
  <c r="R6" i="2" a="1"/>
  <c r="R6" i="2" s="1"/>
  <c r="R7" i="2" s="1"/>
  <c r="Q6" i="2" a="1"/>
  <c r="Q6" i="2"/>
  <c r="P6" i="2" a="1"/>
  <c r="P6" i="2" s="1"/>
  <c r="O6" i="2" a="1"/>
  <c r="O6" i="2" s="1"/>
  <c r="N6" i="2" a="1"/>
  <c r="N6" i="2"/>
  <c r="N8" i="2" s="1"/>
  <c r="M6" i="2" a="1"/>
  <c r="M6" i="2"/>
  <c r="M8" i="2" s="1"/>
  <c r="L6" i="2" a="1"/>
  <c r="L6" i="2"/>
  <c r="L8" i="2" s="1"/>
  <c r="K6" i="2" a="1"/>
  <c r="K6" i="2" s="1"/>
  <c r="K7" i="2" s="1"/>
  <c r="J6" i="2" a="1"/>
  <c r="J6" i="2"/>
  <c r="J7" i="2" s="1"/>
  <c r="I6" i="2" a="1"/>
  <c r="I6" i="2"/>
  <c r="I7" i="2" s="1"/>
  <c r="H6" i="2" a="1"/>
  <c r="H6" i="2"/>
  <c r="H7" i="2" s="1"/>
  <c r="G6" i="2" a="1"/>
  <c r="G6" i="2" s="1"/>
  <c r="F6" i="2" a="1"/>
  <c r="F6" i="2"/>
  <c r="F8" i="2" s="1"/>
  <c r="E6" i="2" a="1"/>
  <c r="E6" i="2"/>
  <c r="D6" i="2" a="1"/>
  <c r="D6" i="2"/>
  <c r="D7" i="2" s="1"/>
  <c r="C6" i="2" a="1"/>
  <c r="C6" i="2" s="1"/>
  <c r="EN25" i="1"/>
  <c r="EM25" i="1"/>
  <c r="EN24" i="1"/>
  <c r="EO24" i="1" s="1"/>
  <c r="EM24" i="1"/>
  <c r="B24" i="1"/>
  <c r="EO23" i="1"/>
  <c r="EN23" i="1"/>
  <c r="EM23" i="1"/>
  <c r="B23" i="1"/>
  <c r="EN22" i="1"/>
  <c r="EO22" i="1" s="1"/>
  <c r="EM22" i="1"/>
  <c r="B22" i="1"/>
  <c r="EO21" i="1"/>
  <c r="EN21" i="1"/>
  <c r="EM21" i="1"/>
  <c r="B21" i="1"/>
  <c r="EN20" i="1"/>
  <c r="EO20" i="1" s="1"/>
  <c r="EM20" i="1"/>
  <c r="B20" i="1"/>
  <c r="EO19" i="1"/>
  <c r="EN19" i="1"/>
  <c r="EM19" i="1"/>
  <c r="B19" i="1"/>
  <c r="EN18" i="1"/>
  <c r="EM18" i="1"/>
  <c r="EO18" i="1" s="1"/>
  <c r="B18" i="1"/>
  <c r="EN17" i="1"/>
  <c r="EM17" i="1"/>
  <c r="EO17" i="1" s="1"/>
  <c r="B17" i="1"/>
  <c r="EN16" i="1"/>
  <c r="EM16" i="1"/>
  <c r="B16" i="1"/>
  <c r="EO15" i="1"/>
  <c r="EN15" i="1"/>
  <c r="EM15" i="1"/>
  <c r="B15" i="1"/>
  <c r="EN14" i="1"/>
  <c r="EO14" i="1" s="1"/>
  <c r="EM14" i="1"/>
  <c r="B14" i="1"/>
  <c r="EN13" i="1"/>
  <c r="EO13" i="1" s="1"/>
  <c r="EM13" i="1"/>
  <c r="B13" i="1"/>
  <c r="EN12" i="1"/>
  <c r="EM12" i="1"/>
  <c r="EO12" i="1" s="1"/>
  <c r="B12" i="1"/>
  <c r="EI8" i="1"/>
  <c r="EE8" i="1"/>
  <c r="ED8" i="1"/>
  <c r="EC8" i="1"/>
  <c r="DX8" i="1"/>
  <c r="DV8" i="1"/>
  <c r="DT8" i="1"/>
  <c r="DS8" i="1"/>
  <c r="DR8" i="1"/>
  <c r="DN8" i="1"/>
  <c r="DM8" i="1"/>
  <c r="DL8" i="1"/>
  <c r="DK8" i="1"/>
  <c r="DG8" i="1"/>
  <c r="CV8" i="1"/>
  <c r="CR8" i="1"/>
  <c r="CQ8" i="1"/>
  <c r="CP8" i="1"/>
  <c r="CO8" i="1"/>
  <c r="CM8" i="1"/>
  <c r="CK8" i="1"/>
  <c r="CF8" i="1"/>
  <c r="CD8" i="1"/>
  <c r="CA8" i="1"/>
  <c r="BZ8" i="1"/>
  <c r="BU8" i="1"/>
  <c r="BS8" i="1"/>
  <c r="BR8" i="1"/>
  <c r="BQ8" i="1"/>
  <c r="BP8" i="1"/>
  <c r="BO8" i="1"/>
  <c r="BK8" i="1"/>
  <c r="BJ8" i="1"/>
  <c r="BH8" i="1"/>
  <c r="BF8" i="1"/>
  <c r="AY8" i="1"/>
  <c r="AX8" i="1"/>
  <c r="AW8" i="1"/>
  <c r="AU8" i="1"/>
  <c r="AS8" i="1"/>
  <c r="AN8" i="1"/>
  <c r="AL8" i="1"/>
  <c r="AK8" i="1"/>
  <c r="AJ8" i="1"/>
  <c r="AI8" i="1"/>
  <c r="AH8" i="1"/>
  <c r="AD8" i="1"/>
  <c r="AC8" i="1"/>
  <c r="AB8" i="1"/>
  <c r="AA8" i="1"/>
  <c r="W8" i="1"/>
  <c r="S8" i="1"/>
  <c r="L8" i="1"/>
  <c r="F8" i="1"/>
  <c r="E8" i="1"/>
  <c r="C8" i="1"/>
  <c r="EM7" i="1"/>
  <c r="EL7" i="1"/>
  <c r="EK7" i="1"/>
  <c r="EJ7" i="1"/>
  <c r="EG7" i="1"/>
  <c r="EE7" i="1"/>
  <c r="EC7" i="1"/>
  <c r="DV7" i="1"/>
  <c r="DR7" i="1"/>
  <c r="DN7" i="1"/>
  <c r="DM7" i="1"/>
  <c r="DL7" i="1"/>
  <c r="DK7" i="1"/>
  <c r="DI7" i="1"/>
  <c r="DH7" i="1"/>
  <c r="DG7" i="1"/>
  <c r="CZ7" i="1"/>
  <c r="CY7" i="1"/>
  <c r="CX7" i="1"/>
  <c r="CU7" i="1"/>
  <c r="CQ7" i="1"/>
  <c r="CP7" i="1"/>
  <c r="CO7" i="1"/>
  <c r="CM7" i="1"/>
  <c r="CL7" i="1"/>
  <c r="CK7" i="1"/>
  <c r="CE7" i="1"/>
  <c r="CD7" i="1"/>
  <c r="BZ7" i="1"/>
  <c r="BU7" i="1"/>
  <c r="BT7" i="1"/>
  <c r="BS7" i="1"/>
  <c r="BO7" i="1"/>
  <c r="BK7" i="1"/>
  <c r="BG7" i="1"/>
  <c r="BF7" i="1"/>
  <c r="BE7" i="1"/>
  <c r="BD7" i="1"/>
  <c r="BC7" i="1"/>
  <c r="AY7" i="1"/>
  <c r="AW7" i="1"/>
  <c r="AU7" i="1"/>
  <c r="AS7" i="1"/>
  <c r="AR7" i="1"/>
  <c r="AQ7" i="1"/>
  <c r="AL7" i="1"/>
  <c r="AH7" i="1"/>
  <c r="AA7" i="1"/>
  <c r="Y7" i="1"/>
  <c r="X7" i="1"/>
  <c r="W7" i="1"/>
  <c r="P7" i="1"/>
  <c r="O7" i="1"/>
  <c r="N7" i="1"/>
  <c r="L7" i="1"/>
  <c r="G7" i="1"/>
  <c r="F7" i="1"/>
  <c r="EM6" i="1" a="1"/>
  <c r="EM6" i="1"/>
  <c r="EM8" i="1" s="1"/>
  <c r="EL6" i="1" a="1"/>
  <c r="EL6" i="1"/>
  <c r="EL8" i="1" s="1"/>
  <c r="EK6" i="1" a="1"/>
  <c r="EK6" i="1"/>
  <c r="EK8" i="1" s="1"/>
  <c r="EJ6" i="1" a="1"/>
  <c r="EJ6" i="1"/>
  <c r="EJ8" i="1" s="1"/>
  <c r="EI6" i="1" a="1"/>
  <c r="EI6" i="1"/>
  <c r="EI7" i="1" s="1"/>
  <c r="EH6" i="1" a="1"/>
  <c r="EH6" i="1"/>
  <c r="EH8" i="1" s="1"/>
  <c r="EG6" i="1" a="1"/>
  <c r="EG6" i="1"/>
  <c r="EG8" i="1" s="1"/>
  <c r="EF6" i="1" a="1"/>
  <c r="EF6" i="1"/>
  <c r="EF7" i="1" s="1"/>
  <c r="EE6" i="1" a="1"/>
  <c r="EE6" i="1"/>
  <c r="ED6" i="1" a="1"/>
  <c r="ED6" i="1"/>
  <c r="ED7" i="1" s="1"/>
  <c r="EC6" i="1" a="1"/>
  <c r="EC6" i="1"/>
  <c r="EB6" i="1" a="1"/>
  <c r="EB6" i="1"/>
  <c r="EB8" i="1" s="1"/>
  <c r="EA6" i="1" a="1"/>
  <c r="EA6" i="1"/>
  <c r="EA8" i="1" s="1"/>
  <c r="DZ6" i="1" a="1"/>
  <c r="DZ6" i="1"/>
  <c r="DZ8" i="1" s="1"/>
  <c r="DY6" i="1" a="1"/>
  <c r="DY6" i="1"/>
  <c r="DX6" i="1" a="1"/>
  <c r="DX6" i="1"/>
  <c r="DX7" i="1" s="1"/>
  <c r="DW6" i="1" a="1"/>
  <c r="DW6" i="1"/>
  <c r="DW8" i="1" s="1"/>
  <c r="DV6" i="1" a="1"/>
  <c r="DV6" i="1"/>
  <c r="DU6" i="1" a="1"/>
  <c r="DU6" i="1"/>
  <c r="DT6" i="1" a="1"/>
  <c r="DT6" i="1"/>
  <c r="DT7" i="1" s="1"/>
  <c r="DS6" i="1" a="1"/>
  <c r="DS6" i="1"/>
  <c r="DS7" i="1" s="1"/>
  <c r="DR6" i="1" a="1"/>
  <c r="DR6" i="1"/>
  <c r="DQ6" i="1" a="1"/>
  <c r="DQ6" i="1"/>
  <c r="DP6" i="1" a="1"/>
  <c r="DP6" i="1"/>
  <c r="DO6" i="1" a="1"/>
  <c r="DO6" i="1"/>
  <c r="DN6" i="1" a="1"/>
  <c r="DN6" i="1"/>
  <c r="DM6" i="1" a="1"/>
  <c r="DM6" i="1"/>
  <c r="DL6" i="1" a="1"/>
  <c r="DL6" i="1"/>
  <c r="DK6" i="1" a="1"/>
  <c r="DK6" i="1"/>
  <c r="DJ6" i="1" a="1"/>
  <c r="DJ6" i="1"/>
  <c r="DI6" i="1" a="1"/>
  <c r="DI6" i="1"/>
  <c r="DI8" i="1" s="1"/>
  <c r="DH6" i="1" a="1"/>
  <c r="DH6" i="1"/>
  <c r="DH8" i="1" s="1"/>
  <c r="DG6" i="1" a="1"/>
  <c r="DG6" i="1"/>
  <c r="DF6" i="1" a="1"/>
  <c r="DF6" i="1"/>
  <c r="DE6" i="1" a="1"/>
  <c r="DE6" i="1"/>
  <c r="DD6" i="1" a="1"/>
  <c r="DD6" i="1"/>
  <c r="DC6" i="1" a="1"/>
  <c r="DC6" i="1"/>
  <c r="DC7" i="1" s="1"/>
  <c r="DB6" i="1" a="1"/>
  <c r="DB6" i="1"/>
  <c r="DA6" i="1" a="1"/>
  <c r="DA6" i="1"/>
  <c r="DA8" i="1" s="1"/>
  <c r="CZ6" i="1" a="1"/>
  <c r="CZ6" i="1"/>
  <c r="CZ8" i="1" s="1"/>
  <c r="CY6" i="1" a="1"/>
  <c r="CY6" i="1"/>
  <c r="CY8" i="1" s="1"/>
  <c r="CX6" i="1" a="1"/>
  <c r="CX6" i="1"/>
  <c r="CX8" i="1" s="1"/>
  <c r="CW6" i="1" a="1"/>
  <c r="CW6" i="1"/>
  <c r="CW7" i="1" s="1"/>
  <c r="CV6" i="1" a="1"/>
  <c r="CV6" i="1"/>
  <c r="CV7" i="1" s="1"/>
  <c r="CU6" i="1" a="1"/>
  <c r="CU6" i="1"/>
  <c r="CU8" i="1" s="1"/>
  <c r="CT6" i="1" a="1"/>
  <c r="CT6" i="1"/>
  <c r="CS6" i="1" a="1"/>
  <c r="CS6" i="1"/>
  <c r="CR6" i="1" a="1"/>
  <c r="CR6" i="1"/>
  <c r="CR7" i="1" s="1"/>
  <c r="CQ6" i="1" a="1"/>
  <c r="CQ6" i="1"/>
  <c r="CP6" i="1" a="1"/>
  <c r="CP6" i="1"/>
  <c r="CO6" i="1" a="1"/>
  <c r="CO6" i="1"/>
  <c r="CN6" i="1" a="1"/>
  <c r="CN6" i="1"/>
  <c r="CN7" i="1" s="1"/>
  <c r="CM6" i="1" a="1"/>
  <c r="CM6" i="1"/>
  <c r="CL6" i="1" a="1"/>
  <c r="CL6" i="1"/>
  <c r="CL8" i="1" s="1"/>
  <c r="CK6" i="1" a="1"/>
  <c r="CK6" i="1"/>
  <c r="CJ6" i="1" a="1"/>
  <c r="CJ6" i="1"/>
  <c r="CJ8" i="1" s="1"/>
  <c r="CI6" i="1" a="1"/>
  <c r="CI6" i="1"/>
  <c r="CH6" i="1" a="1"/>
  <c r="CH6" i="1"/>
  <c r="CG6" i="1" a="1"/>
  <c r="CG6" i="1"/>
  <c r="CF6" i="1" a="1"/>
  <c r="CF6" i="1"/>
  <c r="CF7" i="1" s="1"/>
  <c r="CE6" i="1" a="1"/>
  <c r="CE6" i="1"/>
  <c r="CE8" i="1" s="1"/>
  <c r="CD6" i="1" a="1"/>
  <c r="CD6" i="1"/>
  <c r="CC6" i="1" a="1"/>
  <c r="CC6" i="1"/>
  <c r="CC8" i="1" s="1"/>
  <c r="CB6" i="1" a="1"/>
  <c r="CB6" i="1"/>
  <c r="CB8" i="1" s="1"/>
  <c r="CA6" i="1" a="1"/>
  <c r="CA6" i="1"/>
  <c r="CA7" i="1" s="1"/>
  <c r="BZ6" i="1" a="1"/>
  <c r="BZ6" i="1"/>
  <c r="BY6" i="1" a="1"/>
  <c r="BY6" i="1"/>
  <c r="BX6" i="1" a="1"/>
  <c r="BX6" i="1"/>
  <c r="BW6" i="1" a="1"/>
  <c r="BW6" i="1"/>
  <c r="BV6" i="1" a="1"/>
  <c r="BV6" i="1"/>
  <c r="BU6" i="1" a="1"/>
  <c r="BU6" i="1"/>
  <c r="BT6" i="1" a="1"/>
  <c r="BT6" i="1"/>
  <c r="BT8" i="1" s="1"/>
  <c r="BS6" i="1" a="1"/>
  <c r="BS6" i="1"/>
  <c r="BR6" i="1" a="1"/>
  <c r="BR6" i="1"/>
  <c r="BR7" i="1" s="1"/>
  <c r="BQ6" i="1" a="1"/>
  <c r="BQ6" i="1"/>
  <c r="BQ7" i="1" s="1"/>
  <c r="BP6" i="1" a="1"/>
  <c r="BP6" i="1"/>
  <c r="BP7" i="1" s="1"/>
  <c r="BO6" i="1" a="1"/>
  <c r="BO6" i="1"/>
  <c r="BN6" i="1" a="1"/>
  <c r="BN6" i="1"/>
  <c r="BM6" i="1" a="1"/>
  <c r="BM6" i="1"/>
  <c r="BL6" i="1" a="1"/>
  <c r="BL6" i="1"/>
  <c r="BK6" i="1" a="1"/>
  <c r="BK6" i="1"/>
  <c r="BJ6" i="1" a="1"/>
  <c r="BJ6" i="1"/>
  <c r="BJ7" i="1" s="1"/>
  <c r="BI6" i="1" a="1"/>
  <c r="BI6" i="1"/>
  <c r="BH6" i="1" a="1"/>
  <c r="BH6" i="1"/>
  <c r="BH7" i="1" s="1"/>
  <c r="BG6" i="1" a="1"/>
  <c r="BG6" i="1"/>
  <c r="BG8" i="1" s="1"/>
  <c r="BF6" i="1" a="1"/>
  <c r="BF6" i="1"/>
  <c r="BE6" i="1" a="1"/>
  <c r="BE6" i="1"/>
  <c r="BE8" i="1" s="1"/>
  <c r="BD6" i="1" a="1"/>
  <c r="BD6" i="1"/>
  <c r="BD8" i="1" s="1"/>
  <c r="BC6" i="1" a="1"/>
  <c r="BC6" i="1"/>
  <c r="BC8" i="1" s="1"/>
  <c r="BB6" i="1" a="1"/>
  <c r="BB6" i="1"/>
  <c r="BB8" i="1" s="1"/>
  <c r="BA6" i="1" a="1"/>
  <c r="BA6" i="1"/>
  <c r="AZ6" i="1" a="1"/>
  <c r="AZ6" i="1"/>
  <c r="AY6" i="1" a="1"/>
  <c r="AY6" i="1"/>
  <c r="AX6" i="1" a="1"/>
  <c r="AX6" i="1"/>
  <c r="AX7" i="1" s="1"/>
  <c r="AW6" i="1" a="1"/>
  <c r="AW6" i="1"/>
  <c r="AV6" i="1" a="1"/>
  <c r="AV6" i="1"/>
  <c r="AU6" i="1" a="1"/>
  <c r="AU6" i="1"/>
  <c r="AT6" i="1" a="1"/>
  <c r="AT6" i="1"/>
  <c r="AT7" i="1" s="1"/>
  <c r="AS6" i="1" a="1"/>
  <c r="AS6" i="1"/>
  <c r="AR6" i="1" a="1"/>
  <c r="AR6" i="1"/>
  <c r="AR8" i="1" s="1"/>
  <c r="AQ6" i="1" a="1"/>
  <c r="AQ6" i="1"/>
  <c r="AQ8" i="1" s="1"/>
  <c r="AP6" i="1" a="1"/>
  <c r="AP6" i="1"/>
  <c r="AO6" i="1" a="1"/>
  <c r="AO6" i="1"/>
  <c r="AN6" i="1" a="1"/>
  <c r="AN6" i="1"/>
  <c r="AN7" i="1" s="1"/>
  <c r="AM6" i="1" a="1"/>
  <c r="AM6" i="1"/>
  <c r="AM8" i="1" s="1"/>
  <c r="AL6" i="1" a="1"/>
  <c r="AL6" i="1"/>
  <c r="AK6" i="1" a="1"/>
  <c r="AK6" i="1"/>
  <c r="AK7" i="1" s="1"/>
  <c r="AJ6" i="1" a="1"/>
  <c r="AJ6" i="1"/>
  <c r="AJ7" i="1" s="1"/>
  <c r="AI6" i="1" a="1"/>
  <c r="AI6" i="1"/>
  <c r="AI7" i="1" s="1"/>
  <c r="AH6" i="1" a="1"/>
  <c r="AH6" i="1"/>
  <c r="AG6" i="1" a="1"/>
  <c r="AG6" i="1"/>
  <c r="AF6" i="1" a="1"/>
  <c r="AF6" i="1"/>
  <c r="AE6" i="1" a="1"/>
  <c r="AE6" i="1"/>
  <c r="AD6" i="1" a="1"/>
  <c r="AD6" i="1"/>
  <c r="AD7" i="1" s="1"/>
  <c r="AC6" i="1" a="1"/>
  <c r="AC6" i="1"/>
  <c r="AC7" i="1" s="1"/>
  <c r="AB6" i="1" a="1"/>
  <c r="AB6" i="1"/>
  <c r="AB7" i="1" s="1"/>
  <c r="AA6" i="1" a="1"/>
  <c r="AA6" i="1"/>
  <c r="Z6" i="1" a="1"/>
  <c r="Z6" i="1"/>
  <c r="Y6" i="1" a="1"/>
  <c r="Y6" i="1"/>
  <c r="Y8" i="1" s="1"/>
  <c r="X6" i="1" a="1"/>
  <c r="X6" i="1"/>
  <c r="X8" i="1" s="1"/>
  <c r="W6" i="1" a="1"/>
  <c r="W6" i="1"/>
  <c r="V6" i="1" a="1"/>
  <c r="V6" i="1"/>
  <c r="U6" i="1" a="1"/>
  <c r="U6" i="1"/>
  <c r="T6" i="1" a="1"/>
  <c r="T6" i="1"/>
  <c r="S6" i="1" a="1"/>
  <c r="S6" i="1"/>
  <c r="S7" i="1" s="1"/>
  <c r="R6" i="1" a="1"/>
  <c r="R6" i="1"/>
  <c r="Q6" i="1" a="1"/>
  <c r="Q6" i="1"/>
  <c r="Q8" i="1" s="1"/>
  <c r="P6" i="1" a="1"/>
  <c r="P6" i="1"/>
  <c r="P8" i="1" s="1"/>
  <c r="O6" i="1" a="1"/>
  <c r="O6" i="1"/>
  <c r="O8" i="1" s="1"/>
  <c r="N6" i="1" a="1"/>
  <c r="N6" i="1"/>
  <c r="N8" i="1" s="1"/>
  <c r="M6" i="1" a="1"/>
  <c r="M6" i="1"/>
  <c r="M7" i="1" s="1"/>
  <c r="L6" i="1" a="1"/>
  <c r="L6" i="1"/>
  <c r="K6" i="1" a="1"/>
  <c r="K6" i="1"/>
  <c r="J6" i="1" a="1"/>
  <c r="J6" i="1"/>
  <c r="I6" i="1" a="1"/>
  <c r="I6" i="1"/>
  <c r="H6" i="1" a="1"/>
  <c r="H6" i="1"/>
  <c r="G6" i="1" a="1"/>
  <c r="G6" i="1"/>
  <c r="G8" i="1" s="1"/>
  <c r="F6" i="1" a="1"/>
  <c r="F6" i="1"/>
  <c r="E6" i="1" a="1"/>
  <c r="E6" i="1"/>
  <c r="E7" i="1" s="1"/>
  <c r="D6" i="1" a="1"/>
  <c r="D6" i="1"/>
  <c r="C6" i="1" a="1"/>
  <c r="C6" i="1"/>
  <c r="C7" i="1" s="1"/>
  <c r="DE7" i="2" l="1"/>
  <c r="DE8" i="2"/>
  <c r="CR8" i="2"/>
  <c r="CR7" i="2"/>
  <c r="CE7" i="2"/>
  <c r="CE8" i="2"/>
  <c r="Q7" i="2"/>
  <c r="Q8" i="2"/>
  <c r="BF8" i="2"/>
  <c r="BF7" i="2"/>
  <c r="BS8" i="2"/>
  <c r="BS7" i="2"/>
  <c r="CF7" i="2"/>
  <c r="CF8" i="2"/>
  <c r="BL7" i="1"/>
  <c r="BL8" i="1"/>
  <c r="CS8" i="1"/>
  <c r="CS7" i="1"/>
  <c r="DO8" i="1"/>
  <c r="DO7" i="1"/>
  <c r="AF8" i="1"/>
  <c r="AF7" i="1"/>
  <c r="BM8" i="1"/>
  <c r="BM7" i="1"/>
  <c r="CT7" i="1"/>
  <c r="CT8" i="1"/>
  <c r="V8" i="1"/>
  <c r="V7" i="1"/>
  <c r="BY7" i="1"/>
  <c r="BY8" i="1"/>
  <c r="BD7" i="3"/>
  <c r="AW7" i="4"/>
  <c r="AW8" i="4"/>
  <c r="AG7" i="2"/>
  <c r="V8" i="4"/>
  <c r="V7" i="4"/>
  <c r="AI8" i="4"/>
  <c r="AI7" i="4"/>
  <c r="DZ7" i="1"/>
  <c r="EF8" i="2"/>
  <c r="EF7" i="2"/>
  <c r="AS7" i="2"/>
  <c r="AS8" i="2"/>
  <c r="CS8" i="2"/>
  <c r="CS7" i="2"/>
  <c r="T7" i="1"/>
  <c r="T8" i="1"/>
  <c r="AE8" i="1"/>
  <c r="AE7" i="1"/>
  <c r="AP8" i="1"/>
  <c r="AP7" i="1"/>
  <c r="BA8" i="1"/>
  <c r="BA7" i="1"/>
  <c r="CH7" i="1"/>
  <c r="CH8" i="1"/>
  <c r="EG8" i="4"/>
  <c r="EG7" i="4"/>
  <c r="J7" i="1"/>
  <c r="J8" i="1"/>
  <c r="CI8" i="1"/>
  <c r="CI7" i="1"/>
  <c r="DP7" i="1"/>
  <c r="DP8" i="1"/>
  <c r="DS7" i="4"/>
  <c r="DS8" i="4"/>
  <c r="CX8" i="2"/>
  <c r="CX7" i="2"/>
  <c r="BE8" i="4"/>
  <c r="BE7" i="4"/>
  <c r="K7" i="1"/>
  <c r="K8" i="1"/>
  <c r="AG8" i="1"/>
  <c r="AG7" i="1"/>
  <c r="BN8" i="1"/>
  <c r="BN7" i="1"/>
  <c r="L7" i="3"/>
  <c r="L8" i="3"/>
  <c r="W7" i="3"/>
  <c r="W8" i="3"/>
  <c r="AH8" i="3"/>
  <c r="AH7" i="3"/>
  <c r="BO8" i="3"/>
  <c r="BO7" i="3"/>
  <c r="BZ8" i="3"/>
  <c r="BZ7" i="3"/>
  <c r="CK7" i="3"/>
  <c r="CK8" i="3"/>
  <c r="CV7" i="3"/>
  <c r="CV8" i="3"/>
  <c r="DG7" i="3"/>
  <c r="DG8" i="3"/>
  <c r="DR8" i="3"/>
  <c r="DR7" i="3"/>
  <c r="EC8" i="3"/>
  <c r="EC7" i="3"/>
  <c r="EK8" i="4"/>
  <c r="EK7" i="4"/>
  <c r="X7" i="3"/>
  <c r="X8" i="3"/>
  <c r="AI8" i="3"/>
  <c r="AI7" i="3"/>
  <c r="AT7" i="3"/>
  <c r="AT8" i="3"/>
  <c r="BP8" i="3"/>
  <c r="BP7" i="3"/>
  <c r="CA7" i="3"/>
  <c r="CA8" i="3"/>
  <c r="CL7" i="3"/>
  <c r="CL8" i="3"/>
  <c r="CW8" i="3"/>
  <c r="CW7" i="3"/>
  <c r="DH7" i="3"/>
  <c r="DH8" i="3"/>
  <c r="DS8" i="3"/>
  <c r="DS7" i="3"/>
  <c r="ED7" i="3"/>
  <c r="ED8" i="3"/>
  <c r="DX8" i="4"/>
  <c r="DX7" i="4"/>
  <c r="DK8" i="4"/>
  <c r="DK7" i="4"/>
  <c r="AF7" i="2"/>
  <c r="AF8" i="2"/>
  <c r="BG7" i="2"/>
  <c r="BG8" i="2"/>
  <c r="I8" i="1"/>
  <c r="I7" i="1"/>
  <c r="BW8" i="1"/>
  <c r="BW7" i="1"/>
  <c r="DD7" i="1"/>
  <c r="DD8" i="1"/>
  <c r="U7" i="1"/>
  <c r="U8" i="1"/>
  <c r="BX7" i="1"/>
  <c r="BX8" i="1"/>
  <c r="DE7" i="1"/>
  <c r="DE8" i="1"/>
  <c r="BB7" i="1"/>
  <c r="DF7" i="1"/>
  <c r="DF8" i="1"/>
  <c r="DQ7" i="1"/>
  <c r="DQ8" i="1"/>
  <c r="EL7" i="2"/>
  <c r="AS7" i="3"/>
  <c r="AS8" i="3"/>
  <c r="M7" i="3"/>
  <c r="M8" i="3"/>
  <c r="D8" i="2"/>
  <c r="BE7" i="3"/>
  <c r="BJ8" i="4"/>
  <c r="BJ7" i="4"/>
  <c r="EA7" i="1"/>
  <c r="AD8" i="2"/>
  <c r="AD7" i="2"/>
  <c r="CK8" i="4"/>
  <c r="CJ7" i="1"/>
  <c r="EB7" i="1"/>
  <c r="P8" i="2"/>
  <c r="P7" i="2"/>
  <c r="BR7" i="2"/>
  <c r="BR8" i="2"/>
  <c r="DF7" i="2"/>
  <c r="DF8" i="2"/>
  <c r="DJ8" i="2"/>
  <c r="DJ7" i="2"/>
  <c r="EK7" i="2"/>
  <c r="EK8" i="2"/>
  <c r="EM16" i="2"/>
  <c r="EN16" i="2" s="1"/>
  <c r="EM23" i="2"/>
  <c r="EN23" i="2" s="1"/>
  <c r="AE8" i="4"/>
  <c r="CW7" i="2"/>
  <c r="CW8" i="2"/>
  <c r="DK8" i="2"/>
  <c r="DK7" i="2"/>
  <c r="DZ8" i="2"/>
  <c r="EF7" i="4"/>
  <c r="EF8" i="4"/>
  <c r="BJ7" i="2"/>
  <c r="BJ8" i="2"/>
  <c r="AR7" i="4"/>
  <c r="AR8" i="4"/>
  <c r="BS7" i="4"/>
  <c r="BS8" i="4"/>
  <c r="AX8" i="2"/>
  <c r="AX7" i="2"/>
  <c r="BX7" i="2"/>
  <c r="BX8" i="2"/>
  <c r="DL8" i="2"/>
  <c r="DL7" i="2"/>
  <c r="AD8" i="4"/>
  <c r="AD7" i="4"/>
  <c r="AS7" i="4"/>
  <c r="AS8" i="4"/>
  <c r="DF8" i="4"/>
  <c r="DF7" i="4"/>
  <c r="EM14" i="2"/>
  <c r="EN14" i="2" s="1"/>
  <c r="BT8" i="4"/>
  <c r="BT7" i="4"/>
  <c r="CG7" i="4"/>
  <c r="CG8" i="4"/>
  <c r="CT7" i="4"/>
  <c r="CT8" i="4"/>
  <c r="DG7" i="4"/>
  <c r="DG8" i="4"/>
  <c r="DT7" i="4"/>
  <c r="DT8" i="4"/>
  <c r="E7" i="4"/>
  <c r="E8" i="4"/>
  <c r="R8" i="4"/>
  <c r="R7" i="4"/>
  <c r="F8" i="4"/>
  <c r="F7" i="4"/>
  <c r="S7" i="4"/>
  <c r="S8" i="4"/>
  <c r="EM12" i="2"/>
  <c r="EN12" i="2" s="1"/>
  <c r="EJ7" i="4"/>
  <c r="EJ8" i="4"/>
  <c r="DJ7" i="1"/>
  <c r="DJ8" i="1"/>
  <c r="CN8" i="1"/>
  <c r="DM7" i="2"/>
  <c r="DM8" i="2"/>
  <c r="EA7" i="2"/>
  <c r="EA8" i="2"/>
  <c r="DA7" i="2"/>
  <c r="DA8" i="2"/>
  <c r="BO7" i="4"/>
  <c r="BO8" i="4"/>
  <c r="CP7" i="4"/>
  <c r="CP8" i="4"/>
  <c r="AN8" i="2"/>
  <c r="AN7" i="2"/>
  <c r="BN7" i="2"/>
  <c r="BN8" i="2"/>
  <c r="DB7" i="2"/>
  <c r="DB8" i="2"/>
  <c r="AO7" i="4"/>
  <c r="AO8" i="4"/>
  <c r="BP7" i="4"/>
  <c r="BP8" i="4"/>
  <c r="EC7" i="4"/>
  <c r="EC8" i="4"/>
  <c r="CC7" i="1"/>
  <c r="BO7" i="2"/>
  <c r="BO8" i="2"/>
  <c r="CB8" i="2"/>
  <c r="CB7" i="2"/>
  <c r="L7" i="2"/>
  <c r="EM15" i="2"/>
  <c r="EN15" i="2" s="1"/>
  <c r="U7" i="3"/>
  <c r="U8" i="3"/>
  <c r="BB7" i="3"/>
  <c r="BB8" i="3"/>
  <c r="BM8" i="3"/>
  <c r="BM7" i="3"/>
  <c r="DP7" i="3"/>
  <c r="DP8" i="3"/>
  <c r="EL7" i="3"/>
  <c r="EL8" i="3"/>
  <c r="CI7" i="3"/>
  <c r="AQ8" i="3"/>
  <c r="AB7" i="4"/>
  <c r="AB8" i="4"/>
  <c r="CD8" i="4"/>
  <c r="CD7" i="4"/>
  <c r="CQ7" i="4"/>
  <c r="CQ8" i="4"/>
  <c r="DC7" i="4"/>
  <c r="DC8" i="4"/>
  <c r="DP8" i="4"/>
  <c r="DP7" i="4"/>
  <c r="EO25" i="1"/>
  <c r="M7" i="2"/>
  <c r="DN8" i="2"/>
  <c r="AR8" i="3"/>
  <c r="AP8" i="4"/>
  <c r="AP7" i="4"/>
  <c r="BQ7" i="4"/>
  <c r="BQ8" i="4"/>
  <c r="Z7" i="1"/>
  <c r="Z8" i="1"/>
  <c r="DU7" i="1"/>
  <c r="DU8" i="1"/>
  <c r="CY7" i="2"/>
  <c r="CY8" i="2"/>
  <c r="EB7" i="2"/>
  <c r="EB8" i="2"/>
  <c r="AM8" i="2"/>
  <c r="AM7" i="2"/>
  <c r="AZ7" i="1"/>
  <c r="AZ8" i="1"/>
  <c r="V7" i="3"/>
  <c r="V8" i="3"/>
  <c r="BR8" i="4"/>
  <c r="BR7" i="4"/>
  <c r="D7" i="1"/>
  <c r="D8" i="1"/>
  <c r="AV7" i="1"/>
  <c r="AV8" i="1"/>
  <c r="BY7" i="2"/>
  <c r="BY8" i="2"/>
  <c r="CZ7" i="2"/>
  <c r="CZ8" i="2"/>
  <c r="EF8" i="1"/>
  <c r="BM7" i="2"/>
  <c r="BM8" i="2"/>
  <c r="AN8" i="4"/>
  <c r="AN7" i="4"/>
  <c r="CC8" i="4"/>
  <c r="CC7" i="4"/>
  <c r="DB8" i="4"/>
  <c r="DB7" i="4"/>
  <c r="H8" i="1"/>
  <c r="H7" i="1"/>
  <c r="AO8" i="1"/>
  <c r="AO7" i="1"/>
  <c r="BV7" i="1"/>
  <c r="BV8" i="1"/>
  <c r="CG7" i="1"/>
  <c r="CG8" i="1"/>
  <c r="DY8" i="1"/>
  <c r="DY7" i="1"/>
  <c r="DC8" i="1"/>
  <c r="O7" i="2"/>
  <c r="O8" i="2"/>
  <c r="EE8" i="2"/>
  <c r="EE7" i="2"/>
  <c r="N7" i="2"/>
  <c r="DO8" i="2"/>
  <c r="K7" i="3"/>
  <c r="K8" i="3"/>
  <c r="BC8" i="3"/>
  <c r="BC7" i="3"/>
  <c r="BN7" i="3"/>
  <c r="BN8" i="3"/>
  <c r="DF8" i="3"/>
  <c r="DF7" i="3"/>
  <c r="DQ7" i="3"/>
  <c r="DQ8" i="3"/>
  <c r="EB8" i="3"/>
  <c r="EB7" i="3"/>
  <c r="AQ7" i="4"/>
  <c r="AQ8" i="4"/>
  <c r="BD8" i="4"/>
  <c r="BD7" i="4"/>
  <c r="CR8" i="4"/>
  <c r="CR7" i="4"/>
  <c r="DD8" i="4"/>
  <c r="DD7" i="4"/>
  <c r="P8" i="4"/>
  <c r="CE8" i="4"/>
  <c r="AC8" i="2"/>
  <c r="AC7" i="2"/>
  <c r="X7" i="2"/>
  <c r="BL7" i="2"/>
  <c r="DR8" i="2"/>
  <c r="W8" i="4"/>
  <c r="W7" i="4"/>
  <c r="CE7" i="3"/>
  <c r="CE8" i="3"/>
  <c r="EM19" i="2"/>
  <c r="EN19" i="2" s="1"/>
  <c r="EM21" i="2"/>
  <c r="EN21" i="2" s="1"/>
  <c r="I7" i="4"/>
  <c r="I8" i="4"/>
  <c r="BT8" i="3"/>
  <c r="BT7" i="3"/>
  <c r="AJ7" i="4"/>
  <c r="AJ8" i="4"/>
  <c r="BI7" i="3"/>
  <c r="BI8" i="3"/>
  <c r="EM17" i="2"/>
  <c r="EN17" i="2" s="1"/>
  <c r="AU7" i="3"/>
  <c r="AU8" i="3"/>
  <c r="CB8" i="3"/>
  <c r="DT7" i="2"/>
  <c r="AY8" i="3"/>
  <c r="AG7" i="4"/>
  <c r="AG8" i="4"/>
  <c r="CH8" i="4"/>
  <c r="CH7" i="4"/>
  <c r="M8" i="1"/>
  <c r="DI8" i="3"/>
  <c r="BH8" i="4"/>
  <c r="BH7" i="4"/>
  <c r="AF7" i="4"/>
  <c r="BU7" i="4"/>
  <c r="DH7" i="4"/>
  <c r="K8" i="4"/>
  <c r="AM7" i="1"/>
  <c r="DW7" i="1"/>
  <c r="CW8" i="1"/>
  <c r="EC8" i="2"/>
  <c r="BU7" i="3"/>
  <c r="DJ8" i="3"/>
  <c r="AV8" i="4"/>
  <c r="AV7" i="4"/>
  <c r="AT8" i="1"/>
  <c r="R8" i="2"/>
  <c r="Y8" i="3"/>
  <c r="X7" i="4"/>
  <c r="X8" i="4"/>
  <c r="DY8" i="4"/>
  <c r="DY7" i="4"/>
  <c r="DG7" i="2"/>
  <c r="DG8" i="2"/>
  <c r="AU7" i="2"/>
  <c r="EL8" i="4"/>
  <c r="EL7" i="4"/>
  <c r="BI8" i="1"/>
  <c r="BI7" i="1"/>
  <c r="Q7" i="1"/>
  <c r="DA7" i="1"/>
  <c r="BJ8" i="3"/>
  <c r="CN8" i="4"/>
  <c r="CN7" i="4"/>
  <c r="W7" i="2"/>
  <c r="W8" i="2"/>
  <c r="CG8" i="3"/>
  <c r="CG7" i="3"/>
  <c r="CC7" i="3"/>
  <c r="Z8" i="4"/>
  <c r="Z7" i="4"/>
  <c r="AZ7" i="4"/>
  <c r="AZ8" i="4"/>
  <c r="R7" i="1"/>
  <c r="R8" i="1"/>
  <c r="DB7" i="1"/>
  <c r="DB8" i="1"/>
  <c r="EH7" i="1"/>
  <c r="EH7" i="2"/>
  <c r="M8" i="4"/>
  <c r="M7" i="4"/>
  <c r="H7" i="4"/>
  <c r="BV8" i="4"/>
  <c r="DM8" i="4"/>
  <c r="CB7" i="1"/>
  <c r="AJ8" i="3"/>
  <c r="CQ8" i="3"/>
  <c r="AX7" i="4"/>
  <c r="DZ7" i="4"/>
  <c r="CO7" i="4"/>
  <c r="DV8" i="4"/>
  <c r="EO16" i="1"/>
  <c r="CB8" i="4"/>
  <c r="CB7" i="4"/>
  <c r="AU8" i="4"/>
  <c r="AU7" i="4"/>
  <c r="DJ8" i="4"/>
  <c r="DJ7" i="4"/>
  <c r="CX8" i="4"/>
</calcChain>
</file>

<file path=xl/sharedStrings.xml><?xml version="1.0" encoding="utf-8"?>
<sst xmlns="http://schemas.openxmlformats.org/spreadsheetml/2006/main" count="1171" uniqueCount="158">
  <si>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</si>
  <si>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</si>
  <si>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</si>
  <si>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</si>
  <si>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</si>
  <si>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</si>
  <si>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</si>
  <si>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</si>
  <si>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</si>
  <si>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</si>
  <si>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</si>
  <si>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</si>
  <si>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</si>
  <si>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</si>
  <si>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</si>
  <si>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</si>
  <si>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</si>
  <si>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</si>
  <si>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</si>
  <si>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</si>
  <si>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</si>
  <si>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</si>
  <si>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</si>
  <si>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</si>
  <si>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</si>
  <si>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</si>
  <si>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</si>
  <si>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</si>
  <si>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</si>
  <si>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</si>
  <si>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</si>
  <si>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</si>
  <si>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</si>
  <si>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</si>
  <si>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</si>
  <si>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</si>
  <si>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</si>
  <si>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</si>
  <si>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</si>
  <si>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</si>
  <si>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</si>
  <si>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</si>
  <si>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</si>
  <si>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</si>
  <si>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</si>
  <si>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</si>
  <si>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</si>
  <si>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</si>
  <si>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</si>
  <si>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</si>
  <si>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</si>
  <si>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</si>
  <si>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</si>
  <si>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</si>
  <si>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</si>
  <si>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</si>
  <si>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</si>
  <si>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</si>
  <si>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</si>
  <si>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</si>
  <si>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</si>
  <si>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</si>
  <si>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</si>
  <si>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</si>
  <si>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</si>
  <si>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</si>
  <si>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</si>
  <si>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</si>
  <si>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</si>
  <si>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</si>
  <si>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</si>
  <si>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</si>
  <si>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</si>
  <si>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</si>
  <si>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</si>
  <si>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</si>
  <si>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</si>
  <si>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</si>
  <si>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</si>
  <si>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</si>
  <si>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</si>
  <si>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</si>
  <si>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</si>
  <si>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</si>
  <si>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</si>
  <si>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</si>
  <si>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</si>
  <si>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</si>
  <si>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</si>
  <si>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</si>
  <si>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</si>
  <si>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</si>
  <si>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</si>
  <si>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</si>
  <si>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</si>
  <si>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</si>
  <si>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</si>
  <si>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</si>
  <si>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</si>
  <si>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</si>
  <si>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</si>
  <si>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</si>
  <si>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</si>
  <si>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</si>
  <si>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</si>
  <si>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</si>
  <si>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</si>
  <si>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</si>
  <si>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</si>
  <si>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</si>
  <si>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</si>
  <si>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</si>
  <si>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</si>
  <si>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</si>
  <si>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</si>
  <si>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</si>
  <si>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</si>
  <si>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</si>
  <si>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</si>
  <si>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</si>
  <si>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</si>
  <si>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</si>
  <si>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</si>
  <si>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</si>
  <si>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</si>
  <si>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</si>
  <si>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</si>
  <si>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</si>
  <si>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</si>
  <si>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</si>
  <si>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</si>
  <si>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</si>
  <si>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</si>
  <si>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</si>
  <si>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</si>
  <si>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</si>
  <si>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</si>
  <si>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</si>
  <si>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</si>
  <si>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</si>
  <si>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</si>
  <si>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</si>
  <si>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</si>
  <si>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</si>
  <si>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</si>
  <si>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</si>
  <si>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</si>
  <si>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</si>
  <si>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</si>
  <si>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</si>
  <si>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</si>
  <si>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</si>
  <si>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</si>
  <si>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</si>
  <si>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</si>
  <si>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</si>
  <si>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sum</t>
  </si>
  <si>
    <t>勝率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</si>
</sst>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15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2050904817695007E-2"/>
          <c:y val="8.846471126819648E-2"/>
          <c:w val="0.93477780059020543"/>
          <c:h val="0.78174412237569135"/>
        </c:manualLayout>
      </c:layout>
      <c:lineChart>
        <c:grouping val="standard"/>
        <c:varyColors val="0"/>
        <c:ser>
          <c:idx val="0"/>
          <c:order val="0"/>
          <c:tx>
            <c:strRef>
              <c:f>畫圖0!$B$12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畫圖0!$C$12:$EL$12</c:f>
              <c:numCache>
                <c:formatCode>General</c:formatCode>
                <c:ptCount val="140"/>
                <c:pt idx="0">
                  <c:v>9.8199501924411306E-2</c:v>
                </c:pt>
                <c:pt idx="1">
                  <c:v>0.14174057566495049</c:v>
                </c:pt>
                <c:pt idx="2">
                  <c:v>0.13480444627425534</c:v>
                </c:pt>
                <c:pt idx="3">
                  <c:v>0.16036034862296919</c:v>
                </c:pt>
                <c:pt idx="4">
                  <c:v>0.19313310854194909</c:v>
                </c:pt>
                <c:pt idx="5">
                  <c:v>0.20084413127070491</c:v>
                </c:pt>
                <c:pt idx="6">
                  <c:v>0.22399043393151358</c:v>
                </c:pt>
                <c:pt idx="7">
                  <c:v>0.22281651714229489</c:v>
                </c:pt>
                <c:pt idx="8">
                  <c:v>0.23079493255190944</c:v>
                </c:pt>
                <c:pt idx="9">
                  <c:v>0.22994522874901197</c:v>
                </c:pt>
                <c:pt idx="10">
                  <c:v>0.26401002401511509</c:v>
                </c:pt>
                <c:pt idx="11">
                  <c:v>0.28569998965332788</c:v>
                </c:pt>
                <c:pt idx="12">
                  <c:v>0.31196282858768859</c:v>
                </c:pt>
                <c:pt idx="13">
                  <c:v>0.31641753605317308</c:v>
                </c:pt>
                <c:pt idx="14">
                  <c:v>0.33343217330167985</c:v>
                </c:pt>
                <c:pt idx="15">
                  <c:v>0.32027245788185138</c:v>
                </c:pt>
                <c:pt idx="16">
                  <c:v>0.36075431386514983</c:v>
                </c:pt>
                <c:pt idx="17">
                  <c:v>0.40806144183924209</c:v>
                </c:pt>
                <c:pt idx="18">
                  <c:v>0.41227820957755995</c:v>
                </c:pt>
                <c:pt idx="19">
                  <c:v>0.41483206263787981</c:v>
                </c:pt>
                <c:pt idx="20">
                  <c:v>0.44794027722963004</c:v>
                </c:pt>
                <c:pt idx="21">
                  <c:v>0.56836337303841644</c:v>
                </c:pt>
                <c:pt idx="22">
                  <c:v>0.60508499554532458</c:v>
                </c:pt>
                <c:pt idx="23">
                  <c:v>0.65444380286989334</c:v>
                </c:pt>
                <c:pt idx="24">
                  <c:v>0.68631009971117596</c:v>
                </c:pt>
                <c:pt idx="25">
                  <c:v>0.68005952682742821</c:v>
                </c:pt>
                <c:pt idx="26">
                  <c:v>0.73013363152179189</c:v>
                </c:pt>
                <c:pt idx="27">
                  <c:v>0.74221045404242803</c:v>
                </c:pt>
                <c:pt idx="28">
                  <c:v>0.78716439782897929</c:v>
                </c:pt>
                <c:pt idx="29">
                  <c:v>0.83724008154423868</c:v>
                </c:pt>
                <c:pt idx="30">
                  <c:v>0.84415877611161261</c:v>
                </c:pt>
                <c:pt idx="31">
                  <c:v>0.84024691613707336</c:v>
                </c:pt>
                <c:pt idx="32">
                  <c:v>0.84798761638344966</c:v>
                </c:pt>
                <c:pt idx="33">
                  <c:v>0.8579260657659451</c:v>
                </c:pt>
                <c:pt idx="34">
                  <c:v>0.87056966028666971</c:v>
                </c:pt>
                <c:pt idx="35">
                  <c:v>0.9180395748871043</c:v>
                </c:pt>
                <c:pt idx="36">
                  <c:v>0.9468083151106419</c:v>
                </c:pt>
                <c:pt idx="37">
                  <c:v>0.97603037252993652</c:v>
                </c:pt>
                <c:pt idx="38">
                  <c:v>1.0049350482948625</c:v>
                </c:pt>
                <c:pt idx="39">
                  <c:v>1.0193639944146802</c:v>
                </c:pt>
                <c:pt idx="40">
                  <c:v>1.0340961281716001</c:v>
                </c:pt>
                <c:pt idx="41">
                  <c:v>1.0410979184966167</c:v>
                </c:pt>
                <c:pt idx="42">
                  <c:v>1.0701365218038459</c:v>
                </c:pt>
                <c:pt idx="43">
                  <c:v>1.1419518911019804</c:v>
                </c:pt>
                <c:pt idx="44">
                  <c:v>1.1590382666854346</c:v>
                </c:pt>
                <c:pt idx="45">
                  <c:v>1.2183813115474704</c:v>
                </c:pt>
                <c:pt idx="46">
                  <c:v>1.2293991997832057</c:v>
                </c:pt>
                <c:pt idx="47">
                  <c:v>1.2851895136732405</c:v>
                </c:pt>
                <c:pt idx="48">
                  <c:v>1.2952234667009168</c:v>
                </c:pt>
                <c:pt idx="49">
                  <c:v>1.3083876363263971</c:v>
                </c:pt>
                <c:pt idx="50">
                  <c:v>1.3498130187023107</c:v>
                </c:pt>
                <c:pt idx="51">
                  <c:v>1.3875443201400812</c:v>
                </c:pt>
                <c:pt idx="52">
                  <c:v>1.4101534929255921</c:v>
                </c:pt>
                <c:pt idx="53">
                  <c:v>1.4064554335444064</c:v>
                </c:pt>
                <c:pt idx="54">
                  <c:v>1.4340761101674619</c:v>
                </c:pt>
                <c:pt idx="55">
                  <c:v>1.4798572124245348</c:v>
                </c:pt>
                <c:pt idx="56">
                  <c:v>1.5309304525291749</c:v>
                </c:pt>
                <c:pt idx="57">
                  <c:v>1.5653526731450282</c:v>
                </c:pt>
                <c:pt idx="58">
                  <c:v>1.6235036340798026</c:v>
                </c:pt>
                <c:pt idx="59">
                  <c:v>1.6424769869695135</c:v>
                </c:pt>
                <c:pt idx="60">
                  <c:v>1.6554595794545797</c:v>
                </c:pt>
                <c:pt idx="61">
                  <c:v>1.6825837252341114</c:v>
                </c:pt>
                <c:pt idx="62">
                  <c:v>1.7228853248529115</c:v>
                </c:pt>
                <c:pt idx="63">
                  <c:v>1.7270032095355468</c:v>
                </c:pt>
                <c:pt idx="64">
                  <c:v>1.734673094163468</c:v>
                </c:pt>
                <c:pt idx="65">
                  <c:v>1.742920482074396</c:v>
                </c:pt>
                <c:pt idx="66">
                  <c:v>1.7690618552460244</c:v>
                </c:pt>
                <c:pt idx="67">
                  <c:v>1.8288150222561983</c:v>
                </c:pt>
                <c:pt idx="68">
                  <c:v>1.858618032534807</c:v>
                </c:pt>
                <c:pt idx="69">
                  <c:v>1.8674315436071729</c:v>
                </c:pt>
                <c:pt idx="70">
                  <c:v>1.8911394146782217</c:v>
                </c:pt>
                <c:pt idx="71">
                  <c:v>1.9256941728149017</c:v>
                </c:pt>
                <c:pt idx="72">
                  <c:v>1.9640428209047291</c:v>
                </c:pt>
                <c:pt idx="73">
                  <c:v>1.9676266980537471</c:v>
                </c:pt>
                <c:pt idx="74">
                  <c:v>2.0247295143611561</c:v>
                </c:pt>
                <c:pt idx="75">
                  <c:v>2.0563420224550177</c:v>
                </c:pt>
                <c:pt idx="76">
                  <c:v>2.0521966384062869</c:v>
                </c:pt>
                <c:pt idx="77">
                  <c:v>2.0546354397217015</c:v>
                </c:pt>
                <c:pt idx="78">
                  <c:v>2.0741811740725571</c:v>
                </c:pt>
                <c:pt idx="79">
                  <c:v>2.1262847120375148</c:v>
                </c:pt>
                <c:pt idx="80">
                  <c:v>2.1891537475860114</c:v>
                </c:pt>
                <c:pt idx="81">
                  <c:v>2.2003043324990585</c:v>
                </c:pt>
                <c:pt idx="82">
                  <c:v>2.2499656784334379</c:v>
                </c:pt>
                <c:pt idx="83">
                  <c:v>2.2653761373901791</c:v>
                </c:pt>
                <c:pt idx="84">
                  <c:v>2.294679774870906</c:v>
                </c:pt>
                <c:pt idx="85">
                  <c:v>2.3527156280960173</c:v>
                </c:pt>
                <c:pt idx="86">
                  <c:v>2.4129592117831669</c:v>
                </c:pt>
                <c:pt idx="87">
                  <c:v>2.4489062073396703</c:v>
                </c:pt>
                <c:pt idx="88">
                  <c:v>2.4637433129968942</c:v>
                </c:pt>
                <c:pt idx="89">
                  <c:v>2.561493788060452</c:v>
                </c:pt>
                <c:pt idx="90">
                  <c:v>2.5831899158987595</c:v>
                </c:pt>
                <c:pt idx="91">
                  <c:v>2.5917321244955986</c:v>
                </c:pt>
                <c:pt idx="92">
                  <c:v>2.6489429809729992</c:v>
                </c:pt>
                <c:pt idx="93">
                  <c:v>2.691449717588168</c:v>
                </c:pt>
                <c:pt idx="94">
                  <c:v>2.6967089079426585</c:v>
                </c:pt>
                <c:pt idx="95">
                  <c:v>2.7032176216081685</c:v>
                </c:pt>
                <c:pt idx="96">
                  <c:v>2.779968222913725</c:v>
                </c:pt>
                <c:pt idx="97">
                  <c:v>2.8484222956271861</c:v>
                </c:pt>
                <c:pt idx="98">
                  <c:v>2.8743693658778873</c:v>
                </c:pt>
                <c:pt idx="99">
                  <c:v>2.8952415619576706</c:v>
                </c:pt>
                <c:pt idx="100">
                  <c:v>2.9212532674331233</c:v>
                </c:pt>
                <c:pt idx="101">
                  <c:v>2.9398488792598254</c:v>
                </c:pt>
                <c:pt idx="102">
                  <c:v>2.956111154050832</c:v>
                </c:pt>
                <c:pt idx="103">
                  <c:v>2.9862684516180362</c:v>
                </c:pt>
                <c:pt idx="104">
                  <c:v>2.9768217960496832</c:v>
                </c:pt>
                <c:pt idx="105">
                  <c:v>3.036172217756016</c:v>
                </c:pt>
                <c:pt idx="106">
                  <c:v>3.0560249088460791</c:v>
                </c:pt>
                <c:pt idx="107">
                  <c:v>3.0687052851777654</c:v>
                </c:pt>
                <c:pt idx="108">
                  <c:v>3.1093570994381787</c:v>
                </c:pt>
                <c:pt idx="109">
                  <c:v>3.1418993486725655</c:v>
                </c:pt>
                <c:pt idx="110">
                  <c:v>3.1617230631029738</c:v>
                </c:pt>
                <c:pt idx="111">
                  <c:v>3.1920849554965196</c:v>
                </c:pt>
                <c:pt idx="112">
                  <c:v>3.2051889964435598</c:v>
                </c:pt>
                <c:pt idx="113">
                  <c:v>3.2313025830071429</c:v>
                </c:pt>
                <c:pt idx="114">
                  <c:v>3.2495991949974705</c:v>
                </c:pt>
                <c:pt idx="115">
                  <c:v>3.2395859840418342</c:v>
                </c:pt>
                <c:pt idx="116">
                  <c:v>3.2629616280467628</c:v>
                </c:pt>
                <c:pt idx="117">
                  <c:v>3.3302348149545185</c:v>
                </c:pt>
                <c:pt idx="118">
                  <c:v>3.3921371713805444</c:v>
                </c:pt>
                <c:pt idx="119">
                  <c:v>3.3882708909878501</c:v>
                </c:pt>
                <c:pt idx="120">
                  <c:v>3.4381473653294918</c:v>
                </c:pt>
                <c:pt idx="121">
                  <c:v>3.4650763120591894</c:v>
                </c:pt>
                <c:pt idx="122">
                  <c:v>3.5020721357447746</c:v>
                </c:pt>
                <c:pt idx="123">
                  <c:v>3.5097755213509214</c:v>
                </c:pt>
                <c:pt idx="124">
                  <c:v>3.5065823460683636</c:v>
                </c:pt>
                <c:pt idx="125">
                  <c:v>3.5311880118322492</c:v>
                </c:pt>
                <c:pt idx="126">
                  <c:v>3.5608256813938617</c:v>
                </c:pt>
                <c:pt idx="127">
                  <c:v>3.5814061334549572</c:v>
                </c:pt>
                <c:pt idx="128">
                  <c:v>3.6982568740237598</c:v>
                </c:pt>
                <c:pt idx="129">
                  <c:v>3.7263285511773789</c:v>
                </c:pt>
                <c:pt idx="130">
                  <c:v>3.7227853201025622</c:v>
                </c:pt>
                <c:pt idx="131">
                  <c:v>3.7314320499812532</c:v>
                </c:pt>
                <c:pt idx="132">
                  <c:v>3.7521250836486635</c:v>
                </c:pt>
                <c:pt idx="133">
                  <c:v>3.7780426894899231</c:v>
                </c:pt>
                <c:pt idx="134">
                  <c:v>3.807249925586119</c:v>
                </c:pt>
                <c:pt idx="135">
                  <c:v>3.8269901869653222</c:v>
                </c:pt>
                <c:pt idx="136">
                  <c:v>3.8210821230797114</c:v>
                </c:pt>
                <c:pt idx="137">
                  <c:v>3.8098571412320159</c:v>
                </c:pt>
                <c:pt idx="138">
                  <c:v>3.8220571356483157</c:v>
                </c:pt>
                <c:pt idx="139">
                  <c:v>3.8310599235480036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2-4CE2-8D47-08B25F83803F}"/>
            </c:ext>
          </c:extLst>
        </c:ser>
        <c:ser>
          <c:idx val="1"/>
          <c:order val="1"/>
          <c:tx>
            <c:strRef>
              <c:f>畫圖0!$B$13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畫圖0!$C$13:$EL$13</c:f>
              <c:numCache>
                <c:formatCode>General</c:formatCode>
                <c:ptCount val="140"/>
                <c:pt idx="0">
                  <c:v>0.12107776166471761</c:v>
                </c:pt>
                <c:pt idx="1">
                  <c:v>0.17059607205158833</c:v>
                </c:pt>
                <c:pt idx="2">
                  <c:v>0.16781721478432859</c:v>
                </c:pt>
                <c:pt idx="3">
                  <c:v>0.19077457412485346</c:v>
                </c:pt>
                <c:pt idx="4">
                  <c:v>0.20755879797211815</c:v>
                </c:pt>
                <c:pt idx="5">
                  <c:v>0.2159367413640482</c:v>
                </c:pt>
                <c:pt idx="6">
                  <c:v>0.20484258322020066</c:v>
                </c:pt>
                <c:pt idx="7">
                  <c:v>0.21501850616197335</c:v>
                </c:pt>
                <c:pt idx="8">
                  <c:v>0.25095645128927729</c:v>
                </c:pt>
                <c:pt idx="9">
                  <c:v>0.24792271966916674</c:v>
                </c:pt>
                <c:pt idx="10">
                  <c:v>0.26245507616883679</c:v>
                </c:pt>
                <c:pt idx="11">
                  <c:v>0.31032505551065453</c:v>
                </c:pt>
                <c:pt idx="12">
                  <c:v>0.32716030610912966</c:v>
                </c:pt>
                <c:pt idx="13">
                  <c:v>0.32783656943147582</c:v>
                </c:pt>
                <c:pt idx="14">
                  <c:v>0.33840220065872589</c:v>
                </c:pt>
                <c:pt idx="15">
                  <c:v>0.32927596161494394</c:v>
                </c:pt>
                <c:pt idx="16">
                  <c:v>0.39651593297457843</c:v>
                </c:pt>
                <c:pt idx="17">
                  <c:v>0.46692103854728451</c:v>
                </c:pt>
                <c:pt idx="18">
                  <c:v>0.50098658581118416</c:v>
                </c:pt>
                <c:pt idx="19">
                  <c:v>0.5044188707769055</c:v>
                </c:pt>
                <c:pt idx="20">
                  <c:v>0.52200947179608925</c:v>
                </c:pt>
                <c:pt idx="21">
                  <c:v>0.66128797032390052</c:v>
                </c:pt>
                <c:pt idx="22">
                  <c:v>0.66993487741520186</c:v>
                </c:pt>
                <c:pt idx="23">
                  <c:v>0.72963230144170932</c:v>
                </c:pt>
                <c:pt idx="24">
                  <c:v>0.78032528374924892</c:v>
                </c:pt>
                <c:pt idx="25">
                  <c:v>0.76767883359996725</c:v>
                </c:pt>
                <c:pt idx="26">
                  <c:v>0.82069909460275181</c:v>
                </c:pt>
                <c:pt idx="27">
                  <c:v>0.82716543176807167</c:v>
                </c:pt>
                <c:pt idx="28">
                  <c:v>0.89308415806927011</c:v>
                </c:pt>
                <c:pt idx="29">
                  <c:v>0.96072237967096141</c:v>
                </c:pt>
                <c:pt idx="30">
                  <c:v>0.9657636750118036</c:v>
                </c:pt>
                <c:pt idx="31">
                  <c:v>0.9533904318370604</c:v>
                </c:pt>
                <c:pt idx="32">
                  <c:v>0.97298063876250618</c:v>
                </c:pt>
                <c:pt idx="33">
                  <c:v>0.98860029350725864</c:v>
                </c:pt>
                <c:pt idx="34">
                  <c:v>1.013855123639958</c:v>
                </c:pt>
                <c:pt idx="35">
                  <c:v>1.0530152674912732</c:v>
                </c:pt>
                <c:pt idx="36">
                  <c:v>1.0716843794949504</c:v>
                </c:pt>
                <c:pt idx="37">
                  <c:v>1.104891326137295</c:v>
                </c:pt>
                <c:pt idx="38">
                  <c:v>1.1363409577776036</c:v>
                </c:pt>
                <c:pt idx="39">
                  <c:v>1.1456811068323056</c:v>
                </c:pt>
                <c:pt idx="40">
                  <c:v>1.1616184866960901</c:v>
                </c:pt>
                <c:pt idx="41">
                  <c:v>1.1646655607687864</c:v>
                </c:pt>
                <c:pt idx="42">
                  <c:v>1.1995431287734961</c:v>
                </c:pt>
                <c:pt idx="43">
                  <c:v>1.2944722807623417</c:v>
                </c:pt>
                <c:pt idx="44">
                  <c:v>1.3254207146256645</c:v>
                </c:pt>
                <c:pt idx="45">
                  <c:v>1.4221314784475716</c:v>
                </c:pt>
                <c:pt idx="46">
                  <c:v>1.4383976004945582</c:v>
                </c:pt>
                <c:pt idx="47">
                  <c:v>1.4904983736496442</c:v>
                </c:pt>
                <c:pt idx="48">
                  <c:v>1.4934055002818516</c:v>
                </c:pt>
                <c:pt idx="49">
                  <c:v>1.5047489684585362</c:v>
                </c:pt>
                <c:pt idx="50">
                  <c:v>1.5378691882761895</c:v>
                </c:pt>
                <c:pt idx="51">
                  <c:v>1.5545494410336489</c:v>
                </c:pt>
                <c:pt idx="52">
                  <c:v>1.5542935297721505</c:v>
                </c:pt>
                <c:pt idx="53">
                  <c:v>1.5505291587574042</c:v>
                </c:pt>
                <c:pt idx="54">
                  <c:v>1.5872861040488413</c:v>
                </c:pt>
                <c:pt idx="55">
                  <c:v>1.6925670914607616</c:v>
                </c:pt>
                <c:pt idx="56">
                  <c:v>1.7780066792438711</c:v>
                </c:pt>
                <c:pt idx="57">
                  <c:v>1.8191864523784744</c:v>
                </c:pt>
                <c:pt idx="58">
                  <c:v>1.8754636468732526</c:v>
                </c:pt>
                <c:pt idx="59">
                  <c:v>1.8898430021846939</c:v>
                </c:pt>
                <c:pt idx="60">
                  <c:v>1.9180399149372929</c:v>
                </c:pt>
                <c:pt idx="61">
                  <c:v>1.9569809737176427</c:v>
                </c:pt>
                <c:pt idx="62">
                  <c:v>2.0035934892826179</c:v>
                </c:pt>
                <c:pt idx="63">
                  <c:v>2.0240373447717697</c:v>
                </c:pt>
                <c:pt idx="64">
                  <c:v>2.0485139063266873</c:v>
                </c:pt>
                <c:pt idx="65">
                  <c:v>2.0626288469729861</c:v>
                </c:pt>
                <c:pt idx="66">
                  <c:v>2.0723878675759964</c:v>
                </c:pt>
                <c:pt idx="67">
                  <c:v>2.1518232411677309</c:v>
                </c:pt>
                <c:pt idx="68">
                  <c:v>2.1858719575264645</c:v>
                </c:pt>
                <c:pt idx="69">
                  <c:v>2.1808465793519893</c:v>
                </c:pt>
                <c:pt idx="70">
                  <c:v>2.2053628958680878</c:v>
                </c:pt>
                <c:pt idx="71">
                  <c:v>2.254841636803699</c:v>
                </c:pt>
                <c:pt idx="72">
                  <c:v>2.3147965280598877</c:v>
                </c:pt>
                <c:pt idx="73">
                  <c:v>2.3130084606074091</c:v>
                </c:pt>
                <c:pt idx="74">
                  <c:v>2.346789146018684</c:v>
                </c:pt>
                <c:pt idx="75">
                  <c:v>2.4083376959398497</c:v>
                </c:pt>
                <c:pt idx="76">
                  <c:v>2.4245589665863672</c:v>
                </c:pt>
                <c:pt idx="77">
                  <c:v>2.4421109156852334</c:v>
                </c:pt>
                <c:pt idx="78">
                  <c:v>2.4410392435937869</c:v>
                </c:pt>
                <c:pt idx="79">
                  <c:v>2.4378534890917911</c:v>
                </c:pt>
                <c:pt idx="80">
                  <c:v>2.5255892500865249</c:v>
                </c:pt>
                <c:pt idx="81">
                  <c:v>2.5547084519367593</c:v>
                </c:pt>
                <c:pt idx="82">
                  <c:v>2.6039111046804204</c:v>
                </c:pt>
                <c:pt idx="83">
                  <c:v>2.6123127764044733</c:v>
                </c:pt>
                <c:pt idx="84">
                  <c:v>2.6319415672417685</c:v>
                </c:pt>
                <c:pt idx="85">
                  <c:v>2.7010262623036967</c:v>
                </c:pt>
                <c:pt idx="86">
                  <c:v>2.7665433806752171</c:v>
                </c:pt>
                <c:pt idx="87">
                  <c:v>2.7841113487320013</c:v>
                </c:pt>
                <c:pt idx="88">
                  <c:v>2.7728368665642917</c:v>
                </c:pt>
                <c:pt idx="89">
                  <c:v>2.8864952877968779</c:v>
                </c:pt>
                <c:pt idx="90">
                  <c:v>2.9303691376294356</c:v>
                </c:pt>
                <c:pt idx="91">
                  <c:v>2.915828887083991</c:v>
                </c:pt>
                <c:pt idx="92">
                  <c:v>2.9724706192234116</c:v>
                </c:pt>
                <c:pt idx="93">
                  <c:v>3.0329733436960669</c:v>
                </c:pt>
                <c:pt idx="94">
                  <c:v>3.0427899649780792</c:v>
                </c:pt>
                <c:pt idx="95">
                  <c:v>3.0513184332244632</c:v>
                </c:pt>
                <c:pt idx="96">
                  <c:v>3.163106484791562</c:v>
                </c:pt>
                <c:pt idx="97">
                  <c:v>3.2400138410048447</c:v>
                </c:pt>
                <c:pt idx="98">
                  <c:v>3.2738094350527036</c:v>
                </c:pt>
                <c:pt idx="99">
                  <c:v>3.3042253601403084</c:v>
                </c:pt>
                <c:pt idx="100">
                  <c:v>3.36045904604872</c:v>
                </c:pt>
                <c:pt idx="101">
                  <c:v>3.3668817788376408</c:v>
                </c:pt>
                <c:pt idx="102">
                  <c:v>3.3929121779192646</c:v>
                </c:pt>
                <c:pt idx="103">
                  <c:v>3.4534346040856394</c:v>
                </c:pt>
                <c:pt idx="104">
                  <c:v>3.4562985126214398</c:v>
                </c:pt>
                <c:pt idx="105">
                  <c:v>3.5279917846130755</c:v>
                </c:pt>
                <c:pt idx="106">
                  <c:v>3.5426244506142668</c:v>
                </c:pt>
                <c:pt idx="107">
                  <c:v>3.5662975669612127</c:v>
                </c:pt>
                <c:pt idx="108">
                  <c:v>3.6311170194830811</c:v>
                </c:pt>
                <c:pt idx="109">
                  <c:v>3.6682919243293686</c:v>
                </c:pt>
                <c:pt idx="110">
                  <c:v>3.6833967179352749</c:v>
                </c:pt>
                <c:pt idx="111">
                  <c:v>3.6848883337823413</c:v>
                </c:pt>
                <c:pt idx="112">
                  <c:v>3.6917411566519793</c:v>
                </c:pt>
                <c:pt idx="113">
                  <c:v>3.723669523579157</c:v>
                </c:pt>
                <c:pt idx="114">
                  <c:v>3.7134970093942936</c:v>
                </c:pt>
                <c:pt idx="115">
                  <c:v>3.7089922450650037</c:v>
                </c:pt>
                <c:pt idx="116">
                  <c:v>3.7500599616105683</c:v>
                </c:pt>
                <c:pt idx="117">
                  <c:v>3.8253013098616417</c:v>
                </c:pt>
                <c:pt idx="118">
                  <c:v>3.8865219055846056</c:v>
                </c:pt>
                <c:pt idx="119">
                  <c:v>3.8787866520486731</c:v>
                </c:pt>
                <c:pt idx="120">
                  <c:v>3.9061864251977068</c:v>
                </c:pt>
                <c:pt idx="121">
                  <c:v>3.9335615379513698</c:v>
                </c:pt>
                <c:pt idx="122">
                  <c:v>3.954376448989958</c:v>
                </c:pt>
                <c:pt idx="123">
                  <c:v>3.9724583450326505</c:v>
                </c:pt>
                <c:pt idx="124">
                  <c:v>3.9512658662029017</c:v>
                </c:pt>
                <c:pt idx="125">
                  <c:v>3.9822991024563601</c:v>
                </c:pt>
                <c:pt idx="126">
                  <c:v>3.9802003886361721</c:v>
                </c:pt>
                <c:pt idx="127">
                  <c:v>4.003636736063342</c:v>
                </c:pt>
                <c:pt idx="128">
                  <c:v>4.1305850036164395</c:v>
                </c:pt>
                <c:pt idx="129">
                  <c:v>4.1876655367980913</c:v>
                </c:pt>
                <c:pt idx="130">
                  <c:v>4.1780286447104285</c:v>
                </c:pt>
                <c:pt idx="131">
                  <c:v>4.221384214042307</c:v>
                </c:pt>
                <c:pt idx="132">
                  <c:v>4.2501955036465011</c:v>
                </c:pt>
                <c:pt idx="133">
                  <c:v>4.2828075092737601</c:v>
                </c:pt>
                <c:pt idx="134">
                  <c:v>4.3360691473951887</c:v>
                </c:pt>
                <c:pt idx="135">
                  <c:v>4.3472743776085281</c:v>
                </c:pt>
                <c:pt idx="136">
                  <c:v>4.34072590630731</c:v>
                </c:pt>
                <c:pt idx="137">
                  <c:v>4.3471204107926118</c:v>
                </c:pt>
                <c:pt idx="138">
                  <c:v>4.3609923286180399</c:v>
                </c:pt>
                <c:pt idx="139">
                  <c:v>4.390574183495592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2-4CE2-8D47-08B25F83803F}"/>
            </c:ext>
          </c:extLst>
        </c:ser>
        <c:ser>
          <c:idx val="2"/>
          <c:order val="2"/>
          <c:tx>
            <c:strRef>
              <c:f>畫圖0!$B$14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畫圖0!$C$14:$EL$14</c:f>
              <c:numCache>
                <c:formatCode>General</c:formatCode>
                <c:ptCount val="140"/>
                <c:pt idx="0">
                  <c:v>0.13220513330973041</c:v>
                </c:pt>
                <c:pt idx="1">
                  <c:v>0.13899090069123338</c:v>
                </c:pt>
                <c:pt idx="2">
                  <c:v>0.16567641632870239</c:v>
                </c:pt>
                <c:pt idx="3">
                  <c:v>0.14570453228993824</c:v>
                </c:pt>
                <c:pt idx="4">
                  <c:v>0.22078990292220002</c:v>
                </c:pt>
                <c:pt idx="5">
                  <c:v>0.22784559699124207</c:v>
                </c:pt>
                <c:pt idx="6">
                  <c:v>0.1981337726573672</c:v>
                </c:pt>
                <c:pt idx="7">
                  <c:v>0.17376425014492211</c:v>
                </c:pt>
                <c:pt idx="8">
                  <c:v>0.17539640413981103</c:v>
                </c:pt>
                <c:pt idx="9">
                  <c:v>0.11688284006983997</c:v>
                </c:pt>
                <c:pt idx="10">
                  <c:v>0.11460767066788617</c:v>
                </c:pt>
                <c:pt idx="11">
                  <c:v>0.18225894467791381</c:v>
                </c:pt>
                <c:pt idx="12">
                  <c:v>0.17527511370597948</c:v>
                </c:pt>
                <c:pt idx="13">
                  <c:v>0.18210788912016371</c:v>
                </c:pt>
                <c:pt idx="14">
                  <c:v>0.18569556407829801</c:v>
                </c:pt>
                <c:pt idx="15">
                  <c:v>0.21443825030004668</c:v>
                </c:pt>
                <c:pt idx="16">
                  <c:v>0.3540223596461578</c:v>
                </c:pt>
                <c:pt idx="17">
                  <c:v>0.39766299635900049</c:v>
                </c:pt>
                <c:pt idx="18">
                  <c:v>0.41400124538814825</c:v>
                </c:pt>
                <c:pt idx="19">
                  <c:v>0.37976974558929066</c:v>
                </c:pt>
                <c:pt idx="20">
                  <c:v>0.40664353510655171</c:v>
                </c:pt>
                <c:pt idx="21">
                  <c:v>0.55879311394626296</c:v>
                </c:pt>
                <c:pt idx="22">
                  <c:v>0.54956686392007181</c:v>
                </c:pt>
                <c:pt idx="23">
                  <c:v>0.65577909581749094</c:v>
                </c:pt>
                <c:pt idx="24">
                  <c:v>0.75263004560135727</c:v>
                </c:pt>
                <c:pt idx="25">
                  <c:v>0.74269483929301583</c:v>
                </c:pt>
                <c:pt idx="26">
                  <c:v>0.76251920837486298</c:v>
                </c:pt>
                <c:pt idx="27">
                  <c:v>0.77626317756591146</c:v>
                </c:pt>
                <c:pt idx="28">
                  <c:v>0.88455956188231888</c:v>
                </c:pt>
                <c:pt idx="29">
                  <c:v>0.96140292798334392</c:v>
                </c:pt>
                <c:pt idx="30">
                  <c:v>0.9672821929508677</c:v>
                </c:pt>
                <c:pt idx="31">
                  <c:v>0.91640279682925674</c:v>
                </c:pt>
                <c:pt idx="32">
                  <c:v>0.88899981090385782</c:v>
                </c:pt>
                <c:pt idx="33">
                  <c:v>0.92070069787704445</c:v>
                </c:pt>
                <c:pt idx="34">
                  <c:v>0.98352603212137923</c:v>
                </c:pt>
                <c:pt idx="35">
                  <c:v>1.0307356495551161</c:v>
                </c:pt>
                <c:pt idx="36">
                  <c:v>1.0308668873782123</c:v>
                </c:pt>
                <c:pt idx="37">
                  <c:v>1.075849659005031</c:v>
                </c:pt>
                <c:pt idx="38">
                  <c:v>1.1084543267880276</c:v>
                </c:pt>
                <c:pt idx="39">
                  <c:v>1.1510587256786675</c:v>
                </c:pt>
                <c:pt idx="40">
                  <c:v>1.1707244109556447</c:v>
                </c:pt>
                <c:pt idx="41">
                  <c:v>1.1780996677708322</c:v>
                </c:pt>
                <c:pt idx="42">
                  <c:v>1.1646216662158557</c:v>
                </c:pt>
                <c:pt idx="43">
                  <c:v>1.3024360797198411</c:v>
                </c:pt>
                <c:pt idx="44">
                  <c:v>1.3799532702378932</c:v>
                </c:pt>
                <c:pt idx="45">
                  <c:v>1.4906659445605455</c:v>
                </c:pt>
                <c:pt idx="46">
                  <c:v>1.5559254950429964</c:v>
                </c:pt>
                <c:pt idx="47">
                  <c:v>1.5966954785772949</c:v>
                </c:pt>
                <c:pt idx="48">
                  <c:v>1.5957227110846266</c:v>
                </c:pt>
                <c:pt idx="49">
                  <c:v>1.6360107963505948</c:v>
                </c:pt>
                <c:pt idx="50">
                  <c:v>1.6902655443948011</c:v>
                </c:pt>
                <c:pt idx="51">
                  <c:v>1.7680841380279495</c:v>
                </c:pt>
                <c:pt idx="52">
                  <c:v>1.7100014282974192</c:v>
                </c:pt>
                <c:pt idx="53">
                  <c:v>1.6749285504664446</c:v>
                </c:pt>
                <c:pt idx="54">
                  <c:v>1.7467406680384723</c:v>
                </c:pt>
                <c:pt idx="55">
                  <c:v>1.9040318944251207</c:v>
                </c:pt>
                <c:pt idx="56">
                  <c:v>2.0311049203397684</c:v>
                </c:pt>
                <c:pt idx="57">
                  <c:v>2.0958165453994959</c:v>
                </c:pt>
                <c:pt idx="58">
                  <c:v>2.1259039626914955</c:v>
                </c:pt>
                <c:pt idx="59">
                  <c:v>2.1322322519346848</c:v>
                </c:pt>
                <c:pt idx="60">
                  <c:v>2.2210756588978109</c:v>
                </c:pt>
                <c:pt idx="61">
                  <c:v>2.2535794448798501</c:v>
                </c:pt>
                <c:pt idx="62">
                  <c:v>2.2865006097032952</c:v>
                </c:pt>
                <c:pt idx="63">
                  <c:v>2.3153922729693637</c:v>
                </c:pt>
                <c:pt idx="64">
                  <c:v>2.3694267017588961</c:v>
                </c:pt>
                <c:pt idx="65">
                  <c:v>2.3820497258082591</c:v>
                </c:pt>
                <c:pt idx="66">
                  <c:v>2.3587868895532722</c:v>
                </c:pt>
                <c:pt idx="67">
                  <c:v>2.4386337356563028</c:v>
                </c:pt>
                <c:pt idx="68">
                  <c:v>2.4682453508370465</c:v>
                </c:pt>
                <c:pt idx="69">
                  <c:v>2.4312000796581961</c:v>
                </c:pt>
                <c:pt idx="70">
                  <c:v>2.4515139678078905</c:v>
                </c:pt>
                <c:pt idx="71">
                  <c:v>2.5325949740985623</c:v>
                </c:pt>
                <c:pt idx="72">
                  <c:v>2.6274081602920876</c:v>
                </c:pt>
                <c:pt idx="73">
                  <c:v>2.5963919339663244</c:v>
                </c:pt>
                <c:pt idx="74">
                  <c:v>2.5935674313177643</c:v>
                </c:pt>
                <c:pt idx="75">
                  <c:v>2.6754981255259125</c:v>
                </c:pt>
                <c:pt idx="76">
                  <c:v>2.7542217228898043</c:v>
                </c:pt>
                <c:pt idx="77">
                  <c:v>2.7684142313412075</c:v>
                </c:pt>
                <c:pt idx="78">
                  <c:v>2.7778698828990462</c:v>
                </c:pt>
                <c:pt idx="79">
                  <c:v>2.7310545338270651</c:v>
                </c:pt>
                <c:pt idx="80">
                  <c:v>2.8253325527156132</c:v>
                </c:pt>
                <c:pt idx="81">
                  <c:v>2.8760883255627392</c:v>
                </c:pt>
                <c:pt idx="82">
                  <c:v>2.9412492939572563</c:v>
                </c:pt>
                <c:pt idx="83">
                  <c:v>3.0121819112717909</c:v>
                </c:pt>
                <c:pt idx="84">
                  <c:v>2.9809438276526277</c:v>
                </c:pt>
                <c:pt idx="85">
                  <c:v>3.0423818175490323</c:v>
                </c:pt>
                <c:pt idx="86">
                  <c:v>3.0963245096761125</c:v>
                </c:pt>
                <c:pt idx="87">
                  <c:v>3.1374094666985823</c:v>
                </c:pt>
                <c:pt idx="88">
                  <c:v>3.0854340388830606</c:v>
                </c:pt>
                <c:pt idx="89">
                  <c:v>3.2997960102301755</c:v>
                </c:pt>
                <c:pt idx="90">
                  <c:v>3.3710867376956228</c:v>
                </c:pt>
                <c:pt idx="91">
                  <c:v>3.304441297007727</c:v>
                </c:pt>
                <c:pt idx="92">
                  <c:v>3.3214252829911306</c:v>
                </c:pt>
                <c:pt idx="93">
                  <c:v>3.3647449211950944</c:v>
                </c:pt>
                <c:pt idx="94">
                  <c:v>3.3769140078866275</c:v>
                </c:pt>
                <c:pt idx="95">
                  <c:v>3.3497361032505073</c:v>
                </c:pt>
                <c:pt idx="96">
                  <c:v>3.4802294225133568</c:v>
                </c:pt>
                <c:pt idx="97">
                  <c:v>3.6149691701451343</c:v>
                </c:pt>
                <c:pt idx="98">
                  <c:v>3.6561771134445853</c:v>
                </c:pt>
                <c:pt idx="99">
                  <c:v>3.7097366342045692</c:v>
                </c:pt>
                <c:pt idx="100">
                  <c:v>3.8194082579708617</c:v>
                </c:pt>
                <c:pt idx="101">
                  <c:v>3.8587037867822782</c:v>
                </c:pt>
                <c:pt idx="102">
                  <c:v>3.8247774167119348</c:v>
                </c:pt>
                <c:pt idx="103">
                  <c:v>3.9251778115494362</c:v>
                </c:pt>
                <c:pt idx="104">
                  <c:v>3.9628766910859996</c:v>
                </c:pt>
                <c:pt idx="105">
                  <c:v>4.0616114595050927</c:v>
                </c:pt>
                <c:pt idx="106">
                  <c:v>4.1206848618006982</c:v>
                </c:pt>
                <c:pt idx="107">
                  <c:v>4.2111678691219785</c:v>
                </c:pt>
                <c:pt idx="108">
                  <c:v>4.2958011165003933</c:v>
                </c:pt>
                <c:pt idx="109">
                  <c:v>4.3284773539682613</c:v>
                </c:pt>
                <c:pt idx="110">
                  <c:v>4.3146233527322959</c:v>
                </c:pt>
                <c:pt idx="111">
                  <c:v>4.3052871411402718</c:v>
                </c:pt>
                <c:pt idx="112">
                  <c:v>4.2821339314669524</c:v>
                </c:pt>
                <c:pt idx="113">
                  <c:v>4.3220065647099402</c:v>
                </c:pt>
                <c:pt idx="114">
                  <c:v>4.3061269127510222</c:v>
                </c:pt>
                <c:pt idx="115">
                  <c:v>4.3708071039616856</c:v>
                </c:pt>
                <c:pt idx="116">
                  <c:v>4.4382986589530455</c:v>
                </c:pt>
                <c:pt idx="117">
                  <c:v>4.5203985317018631</c:v>
                </c:pt>
                <c:pt idx="118">
                  <c:v>4.5530440647180308</c:v>
                </c:pt>
                <c:pt idx="119">
                  <c:v>4.5412401247377296</c:v>
                </c:pt>
                <c:pt idx="120">
                  <c:v>4.609765432574946</c:v>
                </c:pt>
                <c:pt idx="121">
                  <c:v>4.6248907176753935</c:v>
                </c:pt>
                <c:pt idx="122">
                  <c:v>4.712637408998793</c:v>
                </c:pt>
                <c:pt idx="123">
                  <c:v>4.7453405210106601</c:v>
                </c:pt>
                <c:pt idx="124">
                  <c:v>4.7356208352451228</c:v>
                </c:pt>
                <c:pt idx="125">
                  <c:v>4.7544476227235908</c:v>
                </c:pt>
                <c:pt idx="126">
                  <c:v>4.783404250777151</c:v>
                </c:pt>
                <c:pt idx="127">
                  <c:v>4.7715041551201187</c:v>
                </c:pt>
                <c:pt idx="128">
                  <c:v>4.8397886383430864</c:v>
                </c:pt>
                <c:pt idx="129">
                  <c:v>4.9244084550061702</c:v>
                </c:pt>
                <c:pt idx="130">
                  <c:v>4.8746720496477556</c:v>
                </c:pt>
                <c:pt idx="131">
                  <c:v>4.9248133717174687</c:v>
                </c:pt>
                <c:pt idx="132">
                  <c:v>4.9699450873921958</c:v>
                </c:pt>
                <c:pt idx="133">
                  <c:v>5.0666343306042538</c:v>
                </c:pt>
                <c:pt idx="134">
                  <c:v>5.192599142273739</c:v>
                </c:pt>
                <c:pt idx="135">
                  <c:v>5.2042771955246376</c:v>
                </c:pt>
                <c:pt idx="136">
                  <c:v>5.2546690880451692</c:v>
                </c:pt>
                <c:pt idx="137">
                  <c:v>5.2647227353123833</c:v>
                </c:pt>
                <c:pt idx="138">
                  <c:v>5.3425123800177676</c:v>
                </c:pt>
                <c:pt idx="139">
                  <c:v>5.4367109992596649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A2-4CE2-8D47-08B25F83803F}"/>
            </c:ext>
          </c:extLst>
        </c:ser>
        <c:ser>
          <c:idx val="3"/>
          <c:order val="3"/>
          <c:tx>
            <c:strRef>
              <c:f>畫圖0!$B$15</c:f>
              <c:strCache>
                <c:ptCount val="1"/>
                <c:pt idx="0">
                  <c:v>110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畫圖0!$C$15:$EL$15</c:f>
              <c:numCache>
                <c:formatCode>General</c:formatCode>
                <c:ptCount val="140"/>
                <c:pt idx="0">
                  <c:v>0.24155842264248281</c:v>
                </c:pt>
                <c:pt idx="1">
                  <c:v>0.25422757078811709</c:v>
                </c:pt>
                <c:pt idx="2">
                  <c:v>0.2907058656124899</c:v>
                </c:pt>
                <c:pt idx="3">
                  <c:v>0.21828160970976263</c:v>
                </c:pt>
                <c:pt idx="4">
                  <c:v>0.22081738947579826</c:v>
                </c:pt>
                <c:pt idx="5">
                  <c:v>0.23715479578427195</c:v>
                </c:pt>
                <c:pt idx="6">
                  <c:v>0.12928152241238025</c:v>
                </c:pt>
                <c:pt idx="7">
                  <c:v>8.5833654982954838E-2</c:v>
                </c:pt>
                <c:pt idx="8">
                  <c:v>0.13168974966218222</c:v>
                </c:pt>
                <c:pt idx="9">
                  <c:v>2.8181627603427323E-2</c:v>
                </c:pt>
                <c:pt idx="10">
                  <c:v>8.4477486471120383E-2</c:v>
                </c:pt>
                <c:pt idx="11">
                  <c:v>0.17424980311288729</c:v>
                </c:pt>
                <c:pt idx="12">
                  <c:v>0.15535326011270681</c:v>
                </c:pt>
                <c:pt idx="13">
                  <c:v>0.20163669438052004</c:v>
                </c:pt>
                <c:pt idx="14">
                  <c:v>0.17095907698729171</c:v>
                </c:pt>
                <c:pt idx="15">
                  <c:v>0.25663235729661138</c:v>
                </c:pt>
                <c:pt idx="16">
                  <c:v>0.43686850202472505</c:v>
                </c:pt>
                <c:pt idx="17">
                  <c:v>0.49506698879301353</c:v>
                </c:pt>
                <c:pt idx="18">
                  <c:v>0.44727325389874073</c:v>
                </c:pt>
                <c:pt idx="19">
                  <c:v>0.38667325820904208</c:v>
                </c:pt>
                <c:pt idx="20">
                  <c:v>0.40211423590623352</c:v>
                </c:pt>
                <c:pt idx="21">
                  <c:v>0.60695519177363544</c:v>
                </c:pt>
                <c:pt idx="22">
                  <c:v>0.6181719967412358</c:v>
                </c:pt>
                <c:pt idx="23">
                  <c:v>0.6665383661373192</c:v>
                </c:pt>
                <c:pt idx="24">
                  <c:v>0.79544726714762581</c:v>
                </c:pt>
                <c:pt idx="25">
                  <c:v>0.76321411796729965</c:v>
                </c:pt>
                <c:pt idx="26">
                  <c:v>0.72933087191067159</c:v>
                </c:pt>
                <c:pt idx="27">
                  <c:v>0.68232351333365304</c:v>
                </c:pt>
                <c:pt idx="28">
                  <c:v>0.85834668092007571</c:v>
                </c:pt>
                <c:pt idx="29">
                  <c:v>0.99083338570178325</c:v>
                </c:pt>
                <c:pt idx="30">
                  <c:v>0.98797174990665704</c:v>
                </c:pt>
                <c:pt idx="31">
                  <c:v>0.94088105711101966</c:v>
                </c:pt>
                <c:pt idx="32">
                  <c:v>0.92230852921531825</c:v>
                </c:pt>
                <c:pt idx="33">
                  <c:v>0.97528295665578968</c:v>
                </c:pt>
                <c:pt idx="34">
                  <c:v>0.98320727616741155</c:v>
                </c:pt>
                <c:pt idx="35">
                  <c:v>1.0536056131358595</c:v>
                </c:pt>
                <c:pt idx="36">
                  <c:v>0.96682202411849483</c:v>
                </c:pt>
                <c:pt idx="37">
                  <c:v>0.98752611832869119</c:v>
                </c:pt>
                <c:pt idx="38">
                  <c:v>1.0313244654158302</c:v>
                </c:pt>
                <c:pt idx="39">
                  <c:v>1.0882817215650442</c:v>
                </c:pt>
                <c:pt idx="40">
                  <c:v>1.0501792528104763</c:v>
                </c:pt>
                <c:pt idx="41">
                  <c:v>1.0614976222979775</c:v>
                </c:pt>
                <c:pt idx="42">
                  <c:v>0.99646881867872728</c:v>
                </c:pt>
                <c:pt idx="43">
                  <c:v>1.2043077765478638</c:v>
                </c:pt>
                <c:pt idx="44">
                  <c:v>1.2952405045774731</c:v>
                </c:pt>
                <c:pt idx="45">
                  <c:v>1.3863243141429427</c:v>
                </c:pt>
                <c:pt idx="46">
                  <c:v>1.4835354673013699</c:v>
                </c:pt>
                <c:pt idx="47">
                  <c:v>1.5976151604482183</c:v>
                </c:pt>
                <c:pt idx="48">
                  <c:v>1.585307063847271</c:v>
                </c:pt>
                <c:pt idx="49">
                  <c:v>1.6267863582644191</c:v>
                </c:pt>
                <c:pt idx="50">
                  <c:v>1.7158326945160614</c:v>
                </c:pt>
                <c:pt idx="51">
                  <c:v>1.8508630071495713</c:v>
                </c:pt>
                <c:pt idx="52">
                  <c:v>1.79730696877313</c:v>
                </c:pt>
                <c:pt idx="53">
                  <c:v>1.8222996385763388</c:v>
                </c:pt>
                <c:pt idx="54">
                  <c:v>1.8856324774217761</c:v>
                </c:pt>
                <c:pt idx="55">
                  <c:v>2.1127328809090722</c:v>
                </c:pt>
                <c:pt idx="56">
                  <c:v>2.2191272515732692</c:v>
                </c:pt>
                <c:pt idx="57">
                  <c:v>2.3142893792753196</c:v>
                </c:pt>
                <c:pt idx="58">
                  <c:v>2.3583753570668935</c:v>
                </c:pt>
                <c:pt idx="59">
                  <c:v>2.4045303918408187</c:v>
                </c:pt>
                <c:pt idx="60">
                  <c:v>2.5086679463430306</c:v>
                </c:pt>
                <c:pt idx="61">
                  <c:v>2.5845596622777744</c:v>
                </c:pt>
                <c:pt idx="62">
                  <c:v>2.6390524941916027</c:v>
                </c:pt>
                <c:pt idx="63">
                  <c:v>2.7396287187684933</c:v>
                </c:pt>
                <c:pt idx="64">
                  <c:v>2.7776445266021037</c:v>
                </c:pt>
                <c:pt idx="65">
                  <c:v>2.7626112473138202</c:v>
                </c:pt>
                <c:pt idx="66">
                  <c:v>2.7022998746805387</c:v>
                </c:pt>
                <c:pt idx="67">
                  <c:v>2.8123427185751599</c:v>
                </c:pt>
                <c:pt idx="68">
                  <c:v>2.8163214965748584</c:v>
                </c:pt>
                <c:pt idx="69">
                  <c:v>2.7670942551538027</c:v>
                </c:pt>
                <c:pt idx="70">
                  <c:v>2.7743551372555881</c:v>
                </c:pt>
                <c:pt idx="71">
                  <c:v>2.8382035600259954</c:v>
                </c:pt>
                <c:pt idx="72">
                  <c:v>3.1536391223045639</c:v>
                </c:pt>
                <c:pt idx="73">
                  <c:v>3.1017925897402954</c:v>
                </c:pt>
                <c:pt idx="74">
                  <c:v>3.0555041930710569</c:v>
                </c:pt>
                <c:pt idx="75">
                  <c:v>3.0710359270351701</c:v>
                </c:pt>
                <c:pt idx="76">
                  <c:v>3.2505996926384806</c:v>
                </c:pt>
                <c:pt idx="77">
                  <c:v>3.1478334096885896</c:v>
                </c:pt>
                <c:pt idx="78">
                  <c:v>3.2556606665518042</c:v>
                </c:pt>
                <c:pt idx="79">
                  <c:v>3.2338557348088934</c:v>
                </c:pt>
                <c:pt idx="80">
                  <c:v>3.3424592818406462</c:v>
                </c:pt>
                <c:pt idx="81">
                  <c:v>3.4289036441311067</c:v>
                </c:pt>
                <c:pt idx="82">
                  <c:v>3.5328129643877455</c:v>
                </c:pt>
                <c:pt idx="83">
                  <c:v>3.5896383949355002</c:v>
                </c:pt>
                <c:pt idx="84">
                  <c:v>3.5777298674769318</c:v>
                </c:pt>
                <c:pt idx="85">
                  <c:v>3.632604317607433</c:v>
                </c:pt>
                <c:pt idx="86">
                  <c:v>3.7760261443141743</c:v>
                </c:pt>
                <c:pt idx="87">
                  <c:v>3.7163514475912414</c:v>
                </c:pt>
                <c:pt idx="88">
                  <c:v>3.6794466476729975</c:v>
                </c:pt>
                <c:pt idx="89">
                  <c:v>3.8480892605807875</c:v>
                </c:pt>
                <c:pt idx="90">
                  <c:v>4.0431853322904328</c:v>
                </c:pt>
                <c:pt idx="91">
                  <c:v>3.9643602473718715</c:v>
                </c:pt>
                <c:pt idx="92">
                  <c:v>3.9708085368017825</c:v>
                </c:pt>
                <c:pt idx="93">
                  <c:v>4.0796938196042003</c:v>
                </c:pt>
                <c:pt idx="94">
                  <c:v>4.0886950796372838</c:v>
                </c:pt>
                <c:pt idx="95">
                  <c:v>4.0572685698045321</c:v>
                </c:pt>
                <c:pt idx="96">
                  <c:v>4.2176646243506175</c:v>
                </c:pt>
                <c:pt idx="97">
                  <c:v>4.3765008996402548</c:v>
                </c:pt>
                <c:pt idx="98">
                  <c:v>4.4076701102643279</c:v>
                </c:pt>
                <c:pt idx="99">
                  <c:v>4.4933804530314587</c:v>
                </c:pt>
                <c:pt idx="100">
                  <c:v>4.5615381429120232</c:v>
                </c:pt>
                <c:pt idx="101">
                  <c:v>4.5560810959313827</c:v>
                </c:pt>
                <c:pt idx="102">
                  <c:v>4.6167029219528475</c:v>
                </c:pt>
                <c:pt idx="103">
                  <c:v>4.8350676142397759</c:v>
                </c:pt>
                <c:pt idx="104">
                  <c:v>4.8690166201522347</c:v>
                </c:pt>
                <c:pt idx="105">
                  <c:v>4.9360134242618967</c:v>
                </c:pt>
                <c:pt idx="106">
                  <c:v>5.013390044654205</c:v>
                </c:pt>
                <c:pt idx="107">
                  <c:v>5.000511162188527</c:v>
                </c:pt>
                <c:pt idx="108">
                  <c:v>5.0985204742708019</c:v>
                </c:pt>
                <c:pt idx="109">
                  <c:v>5.1000416398000272</c:v>
                </c:pt>
                <c:pt idx="110">
                  <c:v>5.0715731730949756</c:v>
                </c:pt>
                <c:pt idx="111">
                  <c:v>5.1343521423083658</c:v>
                </c:pt>
                <c:pt idx="112">
                  <c:v>5.1138770480576099</c:v>
                </c:pt>
                <c:pt idx="113">
                  <c:v>5.1590514419587086</c:v>
                </c:pt>
                <c:pt idx="114">
                  <c:v>5.2114615142285832</c:v>
                </c:pt>
                <c:pt idx="115">
                  <c:v>5.32263604765767</c:v>
                </c:pt>
                <c:pt idx="116">
                  <c:v>5.3646717799957342</c:v>
                </c:pt>
                <c:pt idx="117">
                  <c:v>5.514539829683228</c:v>
                </c:pt>
                <c:pt idx="118">
                  <c:v>5.5405316001527538</c:v>
                </c:pt>
                <c:pt idx="119">
                  <c:v>5.5845713749528194</c:v>
                </c:pt>
                <c:pt idx="120">
                  <c:v>5.61492974452129</c:v>
                </c:pt>
                <c:pt idx="121">
                  <c:v>5.6373852011658618</c:v>
                </c:pt>
                <c:pt idx="122">
                  <c:v>5.7930900838276775</c:v>
                </c:pt>
                <c:pt idx="123">
                  <c:v>5.8018990928896859</c:v>
                </c:pt>
                <c:pt idx="124">
                  <c:v>5.7857013902936991</c:v>
                </c:pt>
                <c:pt idx="125">
                  <c:v>5.8216055003663296</c:v>
                </c:pt>
                <c:pt idx="126">
                  <c:v>5.7418053046919981</c:v>
                </c:pt>
                <c:pt idx="127">
                  <c:v>5.7010462543024056</c:v>
                </c:pt>
                <c:pt idx="128">
                  <c:v>5.6635765784269223</c:v>
                </c:pt>
                <c:pt idx="129">
                  <c:v>5.7769418319480117</c:v>
                </c:pt>
                <c:pt idx="130">
                  <c:v>5.6890471403567267</c:v>
                </c:pt>
                <c:pt idx="131">
                  <c:v>5.7846278086255118</c:v>
                </c:pt>
                <c:pt idx="132">
                  <c:v>5.8407186782988667</c:v>
                </c:pt>
                <c:pt idx="133">
                  <c:v>5.9482185647048951</c:v>
                </c:pt>
                <c:pt idx="134">
                  <c:v>6.2096673062838317</c:v>
                </c:pt>
                <c:pt idx="135">
                  <c:v>6.2330176595200859</c:v>
                </c:pt>
                <c:pt idx="136">
                  <c:v>6.2059193522445151</c:v>
                </c:pt>
                <c:pt idx="137">
                  <c:v>6.2168734208650278</c:v>
                </c:pt>
                <c:pt idx="138">
                  <c:v>6.3309731176773756</c:v>
                </c:pt>
                <c:pt idx="139">
                  <c:v>6.3717434919176563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A2-4CE2-8D47-08B25F83803F}"/>
            </c:ext>
          </c:extLst>
        </c:ser>
        <c:ser>
          <c:idx val="4"/>
          <c:order val="4"/>
          <c:tx>
            <c:strRef>
              <c:f>畫圖0!$B$16</c:f>
              <c:strCache>
                <c:ptCount val="1"/>
                <c:pt idx="0">
                  <c:v>120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畫圖0!$C$16:$EL$16</c:f>
              <c:numCache>
                <c:formatCode>General</c:formatCode>
                <c:ptCount val="140"/>
                <c:pt idx="0">
                  <c:v>0.26072770983563209</c:v>
                </c:pt>
                <c:pt idx="1">
                  <c:v>0.28530424371393659</c:v>
                </c:pt>
                <c:pt idx="2">
                  <c:v>0.2840496038960359</c:v>
                </c:pt>
                <c:pt idx="3">
                  <c:v>0.18250449650447498</c:v>
                </c:pt>
                <c:pt idx="4">
                  <c:v>0.27085287861999258</c:v>
                </c:pt>
                <c:pt idx="5">
                  <c:v>0.29671521895112124</c:v>
                </c:pt>
                <c:pt idx="6">
                  <c:v>0.18067691338766556</c:v>
                </c:pt>
                <c:pt idx="7">
                  <c:v>0.12832043237922186</c:v>
                </c:pt>
                <c:pt idx="8">
                  <c:v>0.16383284726869843</c:v>
                </c:pt>
                <c:pt idx="9">
                  <c:v>7.1326687251586779E-2</c:v>
                </c:pt>
                <c:pt idx="10">
                  <c:v>0.12525277925055389</c:v>
                </c:pt>
                <c:pt idx="11">
                  <c:v>0.21204377536787594</c:v>
                </c:pt>
                <c:pt idx="12">
                  <c:v>0.18267182730573622</c:v>
                </c:pt>
                <c:pt idx="13">
                  <c:v>0.22211736744515934</c:v>
                </c:pt>
                <c:pt idx="14">
                  <c:v>0.21944109951412899</c:v>
                </c:pt>
                <c:pt idx="15">
                  <c:v>0.28733785415596991</c:v>
                </c:pt>
                <c:pt idx="16">
                  <c:v>0.4835673166971392</c:v>
                </c:pt>
                <c:pt idx="17">
                  <c:v>0.57779404285073199</c:v>
                </c:pt>
                <c:pt idx="18">
                  <c:v>0.52317294116007984</c:v>
                </c:pt>
                <c:pt idx="19">
                  <c:v>0.44787705893145296</c:v>
                </c:pt>
                <c:pt idx="20">
                  <c:v>0.51062110165261698</c:v>
                </c:pt>
                <c:pt idx="21">
                  <c:v>0.69403266424450816</c:v>
                </c:pt>
                <c:pt idx="22">
                  <c:v>0.71026987987814694</c:v>
                </c:pt>
                <c:pt idx="23">
                  <c:v>0.75875840869280509</c:v>
                </c:pt>
                <c:pt idx="24">
                  <c:v>0.88790992983417105</c:v>
                </c:pt>
                <c:pt idx="25">
                  <c:v>0.85480409260854717</c:v>
                </c:pt>
                <c:pt idx="26">
                  <c:v>0.82971747046573618</c:v>
                </c:pt>
                <c:pt idx="27">
                  <c:v>0.8178339364971996</c:v>
                </c:pt>
                <c:pt idx="28">
                  <c:v>1.0122041100414967</c:v>
                </c:pt>
                <c:pt idx="29">
                  <c:v>1.1549052936536268</c:v>
                </c:pt>
                <c:pt idx="30">
                  <c:v>1.1575623501106165</c:v>
                </c:pt>
                <c:pt idx="31">
                  <c:v>1.0989853787176633</c:v>
                </c:pt>
                <c:pt idx="32">
                  <c:v>1.0738341642681315</c:v>
                </c:pt>
                <c:pt idx="33">
                  <c:v>1.1328765670139074</c:v>
                </c:pt>
                <c:pt idx="34">
                  <c:v>1.1435540475918879</c:v>
                </c:pt>
                <c:pt idx="35">
                  <c:v>1.2246498868085756</c:v>
                </c:pt>
                <c:pt idx="36">
                  <c:v>1.1455738300893838</c:v>
                </c:pt>
                <c:pt idx="37">
                  <c:v>1.1656502189157263</c:v>
                </c:pt>
                <c:pt idx="38">
                  <c:v>1.2295789219709683</c:v>
                </c:pt>
                <c:pt idx="39">
                  <c:v>1.3069800709497315</c:v>
                </c:pt>
                <c:pt idx="40">
                  <c:v>1.2553250538009375</c:v>
                </c:pt>
                <c:pt idx="41">
                  <c:v>1.2772781008283898</c:v>
                </c:pt>
                <c:pt idx="42">
                  <c:v>1.211558008980012</c:v>
                </c:pt>
                <c:pt idx="43">
                  <c:v>1.4328788460241024</c:v>
                </c:pt>
                <c:pt idx="44">
                  <c:v>1.5477136176162738</c:v>
                </c:pt>
                <c:pt idx="45">
                  <c:v>1.6371729023562795</c:v>
                </c:pt>
                <c:pt idx="46">
                  <c:v>1.7503526036264816</c:v>
                </c:pt>
                <c:pt idx="47">
                  <c:v>1.8639482005384296</c:v>
                </c:pt>
                <c:pt idx="48">
                  <c:v>1.8527800556799241</c:v>
                </c:pt>
                <c:pt idx="49">
                  <c:v>1.8709354539406986</c:v>
                </c:pt>
                <c:pt idx="50">
                  <c:v>1.9500792619113714</c:v>
                </c:pt>
                <c:pt idx="51">
                  <c:v>2.1314438679531964</c:v>
                </c:pt>
                <c:pt idx="52">
                  <c:v>2.0866762622300579</c:v>
                </c:pt>
                <c:pt idx="53">
                  <c:v>2.0896669241377239</c:v>
                </c:pt>
                <c:pt idx="54">
                  <c:v>2.1454165088975037</c:v>
                </c:pt>
                <c:pt idx="55">
                  <c:v>2.2813206139208466</c:v>
                </c:pt>
                <c:pt idx="56">
                  <c:v>2.3850005295370367</c:v>
                </c:pt>
                <c:pt idx="57">
                  <c:v>2.5064732816445066</c:v>
                </c:pt>
                <c:pt idx="58">
                  <c:v>2.5468217161741924</c:v>
                </c:pt>
                <c:pt idx="59">
                  <c:v>2.5979867001054178</c:v>
                </c:pt>
                <c:pt idx="60">
                  <c:v>2.7005359165272997</c:v>
                </c:pt>
                <c:pt idx="61">
                  <c:v>2.7699323150646435</c:v>
                </c:pt>
                <c:pt idx="62">
                  <c:v>2.8143939092485382</c:v>
                </c:pt>
                <c:pt idx="63">
                  <c:v>2.8925920273414447</c:v>
                </c:pt>
                <c:pt idx="64">
                  <c:v>2.922792746526889</c:v>
                </c:pt>
                <c:pt idx="65">
                  <c:v>2.9115612114992913</c:v>
                </c:pt>
                <c:pt idx="66">
                  <c:v>2.8496290537502773</c:v>
                </c:pt>
                <c:pt idx="67">
                  <c:v>2.962772691752507</c:v>
                </c:pt>
                <c:pt idx="68">
                  <c:v>2.9548714525754503</c:v>
                </c:pt>
                <c:pt idx="69">
                  <c:v>2.9047118582684122</c:v>
                </c:pt>
                <c:pt idx="70">
                  <c:v>2.8898909156650343</c:v>
                </c:pt>
                <c:pt idx="71">
                  <c:v>2.9274692897616243</c:v>
                </c:pt>
                <c:pt idx="72">
                  <c:v>3.2641132311614207</c:v>
                </c:pt>
                <c:pt idx="73">
                  <c:v>3.1890377281611939</c:v>
                </c:pt>
                <c:pt idx="74">
                  <c:v>3.124260341518962</c:v>
                </c:pt>
                <c:pt idx="75">
                  <c:v>3.1390903913968327</c:v>
                </c:pt>
                <c:pt idx="76">
                  <c:v>3.3105437149074035</c:v>
                </c:pt>
                <c:pt idx="77">
                  <c:v>3.2151882054893521</c:v>
                </c:pt>
                <c:pt idx="78">
                  <c:v>3.3334383651122614</c:v>
                </c:pt>
                <c:pt idx="79">
                  <c:v>3.3148927700080479</c:v>
                </c:pt>
                <c:pt idx="80">
                  <c:v>3.4462814447772225</c:v>
                </c:pt>
                <c:pt idx="81">
                  <c:v>3.5245878325319162</c:v>
                </c:pt>
                <c:pt idx="82">
                  <c:v>3.6405646518048611</c:v>
                </c:pt>
                <c:pt idx="83">
                  <c:v>3.7096825707857537</c:v>
                </c:pt>
                <c:pt idx="84">
                  <c:v>3.7892319227943805</c:v>
                </c:pt>
                <c:pt idx="85">
                  <c:v>3.8201873393798862</c:v>
                </c:pt>
                <c:pt idx="86">
                  <c:v>3.9616572419312375</c:v>
                </c:pt>
                <c:pt idx="87">
                  <c:v>3.8996734091776473</c:v>
                </c:pt>
                <c:pt idx="88">
                  <c:v>3.8681702649399399</c:v>
                </c:pt>
                <c:pt idx="89">
                  <c:v>4.0399340787260645</c:v>
                </c:pt>
                <c:pt idx="90">
                  <c:v>4.2500896794810457</c:v>
                </c:pt>
                <c:pt idx="91">
                  <c:v>4.1696835365056382</c:v>
                </c:pt>
                <c:pt idx="92">
                  <c:v>4.2453435051298429</c:v>
                </c:pt>
                <c:pt idx="93">
                  <c:v>4.3549267337149651</c:v>
                </c:pt>
                <c:pt idx="94">
                  <c:v>4.3649281337517243</c:v>
                </c:pt>
                <c:pt idx="95">
                  <c:v>4.3330638915034996</c:v>
                </c:pt>
                <c:pt idx="96">
                  <c:v>4.4923502046195649</c:v>
                </c:pt>
                <c:pt idx="97">
                  <c:v>4.624792536519001</c:v>
                </c:pt>
                <c:pt idx="98">
                  <c:v>4.6805930575650168</c:v>
                </c:pt>
                <c:pt idx="99">
                  <c:v>4.8066110168224334</c:v>
                </c:pt>
                <c:pt idx="100">
                  <c:v>4.8855471338383554</c:v>
                </c:pt>
                <c:pt idx="101">
                  <c:v>4.9121931018291596</c:v>
                </c:pt>
                <c:pt idx="102">
                  <c:v>5.0058969358389858</c:v>
                </c:pt>
                <c:pt idx="103">
                  <c:v>5.2614474756948892</c:v>
                </c:pt>
                <c:pt idx="104">
                  <c:v>5.2955395465359327</c:v>
                </c:pt>
                <c:pt idx="105">
                  <c:v>5.3773028189428231</c:v>
                </c:pt>
                <c:pt idx="106">
                  <c:v>5.429752929620947</c:v>
                </c:pt>
                <c:pt idx="107">
                  <c:v>5.4101245518392229</c:v>
                </c:pt>
                <c:pt idx="108">
                  <c:v>5.4988273140794828</c:v>
                </c:pt>
                <c:pt idx="109">
                  <c:v>5.5044006032230754</c:v>
                </c:pt>
                <c:pt idx="110">
                  <c:v>5.4642539959092913</c:v>
                </c:pt>
                <c:pt idx="111">
                  <c:v>5.5237724522280693</c:v>
                </c:pt>
                <c:pt idx="112">
                  <c:v>5.5202102549785179</c:v>
                </c:pt>
                <c:pt idx="113">
                  <c:v>5.5298371858509938</c:v>
                </c:pt>
                <c:pt idx="114">
                  <c:v>5.5804282486874985</c:v>
                </c:pt>
                <c:pt idx="115">
                  <c:v>5.6834287343998326</c:v>
                </c:pt>
                <c:pt idx="116">
                  <c:v>5.7388051748673519</c:v>
                </c:pt>
                <c:pt idx="117">
                  <c:v>5.8851731726183614</c:v>
                </c:pt>
                <c:pt idx="118">
                  <c:v>5.9100120682321817</c:v>
                </c:pt>
                <c:pt idx="119">
                  <c:v>5.9501542334244357</c:v>
                </c:pt>
                <c:pt idx="120">
                  <c:v>5.9745284954768119</c:v>
                </c:pt>
                <c:pt idx="121">
                  <c:v>6.0334618309707793</c:v>
                </c:pt>
                <c:pt idx="122">
                  <c:v>6.2113751692964794</c:v>
                </c:pt>
                <c:pt idx="123">
                  <c:v>6.2149715750342649</c:v>
                </c:pt>
                <c:pt idx="124">
                  <c:v>6.1864267059568814</c:v>
                </c:pt>
                <c:pt idx="125">
                  <c:v>6.2138166163604023</c:v>
                </c:pt>
                <c:pt idx="126">
                  <c:v>6.1242349379144185</c:v>
                </c:pt>
                <c:pt idx="127">
                  <c:v>6.0862376926612809</c:v>
                </c:pt>
                <c:pt idx="128">
                  <c:v>6.1015426356643783</c:v>
                </c:pt>
                <c:pt idx="129">
                  <c:v>6.2126411711038978</c:v>
                </c:pt>
                <c:pt idx="130">
                  <c:v>6.1169400850564815</c:v>
                </c:pt>
                <c:pt idx="131">
                  <c:v>6.2152093909122348</c:v>
                </c:pt>
                <c:pt idx="132">
                  <c:v>6.2737386170640947</c:v>
                </c:pt>
                <c:pt idx="133">
                  <c:v>6.3584684404194798</c:v>
                </c:pt>
                <c:pt idx="134">
                  <c:v>6.6395329349468044</c:v>
                </c:pt>
                <c:pt idx="135">
                  <c:v>6.6600668968832082</c:v>
                </c:pt>
                <c:pt idx="136">
                  <c:v>6.6297669228664855</c:v>
                </c:pt>
                <c:pt idx="137">
                  <c:v>6.6564513519421906</c:v>
                </c:pt>
                <c:pt idx="138">
                  <c:v>6.7727502270504045</c:v>
                </c:pt>
                <c:pt idx="139">
                  <c:v>6.8063400515535806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A2-4CE2-8D47-08B25F83803F}"/>
            </c:ext>
          </c:extLst>
        </c:ser>
        <c:ser>
          <c:idx val="5"/>
          <c:order val="5"/>
          <c:tx>
            <c:strRef>
              <c:f>畫圖0!$B$17</c:f>
              <c:strCache>
                <c:ptCount val="1"/>
                <c:pt idx="0">
                  <c:v>130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畫圖0!$C$17:$EL$17</c:f>
              <c:numCache>
                <c:formatCode>General</c:formatCode>
                <c:ptCount val="140"/>
                <c:pt idx="0">
                  <c:v>0.2378970514581851</c:v>
                </c:pt>
                <c:pt idx="1">
                  <c:v>0.28594129970356574</c:v>
                </c:pt>
                <c:pt idx="2">
                  <c:v>0.30027890464160145</c:v>
                </c:pt>
                <c:pt idx="3">
                  <c:v>0.15723425256134116</c:v>
                </c:pt>
                <c:pt idx="4">
                  <c:v>0.24601593440201275</c:v>
                </c:pt>
                <c:pt idx="5">
                  <c:v>0.27471265971166958</c:v>
                </c:pt>
                <c:pt idx="6">
                  <c:v>0.15160528382927788</c:v>
                </c:pt>
                <c:pt idx="7">
                  <c:v>0.10772410548430994</c:v>
                </c:pt>
                <c:pt idx="8">
                  <c:v>0.15407615234746574</c:v>
                </c:pt>
                <c:pt idx="9">
                  <c:v>8.0843964306130819E-2</c:v>
                </c:pt>
                <c:pt idx="10">
                  <c:v>0.1360810695394141</c:v>
                </c:pt>
                <c:pt idx="11">
                  <c:v>0.23355881622704425</c:v>
                </c:pt>
                <c:pt idx="12">
                  <c:v>0.20949152190811141</c:v>
                </c:pt>
                <c:pt idx="13">
                  <c:v>0.23147455392595909</c:v>
                </c:pt>
                <c:pt idx="14">
                  <c:v>0.23937681842234748</c:v>
                </c:pt>
                <c:pt idx="15">
                  <c:v>0.31027636223992738</c:v>
                </c:pt>
                <c:pt idx="16">
                  <c:v>0.55624196078615262</c:v>
                </c:pt>
                <c:pt idx="17">
                  <c:v>0.65011868824264596</c:v>
                </c:pt>
                <c:pt idx="18">
                  <c:v>0.60524012906488422</c:v>
                </c:pt>
                <c:pt idx="19">
                  <c:v>0.53378084123235758</c:v>
                </c:pt>
                <c:pt idx="20">
                  <c:v>0.61036253790904482</c:v>
                </c:pt>
                <c:pt idx="21">
                  <c:v>0.78661499327172724</c:v>
                </c:pt>
                <c:pt idx="22">
                  <c:v>0.78960763873861228</c:v>
                </c:pt>
                <c:pt idx="23">
                  <c:v>0.84643202077323898</c:v>
                </c:pt>
                <c:pt idx="24">
                  <c:v>1.0061149646644785</c:v>
                </c:pt>
                <c:pt idx="25">
                  <c:v>0.985399185808985</c:v>
                </c:pt>
                <c:pt idx="26">
                  <c:v>0.96759509967466717</c:v>
                </c:pt>
                <c:pt idx="27">
                  <c:v>0.95535715217418526</c:v>
                </c:pt>
                <c:pt idx="28">
                  <c:v>1.1301964017859583</c:v>
                </c:pt>
                <c:pt idx="29">
                  <c:v>1.3118135385456786</c:v>
                </c:pt>
                <c:pt idx="30">
                  <c:v>1.3130785617932501</c:v>
                </c:pt>
                <c:pt idx="31">
                  <c:v>1.2193100014447298</c:v>
                </c:pt>
                <c:pt idx="32">
                  <c:v>1.2181251053163686</c:v>
                </c:pt>
                <c:pt idx="33">
                  <c:v>1.3019724166711582</c:v>
                </c:pt>
                <c:pt idx="34">
                  <c:v>1.3253794929793474</c:v>
                </c:pt>
                <c:pt idx="35">
                  <c:v>1.4116647396748458</c:v>
                </c:pt>
                <c:pt idx="36">
                  <c:v>1.2985268045306453</c:v>
                </c:pt>
                <c:pt idx="37">
                  <c:v>1.3109879652180501</c:v>
                </c:pt>
                <c:pt idx="38">
                  <c:v>1.3401380487314456</c:v>
                </c:pt>
                <c:pt idx="39">
                  <c:v>1.4406439018121346</c:v>
                </c:pt>
                <c:pt idx="40">
                  <c:v>1.4075466046564524</c:v>
                </c:pt>
                <c:pt idx="41">
                  <c:v>1.4321467311484033</c:v>
                </c:pt>
                <c:pt idx="42">
                  <c:v>1.3460470580921133</c:v>
                </c:pt>
                <c:pt idx="43">
                  <c:v>1.613548789905515</c:v>
                </c:pt>
                <c:pt idx="44">
                  <c:v>1.7780607525312344</c:v>
                </c:pt>
                <c:pt idx="45">
                  <c:v>1.8347670573891552</c:v>
                </c:pt>
                <c:pt idx="46">
                  <c:v>1.9615675223913918</c:v>
                </c:pt>
                <c:pt idx="47">
                  <c:v>2.0575786051999345</c:v>
                </c:pt>
                <c:pt idx="48">
                  <c:v>2.0468122652771554</c:v>
                </c:pt>
                <c:pt idx="49">
                  <c:v>2.0268303421204559</c:v>
                </c:pt>
                <c:pt idx="50">
                  <c:v>2.1360145863188844</c:v>
                </c:pt>
                <c:pt idx="51">
                  <c:v>2.3381580579704955</c:v>
                </c:pt>
                <c:pt idx="52">
                  <c:v>2.3395366202766783</c:v>
                </c:pt>
                <c:pt idx="53">
                  <c:v>2.3622019520088862</c:v>
                </c:pt>
                <c:pt idx="54">
                  <c:v>2.4413483806835465</c:v>
                </c:pt>
                <c:pt idx="55">
                  <c:v>2.5908268514136554</c:v>
                </c:pt>
                <c:pt idx="56">
                  <c:v>2.6799314666027216</c:v>
                </c:pt>
                <c:pt idx="57">
                  <c:v>2.8040581814046708</c:v>
                </c:pt>
                <c:pt idx="58">
                  <c:v>2.8285063903163619</c:v>
                </c:pt>
                <c:pt idx="59">
                  <c:v>2.9060921761586669</c:v>
                </c:pt>
                <c:pt idx="60">
                  <c:v>3.0030083960459617</c:v>
                </c:pt>
                <c:pt idx="61">
                  <c:v>3.0464114923047392</c:v>
                </c:pt>
                <c:pt idx="62">
                  <c:v>3.0700972657083265</c:v>
                </c:pt>
                <c:pt idx="63">
                  <c:v>3.1289085218655988</c:v>
                </c:pt>
                <c:pt idx="64">
                  <c:v>3.1606464071589251</c:v>
                </c:pt>
                <c:pt idx="65">
                  <c:v>3.1472416517541526</c:v>
                </c:pt>
                <c:pt idx="66">
                  <c:v>3.0877171969704178</c:v>
                </c:pt>
                <c:pt idx="67">
                  <c:v>3.21375853785722</c:v>
                </c:pt>
                <c:pt idx="68">
                  <c:v>3.2045260404670266</c:v>
                </c:pt>
                <c:pt idx="69">
                  <c:v>3.1773900589032955</c:v>
                </c:pt>
                <c:pt idx="70">
                  <c:v>3.1291755534602879</c:v>
                </c:pt>
                <c:pt idx="71">
                  <c:v>3.1950764871884503</c:v>
                </c:pt>
                <c:pt idx="72">
                  <c:v>3.5841058192758855</c:v>
                </c:pt>
                <c:pt idx="73">
                  <c:v>3.4859442060609624</c:v>
                </c:pt>
                <c:pt idx="74">
                  <c:v>3.4002160195611575</c:v>
                </c:pt>
                <c:pt idx="75">
                  <c:v>3.3658099054214672</c:v>
                </c:pt>
                <c:pt idx="76">
                  <c:v>3.495062949976333</c:v>
                </c:pt>
                <c:pt idx="77">
                  <c:v>3.3943077347495145</c:v>
                </c:pt>
                <c:pt idx="78">
                  <c:v>3.5786278013071304</c:v>
                </c:pt>
                <c:pt idx="79">
                  <c:v>3.5803406318284368</c:v>
                </c:pt>
                <c:pt idx="80">
                  <c:v>3.7072565571882525</c:v>
                </c:pt>
                <c:pt idx="81">
                  <c:v>3.7762326849607515</c:v>
                </c:pt>
                <c:pt idx="82">
                  <c:v>3.8995029675382349</c:v>
                </c:pt>
                <c:pt idx="83">
                  <c:v>3.9452798389403378</c:v>
                </c:pt>
                <c:pt idx="84">
                  <c:v>4.0171466188072902</c:v>
                </c:pt>
                <c:pt idx="85">
                  <c:v>4.0348866640475238</c:v>
                </c:pt>
                <c:pt idx="86">
                  <c:v>4.1779301340861377</c:v>
                </c:pt>
                <c:pt idx="87">
                  <c:v>4.0609094576341027</c:v>
                </c:pt>
                <c:pt idx="88">
                  <c:v>4.0743335759596677</c:v>
                </c:pt>
                <c:pt idx="89">
                  <c:v>4.2089453522504936</c:v>
                </c:pt>
                <c:pt idx="90">
                  <c:v>4.4261404478208952</c:v>
                </c:pt>
                <c:pt idx="91">
                  <c:v>4.3266875868650114</c:v>
                </c:pt>
                <c:pt idx="92">
                  <c:v>4.392840538102508</c:v>
                </c:pt>
                <c:pt idx="93">
                  <c:v>4.4719551540073006</c:v>
                </c:pt>
                <c:pt idx="94">
                  <c:v>4.5046251512964268</c:v>
                </c:pt>
                <c:pt idx="95">
                  <c:v>4.4644698056970551</c:v>
                </c:pt>
                <c:pt idx="96">
                  <c:v>4.6191613529821067</c:v>
                </c:pt>
                <c:pt idx="97">
                  <c:v>4.7419565165213617</c:v>
                </c:pt>
                <c:pt idx="98">
                  <c:v>4.8115187560287458</c:v>
                </c:pt>
                <c:pt idx="99">
                  <c:v>4.9371834037752231</c:v>
                </c:pt>
                <c:pt idx="100">
                  <c:v>4.9833736146696213</c:v>
                </c:pt>
                <c:pt idx="101">
                  <c:v>5.0109693042879391</c:v>
                </c:pt>
                <c:pt idx="102">
                  <c:v>5.0871040618769525</c:v>
                </c:pt>
                <c:pt idx="103">
                  <c:v>5.3986230629592971</c:v>
                </c:pt>
                <c:pt idx="104">
                  <c:v>5.4437140326023563</c:v>
                </c:pt>
                <c:pt idx="105">
                  <c:v>5.539719218894934</c:v>
                </c:pt>
                <c:pt idx="106">
                  <c:v>5.5603355358308297</c:v>
                </c:pt>
                <c:pt idx="107">
                  <c:v>5.5344265362157863</c:v>
                </c:pt>
                <c:pt idx="108">
                  <c:v>5.6318199443970709</c:v>
                </c:pt>
                <c:pt idx="109">
                  <c:v>5.659086570256239</c:v>
                </c:pt>
                <c:pt idx="110">
                  <c:v>5.6271748423246075</c:v>
                </c:pt>
                <c:pt idx="111">
                  <c:v>5.6933476660263471</c:v>
                </c:pt>
                <c:pt idx="112">
                  <c:v>5.7009815147407448</c:v>
                </c:pt>
                <c:pt idx="113">
                  <c:v>5.7043591669040081</c:v>
                </c:pt>
                <c:pt idx="114">
                  <c:v>5.7930614626486205</c:v>
                </c:pt>
                <c:pt idx="115">
                  <c:v>5.9338543065904705</c:v>
                </c:pt>
                <c:pt idx="116">
                  <c:v>6.0090189966781331</c:v>
                </c:pt>
                <c:pt idx="117">
                  <c:v>6.1882761071729684</c:v>
                </c:pt>
                <c:pt idx="118">
                  <c:v>6.2359199443394431</c:v>
                </c:pt>
                <c:pt idx="119">
                  <c:v>6.3036136415633388</c:v>
                </c:pt>
                <c:pt idx="120">
                  <c:v>6.3093809325224086</c:v>
                </c:pt>
                <c:pt idx="121">
                  <c:v>6.3861092856603445</c:v>
                </c:pt>
                <c:pt idx="122">
                  <c:v>6.5817532518620778</c:v>
                </c:pt>
                <c:pt idx="123">
                  <c:v>6.5795036876470974</c:v>
                </c:pt>
                <c:pt idx="124">
                  <c:v>6.5402318229044516</c:v>
                </c:pt>
                <c:pt idx="125">
                  <c:v>6.5614036993295608</c:v>
                </c:pt>
                <c:pt idx="126">
                  <c:v>6.4687879547325267</c:v>
                </c:pt>
                <c:pt idx="127">
                  <c:v>6.3945257496520043</c:v>
                </c:pt>
                <c:pt idx="128">
                  <c:v>6.403921885612573</c:v>
                </c:pt>
                <c:pt idx="129">
                  <c:v>6.5248817056822395</c:v>
                </c:pt>
                <c:pt idx="130">
                  <c:v>6.404210029252237</c:v>
                </c:pt>
                <c:pt idx="131">
                  <c:v>6.4742479933461006</c:v>
                </c:pt>
                <c:pt idx="132">
                  <c:v>6.5406853409911951</c:v>
                </c:pt>
                <c:pt idx="133">
                  <c:v>6.6673451231894898</c:v>
                </c:pt>
                <c:pt idx="134">
                  <c:v>6.9594067283322056</c:v>
                </c:pt>
                <c:pt idx="135">
                  <c:v>6.975157811551826</c:v>
                </c:pt>
                <c:pt idx="136">
                  <c:v>6.9450034034237911</c:v>
                </c:pt>
                <c:pt idx="137">
                  <c:v>6.9743434766015495</c:v>
                </c:pt>
                <c:pt idx="138">
                  <c:v>7.108233116333853</c:v>
                </c:pt>
                <c:pt idx="139">
                  <c:v>7.1005651279232005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A2-4CE2-8D47-08B25F83803F}"/>
            </c:ext>
          </c:extLst>
        </c:ser>
        <c:ser>
          <c:idx val="6"/>
          <c:order val="6"/>
          <c:tx>
            <c:strRef>
              <c:f>畫圖0!$B$18</c:f>
              <c:strCache>
                <c:ptCount val="1"/>
                <c:pt idx="0">
                  <c:v>150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畫圖0!$C$18:$EL$18</c:f>
              <c:numCache>
                <c:formatCode>General</c:formatCode>
                <c:ptCount val="140"/>
                <c:pt idx="0">
                  <c:v>0.24368728540115189</c:v>
                </c:pt>
                <c:pt idx="1">
                  <c:v>0.30709658171659543</c:v>
                </c:pt>
                <c:pt idx="2">
                  <c:v>0.2940479932319518</c:v>
                </c:pt>
                <c:pt idx="3">
                  <c:v>0.13606491216415309</c:v>
                </c:pt>
                <c:pt idx="4">
                  <c:v>0.21155557971742131</c:v>
                </c:pt>
                <c:pt idx="5">
                  <c:v>0.23047357939942925</c:v>
                </c:pt>
                <c:pt idx="6">
                  <c:v>7.5804306333614152E-2</c:v>
                </c:pt>
                <c:pt idx="7">
                  <c:v>3.7075289395653473E-2</c:v>
                </c:pt>
                <c:pt idx="8">
                  <c:v>9.8630366858553614E-2</c:v>
                </c:pt>
                <c:pt idx="9">
                  <c:v>3.7919370490298254E-2</c:v>
                </c:pt>
                <c:pt idx="10">
                  <c:v>9.1858256432850602E-2</c:v>
                </c:pt>
                <c:pt idx="11">
                  <c:v>0.18581251738277438</c:v>
                </c:pt>
                <c:pt idx="12">
                  <c:v>0.18529992822944333</c:v>
                </c:pt>
                <c:pt idx="13">
                  <c:v>0.19558393622192285</c:v>
                </c:pt>
                <c:pt idx="14">
                  <c:v>0.17595941259436942</c:v>
                </c:pt>
                <c:pt idx="15">
                  <c:v>0.25960876819563167</c:v>
                </c:pt>
                <c:pt idx="16">
                  <c:v>0.54075198642055677</c:v>
                </c:pt>
                <c:pt idx="17">
                  <c:v>0.62924798564755169</c:v>
                </c:pt>
                <c:pt idx="18">
                  <c:v>0.49277130068283037</c:v>
                </c:pt>
                <c:pt idx="19">
                  <c:v>0.42458937268004826</c:v>
                </c:pt>
                <c:pt idx="20">
                  <c:v>0.51361963801458288</c:v>
                </c:pt>
                <c:pt idx="21">
                  <c:v>0.73726999050015718</c:v>
                </c:pt>
                <c:pt idx="22">
                  <c:v>0.72314565961907407</c:v>
                </c:pt>
                <c:pt idx="23">
                  <c:v>0.79025108642645669</c:v>
                </c:pt>
                <c:pt idx="24">
                  <c:v>0.93300795456479846</c:v>
                </c:pt>
                <c:pt idx="25">
                  <c:v>0.93836153398541877</c:v>
                </c:pt>
                <c:pt idx="26">
                  <c:v>0.9204172995601847</c:v>
                </c:pt>
                <c:pt idx="27">
                  <c:v>0.88207030564656019</c:v>
                </c:pt>
                <c:pt idx="28">
                  <c:v>1.0844029675716302</c:v>
                </c:pt>
                <c:pt idx="29">
                  <c:v>1.3179362540612982</c:v>
                </c:pt>
                <c:pt idx="30">
                  <c:v>1.3258563788491484</c:v>
                </c:pt>
                <c:pt idx="31">
                  <c:v>1.2389388041293328</c:v>
                </c:pt>
                <c:pt idx="32">
                  <c:v>1.2530657852286031</c:v>
                </c:pt>
                <c:pt idx="33">
                  <c:v>1.3292136367029883</c:v>
                </c:pt>
                <c:pt idx="34">
                  <c:v>1.3570381234127027</c:v>
                </c:pt>
                <c:pt idx="35">
                  <c:v>1.4461231966183394</c:v>
                </c:pt>
                <c:pt idx="36">
                  <c:v>1.3465042175436654</c:v>
                </c:pt>
                <c:pt idx="37">
                  <c:v>1.394125527552486</c:v>
                </c:pt>
                <c:pt idx="38">
                  <c:v>1.4071977279013115</c:v>
                </c:pt>
                <c:pt idx="39">
                  <c:v>1.4827943482197674</c:v>
                </c:pt>
                <c:pt idx="40">
                  <c:v>1.4897630230543757</c:v>
                </c:pt>
                <c:pt idx="41">
                  <c:v>1.5172729695056135</c:v>
                </c:pt>
                <c:pt idx="42">
                  <c:v>1.4822921130035622</c:v>
                </c:pt>
                <c:pt idx="43">
                  <c:v>1.7798457089177264</c:v>
                </c:pt>
                <c:pt idx="44">
                  <c:v>1.9529858165875995</c:v>
                </c:pt>
                <c:pt idx="45">
                  <c:v>1.9892741451148601</c:v>
                </c:pt>
                <c:pt idx="46">
                  <c:v>2.173631907314018</c:v>
                </c:pt>
                <c:pt idx="47">
                  <c:v>2.3121157673808077</c:v>
                </c:pt>
                <c:pt idx="48">
                  <c:v>2.3811012707294315</c:v>
                </c:pt>
                <c:pt idx="49">
                  <c:v>2.3543988571528831</c:v>
                </c:pt>
                <c:pt idx="50">
                  <c:v>2.4113466352893331</c:v>
                </c:pt>
                <c:pt idx="51">
                  <c:v>2.6403758780238675</c:v>
                </c:pt>
                <c:pt idx="52">
                  <c:v>2.7722137180201871</c:v>
                </c:pt>
                <c:pt idx="53">
                  <c:v>2.7816675365180918</c:v>
                </c:pt>
                <c:pt idx="54">
                  <c:v>2.8576455065135278</c:v>
                </c:pt>
                <c:pt idx="55">
                  <c:v>3.0015184911998962</c:v>
                </c:pt>
                <c:pt idx="56">
                  <c:v>3.0648480403417717</c:v>
                </c:pt>
                <c:pt idx="57">
                  <c:v>3.1892347972112054</c:v>
                </c:pt>
                <c:pt idx="58">
                  <c:v>3.2274746223109818</c:v>
                </c:pt>
                <c:pt idx="59">
                  <c:v>3.2681064213074422</c:v>
                </c:pt>
                <c:pt idx="60">
                  <c:v>3.3952904542050391</c:v>
                </c:pt>
                <c:pt idx="61">
                  <c:v>3.4544712506337318</c:v>
                </c:pt>
                <c:pt idx="62">
                  <c:v>3.501535983718338</c:v>
                </c:pt>
                <c:pt idx="63">
                  <c:v>3.5650191411434835</c:v>
                </c:pt>
                <c:pt idx="64">
                  <c:v>3.5745089778478296</c:v>
                </c:pt>
                <c:pt idx="65">
                  <c:v>3.5525937572152486</c:v>
                </c:pt>
                <c:pt idx="66">
                  <c:v>3.5079256920186066</c:v>
                </c:pt>
                <c:pt idx="67">
                  <c:v>3.6177632367129426</c:v>
                </c:pt>
                <c:pt idx="68">
                  <c:v>3.6090120778937687</c:v>
                </c:pt>
                <c:pt idx="69">
                  <c:v>3.5795479087596069</c:v>
                </c:pt>
                <c:pt idx="70">
                  <c:v>3.5336813087171359</c:v>
                </c:pt>
                <c:pt idx="71">
                  <c:v>3.5241428484764743</c:v>
                </c:pt>
                <c:pt idx="72">
                  <c:v>3.9548266767934139</c:v>
                </c:pt>
                <c:pt idx="73">
                  <c:v>3.8306442572724246</c:v>
                </c:pt>
                <c:pt idx="74">
                  <c:v>3.6907399719579028</c:v>
                </c:pt>
                <c:pt idx="75">
                  <c:v>3.6098776036539801</c:v>
                </c:pt>
                <c:pt idx="76">
                  <c:v>3.7697465476265051</c:v>
                </c:pt>
                <c:pt idx="77">
                  <c:v>3.6965413318408427</c:v>
                </c:pt>
                <c:pt idx="78">
                  <c:v>3.9165065792719096</c:v>
                </c:pt>
                <c:pt idx="79">
                  <c:v>3.9075283674993582</c:v>
                </c:pt>
                <c:pt idx="80">
                  <c:v>4.0147032542372179</c:v>
                </c:pt>
                <c:pt idx="81">
                  <c:v>4.0735817840683817</c:v>
                </c:pt>
                <c:pt idx="82">
                  <c:v>4.2442702615872925</c:v>
                </c:pt>
                <c:pt idx="83">
                  <c:v>4.2893425903336873</c:v>
                </c:pt>
                <c:pt idx="84">
                  <c:v>4.3374240195606539</c:v>
                </c:pt>
                <c:pt idx="85">
                  <c:v>4.3382513538944352</c:v>
                </c:pt>
                <c:pt idx="86">
                  <c:v>4.4873575711944254</c:v>
                </c:pt>
                <c:pt idx="87">
                  <c:v>4.3704017696364765</c:v>
                </c:pt>
                <c:pt idx="88">
                  <c:v>4.3764593011039317</c:v>
                </c:pt>
                <c:pt idx="89">
                  <c:v>4.5451705013360497</c:v>
                </c:pt>
                <c:pt idx="90">
                  <c:v>4.7559726268074654</c:v>
                </c:pt>
                <c:pt idx="91">
                  <c:v>4.6433775612335726</c:v>
                </c:pt>
                <c:pt idx="92">
                  <c:v>4.6912684661321515</c:v>
                </c:pt>
                <c:pt idx="93">
                  <c:v>4.7390828117250123</c:v>
                </c:pt>
                <c:pt idx="94">
                  <c:v>4.782307566823996</c:v>
                </c:pt>
                <c:pt idx="95">
                  <c:v>4.7448059219044181</c:v>
                </c:pt>
                <c:pt idx="96">
                  <c:v>4.9120404859094862</c:v>
                </c:pt>
                <c:pt idx="97">
                  <c:v>5.0178720587512542</c:v>
                </c:pt>
                <c:pt idx="98">
                  <c:v>5.099585544493384</c:v>
                </c:pt>
                <c:pt idx="99">
                  <c:v>5.1971254130466757</c:v>
                </c:pt>
                <c:pt idx="100">
                  <c:v>5.2622954594787554</c:v>
                </c:pt>
                <c:pt idx="101">
                  <c:v>5.327140316765302</c:v>
                </c:pt>
                <c:pt idx="102">
                  <c:v>5.4321951402173498</c:v>
                </c:pt>
                <c:pt idx="103">
                  <c:v>5.7695493734763259</c:v>
                </c:pt>
                <c:pt idx="104">
                  <c:v>5.7845736505636198</c:v>
                </c:pt>
                <c:pt idx="105">
                  <c:v>5.8477078216919205</c:v>
                </c:pt>
                <c:pt idx="106">
                  <c:v>5.8878417284738651</c:v>
                </c:pt>
                <c:pt idx="107">
                  <c:v>5.839383323442128</c:v>
                </c:pt>
                <c:pt idx="108">
                  <c:v>5.9289807037883859</c:v>
                </c:pt>
                <c:pt idx="109">
                  <c:v>5.9574237659171505</c:v>
                </c:pt>
                <c:pt idx="110">
                  <c:v>5.9195368113243436</c:v>
                </c:pt>
                <c:pt idx="111">
                  <c:v>5.9855597868470891</c:v>
                </c:pt>
                <c:pt idx="112">
                  <c:v>6.0209003521371525</c:v>
                </c:pt>
                <c:pt idx="113">
                  <c:v>6.0245197842659186</c:v>
                </c:pt>
                <c:pt idx="114">
                  <c:v>6.1078301642140103</c:v>
                </c:pt>
                <c:pt idx="115">
                  <c:v>6.2612961565705527</c:v>
                </c:pt>
                <c:pt idx="116">
                  <c:v>6.302825626302095</c:v>
                </c:pt>
                <c:pt idx="117">
                  <c:v>6.4959071306202585</c:v>
                </c:pt>
                <c:pt idx="118">
                  <c:v>6.5330735397303856</c:v>
                </c:pt>
                <c:pt idx="119">
                  <c:v>6.5804341848080936</c:v>
                </c:pt>
                <c:pt idx="120">
                  <c:v>6.5773863846410459</c:v>
                </c:pt>
                <c:pt idx="121">
                  <c:v>6.6728949512735358</c:v>
                </c:pt>
                <c:pt idx="122">
                  <c:v>6.839888930062477</c:v>
                </c:pt>
                <c:pt idx="123">
                  <c:v>6.8562470221525098</c:v>
                </c:pt>
                <c:pt idx="124">
                  <c:v>6.8224079265582569</c:v>
                </c:pt>
                <c:pt idx="125">
                  <c:v>6.7763300077431756</c:v>
                </c:pt>
                <c:pt idx="126">
                  <c:v>6.64873238114291</c:v>
                </c:pt>
                <c:pt idx="127">
                  <c:v>6.5516763174299069</c:v>
                </c:pt>
                <c:pt idx="128">
                  <c:v>6.5337306510637569</c:v>
                </c:pt>
                <c:pt idx="129">
                  <c:v>6.6428085384915825</c:v>
                </c:pt>
                <c:pt idx="130">
                  <c:v>6.5228907747714375</c:v>
                </c:pt>
                <c:pt idx="131">
                  <c:v>6.5626383664954622</c:v>
                </c:pt>
                <c:pt idx="132">
                  <c:v>6.6230206942571446</c:v>
                </c:pt>
                <c:pt idx="133">
                  <c:v>6.7244748028393806</c:v>
                </c:pt>
                <c:pt idx="134">
                  <c:v>7.0538315095050228</c:v>
                </c:pt>
                <c:pt idx="135">
                  <c:v>7.0708238964671111</c:v>
                </c:pt>
                <c:pt idx="136">
                  <c:v>7.0570310542403165</c:v>
                </c:pt>
                <c:pt idx="137">
                  <c:v>7.0849750904189115</c:v>
                </c:pt>
                <c:pt idx="138">
                  <c:v>7.2271438670735213</c:v>
                </c:pt>
                <c:pt idx="139">
                  <c:v>7.2080346342492687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A2-4CE2-8D47-08B25F83803F}"/>
            </c:ext>
          </c:extLst>
        </c:ser>
        <c:ser>
          <c:idx val="7"/>
          <c:order val="7"/>
          <c:tx>
            <c:strRef>
              <c:f>畫圖0!$B$19</c:f>
              <c:strCache>
                <c:ptCount val="1"/>
                <c:pt idx="0">
                  <c:v>180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畫圖0!$C$19:$EL$19</c:f>
              <c:numCache>
                <c:formatCode>General</c:formatCode>
                <c:ptCount val="140"/>
                <c:pt idx="0">
                  <c:v>0.25825037374733928</c:v>
                </c:pt>
                <c:pt idx="1">
                  <c:v>0.32657762750274316</c:v>
                </c:pt>
                <c:pt idx="2">
                  <c:v>0.26955835927460964</c:v>
                </c:pt>
                <c:pt idx="3">
                  <c:v>0.13382843056906965</c:v>
                </c:pt>
                <c:pt idx="4">
                  <c:v>0.24664225729612743</c:v>
                </c:pt>
                <c:pt idx="5">
                  <c:v>0.2827759015177902</c:v>
                </c:pt>
                <c:pt idx="6">
                  <c:v>0.11385818736787709</c:v>
                </c:pt>
                <c:pt idx="7">
                  <c:v>7.4242540384912514E-2</c:v>
                </c:pt>
                <c:pt idx="8">
                  <c:v>0.20260567753049841</c:v>
                </c:pt>
                <c:pt idx="9">
                  <c:v>0.15758023299032262</c:v>
                </c:pt>
                <c:pt idx="10">
                  <c:v>0.21416738469230412</c:v>
                </c:pt>
                <c:pt idx="11">
                  <c:v>0.30988602375244678</c:v>
                </c:pt>
                <c:pt idx="12">
                  <c:v>0.36107593889419193</c:v>
                </c:pt>
                <c:pt idx="13">
                  <c:v>0.3932444903058035</c:v>
                </c:pt>
                <c:pt idx="14">
                  <c:v>0.34264158122851218</c:v>
                </c:pt>
                <c:pt idx="15">
                  <c:v>0.43540477668182642</c:v>
                </c:pt>
                <c:pt idx="16">
                  <c:v>0.7599555851837847</c:v>
                </c:pt>
                <c:pt idx="17">
                  <c:v>0.83066194835928142</c:v>
                </c:pt>
                <c:pt idx="18">
                  <c:v>0.68391320743577888</c:v>
                </c:pt>
                <c:pt idx="19">
                  <c:v>0.60711963370193189</c:v>
                </c:pt>
                <c:pt idx="20">
                  <c:v>0.71938272734834641</c:v>
                </c:pt>
                <c:pt idx="21">
                  <c:v>0.94740675594927315</c:v>
                </c:pt>
                <c:pt idx="22">
                  <c:v>0.97238251386239904</c:v>
                </c:pt>
                <c:pt idx="23">
                  <c:v>1.0452535930034712</c:v>
                </c:pt>
                <c:pt idx="24">
                  <c:v>1.1476733651508382</c:v>
                </c:pt>
                <c:pt idx="25">
                  <c:v>1.1595665335979874</c:v>
                </c:pt>
                <c:pt idx="26">
                  <c:v>1.1500713932933648</c:v>
                </c:pt>
                <c:pt idx="27">
                  <c:v>1.1476063263183027</c:v>
                </c:pt>
                <c:pt idx="28">
                  <c:v>1.3843605047033292</c:v>
                </c:pt>
                <c:pt idx="29">
                  <c:v>1.6300604551658933</c:v>
                </c:pt>
                <c:pt idx="30">
                  <c:v>1.6596894491829941</c:v>
                </c:pt>
                <c:pt idx="31">
                  <c:v>1.5785868187776653</c:v>
                </c:pt>
                <c:pt idx="32">
                  <c:v>1.6101412550607124</c:v>
                </c:pt>
                <c:pt idx="33">
                  <c:v>1.7007464624543167</c:v>
                </c:pt>
                <c:pt idx="34">
                  <c:v>1.7465031340208685</c:v>
                </c:pt>
                <c:pt idx="35">
                  <c:v>1.8382153303710591</c:v>
                </c:pt>
                <c:pt idx="36">
                  <c:v>1.7588850049005544</c:v>
                </c:pt>
                <c:pt idx="37">
                  <c:v>1.7874247453721401</c:v>
                </c:pt>
                <c:pt idx="38">
                  <c:v>1.8109458973585169</c:v>
                </c:pt>
                <c:pt idx="39">
                  <c:v>1.9150091728506768</c:v>
                </c:pt>
                <c:pt idx="40">
                  <c:v>1.9168135279565621</c:v>
                </c:pt>
                <c:pt idx="41">
                  <c:v>1.946358617634945</c:v>
                </c:pt>
                <c:pt idx="42">
                  <c:v>1.8893333854900685</c:v>
                </c:pt>
                <c:pt idx="43">
                  <c:v>2.2193356103614579</c:v>
                </c:pt>
                <c:pt idx="44">
                  <c:v>2.4295355814103194</c:v>
                </c:pt>
                <c:pt idx="45">
                  <c:v>2.4704355000655718</c:v>
                </c:pt>
                <c:pt idx="46">
                  <c:v>2.6735968707734044</c:v>
                </c:pt>
                <c:pt idx="47">
                  <c:v>2.8542170768194959</c:v>
                </c:pt>
                <c:pt idx="48">
                  <c:v>2.8034618401713209</c:v>
                </c:pt>
                <c:pt idx="49">
                  <c:v>2.8746000057397043</c:v>
                </c:pt>
                <c:pt idx="50">
                  <c:v>2.9484280212939016</c:v>
                </c:pt>
                <c:pt idx="51">
                  <c:v>3.2359846962167325</c:v>
                </c:pt>
                <c:pt idx="52">
                  <c:v>3.4053409492980227</c:v>
                </c:pt>
                <c:pt idx="53">
                  <c:v>3.4494496239094912</c:v>
                </c:pt>
                <c:pt idx="54">
                  <c:v>3.5305085127557585</c:v>
                </c:pt>
                <c:pt idx="55">
                  <c:v>3.6607748238740765</c:v>
                </c:pt>
                <c:pt idx="56">
                  <c:v>3.6456308091788308</c:v>
                </c:pt>
                <c:pt idx="57">
                  <c:v>3.775299536709142</c:v>
                </c:pt>
                <c:pt idx="58">
                  <c:v>3.837883500786532</c:v>
                </c:pt>
                <c:pt idx="59">
                  <c:v>3.8673248689526751</c:v>
                </c:pt>
                <c:pt idx="60">
                  <c:v>3.9768572603053083</c:v>
                </c:pt>
                <c:pt idx="61">
                  <c:v>4.0439801955470589</c:v>
                </c:pt>
                <c:pt idx="62">
                  <c:v>4.0930909768889405</c:v>
                </c:pt>
                <c:pt idx="63">
                  <c:v>4.1413594758239354</c:v>
                </c:pt>
                <c:pt idx="64">
                  <c:v>4.1247964593854141</c:v>
                </c:pt>
                <c:pt idx="65">
                  <c:v>4.0848186078928457</c:v>
                </c:pt>
                <c:pt idx="66">
                  <c:v>4.0112670417492904</c:v>
                </c:pt>
                <c:pt idx="67">
                  <c:v>4.134506576373715</c:v>
                </c:pt>
                <c:pt idx="68">
                  <c:v>4.1255395147935303</c:v>
                </c:pt>
                <c:pt idx="69">
                  <c:v>4.1030542405447097</c:v>
                </c:pt>
                <c:pt idx="70">
                  <c:v>4.0405609470421728</c:v>
                </c:pt>
                <c:pt idx="71">
                  <c:v>3.9909216866681896</c:v>
                </c:pt>
                <c:pt idx="72">
                  <c:v>4.3474319313649943</c:v>
                </c:pt>
                <c:pt idx="73">
                  <c:v>4.2617526552290297</c:v>
                </c:pt>
                <c:pt idx="74">
                  <c:v>4.1093786193409834</c:v>
                </c:pt>
                <c:pt idx="75">
                  <c:v>4.0395671068795229</c:v>
                </c:pt>
                <c:pt idx="76">
                  <c:v>4.1122759845401262</c:v>
                </c:pt>
                <c:pt idx="77">
                  <c:v>4.0536151736780006</c:v>
                </c:pt>
                <c:pt idx="78">
                  <c:v>4.2953784647585591</c:v>
                </c:pt>
                <c:pt idx="79">
                  <c:v>4.3206217608296038</c:v>
                </c:pt>
                <c:pt idx="80">
                  <c:v>4.500728628918254</c:v>
                </c:pt>
                <c:pt idx="81">
                  <c:v>4.4799386958495271</c:v>
                </c:pt>
                <c:pt idx="82">
                  <c:v>4.6212351158334455</c:v>
                </c:pt>
                <c:pt idx="83">
                  <c:v>4.751582660764968</c:v>
                </c:pt>
                <c:pt idx="84">
                  <c:v>4.7561470829930359</c:v>
                </c:pt>
                <c:pt idx="85">
                  <c:v>4.7580199326674615</c:v>
                </c:pt>
                <c:pt idx="86">
                  <c:v>4.9102579025988371</c:v>
                </c:pt>
                <c:pt idx="87">
                  <c:v>4.7470647559439207</c:v>
                </c:pt>
                <c:pt idx="88">
                  <c:v>4.7447622776424048</c:v>
                </c:pt>
                <c:pt idx="89">
                  <c:v>4.9483377248400897</c:v>
                </c:pt>
                <c:pt idx="90">
                  <c:v>5.1718531446132952</c:v>
                </c:pt>
                <c:pt idx="91">
                  <c:v>5.0534775902995062</c:v>
                </c:pt>
                <c:pt idx="92">
                  <c:v>5.0996066163683285</c:v>
                </c:pt>
                <c:pt idx="93">
                  <c:v>5.2027338732690094</c:v>
                </c:pt>
                <c:pt idx="94">
                  <c:v>5.2577943380934862</c:v>
                </c:pt>
                <c:pt idx="95">
                  <c:v>5.265439505698664</c:v>
                </c:pt>
                <c:pt idx="96">
                  <c:v>5.4362122946699936</c:v>
                </c:pt>
                <c:pt idx="97">
                  <c:v>5.5707694655002848</c:v>
                </c:pt>
                <c:pt idx="98">
                  <c:v>5.6385005319583765</c:v>
                </c:pt>
                <c:pt idx="99">
                  <c:v>5.7420660485771222</c:v>
                </c:pt>
                <c:pt idx="100">
                  <c:v>5.8150572638671152</c:v>
                </c:pt>
                <c:pt idx="101">
                  <c:v>5.8330689147892514</c:v>
                </c:pt>
                <c:pt idx="102">
                  <c:v>6.0214728393293768</c:v>
                </c:pt>
                <c:pt idx="103">
                  <c:v>6.3682264209661996</c:v>
                </c:pt>
                <c:pt idx="104">
                  <c:v>6.3804808024379636</c:v>
                </c:pt>
                <c:pt idx="105">
                  <c:v>6.4124885754699203</c:v>
                </c:pt>
                <c:pt idx="106">
                  <c:v>6.4989728027664126</c:v>
                </c:pt>
                <c:pt idx="107">
                  <c:v>6.4833484187329118</c:v>
                </c:pt>
                <c:pt idx="108">
                  <c:v>6.5990225200084014</c:v>
                </c:pt>
                <c:pt idx="109">
                  <c:v>6.5852537013361356</c:v>
                </c:pt>
                <c:pt idx="110">
                  <c:v>6.5243461058658108</c:v>
                </c:pt>
                <c:pt idx="111">
                  <c:v>6.5650064112599189</c:v>
                </c:pt>
                <c:pt idx="112">
                  <c:v>6.605698832615098</c:v>
                </c:pt>
                <c:pt idx="113">
                  <c:v>6.6005091750118625</c:v>
                </c:pt>
                <c:pt idx="114">
                  <c:v>6.6433850681481141</c:v>
                </c:pt>
                <c:pt idx="115">
                  <c:v>6.8391294596312306</c:v>
                </c:pt>
                <c:pt idx="116">
                  <c:v>6.8781401111551128</c:v>
                </c:pt>
                <c:pt idx="117">
                  <c:v>7.0653618194819581</c:v>
                </c:pt>
                <c:pt idx="118">
                  <c:v>7.1158096128190786</c:v>
                </c:pt>
                <c:pt idx="119">
                  <c:v>7.1996890872758676</c:v>
                </c:pt>
                <c:pt idx="120">
                  <c:v>7.1831287837544897</c:v>
                </c:pt>
                <c:pt idx="121">
                  <c:v>7.2570501025704468</c:v>
                </c:pt>
                <c:pt idx="122">
                  <c:v>7.4516064399197619</c:v>
                </c:pt>
                <c:pt idx="123">
                  <c:v>7.4600019593651119</c:v>
                </c:pt>
                <c:pt idx="124">
                  <c:v>7.4199344107222789</c:v>
                </c:pt>
                <c:pt idx="125">
                  <c:v>7.3470611905490264</c:v>
                </c:pt>
                <c:pt idx="126">
                  <c:v>7.2394681720165668</c:v>
                </c:pt>
                <c:pt idx="127">
                  <c:v>7.0825248043664049</c:v>
                </c:pt>
                <c:pt idx="128">
                  <c:v>7.0902995449302875</c:v>
                </c:pt>
                <c:pt idx="129">
                  <c:v>7.2106176442798882</c:v>
                </c:pt>
                <c:pt idx="130">
                  <c:v>7.0773178161639549</c:v>
                </c:pt>
                <c:pt idx="131">
                  <c:v>7.110568996674985</c:v>
                </c:pt>
                <c:pt idx="132">
                  <c:v>7.1701718425828975</c:v>
                </c:pt>
                <c:pt idx="133">
                  <c:v>7.279140347314943</c:v>
                </c:pt>
                <c:pt idx="134">
                  <c:v>7.719581847742397</c:v>
                </c:pt>
                <c:pt idx="135">
                  <c:v>7.7072008439989519</c:v>
                </c:pt>
                <c:pt idx="136">
                  <c:v>7.7133154959774002</c:v>
                </c:pt>
                <c:pt idx="137">
                  <c:v>7.7541928015650576</c:v>
                </c:pt>
                <c:pt idx="138">
                  <c:v>7.877895060679899</c:v>
                </c:pt>
                <c:pt idx="139">
                  <c:v>7.8781786483370251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A2-4CE2-8D47-08B25F83803F}"/>
            </c:ext>
          </c:extLst>
        </c:ser>
        <c:ser>
          <c:idx val="8"/>
          <c:order val="8"/>
          <c:tx>
            <c:strRef>
              <c:f>畫圖0!$B$20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畫圖0!$C$20:$EL$20</c:f>
              <c:numCache>
                <c:formatCode>General</c:formatCode>
                <c:ptCount val="140"/>
                <c:pt idx="0">
                  <c:v>0.241035745977561</c:v>
                </c:pt>
                <c:pt idx="1">
                  <c:v>0.31441918588600964</c:v>
                </c:pt>
                <c:pt idx="2">
                  <c:v>0.24609856856394358</c:v>
                </c:pt>
                <c:pt idx="3">
                  <c:v>8.2097406127388778E-2</c:v>
                </c:pt>
                <c:pt idx="4">
                  <c:v>0.21536457780097079</c:v>
                </c:pt>
                <c:pt idx="5">
                  <c:v>0.23282645064391905</c:v>
                </c:pt>
                <c:pt idx="6">
                  <c:v>5.3663036428818256E-2</c:v>
                </c:pt>
                <c:pt idx="7">
                  <c:v>-2.3476783621891886E-2</c:v>
                </c:pt>
                <c:pt idx="8">
                  <c:v>8.5530510412961919E-2</c:v>
                </c:pt>
                <c:pt idx="9">
                  <c:v>2.2163796217237977E-2</c:v>
                </c:pt>
                <c:pt idx="10">
                  <c:v>6.5971125523442614E-2</c:v>
                </c:pt>
                <c:pt idx="11">
                  <c:v>0.21087116283061683</c:v>
                </c:pt>
                <c:pt idx="12">
                  <c:v>0.25360518758840733</c:v>
                </c:pt>
                <c:pt idx="13">
                  <c:v>0.30570243122429719</c:v>
                </c:pt>
                <c:pt idx="14">
                  <c:v>0.27887148609400075</c:v>
                </c:pt>
                <c:pt idx="15">
                  <c:v>0.35551630222384945</c:v>
                </c:pt>
                <c:pt idx="16">
                  <c:v>0.63298400909556807</c:v>
                </c:pt>
                <c:pt idx="17">
                  <c:v>0.7254722510735091</c:v>
                </c:pt>
                <c:pt idx="18">
                  <c:v>0.59285908016230227</c:v>
                </c:pt>
                <c:pt idx="19">
                  <c:v>0.51997879579883677</c:v>
                </c:pt>
                <c:pt idx="20">
                  <c:v>0.6865872850419823</c:v>
                </c:pt>
                <c:pt idx="21">
                  <c:v>0.87948959548346772</c:v>
                </c:pt>
                <c:pt idx="22">
                  <c:v>0.90406492421501161</c:v>
                </c:pt>
                <c:pt idx="23">
                  <c:v>1.0210238255247217</c:v>
                </c:pt>
                <c:pt idx="24">
                  <c:v>1.1164393544377493</c:v>
                </c:pt>
                <c:pt idx="25">
                  <c:v>1.166933578995871</c:v>
                </c:pt>
                <c:pt idx="26">
                  <c:v>1.2172897441155626</c:v>
                </c:pt>
                <c:pt idx="27">
                  <c:v>1.176554966396258</c:v>
                </c:pt>
                <c:pt idx="28">
                  <c:v>1.3184906289264204</c:v>
                </c:pt>
                <c:pt idx="29">
                  <c:v>1.5571746722675386</c:v>
                </c:pt>
                <c:pt idx="30">
                  <c:v>1.6575742826040336</c:v>
                </c:pt>
                <c:pt idx="31">
                  <c:v>1.6039587829466115</c:v>
                </c:pt>
                <c:pt idx="32">
                  <c:v>1.6345975319177322</c:v>
                </c:pt>
                <c:pt idx="33">
                  <c:v>1.7740485095326746</c:v>
                </c:pt>
                <c:pt idx="34">
                  <c:v>1.7887786761654214</c:v>
                </c:pt>
                <c:pt idx="35">
                  <c:v>1.9079662355848586</c:v>
                </c:pt>
                <c:pt idx="36">
                  <c:v>1.842606805658253</c:v>
                </c:pt>
                <c:pt idx="37">
                  <c:v>1.8862447711856187</c:v>
                </c:pt>
                <c:pt idx="38">
                  <c:v>1.9195542733200246</c:v>
                </c:pt>
                <c:pt idx="39">
                  <c:v>2.0668263364995849</c:v>
                </c:pt>
                <c:pt idx="40">
                  <c:v>2.0441082929903218</c:v>
                </c:pt>
                <c:pt idx="41">
                  <c:v>2.0420105007800986</c:v>
                </c:pt>
                <c:pt idx="42">
                  <c:v>1.9687641450917805</c:v>
                </c:pt>
                <c:pt idx="43">
                  <c:v>2.1718267357355527</c:v>
                </c:pt>
                <c:pt idx="44">
                  <c:v>2.3738657450289486</c:v>
                </c:pt>
                <c:pt idx="45">
                  <c:v>2.3999520681595943</c:v>
                </c:pt>
                <c:pt idx="46">
                  <c:v>2.6664486905509039</c:v>
                </c:pt>
                <c:pt idx="47">
                  <c:v>2.8454626385715724</c:v>
                </c:pt>
                <c:pt idx="48">
                  <c:v>2.7708352853678475</c:v>
                </c:pt>
                <c:pt idx="49">
                  <c:v>2.8655654932522294</c:v>
                </c:pt>
                <c:pt idx="50">
                  <c:v>3.0544258623710432</c:v>
                </c:pt>
                <c:pt idx="51">
                  <c:v>3.3525521710459847</c:v>
                </c:pt>
                <c:pt idx="52">
                  <c:v>3.4472074252961806</c:v>
                </c:pt>
                <c:pt idx="53">
                  <c:v>3.5044559613484165</c:v>
                </c:pt>
                <c:pt idx="54">
                  <c:v>3.5586636415879989</c:v>
                </c:pt>
                <c:pt idx="55">
                  <c:v>3.7182368094228546</c:v>
                </c:pt>
                <c:pt idx="56">
                  <c:v>3.719532291913497</c:v>
                </c:pt>
                <c:pt idx="57">
                  <c:v>3.8105511520963606</c:v>
                </c:pt>
                <c:pt idx="58">
                  <c:v>3.899599109926208</c:v>
                </c:pt>
                <c:pt idx="59">
                  <c:v>3.9287389809915161</c:v>
                </c:pt>
                <c:pt idx="60">
                  <c:v>3.9272042286372626</c:v>
                </c:pt>
                <c:pt idx="61">
                  <c:v>4.0018137523681609</c:v>
                </c:pt>
                <c:pt idx="62">
                  <c:v>4.058294615101075</c:v>
                </c:pt>
                <c:pt idx="63">
                  <c:v>4.1174894803536484</c:v>
                </c:pt>
                <c:pt idx="64">
                  <c:v>4.1222604757567094</c:v>
                </c:pt>
                <c:pt idx="65">
                  <c:v>4.0913154165642815</c:v>
                </c:pt>
                <c:pt idx="66">
                  <c:v>3.9974497702248017</c:v>
                </c:pt>
                <c:pt idx="67">
                  <c:v>4.1555270479307156</c:v>
                </c:pt>
                <c:pt idx="68">
                  <c:v>4.1311624177869346</c:v>
                </c:pt>
                <c:pt idx="69">
                  <c:v>4.0951070129855038</c:v>
                </c:pt>
                <c:pt idx="70">
                  <c:v>4.0445511940766066</c:v>
                </c:pt>
                <c:pt idx="71">
                  <c:v>3.9871036388137338</c:v>
                </c:pt>
                <c:pt idx="72">
                  <c:v>4.4095294559192908</c:v>
                </c:pt>
                <c:pt idx="73">
                  <c:v>4.3798729136885788</c:v>
                </c:pt>
                <c:pt idx="74">
                  <c:v>4.2130390555166901</c:v>
                </c:pt>
                <c:pt idx="75">
                  <c:v>4.1616716199099768</c:v>
                </c:pt>
                <c:pt idx="76">
                  <c:v>4.2495235189924863</c:v>
                </c:pt>
                <c:pt idx="77">
                  <c:v>4.2155767631365064</c:v>
                </c:pt>
                <c:pt idx="78">
                  <c:v>4.4826724970403715</c:v>
                </c:pt>
                <c:pt idx="79">
                  <c:v>4.4611543510505838</c:v>
                </c:pt>
                <c:pt idx="80">
                  <c:v>4.6697416134537324</c:v>
                </c:pt>
                <c:pt idx="81">
                  <c:v>4.6578755933461027</c:v>
                </c:pt>
                <c:pt idx="82">
                  <c:v>4.7895893471333801</c:v>
                </c:pt>
                <c:pt idx="83">
                  <c:v>4.9242976236772522</c:v>
                </c:pt>
                <c:pt idx="84">
                  <c:v>4.9248113987186963</c:v>
                </c:pt>
                <c:pt idx="85">
                  <c:v>4.8732554535305361</c:v>
                </c:pt>
                <c:pt idx="86">
                  <c:v>4.9866483868286684</c:v>
                </c:pt>
                <c:pt idx="87">
                  <c:v>4.6978683208243135</c:v>
                </c:pt>
                <c:pt idx="88">
                  <c:v>4.6532806418111425</c:v>
                </c:pt>
                <c:pt idx="89">
                  <c:v>4.7573605518708089</c:v>
                </c:pt>
                <c:pt idx="90">
                  <c:v>5.0439938136830111</c:v>
                </c:pt>
                <c:pt idx="91">
                  <c:v>4.8794821541151077</c:v>
                </c:pt>
                <c:pt idx="92">
                  <c:v>4.924658798294125</c:v>
                </c:pt>
                <c:pt idx="93">
                  <c:v>5.0406014036005677</c:v>
                </c:pt>
                <c:pt idx="94">
                  <c:v>5.075642151514085</c:v>
                </c:pt>
                <c:pt idx="95">
                  <c:v>5.1100061708424409</c:v>
                </c:pt>
                <c:pt idx="96">
                  <c:v>5.2719503381130028</c:v>
                </c:pt>
                <c:pt idx="97">
                  <c:v>5.4236399456612965</c:v>
                </c:pt>
                <c:pt idx="98">
                  <c:v>5.4772271375211581</c:v>
                </c:pt>
                <c:pt idx="99">
                  <c:v>5.5683993682005033</c:v>
                </c:pt>
                <c:pt idx="100">
                  <c:v>5.6585246613903548</c:v>
                </c:pt>
                <c:pt idx="101">
                  <c:v>5.6665252098968297</c:v>
                </c:pt>
                <c:pt idx="102">
                  <c:v>5.9386091453678098</c:v>
                </c:pt>
                <c:pt idx="103">
                  <c:v>6.3475893659500402</c:v>
                </c:pt>
                <c:pt idx="104">
                  <c:v>6.4552026551584714</c:v>
                </c:pt>
                <c:pt idx="105">
                  <c:v>6.4897678172479747</c:v>
                </c:pt>
                <c:pt idx="106">
                  <c:v>6.557305321339487</c:v>
                </c:pt>
                <c:pt idx="107">
                  <c:v>6.5572690799017987</c:v>
                </c:pt>
                <c:pt idx="108">
                  <c:v>6.6976983306718196</c:v>
                </c:pt>
                <c:pt idx="109">
                  <c:v>6.6821778479726808</c:v>
                </c:pt>
                <c:pt idx="110">
                  <c:v>6.6546833071781313</c:v>
                </c:pt>
                <c:pt idx="111">
                  <c:v>6.6704109565783458</c:v>
                </c:pt>
                <c:pt idx="112">
                  <c:v>6.6731397819647045</c:v>
                </c:pt>
                <c:pt idx="113">
                  <c:v>6.6786047315396555</c:v>
                </c:pt>
                <c:pt idx="114">
                  <c:v>6.7518935470628456</c:v>
                </c:pt>
                <c:pt idx="115">
                  <c:v>6.9787357887443102</c:v>
                </c:pt>
                <c:pt idx="116">
                  <c:v>6.9608806686498426</c:v>
                </c:pt>
                <c:pt idx="117">
                  <c:v>7.1309793886256108</c:v>
                </c:pt>
                <c:pt idx="118">
                  <c:v>7.172597510816022</c:v>
                </c:pt>
                <c:pt idx="119">
                  <c:v>7.2471060425634768</c:v>
                </c:pt>
                <c:pt idx="120">
                  <c:v>7.2088708343155607</c:v>
                </c:pt>
                <c:pt idx="121">
                  <c:v>7.2769132214429257</c:v>
                </c:pt>
                <c:pt idx="122">
                  <c:v>7.5195690741933934</c:v>
                </c:pt>
                <c:pt idx="123">
                  <c:v>7.561357671484811</c:v>
                </c:pt>
                <c:pt idx="124">
                  <c:v>7.5119341998280609</c:v>
                </c:pt>
                <c:pt idx="125">
                  <c:v>7.3930352581053835</c:v>
                </c:pt>
                <c:pt idx="126">
                  <c:v>7.202436664899154</c:v>
                </c:pt>
                <c:pt idx="127">
                  <c:v>7.0092338660861042</c:v>
                </c:pt>
                <c:pt idx="128">
                  <c:v>7.0112940487614095</c:v>
                </c:pt>
                <c:pt idx="129">
                  <c:v>7.1448876899517808</c:v>
                </c:pt>
                <c:pt idx="130">
                  <c:v>7.0030150441565588</c:v>
                </c:pt>
                <c:pt idx="131">
                  <c:v>7.0113117750260843</c:v>
                </c:pt>
                <c:pt idx="132">
                  <c:v>7.0395380405159012</c:v>
                </c:pt>
                <c:pt idx="133">
                  <c:v>7.1778851083219939</c:v>
                </c:pt>
                <c:pt idx="134">
                  <c:v>7.6313757899380299</c:v>
                </c:pt>
                <c:pt idx="135">
                  <c:v>7.6226073489137001</c:v>
                </c:pt>
                <c:pt idx="136">
                  <c:v>7.570865037184932</c:v>
                </c:pt>
                <c:pt idx="137">
                  <c:v>7.5985741122814563</c:v>
                </c:pt>
                <c:pt idx="138">
                  <c:v>7.7451231349517711</c:v>
                </c:pt>
                <c:pt idx="139">
                  <c:v>7.764796852515607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A2-4CE2-8D47-08B25F83803F}"/>
            </c:ext>
          </c:extLst>
        </c:ser>
        <c:ser>
          <c:idx val="9"/>
          <c:order val="9"/>
          <c:tx>
            <c:strRef>
              <c:f>畫圖0!$B$21</c:f>
              <c:strCache>
                <c:ptCount val="1"/>
                <c:pt idx="0">
                  <c:v>256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畫圖0!$C$21:$EL$21</c:f>
              <c:numCache>
                <c:formatCode>General</c:formatCode>
                <c:ptCount val="140"/>
                <c:pt idx="0">
                  <c:v>0.2490064650579937</c:v>
                </c:pt>
                <c:pt idx="1">
                  <c:v>0.31300478960469313</c:v>
                </c:pt>
                <c:pt idx="2">
                  <c:v>0.32262064339727459</c:v>
                </c:pt>
                <c:pt idx="3">
                  <c:v>0.1385820617911446</c:v>
                </c:pt>
                <c:pt idx="4">
                  <c:v>0.20103766479891191</c:v>
                </c:pt>
                <c:pt idx="5">
                  <c:v>0.1480925992518804</c:v>
                </c:pt>
                <c:pt idx="6">
                  <c:v>-9.1230462925873612E-2</c:v>
                </c:pt>
                <c:pt idx="7">
                  <c:v>-0.18179710217032044</c:v>
                </c:pt>
                <c:pt idx="8">
                  <c:v>-0.12541127871762076</c:v>
                </c:pt>
                <c:pt idx="9">
                  <c:v>-0.19841391316302262</c:v>
                </c:pt>
                <c:pt idx="10">
                  <c:v>-0.22776403120847483</c:v>
                </c:pt>
                <c:pt idx="11">
                  <c:v>-8.3561140785867322E-2</c:v>
                </c:pt>
                <c:pt idx="12">
                  <c:v>-2.4706000673429665E-2</c:v>
                </c:pt>
                <c:pt idx="13">
                  <c:v>6.3459605607084801E-2</c:v>
                </c:pt>
                <c:pt idx="14">
                  <c:v>8.1203609211645808E-2</c:v>
                </c:pt>
                <c:pt idx="15">
                  <c:v>0.18542976256837312</c:v>
                </c:pt>
                <c:pt idx="16">
                  <c:v>0.44011256507425345</c:v>
                </c:pt>
                <c:pt idx="17">
                  <c:v>0.55583152270795799</c:v>
                </c:pt>
                <c:pt idx="18">
                  <c:v>0.43485465755364172</c:v>
                </c:pt>
                <c:pt idx="19">
                  <c:v>0.40635697151294714</c:v>
                </c:pt>
                <c:pt idx="20">
                  <c:v>0.56941285133952402</c:v>
                </c:pt>
                <c:pt idx="21">
                  <c:v>0.76324986646166726</c:v>
                </c:pt>
                <c:pt idx="22">
                  <c:v>0.77638874873102492</c:v>
                </c:pt>
                <c:pt idx="23">
                  <c:v>0.90825260382416528</c:v>
                </c:pt>
                <c:pt idx="24">
                  <c:v>1.000360785424089</c:v>
                </c:pt>
                <c:pt idx="25">
                  <c:v>1.0920361621984442</c:v>
                </c:pt>
                <c:pt idx="26">
                  <c:v>1.1540340914608136</c:v>
                </c:pt>
                <c:pt idx="27">
                  <c:v>1.0809196669396985</c:v>
                </c:pt>
                <c:pt idx="28">
                  <c:v>1.2313536005467307</c:v>
                </c:pt>
                <c:pt idx="29">
                  <c:v>1.4741150976068682</c:v>
                </c:pt>
                <c:pt idx="30">
                  <c:v>1.5606600880010912</c:v>
                </c:pt>
                <c:pt idx="31">
                  <c:v>1.5347520821233527</c:v>
                </c:pt>
                <c:pt idx="32">
                  <c:v>1.5120331679981758</c:v>
                </c:pt>
                <c:pt idx="33">
                  <c:v>1.7390645617937568</c:v>
                </c:pt>
                <c:pt idx="34">
                  <c:v>1.751927858583987</c:v>
                </c:pt>
                <c:pt idx="35">
                  <c:v>1.8643793663913395</c:v>
                </c:pt>
                <c:pt idx="36">
                  <c:v>1.918318775405504</c:v>
                </c:pt>
                <c:pt idx="37">
                  <c:v>1.8934263503924464</c:v>
                </c:pt>
                <c:pt idx="38">
                  <c:v>2.0737868382525293</c:v>
                </c:pt>
                <c:pt idx="39">
                  <c:v>2.2583220046929364</c:v>
                </c:pt>
                <c:pt idx="40">
                  <c:v>2.2117444385866394</c:v>
                </c:pt>
                <c:pt idx="41">
                  <c:v>2.1735253422760761</c:v>
                </c:pt>
                <c:pt idx="42">
                  <c:v>2.0561080216174821</c:v>
                </c:pt>
                <c:pt idx="43">
                  <c:v>2.2672920913476355</c:v>
                </c:pt>
                <c:pt idx="44">
                  <c:v>2.5281893795759163</c:v>
                </c:pt>
                <c:pt idx="45">
                  <c:v>2.5420796417132872</c:v>
                </c:pt>
                <c:pt idx="46">
                  <c:v>2.82485289337601</c:v>
                </c:pt>
                <c:pt idx="47">
                  <c:v>2.9821642577945733</c:v>
                </c:pt>
                <c:pt idx="48">
                  <c:v>2.9135204882653292</c:v>
                </c:pt>
                <c:pt idx="49">
                  <c:v>3.0775682165139231</c:v>
                </c:pt>
                <c:pt idx="50">
                  <c:v>3.1230155376878677</c:v>
                </c:pt>
                <c:pt idx="51">
                  <c:v>3.5363273649789</c:v>
                </c:pt>
                <c:pt idx="52">
                  <c:v>3.5970217823150858</c:v>
                </c:pt>
                <c:pt idx="53">
                  <c:v>3.7050121968344825</c:v>
                </c:pt>
                <c:pt idx="54">
                  <c:v>3.8417575527424468</c:v>
                </c:pt>
                <c:pt idx="55">
                  <c:v>4.0408747691730502</c:v>
                </c:pt>
                <c:pt idx="56">
                  <c:v>3.9472356603643641</c:v>
                </c:pt>
                <c:pt idx="57">
                  <c:v>4.122014855374565</c:v>
                </c:pt>
                <c:pt idx="58">
                  <c:v>4.1810699687720563</c:v>
                </c:pt>
                <c:pt idx="59">
                  <c:v>4.1833795589975526</c:v>
                </c:pt>
                <c:pt idx="60">
                  <c:v>4.1785943901822771</c:v>
                </c:pt>
                <c:pt idx="61">
                  <c:v>4.2731026727645176</c:v>
                </c:pt>
                <c:pt idx="62">
                  <c:v>4.3138979587932385</c:v>
                </c:pt>
                <c:pt idx="63">
                  <c:v>4.4484858539569903</c:v>
                </c:pt>
                <c:pt idx="64">
                  <c:v>4.4812841961349319</c:v>
                </c:pt>
                <c:pt idx="65">
                  <c:v>4.4888753547208555</c:v>
                </c:pt>
                <c:pt idx="66">
                  <c:v>4.4178285116542879</c:v>
                </c:pt>
                <c:pt idx="67">
                  <c:v>4.555191743971208</c:v>
                </c:pt>
                <c:pt idx="68">
                  <c:v>4.5254331512327139</c:v>
                </c:pt>
                <c:pt idx="69">
                  <c:v>4.5136690683392207</c:v>
                </c:pt>
                <c:pt idx="70">
                  <c:v>4.335876812734365</c:v>
                </c:pt>
                <c:pt idx="71">
                  <c:v>4.2537778505323969</c:v>
                </c:pt>
                <c:pt idx="72">
                  <c:v>4.7963875780255911</c:v>
                </c:pt>
                <c:pt idx="73">
                  <c:v>4.7472925040099794</c:v>
                </c:pt>
                <c:pt idx="74">
                  <c:v>4.6437354364386323</c:v>
                </c:pt>
                <c:pt idx="75">
                  <c:v>4.5796833308585407</c:v>
                </c:pt>
                <c:pt idx="76">
                  <c:v>4.7293572242830892</c:v>
                </c:pt>
                <c:pt idx="77">
                  <c:v>4.7126866767132771</c:v>
                </c:pt>
                <c:pt idx="78">
                  <c:v>4.892005422743642</c:v>
                </c:pt>
                <c:pt idx="79">
                  <c:v>4.9467404924496821</c:v>
                </c:pt>
                <c:pt idx="80">
                  <c:v>5.0732553906424611</c:v>
                </c:pt>
                <c:pt idx="81">
                  <c:v>5.0896275012787688</c:v>
                </c:pt>
                <c:pt idx="82">
                  <c:v>5.2425002973507402</c:v>
                </c:pt>
                <c:pt idx="83">
                  <c:v>5.3694639160107691</c:v>
                </c:pt>
                <c:pt idx="84">
                  <c:v>5.3770258291505746</c:v>
                </c:pt>
                <c:pt idx="85">
                  <c:v>5.357364054984882</c:v>
                </c:pt>
                <c:pt idx="86">
                  <c:v>5.5939953873406782</c:v>
                </c:pt>
                <c:pt idx="87">
                  <c:v>5.243797275407033</c:v>
                </c:pt>
                <c:pt idx="88">
                  <c:v>5.1370572794038045</c:v>
                </c:pt>
                <c:pt idx="89">
                  <c:v>5.3009085957566091</c:v>
                </c:pt>
                <c:pt idx="90">
                  <c:v>5.59816853407977</c:v>
                </c:pt>
                <c:pt idx="91">
                  <c:v>5.475958188515162</c:v>
                </c:pt>
                <c:pt idx="92">
                  <c:v>5.523030608990994</c:v>
                </c:pt>
                <c:pt idx="93">
                  <c:v>5.642739153728213</c:v>
                </c:pt>
                <c:pt idx="94">
                  <c:v>5.6108757706245047</c:v>
                </c:pt>
                <c:pt idx="95">
                  <c:v>5.6623267715551329</c:v>
                </c:pt>
                <c:pt idx="96">
                  <c:v>5.8402635916212517</c:v>
                </c:pt>
                <c:pt idx="97">
                  <c:v>6.0406601502395301</c:v>
                </c:pt>
                <c:pt idx="98">
                  <c:v>6.0845017395516203</c:v>
                </c:pt>
                <c:pt idx="99">
                  <c:v>6.1222956426414914</c:v>
                </c:pt>
                <c:pt idx="100">
                  <c:v>6.2329459494557939</c:v>
                </c:pt>
                <c:pt idx="101">
                  <c:v>6.2240585902982009</c:v>
                </c:pt>
                <c:pt idx="102">
                  <c:v>6.5518799008977648</c:v>
                </c:pt>
                <c:pt idx="103">
                  <c:v>7.0405244269296805</c:v>
                </c:pt>
                <c:pt idx="104">
                  <c:v>7.1270116698599821</c:v>
                </c:pt>
                <c:pt idx="105">
                  <c:v>7.1606828656578596</c:v>
                </c:pt>
                <c:pt idx="106">
                  <c:v>7.1928146430928868</c:v>
                </c:pt>
                <c:pt idx="107">
                  <c:v>7.2047139808183829</c:v>
                </c:pt>
                <c:pt idx="108">
                  <c:v>7.3329446044179711</c:v>
                </c:pt>
                <c:pt idx="109">
                  <c:v>7.3294733925047577</c:v>
                </c:pt>
                <c:pt idx="110">
                  <c:v>7.2755470978376877</c:v>
                </c:pt>
                <c:pt idx="111">
                  <c:v>7.2399481283771685</c:v>
                </c:pt>
                <c:pt idx="112">
                  <c:v>7.2614934315268114</c:v>
                </c:pt>
                <c:pt idx="113">
                  <c:v>7.2834136201155379</c:v>
                </c:pt>
                <c:pt idx="114">
                  <c:v>7.3996661201672094</c:v>
                </c:pt>
                <c:pt idx="115">
                  <c:v>7.7215817997339977</c:v>
                </c:pt>
                <c:pt idx="116">
                  <c:v>7.7356482098892876</c:v>
                </c:pt>
                <c:pt idx="117">
                  <c:v>7.8505473189676227</c:v>
                </c:pt>
                <c:pt idx="118">
                  <c:v>7.9597556024451777</c:v>
                </c:pt>
                <c:pt idx="119">
                  <c:v>8.0651420602072825</c:v>
                </c:pt>
                <c:pt idx="120">
                  <c:v>8.1719674419980599</c:v>
                </c:pt>
                <c:pt idx="121">
                  <c:v>8.1640735089842131</c:v>
                </c:pt>
                <c:pt idx="122">
                  <c:v>8.4849640931785526</c:v>
                </c:pt>
                <c:pt idx="123">
                  <c:v>8.5371132463769062</c:v>
                </c:pt>
                <c:pt idx="124">
                  <c:v>8.4169155899272852</c:v>
                </c:pt>
                <c:pt idx="125">
                  <c:v>8.3000867000525034</c:v>
                </c:pt>
                <c:pt idx="126">
                  <c:v>8.1799068670786319</c:v>
                </c:pt>
                <c:pt idx="127">
                  <c:v>7.9701422641922388</c:v>
                </c:pt>
                <c:pt idx="128">
                  <c:v>7.9165184077413393</c:v>
                </c:pt>
                <c:pt idx="129">
                  <c:v>8.0055908006463774</c:v>
                </c:pt>
                <c:pt idx="130">
                  <c:v>7.8654967826941515</c:v>
                </c:pt>
                <c:pt idx="131">
                  <c:v>7.7075622600825344</c:v>
                </c:pt>
                <c:pt idx="132">
                  <c:v>7.7199794263947519</c:v>
                </c:pt>
                <c:pt idx="133">
                  <c:v>7.8913525485628169</c:v>
                </c:pt>
                <c:pt idx="134">
                  <c:v>8.4613759157149548</c:v>
                </c:pt>
                <c:pt idx="135">
                  <c:v>8.4349492460997588</c:v>
                </c:pt>
                <c:pt idx="136">
                  <c:v>8.2819764522704631</c:v>
                </c:pt>
                <c:pt idx="137">
                  <c:v>8.30512541953801</c:v>
                </c:pt>
                <c:pt idx="138">
                  <c:v>8.4597124152953</c:v>
                </c:pt>
                <c:pt idx="139">
                  <c:v>8.5651344264517117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A2-4CE2-8D47-08B25F83803F}"/>
            </c:ext>
          </c:extLst>
        </c:ser>
        <c:ser>
          <c:idx val="10"/>
          <c:order val="10"/>
          <c:tx>
            <c:strRef>
              <c:f>畫圖0!$B$22</c:f>
              <c:strCache>
                <c:ptCount val="1"/>
                <c:pt idx="0">
                  <c:v>400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畫圖0!$C$22:$EL$22</c:f>
              <c:numCache>
                <c:formatCode>General</c:formatCode>
                <c:ptCount val="140"/>
                <c:pt idx="0">
                  <c:v>0.28886619116808843</c:v>
                </c:pt>
                <c:pt idx="1">
                  <c:v>0.38649360031404928</c:v>
                </c:pt>
                <c:pt idx="2">
                  <c:v>0.40872401257328739</c:v>
                </c:pt>
                <c:pt idx="3">
                  <c:v>0.34089295165200983</c:v>
                </c:pt>
                <c:pt idx="4">
                  <c:v>0.44477731494234396</c:v>
                </c:pt>
                <c:pt idx="5">
                  <c:v>0.21497177045094337</c:v>
                </c:pt>
                <c:pt idx="6">
                  <c:v>-3.9461132459506637E-2</c:v>
                </c:pt>
                <c:pt idx="7">
                  <c:v>-0.15783941364179474</c:v>
                </c:pt>
                <c:pt idx="8">
                  <c:v>-5.7178268191442644E-2</c:v>
                </c:pt>
                <c:pt idx="9">
                  <c:v>-0.18612704106689854</c:v>
                </c:pt>
                <c:pt idx="10">
                  <c:v>-0.20222342760215517</c:v>
                </c:pt>
                <c:pt idx="11">
                  <c:v>-6.461847136435106E-2</c:v>
                </c:pt>
                <c:pt idx="12">
                  <c:v>1.9547977229305485E-2</c:v>
                </c:pt>
                <c:pt idx="13">
                  <c:v>0.10777028332764924</c:v>
                </c:pt>
                <c:pt idx="14">
                  <c:v>0.14242742434908798</c:v>
                </c:pt>
                <c:pt idx="15">
                  <c:v>0.32881482092915981</c:v>
                </c:pt>
                <c:pt idx="16">
                  <c:v>0.40165564744416371</c:v>
                </c:pt>
                <c:pt idx="17">
                  <c:v>0.53751279701177479</c:v>
                </c:pt>
                <c:pt idx="18">
                  <c:v>0.30919753680631923</c:v>
                </c:pt>
                <c:pt idx="19">
                  <c:v>0.37046276403906014</c:v>
                </c:pt>
                <c:pt idx="20">
                  <c:v>0.52670541762521461</c:v>
                </c:pt>
                <c:pt idx="21">
                  <c:v>0.68455546928608368</c:v>
                </c:pt>
                <c:pt idx="22">
                  <c:v>0.77777461206039811</c:v>
                </c:pt>
                <c:pt idx="23">
                  <c:v>0.90426264816679325</c:v>
                </c:pt>
                <c:pt idx="24">
                  <c:v>0.95677062001235269</c:v>
                </c:pt>
                <c:pt idx="25">
                  <c:v>1.1291518725445067</c:v>
                </c:pt>
                <c:pt idx="26">
                  <c:v>1.1903798264799659</c:v>
                </c:pt>
                <c:pt idx="27">
                  <c:v>1.1323839553876198</c:v>
                </c:pt>
                <c:pt idx="28">
                  <c:v>1.265638207051321</c:v>
                </c:pt>
                <c:pt idx="29">
                  <c:v>1.5380104569727506</c:v>
                </c:pt>
                <c:pt idx="30">
                  <c:v>1.6464756035529509</c:v>
                </c:pt>
                <c:pt idx="31">
                  <c:v>1.91827712855976</c:v>
                </c:pt>
                <c:pt idx="32">
                  <c:v>1.9387767365348583</c:v>
                </c:pt>
                <c:pt idx="33">
                  <c:v>1.9473218537721859</c:v>
                </c:pt>
                <c:pt idx="34">
                  <c:v>1.9272008859175731</c:v>
                </c:pt>
                <c:pt idx="35">
                  <c:v>2.1130452661826524</c:v>
                </c:pt>
                <c:pt idx="36">
                  <c:v>2.1953694846508465</c:v>
                </c:pt>
                <c:pt idx="37">
                  <c:v>2.1609881121244046</c:v>
                </c:pt>
                <c:pt idx="38">
                  <c:v>2.3970902657295823</c:v>
                </c:pt>
                <c:pt idx="39">
                  <c:v>2.6259215638563789</c:v>
                </c:pt>
                <c:pt idx="40">
                  <c:v>2.4468591697733957</c:v>
                </c:pt>
                <c:pt idx="41">
                  <c:v>2.3220955604338056</c:v>
                </c:pt>
                <c:pt idx="42">
                  <c:v>2.2999250783215248</c:v>
                </c:pt>
                <c:pt idx="43">
                  <c:v>2.4135294231810338</c:v>
                </c:pt>
                <c:pt idx="44">
                  <c:v>2.6818532886731217</c:v>
                </c:pt>
                <c:pt idx="45">
                  <c:v>2.7610565173438779</c:v>
                </c:pt>
                <c:pt idx="46">
                  <c:v>3.1779510860633531</c:v>
                </c:pt>
                <c:pt idx="47">
                  <c:v>3.1302132450918725</c:v>
                </c:pt>
                <c:pt idx="48">
                  <c:v>3.089198062431477</c:v>
                </c:pt>
                <c:pt idx="49">
                  <c:v>3.2910992180333496</c:v>
                </c:pt>
                <c:pt idx="50">
                  <c:v>3.3715675821344364</c:v>
                </c:pt>
                <c:pt idx="51">
                  <c:v>3.8617348555255981</c:v>
                </c:pt>
                <c:pt idx="52">
                  <c:v>3.9338643361470904</c:v>
                </c:pt>
                <c:pt idx="53">
                  <c:v>4.0202266534306599</c:v>
                </c:pt>
                <c:pt idx="54">
                  <c:v>4.1482945373963203</c:v>
                </c:pt>
                <c:pt idx="55">
                  <c:v>4.3473969859447585</c:v>
                </c:pt>
                <c:pt idx="56">
                  <c:v>4.2044266345708925</c:v>
                </c:pt>
                <c:pt idx="57">
                  <c:v>4.3321336439673086</c:v>
                </c:pt>
                <c:pt idx="58">
                  <c:v>4.3145928489347156</c:v>
                </c:pt>
                <c:pt idx="59">
                  <c:v>4.3853074136565668</c:v>
                </c:pt>
                <c:pt idx="60">
                  <c:v>4.3894598630769766</c:v>
                </c:pt>
                <c:pt idx="61">
                  <c:v>4.5071168124404037</c:v>
                </c:pt>
                <c:pt idx="62">
                  <c:v>4.5095472956859366</c:v>
                </c:pt>
                <c:pt idx="63">
                  <c:v>4.481028489221961</c:v>
                </c:pt>
                <c:pt idx="64">
                  <c:v>4.4955864861203638</c:v>
                </c:pt>
                <c:pt idx="65">
                  <c:v>4.5401277695704492</c:v>
                </c:pt>
                <c:pt idx="66">
                  <c:v>4.4853850838413525</c:v>
                </c:pt>
                <c:pt idx="67">
                  <c:v>4.6323417876620958</c:v>
                </c:pt>
                <c:pt idx="68">
                  <c:v>4.6764202106607806</c:v>
                </c:pt>
                <c:pt idx="69">
                  <c:v>4.7520736299158557</c:v>
                </c:pt>
                <c:pt idx="70">
                  <c:v>4.6197212938957852</c:v>
                </c:pt>
                <c:pt idx="71">
                  <c:v>4.5724548293838794</c:v>
                </c:pt>
                <c:pt idx="72">
                  <c:v>4.8830204927052208</c:v>
                </c:pt>
                <c:pt idx="73">
                  <c:v>4.7972958947023399</c:v>
                </c:pt>
                <c:pt idx="74">
                  <c:v>4.5871542159435199</c:v>
                </c:pt>
                <c:pt idx="75">
                  <c:v>4.4553189212900453</c:v>
                </c:pt>
                <c:pt idx="76">
                  <c:v>4.7082936004780747</c:v>
                </c:pt>
                <c:pt idx="77">
                  <c:v>4.7193514978636415</c:v>
                </c:pt>
                <c:pt idx="78">
                  <c:v>4.9947963172870713</c:v>
                </c:pt>
                <c:pt idx="79">
                  <c:v>4.8790269909669712</c:v>
                </c:pt>
                <c:pt idx="80">
                  <c:v>5.036319862591804</c:v>
                </c:pt>
                <c:pt idx="81">
                  <c:v>5.0664465173438842</c:v>
                </c:pt>
                <c:pt idx="82">
                  <c:v>5.3903696007896578</c:v>
                </c:pt>
                <c:pt idx="83">
                  <c:v>5.4857588988350949</c:v>
                </c:pt>
                <c:pt idx="84">
                  <c:v>5.521372257978781</c:v>
                </c:pt>
                <c:pt idx="85">
                  <c:v>5.5108315386394793</c:v>
                </c:pt>
                <c:pt idx="86">
                  <c:v>5.6872707467893244</c:v>
                </c:pt>
                <c:pt idx="87">
                  <c:v>5.2292134873384049</c:v>
                </c:pt>
                <c:pt idx="88">
                  <c:v>5.0971396660999302</c:v>
                </c:pt>
                <c:pt idx="89">
                  <c:v>5.2792967912100464</c:v>
                </c:pt>
                <c:pt idx="90">
                  <c:v>5.6821156346962081</c:v>
                </c:pt>
                <c:pt idx="91">
                  <c:v>5.4635863344673279</c:v>
                </c:pt>
                <c:pt idx="92">
                  <c:v>5.5557522428756227</c:v>
                </c:pt>
                <c:pt idx="93">
                  <c:v>5.6620833165128142</c:v>
                </c:pt>
                <c:pt idx="94">
                  <c:v>5.5938472495213416</c:v>
                </c:pt>
                <c:pt idx="95">
                  <c:v>5.5989345048754293</c:v>
                </c:pt>
                <c:pt idx="96">
                  <c:v>5.7916486797266886</c:v>
                </c:pt>
                <c:pt idx="97">
                  <c:v>6.0279294925562086</c:v>
                </c:pt>
                <c:pt idx="98">
                  <c:v>6.017702946259762</c:v>
                </c:pt>
                <c:pt idx="99">
                  <c:v>6.0713713843584323</c:v>
                </c:pt>
                <c:pt idx="100">
                  <c:v>6.2068608180128484</c:v>
                </c:pt>
                <c:pt idx="101">
                  <c:v>6.2090563668052621</c:v>
                </c:pt>
                <c:pt idx="102">
                  <c:v>6.5758588265102444</c:v>
                </c:pt>
                <c:pt idx="103">
                  <c:v>7.1692339982364759</c:v>
                </c:pt>
                <c:pt idx="104">
                  <c:v>7.3104012339557851</c:v>
                </c:pt>
                <c:pt idx="105">
                  <c:v>7.4487558875002584</c:v>
                </c:pt>
                <c:pt idx="106">
                  <c:v>7.4309993839983255</c:v>
                </c:pt>
                <c:pt idx="107">
                  <c:v>7.4086215014771213</c:v>
                </c:pt>
                <c:pt idx="108">
                  <c:v>7.5934586919702109</c:v>
                </c:pt>
                <c:pt idx="109">
                  <c:v>7.5878775243369594</c:v>
                </c:pt>
                <c:pt idx="110">
                  <c:v>7.5895609616068072</c:v>
                </c:pt>
                <c:pt idx="111">
                  <c:v>7.5867744618383828</c:v>
                </c:pt>
                <c:pt idx="112">
                  <c:v>7.5775201129215004</c:v>
                </c:pt>
                <c:pt idx="113">
                  <c:v>7.6106292280134431</c:v>
                </c:pt>
                <c:pt idx="114">
                  <c:v>7.6306255196867498</c:v>
                </c:pt>
                <c:pt idx="115">
                  <c:v>7.9311213018262592</c:v>
                </c:pt>
                <c:pt idx="116">
                  <c:v>7.8696606285410757</c:v>
                </c:pt>
                <c:pt idx="117">
                  <c:v>7.9582131149784727</c:v>
                </c:pt>
                <c:pt idx="118">
                  <c:v>8.169274056740246</c:v>
                </c:pt>
                <c:pt idx="119">
                  <c:v>8.2983180326169865</c:v>
                </c:pt>
                <c:pt idx="120">
                  <c:v>8.4372378566482666</c:v>
                </c:pt>
                <c:pt idx="121">
                  <c:v>8.4757069942595678</c:v>
                </c:pt>
                <c:pt idx="122">
                  <c:v>8.8751834131140495</c:v>
                </c:pt>
                <c:pt idx="123">
                  <c:v>8.9669592518752204</c:v>
                </c:pt>
                <c:pt idx="124">
                  <c:v>8.9918369421767856</c:v>
                </c:pt>
                <c:pt idx="125">
                  <c:v>8.8274848181352468</c:v>
                </c:pt>
                <c:pt idx="126">
                  <c:v>8.6858505609851733</c:v>
                </c:pt>
                <c:pt idx="127">
                  <c:v>8.5079468740384279</c:v>
                </c:pt>
                <c:pt idx="128">
                  <c:v>8.4537202339023505</c:v>
                </c:pt>
                <c:pt idx="129">
                  <c:v>8.6580955941181053</c:v>
                </c:pt>
                <c:pt idx="130">
                  <c:v>8.6865244058961562</c:v>
                </c:pt>
                <c:pt idx="131">
                  <c:v>8.5028424193919996</c:v>
                </c:pt>
                <c:pt idx="132">
                  <c:v>8.4610451590057316</c:v>
                </c:pt>
                <c:pt idx="133">
                  <c:v>8.6221913600240097</c:v>
                </c:pt>
                <c:pt idx="134">
                  <c:v>9.3598985493740887</c:v>
                </c:pt>
                <c:pt idx="135">
                  <c:v>9.3477313417814667</c:v>
                </c:pt>
                <c:pt idx="136">
                  <c:v>9.2485254856880044</c:v>
                </c:pt>
                <c:pt idx="137">
                  <c:v>9.3321272145776053</c:v>
                </c:pt>
                <c:pt idx="138">
                  <c:v>9.5819739811044808</c:v>
                </c:pt>
                <c:pt idx="139">
                  <c:v>9.7251300584193512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A2-4CE2-8D47-08B25F83803F}"/>
            </c:ext>
          </c:extLst>
        </c:ser>
        <c:ser>
          <c:idx val="11"/>
          <c:order val="11"/>
          <c:tx>
            <c:strRef>
              <c:f>畫圖0!$B$23</c:f>
              <c:strCache>
                <c:ptCount val="1"/>
                <c:pt idx="0">
                  <c:v>512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畫圖0!$C$23:$EL$23</c:f>
              <c:numCache>
                <c:formatCode>General</c:formatCode>
                <c:ptCount val="140"/>
                <c:pt idx="0">
                  <c:v>0.28298926569632887</c:v>
                </c:pt>
                <c:pt idx="1">
                  <c:v>0.37195588843068561</c:v>
                </c:pt>
                <c:pt idx="2">
                  <c:v>0.38701747611765103</c:v>
                </c:pt>
                <c:pt idx="3">
                  <c:v>0.20462140079677232</c:v>
                </c:pt>
                <c:pt idx="4">
                  <c:v>0.1776498322724043</c:v>
                </c:pt>
                <c:pt idx="5">
                  <c:v>-8.5160408929048498E-2</c:v>
                </c:pt>
                <c:pt idx="6">
                  <c:v>-0.34086328099462559</c:v>
                </c:pt>
                <c:pt idx="7">
                  <c:v>-0.49615709789760876</c:v>
                </c:pt>
                <c:pt idx="8">
                  <c:v>-0.35467438263996154</c:v>
                </c:pt>
                <c:pt idx="9">
                  <c:v>-0.58711874368242367</c:v>
                </c:pt>
                <c:pt idx="10">
                  <c:v>-0.65384406755139746</c:v>
                </c:pt>
                <c:pt idx="11">
                  <c:v>-0.55001234627750717</c:v>
                </c:pt>
                <c:pt idx="12">
                  <c:v>-0.55231449802971788</c:v>
                </c:pt>
                <c:pt idx="13">
                  <c:v>-0.4349790256412906</c:v>
                </c:pt>
                <c:pt idx="14">
                  <c:v>-0.36788788830333341</c:v>
                </c:pt>
                <c:pt idx="15">
                  <c:v>-0.29247450602244729</c:v>
                </c:pt>
                <c:pt idx="16">
                  <c:v>-0.20846302290297375</c:v>
                </c:pt>
                <c:pt idx="17">
                  <c:v>-0.16884883373814613</c:v>
                </c:pt>
                <c:pt idx="18">
                  <c:v>-0.39071832577456173</c:v>
                </c:pt>
                <c:pt idx="19">
                  <c:v>-0.22542556005067402</c:v>
                </c:pt>
                <c:pt idx="20">
                  <c:v>-8.8890656490745706E-2</c:v>
                </c:pt>
                <c:pt idx="21">
                  <c:v>9.2890529307077196E-2</c:v>
                </c:pt>
                <c:pt idx="22">
                  <c:v>0.29703797830952311</c:v>
                </c:pt>
                <c:pt idx="23">
                  <c:v>0.40918527703302809</c:v>
                </c:pt>
                <c:pt idx="24">
                  <c:v>0.53929052127758914</c:v>
                </c:pt>
                <c:pt idx="25">
                  <c:v>0.74952581146134278</c:v>
                </c:pt>
                <c:pt idx="26">
                  <c:v>0.92219395833963813</c:v>
                </c:pt>
                <c:pt idx="27">
                  <c:v>0.90500615475001678</c:v>
                </c:pt>
                <c:pt idx="28">
                  <c:v>1.0574426903178136</c:v>
                </c:pt>
                <c:pt idx="29">
                  <c:v>1.2492155847617585</c:v>
                </c:pt>
                <c:pt idx="30">
                  <c:v>1.459821138589015</c:v>
                </c:pt>
                <c:pt idx="31">
                  <c:v>1.8829358840518493</c:v>
                </c:pt>
                <c:pt idx="32">
                  <c:v>1.9131796283622604</c:v>
                </c:pt>
                <c:pt idx="33">
                  <c:v>1.9212776670004812</c:v>
                </c:pt>
                <c:pt idx="34">
                  <c:v>1.8888362027612242</c:v>
                </c:pt>
                <c:pt idx="35">
                  <c:v>2.0681641679687788</c:v>
                </c:pt>
                <c:pt idx="36">
                  <c:v>2.0126010771197902</c:v>
                </c:pt>
                <c:pt idx="37">
                  <c:v>2.0797583087643647</c:v>
                </c:pt>
                <c:pt idx="38">
                  <c:v>2.326165473546852</c:v>
                </c:pt>
                <c:pt idx="39">
                  <c:v>2.147136587241727</c:v>
                </c:pt>
                <c:pt idx="40">
                  <c:v>1.9599438101028401</c:v>
                </c:pt>
                <c:pt idx="41">
                  <c:v>1.7131506936121108</c:v>
                </c:pt>
                <c:pt idx="42">
                  <c:v>1.6503668499541859</c:v>
                </c:pt>
                <c:pt idx="43">
                  <c:v>1.7598727529190861</c:v>
                </c:pt>
                <c:pt idx="44">
                  <c:v>2.0106816194031953</c:v>
                </c:pt>
                <c:pt idx="45">
                  <c:v>2.1611581307004646</c:v>
                </c:pt>
                <c:pt idx="46">
                  <c:v>2.2526290978730041</c:v>
                </c:pt>
                <c:pt idx="47">
                  <c:v>2.2378163188644633</c:v>
                </c:pt>
                <c:pt idx="48">
                  <c:v>2.1116876791338668</c:v>
                </c:pt>
                <c:pt idx="49">
                  <c:v>2.4035046713732626</c:v>
                </c:pt>
                <c:pt idx="50">
                  <c:v>2.3941616456497039</c:v>
                </c:pt>
                <c:pt idx="51">
                  <c:v>2.8797408006099579</c:v>
                </c:pt>
                <c:pt idx="52">
                  <c:v>2.741184221285677</c:v>
                </c:pt>
                <c:pt idx="53">
                  <c:v>2.7565348905101112</c:v>
                </c:pt>
                <c:pt idx="54">
                  <c:v>2.8808270335360104</c:v>
                </c:pt>
                <c:pt idx="55">
                  <c:v>3.0908361463964615</c:v>
                </c:pt>
                <c:pt idx="56">
                  <c:v>2.8184531283929477</c:v>
                </c:pt>
                <c:pt idx="57">
                  <c:v>2.8818183240961859</c:v>
                </c:pt>
                <c:pt idx="58">
                  <c:v>2.9632352039677445</c:v>
                </c:pt>
                <c:pt idx="59">
                  <c:v>3.0346731131299323</c:v>
                </c:pt>
                <c:pt idx="60">
                  <c:v>3.0335666923866502</c:v>
                </c:pt>
                <c:pt idx="61">
                  <c:v>3.1479329825283191</c:v>
                </c:pt>
                <c:pt idx="62">
                  <c:v>3.0784375205038685</c:v>
                </c:pt>
                <c:pt idx="63">
                  <c:v>3.051834050481891</c:v>
                </c:pt>
                <c:pt idx="64">
                  <c:v>2.9380979191925398</c:v>
                </c:pt>
                <c:pt idx="65">
                  <c:v>2.9700114723181863</c:v>
                </c:pt>
                <c:pt idx="66">
                  <c:v>2.990903389516272</c:v>
                </c:pt>
                <c:pt idx="67">
                  <c:v>3.1233187208734798</c:v>
                </c:pt>
                <c:pt idx="68">
                  <c:v>3.1228276202911101</c:v>
                </c:pt>
                <c:pt idx="69">
                  <c:v>3.4651812269076356</c:v>
                </c:pt>
                <c:pt idx="70">
                  <c:v>3.3259168358937665</c:v>
                </c:pt>
                <c:pt idx="71">
                  <c:v>3.2726477853358782</c:v>
                </c:pt>
                <c:pt idx="72">
                  <c:v>3.5913329727326659</c:v>
                </c:pt>
                <c:pt idx="73">
                  <c:v>3.4681939396042107</c:v>
                </c:pt>
                <c:pt idx="74">
                  <c:v>3.2305702723125655</c:v>
                </c:pt>
                <c:pt idx="75">
                  <c:v>3.0457700341803955</c:v>
                </c:pt>
                <c:pt idx="76">
                  <c:v>3.5420638666698183</c:v>
                </c:pt>
                <c:pt idx="77">
                  <c:v>3.6801116130259257</c:v>
                </c:pt>
                <c:pt idx="78">
                  <c:v>4.1232944822233284</c:v>
                </c:pt>
                <c:pt idx="79">
                  <c:v>4.0114309114973352</c:v>
                </c:pt>
                <c:pt idx="80">
                  <c:v>4.2331596107309526</c:v>
                </c:pt>
                <c:pt idx="81">
                  <c:v>4.3759271565971289</c:v>
                </c:pt>
                <c:pt idx="82">
                  <c:v>4.7692039043892374</c:v>
                </c:pt>
                <c:pt idx="83">
                  <c:v>4.9000514392979664</c:v>
                </c:pt>
                <c:pt idx="84">
                  <c:v>4.9650491031868587</c:v>
                </c:pt>
                <c:pt idx="85">
                  <c:v>4.962852318542569</c:v>
                </c:pt>
                <c:pt idx="86">
                  <c:v>5.2776566097503785</c:v>
                </c:pt>
                <c:pt idx="87">
                  <c:v>4.578217517533175</c:v>
                </c:pt>
                <c:pt idx="88">
                  <c:v>4.4423755042377859</c:v>
                </c:pt>
                <c:pt idx="89">
                  <c:v>4.7386983536592595</c:v>
                </c:pt>
                <c:pt idx="90">
                  <c:v>5.175611372596796</c:v>
                </c:pt>
                <c:pt idx="91">
                  <c:v>4.9578033374553092</c:v>
                </c:pt>
                <c:pt idx="92">
                  <c:v>5.0691353923044451</c:v>
                </c:pt>
                <c:pt idx="93">
                  <c:v>5.0873080520371614</c:v>
                </c:pt>
                <c:pt idx="94">
                  <c:v>5.0925921182554452</c:v>
                </c:pt>
                <c:pt idx="95">
                  <c:v>4.9178116608709086</c:v>
                </c:pt>
                <c:pt idx="96">
                  <c:v>5.1579559413554028</c:v>
                </c:pt>
                <c:pt idx="97">
                  <c:v>5.4677344461843305</c:v>
                </c:pt>
                <c:pt idx="98">
                  <c:v>5.4486809170846584</c:v>
                </c:pt>
                <c:pt idx="99">
                  <c:v>5.5365207796972946</c:v>
                </c:pt>
                <c:pt idx="100">
                  <c:v>5.708659187680758</c:v>
                </c:pt>
                <c:pt idx="101">
                  <c:v>5.6623463984843347</c:v>
                </c:pt>
                <c:pt idx="102">
                  <c:v>6.1378504684247677</c:v>
                </c:pt>
                <c:pt idx="103">
                  <c:v>7.0024260430219787</c:v>
                </c:pt>
                <c:pt idx="104">
                  <c:v>7.1603749423402316</c:v>
                </c:pt>
                <c:pt idx="105">
                  <c:v>7.2531736170173851</c:v>
                </c:pt>
                <c:pt idx="106">
                  <c:v>7.1930876695072135</c:v>
                </c:pt>
                <c:pt idx="107">
                  <c:v>7.1333021419906695</c:v>
                </c:pt>
                <c:pt idx="108">
                  <c:v>7.3818757648018662</c:v>
                </c:pt>
                <c:pt idx="109">
                  <c:v>7.3445798598850462</c:v>
                </c:pt>
                <c:pt idx="110">
                  <c:v>7.3737417021058826</c:v>
                </c:pt>
                <c:pt idx="111">
                  <c:v>7.3642143078948719</c:v>
                </c:pt>
                <c:pt idx="112">
                  <c:v>7.321528191732674</c:v>
                </c:pt>
                <c:pt idx="113">
                  <c:v>7.3756294688736723</c:v>
                </c:pt>
                <c:pt idx="114">
                  <c:v>7.3621761931273655</c:v>
                </c:pt>
                <c:pt idx="115">
                  <c:v>7.8063689793514044</c:v>
                </c:pt>
                <c:pt idx="116">
                  <c:v>7.757291652435808</c:v>
                </c:pt>
                <c:pt idx="117">
                  <c:v>7.9316046607339556</c:v>
                </c:pt>
                <c:pt idx="118">
                  <c:v>8.2146473964744438</c:v>
                </c:pt>
                <c:pt idx="119">
                  <c:v>8.3322028808770003</c:v>
                </c:pt>
                <c:pt idx="120">
                  <c:v>8.503151478828201</c:v>
                </c:pt>
                <c:pt idx="121">
                  <c:v>8.5870143562089769</c:v>
                </c:pt>
                <c:pt idx="122">
                  <c:v>9.1209360432933178</c:v>
                </c:pt>
                <c:pt idx="123">
                  <c:v>9.099566396895824</c:v>
                </c:pt>
                <c:pt idx="124">
                  <c:v>9.3781427687192416</c:v>
                </c:pt>
                <c:pt idx="125">
                  <c:v>9.2071399817507871</c:v>
                </c:pt>
                <c:pt idx="126">
                  <c:v>8.9389180523786624</c:v>
                </c:pt>
                <c:pt idx="127">
                  <c:v>8.8744600034808183</c:v>
                </c:pt>
                <c:pt idx="128">
                  <c:v>8.7775016821164122</c:v>
                </c:pt>
                <c:pt idx="129">
                  <c:v>9.1090370606981725</c:v>
                </c:pt>
                <c:pt idx="130">
                  <c:v>9.2322420036538375</c:v>
                </c:pt>
                <c:pt idx="131">
                  <c:v>9.0379187251319184</c:v>
                </c:pt>
                <c:pt idx="132">
                  <c:v>8.9683731670369315</c:v>
                </c:pt>
                <c:pt idx="133">
                  <c:v>9.0516449437864139</c:v>
                </c:pt>
                <c:pt idx="134">
                  <c:v>9.0819993012837479</c:v>
                </c:pt>
                <c:pt idx="135">
                  <c:v>9.181208672940528</c:v>
                </c:pt>
                <c:pt idx="136">
                  <c:v>9.0715149285296004</c:v>
                </c:pt>
                <c:pt idx="137">
                  <c:v>9.154279012216417</c:v>
                </c:pt>
                <c:pt idx="138">
                  <c:v>9.4730178495418844</c:v>
                </c:pt>
                <c:pt idx="139">
                  <c:v>9.5943539905488517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DA2-4CE2-8D47-08B25F83803F}"/>
            </c:ext>
          </c:extLst>
        </c:ser>
        <c:ser>
          <c:idx val="12"/>
          <c:order val="12"/>
          <c:tx>
            <c:strRef>
              <c:f>畫圖0!$B$24</c:f>
              <c:strCache>
                <c:ptCount val="1"/>
                <c:pt idx="0">
                  <c:v>1051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畫圖0!$C$24:$EL$24</c:f>
              <c:numCache>
                <c:formatCode>General</c:formatCode>
                <c:ptCount val="140"/>
                <c:pt idx="0">
                  <c:v>9.9113364206882743E-2</c:v>
                </c:pt>
                <c:pt idx="1">
                  <c:v>0.18110174337650664</c:v>
                </c:pt>
                <c:pt idx="2">
                  <c:v>9.9221408766109145E-2</c:v>
                </c:pt>
                <c:pt idx="3">
                  <c:v>-0.10232431010553707</c:v>
                </c:pt>
                <c:pt idx="4">
                  <c:v>-0.12494669866815472</c:v>
                </c:pt>
                <c:pt idx="5">
                  <c:v>-0.47576888999919353</c:v>
                </c:pt>
                <c:pt idx="6">
                  <c:v>-0.71615513477010939</c:v>
                </c:pt>
                <c:pt idx="7">
                  <c:v>-0.72019085970936902</c:v>
                </c:pt>
                <c:pt idx="8">
                  <c:v>-0.66974652371588028</c:v>
                </c:pt>
                <c:pt idx="9">
                  <c:v>-1.0035059681915268</c:v>
                </c:pt>
                <c:pt idx="10">
                  <c:v>-1.1503253070910353</c:v>
                </c:pt>
                <c:pt idx="11">
                  <c:v>-1.04513359629519</c:v>
                </c:pt>
                <c:pt idx="12">
                  <c:v>-1.0084848055556463</c:v>
                </c:pt>
                <c:pt idx="13">
                  <c:v>-0.93074831970158911</c:v>
                </c:pt>
                <c:pt idx="14">
                  <c:v>-0.84060337090292614</c:v>
                </c:pt>
                <c:pt idx="15">
                  <c:v>-0.73223787599073498</c:v>
                </c:pt>
                <c:pt idx="16">
                  <c:v>-0.63142908070308756</c:v>
                </c:pt>
                <c:pt idx="17">
                  <c:v>-0.70936747720096072</c:v>
                </c:pt>
                <c:pt idx="18">
                  <c:v>-1.125228679258635</c:v>
                </c:pt>
                <c:pt idx="19">
                  <c:v>-1.0086883625417842</c:v>
                </c:pt>
                <c:pt idx="20">
                  <c:v>-0.36575483393612473</c:v>
                </c:pt>
                <c:pt idx="21">
                  <c:v>-0.40191273029737673</c:v>
                </c:pt>
                <c:pt idx="22">
                  <c:v>9.1627257181588484E-2</c:v>
                </c:pt>
                <c:pt idx="23">
                  <c:v>0.17105096143084109</c:v>
                </c:pt>
                <c:pt idx="24">
                  <c:v>0.4560711288285379</c:v>
                </c:pt>
                <c:pt idx="25">
                  <c:v>0.80500848503093825</c:v>
                </c:pt>
                <c:pt idx="26">
                  <c:v>1.2791917685622278</c:v>
                </c:pt>
                <c:pt idx="27">
                  <c:v>0.81112157804637897</c:v>
                </c:pt>
                <c:pt idx="28">
                  <c:v>0.92285285947021434</c:v>
                </c:pt>
                <c:pt idx="29">
                  <c:v>0.99768678446888515</c:v>
                </c:pt>
                <c:pt idx="30">
                  <c:v>1.4869032444735029</c:v>
                </c:pt>
                <c:pt idx="31">
                  <c:v>1.9870126584018168</c:v>
                </c:pt>
                <c:pt idx="32">
                  <c:v>2.2015498800426236</c:v>
                </c:pt>
                <c:pt idx="33">
                  <c:v>2.182724238158273</c:v>
                </c:pt>
                <c:pt idx="34">
                  <c:v>2.2632631006422854</c:v>
                </c:pt>
                <c:pt idx="35">
                  <c:v>2.5966012230731041</c:v>
                </c:pt>
                <c:pt idx="36">
                  <c:v>2.611567768407228</c:v>
                </c:pt>
                <c:pt idx="37">
                  <c:v>2.7222285403427784</c:v>
                </c:pt>
                <c:pt idx="38">
                  <c:v>2.8251342429205679</c:v>
                </c:pt>
                <c:pt idx="39">
                  <c:v>2.4087257090308571</c:v>
                </c:pt>
                <c:pt idx="40">
                  <c:v>2.1107223246718894</c:v>
                </c:pt>
                <c:pt idx="41">
                  <c:v>1.8824018316841178</c:v>
                </c:pt>
                <c:pt idx="42">
                  <c:v>1.82288770415171</c:v>
                </c:pt>
                <c:pt idx="43">
                  <c:v>1.9736566840773908</c:v>
                </c:pt>
                <c:pt idx="44">
                  <c:v>2.2034976997568108</c:v>
                </c:pt>
                <c:pt idx="45">
                  <c:v>2.4511823599871381</c:v>
                </c:pt>
                <c:pt idx="46">
                  <c:v>2.5778134996719029</c:v>
                </c:pt>
                <c:pt idx="47">
                  <c:v>2.6893048365881183</c:v>
                </c:pt>
                <c:pt idx="48">
                  <c:v>2.5712894577146779</c:v>
                </c:pt>
                <c:pt idx="49">
                  <c:v>3.1811890178994546</c:v>
                </c:pt>
                <c:pt idx="50">
                  <c:v>3.0794063235895122</c:v>
                </c:pt>
                <c:pt idx="51">
                  <c:v>3.9521094726960024</c:v>
                </c:pt>
                <c:pt idx="52">
                  <c:v>3.9477426030816192</c:v>
                </c:pt>
                <c:pt idx="53">
                  <c:v>3.7751724643682789</c:v>
                </c:pt>
                <c:pt idx="54">
                  <c:v>3.7177919263831987</c:v>
                </c:pt>
                <c:pt idx="55">
                  <c:v>3.6534215054337351</c:v>
                </c:pt>
                <c:pt idx="56">
                  <c:v>3.5624372777262994</c:v>
                </c:pt>
                <c:pt idx="57">
                  <c:v>3.7101108429780192</c:v>
                </c:pt>
                <c:pt idx="58">
                  <c:v>3.850324771736664</c:v>
                </c:pt>
                <c:pt idx="59">
                  <c:v>3.785170676556878</c:v>
                </c:pt>
                <c:pt idx="60">
                  <c:v>3.7579324675033732</c:v>
                </c:pt>
                <c:pt idx="61">
                  <c:v>3.8640393876545396</c:v>
                </c:pt>
                <c:pt idx="62">
                  <c:v>3.9488223274935277</c:v>
                </c:pt>
                <c:pt idx="63">
                  <c:v>3.928932169014308</c:v>
                </c:pt>
                <c:pt idx="64">
                  <c:v>3.7208558367831857</c:v>
                </c:pt>
                <c:pt idx="65">
                  <c:v>3.5518239659574897</c:v>
                </c:pt>
                <c:pt idx="66">
                  <c:v>3.5656814323816262</c:v>
                </c:pt>
                <c:pt idx="67">
                  <c:v>3.6646023215668677</c:v>
                </c:pt>
                <c:pt idx="68">
                  <c:v>3.5242822076047764</c:v>
                </c:pt>
                <c:pt idx="69">
                  <c:v>3.8237466509480398</c:v>
                </c:pt>
                <c:pt idx="70">
                  <c:v>3.6661947750655615</c:v>
                </c:pt>
                <c:pt idx="71">
                  <c:v>3.6199360693248988</c:v>
                </c:pt>
                <c:pt idx="72">
                  <c:v>3.7769285220123683</c:v>
                </c:pt>
                <c:pt idx="73">
                  <c:v>3.7188851523624531</c:v>
                </c:pt>
                <c:pt idx="74">
                  <c:v>3.7443169269546503</c:v>
                </c:pt>
                <c:pt idx="75">
                  <c:v>3.4239874996970929</c:v>
                </c:pt>
                <c:pt idx="76">
                  <c:v>3.5093396384843261</c:v>
                </c:pt>
                <c:pt idx="77">
                  <c:v>3.445212555328284</c:v>
                </c:pt>
                <c:pt idx="78">
                  <c:v>3.2253813621270568</c:v>
                </c:pt>
                <c:pt idx="79">
                  <c:v>2.9818993021644737</c:v>
                </c:pt>
                <c:pt idx="80">
                  <c:v>3.1283310637696617</c:v>
                </c:pt>
                <c:pt idx="81">
                  <c:v>3.5311701578027526</c:v>
                </c:pt>
                <c:pt idx="82">
                  <c:v>4.1717547916753706</c:v>
                </c:pt>
                <c:pt idx="83">
                  <c:v>4.1803320887559439</c:v>
                </c:pt>
                <c:pt idx="84">
                  <c:v>4.2274047134609489</c:v>
                </c:pt>
                <c:pt idx="85">
                  <c:v>3.7899739166934232</c:v>
                </c:pt>
                <c:pt idx="86">
                  <c:v>3.7811865406964205</c:v>
                </c:pt>
                <c:pt idx="87">
                  <c:v>2.9934145343443102</c:v>
                </c:pt>
                <c:pt idx="88">
                  <c:v>2.6770419694296002</c:v>
                </c:pt>
                <c:pt idx="89">
                  <c:v>3.2846016434067673</c:v>
                </c:pt>
                <c:pt idx="90">
                  <c:v>4.0003306521321278</c:v>
                </c:pt>
                <c:pt idx="91">
                  <c:v>3.7348717164650571</c:v>
                </c:pt>
                <c:pt idx="92">
                  <c:v>3.8657989146652851</c:v>
                </c:pt>
                <c:pt idx="93">
                  <c:v>3.9033970217466498</c:v>
                </c:pt>
                <c:pt idx="94">
                  <c:v>4.0627453810269056</c:v>
                </c:pt>
                <c:pt idx="95">
                  <c:v>3.879848793734789</c:v>
                </c:pt>
                <c:pt idx="96">
                  <c:v>3.9325778385484438</c:v>
                </c:pt>
                <c:pt idx="97">
                  <c:v>4.1946026772325506</c:v>
                </c:pt>
                <c:pt idx="98">
                  <c:v>3.898879615752159</c:v>
                </c:pt>
                <c:pt idx="99">
                  <c:v>4.0769508144457358</c:v>
                </c:pt>
                <c:pt idx="100">
                  <c:v>4.4371788612144734</c:v>
                </c:pt>
                <c:pt idx="101">
                  <c:v>4.12601152382876</c:v>
                </c:pt>
                <c:pt idx="102">
                  <c:v>4.9390339207357234</c:v>
                </c:pt>
                <c:pt idx="103">
                  <c:v>5.8871435101156928</c:v>
                </c:pt>
                <c:pt idx="104">
                  <c:v>6.1698732888442107</c:v>
                </c:pt>
                <c:pt idx="105">
                  <c:v>5.9740285666617696</c:v>
                </c:pt>
                <c:pt idx="106">
                  <c:v>6.1056141579573024</c:v>
                </c:pt>
                <c:pt idx="107">
                  <c:v>6.1806811666801451</c:v>
                </c:pt>
                <c:pt idx="108">
                  <c:v>6.3697914257544008</c:v>
                </c:pt>
                <c:pt idx="109">
                  <c:v>6.1923667719392466</c:v>
                </c:pt>
                <c:pt idx="110">
                  <c:v>5.8275916566525812</c:v>
                </c:pt>
                <c:pt idx="111">
                  <c:v>5.5791669936994701</c:v>
                </c:pt>
                <c:pt idx="112">
                  <c:v>5.6072073610258366</c:v>
                </c:pt>
                <c:pt idx="113">
                  <c:v>5.6549764470377148</c:v>
                </c:pt>
                <c:pt idx="114">
                  <c:v>5.7363859906712857</c:v>
                </c:pt>
                <c:pt idx="115">
                  <c:v>6.4034746662732758</c:v>
                </c:pt>
                <c:pt idx="116">
                  <c:v>6.3625803768159352</c:v>
                </c:pt>
                <c:pt idx="117">
                  <c:v>6.6982122552359762</c:v>
                </c:pt>
                <c:pt idx="118">
                  <c:v>7.0452233570094664</c:v>
                </c:pt>
                <c:pt idx="119">
                  <c:v>7.3990970333592614</c:v>
                </c:pt>
                <c:pt idx="120">
                  <c:v>7.8225172136458774</c:v>
                </c:pt>
                <c:pt idx="121">
                  <c:v>7.8281812442136607</c:v>
                </c:pt>
                <c:pt idx="122">
                  <c:v>8.5791196050238625</c:v>
                </c:pt>
                <c:pt idx="123">
                  <c:v>8.808744561150089</c:v>
                </c:pt>
                <c:pt idx="124">
                  <c:v>9.1921078020952951</c:v>
                </c:pt>
                <c:pt idx="125">
                  <c:v>9.0183704716472164</c:v>
                </c:pt>
                <c:pt idx="126">
                  <c:v>8.986303935917265</c:v>
                </c:pt>
                <c:pt idx="127">
                  <c:v>8.9373992716584656</c:v>
                </c:pt>
                <c:pt idx="128">
                  <c:v>8.9101696503174121</c:v>
                </c:pt>
                <c:pt idx="129">
                  <c:v>9.5953713245367016</c:v>
                </c:pt>
                <c:pt idx="130">
                  <c:v>9.8520227045002287</c:v>
                </c:pt>
                <c:pt idx="131">
                  <c:v>9.7674826119329641</c:v>
                </c:pt>
                <c:pt idx="132">
                  <c:v>9.8031465948039287</c:v>
                </c:pt>
                <c:pt idx="133">
                  <c:v>9.9321043678823671</c:v>
                </c:pt>
                <c:pt idx="134">
                  <c:v>9.8616530434974656</c:v>
                </c:pt>
                <c:pt idx="135">
                  <c:v>10.06703862218998</c:v>
                </c:pt>
                <c:pt idx="136">
                  <c:v>9.9317439790153141</c:v>
                </c:pt>
                <c:pt idx="137">
                  <c:v>10.101657459637281</c:v>
                </c:pt>
                <c:pt idx="138">
                  <c:v>9.9037317350661347</c:v>
                </c:pt>
                <c:pt idx="139">
                  <c:v>9.8968261236255763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DA2-4CE2-8D47-08B25F83803F}"/>
            </c:ext>
          </c:extLst>
        </c:ser>
        <c:ser>
          <c:idx val="13"/>
          <c:order val="13"/>
          <c:tx>
            <c:strRef>
              <c:f>畫圖0!$B$25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畫圖0!$C$11:$EL$11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畫圖0!$C$25:$EL$25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DA2-4CE2-8D47-08B25F838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116656"/>
        <c:axId val="435117072"/>
      </c:lineChart>
      <c:catAx>
        <c:axId val="43511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5117072"/>
        <c:crosses val="autoZero"/>
        <c:auto val="1"/>
        <c:lblAlgn val="ctr"/>
        <c:lblOffset val="100"/>
        <c:noMultiLvlLbl val="0"/>
      </c:catAx>
      <c:valAx>
        <c:axId val="43511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51166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698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1" zoomScale="130" zoomScaleNormal="130" workbookViewId="0">
      <selection activeCell="EH27" sqref="EH27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13" t="s">
        <v>146</v>
      </c>
      <c r="B6" s="14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13" t="s">
        <v>147</v>
      </c>
      <c r="B10" s="14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1">
        <v>10</v>
      </c>
      <c r="B12" s="11">
        <f t="shared" ref="B12:B24" si="10">ROUND($D$10/A12,0)</f>
        <v>105</v>
      </c>
      <c r="C12" s="3">
        <v>6.6123725509230347E-3</v>
      </c>
      <c r="D12" s="3">
        <v>4.3541073740539192E-2</v>
      </c>
      <c r="E12" s="3">
        <v>-6.936129390695169E-3</v>
      </c>
      <c r="F12" s="3">
        <v>2.5555902348713851E-2</v>
      </c>
      <c r="G12" s="3">
        <v>3.2772759918979898E-2</v>
      </c>
      <c r="H12" s="3">
        <v>7.7110227287558236E-3</v>
      </c>
      <c r="I12" s="3">
        <v>2.3146302660808658E-2</v>
      </c>
      <c r="J12" s="3">
        <v>-1.173916789218694E-3</v>
      </c>
      <c r="K12" s="3">
        <v>7.9784154096145636E-3</v>
      </c>
      <c r="L12" s="3">
        <v>-8.4970380289747793E-4</v>
      </c>
      <c r="M12" s="3">
        <v>3.4064795266103093E-2</v>
      </c>
      <c r="N12" s="3">
        <v>2.168996563821278E-2</v>
      </c>
      <c r="O12" s="3">
        <v>2.6262838934360731E-2</v>
      </c>
      <c r="P12" s="3">
        <v>4.4547074654844683E-3</v>
      </c>
      <c r="Q12" s="3">
        <v>1.7014637248506749E-2</v>
      </c>
      <c r="R12" s="3">
        <v>-1.315971541982847E-2</v>
      </c>
      <c r="S12" s="3">
        <v>4.0481855983298447E-2</v>
      </c>
      <c r="T12" s="3">
        <v>4.7307127974092249E-2</v>
      </c>
      <c r="U12" s="3">
        <v>4.2167677383178606E-3</v>
      </c>
      <c r="V12" s="3">
        <v>2.553853060319855E-3</v>
      </c>
      <c r="W12" s="3">
        <v>3.3108214591750208E-2</v>
      </c>
      <c r="X12" s="3">
        <v>0.12042309580878641</v>
      </c>
      <c r="Y12" s="3">
        <v>3.6721622506908087E-2</v>
      </c>
      <c r="Z12" s="3">
        <v>4.9358807324568821E-2</v>
      </c>
      <c r="AA12" s="3">
        <v>3.1866296841282657E-2</v>
      </c>
      <c r="AB12" s="3">
        <v>-6.2505728837477306E-3</v>
      </c>
      <c r="AC12" s="3">
        <v>5.0074104694363658E-2</v>
      </c>
      <c r="AD12" s="3">
        <v>1.2076822520636179E-2</v>
      </c>
      <c r="AE12" s="3">
        <v>4.4953943786551237E-2</v>
      </c>
      <c r="AF12" s="3">
        <v>5.0075683715259417E-2</v>
      </c>
      <c r="AG12" s="3">
        <v>6.9186945673739434E-3</v>
      </c>
      <c r="AH12" s="3">
        <v>-3.9118599745391926E-3</v>
      </c>
      <c r="AI12" s="3">
        <v>7.7407002463763114E-3</v>
      </c>
      <c r="AJ12" s="3">
        <v>9.9384493824954002E-3</v>
      </c>
      <c r="AK12" s="3">
        <v>1.2643594520724581E-2</v>
      </c>
      <c r="AL12" s="3">
        <v>4.7469914600434628E-2</v>
      </c>
      <c r="AM12" s="3">
        <v>2.8768740223537571E-2</v>
      </c>
      <c r="AN12" s="3">
        <v>2.9222057419294629E-2</v>
      </c>
      <c r="AO12" s="3">
        <v>2.8904675764925891E-2</v>
      </c>
      <c r="AP12" s="3">
        <v>1.4428946119817709E-2</v>
      </c>
      <c r="AQ12" s="3">
        <v>1.4732133756920059E-2</v>
      </c>
      <c r="AR12" s="3">
        <v>7.0017903250165214E-3</v>
      </c>
      <c r="AS12" s="3">
        <v>2.9038603307229179E-2</v>
      </c>
      <c r="AT12" s="3">
        <v>7.1815369298134549E-2</v>
      </c>
      <c r="AU12" s="3">
        <v>1.70863755834543E-2</v>
      </c>
      <c r="AV12" s="3">
        <v>5.9343044862035801E-2</v>
      </c>
      <c r="AW12" s="3">
        <v>1.101788823573518E-2</v>
      </c>
      <c r="AX12" s="3">
        <v>5.579031389003495E-2</v>
      </c>
      <c r="AY12" s="3">
        <v>1.003395302767624E-2</v>
      </c>
      <c r="AZ12" s="3">
        <v>1.316416962548024E-2</v>
      </c>
      <c r="BA12" s="3">
        <v>4.1425382375913658E-2</v>
      </c>
      <c r="BB12" s="3">
        <v>3.7731301437770592E-2</v>
      </c>
      <c r="BC12" s="3">
        <v>2.26091727855109E-2</v>
      </c>
      <c r="BD12" s="3">
        <v>-3.6980593811856591E-3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1.8973352889710929E-2</v>
      </c>
      <c r="BK12" s="3">
        <v>1.298259248506606E-2</v>
      </c>
      <c r="BL12" s="3">
        <v>2.712414577953173E-2</v>
      </c>
      <c r="BM12" s="3">
        <v>4.030159961880006E-2</v>
      </c>
      <c r="BN12" s="3">
        <v>4.1178846826352587E-3</v>
      </c>
      <c r="BO12" s="3">
        <v>7.669884627921307E-3</v>
      </c>
      <c r="BP12" s="3">
        <v>8.2473879109278749E-3</v>
      </c>
      <c r="BQ12" s="3">
        <v>2.6141373171628519E-2</v>
      </c>
      <c r="BR12" s="3">
        <v>5.9753167010173969E-2</v>
      </c>
      <c r="BS12" s="3">
        <v>2.9803010278608589E-2</v>
      </c>
      <c r="BT12" s="3">
        <v>8.8135110723658559E-3</v>
      </c>
      <c r="BU12" s="3">
        <v>2.3707871071048759E-2</v>
      </c>
      <c r="BV12" s="3">
        <v>3.4554758136680172E-2</v>
      </c>
      <c r="BW12" s="3">
        <v>3.8348648089827499E-2</v>
      </c>
      <c r="BX12" s="3">
        <v>3.583877149017999E-3</v>
      </c>
      <c r="BY12" s="3">
        <v>5.7102816307409023E-2</v>
      </c>
      <c r="BZ12" s="3">
        <v>3.1612508093861652E-2</v>
      </c>
      <c r="CA12" s="3">
        <v>-4.1453840487307159E-3</v>
      </c>
      <c r="CB12" s="3">
        <v>2.4388013154144771E-3</v>
      </c>
      <c r="CC12" s="3">
        <v>1.9545734350855711E-2</v>
      </c>
      <c r="CD12" s="3">
        <v>5.210353796495764E-2</v>
      </c>
      <c r="CE12" s="3">
        <v>6.2869035548496863E-2</v>
      </c>
      <c r="CF12" s="3">
        <v>1.115058491304719E-2</v>
      </c>
      <c r="CG12" s="3">
        <v>4.9661345934379403E-2</v>
      </c>
      <c r="CH12" s="3">
        <v>1.541045895674119E-2</v>
      </c>
      <c r="CI12" s="3">
        <v>2.9303637480726809E-2</v>
      </c>
      <c r="CJ12" s="3">
        <v>5.8035853225111463E-2</v>
      </c>
      <c r="CK12" s="3">
        <v>6.0243583687149653E-2</v>
      </c>
      <c r="CL12" s="3">
        <v>3.5946995556503471E-2</v>
      </c>
      <c r="CM12" s="3">
        <v>1.483710565722372E-2</v>
      </c>
      <c r="CN12" s="3">
        <v>9.7750475063557968E-2</v>
      </c>
      <c r="CO12" s="3">
        <v>2.1696127838307568E-2</v>
      </c>
      <c r="CP12" s="3">
        <v>8.5422085968391709E-3</v>
      </c>
      <c r="CQ12" s="3">
        <v>5.7210856477400672E-2</v>
      </c>
      <c r="CR12" s="3">
        <v>4.2506736615168697E-2</v>
      </c>
      <c r="CS12" s="3">
        <v>5.2591903544904721E-3</v>
      </c>
      <c r="CT12" s="3">
        <v>6.5087136655097647E-3</v>
      </c>
      <c r="CU12" s="3">
        <v>7.6750601305556526E-2</v>
      </c>
      <c r="CV12" s="3">
        <v>6.8454072713461059E-2</v>
      </c>
      <c r="CW12" s="3">
        <v>2.5947070250701171E-2</v>
      </c>
      <c r="CX12" s="3">
        <v>2.0872196079783519E-2</v>
      </c>
      <c r="CY12" s="3">
        <v>2.6011705475452819E-2</v>
      </c>
      <c r="CZ12" s="3">
        <v>1.8595611826701951E-2</v>
      </c>
      <c r="DA12" s="3">
        <v>1.6262274791006639E-2</v>
      </c>
      <c r="DB12" s="3">
        <v>3.0157297567204009E-2</v>
      </c>
      <c r="DC12" s="3">
        <v>-9.4466555683531961E-3</v>
      </c>
      <c r="DD12" s="3">
        <v>5.9350421706332757E-2</v>
      </c>
      <c r="DE12" s="3">
        <v>1.9852691090063181E-2</v>
      </c>
      <c r="DF12" s="3">
        <v>1.268037633168625E-2</v>
      </c>
      <c r="DG12" s="3">
        <v>4.0651814260413102E-2</v>
      </c>
      <c r="DH12" s="3">
        <v>3.2542249234386901E-2</v>
      </c>
      <c r="DI12" s="3">
        <v>1.9823714430408319E-2</v>
      </c>
      <c r="DJ12" s="3">
        <v>3.0361892393545718E-2</v>
      </c>
      <c r="DK12" s="3">
        <v>1.310404094704023E-2</v>
      </c>
      <c r="DL12" s="3">
        <v>2.6113586563583091E-2</v>
      </c>
      <c r="DM12" s="3">
        <v>1.8296611990327508E-2</v>
      </c>
      <c r="DN12" s="3">
        <v>-1.0013210955636139E-2</v>
      </c>
      <c r="DO12" s="3">
        <v>2.337564400492867E-2</v>
      </c>
      <c r="DP12" s="3">
        <v>6.7273186907755675E-2</v>
      </c>
      <c r="DQ12" s="3">
        <v>6.1902356426025963E-2</v>
      </c>
      <c r="DR12" s="3">
        <v>-3.8662803926944392E-3</v>
      </c>
      <c r="DS12" s="3">
        <v>4.987647434164183E-2</v>
      </c>
      <c r="DT12" s="3">
        <v>2.6928946729697392E-2</v>
      </c>
      <c r="DU12" s="3">
        <v>3.6995823685585051E-2</v>
      </c>
      <c r="DV12" s="3">
        <v>7.7033856061469739E-3</v>
      </c>
      <c r="DW12" s="3">
        <v>-3.1931752825577822E-3</v>
      </c>
      <c r="DX12" s="3">
        <v>2.4605665763885481E-2</v>
      </c>
      <c r="DY12" s="3">
        <v>2.9637669561612439E-2</v>
      </c>
      <c r="DZ12" s="3">
        <v>2.0580452061095659E-2</v>
      </c>
      <c r="EA12" s="3">
        <v>0.1168507405688024</v>
      </c>
      <c r="EB12" s="3">
        <v>2.8071677153619259E-2</v>
      </c>
      <c r="EC12" s="3">
        <v>-3.5432310748164729E-3</v>
      </c>
      <c r="ED12" s="3">
        <v>8.6467298786909383E-3</v>
      </c>
      <c r="EE12" s="3">
        <v>2.0693033667410279E-2</v>
      </c>
      <c r="EF12" s="3">
        <v>2.5917605841259749E-2</v>
      </c>
      <c r="EG12" s="3">
        <v>2.9207236096195719E-2</v>
      </c>
      <c r="EH12" s="3">
        <v>1.974026137920324E-2</v>
      </c>
      <c r="EI12" s="3">
        <v>-5.9080638856107912E-3</v>
      </c>
      <c r="EJ12" s="3">
        <v>-1.122498184769539E-2</v>
      </c>
      <c r="EK12" s="3">
        <v>1.219999441629991E-2</v>
      </c>
      <c r="EL12" s="3">
        <v>9.0027878996878363E-3</v>
      </c>
      <c r="EM12">
        <f t="shared" ref="EM12:EM25" si="11">AVERAGE(C12:EL12)</f>
        <v>2.6710519958389394E-2</v>
      </c>
      <c r="EN12">
        <f t="shared" ref="EN12:EN25" si="12">STDEV(C12:EL12)</f>
        <v>2.3663658114596198E-2</v>
      </c>
      <c r="EO12">
        <f t="shared" ref="EO12:EO25" si="13">EM12/EN12</f>
        <v>1.1287570091250529</v>
      </c>
    </row>
    <row r="13" spans="1:145" x14ac:dyDescent="0.3">
      <c r="A13" s="11">
        <v>20</v>
      </c>
      <c r="B13" s="11">
        <f t="shared" si="10"/>
        <v>53</v>
      </c>
      <c r="C13" s="3">
        <v>-2.5000369039076591E-2</v>
      </c>
      <c r="D13" s="3">
        <v>4.951831038687074E-2</v>
      </c>
      <c r="E13" s="3">
        <v>-2.7788572672597278E-3</v>
      </c>
      <c r="F13" s="3">
        <v>2.2957359340524879E-2</v>
      </c>
      <c r="G13" s="3">
        <v>1.6784223847264679E-2</v>
      </c>
      <c r="H13" s="3">
        <v>8.3779433919300463E-3</v>
      </c>
      <c r="I13" s="3">
        <v>-1.1094158143847529E-2</v>
      </c>
      <c r="J13" s="3">
        <v>1.017592294177269E-2</v>
      </c>
      <c r="K13" s="3">
        <v>3.5937945127303923E-2</v>
      </c>
      <c r="L13" s="3">
        <v>-3.0337316201105718E-3</v>
      </c>
      <c r="M13" s="3">
        <v>1.4532356499670031E-2</v>
      </c>
      <c r="N13" s="3">
        <v>4.7869979341817727E-2</v>
      </c>
      <c r="O13" s="3">
        <v>1.683525059847514E-2</v>
      </c>
      <c r="P13" s="3">
        <v>6.7626332234616915E-4</v>
      </c>
      <c r="Q13" s="3">
        <v>1.0565631227250049E-2</v>
      </c>
      <c r="R13" s="3">
        <v>-9.1262390437819342E-3</v>
      </c>
      <c r="S13" s="3">
        <v>6.7239971359634526E-2</v>
      </c>
      <c r="T13" s="3">
        <v>7.0405105572706045E-2</v>
      </c>
      <c r="U13" s="3">
        <v>3.4065547263899668E-2</v>
      </c>
      <c r="V13" s="3">
        <v>3.4322849657213582E-3</v>
      </c>
      <c r="W13" s="3">
        <v>1.759060101918378E-2</v>
      </c>
      <c r="X13" s="3">
        <v>0.1392784985278113</v>
      </c>
      <c r="Y13" s="3">
        <v>8.6469070913013785E-3</v>
      </c>
      <c r="Z13" s="3">
        <v>5.9697424026507503E-2</v>
      </c>
      <c r="AA13" s="3">
        <v>5.0692982307539547E-2</v>
      </c>
      <c r="AB13" s="3">
        <v>-1.264645014928166E-2</v>
      </c>
      <c r="AC13" s="3">
        <v>5.3020261002784598E-2</v>
      </c>
      <c r="AD13" s="3">
        <v>6.4663371653198298E-3</v>
      </c>
      <c r="AE13" s="3">
        <v>6.591872630119848E-2</v>
      </c>
      <c r="AF13" s="3">
        <v>6.7638221601691306E-2</v>
      </c>
      <c r="AG13" s="3">
        <v>5.0412953408421439E-3</v>
      </c>
      <c r="AH13" s="3">
        <v>-1.237324317474315E-2</v>
      </c>
      <c r="AI13" s="3">
        <v>1.9590206925445809E-2</v>
      </c>
      <c r="AJ13" s="3">
        <v>1.561965474475247E-2</v>
      </c>
      <c r="AK13" s="3">
        <v>2.525483013269942E-2</v>
      </c>
      <c r="AL13" s="3">
        <v>3.9160143851315117E-2</v>
      </c>
      <c r="AM13" s="3">
        <v>1.8669112003677352E-2</v>
      </c>
      <c r="AN13" s="3">
        <v>3.3206946642344477E-2</v>
      </c>
      <c r="AO13" s="3">
        <v>3.1449631640308673E-2</v>
      </c>
      <c r="AP13" s="3">
        <v>9.3401490547020544E-3</v>
      </c>
      <c r="AQ13" s="3">
        <v>1.5937379863784452E-2</v>
      </c>
      <c r="AR13" s="3">
        <v>3.047074072696282E-3</v>
      </c>
      <c r="AS13" s="3">
        <v>3.4877568004709689E-2</v>
      </c>
      <c r="AT13" s="3">
        <v>9.4929151988845523E-2</v>
      </c>
      <c r="AU13" s="3">
        <v>3.0948433863322879E-2</v>
      </c>
      <c r="AV13" s="3">
        <v>9.6710763821907048E-2</v>
      </c>
      <c r="AW13" s="3">
        <v>1.626612204698662E-2</v>
      </c>
      <c r="AX13" s="3">
        <v>5.210077315508603E-2</v>
      </c>
      <c r="AY13" s="3">
        <v>2.9071266322073241E-3</v>
      </c>
      <c r="AZ13" s="3">
        <v>1.134346817668464E-2</v>
      </c>
      <c r="BA13" s="3">
        <v>3.3120219817653222E-2</v>
      </c>
      <c r="BB13" s="3">
        <v>1.6680252757459539E-2</v>
      </c>
      <c r="BC13" s="3">
        <v>-2.5591126149827198E-4</v>
      </c>
      <c r="BD13" s="3">
        <v>-3.7643710147462592E-3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1.437935531144139E-2</v>
      </c>
      <c r="BK13" s="3">
        <v>2.8196912752598891E-2</v>
      </c>
      <c r="BL13" s="3">
        <v>3.8941058780349737E-2</v>
      </c>
      <c r="BM13" s="3">
        <v>4.6612515564975428E-2</v>
      </c>
      <c r="BN13" s="3">
        <v>2.0443855489151661E-2</v>
      </c>
      <c r="BO13" s="3">
        <v>2.4476561554917661E-2</v>
      </c>
      <c r="BP13" s="3">
        <v>1.411494064629866E-2</v>
      </c>
      <c r="BQ13" s="3">
        <v>9.7590206030102704E-3</v>
      </c>
      <c r="BR13" s="3">
        <v>7.9435373591734554E-2</v>
      </c>
      <c r="BS13" s="3">
        <v>3.4048716358733452E-2</v>
      </c>
      <c r="BT13" s="3">
        <v>-5.0253781744752993E-3</v>
      </c>
      <c r="BU13" s="3">
        <v>2.4516316516098369E-2</v>
      </c>
      <c r="BV13" s="3">
        <v>4.9478740935611401E-2</v>
      </c>
      <c r="BW13" s="3">
        <v>5.995489125618865E-2</v>
      </c>
      <c r="BX13" s="3">
        <v>-1.788067452478642E-3</v>
      </c>
      <c r="BY13" s="3">
        <v>3.3780685411275102E-2</v>
      </c>
      <c r="BZ13" s="3">
        <v>6.1548549921165818E-2</v>
      </c>
      <c r="CA13" s="3">
        <v>1.622127064651737E-2</v>
      </c>
      <c r="CB13" s="3">
        <v>1.755194909886618E-2</v>
      </c>
      <c r="CC13" s="3">
        <v>-1.0716720914463599E-3</v>
      </c>
      <c r="CD13" s="3">
        <v>-3.185754501995632E-3</v>
      </c>
      <c r="CE13" s="3">
        <v>8.7735760994733736E-2</v>
      </c>
      <c r="CF13" s="3">
        <v>2.9119201850234481E-2</v>
      </c>
      <c r="CG13" s="3">
        <v>4.9202652743660917E-2</v>
      </c>
      <c r="CH13" s="3">
        <v>8.4016717240530808E-3</v>
      </c>
      <c r="CI13" s="3">
        <v>1.9628790837295011E-2</v>
      </c>
      <c r="CJ13" s="3">
        <v>6.9084695061927937E-2</v>
      </c>
      <c r="CK13" s="3">
        <v>6.5517118371520411E-2</v>
      </c>
      <c r="CL13" s="3">
        <v>1.756796805678432E-2</v>
      </c>
      <c r="CM13" s="3">
        <v>-1.12744821677096E-2</v>
      </c>
      <c r="CN13" s="3">
        <v>0.1136584212325862</v>
      </c>
      <c r="CO13" s="3">
        <v>4.3873849832557758E-2</v>
      </c>
      <c r="CP13" s="3">
        <v>-1.45402505454446E-2</v>
      </c>
      <c r="CQ13" s="3">
        <v>5.6641732139420711E-2</v>
      </c>
      <c r="CR13" s="3">
        <v>6.0502724472655402E-2</v>
      </c>
      <c r="CS13" s="3">
        <v>9.8166212820124388E-3</v>
      </c>
      <c r="CT13" s="3">
        <v>8.5284682463838482E-3</v>
      </c>
      <c r="CU13" s="3">
        <v>0.11178805156709901</v>
      </c>
      <c r="CV13" s="3">
        <v>7.6907356213282624E-2</v>
      </c>
      <c r="CW13" s="3">
        <v>3.3795594047858958E-2</v>
      </c>
      <c r="CX13" s="3">
        <v>3.041592508760484E-2</v>
      </c>
      <c r="CY13" s="3">
        <v>5.6233685908411518E-2</v>
      </c>
      <c r="CZ13" s="3">
        <v>6.422732788920596E-3</v>
      </c>
      <c r="DA13" s="3">
        <v>2.603039908162395E-2</v>
      </c>
      <c r="DB13" s="3">
        <v>6.0522426166374953E-2</v>
      </c>
      <c r="DC13" s="3">
        <v>2.863908535800402E-3</v>
      </c>
      <c r="DD13" s="3">
        <v>7.1693271991635873E-2</v>
      </c>
      <c r="DE13" s="3">
        <v>1.463266600119131E-2</v>
      </c>
      <c r="DF13" s="3">
        <v>2.3673116346945779E-2</v>
      </c>
      <c r="DG13" s="3">
        <v>6.4819452521868548E-2</v>
      </c>
      <c r="DH13" s="3">
        <v>3.7174904846287507E-2</v>
      </c>
      <c r="DI13" s="3">
        <v>1.510479360590612E-2</v>
      </c>
      <c r="DJ13" s="3">
        <v>1.4916158470664399E-3</v>
      </c>
      <c r="DK13" s="3">
        <v>6.8528228696381624E-3</v>
      </c>
      <c r="DL13" s="3">
        <v>3.1928366927177848E-2</v>
      </c>
      <c r="DM13" s="3">
        <v>-1.017251418486353E-2</v>
      </c>
      <c r="DN13" s="3">
        <v>-4.5047643292899266E-3</v>
      </c>
      <c r="DO13" s="3">
        <v>4.1067716545564847E-2</v>
      </c>
      <c r="DP13" s="3">
        <v>7.5241348251073523E-2</v>
      </c>
      <c r="DQ13" s="3">
        <v>6.1220595722963858E-2</v>
      </c>
      <c r="DR13" s="3">
        <v>-7.7352535359323168E-3</v>
      </c>
      <c r="DS13" s="3">
        <v>2.739977314903342E-2</v>
      </c>
      <c r="DT13" s="3">
        <v>2.7375112753663122E-2</v>
      </c>
      <c r="DU13" s="3">
        <v>2.0814911038588228E-2</v>
      </c>
      <c r="DV13" s="3">
        <v>1.808189604269244E-2</v>
      </c>
      <c r="DW13" s="3">
        <v>-2.1192478829749031E-2</v>
      </c>
      <c r="DX13" s="3">
        <v>3.1033236253458451E-2</v>
      </c>
      <c r="DY13" s="3">
        <v>-2.0987138201878988E-3</v>
      </c>
      <c r="DZ13" s="3">
        <v>2.3436347427169591E-2</v>
      </c>
      <c r="EA13" s="3">
        <v>0.12694826755309729</v>
      </c>
      <c r="EB13" s="3">
        <v>5.7080533181651807E-2</v>
      </c>
      <c r="EC13" s="3">
        <v>-9.636892087663218E-3</v>
      </c>
      <c r="ED13" s="3">
        <v>4.335556933187814E-2</v>
      </c>
      <c r="EE13" s="3">
        <v>2.881128960419448E-2</v>
      </c>
      <c r="EF13" s="3">
        <v>3.2612005627258911E-2</v>
      </c>
      <c r="EG13" s="3">
        <v>5.3261638121428589E-2</v>
      </c>
      <c r="EH13" s="3">
        <v>1.120523021333945E-2</v>
      </c>
      <c r="EI13" s="3">
        <v>-6.5484713012183941E-3</v>
      </c>
      <c r="EJ13" s="3">
        <v>6.3945044853014454E-3</v>
      </c>
      <c r="EK13" s="3">
        <v>1.387191782542848E-2</v>
      </c>
      <c r="EL13" s="3">
        <v>2.9581854877551869E-2</v>
      </c>
      <c r="EM13">
        <f t="shared" si="11"/>
        <v>3.0317828948512832E-2</v>
      </c>
      <c r="EN13">
        <f t="shared" si="12"/>
        <v>3.1286089799671658E-2</v>
      </c>
      <c r="EO13">
        <f t="shared" si="13"/>
        <v>0.96905139449005262</v>
      </c>
    </row>
    <row r="14" spans="1:145" x14ac:dyDescent="0.3">
      <c r="A14" s="11">
        <v>50</v>
      </c>
      <c r="B14" s="11">
        <f t="shared" si="10"/>
        <v>21</v>
      </c>
      <c r="C14" s="3">
        <v>-7.0147677629209787E-2</v>
      </c>
      <c r="D14" s="3">
        <v>6.7857673815029801E-3</v>
      </c>
      <c r="E14" s="3">
        <v>2.6685515637469029E-2</v>
      </c>
      <c r="F14" s="3">
        <v>-1.997188403876415E-2</v>
      </c>
      <c r="G14" s="3">
        <v>7.5085370632261769E-2</v>
      </c>
      <c r="H14" s="3">
        <v>7.0556940690420537E-3</v>
      </c>
      <c r="I14" s="3">
        <v>-2.971182433387488E-2</v>
      </c>
      <c r="J14" s="3">
        <v>-2.4369522512445091E-2</v>
      </c>
      <c r="K14" s="3">
        <v>1.632153994888911E-3</v>
      </c>
      <c r="L14" s="3">
        <v>-5.8513564069971061E-2</v>
      </c>
      <c r="M14" s="3">
        <v>-2.2751694019537928E-3</v>
      </c>
      <c r="N14" s="3">
        <v>6.7651274010027657E-2</v>
      </c>
      <c r="O14" s="3">
        <v>-6.9838309719343333E-3</v>
      </c>
      <c r="P14" s="3">
        <v>6.8327754141842252E-3</v>
      </c>
      <c r="Q14" s="3">
        <v>3.5876749581343018E-3</v>
      </c>
      <c r="R14" s="3">
        <v>2.8742686221748671E-2</v>
      </c>
      <c r="S14" s="3">
        <v>0.1395841093461111</v>
      </c>
      <c r="T14" s="3">
        <v>4.3640636712842663E-2</v>
      </c>
      <c r="U14" s="3">
        <v>1.6338249029147749E-2</v>
      </c>
      <c r="V14" s="3">
        <v>-3.4231499798857618E-2</v>
      </c>
      <c r="W14" s="3">
        <v>2.6873789517261031E-2</v>
      </c>
      <c r="X14" s="3">
        <v>0.15214957883971131</v>
      </c>
      <c r="Y14" s="3">
        <v>-9.226250026191124E-3</v>
      </c>
      <c r="Z14" s="3">
        <v>0.1062122318974191</v>
      </c>
      <c r="AA14" s="3">
        <v>9.6850949783866311E-2</v>
      </c>
      <c r="AB14" s="3">
        <v>-9.9352063083414169E-3</v>
      </c>
      <c r="AC14" s="3">
        <v>1.982436908184718E-2</v>
      </c>
      <c r="AD14" s="3">
        <v>1.374396919104851E-2</v>
      </c>
      <c r="AE14" s="3">
        <v>0.1082963843164074</v>
      </c>
      <c r="AF14" s="3">
        <v>7.6843366101025087E-2</v>
      </c>
      <c r="AG14" s="3">
        <v>5.8792649675238201E-3</v>
      </c>
      <c r="AH14" s="3">
        <v>-5.0879396121610992E-2</v>
      </c>
      <c r="AI14" s="3">
        <v>-2.7402985925398929E-2</v>
      </c>
      <c r="AJ14" s="3">
        <v>3.1700886973186612E-2</v>
      </c>
      <c r="AK14" s="3">
        <v>6.2825334244334743E-2</v>
      </c>
      <c r="AL14" s="3">
        <v>4.720961743373684E-2</v>
      </c>
      <c r="AM14" s="3">
        <v>1.312378230961288E-4</v>
      </c>
      <c r="AN14" s="3">
        <v>4.4982771626818671E-2</v>
      </c>
      <c r="AO14" s="3">
        <v>3.2604667782996637E-2</v>
      </c>
      <c r="AP14" s="3">
        <v>4.2604398890639862E-2</v>
      </c>
      <c r="AQ14" s="3">
        <v>1.9665685276977232E-2</v>
      </c>
      <c r="AR14" s="3">
        <v>7.3752568151875322E-3</v>
      </c>
      <c r="AS14" s="3">
        <v>-1.3478001554976559E-2</v>
      </c>
      <c r="AT14" s="3">
        <v>0.13781441350398549</v>
      </c>
      <c r="AU14" s="3">
        <v>7.7517190518051976E-2</v>
      </c>
      <c r="AV14" s="3">
        <v>0.1107126743226524</v>
      </c>
      <c r="AW14" s="3">
        <v>6.5259550482450884E-2</v>
      </c>
      <c r="AX14" s="3">
        <v>4.0769983534298428E-2</v>
      </c>
      <c r="AY14" s="3">
        <v>-9.727674926682181E-4</v>
      </c>
      <c r="AZ14" s="3">
        <v>4.0288085265968249E-2</v>
      </c>
      <c r="BA14" s="3">
        <v>5.4254748044206463E-2</v>
      </c>
      <c r="BB14" s="3">
        <v>7.7818593633148289E-2</v>
      </c>
      <c r="BC14" s="3">
        <v>-5.8082709730530292E-2</v>
      </c>
      <c r="BD14" s="3">
        <v>-3.5072877830974479E-2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6.3282892431894208E-3</v>
      </c>
      <c r="BK14" s="3">
        <v>8.8843406963126065E-2</v>
      </c>
      <c r="BL14" s="3">
        <v>3.2503785982039207E-2</v>
      </c>
      <c r="BM14" s="3">
        <v>3.292116482344528E-2</v>
      </c>
      <c r="BN14" s="3">
        <v>2.8891663266068551E-2</v>
      </c>
      <c r="BO14" s="3">
        <v>5.4034428789532622E-2</v>
      </c>
      <c r="BP14" s="3">
        <v>1.262302404936279E-2</v>
      </c>
      <c r="BQ14" s="3">
        <v>-2.3262836254986739E-2</v>
      </c>
      <c r="BR14" s="3">
        <v>7.9846846103030542E-2</v>
      </c>
      <c r="BS14" s="3">
        <v>2.961161518074365E-2</v>
      </c>
      <c r="BT14" s="3">
        <v>-3.7045271178850502E-2</v>
      </c>
      <c r="BU14" s="3">
        <v>2.0313888149694578E-2</v>
      </c>
      <c r="BV14" s="3">
        <v>8.1081006290671873E-2</v>
      </c>
      <c r="BW14" s="3">
        <v>9.4813186193525342E-2</v>
      </c>
      <c r="BX14" s="3">
        <v>-3.101622632576297E-2</v>
      </c>
      <c r="BY14" s="3">
        <v>-2.82450264855999E-3</v>
      </c>
      <c r="BZ14" s="3">
        <v>8.1930694208148053E-2</v>
      </c>
      <c r="CA14" s="3">
        <v>7.8723597363891562E-2</v>
      </c>
      <c r="CB14" s="3">
        <v>1.419250845140313E-2</v>
      </c>
      <c r="CC14" s="3">
        <v>9.4556515578385625E-3</v>
      </c>
      <c r="CD14" s="3">
        <v>-4.681534907198126E-2</v>
      </c>
      <c r="CE14" s="3">
        <v>9.4278018888547935E-2</v>
      </c>
      <c r="CF14" s="3">
        <v>5.0755772847125832E-2</v>
      </c>
      <c r="CG14" s="3">
        <v>6.5160968394517182E-2</v>
      </c>
      <c r="CH14" s="3">
        <v>7.0932617314534749E-2</v>
      </c>
      <c r="CI14" s="3">
        <v>-3.1238083619163168E-2</v>
      </c>
      <c r="CJ14" s="3">
        <v>6.1437989896404657E-2</v>
      </c>
      <c r="CK14" s="3">
        <v>5.3942692127080083E-2</v>
      </c>
      <c r="CL14" s="3">
        <v>4.1084957022469823E-2</v>
      </c>
      <c r="CM14" s="3">
        <v>-5.1975427815521641E-2</v>
      </c>
      <c r="CN14" s="3">
        <v>0.21436197134711521</v>
      </c>
      <c r="CO14" s="3">
        <v>7.1290727465447318E-2</v>
      </c>
      <c r="CP14" s="3">
        <v>-6.6645440687895796E-2</v>
      </c>
      <c r="CQ14" s="3">
        <v>1.6983985983403772E-2</v>
      </c>
      <c r="CR14" s="3">
        <v>4.3319638203963569E-2</v>
      </c>
      <c r="CS14" s="3">
        <v>1.216908669153303E-2</v>
      </c>
      <c r="CT14" s="3">
        <v>-2.7177904636120052E-2</v>
      </c>
      <c r="CU14" s="3">
        <v>0.13049331926284929</v>
      </c>
      <c r="CV14" s="3">
        <v>0.13473974763177771</v>
      </c>
      <c r="CW14" s="3">
        <v>4.1207943299450843E-2</v>
      </c>
      <c r="CX14" s="3">
        <v>5.3559520759984131E-2</v>
      </c>
      <c r="CY14" s="3">
        <v>0.1096716237662924</v>
      </c>
      <c r="CZ14" s="3">
        <v>3.9295528811416319E-2</v>
      </c>
      <c r="DA14" s="3">
        <v>-3.3926370070343471E-2</v>
      </c>
      <c r="DB14" s="3">
        <v>0.1004003948375016</v>
      </c>
      <c r="DC14" s="3">
        <v>3.769887953656334E-2</v>
      </c>
      <c r="DD14" s="3">
        <v>9.873476841909308E-2</v>
      </c>
      <c r="DE14" s="3">
        <v>5.9073402295605579E-2</v>
      </c>
      <c r="DF14" s="3">
        <v>9.0483007321280048E-2</v>
      </c>
      <c r="DG14" s="3">
        <v>8.4633247378414392E-2</v>
      </c>
      <c r="DH14" s="3">
        <v>3.2676237467867533E-2</v>
      </c>
      <c r="DI14" s="3">
        <v>-1.3854001235964969E-2</v>
      </c>
      <c r="DJ14" s="3">
        <v>-9.3362115920242045E-3</v>
      </c>
      <c r="DK14" s="3">
        <v>-2.31532096733192E-2</v>
      </c>
      <c r="DL14" s="3">
        <v>3.9872633242987357E-2</v>
      </c>
      <c r="DM14" s="3">
        <v>-1.5879651958918359E-2</v>
      </c>
      <c r="DN14" s="3">
        <v>6.4680191210663568E-2</v>
      </c>
      <c r="DO14" s="3">
        <v>6.749155499135967E-2</v>
      </c>
      <c r="DP14" s="3">
        <v>8.2099872748817915E-2</v>
      </c>
      <c r="DQ14" s="3">
        <v>3.2645533016168099E-2</v>
      </c>
      <c r="DR14" s="3">
        <v>-1.1803939980301371E-2</v>
      </c>
      <c r="DS14" s="3">
        <v>6.8525307837216776E-2</v>
      </c>
      <c r="DT14" s="3">
        <v>1.512528510044751E-2</v>
      </c>
      <c r="DU14" s="3">
        <v>8.7746691323399892E-2</v>
      </c>
      <c r="DV14" s="3">
        <v>3.2703112011867028E-2</v>
      </c>
      <c r="DW14" s="3">
        <v>-9.7196857655370839E-3</v>
      </c>
      <c r="DX14" s="3">
        <v>1.88267874784681E-2</v>
      </c>
      <c r="DY14" s="3">
        <v>2.8956628053560491E-2</v>
      </c>
      <c r="DZ14" s="3">
        <v>-1.190009565703247E-2</v>
      </c>
      <c r="EA14" s="3">
        <v>6.8284483222967818E-2</v>
      </c>
      <c r="EB14" s="3">
        <v>8.4619816663084185E-2</v>
      </c>
      <c r="EC14" s="3">
        <v>-4.9736405358414948E-2</v>
      </c>
      <c r="ED14" s="3">
        <v>5.0141322069712793E-2</v>
      </c>
      <c r="EE14" s="3">
        <v>4.5131715674727513E-2</v>
      </c>
      <c r="EF14" s="3">
        <v>9.6689243212058143E-2</v>
      </c>
      <c r="EG14" s="3">
        <v>0.12596481166948539</v>
      </c>
      <c r="EH14" s="3">
        <v>1.1678053250898889E-2</v>
      </c>
      <c r="EI14" s="3">
        <v>5.0391892520531438E-2</v>
      </c>
      <c r="EJ14" s="3">
        <v>1.0053647267214401E-2</v>
      </c>
      <c r="EK14" s="3">
        <v>7.7789644705384409E-2</v>
      </c>
      <c r="EL14" s="3">
        <v>9.4198619241897069E-2</v>
      </c>
      <c r="EM14">
        <f t="shared" si="11"/>
        <v>3.7388272773719464E-2</v>
      </c>
      <c r="EN14">
        <f t="shared" si="12"/>
        <v>5.2046884833556913E-2</v>
      </c>
      <c r="EO14">
        <f t="shared" si="13"/>
        <v>0.71835755191276318</v>
      </c>
    </row>
    <row r="15" spans="1:145" x14ac:dyDescent="0.3">
      <c r="A15" s="11">
        <v>110</v>
      </c>
      <c r="B15" s="11">
        <f t="shared" si="10"/>
        <v>10</v>
      </c>
      <c r="C15" s="3">
        <v>-9.5037535583778296E-2</v>
      </c>
      <c r="D15" s="3">
        <v>1.266914814563426E-2</v>
      </c>
      <c r="E15" s="3">
        <v>3.6478294824372808E-2</v>
      </c>
      <c r="F15" s="3">
        <v>-7.2424255902727275E-2</v>
      </c>
      <c r="G15" s="3">
        <v>2.53577976603564E-3</v>
      </c>
      <c r="H15" s="3">
        <v>1.633740630847369E-2</v>
      </c>
      <c r="I15" s="3">
        <v>-0.1078732733718917</v>
      </c>
      <c r="J15" s="3">
        <v>-4.344786742942542E-2</v>
      </c>
      <c r="K15" s="3">
        <v>4.5856094679227369E-2</v>
      </c>
      <c r="L15" s="3">
        <v>-0.1035081220587549</v>
      </c>
      <c r="M15" s="3">
        <v>5.629585886769306E-2</v>
      </c>
      <c r="N15" s="3">
        <v>8.9772316641766894E-2</v>
      </c>
      <c r="O15" s="3">
        <v>-1.8896543000180489E-2</v>
      </c>
      <c r="P15" s="3">
        <v>4.6283434267813228E-2</v>
      </c>
      <c r="Q15" s="3">
        <v>-3.067761739322834E-2</v>
      </c>
      <c r="R15" s="3">
        <v>8.5673280309319685E-2</v>
      </c>
      <c r="S15" s="3">
        <v>0.1802361447281137</v>
      </c>
      <c r="T15" s="3">
        <v>5.8198486768288482E-2</v>
      </c>
      <c r="U15" s="3">
        <v>-4.7793734894272827E-2</v>
      </c>
      <c r="V15" s="3">
        <v>-6.0599995689698663E-2</v>
      </c>
      <c r="W15" s="3">
        <v>1.544097769719144E-2</v>
      </c>
      <c r="X15" s="3">
        <v>0.20484095586740189</v>
      </c>
      <c r="Y15" s="3">
        <v>1.121680496760034E-2</v>
      </c>
      <c r="Z15" s="3">
        <v>4.8366369396083367E-2</v>
      </c>
      <c r="AA15" s="3">
        <v>0.12890890101030661</v>
      </c>
      <c r="AB15" s="3">
        <v>-3.2233149180326173E-2</v>
      </c>
      <c r="AC15" s="3">
        <v>-3.3883246056628097E-2</v>
      </c>
      <c r="AD15" s="3">
        <v>-4.7007358577018508E-2</v>
      </c>
      <c r="AE15" s="3">
        <v>0.17602316758642261</v>
      </c>
      <c r="AF15" s="3">
        <v>0.13248670478170749</v>
      </c>
      <c r="AG15" s="3">
        <v>-2.8616357951262608E-3</v>
      </c>
      <c r="AH15" s="3">
        <v>-4.7090692795637393E-2</v>
      </c>
      <c r="AI15" s="3">
        <v>-1.8572527895701438E-2</v>
      </c>
      <c r="AJ15" s="3">
        <v>5.2974427440471428E-2</v>
      </c>
      <c r="AK15" s="3">
        <v>7.9243195116219141E-3</v>
      </c>
      <c r="AL15" s="3">
        <v>7.0398336968447967E-2</v>
      </c>
      <c r="AM15" s="3">
        <v>-8.6783589017364673E-2</v>
      </c>
      <c r="AN15" s="3">
        <v>2.0704094210196339E-2</v>
      </c>
      <c r="AO15" s="3">
        <v>4.3798347087138943E-2</v>
      </c>
      <c r="AP15" s="3">
        <v>5.6957256149213882E-2</v>
      </c>
      <c r="AQ15" s="3">
        <v>-3.8102468754567922E-2</v>
      </c>
      <c r="AR15" s="3">
        <v>1.1318369487501111E-2</v>
      </c>
      <c r="AS15" s="3">
        <v>-6.5028803619250217E-2</v>
      </c>
      <c r="AT15" s="3">
        <v>0.2078389578691365</v>
      </c>
      <c r="AU15" s="3">
        <v>9.0932728029609292E-2</v>
      </c>
      <c r="AV15" s="3">
        <v>9.1083809565469548E-2</v>
      </c>
      <c r="AW15" s="3">
        <v>9.7211153158427099E-2</v>
      </c>
      <c r="AX15" s="3">
        <v>0.1140796931468484</v>
      </c>
      <c r="AY15" s="3">
        <v>-1.2308096600947281E-2</v>
      </c>
      <c r="AZ15" s="3">
        <v>4.147929441714801E-2</v>
      </c>
      <c r="BA15" s="3">
        <v>8.9046336251642294E-2</v>
      </c>
      <c r="BB15" s="3">
        <v>0.13503031263351001</v>
      </c>
      <c r="BC15" s="3">
        <v>-5.3556038376441212E-2</v>
      </c>
      <c r="BD15" s="3">
        <v>2.4992669803208901E-2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4.6155034773925352E-2</v>
      </c>
      <c r="BK15" s="3">
        <v>0.10413755450221179</v>
      </c>
      <c r="BL15" s="3">
        <v>7.5891715934744086E-2</v>
      </c>
      <c r="BM15" s="3">
        <v>5.4492831913828248E-2</v>
      </c>
      <c r="BN15" s="3">
        <v>0.1005762245768906</v>
      </c>
      <c r="BO15" s="3">
        <v>3.8015807833610367E-2</v>
      </c>
      <c r="BP15" s="3">
        <v>-1.503327928828367E-2</v>
      </c>
      <c r="BQ15" s="3">
        <v>-6.0311372633281693E-2</v>
      </c>
      <c r="BR15" s="3">
        <v>0.1100428438946212</v>
      </c>
      <c r="BS15" s="3">
        <v>3.9787779996983269E-3</v>
      </c>
      <c r="BT15" s="3">
        <v>-4.9227241421055903E-2</v>
      </c>
      <c r="BU15" s="3">
        <v>7.2608821017855832E-3</v>
      </c>
      <c r="BV15" s="3">
        <v>6.3848422770407032E-2</v>
      </c>
      <c r="BW15" s="3">
        <v>0.31543556227856839</v>
      </c>
      <c r="BX15" s="3">
        <v>-5.1846532564268452E-2</v>
      </c>
      <c r="BY15" s="3">
        <v>-4.628839666923823E-2</v>
      </c>
      <c r="BZ15" s="3">
        <v>1.553173396411324E-2</v>
      </c>
      <c r="CA15" s="3">
        <v>0.17956376560331061</v>
      </c>
      <c r="CB15" s="3">
        <v>-0.1027662829498909</v>
      </c>
      <c r="CC15" s="3">
        <v>0.1078272568632148</v>
      </c>
      <c r="CD15" s="3">
        <v>-2.180493174291093E-2</v>
      </c>
      <c r="CE15" s="3">
        <v>0.1086035470317529</v>
      </c>
      <c r="CF15" s="3">
        <v>8.6444362290460319E-2</v>
      </c>
      <c r="CG15" s="3">
        <v>0.10390932025663881</v>
      </c>
      <c r="CH15" s="3">
        <v>5.682543054775463E-2</v>
      </c>
      <c r="CI15" s="3">
        <v>-1.190852745856851E-2</v>
      </c>
      <c r="CJ15" s="3">
        <v>5.4874450130501198E-2</v>
      </c>
      <c r="CK15" s="3">
        <v>0.1434218267067412</v>
      </c>
      <c r="CL15" s="3">
        <v>-5.9674696722932769E-2</v>
      </c>
      <c r="CM15" s="3">
        <v>-3.6904799918243907E-2</v>
      </c>
      <c r="CN15" s="3">
        <v>0.16864261290779009</v>
      </c>
      <c r="CO15" s="3">
        <v>0.19509607170964541</v>
      </c>
      <c r="CP15" s="3">
        <v>-7.8825084918561397E-2</v>
      </c>
      <c r="CQ15" s="3">
        <v>6.4482894299108936E-3</v>
      </c>
      <c r="CR15" s="3">
        <v>0.1088852828024178</v>
      </c>
      <c r="CS15" s="3">
        <v>9.0012600330832485E-3</v>
      </c>
      <c r="CT15" s="3">
        <v>-3.1426509832751442E-2</v>
      </c>
      <c r="CU15" s="3">
        <v>0.16039605454608519</v>
      </c>
      <c r="CV15" s="3">
        <v>0.15883627528963709</v>
      </c>
      <c r="CW15" s="3">
        <v>3.1169210624073362E-2</v>
      </c>
      <c r="CX15" s="3">
        <v>8.5710342767130659E-2</v>
      </c>
      <c r="CY15" s="3">
        <v>6.8157689880564143E-2</v>
      </c>
      <c r="CZ15" s="3">
        <v>-5.4570469806409783E-3</v>
      </c>
      <c r="DA15" s="3">
        <v>6.0621826021464688E-2</v>
      </c>
      <c r="DB15" s="3">
        <v>0.2183646922869289</v>
      </c>
      <c r="DC15" s="3">
        <v>3.3949005912458842E-2</v>
      </c>
      <c r="DD15" s="3">
        <v>6.6996804109661759E-2</v>
      </c>
      <c r="DE15" s="3">
        <v>7.737662039230872E-2</v>
      </c>
      <c r="DF15" s="3">
        <v>-1.287888246567803E-2</v>
      </c>
      <c r="DG15" s="3">
        <v>9.8009312082274744E-2</v>
      </c>
      <c r="DH15" s="3">
        <v>1.52116552922546E-3</v>
      </c>
      <c r="DI15" s="3">
        <v>-2.8468466705051671E-2</v>
      </c>
      <c r="DJ15" s="3">
        <v>6.2778969213389879E-2</v>
      </c>
      <c r="DK15" s="3">
        <v>-2.0475094250755652E-2</v>
      </c>
      <c r="DL15" s="3">
        <v>4.517439390109889E-2</v>
      </c>
      <c r="DM15" s="3">
        <v>5.2410072269874167E-2</v>
      </c>
      <c r="DN15" s="3">
        <v>0.1111745334290872</v>
      </c>
      <c r="DO15" s="3">
        <v>4.2035732338063979E-2</v>
      </c>
      <c r="DP15" s="3">
        <v>0.14986804968749359</v>
      </c>
      <c r="DQ15" s="3">
        <v>2.5991770469525759E-2</v>
      </c>
      <c r="DR15" s="3">
        <v>4.4039774800065157E-2</v>
      </c>
      <c r="DS15" s="3">
        <v>3.0358369568470881E-2</v>
      </c>
      <c r="DT15" s="3">
        <v>2.2455456644572162E-2</v>
      </c>
      <c r="DU15" s="3">
        <v>0.15570488266181609</v>
      </c>
      <c r="DV15" s="3">
        <v>8.8090090620085281E-3</v>
      </c>
      <c r="DW15" s="3">
        <v>-1.6197702595987139E-2</v>
      </c>
      <c r="DX15" s="3">
        <v>3.5904110072630502E-2</v>
      </c>
      <c r="DY15" s="3">
        <v>-7.980019567433147E-2</v>
      </c>
      <c r="DZ15" s="3">
        <v>-4.075905038959271E-2</v>
      </c>
      <c r="EA15" s="3">
        <v>-3.746967587548293E-2</v>
      </c>
      <c r="EB15" s="3">
        <v>0.11336525352108941</v>
      </c>
      <c r="EC15" s="3">
        <v>-8.7894691591285309E-2</v>
      </c>
      <c r="ED15" s="3">
        <v>9.5580668268785293E-2</v>
      </c>
      <c r="EE15" s="3">
        <v>5.6090869673354728E-2</v>
      </c>
      <c r="EF15" s="3">
        <v>0.1074998864060286</v>
      </c>
      <c r="EG15" s="3">
        <v>0.26144874157893622</v>
      </c>
      <c r="EH15" s="3">
        <v>2.3350353236254201E-2</v>
      </c>
      <c r="EI15" s="3">
        <v>-2.709830727557112E-2</v>
      </c>
      <c r="EJ15" s="3">
        <v>1.095406862051285E-2</v>
      </c>
      <c r="EK15" s="3">
        <v>0.1140996968123482</v>
      </c>
      <c r="EL15" s="3">
        <v>4.0770374240280419E-2</v>
      </c>
      <c r="EM15">
        <f t="shared" si="11"/>
        <v>4.3108196669224247E-2</v>
      </c>
      <c r="EN15">
        <f t="shared" si="12"/>
        <v>8.0269998403437903E-2</v>
      </c>
      <c r="EO15">
        <f t="shared" si="13"/>
        <v>0.53703995922065395</v>
      </c>
    </row>
    <row r="16" spans="1:145" x14ac:dyDescent="0.3">
      <c r="A16" s="11">
        <v>120</v>
      </c>
      <c r="B16" s="11">
        <f t="shared" si="10"/>
        <v>9</v>
      </c>
      <c r="C16" s="3">
        <v>-9.71680377431344E-2</v>
      </c>
      <c r="D16" s="3">
        <v>2.4576533878304479E-2</v>
      </c>
      <c r="E16" s="3">
        <v>-1.2546398179007121E-3</v>
      </c>
      <c r="F16" s="3">
        <v>-0.1015451073915609</v>
      </c>
      <c r="G16" s="3">
        <v>8.8348382115517612E-2</v>
      </c>
      <c r="H16" s="3">
        <v>2.5862340331128639E-2</v>
      </c>
      <c r="I16" s="3">
        <v>-0.11603830556345569</v>
      </c>
      <c r="J16" s="3">
        <v>-5.2356481008443707E-2</v>
      </c>
      <c r="K16" s="3">
        <v>3.5512414889476568E-2</v>
      </c>
      <c r="L16" s="3">
        <v>-9.2506160017111649E-2</v>
      </c>
      <c r="M16" s="3">
        <v>5.3926091998967099E-2</v>
      </c>
      <c r="N16" s="3">
        <v>8.6790996117322064E-2</v>
      </c>
      <c r="O16" s="3">
        <v>-2.9371948062139708E-2</v>
      </c>
      <c r="P16" s="3">
        <v>3.9445540139423113E-2</v>
      </c>
      <c r="Q16" s="3">
        <v>-2.67626793103036E-3</v>
      </c>
      <c r="R16" s="3">
        <v>6.789675464184089E-2</v>
      </c>
      <c r="S16" s="3">
        <v>0.1962294625411693</v>
      </c>
      <c r="T16" s="3">
        <v>9.4226726153592844E-2</v>
      </c>
      <c r="U16" s="3">
        <v>-5.4621101690652103E-2</v>
      </c>
      <c r="V16" s="3">
        <v>-7.5295882228626876E-2</v>
      </c>
      <c r="W16" s="3">
        <v>6.2744042721163962E-2</v>
      </c>
      <c r="X16" s="3">
        <v>0.1834115625918912</v>
      </c>
      <c r="Y16" s="3">
        <v>1.6237215633638821E-2</v>
      </c>
      <c r="Z16" s="3">
        <v>4.8488528814658122E-2</v>
      </c>
      <c r="AA16" s="3">
        <v>0.12915152114136599</v>
      </c>
      <c r="AB16" s="3">
        <v>-3.3105837225623852E-2</v>
      </c>
      <c r="AC16" s="3">
        <v>-2.5086622142810992E-2</v>
      </c>
      <c r="AD16" s="3">
        <v>-1.1883533968536541E-2</v>
      </c>
      <c r="AE16" s="3">
        <v>0.19437017354429709</v>
      </c>
      <c r="AF16" s="3">
        <v>0.14270118361213019</v>
      </c>
      <c r="AG16" s="3">
        <v>2.6570564569897222E-3</v>
      </c>
      <c r="AH16" s="3">
        <v>-5.8576971392953057E-2</v>
      </c>
      <c r="AI16" s="3">
        <v>-2.515121444953191E-2</v>
      </c>
      <c r="AJ16" s="3">
        <v>5.9042402745775838E-2</v>
      </c>
      <c r="AK16" s="3">
        <v>1.067748057798051E-2</v>
      </c>
      <c r="AL16" s="3">
        <v>8.1095839216687587E-2</v>
      </c>
      <c r="AM16" s="3">
        <v>-7.907605671919167E-2</v>
      </c>
      <c r="AN16" s="3">
        <v>2.0076388826342471E-2</v>
      </c>
      <c r="AO16" s="3">
        <v>6.3928703055241967E-2</v>
      </c>
      <c r="AP16" s="3">
        <v>7.740114897876324E-2</v>
      </c>
      <c r="AQ16" s="3">
        <v>-5.1655017148793933E-2</v>
      </c>
      <c r="AR16" s="3">
        <v>2.195304702745236E-2</v>
      </c>
      <c r="AS16" s="3">
        <v>-6.572009184837771E-2</v>
      </c>
      <c r="AT16" s="3">
        <v>0.2213208370440905</v>
      </c>
      <c r="AU16" s="3">
        <v>0.1148347715921714</v>
      </c>
      <c r="AV16" s="3">
        <v>8.9459284740005834E-2</v>
      </c>
      <c r="AW16" s="3">
        <v>0.11317970127020199</v>
      </c>
      <c r="AX16" s="3">
        <v>0.113595596911948</v>
      </c>
      <c r="AY16" s="3">
        <v>-1.1168144858505541E-2</v>
      </c>
      <c r="AZ16" s="3">
        <v>1.8155398260774568E-2</v>
      </c>
      <c r="BA16" s="3">
        <v>7.9143807970672733E-2</v>
      </c>
      <c r="BB16" s="3">
        <v>0.18136460604182511</v>
      </c>
      <c r="BC16" s="3">
        <v>-4.4767605723138502E-2</v>
      </c>
      <c r="BD16" s="3">
        <v>2.9906619076661839E-3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5.1164983931225379E-2</v>
      </c>
      <c r="BK16" s="3">
        <v>0.1025492164218821</v>
      </c>
      <c r="BL16" s="3">
        <v>6.939639853734389E-2</v>
      </c>
      <c r="BM16" s="3">
        <v>4.4461594183894608E-2</v>
      </c>
      <c r="BN16" s="3">
        <v>7.819811809290661E-2</v>
      </c>
      <c r="BO16" s="3">
        <v>3.0200719185444161E-2</v>
      </c>
      <c r="BP16" s="3">
        <v>-1.123153502759794E-2</v>
      </c>
      <c r="BQ16" s="3">
        <v>-6.1932157749013908E-2</v>
      </c>
      <c r="BR16" s="3">
        <v>0.1131436380022295</v>
      </c>
      <c r="BS16" s="3">
        <v>-7.9012391770569186E-3</v>
      </c>
      <c r="BT16" s="3">
        <v>-5.015959430703798E-2</v>
      </c>
      <c r="BU16" s="3">
        <v>-1.482094260337782E-2</v>
      </c>
      <c r="BV16" s="3">
        <v>3.7578374096590053E-2</v>
      </c>
      <c r="BW16" s="3">
        <v>0.33664394139979642</v>
      </c>
      <c r="BX16" s="3">
        <v>-7.5075503000226973E-2</v>
      </c>
      <c r="BY16" s="3">
        <v>-6.4777386642231899E-2</v>
      </c>
      <c r="BZ16" s="3">
        <v>1.483004987787051E-2</v>
      </c>
      <c r="CA16" s="3">
        <v>0.17145332351057069</v>
      </c>
      <c r="CB16" s="3">
        <v>-9.535550941805139E-2</v>
      </c>
      <c r="CC16" s="3">
        <v>0.1182501596229092</v>
      </c>
      <c r="CD16" s="3">
        <v>-1.8545595104213549E-2</v>
      </c>
      <c r="CE16" s="3">
        <v>0.13138867476917479</v>
      </c>
      <c r="CF16" s="3">
        <v>7.8306387754693507E-2</v>
      </c>
      <c r="CG16" s="3">
        <v>0.1159768192729449</v>
      </c>
      <c r="CH16" s="3">
        <v>6.911791898089259E-2</v>
      </c>
      <c r="CI16" s="3">
        <v>7.9549352008626784E-2</v>
      </c>
      <c r="CJ16" s="3">
        <v>3.0955416585505519E-2</v>
      </c>
      <c r="CK16" s="3">
        <v>0.1414699025513512</v>
      </c>
      <c r="CL16" s="3">
        <v>-6.1983832753590047E-2</v>
      </c>
      <c r="CM16" s="3">
        <v>-3.1503144237707517E-2</v>
      </c>
      <c r="CN16" s="3">
        <v>0.1717638137861249</v>
      </c>
      <c r="CO16" s="3">
        <v>0.21015560075498099</v>
      </c>
      <c r="CP16" s="3">
        <v>-8.0406142975407657E-2</v>
      </c>
      <c r="CQ16" s="3">
        <v>7.5659968624205126E-2</v>
      </c>
      <c r="CR16" s="3">
        <v>0.10958322858512259</v>
      </c>
      <c r="CS16" s="3">
        <v>1.0001400036759169E-2</v>
      </c>
      <c r="CT16" s="3">
        <v>-3.1864242248225039E-2</v>
      </c>
      <c r="CU16" s="3">
        <v>0.15928631311606539</v>
      </c>
      <c r="CV16" s="3">
        <v>0.13244233189943641</v>
      </c>
      <c r="CW16" s="3">
        <v>5.5800521046015572E-2</v>
      </c>
      <c r="CX16" s="3">
        <v>0.12601795925741691</v>
      </c>
      <c r="CY16" s="3">
        <v>7.8936117015922208E-2</v>
      </c>
      <c r="CZ16" s="3">
        <v>2.664596799080407E-2</v>
      </c>
      <c r="DA16" s="3">
        <v>9.3703834009826195E-2</v>
      </c>
      <c r="DB16" s="3">
        <v>0.25555053985590381</v>
      </c>
      <c r="DC16" s="3">
        <v>3.4092070841043882E-2</v>
      </c>
      <c r="DD16" s="3">
        <v>8.1763272406890575E-2</v>
      </c>
      <c r="DE16" s="3">
        <v>5.2450110678124301E-2</v>
      </c>
      <c r="DF16" s="3">
        <v>-1.9628377781723921E-2</v>
      </c>
      <c r="DG16" s="3">
        <v>8.8702762240259705E-2</v>
      </c>
      <c r="DH16" s="3">
        <v>5.5732891435929521E-3</v>
      </c>
      <c r="DI16" s="3">
        <v>-4.0146607313784402E-2</v>
      </c>
      <c r="DJ16" s="3">
        <v>5.9518456318777779E-2</v>
      </c>
      <c r="DK16" s="3">
        <v>-3.5621972495511679E-3</v>
      </c>
      <c r="DL16" s="3">
        <v>9.6269308724760989E-3</v>
      </c>
      <c r="DM16" s="3">
        <v>5.059106283650449E-2</v>
      </c>
      <c r="DN16" s="3">
        <v>0.1030004857123339</v>
      </c>
      <c r="DO16" s="3">
        <v>5.5376440467518988E-2</v>
      </c>
      <c r="DP16" s="3">
        <v>0.14636799775100909</v>
      </c>
      <c r="DQ16" s="3">
        <v>2.4838895613820289E-2</v>
      </c>
      <c r="DR16" s="3">
        <v>4.0142165192253693E-2</v>
      </c>
      <c r="DS16" s="3">
        <v>2.4374262052376409E-2</v>
      </c>
      <c r="DT16" s="3">
        <v>5.8933335493967523E-2</v>
      </c>
      <c r="DU16" s="3">
        <v>0.17791333832569989</v>
      </c>
      <c r="DV16" s="3">
        <v>3.5964057377857531E-3</v>
      </c>
      <c r="DW16" s="3">
        <v>-2.854486907738369E-2</v>
      </c>
      <c r="DX16" s="3">
        <v>2.738991040352097E-2</v>
      </c>
      <c r="DY16" s="3">
        <v>-8.9581678445983498E-2</v>
      </c>
      <c r="DZ16" s="3">
        <v>-3.7997245253137982E-2</v>
      </c>
      <c r="EA16" s="3">
        <v>1.5304943003097531E-2</v>
      </c>
      <c r="EB16" s="3">
        <v>0.11109853543951929</v>
      </c>
      <c r="EC16" s="3">
        <v>-9.5701086047416228E-2</v>
      </c>
      <c r="ED16" s="3">
        <v>9.8269305855753553E-2</v>
      </c>
      <c r="EE16" s="3">
        <v>5.8529226151859529E-2</v>
      </c>
      <c r="EF16" s="3">
        <v>8.4729823355385189E-2</v>
      </c>
      <c r="EG16" s="3">
        <v>0.28106449452732468</v>
      </c>
      <c r="EH16" s="3">
        <v>2.0533961936404031E-2</v>
      </c>
      <c r="EI16" s="3">
        <v>-3.029997401672236E-2</v>
      </c>
      <c r="EJ16" s="3">
        <v>2.6684429075705479E-2</v>
      </c>
      <c r="EK16" s="3">
        <v>0.1162988751082142</v>
      </c>
      <c r="EL16" s="3">
        <v>3.3589824503176019E-2</v>
      </c>
      <c r="EM16">
        <f t="shared" si="11"/>
        <v>4.6060316456962964E-2</v>
      </c>
      <c r="EN16">
        <f t="shared" si="12"/>
        <v>8.3157284663728848E-2</v>
      </c>
      <c r="EO16">
        <f t="shared" si="13"/>
        <v>0.55389394498896305</v>
      </c>
    </row>
    <row r="17" spans="1:145" x14ac:dyDescent="0.3">
      <c r="A17" s="11">
        <v>130</v>
      </c>
      <c r="B17" s="11">
        <f t="shared" si="10"/>
        <v>8</v>
      </c>
      <c r="C17" s="3">
        <v>-0.10848541786298629</v>
      </c>
      <c r="D17" s="3">
        <v>4.8044248245380623E-2</v>
      </c>
      <c r="E17" s="3">
        <v>1.4337604938035729E-2</v>
      </c>
      <c r="F17" s="3">
        <v>-0.14304465208026029</v>
      </c>
      <c r="G17" s="3">
        <v>8.8781681840671589E-2</v>
      </c>
      <c r="H17" s="3">
        <v>2.869672530965681E-2</v>
      </c>
      <c r="I17" s="3">
        <v>-0.12310737588239171</v>
      </c>
      <c r="J17" s="3">
        <v>-4.3881178344967943E-2</v>
      </c>
      <c r="K17" s="3">
        <v>4.6352046863155791E-2</v>
      </c>
      <c r="L17" s="3">
        <v>-7.3232188041334925E-2</v>
      </c>
      <c r="M17" s="3">
        <v>5.5237105233283269E-2</v>
      </c>
      <c r="N17" s="3">
        <v>9.7477746687630151E-2</v>
      </c>
      <c r="O17" s="3">
        <v>-2.4067294318932831E-2</v>
      </c>
      <c r="P17" s="3">
        <v>2.1983032017847671E-2</v>
      </c>
      <c r="Q17" s="3">
        <v>7.9022644963883896E-3</v>
      </c>
      <c r="R17" s="3">
        <v>7.0899543817579888E-2</v>
      </c>
      <c r="S17" s="3">
        <v>0.24596559854622521</v>
      </c>
      <c r="T17" s="3">
        <v>9.3876727456493281E-2</v>
      </c>
      <c r="U17" s="3">
        <v>-4.4878559177761727E-2</v>
      </c>
      <c r="V17" s="3">
        <v>-7.1459287832526613E-2</v>
      </c>
      <c r="W17" s="3">
        <v>7.6581696676687225E-2</v>
      </c>
      <c r="X17" s="3">
        <v>0.17625245536268239</v>
      </c>
      <c r="Y17" s="3">
        <v>2.9926454668850501E-3</v>
      </c>
      <c r="Z17" s="3">
        <v>5.6824382034626648E-2</v>
      </c>
      <c r="AA17" s="3">
        <v>0.15968294389123941</v>
      </c>
      <c r="AB17" s="3">
        <v>-2.0715778855493489E-2</v>
      </c>
      <c r="AC17" s="3">
        <v>-1.7804086134317849E-2</v>
      </c>
      <c r="AD17" s="3">
        <v>-1.223794750048187E-2</v>
      </c>
      <c r="AE17" s="3">
        <v>0.17483924961177291</v>
      </c>
      <c r="AF17" s="3">
        <v>0.1816171367597203</v>
      </c>
      <c r="AG17" s="3">
        <v>1.265023247571453E-3</v>
      </c>
      <c r="AH17" s="3">
        <v>-9.3768560348520436E-2</v>
      </c>
      <c r="AI17" s="3">
        <v>-1.184896128361165E-3</v>
      </c>
      <c r="AJ17" s="3">
        <v>8.3847311354789608E-2</v>
      </c>
      <c r="AK17" s="3">
        <v>2.3407076308189261E-2</v>
      </c>
      <c r="AL17" s="3">
        <v>8.6285246695498405E-2</v>
      </c>
      <c r="AM17" s="3">
        <v>-0.1131379351442006</v>
      </c>
      <c r="AN17" s="3">
        <v>1.2461160687404729E-2</v>
      </c>
      <c r="AO17" s="3">
        <v>2.9150083513395549E-2</v>
      </c>
      <c r="AP17" s="3">
        <v>0.1005058530806891</v>
      </c>
      <c r="AQ17" s="3">
        <v>-3.3097297155682201E-2</v>
      </c>
      <c r="AR17" s="3">
        <v>2.4600126491950969E-2</v>
      </c>
      <c r="AS17" s="3">
        <v>-8.6099673056289988E-2</v>
      </c>
      <c r="AT17" s="3">
        <v>0.2675017318134017</v>
      </c>
      <c r="AU17" s="3">
        <v>0.16451196262571949</v>
      </c>
      <c r="AV17" s="3">
        <v>5.6706304857920872E-2</v>
      </c>
      <c r="AW17" s="3">
        <v>0.1268004650022366</v>
      </c>
      <c r="AX17" s="3">
        <v>9.6011082808542647E-2</v>
      </c>
      <c r="AY17" s="3">
        <v>-1.0766339922778921E-2</v>
      </c>
      <c r="AZ17" s="3">
        <v>-1.9981923156699631E-2</v>
      </c>
      <c r="BA17" s="3">
        <v>0.10918424419842861</v>
      </c>
      <c r="BB17" s="3">
        <v>0.20214347165161101</v>
      </c>
      <c r="BC17" s="3">
        <v>1.3785623061827079E-3</v>
      </c>
      <c r="BD17" s="3">
        <v>2.2665331732207649E-2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7.7585785842305105E-2</v>
      </c>
      <c r="BK17" s="3">
        <v>9.6916219887294985E-2</v>
      </c>
      <c r="BL17" s="3">
        <v>4.3403096258777363E-2</v>
      </c>
      <c r="BM17" s="3">
        <v>2.368577340358741E-2</v>
      </c>
      <c r="BN17" s="3">
        <v>5.8811256157272368E-2</v>
      </c>
      <c r="BO17" s="3">
        <v>3.1737885293326371E-2</v>
      </c>
      <c r="BP17" s="3">
        <v>-1.3404755404772369E-2</v>
      </c>
      <c r="BQ17" s="3">
        <v>-5.9524454783734942E-2</v>
      </c>
      <c r="BR17" s="3">
        <v>0.12604134088680219</v>
      </c>
      <c r="BS17" s="3">
        <v>-9.2324973901933491E-3</v>
      </c>
      <c r="BT17" s="3">
        <v>-2.713598156373118E-2</v>
      </c>
      <c r="BU17" s="3">
        <v>-4.8214505443007469E-2</v>
      </c>
      <c r="BV17" s="3">
        <v>6.590093372816222E-2</v>
      </c>
      <c r="BW17" s="3">
        <v>0.38902933208743512</v>
      </c>
      <c r="BX17" s="3">
        <v>-9.8161613214922949E-2</v>
      </c>
      <c r="BY17" s="3">
        <v>-8.5728186499804904E-2</v>
      </c>
      <c r="BZ17" s="3">
        <v>-3.4406114139690407E-2</v>
      </c>
      <c r="CA17" s="3">
        <v>0.12925304455486569</v>
      </c>
      <c r="CB17" s="3">
        <v>-0.10075521522681841</v>
      </c>
      <c r="CC17" s="3">
        <v>0.18432006655761579</v>
      </c>
      <c r="CD17" s="3">
        <v>1.71283052130633E-3</v>
      </c>
      <c r="CE17" s="3">
        <v>0.12691592535981591</v>
      </c>
      <c r="CF17" s="3">
        <v>6.8976127772498813E-2</v>
      </c>
      <c r="CG17" s="3">
        <v>0.1232702825774835</v>
      </c>
      <c r="CH17" s="3">
        <v>4.5776871402103063E-2</v>
      </c>
      <c r="CI17" s="3">
        <v>7.186677986695221E-2</v>
      </c>
      <c r="CJ17" s="3">
        <v>1.7740045240233929E-2</v>
      </c>
      <c r="CK17" s="3">
        <v>0.1430434700386142</v>
      </c>
      <c r="CL17" s="3">
        <v>-0.11702067645203509</v>
      </c>
      <c r="CM17" s="3">
        <v>1.342411832556523E-2</v>
      </c>
      <c r="CN17" s="3">
        <v>0.13461177629082571</v>
      </c>
      <c r="CO17" s="3">
        <v>0.21719509557040159</v>
      </c>
      <c r="CP17" s="3">
        <v>-9.9452860955883599E-2</v>
      </c>
      <c r="CQ17" s="3">
        <v>6.6152951237496135E-2</v>
      </c>
      <c r="CR17" s="3">
        <v>7.911461590479249E-2</v>
      </c>
      <c r="CS17" s="3">
        <v>3.2669997289126028E-2</v>
      </c>
      <c r="CT17" s="3">
        <v>-4.0155345599371971E-2</v>
      </c>
      <c r="CU17" s="3">
        <v>0.1546915472850518</v>
      </c>
      <c r="CV17" s="3">
        <v>0.1227951635392554</v>
      </c>
      <c r="CW17" s="3">
        <v>6.9562239507384466E-2</v>
      </c>
      <c r="CX17" s="3">
        <v>0.1256646477464772</v>
      </c>
      <c r="CY17" s="3">
        <v>4.6190210894398412E-2</v>
      </c>
      <c r="CZ17" s="3">
        <v>2.7595689618317761E-2</v>
      </c>
      <c r="DA17" s="3">
        <v>7.613475758901328E-2</v>
      </c>
      <c r="DB17" s="3">
        <v>0.31151900108234493</v>
      </c>
      <c r="DC17" s="3">
        <v>4.5090969643059232E-2</v>
      </c>
      <c r="DD17" s="3">
        <v>9.6005186292577357E-2</v>
      </c>
      <c r="DE17" s="3">
        <v>2.0616316935895541E-2</v>
      </c>
      <c r="DF17" s="3">
        <v>-2.5908999615043869E-2</v>
      </c>
      <c r="DG17" s="3">
        <v>9.7393408181285029E-2</v>
      </c>
      <c r="DH17" s="3">
        <v>2.726662585916818E-2</v>
      </c>
      <c r="DI17" s="3">
        <v>-3.1911727931631849E-2</v>
      </c>
      <c r="DJ17" s="3">
        <v>6.6172823701739464E-2</v>
      </c>
      <c r="DK17" s="3">
        <v>7.6338487143976794E-3</v>
      </c>
      <c r="DL17" s="3">
        <v>3.3776521632631271E-3</v>
      </c>
      <c r="DM17" s="3">
        <v>8.8702295744612608E-2</v>
      </c>
      <c r="DN17" s="3">
        <v>0.1407928439418504</v>
      </c>
      <c r="DO17" s="3">
        <v>7.5164690087662328E-2</v>
      </c>
      <c r="DP17" s="3">
        <v>0.1792571104948357</v>
      </c>
      <c r="DQ17" s="3">
        <v>4.7643837166474433E-2</v>
      </c>
      <c r="DR17" s="3">
        <v>6.7693697223895968E-2</v>
      </c>
      <c r="DS17" s="3">
        <v>5.7672909590693808E-3</v>
      </c>
      <c r="DT17" s="3">
        <v>7.6728353137935593E-2</v>
      </c>
      <c r="DU17" s="3">
        <v>0.19564396620173291</v>
      </c>
      <c r="DV17" s="3">
        <v>-2.2495642149801538E-3</v>
      </c>
      <c r="DW17" s="3">
        <v>-3.9271864742645463E-2</v>
      </c>
      <c r="DX17" s="3">
        <v>2.1171876425109509E-2</v>
      </c>
      <c r="DY17" s="3">
        <v>-9.2615744597034033E-2</v>
      </c>
      <c r="DZ17" s="3">
        <v>-7.4262205080522142E-2</v>
      </c>
      <c r="EA17" s="3">
        <v>9.3961359605690044E-3</v>
      </c>
      <c r="EB17" s="3">
        <v>0.1209598200696666</v>
      </c>
      <c r="EC17" s="3">
        <v>-0.120671676430002</v>
      </c>
      <c r="ED17" s="3">
        <v>7.0037964093863703E-2</v>
      </c>
      <c r="EE17" s="3">
        <v>6.6437347645094957E-2</v>
      </c>
      <c r="EF17" s="3">
        <v>0.1266597821982951</v>
      </c>
      <c r="EG17" s="3">
        <v>0.29206160514271601</v>
      </c>
      <c r="EH17" s="3">
        <v>1.5751083219620252E-2</v>
      </c>
      <c r="EI17" s="3">
        <v>-3.0154408128035212E-2</v>
      </c>
      <c r="EJ17" s="3">
        <v>2.9340073177758431E-2</v>
      </c>
      <c r="EK17" s="3">
        <v>0.13388963973230381</v>
      </c>
      <c r="EL17" s="3">
        <v>-7.6679884106524501E-3</v>
      </c>
      <c r="EM17">
        <f t="shared" si="11"/>
        <v>4.8244161847157359E-2</v>
      </c>
      <c r="EN17">
        <f t="shared" si="12"/>
        <v>9.2526498835180479E-2</v>
      </c>
      <c r="EO17">
        <f t="shared" si="13"/>
        <v>0.52140913635017971</v>
      </c>
    </row>
    <row r="18" spans="1:145" x14ac:dyDescent="0.3">
      <c r="A18" s="11">
        <v>150</v>
      </c>
      <c r="B18" s="11">
        <f t="shared" si="10"/>
        <v>7</v>
      </c>
      <c r="C18" s="3">
        <v>-5.264358642546442E-2</v>
      </c>
      <c r="D18" s="3">
        <v>6.3409296315443522E-2</v>
      </c>
      <c r="E18" s="3">
        <v>-1.3048588484643639E-2</v>
      </c>
      <c r="F18" s="3">
        <v>-0.15798308106779871</v>
      </c>
      <c r="G18" s="3">
        <v>7.549066755326822E-2</v>
      </c>
      <c r="H18" s="3">
        <v>1.8917999682007951E-2</v>
      </c>
      <c r="I18" s="3">
        <v>-0.1546692730658151</v>
      </c>
      <c r="J18" s="3">
        <v>-3.8729016937960679E-2</v>
      </c>
      <c r="K18" s="3">
        <v>6.1555077462900148E-2</v>
      </c>
      <c r="L18" s="3">
        <v>-6.071099636825536E-2</v>
      </c>
      <c r="M18" s="3">
        <v>5.3938885942552348E-2</v>
      </c>
      <c r="N18" s="3">
        <v>9.395426094992379E-2</v>
      </c>
      <c r="O18" s="3">
        <v>-5.1258915333106045E-4</v>
      </c>
      <c r="P18" s="3">
        <v>1.028400799247953E-2</v>
      </c>
      <c r="Q18" s="3">
        <v>-1.9624523627553441E-2</v>
      </c>
      <c r="R18" s="3">
        <v>8.3649355601262257E-2</v>
      </c>
      <c r="S18" s="3">
        <v>0.28114321822492511</v>
      </c>
      <c r="T18" s="3">
        <v>8.8495999226994942E-2</v>
      </c>
      <c r="U18" s="3">
        <v>-0.13647668496472129</v>
      </c>
      <c r="V18" s="3">
        <v>-6.8181928002782111E-2</v>
      </c>
      <c r="W18" s="3">
        <v>8.9030265334534606E-2</v>
      </c>
      <c r="X18" s="3">
        <v>0.2236503524855743</v>
      </c>
      <c r="Y18" s="3">
        <v>-1.4124330881083129E-2</v>
      </c>
      <c r="Z18" s="3">
        <v>6.7105426807382601E-2</v>
      </c>
      <c r="AA18" s="3">
        <v>0.14275686813834179</v>
      </c>
      <c r="AB18" s="3">
        <v>5.3535794206202858E-3</v>
      </c>
      <c r="AC18" s="3">
        <v>-1.7944234425234039E-2</v>
      </c>
      <c r="AD18" s="3">
        <v>-3.834699391362445E-2</v>
      </c>
      <c r="AE18" s="3">
        <v>0.20233266192506999</v>
      </c>
      <c r="AF18" s="3">
        <v>0.2335332864896679</v>
      </c>
      <c r="AG18" s="3">
        <v>7.9201247878502787E-3</v>
      </c>
      <c r="AH18" s="3">
        <v>-8.6917574719815691E-2</v>
      </c>
      <c r="AI18" s="3">
        <v>1.412698109927032E-2</v>
      </c>
      <c r="AJ18" s="3">
        <v>7.61478514743852E-2</v>
      </c>
      <c r="AK18" s="3">
        <v>2.7824486709714349E-2</v>
      </c>
      <c r="AL18" s="3">
        <v>8.9085073205636855E-2</v>
      </c>
      <c r="AM18" s="3">
        <v>-9.9618979074673986E-2</v>
      </c>
      <c r="AN18" s="3">
        <v>4.7621310008820597E-2</v>
      </c>
      <c r="AO18" s="3">
        <v>1.3072200348825421E-2</v>
      </c>
      <c r="AP18" s="3">
        <v>7.5596620318455904E-2</v>
      </c>
      <c r="AQ18" s="3">
        <v>6.9686748346081823E-3</v>
      </c>
      <c r="AR18" s="3">
        <v>2.750994645123778E-2</v>
      </c>
      <c r="AS18" s="3">
        <v>-3.4980856502051363E-2</v>
      </c>
      <c r="AT18" s="3">
        <v>0.29755359591416419</v>
      </c>
      <c r="AU18" s="3">
        <v>0.17314010766987301</v>
      </c>
      <c r="AV18" s="3">
        <v>3.6288328527260619E-2</v>
      </c>
      <c r="AW18" s="3">
        <v>0.18435776219915789</v>
      </c>
      <c r="AX18" s="3">
        <v>0.1384838600667897</v>
      </c>
      <c r="AY18" s="3">
        <v>6.8985503348623745E-2</v>
      </c>
      <c r="AZ18" s="3">
        <v>-2.670241357654829E-2</v>
      </c>
      <c r="BA18" s="3">
        <v>5.6947778136449981E-2</v>
      </c>
      <c r="BB18" s="3">
        <v>0.22902924273453421</v>
      </c>
      <c r="BC18" s="3">
        <v>0.13183783999631951</v>
      </c>
      <c r="BD18" s="3">
        <v>9.4538184979046022E-3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4.0631798996460383E-2</v>
      </c>
      <c r="BK18" s="3">
        <v>0.1271840328975968</v>
      </c>
      <c r="BL18" s="3">
        <v>5.9180796428692638E-2</v>
      </c>
      <c r="BM18" s="3">
        <v>4.7064733084606243E-2</v>
      </c>
      <c r="BN18" s="3">
        <v>6.3483157425145709E-2</v>
      </c>
      <c r="BO18" s="3">
        <v>9.4898367043462772E-3</v>
      </c>
      <c r="BP18" s="3">
        <v>-2.191522063258106E-2</v>
      </c>
      <c r="BQ18" s="3">
        <v>-4.4668065196641973E-2</v>
      </c>
      <c r="BR18" s="3">
        <v>0.1098375446943361</v>
      </c>
      <c r="BS18" s="3">
        <v>-8.7511588191738904E-3</v>
      </c>
      <c r="BT18" s="3">
        <v>-2.9464169134161639E-2</v>
      </c>
      <c r="BU18" s="3">
        <v>-4.5866600042470937E-2</v>
      </c>
      <c r="BV18" s="3">
        <v>-9.5384602406614356E-3</v>
      </c>
      <c r="BW18" s="3">
        <v>0.43068382831693958</v>
      </c>
      <c r="BX18" s="3">
        <v>-0.1241824195209891</v>
      </c>
      <c r="BY18" s="3">
        <v>-0.1399042853145219</v>
      </c>
      <c r="BZ18" s="3">
        <v>-8.0862368303922461E-2</v>
      </c>
      <c r="CA18" s="3">
        <v>0.1598689439725248</v>
      </c>
      <c r="CB18" s="3">
        <v>-7.3205215785662275E-2</v>
      </c>
      <c r="CC18" s="3">
        <v>0.21996524743106699</v>
      </c>
      <c r="CD18" s="3">
        <v>-8.9782117725513699E-3</v>
      </c>
      <c r="CE18" s="3">
        <v>0.1071748867378598</v>
      </c>
      <c r="CF18" s="3">
        <v>5.8878529831163449E-2</v>
      </c>
      <c r="CG18" s="3">
        <v>0.17068847751891089</v>
      </c>
      <c r="CH18" s="3">
        <v>4.5072328746394531E-2</v>
      </c>
      <c r="CI18" s="3">
        <v>4.8081429226966912E-2</v>
      </c>
      <c r="CJ18" s="3">
        <v>8.2733433378143206E-4</v>
      </c>
      <c r="CK18" s="3">
        <v>0.14910621729999041</v>
      </c>
      <c r="CL18" s="3">
        <v>-0.11695580155794839</v>
      </c>
      <c r="CM18" s="3">
        <v>6.0575314674555653E-3</v>
      </c>
      <c r="CN18" s="3">
        <v>0.16871120023211819</v>
      </c>
      <c r="CO18" s="3">
        <v>0.210802125471416</v>
      </c>
      <c r="CP18" s="3">
        <v>-0.11259506557389271</v>
      </c>
      <c r="CQ18" s="3">
        <v>4.7890904898578807E-2</v>
      </c>
      <c r="CR18" s="3">
        <v>4.7814345592861053E-2</v>
      </c>
      <c r="CS18" s="3">
        <v>4.3224755098983443E-2</v>
      </c>
      <c r="CT18" s="3">
        <v>-3.75016449195784E-2</v>
      </c>
      <c r="CU18" s="3">
        <v>0.1672345640050685</v>
      </c>
      <c r="CV18" s="3">
        <v>0.1058315728417677</v>
      </c>
      <c r="CW18" s="3">
        <v>8.1713485742130165E-2</v>
      </c>
      <c r="CX18" s="3">
        <v>9.7539868553291803E-2</v>
      </c>
      <c r="CY18" s="3">
        <v>6.5170046432079493E-2</v>
      </c>
      <c r="CZ18" s="3">
        <v>6.4844857286546514E-2</v>
      </c>
      <c r="DA18" s="3">
        <v>0.1050548234520481</v>
      </c>
      <c r="DB18" s="3">
        <v>0.3373542332589764</v>
      </c>
      <c r="DC18" s="3">
        <v>1.5024277087294339E-2</v>
      </c>
      <c r="DD18" s="3">
        <v>6.3134171128300498E-2</v>
      </c>
      <c r="DE18" s="3">
        <v>4.0133906781944742E-2</v>
      </c>
      <c r="DF18" s="3">
        <v>-4.8458405031737407E-2</v>
      </c>
      <c r="DG18" s="3">
        <v>8.9597380346258373E-2</v>
      </c>
      <c r="DH18" s="3">
        <v>2.844306212876466E-2</v>
      </c>
      <c r="DI18" s="3">
        <v>-3.7886954592806457E-2</v>
      </c>
      <c r="DJ18" s="3">
        <v>6.6022975522745553E-2</v>
      </c>
      <c r="DK18" s="3">
        <v>3.534056529006302E-2</v>
      </c>
      <c r="DL18" s="3">
        <v>3.6194321287657681E-3</v>
      </c>
      <c r="DM18" s="3">
        <v>8.3310379948091942E-2</v>
      </c>
      <c r="DN18" s="3">
        <v>0.15346599235654229</v>
      </c>
      <c r="DO18" s="3">
        <v>4.1529469731542583E-2</v>
      </c>
      <c r="DP18" s="3">
        <v>0.19308150431816359</v>
      </c>
      <c r="DQ18" s="3">
        <v>3.7166409110126891E-2</v>
      </c>
      <c r="DR18" s="3">
        <v>4.7360645077707972E-2</v>
      </c>
      <c r="DS18" s="3">
        <v>-3.0478001670476498E-3</v>
      </c>
      <c r="DT18" s="3">
        <v>9.5508566632489633E-2</v>
      </c>
      <c r="DU18" s="3">
        <v>0.16699397878894101</v>
      </c>
      <c r="DV18" s="3">
        <v>1.6358092090033069E-2</v>
      </c>
      <c r="DW18" s="3">
        <v>-3.3839095594252563E-2</v>
      </c>
      <c r="DX18" s="3">
        <v>-4.6077918815081657E-2</v>
      </c>
      <c r="DY18" s="3">
        <v>-0.12759762660026519</v>
      </c>
      <c r="DZ18" s="3">
        <v>-9.7056063713003488E-2</v>
      </c>
      <c r="EA18" s="3">
        <v>-1.7945666366149991E-2</v>
      </c>
      <c r="EB18" s="3">
        <v>0.1090778874278253</v>
      </c>
      <c r="EC18" s="3">
        <v>-0.1199177637201453</v>
      </c>
      <c r="ED18" s="3">
        <v>3.9747591724024957E-2</v>
      </c>
      <c r="EE18" s="3">
        <v>6.0382327761682598E-2</v>
      </c>
      <c r="EF18" s="3">
        <v>0.1014541085822359</v>
      </c>
      <c r="EG18" s="3">
        <v>0.32935670666564248</v>
      </c>
      <c r="EH18" s="3">
        <v>1.6992386962088581E-2</v>
      </c>
      <c r="EI18" s="3">
        <v>-1.379284222679469E-2</v>
      </c>
      <c r="EJ18" s="3">
        <v>2.794403617859538E-2</v>
      </c>
      <c r="EK18" s="3">
        <v>0.14216877665460939</v>
      </c>
      <c r="EL18" s="3">
        <v>-1.9109232824252712E-2</v>
      </c>
      <c r="EM18">
        <f t="shared" si="11"/>
        <v>4.9369312588733234E-2</v>
      </c>
      <c r="EN18">
        <f t="shared" si="12"/>
        <v>0.1016031039675748</v>
      </c>
      <c r="EO18">
        <f t="shared" si="13"/>
        <v>0.48590358621808205</v>
      </c>
    </row>
    <row r="19" spans="1:145" x14ac:dyDescent="0.3">
      <c r="A19" s="11">
        <v>180</v>
      </c>
      <c r="B19" s="11">
        <f t="shared" si="10"/>
        <v>6</v>
      </c>
      <c r="C19" s="3">
        <v>-6.3862070951592978E-2</v>
      </c>
      <c r="D19" s="3">
        <v>6.8327253755403883E-2</v>
      </c>
      <c r="E19" s="3">
        <v>-5.7019268228133517E-2</v>
      </c>
      <c r="F19" s="3">
        <v>-0.13572992870553999</v>
      </c>
      <c r="G19" s="3">
        <v>0.11281382672705779</v>
      </c>
      <c r="H19" s="3">
        <v>3.6133644221662757E-2</v>
      </c>
      <c r="I19" s="3">
        <v>-0.16891771414991311</v>
      </c>
      <c r="J19" s="3">
        <v>-3.9615646982964582E-2</v>
      </c>
      <c r="K19" s="3">
        <v>0.12836313714558589</v>
      </c>
      <c r="L19" s="3">
        <v>-4.5025444540175798E-2</v>
      </c>
      <c r="M19" s="3">
        <v>5.6587151701981503E-2</v>
      </c>
      <c r="N19" s="3">
        <v>9.5718639060142635E-2</v>
      </c>
      <c r="O19" s="3">
        <v>5.1189915141745167E-2</v>
      </c>
      <c r="P19" s="3">
        <v>3.2168551411611568E-2</v>
      </c>
      <c r="Q19" s="3">
        <v>-5.0602909077291307E-2</v>
      </c>
      <c r="R19" s="3">
        <v>9.2763195453314254E-2</v>
      </c>
      <c r="S19" s="3">
        <v>0.32455080850195822</v>
      </c>
      <c r="T19" s="3">
        <v>7.0706363175496681E-2</v>
      </c>
      <c r="U19" s="3">
        <v>-0.14674874092350251</v>
      </c>
      <c r="V19" s="3">
        <v>-7.6793573733846959E-2</v>
      </c>
      <c r="W19" s="3">
        <v>0.1122630936464145</v>
      </c>
      <c r="X19" s="3">
        <v>0.22802402860092669</v>
      </c>
      <c r="Y19" s="3">
        <v>2.497575791312592E-2</v>
      </c>
      <c r="Z19" s="3">
        <v>7.2871079141072187E-2</v>
      </c>
      <c r="AA19" s="3">
        <v>0.102419772147367</v>
      </c>
      <c r="AB19" s="3">
        <v>1.189316844714922E-2</v>
      </c>
      <c r="AC19" s="3">
        <v>-9.4951403046225485E-3</v>
      </c>
      <c r="AD19" s="3">
        <v>-2.4650669750622E-3</v>
      </c>
      <c r="AE19" s="3">
        <v>0.23675417838502649</v>
      </c>
      <c r="AF19" s="3">
        <v>0.2456999504625641</v>
      </c>
      <c r="AG19" s="3">
        <v>2.962899401710074E-2</v>
      </c>
      <c r="AH19" s="3">
        <v>-8.1102630405328863E-2</v>
      </c>
      <c r="AI19" s="3">
        <v>3.1554436283047077E-2</v>
      </c>
      <c r="AJ19" s="3">
        <v>9.0605207393604434E-2</v>
      </c>
      <c r="AK19" s="3">
        <v>4.5756671566551881E-2</v>
      </c>
      <c r="AL19" s="3">
        <v>9.1712196350190511E-2</v>
      </c>
      <c r="AM19" s="3">
        <v>-7.9330325470504698E-2</v>
      </c>
      <c r="AN19" s="3">
        <v>2.8539740471585789E-2</v>
      </c>
      <c r="AO19" s="3">
        <v>2.3521151986376668E-2</v>
      </c>
      <c r="AP19" s="3">
        <v>0.10406327549215991</v>
      </c>
      <c r="AQ19" s="3">
        <v>1.8043551058852521E-3</v>
      </c>
      <c r="AR19" s="3">
        <v>2.9545089678382881E-2</v>
      </c>
      <c r="AS19" s="3">
        <v>-5.7025232144876439E-2</v>
      </c>
      <c r="AT19" s="3">
        <v>0.33000222487138942</v>
      </c>
      <c r="AU19" s="3">
        <v>0.21019997104886151</v>
      </c>
      <c r="AV19" s="3">
        <v>4.0899918655252318E-2</v>
      </c>
      <c r="AW19" s="3">
        <v>0.20316137070783269</v>
      </c>
      <c r="AX19" s="3">
        <v>0.18062020604609161</v>
      </c>
      <c r="AY19" s="3">
        <v>-5.0755236648175051E-2</v>
      </c>
      <c r="AZ19" s="3">
        <v>7.1138165568383274E-2</v>
      </c>
      <c r="BA19" s="3">
        <v>7.382801555419706E-2</v>
      </c>
      <c r="BB19" s="3">
        <v>0.2875566749228311</v>
      </c>
      <c r="BC19" s="3">
        <v>0.16935625308129029</v>
      </c>
      <c r="BD19" s="3">
        <v>4.4108674611468647E-2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2.9441368166143039E-2</v>
      </c>
      <c r="BK19" s="3">
        <v>0.1095323913526333</v>
      </c>
      <c r="BL19" s="3">
        <v>6.7122935241750795E-2</v>
      </c>
      <c r="BM19" s="3">
        <v>4.9110781341881633E-2</v>
      </c>
      <c r="BN19" s="3">
        <v>4.8268498934994991E-2</v>
      </c>
      <c r="BO19" s="3">
        <v>-1.6563016438521531E-2</v>
      </c>
      <c r="BP19" s="3">
        <v>-3.9977851492568321E-2</v>
      </c>
      <c r="BQ19" s="3">
        <v>-7.3551566143554903E-2</v>
      </c>
      <c r="BR19" s="3">
        <v>0.1232395346244242</v>
      </c>
      <c r="BS19" s="3">
        <v>-8.9670615801846071E-3</v>
      </c>
      <c r="BT19" s="3">
        <v>-2.2485274248821002E-2</v>
      </c>
      <c r="BU19" s="3">
        <v>-6.2493293502537198E-2</v>
      </c>
      <c r="BV19" s="3">
        <v>-4.9639260373983238E-2</v>
      </c>
      <c r="BW19" s="3">
        <v>0.35651024469680431</v>
      </c>
      <c r="BX19" s="3">
        <v>-8.5679276135965043E-2</v>
      </c>
      <c r="BY19" s="3">
        <v>-0.15237403588804629</v>
      </c>
      <c r="BZ19" s="3">
        <v>-6.9811512461460043E-2</v>
      </c>
      <c r="CA19" s="3">
        <v>7.2708877660603174E-2</v>
      </c>
      <c r="CB19" s="3">
        <v>-5.8660810862125427E-2</v>
      </c>
      <c r="CC19" s="3">
        <v>0.2417632910805583</v>
      </c>
      <c r="CD19" s="3">
        <v>2.5243296071044839E-2</v>
      </c>
      <c r="CE19" s="3">
        <v>0.18010686808865051</v>
      </c>
      <c r="CF19" s="3">
        <v>-2.0789933068726601E-2</v>
      </c>
      <c r="CG19" s="3">
        <v>0.14129641998391829</v>
      </c>
      <c r="CH19" s="3">
        <v>0.1303475449315222</v>
      </c>
      <c r="CI19" s="3">
        <v>4.5644222280679936E-3</v>
      </c>
      <c r="CJ19" s="3">
        <v>1.8728496744254699E-3</v>
      </c>
      <c r="CK19" s="3">
        <v>0.15223796993137539</v>
      </c>
      <c r="CL19" s="3">
        <v>-0.1631931466549168</v>
      </c>
      <c r="CM19" s="3">
        <v>-2.3024783015160588E-3</v>
      </c>
      <c r="CN19" s="3">
        <v>0.203575447197685</v>
      </c>
      <c r="CO19" s="3">
        <v>0.2235154197732051</v>
      </c>
      <c r="CP19" s="3">
        <v>-0.11837555431378879</v>
      </c>
      <c r="CQ19" s="3">
        <v>4.6129026068822333E-2</v>
      </c>
      <c r="CR19" s="3">
        <v>0.1031272569006812</v>
      </c>
      <c r="CS19" s="3">
        <v>5.5060464824476879E-2</v>
      </c>
      <c r="CT19" s="3">
        <v>7.6451676051782907E-3</v>
      </c>
      <c r="CU19" s="3">
        <v>0.17077278897132989</v>
      </c>
      <c r="CV19" s="3">
        <v>0.13455717083029151</v>
      </c>
      <c r="CW19" s="3">
        <v>6.773106645809171E-2</v>
      </c>
      <c r="CX19" s="3">
        <v>0.1035655166187455</v>
      </c>
      <c r="CY19" s="3">
        <v>7.2991215289993056E-2</v>
      </c>
      <c r="CZ19" s="3">
        <v>1.801165092213633E-2</v>
      </c>
      <c r="DA19" s="3">
        <v>0.18840392454012539</v>
      </c>
      <c r="DB19" s="3">
        <v>0.34675358163682302</v>
      </c>
      <c r="DC19" s="3">
        <v>1.225438147176436E-2</v>
      </c>
      <c r="DD19" s="3">
        <v>3.2007773031956649E-2</v>
      </c>
      <c r="DE19" s="3">
        <v>8.648422729649187E-2</v>
      </c>
      <c r="DF19" s="3">
        <v>-1.562438403350085E-2</v>
      </c>
      <c r="DG19" s="3">
        <v>0.1156741012754892</v>
      </c>
      <c r="DH19" s="3">
        <v>-1.3768818672265429E-2</v>
      </c>
      <c r="DI19" s="3">
        <v>-6.0907595470325121E-2</v>
      </c>
      <c r="DJ19" s="3">
        <v>4.0660305394108559E-2</v>
      </c>
      <c r="DK19" s="3">
        <v>4.0692421355179378E-2</v>
      </c>
      <c r="DL19" s="3">
        <v>-5.1896576032354688E-3</v>
      </c>
      <c r="DM19" s="3">
        <v>4.2875893136251952E-2</v>
      </c>
      <c r="DN19" s="3">
        <v>0.19574439148311651</v>
      </c>
      <c r="DO19" s="3">
        <v>3.9010651523882188E-2</v>
      </c>
      <c r="DP19" s="3">
        <v>0.18722170832684559</v>
      </c>
      <c r="DQ19" s="3">
        <v>5.0447793337120753E-2</v>
      </c>
      <c r="DR19" s="3">
        <v>8.3879474456789352E-2</v>
      </c>
      <c r="DS19" s="3">
        <v>-1.6560303521378172E-2</v>
      </c>
      <c r="DT19" s="3">
        <v>7.3921318815956788E-2</v>
      </c>
      <c r="DU19" s="3">
        <v>0.1945563373493151</v>
      </c>
      <c r="DV19" s="3">
        <v>8.395519445350226E-3</v>
      </c>
      <c r="DW19" s="3">
        <v>-4.0067548642833281E-2</v>
      </c>
      <c r="DX19" s="3">
        <v>-7.2873220173252665E-2</v>
      </c>
      <c r="DY19" s="3">
        <v>-0.10759301853245939</v>
      </c>
      <c r="DZ19" s="3">
        <v>-0.1569433676501622</v>
      </c>
      <c r="EA19" s="3">
        <v>7.774740563882665E-3</v>
      </c>
      <c r="EB19" s="3">
        <v>0.12031809934960069</v>
      </c>
      <c r="EC19" s="3">
        <v>-0.13329982811593349</v>
      </c>
      <c r="ED19" s="3">
        <v>3.3251180511030133E-2</v>
      </c>
      <c r="EE19" s="3">
        <v>5.960284590791292E-2</v>
      </c>
      <c r="EF19" s="3">
        <v>0.1089685047320457</v>
      </c>
      <c r="EG19" s="3">
        <v>0.44044150042745428</v>
      </c>
      <c r="EH19" s="3">
        <v>-1.2381003743444649E-2</v>
      </c>
      <c r="EI19" s="3">
        <v>6.1146519784480158E-3</v>
      </c>
      <c r="EJ19" s="3">
        <v>4.0877305587657758E-2</v>
      </c>
      <c r="EK19" s="3">
        <v>0.1237022591148411</v>
      </c>
      <c r="EL19" s="3">
        <v>2.8358765712586248E-4</v>
      </c>
      <c r="EM19">
        <f t="shared" si="11"/>
        <v>5.397190145455779E-2</v>
      </c>
      <c r="EN19">
        <f t="shared" si="12"/>
        <v>0.11080481551957101</v>
      </c>
      <c r="EO19">
        <f t="shared" si="13"/>
        <v>0.48708985436670799</v>
      </c>
    </row>
    <row r="20" spans="1:145" x14ac:dyDescent="0.3">
      <c r="A20" s="11">
        <v>200</v>
      </c>
      <c r="B20" s="11">
        <f t="shared" si="10"/>
        <v>5</v>
      </c>
      <c r="C20" s="3">
        <v>-7.7247532291167223E-2</v>
      </c>
      <c r="D20" s="3">
        <v>7.3383439908448644E-2</v>
      </c>
      <c r="E20" s="3">
        <v>-6.8320617322066068E-2</v>
      </c>
      <c r="F20" s="3">
        <v>-0.1640011624365548</v>
      </c>
      <c r="G20" s="3">
        <v>0.13326717167358201</v>
      </c>
      <c r="H20" s="3">
        <v>1.746187284294827E-2</v>
      </c>
      <c r="I20" s="3">
        <v>-0.17916341421510079</v>
      </c>
      <c r="J20" s="3">
        <v>-7.7139820050710142E-2</v>
      </c>
      <c r="K20" s="3">
        <v>0.1090072940348538</v>
      </c>
      <c r="L20" s="3">
        <v>-6.3366714195723942E-2</v>
      </c>
      <c r="M20" s="3">
        <v>4.3807329306204637E-2</v>
      </c>
      <c r="N20" s="3">
        <v>0.14490003730717421</v>
      </c>
      <c r="O20" s="3">
        <v>4.2734024757790479E-2</v>
      </c>
      <c r="P20" s="3">
        <v>5.2097243635889842E-2</v>
      </c>
      <c r="Q20" s="3">
        <v>-2.6830945130296449E-2</v>
      </c>
      <c r="R20" s="3">
        <v>7.6644816129848664E-2</v>
      </c>
      <c r="S20" s="3">
        <v>0.27746770687171862</v>
      </c>
      <c r="T20" s="3">
        <v>9.2488241977941019E-2</v>
      </c>
      <c r="U20" s="3">
        <v>-0.13261317091120681</v>
      </c>
      <c r="V20" s="3">
        <v>-7.2880284363465539E-2</v>
      </c>
      <c r="W20" s="3">
        <v>0.1666084892431455</v>
      </c>
      <c r="X20" s="3">
        <v>0.1929023104414854</v>
      </c>
      <c r="Y20" s="3">
        <v>2.457532873154393E-2</v>
      </c>
      <c r="Z20" s="3">
        <v>0.11695890130971</v>
      </c>
      <c r="AA20" s="3">
        <v>9.5415528913027556E-2</v>
      </c>
      <c r="AB20" s="3">
        <v>5.0494224558121747E-2</v>
      </c>
      <c r="AC20" s="3">
        <v>5.0356165119691543E-2</v>
      </c>
      <c r="AD20" s="3">
        <v>-4.0734777719304643E-2</v>
      </c>
      <c r="AE20" s="3">
        <v>0.14193566253016249</v>
      </c>
      <c r="AF20" s="3">
        <v>0.2386840433411182</v>
      </c>
      <c r="AG20" s="3">
        <v>0.1003996103364951</v>
      </c>
      <c r="AH20" s="3">
        <v>-5.3615499657421961E-2</v>
      </c>
      <c r="AI20" s="3">
        <v>3.0638748971120702E-2</v>
      </c>
      <c r="AJ20" s="3">
        <v>0.13945097761494249</v>
      </c>
      <c r="AK20" s="3">
        <v>1.473016663274686E-2</v>
      </c>
      <c r="AL20" s="3">
        <v>0.11918755941943721</v>
      </c>
      <c r="AM20" s="3">
        <v>-6.5359429926605636E-2</v>
      </c>
      <c r="AN20" s="3">
        <v>4.3637965527365687E-2</v>
      </c>
      <c r="AO20" s="3">
        <v>3.3309502134405873E-2</v>
      </c>
      <c r="AP20" s="3">
        <v>0.14727206317956049</v>
      </c>
      <c r="AQ20" s="3">
        <v>-2.2718043509262941E-2</v>
      </c>
      <c r="AR20" s="3">
        <v>-2.097792210223048E-3</v>
      </c>
      <c r="AS20" s="3">
        <v>-7.3246355688317957E-2</v>
      </c>
      <c r="AT20" s="3">
        <v>0.2030625906437723</v>
      </c>
      <c r="AU20" s="3">
        <v>0.2020390092933958</v>
      </c>
      <c r="AV20" s="3">
        <v>2.6086323130645791E-2</v>
      </c>
      <c r="AW20" s="3">
        <v>0.26649662239130972</v>
      </c>
      <c r="AX20" s="3">
        <v>0.1790139480206687</v>
      </c>
      <c r="AY20" s="3">
        <v>-7.4627353203724864E-2</v>
      </c>
      <c r="AZ20" s="3">
        <v>9.4730207884381773E-2</v>
      </c>
      <c r="BA20" s="3">
        <v>0.18886036911881371</v>
      </c>
      <c r="BB20" s="3">
        <v>0.29812630867494172</v>
      </c>
      <c r="BC20" s="3">
        <v>9.4655254250196011E-2</v>
      </c>
      <c r="BD20" s="3">
        <v>5.7248536052235913E-2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2.9139871065308031E-2</v>
      </c>
      <c r="BK20" s="3">
        <v>-1.5347523542533191E-3</v>
      </c>
      <c r="BL20" s="3">
        <v>7.4609523730898381E-2</v>
      </c>
      <c r="BM20" s="3">
        <v>5.6480862732913917E-2</v>
      </c>
      <c r="BN20" s="3">
        <v>5.9194865252573579E-2</v>
      </c>
      <c r="BO20" s="3">
        <v>4.7709954030606466E-3</v>
      </c>
      <c r="BP20" s="3">
        <v>-3.0945059192428279E-2</v>
      </c>
      <c r="BQ20" s="3">
        <v>-9.3865646339479802E-2</v>
      </c>
      <c r="BR20" s="3">
        <v>0.15807727770591359</v>
      </c>
      <c r="BS20" s="3">
        <v>-2.4364630143780739E-2</v>
      </c>
      <c r="BT20" s="3">
        <v>-3.6055404801430851E-2</v>
      </c>
      <c r="BU20" s="3">
        <v>-5.0555818908897078E-2</v>
      </c>
      <c r="BV20" s="3">
        <v>-5.7447555262872832E-2</v>
      </c>
      <c r="BW20" s="3">
        <v>0.42242581710555699</v>
      </c>
      <c r="BX20" s="3">
        <v>-2.965654223071167E-2</v>
      </c>
      <c r="BY20" s="3">
        <v>-0.166833858171889</v>
      </c>
      <c r="BZ20" s="3">
        <v>-5.1367435606713009E-2</v>
      </c>
      <c r="CA20" s="3">
        <v>8.7851899082509066E-2</v>
      </c>
      <c r="CB20" s="3">
        <v>-3.3946755855979921E-2</v>
      </c>
      <c r="CC20" s="3">
        <v>0.2670957339038651</v>
      </c>
      <c r="CD20" s="3">
        <v>-2.1518145989787421E-2</v>
      </c>
      <c r="CE20" s="3">
        <v>0.20858726240314901</v>
      </c>
      <c r="CF20" s="3">
        <v>-1.186602010762987E-2</v>
      </c>
      <c r="CG20" s="3">
        <v>0.1317137537872772</v>
      </c>
      <c r="CH20" s="3">
        <v>0.13470827654387199</v>
      </c>
      <c r="CI20" s="3">
        <v>5.137750414440645E-4</v>
      </c>
      <c r="CJ20" s="3">
        <v>-5.155594518816041E-2</v>
      </c>
      <c r="CK20" s="3">
        <v>0.1133929332981321</v>
      </c>
      <c r="CL20" s="3">
        <v>-0.28878006600435452</v>
      </c>
      <c r="CM20" s="3">
        <v>-4.458767901317065E-2</v>
      </c>
      <c r="CN20" s="3">
        <v>0.10407991005966639</v>
      </c>
      <c r="CO20" s="3">
        <v>0.28663326181220211</v>
      </c>
      <c r="CP20" s="3">
        <v>-0.1645116595679032</v>
      </c>
      <c r="CQ20" s="3">
        <v>4.5176644179017067E-2</v>
      </c>
      <c r="CR20" s="3">
        <v>0.11594260530644281</v>
      </c>
      <c r="CS20" s="3">
        <v>3.5040747913517453E-2</v>
      </c>
      <c r="CT20" s="3">
        <v>3.4364019328356241E-2</v>
      </c>
      <c r="CU20" s="3">
        <v>0.16194416727056149</v>
      </c>
      <c r="CV20" s="3">
        <v>0.15168960754829389</v>
      </c>
      <c r="CW20" s="3">
        <v>5.3587191859861633E-2</v>
      </c>
      <c r="CX20" s="3">
        <v>9.1172230679345184E-2</v>
      </c>
      <c r="CY20" s="3">
        <v>9.0125293189851824E-2</v>
      </c>
      <c r="CZ20" s="3">
        <v>8.0005485064748305E-3</v>
      </c>
      <c r="DA20" s="3">
        <v>0.27208393547098048</v>
      </c>
      <c r="DB20" s="3">
        <v>0.40898022058223032</v>
      </c>
      <c r="DC20" s="3">
        <v>0.1076132892084308</v>
      </c>
      <c r="DD20" s="3">
        <v>3.4565162089503582E-2</v>
      </c>
      <c r="DE20" s="3">
        <v>6.7537504091512657E-2</v>
      </c>
      <c r="DF20" s="3">
        <v>-3.6241437687836719E-5</v>
      </c>
      <c r="DG20" s="3">
        <v>0.14042925077002061</v>
      </c>
      <c r="DH20" s="3">
        <v>-1.552048269913851E-2</v>
      </c>
      <c r="DI20" s="3">
        <v>-2.749454079454907E-2</v>
      </c>
      <c r="DJ20" s="3">
        <v>1.5727649400214851E-2</v>
      </c>
      <c r="DK20" s="3">
        <v>2.7288253863589911E-3</v>
      </c>
      <c r="DL20" s="3">
        <v>5.464949574950681E-3</v>
      </c>
      <c r="DM20" s="3">
        <v>7.3288815523190165E-2</v>
      </c>
      <c r="DN20" s="3">
        <v>0.22684224168146461</v>
      </c>
      <c r="DO20" s="3">
        <v>-1.7855120094467311E-2</v>
      </c>
      <c r="DP20" s="3">
        <v>0.17009871997576789</v>
      </c>
      <c r="DQ20" s="3">
        <v>4.1618122190411319E-2</v>
      </c>
      <c r="DR20" s="3">
        <v>7.4508531747454976E-2</v>
      </c>
      <c r="DS20" s="3">
        <v>-3.8235208247916201E-2</v>
      </c>
      <c r="DT20" s="3">
        <v>6.8042387127364698E-2</v>
      </c>
      <c r="DU20" s="3">
        <v>0.24265585275046769</v>
      </c>
      <c r="DV20" s="3">
        <v>4.1788597291417262E-2</v>
      </c>
      <c r="DW20" s="3">
        <v>-4.9423471656750532E-2</v>
      </c>
      <c r="DX20" s="3">
        <v>-0.1188989417226772</v>
      </c>
      <c r="DY20" s="3">
        <v>-0.19059859320622971</v>
      </c>
      <c r="DZ20" s="3">
        <v>-0.19320279881304969</v>
      </c>
      <c r="EA20" s="3">
        <v>2.060182675304867E-3</v>
      </c>
      <c r="EB20" s="3">
        <v>0.13359364119037129</v>
      </c>
      <c r="EC20" s="3">
        <v>-0.14187264579522241</v>
      </c>
      <c r="ED20" s="3">
        <v>8.2967308695257799E-3</v>
      </c>
      <c r="EE20" s="3">
        <v>2.8226265489816601E-2</v>
      </c>
      <c r="EF20" s="3">
        <v>0.13834706780609279</v>
      </c>
      <c r="EG20" s="3">
        <v>0.45349068161603578</v>
      </c>
      <c r="EH20" s="3">
        <v>-8.7684410243298316E-3</v>
      </c>
      <c r="EI20" s="3">
        <v>-5.1742311728768531E-2</v>
      </c>
      <c r="EJ20" s="3">
        <v>2.770907509652407E-2</v>
      </c>
      <c r="EK20" s="3">
        <v>0.14654902267031489</v>
      </c>
      <c r="EL20" s="3">
        <v>1.9673717563836391E-2</v>
      </c>
      <c r="EM20">
        <f t="shared" si="11"/>
        <v>5.3189382673191982E-2</v>
      </c>
      <c r="EN20">
        <f t="shared" si="12"/>
        <v>0.12143074296015273</v>
      </c>
      <c r="EO20">
        <f t="shared" si="13"/>
        <v>0.43802237700749291</v>
      </c>
    </row>
    <row r="21" spans="1:145" x14ac:dyDescent="0.3">
      <c r="A21" s="11">
        <v>256</v>
      </c>
      <c r="B21" s="11">
        <f t="shared" si="10"/>
        <v>4</v>
      </c>
      <c r="C21" s="3">
        <v>1.190207271587417E-2</v>
      </c>
      <c r="D21" s="3">
        <v>6.3998324546699403E-2</v>
      </c>
      <c r="E21" s="3">
        <v>9.6158537925814802E-3</v>
      </c>
      <c r="F21" s="3">
        <v>-0.18403858160612999</v>
      </c>
      <c r="G21" s="3">
        <v>6.2455603007767313E-2</v>
      </c>
      <c r="H21" s="3">
        <v>-5.2945065547031503E-2</v>
      </c>
      <c r="I21" s="3">
        <v>-0.23932306217775401</v>
      </c>
      <c r="J21" s="3">
        <v>-9.0566639244446828E-2</v>
      </c>
      <c r="K21" s="3">
        <v>5.6385823452699692E-2</v>
      </c>
      <c r="L21" s="3">
        <v>-7.3002634445401865E-2</v>
      </c>
      <c r="M21" s="3">
        <v>-2.9350118045452199E-2</v>
      </c>
      <c r="N21" s="3">
        <v>0.1442028904226075</v>
      </c>
      <c r="O21" s="3">
        <v>5.8855140112437657E-2</v>
      </c>
      <c r="P21" s="3">
        <v>8.8165606280514466E-2</v>
      </c>
      <c r="Q21" s="3">
        <v>1.774400360456101E-2</v>
      </c>
      <c r="R21" s="3">
        <v>0.1042261533567273</v>
      </c>
      <c r="S21" s="3">
        <v>0.25468280250588032</v>
      </c>
      <c r="T21" s="3">
        <v>0.1157189576337045</v>
      </c>
      <c r="U21" s="3">
        <v>-0.1209768651543163</v>
      </c>
      <c r="V21" s="3">
        <v>-2.8497686040694591E-2</v>
      </c>
      <c r="W21" s="3">
        <v>0.1630558798265769</v>
      </c>
      <c r="X21" s="3">
        <v>0.19383701512214321</v>
      </c>
      <c r="Y21" s="3">
        <v>1.3138882269357629E-2</v>
      </c>
      <c r="Z21" s="3">
        <v>0.13186385509314039</v>
      </c>
      <c r="AA21" s="3">
        <v>9.2108181599923677E-2</v>
      </c>
      <c r="AB21" s="3">
        <v>9.1675376774355166E-2</v>
      </c>
      <c r="AC21" s="3">
        <v>6.1997929262369307E-2</v>
      </c>
      <c r="AD21" s="3">
        <v>-7.3114424521115023E-2</v>
      </c>
      <c r="AE21" s="3">
        <v>0.15043393360703219</v>
      </c>
      <c r="AF21" s="3">
        <v>0.24276149706013739</v>
      </c>
      <c r="AG21" s="3">
        <v>8.6544990394223004E-2</v>
      </c>
      <c r="AH21" s="3">
        <v>-2.590800587773848E-2</v>
      </c>
      <c r="AI21" s="3">
        <v>-2.271891412517683E-2</v>
      </c>
      <c r="AJ21" s="3">
        <v>0.2270313937955809</v>
      </c>
      <c r="AK21" s="3">
        <v>1.2863296790230331E-2</v>
      </c>
      <c r="AL21" s="3">
        <v>0.1124515078073525</v>
      </c>
      <c r="AM21" s="3">
        <v>5.3939409014164517E-2</v>
      </c>
      <c r="AN21" s="3">
        <v>-2.489242501305761E-2</v>
      </c>
      <c r="AO21" s="3">
        <v>0.1803604878600828</v>
      </c>
      <c r="AP21" s="3">
        <v>0.18453516644040691</v>
      </c>
      <c r="AQ21" s="3">
        <v>-4.6577566106297097E-2</v>
      </c>
      <c r="AR21" s="3">
        <v>-3.8219096310563187E-2</v>
      </c>
      <c r="AS21" s="3">
        <v>-0.1174173206585938</v>
      </c>
      <c r="AT21" s="3">
        <v>0.21118406973015361</v>
      </c>
      <c r="AU21" s="3">
        <v>0.26089728822828062</v>
      </c>
      <c r="AV21" s="3">
        <v>1.3890262137370921E-2</v>
      </c>
      <c r="AW21" s="3">
        <v>0.28277325166272288</v>
      </c>
      <c r="AX21" s="3">
        <v>0.15731136441856319</v>
      </c>
      <c r="AY21" s="3">
        <v>-6.8643769529244045E-2</v>
      </c>
      <c r="AZ21" s="3">
        <v>0.16404772824859379</v>
      </c>
      <c r="BA21" s="3">
        <v>4.544732117394476E-2</v>
      </c>
      <c r="BB21" s="3">
        <v>0.41331182729103239</v>
      </c>
      <c r="BC21" s="3">
        <v>6.0694417336185663E-2</v>
      </c>
      <c r="BD21" s="3">
        <v>0.1079904145193968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2.3095902254964521E-3</v>
      </c>
      <c r="BK21" s="3">
        <v>-4.7851688152755461E-3</v>
      </c>
      <c r="BL21" s="3">
        <v>9.4508282582240866E-2</v>
      </c>
      <c r="BM21" s="3">
        <v>4.0795286028720637E-2</v>
      </c>
      <c r="BN21" s="3">
        <v>0.13458789516375211</v>
      </c>
      <c r="BO21" s="3">
        <v>3.2798342177941468E-2</v>
      </c>
      <c r="BP21" s="3">
        <v>7.591158585923595E-3</v>
      </c>
      <c r="BQ21" s="3">
        <v>-7.1046843066567195E-2</v>
      </c>
      <c r="BR21" s="3">
        <v>0.13736323231692041</v>
      </c>
      <c r="BS21" s="3">
        <v>-2.9758592738494131E-2</v>
      </c>
      <c r="BT21" s="3">
        <v>-1.176408289349291E-2</v>
      </c>
      <c r="BU21" s="3">
        <v>-0.17779225560485529</v>
      </c>
      <c r="BV21" s="3">
        <v>-8.2098962201967898E-2</v>
      </c>
      <c r="BW21" s="3">
        <v>0.54260972749319392</v>
      </c>
      <c r="BX21" s="3">
        <v>-4.9095074015611903E-2</v>
      </c>
      <c r="BY21" s="3">
        <v>-0.1035570675713471</v>
      </c>
      <c r="BZ21" s="3">
        <v>-6.4052105580091667E-2</v>
      </c>
      <c r="CA21" s="3">
        <v>0.1496738934245482</v>
      </c>
      <c r="CB21" s="3">
        <v>-1.6670547569812351E-2</v>
      </c>
      <c r="CC21" s="3">
        <v>0.17931874603036521</v>
      </c>
      <c r="CD21" s="3">
        <v>5.473506970604039E-2</v>
      </c>
      <c r="CE21" s="3">
        <v>0.12651489819277911</v>
      </c>
      <c r="CF21" s="3">
        <v>1.6372110636307339E-2</v>
      </c>
      <c r="CG21" s="3">
        <v>0.15287279607197121</v>
      </c>
      <c r="CH21" s="3">
        <v>0.12696361866002889</v>
      </c>
      <c r="CI21" s="3">
        <v>7.5619131398056982E-3</v>
      </c>
      <c r="CJ21" s="3">
        <v>-1.9661774165692179E-2</v>
      </c>
      <c r="CK21" s="3">
        <v>0.23663133235579659</v>
      </c>
      <c r="CL21" s="3">
        <v>-0.35019811193364497</v>
      </c>
      <c r="CM21" s="3">
        <v>-0.1067399960032285</v>
      </c>
      <c r="CN21" s="3">
        <v>0.1638513163528047</v>
      </c>
      <c r="CO21" s="3">
        <v>0.29725993832316078</v>
      </c>
      <c r="CP21" s="3">
        <v>-0.12221034556460759</v>
      </c>
      <c r="CQ21" s="3">
        <v>4.7072420475831933E-2</v>
      </c>
      <c r="CR21" s="3">
        <v>0.1197085447372189</v>
      </c>
      <c r="CS21" s="3">
        <v>-3.1863383103708537E-2</v>
      </c>
      <c r="CT21" s="3">
        <v>5.1451000930628023E-2</v>
      </c>
      <c r="CU21" s="3">
        <v>0.17793682006611869</v>
      </c>
      <c r="CV21" s="3">
        <v>0.20039655861827799</v>
      </c>
      <c r="CW21" s="3">
        <v>4.3841589312089903E-2</v>
      </c>
      <c r="CX21" s="3">
        <v>3.7793903089870851E-2</v>
      </c>
      <c r="CY21" s="3">
        <v>0.1106503068143025</v>
      </c>
      <c r="CZ21" s="3">
        <v>-8.887359157592728E-3</v>
      </c>
      <c r="DA21" s="3">
        <v>0.32782131059956438</v>
      </c>
      <c r="DB21" s="3">
        <v>0.48864452603191599</v>
      </c>
      <c r="DC21" s="3">
        <v>8.6487242930302077E-2</v>
      </c>
      <c r="DD21" s="3">
        <v>3.3671195797877647E-2</v>
      </c>
      <c r="DE21" s="3">
        <v>3.2131777435027223E-2</v>
      </c>
      <c r="DF21" s="3">
        <v>1.189933772549615E-2</v>
      </c>
      <c r="DG21" s="3">
        <v>0.1282306235995887</v>
      </c>
      <c r="DH21" s="3">
        <v>-3.4712119132136181E-3</v>
      </c>
      <c r="DI21" s="3">
        <v>-5.3926294667070072E-2</v>
      </c>
      <c r="DJ21" s="3">
        <v>-3.5598969460519367E-2</v>
      </c>
      <c r="DK21" s="3">
        <v>2.1545303149642842E-2</v>
      </c>
      <c r="DL21" s="3">
        <v>2.1920188588726831E-2</v>
      </c>
      <c r="DM21" s="3">
        <v>0.1162525000516713</v>
      </c>
      <c r="DN21" s="3">
        <v>0.32191567956678868</v>
      </c>
      <c r="DO21" s="3">
        <v>1.4066410155289951E-2</v>
      </c>
      <c r="DP21" s="3">
        <v>0.1148991090783347</v>
      </c>
      <c r="DQ21" s="3">
        <v>0.1092082834775548</v>
      </c>
      <c r="DR21" s="3">
        <v>0.1053864577621043</v>
      </c>
      <c r="DS21" s="3">
        <v>0.1068253817907779</v>
      </c>
      <c r="DT21" s="3">
        <v>-7.8939330138467281E-3</v>
      </c>
      <c r="DU21" s="3">
        <v>0.32089058419434002</v>
      </c>
      <c r="DV21" s="3">
        <v>5.2149153198353962E-2</v>
      </c>
      <c r="DW21" s="3">
        <v>-0.1201976564496203</v>
      </c>
      <c r="DX21" s="3">
        <v>-0.1168288898747825</v>
      </c>
      <c r="DY21" s="3">
        <v>-0.12017983297387171</v>
      </c>
      <c r="DZ21" s="3">
        <v>-0.20976460288639329</v>
      </c>
      <c r="EA21" s="3">
        <v>-5.3623856450899947E-2</v>
      </c>
      <c r="EB21" s="3">
        <v>8.9072392905037934E-2</v>
      </c>
      <c r="EC21" s="3">
        <v>-0.14009401795222581</v>
      </c>
      <c r="ED21" s="3">
        <v>-0.15793452261161731</v>
      </c>
      <c r="EE21" s="3">
        <v>1.241716631221753E-2</v>
      </c>
      <c r="EF21" s="3">
        <v>0.17137312216806519</v>
      </c>
      <c r="EG21" s="3">
        <v>0.57002336715213819</v>
      </c>
      <c r="EH21" s="3">
        <v>-2.6426669615196342E-2</v>
      </c>
      <c r="EI21" s="3">
        <v>-0.1529727938292951</v>
      </c>
      <c r="EJ21" s="3">
        <v>2.3148967267547609E-2</v>
      </c>
      <c r="EK21" s="3">
        <v>0.15458699575729079</v>
      </c>
      <c r="EL21" s="3">
        <v>0.1054220111564122</v>
      </c>
      <c r="EM21">
        <f t="shared" si="11"/>
        <v>5.9485928815068513E-2</v>
      </c>
      <c r="EN21">
        <f t="shared" si="12"/>
        <v>0.14195098634872574</v>
      </c>
      <c r="EO21">
        <f t="shared" si="13"/>
        <v>0.41905963702803467</v>
      </c>
    </row>
    <row r="22" spans="1:145" x14ac:dyDescent="0.3">
      <c r="A22" s="11">
        <v>400</v>
      </c>
      <c r="B22" s="11">
        <f t="shared" si="10"/>
        <v>3</v>
      </c>
      <c r="C22" s="3">
        <v>1.083089340061978E-2</v>
      </c>
      <c r="D22" s="3">
        <v>9.7627409145960867E-2</v>
      </c>
      <c r="E22" s="3">
        <v>2.2230412259238129E-2</v>
      </c>
      <c r="F22" s="3">
        <v>-6.7831060921277567E-2</v>
      </c>
      <c r="G22" s="3">
        <v>0.1038843632903341</v>
      </c>
      <c r="H22" s="3">
        <v>-0.22980554449140059</v>
      </c>
      <c r="I22" s="3">
        <v>-0.25443290291045001</v>
      </c>
      <c r="J22" s="3">
        <v>-0.1183782811822881</v>
      </c>
      <c r="K22" s="3">
        <v>0.1006611454503521</v>
      </c>
      <c r="L22" s="3">
        <v>-0.12894877287545589</v>
      </c>
      <c r="M22" s="3">
        <v>-1.6096386535256649E-2</v>
      </c>
      <c r="N22" s="3">
        <v>0.13760495623780411</v>
      </c>
      <c r="O22" s="3">
        <v>8.4166448593656545E-2</v>
      </c>
      <c r="P22" s="3">
        <v>8.822230609834375E-2</v>
      </c>
      <c r="Q22" s="3">
        <v>3.4657141021438742E-2</v>
      </c>
      <c r="R22" s="3">
        <v>0.18638739658007181</v>
      </c>
      <c r="S22" s="3">
        <v>7.2840826515003912E-2</v>
      </c>
      <c r="T22" s="3">
        <v>0.13585714956761111</v>
      </c>
      <c r="U22" s="3">
        <v>-0.22831526020545559</v>
      </c>
      <c r="V22" s="3">
        <v>6.1265227232740922E-2</v>
      </c>
      <c r="W22" s="3">
        <v>0.15624265358615441</v>
      </c>
      <c r="X22" s="3">
        <v>0.1578500516608691</v>
      </c>
      <c r="Y22" s="3">
        <v>9.3219142774314478E-2</v>
      </c>
      <c r="Z22" s="3">
        <v>0.1264880361063952</v>
      </c>
      <c r="AA22" s="3">
        <v>5.2507971845559408E-2</v>
      </c>
      <c r="AB22" s="3">
        <v>0.172381252532154</v>
      </c>
      <c r="AC22" s="3">
        <v>6.1227953935459191E-2</v>
      </c>
      <c r="AD22" s="3">
        <v>-5.7995871092346052E-2</v>
      </c>
      <c r="AE22" s="3">
        <v>0.13325425166370131</v>
      </c>
      <c r="AF22" s="3">
        <v>0.27237224992142972</v>
      </c>
      <c r="AG22" s="3">
        <v>0.1084651465802003</v>
      </c>
      <c r="AH22" s="3">
        <v>0.27180152500680921</v>
      </c>
      <c r="AI22" s="3">
        <v>2.049960797509837E-2</v>
      </c>
      <c r="AJ22" s="3">
        <v>8.5451172373276051E-3</v>
      </c>
      <c r="AK22" s="3">
        <v>-2.0120967854612849E-2</v>
      </c>
      <c r="AL22" s="3">
        <v>0.18584438026507921</v>
      </c>
      <c r="AM22" s="3">
        <v>8.232421846819421E-2</v>
      </c>
      <c r="AN22" s="3">
        <v>-3.4381372526441842E-2</v>
      </c>
      <c r="AO22" s="3">
        <v>0.23610215360517761</v>
      </c>
      <c r="AP22" s="3">
        <v>0.2288312981267964</v>
      </c>
      <c r="AQ22" s="3">
        <v>-0.17906239408298319</v>
      </c>
      <c r="AR22" s="3">
        <v>-0.1247636093395899</v>
      </c>
      <c r="AS22" s="3">
        <v>-2.2170482112280659E-2</v>
      </c>
      <c r="AT22" s="3">
        <v>0.1136043448595091</v>
      </c>
      <c r="AU22" s="3">
        <v>0.26832386549208792</v>
      </c>
      <c r="AV22" s="3">
        <v>7.9203228670756201E-2</v>
      </c>
      <c r="AW22" s="3">
        <v>0.416894568719475</v>
      </c>
      <c r="AX22" s="3">
        <v>-4.7737840971480427E-2</v>
      </c>
      <c r="AY22" s="3">
        <v>-4.1015182660395492E-2</v>
      </c>
      <c r="AZ22" s="3">
        <v>0.20190115560187241</v>
      </c>
      <c r="BA22" s="3">
        <v>8.046836410108664E-2</v>
      </c>
      <c r="BB22" s="3">
        <v>0.49016727339116178</v>
      </c>
      <c r="BC22" s="3">
        <v>7.2129480621492451E-2</v>
      </c>
      <c r="BD22" s="3">
        <v>8.6362317283569245E-2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7.0714564721851059E-2</v>
      </c>
      <c r="BK22" s="3">
        <v>4.1524494204098284E-3</v>
      </c>
      <c r="BL22" s="3">
        <v>0.11765694936342749</v>
      </c>
      <c r="BM22" s="3">
        <v>2.4304832455331882E-3</v>
      </c>
      <c r="BN22" s="3">
        <v>-2.851880646397522E-2</v>
      </c>
      <c r="BO22" s="3">
        <v>1.4557996898403079E-2</v>
      </c>
      <c r="BP22" s="3">
        <v>4.4541283450085241E-2</v>
      </c>
      <c r="BQ22" s="3">
        <v>-5.4742685729096567E-2</v>
      </c>
      <c r="BR22" s="3">
        <v>0.14695670382074311</v>
      </c>
      <c r="BS22" s="3">
        <v>4.4078422998684391E-2</v>
      </c>
      <c r="BT22" s="3">
        <v>7.5653419255075294E-2</v>
      </c>
      <c r="BU22" s="3">
        <v>-0.13235233602007071</v>
      </c>
      <c r="BV22" s="3">
        <v>-4.7266464511905519E-2</v>
      </c>
      <c r="BW22" s="3">
        <v>0.31056566332134172</v>
      </c>
      <c r="BX22" s="3">
        <v>-8.5724598002880903E-2</v>
      </c>
      <c r="BY22" s="3">
        <v>-0.21014167875881959</v>
      </c>
      <c r="BZ22" s="3">
        <v>-0.13183529465347471</v>
      </c>
      <c r="CA22" s="3">
        <v>0.25297467918802918</v>
      </c>
      <c r="CB22" s="3">
        <v>1.105789738556723E-2</v>
      </c>
      <c r="CC22" s="3">
        <v>0.27544481942343019</v>
      </c>
      <c r="CD22" s="3">
        <v>-0.1157693263200997</v>
      </c>
      <c r="CE22" s="3">
        <v>0.15729287162483249</v>
      </c>
      <c r="CF22" s="3">
        <v>3.0126654752079939E-2</v>
      </c>
      <c r="CG22" s="3">
        <v>0.32392308344577347</v>
      </c>
      <c r="CH22" s="3">
        <v>9.5389298045437471E-2</v>
      </c>
      <c r="CI22" s="3">
        <v>3.5613359143686137E-2</v>
      </c>
      <c r="CJ22" s="3">
        <v>-1.05407193393019E-2</v>
      </c>
      <c r="CK22" s="3">
        <v>0.17643920814984551</v>
      </c>
      <c r="CL22" s="3">
        <v>-0.45805725945091968</v>
      </c>
      <c r="CM22" s="3">
        <v>-0.1320738212384748</v>
      </c>
      <c r="CN22" s="3">
        <v>0.18215712511011631</v>
      </c>
      <c r="CO22" s="3">
        <v>0.40281884348616209</v>
      </c>
      <c r="CP22" s="3">
        <v>-0.21852930022888059</v>
      </c>
      <c r="CQ22" s="3">
        <v>9.2165908408294861E-2</v>
      </c>
      <c r="CR22" s="3">
        <v>0.1063310736371918</v>
      </c>
      <c r="CS22" s="3">
        <v>-6.8236066991472957E-2</v>
      </c>
      <c r="CT22" s="3">
        <v>5.0872553540877996E-3</v>
      </c>
      <c r="CU22" s="3">
        <v>0.19271417485125961</v>
      </c>
      <c r="CV22" s="3">
        <v>0.2362808128295201</v>
      </c>
      <c r="CW22" s="3">
        <v>-1.0226546296446719E-2</v>
      </c>
      <c r="CX22" s="3">
        <v>5.3668438098670723E-2</v>
      </c>
      <c r="CY22" s="3">
        <v>0.13548943365441571</v>
      </c>
      <c r="CZ22" s="3">
        <v>2.1955487924134182E-3</v>
      </c>
      <c r="DA22" s="3">
        <v>0.36680245970498249</v>
      </c>
      <c r="DB22" s="3">
        <v>0.59337517172623166</v>
      </c>
      <c r="DC22" s="3">
        <v>0.14116723571930959</v>
      </c>
      <c r="DD22" s="3">
        <v>0.1383546535444734</v>
      </c>
      <c r="DE22" s="3">
        <v>-1.7756503501932811E-2</v>
      </c>
      <c r="DF22" s="3">
        <v>-2.237788252120439E-2</v>
      </c>
      <c r="DG22" s="3">
        <v>0.1848371904930898</v>
      </c>
      <c r="DH22" s="3">
        <v>-5.5811676332512411E-3</v>
      </c>
      <c r="DI22" s="3">
        <v>1.683437269848209E-3</v>
      </c>
      <c r="DJ22" s="3">
        <v>-2.786499768424489E-3</v>
      </c>
      <c r="DK22" s="3">
        <v>-9.2543489168821179E-3</v>
      </c>
      <c r="DL22" s="3">
        <v>3.31091150919431E-2</v>
      </c>
      <c r="DM22" s="3">
        <v>1.9996291673307021E-2</v>
      </c>
      <c r="DN22" s="3">
        <v>0.3004957821395095</v>
      </c>
      <c r="DO22" s="3">
        <v>-6.1460673285183669E-2</v>
      </c>
      <c r="DP22" s="3">
        <v>8.8552486437397188E-2</v>
      </c>
      <c r="DQ22" s="3">
        <v>0.21106094176177309</v>
      </c>
      <c r="DR22" s="3">
        <v>0.12904397587674049</v>
      </c>
      <c r="DS22" s="3">
        <v>0.13891982403128081</v>
      </c>
      <c r="DT22" s="3">
        <v>3.8469137611300892E-2</v>
      </c>
      <c r="DU22" s="3">
        <v>0.39947641885448221</v>
      </c>
      <c r="DV22" s="3">
        <v>9.1775838761170375E-2</v>
      </c>
      <c r="DW22" s="3">
        <v>2.487769030156459E-2</v>
      </c>
      <c r="DX22" s="3">
        <v>-0.1643521240415392</v>
      </c>
      <c r="DY22" s="3">
        <v>-0.1416342571500728</v>
      </c>
      <c r="DZ22" s="3">
        <v>-0.17790368694674619</v>
      </c>
      <c r="EA22" s="3">
        <v>-5.4226640136078239E-2</v>
      </c>
      <c r="EB22" s="3">
        <v>0.20437536021575409</v>
      </c>
      <c r="EC22" s="3">
        <v>2.8428811778050931E-2</v>
      </c>
      <c r="ED22" s="3">
        <v>-0.18368198650415579</v>
      </c>
      <c r="EE22" s="3">
        <v>-4.1797260386268381E-2</v>
      </c>
      <c r="EF22" s="3">
        <v>0.1611462010182779</v>
      </c>
      <c r="EG22" s="3">
        <v>0.73770718935007829</v>
      </c>
      <c r="EH22" s="3">
        <v>-1.2167207592622331E-2</v>
      </c>
      <c r="EI22" s="3">
        <v>-9.9205856093462108E-2</v>
      </c>
      <c r="EJ22" s="3">
        <v>8.3601728889601129E-2</v>
      </c>
      <c r="EK22" s="3">
        <v>0.24984676652687571</v>
      </c>
      <c r="EL22" s="3">
        <v>0.14315607731487029</v>
      </c>
      <c r="EM22">
        <f t="shared" si="11"/>
        <v>6.7479248290370594E-2</v>
      </c>
      <c r="EN22">
        <f t="shared" si="12"/>
        <v>0.16463879950030882</v>
      </c>
      <c r="EO22">
        <f t="shared" si="13"/>
        <v>0.4098623683795995</v>
      </c>
    </row>
    <row r="23" spans="1:145" x14ac:dyDescent="0.3">
      <c r="A23" s="11">
        <v>512</v>
      </c>
      <c r="B23" s="11">
        <f t="shared" si="10"/>
        <v>2</v>
      </c>
      <c r="C23" s="3">
        <v>3.1325684581971477E-2</v>
      </c>
      <c r="D23" s="3">
        <v>8.8966622734356765E-2</v>
      </c>
      <c r="E23" s="3">
        <v>1.5061587686965401E-2</v>
      </c>
      <c r="F23" s="3">
        <v>-0.1823960753208787</v>
      </c>
      <c r="G23" s="3">
        <v>-2.6971568524368019E-2</v>
      </c>
      <c r="H23" s="3">
        <v>-0.2628102412014528</v>
      </c>
      <c r="I23" s="3">
        <v>-0.25570287206557712</v>
      </c>
      <c r="J23" s="3">
        <v>-0.15529381690298319</v>
      </c>
      <c r="K23" s="3">
        <v>0.14148271525764719</v>
      </c>
      <c r="L23" s="3">
        <v>-0.23244436104246219</v>
      </c>
      <c r="M23" s="3">
        <v>-6.6725323868973827E-2</v>
      </c>
      <c r="N23" s="3">
        <v>0.1038317212738903</v>
      </c>
      <c r="O23" s="3">
        <v>-2.3021517522107062E-3</v>
      </c>
      <c r="P23" s="3">
        <v>0.1173354723884273</v>
      </c>
      <c r="Q23" s="3">
        <v>6.7091137337957185E-2</v>
      </c>
      <c r="R23" s="3">
        <v>7.5413382280886121E-2</v>
      </c>
      <c r="S23" s="3">
        <v>8.401148311947354E-2</v>
      </c>
      <c r="T23" s="3">
        <v>3.9614189164827618E-2</v>
      </c>
      <c r="U23" s="3">
        <v>-0.22186949203641559</v>
      </c>
      <c r="V23" s="3">
        <v>0.16529276572388771</v>
      </c>
      <c r="W23" s="3">
        <v>0.13653490355992831</v>
      </c>
      <c r="X23" s="3">
        <v>0.1817811857978229</v>
      </c>
      <c r="Y23" s="3">
        <v>0.20414744900244591</v>
      </c>
      <c r="Z23" s="3">
        <v>0.112147298723505</v>
      </c>
      <c r="AA23" s="3">
        <v>0.1301052442445611</v>
      </c>
      <c r="AB23" s="3">
        <v>0.21023529018375359</v>
      </c>
      <c r="AC23" s="3">
        <v>0.1726681468782954</v>
      </c>
      <c r="AD23" s="3">
        <v>-1.7187803589621329E-2</v>
      </c>
      <c r="AE23" s="3">
        <v>0.15243653556779671</v>
      </c>
      <c r="AF23" s="3">
        <v>0.19177289444394499</v>
      </c>
      <c r="AG23" s="3">
        <v>0.21060555382725649</v>
      </c>
      <c r="AH23" s="3">
        <v>0.42311474546283429</v>
      </c>
      <c r="AI23" s="3">
        <v>3.0243744310411179E-2</v>
      </c>
      <c r="AJ23" s="3">
        <v>8.0980386382207628E-3</v>
      </c>
      <c r="AK23" s="3">
        <v>-3.2441464239257048E-2</v>
      </c>
      <c r="AL23" s="3">
        <v>0.1793279652075544</v>
      </c>
      <c r="AM23" s="3">
        <v>-5.55630908489885E-2</v>
      </c>
      <c r="AN23" s="3">
        <v>6.7157231644574725E-2</v>
      </c>
      <c r="AO23" s="3">
        <v>0.24640716478248709</v>
      </c>
      <c r="AP23" s="3">
        <v>-0.17902888630512509</v>
      </c>
      <c r="AQ23" s="3">
        <v>-0.18719277713888691</v>
      </c>
      <c r="AR23" s="3">
        <v>-0.24679311649072941</v>
      </c>
      <c r="AS23" s="3">
        <v>-6.2783843657924859E-2</v>
      </c>
      <c r="AT23" s="3">
        <v>0.1095059029649002</v>
      </c>
      <c r="AU23" s="3">
        <v>0.25080886648410922</v>
      </c>
      <c r="AV23" s="3">
        <v>0.15047651129726911</v>
      </c>
      <c r="AW23" s="3">
        <v>9.1470967172539372E-2</v>
      </c>
      <c r="AX23" s="3">
        <v>-1.4812779008540821E-2</v>
      </c>
      <c r="AY23" s="3">
        <v>-0.1261286397305964</v>
      </c>
      <c r="AZ23" s="3">
        <v>0.29181699223939561</v>
      </c>
      <c r="BA23" s="3">
        <v>-9.3430257235587177E-3</v>
      </c>
      <c r="BB23" s="3">
        <v>0.48557915496025389</v>
      </c>
      <c r="BC23" s="3">
        <v>-0.13855657932428109</v>
      </c>
      <c r="BD23" s="3">
        <v>1.535066922443418E-2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7.1437909162187813E-2</v>
      </c>
      <c r="BK23" s="3">
        <v>-1.106420743282177E-3</v>
      </c>
      <c r="BL23" s="3">
        <v>0.11436629014166901</v>
      </c>
      <c r="BM23" s="3">
        <v>-6.9495462024450616E-2</v>
      </c>
      <c r="BN23" s="3">
        <v>-2.660347002197758E-2</v>
      </c>
      <c r="BO23" s="3">
        <v>-0.11373613128935101</v>
      </c>
      <c r="BP23" s="3">
        <v>3.1913553125646393E-2</v>
      </c>
      <c r="BQ23" s="3">
        <v>2.0891917198085731E-2</v>
      </c>
      <c r="BR23" s="3">
        <v>0.1324153313572079</v>
      </c>
      <c r="BS23" s="3">
        <v>-4.9110058236967458E-4</v>
      </c>
      <c r="BT23" s="3">
        <v>0.3423536066165257</v>
      </c>
      <c r="BU23" s="3">
        <v>-0.1392643910138692</v>
      </c>
      <c r="BV23" s="3">
        <v>-5.326905055788838E-2</v>
      </c>
      <c r="BW23" s="3">
        <v>0.31868518739678781</v>
      </c>
      <c r="BX23" s="3">
        <v>-0.12313903312845501</v>
      </c>
      <c r="BY23" s="3">
        <v>-0.23762366729164511</v>
      </c>
      <c r="BZ23" s="3">
        <v>-0.1848002381321702</v>
      </c>
      <c r="CA23" s="3">
        <v>0.49629383248942283</v>
      </c>
      <c r="CB23" s="3">
        <v>0.13804774635610739</v>
      </c>
      <c r="CC23" s="3">
        <v>0.44318286919740241</v>
      </c>
      <c r="CD23" s="3">
        <v>-0.1118635707259928</v>
      </c>
      <c r="CE23" s="3">
        <v>0.22172869923361749</v>
      </c>
      <c r="CF23" s="3">
        <v>0.1427675458661766</v>
      </c>
      <c r="CG23" s="3">
        <v>0.39327674779210842</v>
      </c>
      <c r="CH23" s="3">
        <v>0.13084753490872919</v>
      </c>
      <c r="CI23" s="3">
        <v>6.4997663888891943E-2</v>
      </c>
      <c r="CJ23" s="3">
        <v>-2.1967846442895178E-3</v>
      </c>
      <c r="CK23" s="3">
        <v>0.31480429120780962</v>
      </c>
      <c r="CL23" s="3">
        <v>-0.69943909221720346</v>
      </c>
      <c r="CM23" s="3">
        <v>-0.135842013295389</v>
      </c>
      <c r="CN23" s="3">
        <v>0.2963228494214733</v>
      </c>
      <c r="CO23" s="3">
        <v>0.4369130189375362</v>
      </c>
      <c r="CP23" s="3">
        <v>-0.21780803514148719</v>
      </c>
      <c r="CQ23" s="3">
        <v>0.11133205484913621</v>
      </c>
      <c r="CR23" s="3">
        <v>1.8172659732715979E-2</v>
      </c>
      <c r="CS23" s="3">
        <v>5.2840662182840267E-3</v>
      </c>
      <c r="CT23" s="3">
        <v>-0.1747804573845364</v>
      </c>
      <c r="CU23" s="3">
        <v>0.24014428048449399</v>
      </c>
      <c r="CV23" s="3">
        <v>0.3097785048289281</v>
      </c>
      <c r="CW23" s="3">
        <v>-1.9053529099671781E-2</v>
      </c>
      <c r="CX23" s="3">
        <v>8.7839862612636183E-2</v>
      </c>
      <c r="CY23" s="3">
        <v>0.17213840798346319</v>
      </c>
      <c r="CZ23" s="3">
        <v>-4.6312789196422843E-2</v>
      </c>
      <c r="DA23" s="3">
        <v>0.47550406994043309</v>
      </c>
      <c r="DB23" s="3">
        <v>0.86457557459721113</v>
      </c>
      <c r="DC23" s="3">
        <v>0.15794889931825309</v>
      </c>
      <c r="DD23" s="3">
        <v>9.2798674677153081E-2</v>
      </c>
      <c r="DE23" s="3">
        <v>-6.0085947510171572E-2</v>
      </c>
      <c r="DF23" s="3">
        <v>-5.978552751654391E-2</v>
      </c>
      <c r="DG23" s="3">
        <v>0.24857362281119699</v>
      </c>
      <c r="DH23" s="3">
        <v>-3.7295904916819958E-2</v>
      </c>
      <c r="DI23" s="3">
        <v>2.9161842220836579E-2</v>
      </c>
      <c r="DJ23" s="3">
        <v>-9.5273942110107451E-3</v>
      </c>
      <c r="DK23" s="3">
        <v>-4.2686116162198258E-2</v>
      </c>
      <c r="DL23" s="3">
        <v>5.4101277140998598E-2</v>
      </c>
      <c r="DM23" s="3">
        <v>-1.345327574630702E-2</v>
      </c>
      <c r="DN23" s="3">
        <v>0.4441927862240389</v>
      </c>
      <c r="DO23" s="3">
        <v>-4.9077326915596242E-2</v>
      </c>
      <c r="DP23" s="3">
        <v>0.1743130082981478</v>
      </c>
      <c r="DQ23" s="3">
        <v>0.28304273574048727</v>
      </c>
      <c r="DR23" s="3">
        <v>0.11755548440255691</v>
      </c>
      <c r="DS23" s="3">
        <v>0.17094859795120121</v>
      </c>
      <c r="DT23" s="3">
        <v>8.3862877380775525E-2</v>
      </c>
      <c r="DU23" s="3">
        <v>0.53392168708434029</v>
      </c>
      <c r="DV23" s="3">
        <v>-2.136964639749328E-2</v>
      </c>
      <c r="DW23" s="3">
        <v>0.27857637182341682</v>
      </c>
      <c r="DX23" s="3">
        <v>-0.1710027869684545</v>
      </c>
      <c r="DY23" s="3">
        <v>-0.26822192937212391</v>
      </c>
      <c r="DZ23" s="3">
        <v>-6.4458048897843706E-2</v>
      </c>
      <c r="EA23" s="3">
        <v>-9.6958321364405298E-2</v>
      </c>
      <c r="EB23" s="3">
        <v>0.33153537858175969</v>
      </c>
      <c r="EC23" s="3">
        <v>0.1232049429556647</v>
      </c>
      <c r="ED23" s="3">
        <v>-0.194323278521919</v>
      </c>
      <c r="EE23" s="3">
        <v>-6.9545558094986554E-2</v>
      </c>
      <c r="EF23" s="3">
        <v>8.3271776749482732E-2</v>
      </c>
      <c r="EG23" s="3">
        <v>3.0354357497334759E-2</v>
      </c>
      <c r="EH23" s="3">
        <v>9.9209371656780579E-2</v>
      </c>
      <c r="EI23" s="3">
        <v>-0.1096937444109269</v>
      </c>
      <c r="EJ23" s="3">
        <v>8.2764083686817161E-2</v>
      </c>
      <c r="EK23" s="3">
        <v>0.31873883732546759</v>
      </c>
      <c r="EL23" s="3">
        <v>0.12133614100696651</v>
      </c>
      <c r="EM23">
        <f t="shared" si="11"/>
        <v>6.6733502924532104E-2</v>
      </c>
      <c r="EN23">
        <f t="shared" si="12"/>
        <v>0.20130261055384366</v>
      </c>
      <c r="EO23">
        <f t="shared" si="13"/>
        <v>0.33150838303054436</v>
      </c>
    </row>
    <row r="24" spans="1:145" x14ac:dyDescent="0.3">
      <c r="A24" s="11">
        <v>1051</v>
      </c>
      <c r="B24" s="11">
        <f t="shared" si="10"/>
        <v>1</v>
      </c>
      <c r="C24" s="3">
        <v>2.776696731044102E-2</v>
      </c>
      <c r="D24" s="3">
        <v>8.1988379169623898E-2</v>
      </c>
      <c r="E24" s="3">
        <v>-8.1880334610397495E-2</v>
      </c>
      <c r="F24" s="3">
        <v>-0.20154571887164621</v>
      </c>
      <c r="G24" s="3">
        <v>-2.2622388562617651E-2</v>
      </c>
      <c r="H24" s="3">
        <v>-0.35082219133103881</v>
      </c>
      <c r="I24" s="3">
        <v>-0.2403862447709158</v>
      </c>
      <c r="J24" s="3">
        <v>-4.0357249392596467E-3</v>
      </c>
      <c r="K24" s="3">
        <v>5.0444335993488708E-2</v>
      </c>
      <c r="L24" s="3">
        <v>-0.33375944447564659</v>
      </c>
      <c r="M24" s="3">
        <v>-0.14681933889950849</v>
      </c>
      <c r="N24" s="3">
        <v>0.1051917107958454</v>
      </c>
      <c r="O24" s="3">
        <v>3.6648790739543732E-2</v>
      </c>
      <c r="P24" s="3">
        <v>7.7736485854057236E-2</v>
      </c>
      <c r="Q24" s="3">
        <v>9.0144948798662944E-2</v>
      </c>
      <c r="R24" s="3">
        <v>0.1083654949121912</v>
      </c>
      <c r="S24" s="3">
        <v>0.1008087952876474</v>
      </c>
      <c r="T24" s="3">
        <v>-7.793839649787318E-2</v>
      </c>
      <c r="U24" s="3">
        <v>-0.41586120205767418</v>
      </c>
      <c r="V24" s="3">
        <v>0.11654031671685081</v>
      </c>
      <c r="W24" s="3">
        <v>0.64293352860565944</v>
      </c>
      <c r="X24" s="3">
        <v>-3.6157896361251968E-2</v>
      </c>
      <c r="Y24" s="3">
        <v>0.49353998747896521</v>
      </c>
      <c r="Z24" s="3">
        <v>7.9423704249252589E-2</v>
      </c>
      <c r="AA24" s="3">
        <v>0.28502016739769681</v>
      </c>
      <c r="AB24" s="3">
        <v>0.34893735620240041</v>
      </c>
      <c r="AC24" s="3">
        <v>0.47418328353128952</v>
      </c>
      <c r="AD24" s="3">
        <v>-0.46807019051584892</v>
      </c>
      <c r="AE24" s="3">
        <v>0.1117312814238354</v>
      </c>
      <c r="AF24" s="3">
        <v>7.4833924998670837E-2</v>
      </c>
      <c r="AG24" s="3">
        <v>0.48921646000461771</v>
      </c>
      <c r="AH24" s="3">
        <v>0.50010941392831398</v>
      </c>
      <c r="AI24" s="3">
        <v>0.21453722164080699</v>
      </c>
      <c r="AJ24" s="3">
        <v>-1.8825641884350749E-2</v>
      </c>
      <c r="AK24" s="3">
        <v>8.0538862484012319E-2</v>
      </c>
      <c r="AL24" s="3">
        <v>0.33333812243081878</v>
      </c>
      <c r="AM24" s="3">
        <v>1.4966545334123929E-2</v>
      </c>
      <c r="AN24" s="3">
        <v>0.1106607719355505</v>
      </c>
      <c r="AO24" s="3">
        <v>0.1029057025777895</v>
      </c>
      <c r="AP24" s="3">
        <v>-0.41640853388971072</v>
      </c>
      <c r="AQ24" s="3">
        <v>-0.29800338435896789</v>
      </c>
      <c r="AR24" s="3">
        <v>-0.22832049298777149</v>
      </c>
      <c r="AS24" s="3">
        <v>-5.9514127532407722E-2</v>
      </c>
      <c r="AT24" s="3">
        <v>0.15076897992568081</v>
      </c>
      <c r="AU24" s="3">
        <v>0.22984101567941989</v>
      </c>
      <c r="AV24" s="3">
        <v>0.24768466023032751</v>
      </c>
      <c r="AW24" s="3">
        <v>0.1266311396847648</v>
      </c>
      <c r="AX24" s="3">
        <v>0.1114913369162155</v>
      </c>
      <c r="AY24" s="3">
        <v>-0.1180153788734402</v>
      </c>
      <c r="AZ24" s="3">
        <v>0.60989956018477687</v>
      </c>
      <c r="BA24" s="3">
        <v>-0.1017826943099424</v>
      </c>
      <c r="BB24" s="3">
        <v>0.87270314910649027</v>
      </c>
      <c r="BC24" s="3">
        <v>-4.366869614383373E-3</v>
      </c>
      <c r="BD24" s="3">
        <v>-0.17257013871334029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-6.5154095179785917E-2</v>
      </c>
      <c r="BK24" s="3">
        <v>-2.7238209053504731E-2</v>
      </c>
      <c r="BL24" s="3">
        <v>0.1061069201511666</v>
      </c>
      <c r="BM24" s="3">
        <v>8.4782939838988242E-2</v>
      </c>
      <c r="BN24" s="3">
        <v>-1.989015847921969E-2</v>
      </c>
      <c r="BO24" s="3">
        <v>-0.20807633223112251</v>
      </c>
      <c r="BP24" s="3">
        <v>-0.16903187082569571</v>
      </c>
      <c r="BQ24" s="3">
        <v>1.385746642413632E-2</v>
      </c>
      <c r="BR24" s="3">
        <v>9.8920889185241626E-2</v>
      </c>
      <c r="BS24" s="3">
        <v>-0.1403201139620911</v>
      </c>
      <c r="BT24" s="3">
        <v>0.29946444334326322</v>
      </c>
      <c r="BU24" s="3">
        <v>-0.15755187588247849</v>
      </c>
      <c r="BV24" s="3">
        <v>-4.625870574066291E-2</v>
      </c>
      <c r="BW24" s="3">
        <v>0.15699245268746931</v>
      </c>
      <c r="BX24" s="3">
        <v>-5.8043369649915091E-2</v>
      </c>
      <c r="BY24" s="3">
        <v>2.5431774592197091E-2</v>
      </c>
      <c r="BZ24" s="3">
        <v>-0.32032942725755759</v>
      </c>
      <c r="CA24" s="3">
        <v>8.5352138787233134E-2</v>
      </c>
      <c r="CB24" s="3">
        <v>-6.4127083156042083E-2</v>
      </c>
      <c r="CC24" s="3">
        <v>-0.2198311932012271</v>
      </c>
      <c r="CD24" s="3">
        <v>-0.24348205996258329</v>
      </c>
      <c r="CE24" s="3">
        <v>0.1464317616051882</v>
      </c>
      <c r="CF24" s="3">
        <v>0.40283909403309098</v>
      </c>
      <c r="CG24" s="3">
        <v>0.64058463387261821</v>
      </c>
      <c r="CH24" s="3">
        <v>8.577297080573372E-3</v>
      </c>
      <c r="CI24" s="3">
        <v>4.707262470500502E-2</v>
      </c>
      <c r="CJ24" s="3">
        <v>-0.43743079676752578</v>
      </c>
      <c r="CK24" s="3">
        <v>-8.7873759970029004E-3</v>
      </c>
      <c r="CL24" s="3">
        <v>-0.78777200635211031</v>
      </c>
      <c r="CM24" s="3">
        <v>-0.31637256491471011</v>
      </c>
      <c r="CN24" s="3">
        <v>0.60755967397716704</v>
      </c>
      <c r="CO24" s="3">
        <v>0.71572900872536049</v>
      </c>
      <c r="CP24" s="3">
        <v>-0.26545893566707068</v>
      </c>
      <c r="CQ24" s="3">
        <v>0.13092719820022791</v>
      </c>
      <c r="CR24" s="3">
        <v>3.7598107081364518E-2</v>
      </c>
      <c r="CS24" s="3">
        <v>0.15934835928025581</v>
      </c>
      <c r="CT24" s="3">
        <v>-0.1828965872921165</v>
      </c>
      <c r="CU24" s="3">
        <v>5.2729044813654813E-2</v>
      </c>
      <c r="CV24" s="3">
        <v>0.26202483868410642</v>
      </c>
      <c r="CW24" s="3">
        <v>-0.29572306148039179</v>
      </c>
      <c r="CX24" s="3">
        <v>0.1780711986935764</v>
      </c>
      <c r="CY24" s="3">
        <v>0.36022804676873771</v>
      </c>
      <c r="CZ24" s="3">
        <v>-0.31116733738571328</v>
      </c>
      <c r="DA24" s="3">
        <v>0.81302239690696343</v>
      </c>
      <c r="DB24" s="3">
        <v>0.94810958937996914</v>
      </c>
      <c r="DC24" s="3">
        <v>0.28272977872851818</v>
      </c>
      <c r="DD24" s="3">
        <v>-0.19584472218244131</v>
      </c>
      <c r="DE24" s="3">
        <v>0.13158559129553279</v>
      </c>
      <c r="DF24" s="3">
        <v>7.5067008722842665E-2</v>
      </c>
      <c r="DG24" s="3">
        <v>0.18911025907425591</v>
      </c>
      <c r="DH24" s="3">
        <v>-0.1774246538151544</v>
      </c>
      <c r="DI24" s="3">
        <v>-0.36477511528666579</v>
      </c>
      <c r="DJ24" s="3">
        <v>-0.24842466295311089</v>
      </c>
      <c r="DK24" s="3">
        <v>2.8040367326366201E-2</v>
      </c>
      <c r="DL24" s="3">
        <v>4.7769086011877862E-2</v>
      </c>
      <c r="DM24" s="3">
        <v>8.1409543633570974E-2</v>
      </c>
      <c r="DN24" s="3">
        <v>0.66708867560199003</v>
      </c>
      <c r="DO24" s="3">
        <v>-4.0894289457340617E-2</v>
      </c>
      <c r="DP24" s="3">
        <v>0.33563187842004122</v>
      </c>
      <c r="DQ24" s="3">
        <v>0.34701110177349048</v>
      </c>
      <c r="DR24" s="3">
        <v>0.35387367634979477</v>
      </c>
      <c r="DS24" s="3">
        <v>0.42342018028661599</v>
      </c>
      <c r="DT24" s="3">
        <v>5.6640305677830684E-3</v>
      </c>
      <c r="DU24" s="3">
        <v>0.75093836081020182</v>
      </c>
      <c r="DV24" s="3">
        <v>0.22962495612622619</v>
      </c>
      <c r="DW24" s="3">
        <v>0.38336324094520591</v>
      </c>
      <c r="DX24" s="3">
        <v>-0.17373733044807921</v>
      </c>
      <c r="DY24" s="3">
        <v>-3.2066535729951551E-2</v>
      </c>
      <c r="DZ24" s="3">
        <v>-4.8904664258799802E-2</v>
      </c>
      <c r="EA24" s="3">
        <v>-2.7229621341053521E-2</v>
      </c>
      <c r="EB24" s="3">
        <v>0.68520167421929012</v>
      </c>
      <c r="EC24" s="3">
        <v>0.25665137996352638</v>
      </c>
      <c r="ED24" s="3">
        <v>-8.4540092567264802E-2</v>
      </c>
      <c r="EE24" s="3">
        <v>3.5663982870964749E-2</v>
      </c>
      <c r="EF24" s="3">
        <v>0.12895777307843831</v>
      </c>
      <c r="EG24" s="3">
        <v>-7.0451324384900899E-2</v>
      </c>
      <c r="EH24" s="3">
        <v>0.20538557869251389</v>
      </c>
      <c r="EI24" s="3">
        <v>-0.13529464317466511</v>
      </c>
      <c r="EJ24" s="3">
        <v>0.16991348062196729</v>
      </c>
      <c r="EK24" s="3">
        <v>-0.19792572457114649</v>
      </c>
      <c r="EL24" s="3">
        <v>-6.9056114405587274E-3</v>
      </c>
      <c r="EM24">
        <f t="shared" si="11"/>
        <v>7.0181998048065256E-2</v>
      </c>
      <c r="EN24">
        <f t="shared" si="12"/>
        <v>0.2883049682024712</v>
      </c>
      <c r="EO24">
        <f t="shared" si="13"/>
        <v>0.24342972126230494</v>
      </c>
    </row>
    <row r="25" spans="1:145" x14ac:dyDescent="0.3">
      <c r="A25" s="11" t="s">
        <v>154</v>
      </c>
      <c r="B25" s="11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4" priority="3">
      <formula>EM12&gt;$EM$25</formula>
    </cfRule>
  </conditionalFormatting>
  <conditionalFormatting sqref="EN12:EN24">
    <cfRule type="expression" dxfId="3" priority="2">
      <formula>EN12&lt;$EN$25</formula>
    </cfRule>
  </conditionalFormatting>
  <conditionalFormatting sqref="EO12:EO24">
    <cfRule type="expression" dxfId="2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N163"/>
  <sheetViews>
    <sheetView topLeftCell="ED10" zoomScale="130" zoomScaleNormal="130" workbookViewId="0">
      <selection activeCell="EP19" sqref="EP19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13" t="s">
        <v>146</v>
      </c>
      <c r="B6" s="14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13" t="s">
        <v>147</v>
      </c>
      <c r="B10" s="14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156</v>
      </c>
      <c r="EN11" s="6" t="s">
        <v>157</v>
      </c>
    </row>
    <row r="12" spans="1:144" x14ac:dyDescent="0.3">
      <c r="A12" s="11">
        <v>10</v>
      </c>
      <c r="B12" s="11">
        <f t="shared" ref="B12:B24" si="10">ROUND($D$10/A12,0)</f>
        <v>105</v>
      </c>
      <c r="C12" s="10">
        <f>IF(真實IC!C12&gt;真實IC!C$25,1,0)</f>
        <v>1</v>
      </c>
      <c r="D12" s="10">
        <f>IF(真實IC!D12&gt;真實IC!D$25,1,0)</f>
        <v>1</v>
      </c>
      <c r="E12" s="10">
        <f>IF(真實IC!E12&gt;真實IC!E$25,1,0)</f>
        <v>0</v>
      </c>
      <c r="F12" s="10">
        <f>IF(真實IC!F12&gt;真實IC!F$25,1,0)</f>
        <v>1</v>
      </c>
      <c r="G12" s="10">
        <f>IF(真實IC!G12&gt;真實IC!G$25,1,0)</f>
        <v>1</v>
      </c>
      <c r="H12" s="10">
        <f>IF(真實IC!H12&gt;真實IC!H$25,1,0)</f>
        <v>0</v>
      </c>
      <c r="I12" s="10">
        <f>IF(真實IC!I12&gt;真實IC!I$25,1,0)</f>
        <v>1</v>
      </c>
      <c r="J12" s="10">
        <f>IF(真實IC!J12&gt;真實IC!J$25,1,0)</f>
        <v>0</v>
      </c>
      <c r="K12" s="10">
        <f>IF(真實IC!K12&gt;真實IC!K$25,1,0)</f>
        <v>1</v>
      </c>
      <c r="L12" s="10">
        <f>IF(真實IC!L12&gt;真實IC!L$25,1,0)</f>
        <v>0</v>
      </c>
      <c r="M12" s="10">
        <f>IF(真實IC!M12&gt;真實IC!M$25,1,0)</f>
        <v>1</v>
      </c>
      <c r="N12" s="10">
        <f>IF(真實IC!N12&gt;真實IC!N$25,1,0)</f>
        <v>1</v>
      </c>
      <c r="O12" s="10">
        <f>IF(真實IC!O12&gt;真實IC!O$25,1,0)</f>
        <v>1</v>
      </c>
      <c r="P12" s="10">
        <f>IF(真實IC!P12&gt;真實IC!P$25,1,0)</f>
        <v>0</v>
      </c>
      <c r="Q12" s="10">
        <f>IF(真實IC!Q12&gt;真實IC!Q$25,1,0)</f>
        <v>1</v>
      </c>
      <c r="R12" s="10">
        <f>IF(真實IC!R12&gt;真實IC!R$25,1,0)</f>
        <v>0</v>
      </c>
      <c r="S12" s="10">
        <f>IF(真實IC!S12&gt;真實IC!S$25,1,0)</f>
        <v>1</v>
      </c>
      <c r="T12" s="10">
        <f>IF(真實IC!T12&gt;真實IC!T$25,1,0)</f>
        <v>1</v>
      </c>
      <c r="U12" s="10">
        <f>IF(真實IC!U12&gt;真實IC!U$25,1,0)</f>
        <v>1</v>
      </c>
      <c r="V12" s="10">
        <f>IF(真實IC!V12&gt;真實IC!V$25,1,0)</f>
        <v>1</v>
      </c>
      <c r="W12" s="10">
        <f>IF(真實IC!W12&gt;真實IC!W$25,1,0)</f>
        <v>1</v>
      </c>
      <c r="X12" s="10">
        <f>IF(真實IC!X12&gt;真實IC!X$25,1,0)</f>
        <v>1</v>
      </c>
      <c r="Y12" s="10">
        <f>IF(真實IC!Y12&gt;真實IC!Y$25,1,0)</f>
        <v>1</v>
      </c>
      <c r="Z12" s="10">
        <f>IF(真實IC!Z12&gt;真實IC!Z$25,1,0)</f>
        <v>1</v>
      </c>
      <c r="AA12" s="10">
        <f>IF(真實IC!AA12&gt;真實IC!AA$25,1,0)</f>
        <v>1</v>
      </c>
      <c r="AB12" s="10">
        <f>IF(真實IC!AB12&gt;真實IC!AB$25,1,0)</f>
        <v>0</v>
      </c>
      <c r="AC12" s="10">
        <f>IF(真實IC!AC12&gt;真實IC!AC$25,1,0)</f>
        <v>1</v>
      </c>
      <c r="AD12" s="10">
        <f>IF(真實IC!AD12&gt;真實IC!AD$25,1,0)</f>
        <v>1</v>
      </c>
      <c r="AE12" s="10">
        <f>IF(真實IC!AE12&gt;真實IC!AE$25,1,0)</f>
        <v>1</v>
      </c>
      <c r="AF12" s="10">
        <f>IF(真實IC!AF12&gt;真實IC!AF$25,1,0)</f>
        <v>1</v>
      </c>
      <c r="AG12" s="10">
        <f>IF(真實IC!AG12&gt;真實IC!AG$25,1,0)</f>
        <v>0</v>
      </c>
      <c r="AH12" s="10">
        <f>IF(真實IC!AH12&gt;真實IC!AH$25,1,0)</f>
        <v>0</v>
      </c>
      <c r="AI12" s="10">
        <f>IF(真實IC!AI12&gt;真實IC!AI$25,1,0)</f>
        <v>0</v>
      </c>
      <c r="AJ12" s="10">
        <f>IF(真實IC!AJ12&gt;真實IC!AJ$25,1,0)</f>
        <v>0</v>
      </c>
      <c r="AK12" s="10">
        <f>IF(真實IC!AK12&gt;真實IC!AK$25,1,0)</f>
        <v>1</v>
      </c>
      <c r="AL12" s="10">
        <f>IF(真實IC!AL12&gt;真實IC!AL$25,1,0)</f>
        <v>1</v>
      </c>
      <c r="AM12" s="10">
        <f>IF(真實IC!AM12&gt;真實IC!AM$25,1,0)</f>
        <v>1</v>
      </c>
      <c r="AN12" s="10">
        <f>IF(真實IC!AN12&gt;真實IC!AN$25,1,0)</f>
        <v>0</v>
      </c>
      <c r="AO12" s="10">
        <f>IF(真實IC!AO12&gt;真實IC!AO$25,1,0)</f>
        <v>1</v>
      </c>
      <c r="AP12" s="10">
        <f>IF(真實IC!AP12&gt;真實IC!AP$25,1,0)</f>
        <v>1</v>
      </c>
      <c r="AQ12" s="10">
        <f>IF(真實IC!AQ12&gt;真實IC!AQ$25,1,0)</f>
        <v>0</v>
      </c>
      <c r="AR12" s="10">
        <f>IF(真實IC!AR12&gt;真實IC!AR$25,1,0)</f>
        <v>0</v>
      </c>
      <c r="AS12" s="10">
        <f>IF(真實IC!AS12&gt;真實IC!AS$25,1,0)</f>
        <v>1</v>
      </c>
      <c r="AT12" s="10">
        <f>IF(真實IC!AT12&gt;真實IC!AT$25,1,0)</f>
        <v>1</v>
      </c>
      <c r="AU12" s="10">
        <f>IF(真實IC!AU12&gt;真實IC!AU$25,1,0)</f>
        <v>1</v>
      </c>
      <c r="AV12" s="10">
        <f>IF(真實IC!AV12&gt;真實IC!AV$25,1,0)</f>
        <v>1</v>
      </c>
      <c r="AW12" s="10">
        <f>IF(真實IC!AW12&gt;真實IC!AW$25,1,0)</f>
        <v>1</v>
      </c>
      <c r="AX12" s="10">
        <f>IF(真實IC!AX12&gt;真實IC!AX$25,1,0)</f>
        <v>1</v>
      </c>
      <c r="AY12" s="10">
        <f>IF(真實IC!AY12&gt;真實IC!AY$25,1,0)</f>
        <v>0</v>
      </c>
      <c r="AZ12" s="10">
        <f>IF(真實IC!AZ12&gt;真實IC!AZ$25,1,0)</f>
        <v>1</v>
      </c>
      <c r="BA12" s="10">
        <f>IF(真實IC!BA12&gt;真實IC!BA$25,1,0)</f>
        <v>1</v>
      </c>
      <c r="BB12" s="10">
        <f>IF(真實IC!BB12&gt;真實IC!BB$25,1,0)</f>
        <v>1</v>
      </c>
      <c r="BC12" s="10">
        <f>IF(真實IC!BC12&gt;真實IC!BC$25,1,0)</f>
        <v>1</v>
      </c>
      <c r="BD12" s="10">
        <f>IF(真實IC!BD12&gt;真實IC!BD$25,1,0)</f>
        <v>0</v>
      </c>
      <c r="BE12" s="10">
        <f>IF(真實IC!BE12&gt;真實IC!BE$25,1,0)</f>
        <v>1</v>
      </c>
      <c r="BF12" s="10">
        <f>IF(真實IC!BF12&gt;真實IC!BF$25,1,0)</f>
        <v>1</v>
      </c>
      <c r="BG12" s="10">
        <f>IF(真實IC!BG12&gt;真實IC!BG$25,1,0)</f>
        <v>1</v>
      </c>
      <c r="BH12" s="10">
        <f>IF(真實IC!BH12&gt;真實IC!BH$25,1,0)</f>
        <v>1</v>
      </c>
      <c r="BI12" s="10">
        <f>IF(真實IC!BI12&gt;真實IC!BI$25,1,0)</f>
        <v>1</v>
      </c>
      <c r="BJ12" s="10">
        <f>IF(真實IC!BJ12&gt;真實IC!BJ$25,1,0)</f>
        <v>1</v>
      </c>
      <c r="BK12" s="10">
        <f>IF(真實IC!BK12&gt;真實IC!BK$25,1,0)</f>
        <v>0</v>
      </c>
      <c r="BL12" s="10">
        <f>IF(真實IC!BL12&gt;真實IC!BL$25,1,0)</f>
        <v>0</v>
      </c>
      <c r="BM12" s="10">
        <f>IF(真實IC!BM12&gt;真實IC!BM$25,1,0)</f>
        <v>1</v>
      </c>
      <c r="BN12" s="10">
        <f>IF(真實IC!BN12&gt;真實IC!BN$25,1,0)</f>
        <v>0</v>
      </c>
      <c r="BO12" s="10">
        <f>IF(真實IC!BO12&gt;真實IC!BO$25,1,0)</f>
        <v>1</v>
      </c>
      <c r="BP12" s="10">
        <f>IF(真實IC!BP12&gt;真實IC!BP$25,1,0)</f>
        <v>0</v>
      </c>
      <c r="BQ12" s="10">
        <f>IF(真實IC!BQ12&gt;真實IC!BQ$25,1,0)</f>
        <v>1</v>
      </c>
      <c r="BR12" s="10">
        <f>IF(真實IC!BR12&gt;真實IC!BR$25,1,0)</f>
        <v>1</v>
      </c>
      <c r="BS12" s="10">
        <f>IF(真實IC!BS12&gt;真實IC!BS$25,1,0)</f>
        <v>1</v>
      </c>
      <c r="BT12" s="10">
        <f>IF(真實IC!BT12&gt;真實IC!BT$25,1,0)</f>
        <v>0</v>
      </c>
      <c r="BU12" s="10">
        <f>IF(真實IC!BU12&gt;真實IC!BU$25,1,0)</f>
        <v>1</v>
      </c>
      <c r="BV12" s="10">
        <f>IF(真實IC!BV12&gt;真實IC!BV$25,1,0)</f>
        <v>0</v>
      </c>
      <c r="BW12" s="10">
        <f>IF(真實IC!BW12&gt;真實IC!BW$25,1,0)</f>
        <v>1</v>
      </c>
      <c r="BX12" s="10">
        <f>IF(真實IC!BX12&gt;真實IC!BX$25,1,0)</f>
        <v>1</v>
      </c>
      <c r="BY12" s="10">
        <f>IF(真實IC!BY12&gt;真實IC!BY$25,1,0)</f>
        <v>1</v>
      </c>
      <c r="BZ12" s="10">
        <f>IF(真實IC!BZ12&gt;真實IC!BZ$25,1,0)</f>
        <v>0</v>
      </c>
      <c r="CA12" s="10">
        <f>IF(真實IC!CA12&gt;真實IC!CA$25,1,0)</f>
        <v>1</v>
      </c>
      <c r="CB12" s="10">
        <f>IF(真實IC!CB12&gt;真實IC!CB$25,1,0)</f>
        <v>0</v>
      </c>
      <c r="CC12" s="10">
        <f>IF(真實IC!CC12&gt;真實IC!CC$25,1,0)</f>
        <v>0</v>
      </c>
      <c r="CD12" s="10">
        <f>IF(真實IC!CD12&gt;真實IC!CD$25,1,0)</f>
        <v>1</v>
      </c>
      <c r="CE12" s="10">
        <f>IF(真實IC!CE12&gt;真實IC!CE$25,1,0)</f>
        <v>1</v>
      </c>
      <c r="CF12" s="10">
        <f>IF(真實IC!CF12&gt;真實IC!CF$25,1,0)</f>
        <v>1</v>
      </c>
      <c r="CG12" s="10">
        <f>IF(真實IC!CG12&gt;真實IC!CG$25,1,0)</f>
        <v>0</v>
      </c>
      <c r="CH12" s="10">
        <f>IF(真實IC!CH12&gt;真實IC!CH$25,1,0)</f>
        <v>0</v>
      </c>
      <c r="CI12" s="10">
        <f>IF(真實IC!CI12&gt;真實IC!CI$25,1,0)</f>
        <v>1</v>
      </c>
      <c r="CJ12" s="10">
        <f>IF(真實IC!CJ12&gt;真實IC!CJ$25,1,0)</f>
        <v>1</v>
      </c>
      <c r="CK12" s="10">
        <f>IF(真實IC!CK12&gt;真實IC!CK$25,1,0)</f>
        <v>1</v>
      </c>
      <c r="CL12" s="10">
        <f>IF(真實IC!CL12&gt;真實IC!CL$25,1,0)</f>
        <v>0</v>
      </c>
      <c r="CM12" s="10">
        <f>IF(真實IC!CM12&gt;真實IC!CM$25,1,0)</f>
        <v>1</v>
      </c>
      <c r="CN12" s="10">
        <f>IF(真實IC!CN12&gt;真實IC!CN$25,1,0)</f>
        <v>1</v>
      </c>
      <c r="CO12" s="10">
        <f>IF(真實IC!CO12&gt;真實IC!CO$25,1,0)</f>
        <v>1</v>
      </c>
      <c r="CP12" s="10">
        <f>IF(真實IC!CP12&gt;真實IC!CP$25,1,0)</f>
        <v>0</v>
      </c>
      <c r="CQ12" s="10">
        <f>IF(真實IC!CQ12&gt;真實IC!CQ$25,1,0)</f>
        <v>1</v>
      </c>
      <c r="CR12" s="10">
        <f>IF(真實IC!CR12&gt;真實IC!CR$25,1,0)</f>
        <v>1</v>
      </c>
      <c r="CS12" s="10">
        <f>IF(真實IC!CS12&gt;真實IC!CS$25,1,0)</f>
        <v>0</v>
      </c>
      <c r="CT12" s="10">
        <f>IF(真實IC!CT12&gt;真實IC!CT$25,1,0)</f>
        <v>0</v>
      </c>
      <c r="CU12" s="10">
        <f>IF(真實IC!CU12&gt;真實IC!CU$25,1,0)</f>
        <v>1</v>
      </c>
      <c r="CV12" s="10">
        <f>IF(真實IC!CV12&gt;真實IC!CV$25,1,0)</f>
        <v>1</v>
      </c>
      <c r="CW12" s="10">
        <f>IF(真實IC!CW12&gt;真實IC!CW$25,1,0)</f>
        <v>1</v>
      </c>
      <c r="CX12" s="10">
        <f>IF(真實IC!CX12&gt;真實IC!CX$25,1,0)</f>
        <v>1</v>
      </c>
      <c r="CY12" s="10">
        <f>IF(真實IC!CY12&gt;真實IC!CY$25,1,0)</f>
        <v>1</v>
      </c>
      <c r="CZ12" s="10">
        <f>IF(真實IC!CZ12&gt;真實IC!CZ$25,1,0)</f>
        <v>1</v>
      </c>
      <c r="DA12" s="10">
        <f>IF(真實IC!DA12&gt;真實IC!DA$25,1,0)</f>
        <v>1</v>
      </c>
      <c r="DB12" s="10">
        <f>IF(真實IC!DB12&gt;真實IC!DB$25,1,0)</f>
        <v>1</v>
      </c>
      <c r="DC12" s="10">
        <f>IF(真實IC!DC12&gt;真實IC!DC$25,1,0)</f>
        <v>1</v>
      </c>
      <c r="DD12" s="10">
        <f>IF(真實IC!DD12&gt;真實IC!DD$25,1,0)</f>
        <v>1</v>
      </c>
      <c r="DE12" s="10">
        <f>IF(真實IC!DE12&gt;真實IC!DE$25,1,0)</f>
        <v>0</v>
      </c>
      <c r="DF12" s="10">
        <f>IF(真實IC!DF12&gt;真實IC!DF$25,1,0)</f>
        <v>1</v>
      </c>
      <c r="DG12" s="10">
        <f>IF(真實IC!DG12&gt;真實IC!DG$25,1,0)</f>
        <v>0</v>
      </c>
      <c r="DH12" s="10">
        <f>IF(真實IC!DH12&gt;真實IC!DH$25,1,0)</f>
        <v>1</v>
      </c>
      <c r="DI12" s="10">
        <f>IF(真實IC!DI12&gt;真實IC!DI$25,1,0)</f>
        <v>0</v>
      </c>
      <c r="DJ12" s="10">
        <f>IF(真實IC!DJ12&gt;真實IC!DJ$25,1,0)</f>
        <v>1</v>
      </c>
      <c r="DK12" s="10">
        <f>IF(真實IC!DK12&gt;真實IC!DK$25,1,0)</f>
        <v>0</v>
      </c>
      <c r="DL12" s="10">
        <f>IF(真實IC!DL12&gt;真實IC!DL$25,1,0)</f>
        <v>1</v>
      </c>
      <c r="DM12" s="10">
        <f>IF(真實IC!DM12&gt;真實IC!DM$25,1,0)</f>
        <v>1</v>
      </c>
      <c r="DN12" s="10">
        <f>IF(真實IC!DN12&gt;真實IC!DN$25,1,0)</f>
        <v>1</v>
      </c>
      <c r="DO12" s="10">
        <f>IF(真實IC!DO12&gt;真實IC!DO$25,1,0)</f>
        <v>1</v>
      </c>
      <c r="DP12" s="10">
        <f>IF(真實IC!DP12&gt;真實IC!DP$25,1,0)</f>
        <v>1</v>
      </c>
      <c r="DQ12" s="10">
        <f>IF(真實IC!DQ12&gt;真實IC!DQ$25,1,0)</f>
        <v>0</v>
      </c>
      <c r="DR12" s="10">
        <f>IF(真實IC!DR12&gt;真實IC!DR$25,1,0)</f>
        <v>0</v>
      </c>
      <c r="DS12" s="10">
        <f>IF(真實IC!DS12&gt;真實IC!DS$25,1,0)</f>
        <v>1</v>
      </c>
      <c r="DT12" s="10">
        <f>IF(真實IC!DT12&gt;真實IC!DT$25,1,0)</f>
        <v>0</v>
      </c>
      <c r="DU12" s="10">
        <f>IF(真實IC!DU12&gt;真實IC!DU$25,1,0)</f>
        <v>0</v>
      </c>
      <c r="DV12" s="10">
        <f>IF(真實IC!DV12&gt;真實IC!DV$25,1,0)</f>
        <v>1</v>
      </c>
      <c r="DW12" s="10">
        <f>IF(真實IC!DW12&gt;真實IC!DW$25,1,0)</f>
        <v>0</v>
      </c>
      <c r="DX12" s="10">
        <f>IF(真實IC!DX12&gt;真實IC!DX$25,1,0)</f>
        <v>0</v>
      </c>
      <c r="DY12" s="10">
        <f>IF(真實IC!DY12&gt;真實IC!DY$25,1,0)</f>
        <v>1</v>
      </c>
      <c r="DZ12" s="10">
        <f>IF(真實IC!DZ12&gt;真實IC!DZ$25,1,0)</f>
        <v>1</v>
      </c>
      <c r="EA12" s="10">
        <f>IF(真實IC!EA12&gt;真實IC!EA$25,1,0)</f>
        <v>1</v>
      </c>
      <c r="EB12" s="10">
        <f>IF(真實IC!EB12&gt;真實IC!EB$25,1,0)</f>
        <v>1</v>
      </c>
      <c r="EC12" s="10">
        <f>IF(真實IC!EC12&gt;真實IC!EC$25,1,0)</f>
        <v>1</v>
      </c>
      <c r="ED12" s="10">
        <f>IF(真實IC!ED12&gt;真實IC!ED$25,1,0)</f>
        <v>0</v>
      </c>
      <c r="EE12" s="10">
        <f>IF(真實IC!EE12&gt;真實IC!EE$25,1,0)</f>
        <v>0</v>
      </c>
      <c r="EF12" s="10">
        <f>IF(真實IC!EF12&gt;真實IC!EF$25,1,0)</f>
        <v>1</v>
      </c>
      <c r="EG12" s="10">
        <f>IF(真實IC!EG12&gt;真實IC!EG$25,1,0)</f>
        <v>1</v>
      </c>
      <c r="EH12" s="10">
        <f>IF(真實IC!EH12&gt;真實IC!EH$25,1,0)</f>
        <v>1</v>
      </c>
      <c r="EI12" s="10">
        <f>IF(真實IC!EI12&gt;真實IC!EI$25,1,0)</f>
        <v>0</v>
      </c>
      <c r="EJ12" s="10">
        <f>IF(真實IC!EJ12&gt;真實IC!EJ$25,1,0)</f>
        <v>0</v>
      </c>
      <c r="EK12" s="10">
        <f>IF(真實IC!EK12&gt;真實IC!EK$25,1,0)</f>
        <v>0</v>
      </c>
      <c r="EL12" s="10">
        <f>IF(真實IC!EL12&gt;真實IC!EL$25,1,0)</f>
        <v>0</v>
      </c>
      <c r="EM12" s="6">
        <f t="shared" ref="EM12:EM24" si="11">SUM(C12:EL12)</f>
        <v>93</v>
      </c>
      <c r="EN12" s="12">
        <f t="shared" ref="EN12:EN24" si="12">EM12/140</f>
        <v>0.66428571428571426</v>
      </c>
    </row>
    <row r="13" spans="1:144" x14ac:dyDescent="0.3">
      <c r="A13" s="11">
        <v>20</v>
      </c>
      <c r="B13" s="11">
        <f t="shared" si="10"/>
        <v>53</v>
      </c>
      <c r="C13" s="10">
        <f>IF(真實IC!C13&gt;真實IC!C$25,1,0)</f>
        <v>0</v>
      </c>
      <c r="D13" s="10">
        <f>IF(真實IC!D13&gt;真實IC!D$25,1,0)</f>
        <v>1</v>
      </c>
      <c r="E13" s="10">
        <f>IF(真實IC!E13&gt;真實IC!E$25,1,0)</f>
        <v>0</v>
      </c>
      <c r="F13" s="10">
        <f>IF(真實IC!F13&gt;真實IC!F$25,1,0)</f>
        <v>1</v>
      </c>
      <c r="G13" s="10">
        <f>IF(真實IC!G13&gt;真實IC!G$25,1,0)</f>
        <v>0</v>
      </c>
      <c r="H13" s="10">
        <f>IF(真實IC!H13&gt;真實IC!H$25,1,0)</f>
        <v>0</v>
      </c>
      <c r="I13" s="10">
        <f>IF(真實IC!I13&gt;真實IC!I$25,1,0)</f>
        <v>0</v>
      </c>
      <c r="J13" s="10">
        <f>IF(真實IC!J13&gt;真實IC!J$25,1,0)</f>
        <v>0</v>
      </c>
      <c r="K13" s="10">
        <f>IF(真實IC!K13&gt;真實IC!K$25,1,0)</f>
        <v>1</v>
      </c>
      <c r="L13" s="10">
        <f>IF(真實IC!L13&gt;真實IC!L$25,1,0)</f>
        <v>0</v>
      </c>
      <c r="M13" s="10">
        <f>IF(真實IC!M13&gt;真實IC!M$25,1,0)</f>
        <v>0</v>
      </c>
      <c r="N13" s="10">
        <f>IF(真實IC!N13&gt;真實IC!N$25,1,0)</f>
        <v>1</v>
      </c>
      <c r="O13" s="10">
        <f>IF(真實IC!O13&gt;真實IC!O$25,1,0)</f>
        <v>1</v>
      </c>
      <c r="P13" s="10">
        <f>IF(真實IC!P13&gt;真實IC!P$25,1,0)</f>
        <v>0</v>
      </c>
      <c r="Q13" s="10">
        <f>IF(真實IC!Q13&gt;真實IC!Q$25,1,0)</f>
        <v>1</v>
      </c>
      <c r="R13" s="10">
        <f>IF(真實IC!R13&gt;真實IC!R$25,1,0)</f>
        <v>0</v>
      </c>
      <c r="S13" s="10">
        <f>IF(真實IC!S13&gt;真實IC!S$25,1,0)</f>
        <v>1</v>
      </c>
      <c r="T13" s="10">
        <f>IF(真實IC!T13&gt;真實IC!T$25,1,0)</f>
        <v>1</v>
      </c>
      <c r="U13" s="10">
        <f>IF(真實IC!U13&gt;真實IC!U$25,1,0)</f>
        <v>1</v>
      </c>
      <c r="V13" s="10">
        <f>IF(真實IC!V13&gt;真實IC!V$25,1,0)</f>
        <v>1</v>
      </c>
      <c r="W13" s="10">
        <f>IF(真實IC!W13&gt;真實IC!W$25,1,0)</f>
        <v>1</v>
      </c>
      <c r="X13" s="10">
        <f>IF(真實IC!X13&gt;真實IC!X$25,1,0)</f>
        <v>1</v>
      </c>
      <c r="Y13" s="10">
        <f>IF(真實IC!Y13&gt;真實IC!Y$25,1,0)</f>
        <v>1</v>
      </c>
      <c r="Z13" s="10">
        <f>IF(真實IC!Z13&gt;真實IC!Z$25,1,0)</f>
        <v>1</v>
      </c>
      <c r="AA13" s="10">
        <f>IF(真實IC!AA13&gt;真實IC!AA$25,1,0)</f>
        <v>1</v>
      </c>
      <c r="AB13" s="10">
        <f>IF(真實IC!AB13&gt;真實IC!AB$25,1,0)</f>
        <v>0</v>
      </c>
      <c r="AC13" s="10">
        <f>IF(真實IC!AC13&gt;真實IC!AC$25,1,0)</f>
        <v>1</v>
      </c>
      <c r="AD13" s="10">
        <f>IF(真實IC!AD13&gt;真實IC!AD$25,1,0)</f>
        <v>1</v>
      </c>
      <c r="AE13" s="10">
        <f>IF(真實IC!AE13&gt;真實IC!AE$25,1,0)</f>
        <v>1</v>
      </c>
      <c r="AF13" s="10">
        <f>IF(真實IC!AF13&gt;真實IC!AF$25,1,0)</f>
        <v>1</v>
      </c>
      <c r="AG13" s="10">
        <f>IF(真實IC!AG13&gt;真實IC!AG$25,1,0)</f>
        <v>0</v>
      </c>
      <c r="AH13" s="10">
        <f>IF(真實IC!AH13&gt;真實IC!AH$25,1,0)</f>
        <v>0</v>
      </c>
      <c r="AI13" s="10">
        <f>IF(真實IC!AI13&gt;真實IC!AI$25,1,0)</f>
        <v>1</v>
      </c>
      <c r="AJ13" s="10">
        <f>IF(真實IC!AJ13&gt;真實IC!AJ$25,1,0)</f>
        <v>1</v>
      </c>
      <c r="AK13" s="10">
        <f>IF(真實IC!AK13&gt;真實IC!AK$25,1,0)</f>
        <v>1</v>
      </c>
      <c r="AL13" s="10">
        <f>IF(真實IC!AL13&gt;真實IC!AL$25,1,0)</f>
        <v>1</v>
      </c>
      <c r="AM13" s="10">
        <f>IF(真實IC!AM13&gt;真實IC!AM$25,1,0)</f>
        <v>0</v>
      </c>
      <c r="AN13" s="10">
        <f>IF(真實IC!AN13&gt;真實IC!AN$25,1,0)</f>
        <v>1</v>
      </c>
      <c r="AO13" s="10">
        <f>IF(真實IC!AO13&gt;真實IC!AO$25,1,0)</f>
        <v>1</v>
      </c>
      <c r="AP13" s="10">
        <f>IF(真實IC!AP13&gt;真實IC!AP$25,1,0)</f>
        <v>1</v>
      </c>
      <c r="AQ13" s="10">
        <f>IF(真實IC!AQ13&gt;真實IC!AQ$25,1,0)</f>
        <v>0</v>
      </c>
      <c r="AR13" s="10">
        <f>IF(真實IC!AR13&gt;真實IC!AR$25,1,0)</f>
        <v>0</v>
      </c>
      <c r="AS13" s="10">
        <f>IF(真實IC!AS13&gt;真實IC!AS$25,1,0)</f>
        <v>1</v>
      </c>
      <c r="AT13" s="10">
        <f>IF(真實IC!AT13&gt;真實IC!AT$25,1,0)</f>
        <v>1</v>
      </c>
      <c r="AU13" s="10">
        <f>IF(真實IC!AU13&gt;真實IC!AU$25,1,0)</f>
        <v>1</v>
      </c>
      <c r="AV13" s="10">
        <f>IF(真實IC!AV13&gt;真實IC!AV$25,1,0)</f>
        <v>1</v>
      </c>
      <c r="AW13" s="10">
        <f>IF(真實IC!AW13&gt;真實IC!AW$25,1,0)</f>
        <v>1</v>
      </c>
      <c r="AX13" s="10">
        <f>IF(真實IC!AX13&gt;真實IC!AX$25,1,0)</f>
        <v>1</v>
      </c>
      <c r="AY13" s="10">
        <f>IF(真實IC!AY13&gt;真實IC!AY$25,1,0)</f>
        <v>0</v>
      </c>
      <c r="AZ13" s="10">
        <f>IF(真實IC!AZ13&gt;真實IC!AZ$25,1,0)</f>
        <v>1</v>
      </c>
      <c r="BA13" s="10">
        <f>IF(真實IC!BA13&gt;真實IC!BA$25,1,0)</f>
        <v>1</v>
      </c>
      <c r="BB13" s="10">
        <f>IF(真實IC!BB13&gt;真實IC!BB$25,1,0)</f>
        <v>1</v>
      </c>
      <c r="BC13" s="10">
        <f>IF(真實IC!BC13&gt;真實IC!BC$25,1,0)</f>
        <v>0</v>
      </c>
      <c r="BD13" s="10">
        <f>IF(真實IC!BD13&gt;真實IC!BD$25,1,0)</f>
        <v>0</v>
      </c>
      <c r="BE13" s="10">
        <f>IF(真實IC!BE13&gt;真實IC!BE$25,1,0)</f>
        <v>1</v>
      </c>
      <c r="BF13" s="10">
        <f>IF(真實IC!BF13&gt;真實IC!BF$25,1,0)</f>
        <v>1</v>
      </c>
      <c r="BG13" s="10">
        <f>IF(真實IC!BG13&gt;真實IC!BG$25,1,0)</f>
        <v>1</v>
      </c>
      <c r="BH13" s="10">
        <f>IF(真實IC!BH13&gt;真實IC!BH$25,1,0)</f>
        <v>1</v>
      </c>
      <c r="BI13" s="10">
        <f>IF(真實IC!BI13&gt;真實IC!BI$25,1,0)</f>
        <v>1</v>
      </c>
      <c r="BJ13" s="10">
        <f>IF(真實IC!BJ13&gt;真實IC!BJ$25,1,0)</f>
        <v>1</v>
      </c>
      <c r="BK13" s="10">
        <f>IF(真實IC!BK13&gt;真實IC!BK$25,1,0)</f>
        <v>1</v>
      </c>
      <c r="BL13" s="10">
        <f>IF(真實IC!BL13&gt;真實IC!BL$25,1,0)</f>
        <v>0</v>
      </c>
      <c r="BM13" s="10">
        <f>IF(真實IC!BM13&gt;真實IC!BM$25,1,0)</f>
        <v>1</v>
      </c>
      <c r="BN13" s="10">
        <f>IF(真實IC!BN13&gt;真實IC!BN$25,1,0)</f>
        <v>0</v>
      </c>
      <c r="BO13" s="10">
        <f>IF(真實IC!BO13&gt;真實IC!BO$25,1,0)</f>
        <v>1</v>
      </c>
      <c r="BP13" s="10">
        <f>IF(真實IC!BP13&gt;真實IC!BP$25,1,0)</f>
        <v>0</v>
      </c>
      <c r="BQ13" s="10">
        <f>IF(真實IC!BQ13&gt;真實IC!BQ$25,1,0)</f>
        <v>1</v>
      </c>
      <c r="BR13" s="10">
        <f>IF(真實IC!BR13&gt;真實IC!BR$25,1,0)</f>
        <v>1</v>
      </c>
      <c r="BS13" s="10">
        <f>IF(真實IC!BS13&gt;真實IC!BS$25,1,0)</f>
        <v>1</v>
      </c>
      <c r="BT13" s="10">
        <f>IF(真實IC!BT13&gt;真實IC!BT$25,1,0)</f>
        <v>0</v>
      </c>
      <c r="BU13" s="10">
        <f>IF(真實IC!BU13&gt;真實IC!BU$25,1,0)</f>
        <v>1</v>
      </c>
      <c r="BV13" s="10">
        <f>IF(真實IC!BV13&gt;真實IC!BV$25,1,0)</f>
        <v>1</v>
      </c>
      <c r="BW13" s="10">
        <f>IF(真實IC!BW13&gt;真實IC!BW$25,1,0)</f>
        <v>1</v>
      </c>
      <c r="BX13" s="10">
        <f>IF(真實IC!BX13&gt;真實IC!BX$25,1,0)</f>
        <v>1</v>
      </c>
      <c r="BY13" s="10">
        <f>IF(真實IC!BY13&gt;真實IC!BY$25,1,0)</f>
        <v>1</v>
      </c>
      <c r="BZ13" s="10">
        <f>IF(真實IC!BZ13&gt;真實IC!BZ$25,1,0)</f>
        <v>0</v>
      </c>
      <c r="CA13" s="10">
        <f>IF(真實IC!CA13&gt;真實IC!CA$25,1,0)</f>
        <v>1</v>
      </c>
      <c r="CB13" s="10">
        <f>IF(真實IC!CB13&gt;真實IC!CB$25,1,0)</f>
        <v>0</v>
      </c>
      <c r="CC13" s="10">
        <f>IF(真實IC!CC13&gt;真實IC!CC$25,1,0)</f>
        <v>0</v>
      </c>
      <c r="CD13" s="10">
        <f>IF(真實IC!CD13&gt;真實IC!CD$25,1,0)</f>
        <v>1</v>
      </c>
      <c r="CE13" s="10">
        <f>IF(真實IC!CE13&gt;真實IC!CE$25,1,0)</f>
        <v>1</v>
      </c>
      <c r="CF13" s="10">
        <f>IF(真實IC!CF13&gt;真實IC!CF$25,1,0)</f>
        <v>1</v>
      </c>
      <c r="CG13" s="10">
        <f>IF(真實IC!CG13&gt;真實IC!CG$25,1,0)</f>
        <v>0</v>
      </c>
      <c r="CH13" s="10">
        <f>IF(真實IC!CH13&gt;真實IC!CH$25,1,0)</f>
        <v>0</v>
      </c>
      <c r="CI13" s="10">
        <f>IF(真實IC!CI13&gt;真實IC!CI$25,1,0)</f>
        <v>0</v>
      </c>
      <c r="CJ13" s="10">
        <f>IF(真實IC!CJ13&gt;真實IC!CJ$25,1,0)</f>
        <v>1</v>
      </c>
      <c r="CK13" s="10">
        <f>IF(真實IC!CK13&gt;真實IC!CK$25,1,0)</f>
        <v>1</v>
      </c>
      <c r="CL13" s="10">
        <f>IF(真實IC!CL13&gt;真實IC!CL$25,1,0)</f>
        <v>0</v>
      </c>
      <c r="CM13" s="10">
        <f>IF(真實IC!CM13&gt;真實IC!CM$25,1,0)</f>
        <v>1</v>
      </c>
      <c r="CN13" s="10">
        <f>IF(真實IC!CN13&gt;真實IC!CN$25,1,0)</f>
        <v>1</v>
      </c>
      <c r="CO13" s="10">
        <f>IF(真實IC!CO13&gt;真實IC!CO$25,1,0)</f>
        <v>1</v>
      </c>
      <c r="CP13" s="10">
        <f>IF(真實IC!CP13&gt;真實IC!CP$25,1,0)</f>
        <v>0</v>
      </c>
      <c r="CQ13" s="10">
        <f>IF(真實IC!CQ13&gt;真實IC!CQ$25,1,0)</f>
        <v>1</v>
      </c>
      <c r="CR13" s="10">
        <f>IF(真實IC!CR13&gt;真實IC!CR$25,1,0)</f>
        <v>1</v>
      </c>
      <c r="CS13" s="10">
        <f>IF(真實IC!CS13&gt;真實IC!CS$25,1,0)</f>
        <v>0</v>
      </c>
      <c r="CT13" s="10">
        <f>IF(真實IC!CT13&gt;真實IC!CT$25,1,0)</f>
        <v>0</v>
      </c>
      <c r="CU13" s="10">
        <f>IF(真實IC!CU13&gt;真實IC!CU$25,1,0)</f>
        <v>1</v>
      </c>
      <c r="CV13" s="10">
        <f>IF(真實IC!CV13&gt;真實IC!CV$25,1,0)</f>
        <v>1</v>
      </c>
      <c r="CW13" s="10">
        <f>IF(真實IC!CW13&gt;真實IC!CW$25,1,0)</f>
        <v>1</v>
      </c>
      <c r="CX13" s="10">
        <f>IF(真實IC!CX13&gt;真實IC!CX$25,1,0)</f>
        <v>1</v>
      </c>
      <c r="CY13" s="10">
        <f>IF(真實IC!CY13&gt;真實IC!CY$25,1,0)</f>
        <v>1</v>
      </c>
      <c r="CZ13" s="10">
        <f>IF(真實IC!CZ13&gt;真實IC!CZ$25,1,0)</f>
        <v>1</v>
      </c>
      <c r="DA13" s="10">
        <f>IF(真實IC!DA13&gt;真實IC!DA$25,1,0)</f>
        <v>1</v>
      </c>
      <c r="DB13" s="10">
        <f>IF(真實IC!DB13&gt;真實IC!DB$25,1,0)</f>
        <v>1</v>
      </c>
      <c r="DC13" s="10">
        <f>IF(真實IC!DC13&gt;真實IC!DC$25,1,0)</f>
        <v>1</v>
      </c>
      <c r="DD13" s="10">
        <f>IF(真實IC!DD13&gt;真實IC!DD$25,1,0)</f>
        <v>1</v>
      </c>
      <c r="DE13" s="10">
        <f>IF(真實IC!DE13&gt;真實IC!DE$25,1,0)</f>
        <v>0</v>
      </c>
      <c r="DF13" s="10">
        <f>IF(真實IC!DF13&gt;真實IC!DF$25,1,0)</f>
        <v>1</v>
      </c>
      <c r="DG13" s="10">
        <f>IF(真實IC!DG13&gt;真實IC!DG$25,1,0)</f>
        <v>0</v>
      </c>
      <c r="DH13" s="10">
        <f>IF(真實IC!DH13&gt;真實IC!DH$25,1,0)</f>
        <v>1</v>
      </c>
      <c r="DI13" s="10">
        <f>IF(真實IC!DI13&gt;真實IC!DI$25,1,0)</f>
        <v>0</v>
      </c>
      <c r="DJ13" s="10">
        <f>IF(真實IC!DJ13&gt;真實IC!DJ$25,1,0)</f>
        <v>1</v>
      </c>
      <c r="DK13" s="10">
        <f>IF(真實IC!DK13&gt;真實IC!DK$25,1,0)</f>
        <v>0</v>
      </c>
      <c r="DL13" s="10">
        <f>IF(真實IC!DL13&gt;真實IC!DL$25,1,0)</f>
        <v>1</v>
      </c>
      <c r="DM13" s="10">
        <f>IF(真實IC!DM13&gt;真實IC!DM$25,1,0)</f>
        <v>0</v>
      </c>
      <c r="DN13" s="10">
        <f>IF(真實IC!DN13&gt;真實IC!DN$25,1,0)</f>
        <v>1</v>
      </c>
      <c r="DO13" s="10">
        <f>IF(真實IC!DO13&gt;真實IC!DO$25,1,0)</f>
        <v>1</v>
      </c>
      <c r="DP13" s="10">
        <f>IF(真實IC!DP13&gt;真實IC!DP$25,1,0)</f>
        <v>1</v>
      </c>
      <c r="DQ13" s="10">
        <f>IF(真實IC!DQ13&gt;真實IC!DQ$25,1,0)</f>
        <v>0</v>
      </c>
      <c r="DR13" s="10">
        <f>IF(真實IC!DR13&gt;真實IC!DR$25,1,0)</f>
        <v>0</v>
      </c>
      <c r="DS13" s="10">
        <f>IF(真實IC!DS13&gt;真實IC!DS$25,1,0)</f>
        <v>1</v>
      </c>
      <c r="DT13" s="10">
        <f>IF(真實IC!DT13&gt;真實IC!DT$25,1,0)</f>
        <v>0</v>
      </c>
      <c r="DU13" s="10">
        <f>IF(真實IC!DU13&gt;真實IC!DU$25,1,0)</f>
        <v>0</v>
      </c>
      <c r="DV13" s="10">
        <f>IF(真實IC!DV13&gt;真實IC!DV$25,1,0)</f>
        <v>1</v>
      </c>
      <c r="DW13" s="10">
        <f>IF(真實IC!DW13&gt;真實IC!DW$25,1,0)</f>
        <v>0</v>
      </c>
      <c r="DX13" s="10">
        <f>IF(真實IC!DX13&gt;真實IC!DX$25,1,0)</f>
        <v>0</v>
      </c>
      <c r="DY13" s="10">
        <f>IF(真實IC!DY13&gt;真實IC!DY$25,1,0)</f>
        <v>1</v>
      </c>
      <c r="DZ13" s="10">
        <f>IF(真實IC!DZ13&gt;真實IC!DZ$25,1,0)</f>
        <v>1</v>
      </c>
      <c r="EA13" s="10">
        <f>IF(真實IC!EA13&gt;真實IC!EA$25,1,0)</f>
        <v>1</v>
      </c>
      <c r="EB13" s="10">
        <f>IF(真實IC!EB13&gt;真實IC!EB$25,1,0)</f>
        <v>1</v>
      </c>
      <c r="EC13" s="10">
        <f>IF(真實IC!EC13&gt;真實IC!EC$25,1,0)</f>
        <v>1</v>
      </c>
      <c r="ED13" s="10">
        <f>IF(真實IC!ED13&gt;真實IC!ED$25,1,0)</f>
        <v>1</v>
      </c>
      <c r="EE13" s="10">
        <f>IF(真實IC!EE13&gt;真實IC!EE$25,1,0)</f>
        <v>1</v>
      </c>
      <c r="EF13" s="10">
        <f>IF(真實IC!EF13&gt;真實IC!EF$25,1,0)</f>
        <v>1</v>
      </c>
      <c r="EG13" s="10">
        <f>IF(真實IC!EG13&gt;真實IC!EG$25,1,0)</f>
        <v>1</v>
      </c>
      <c r="EH13" s="10">
        <f>IF(真實IC!EH13&gt;真實IC!EH$25,1,0)</f>
        <v>1</v>
      </c>
      <c r="EI13" s="10">
        <f>IF(真實IC!EI13&gt;真實IC!EI$25,1,0)</f>
        <v>0</v>
      </c>
      <c r="EJ13" s="10">
        <f>IF(真實IC!EJ13&gt;真實IC!EJ$25,1,0)</f>
        <v>0</v>
      </c>
      <c r="EK13" s="10">
        <f>IF(真實IC!EK13&gt;真實IC!EK$25,1,0)</f>
        <v>0</v>
      </c>
      <c r="EL13" s="10">
        <f>IF(真實IC!EL13&gt;真實IC!EL$25,1,0)</f>
        <v>1</v>
      </c>
      <c r="EM13" s="6">
        <f t="shared" si="11"/>
        <v>93</v>
      </c>
      <c r="EN13" s="12">
        <f t="shared" si="12"/>
        <v>0.66428571428571426</v>
      </c>
    </row>
    <row r="14" spans="1:144" x14ac:dyDescent="0.3">
      <c r="A14" s="11">
        <v>50</v>
      </c>
      <c r="B14" s="11">
        <f t="shared" si="10"/>
        <v>21</v>
      </c>
      <c r="C14" s="10">
        <f>IF(真實IC!C14&gt;真實IC!C$25,1,0)</f>
        <v>0</v>
      </c>
      <c r="D14" s="10">
        <f>IF(真實IC!D14&gt;真實IC!D$25,1,0)</f>
        <v>0</v>
      </c>
      <c r="E14" s="10">
        <f>IF(真實IC!E14&gt;真實IC!E$25,1,0)</f>
        <v>1</v>
      </c>
      <c r="F14" s="10">
        <f>IF(真實IC!F14&gt;真實IC!F$25,1,0)</f>
        <v>0</v>
      </c>
      <c r="G14" s="10">
        <f>IF(真實IC!G14&gt;真實IC!G$25,1,0)</f>
        <v>1</v>
      </c>
      <c r="H14" s="10">
        <f>IF(真實IC!H14&gt;真實IC!H$25,1,0)</f>
        <v>0</v>
      </c>
      <c r="I14" s="10">
        <f>IF(真實IC!I14&gt;真實IC!I$25,1,0)</f>
        <v>0</v>
      </c>
      <c r="J14" s="10">
        <f>IF(真實IC!J14&gt;真實IC!J$25,1,0)</f>
        <v>0</v>
      </c>
      <c r="K14" s="10">
        <f>IF(真實IC!K14&gt;真實IC!K$25,1,0)</f>
        <v>1</v>
      </c>
      <c r="L14" s="10">
        <f>IF(真實IC!L14&gt;真實IC!L$25,1,0)</f>
        <v>0</v>
      </c>
      <c r="M14" s="10">
        <f>IF(真實IC!M14&gt;真實IC!M$25,1,0)</f>
        <v>0</v>
      </c>
      <c r="N14" s="10">
        <f>IF(真實IC!N14&gt;真實IC!N$25,1,0)</f>
        <v>1</v>
      </c>
      <c r="O14" s="10">
        <f>IF(真實IC!O14&gt;真實IC!O$25,1,0)</f>
        <v>0</v>
      </c>
      <c r="P14" s="10">
        <f>IF(真實IC!P14&gt;真實IC!P$25,1,0)</f>
        <v>0</v>
      </c>
      <c r="Q14" s="10">
        <f>IF(真實IC!Q14&gt;真實IC!Q$25,1,0)</f>
        <v>1</v>
      </c>
      <c r="R14" s="10">
        <f>IF(真實IC!R14&gt;真實IC!R$25,1,0)</f>
        <v>1</v>
      </c>
      <c r="S14" s="10">
        <f>IF(真實IC!S14&gt;真實IC!S$25,1,0)</f>
        <v>1</v>
      </c>
      <c r="T14" s="10">
        <f>IF(真實IC!T14&gt;真實IC!T$25,1,0)</f>
        <v>1</v>
      </c>
      <c r="U14" s="10">
        <f>IF(真實IC!U14&gt;真實IC!U$25,1,0)</f>
        <v>1</v>
      </c>
      <c r="V14" s="10">
        <f>IF(真實IC!V14&gt;真實IC!V$25,1,0)</f>
        <v>1</v>
      </c>
      <c r="W14" s="10">
        <f>IF(真實IC!W14&gt;真實IC!W$25,1,0)</f>
        <v>1</v>
      </c>
      <c r="X14" s="10">
        <f>IF(真實IC!X14&gt;真實IC!X$25,1,0)</f>
        <v>1</v>
      </c>
      <c r="Y14" s="10">
        <f>IF(真實IC!Y14&gt;真實IC!Y$25,1,0)</f>
        <v>1</v>
      </c>
      <c r="Z14" s="10">
        <f>IF(真實IC!Z14&gt;真實IC!Z$25,1,0)</f>
        <v>1</v>
      </c>
      <c r="AA14" s="10">
        <f>IF(真實IC!AA14&gt;真實IC!AA$25,1,0)</f>
        <v>1</v>
      </c>
      <c r="AB14" s="10">
        <f>IF(真實IC!AB14&gt;真實IC!AB$25,1,0)</f>
        <v>0</v>
      </c>
      <c r="AC14" s="10">
        <f>IF(真實IC!AC14&gt;真實IC!AC$25,1,0)</f>
        <v>0</v>
      </c>
      <c r="AD14" s="10">
        <f>IF(真實IC!AD14&gt;真實IC!AD$25,1,0)</f>
        <v>1</v>
      </c>
      <c r="AE14" s="10">
        <f>IF(真實IC!AE14&gt;真實IC!AE$25,1,0)</f>
        <v>1</v>
      </c>
      <c r="AF14" s="10">
        <f>IF(真實IC!AF14&gt;真實IC!AF$25,1,0)</f>
        <v>1</v>
      </c>
      <c r="AG14" s="10">
        <f>IF(真實IC!AG14&gt;真實IC!AG$25,1,0)</f>
        <v>0</v>
      </c>
      <c r="AH14" s="10">
        <f>IF(真實IC!AH14&gt;真實IC!AH$25,1,0)</f>
        <v>0</v>
      </c>
      <c r="AI14" s="10">
        <f>IF(真實IC!AI14&gt;真實IC!AI$25,1,0)</f>
        <v>0</v>
      </c>
      <c r="AJ14" s="10">
        <f>IF(真實IC!AJ14&gt;真實IC!AJ$25,1,0)</f>
        <v>1</v>
      </c>
      <c r="AK14" s="10">
        <f>IF(真實IC!AK14&gt;真實IC!AK$25,1,0)</f>
        <v>1</v>
      </c>
      <c r="AL14" s="10">
        <f>IF(真實IC!AL14&gt;真實IC!AL$25,1,0)</f>
        <v>1</v>
      </c>
      <c r="AM14" s="10">
        <f>IF(真實IC!AM14&gt;真實IC!AM$25,1,0)</f>
        <v>0</v>
      </c>
      <c r="AN14" s="10">
        <f>IF(真實IC!AN14&gt;真實IC!AN$25,1,0)</f>
        <v>1</v>
      </c>
      <c r="AO14" s="10">
        <f>IF(真實IC!AO14&gt;真實IC!AO$25,1,0)</f>
        <v>1</v>
      </c>
      <c r="AP14" s="10">
        <f>IF(真實IC!AP14&gt;真實IC!AP$25,1,0)</f>
        <v>1</v>
      </c>
      <c r="AQ14" s="10">
        <f>IF(真實IC!AQ14&gt;真實IC!AQ$25,1,0)</f>
        <v>1</v>
      </c>
      <c r="AR14" s="10">
        <f>IF(真實IC!AR14&gt;真實IC!AR$25,1,0)</f>
        <v>0</v>
      </c>
      <c r="AS14" s="10">
        <f>IF(真實IC!AS14&gt;真實IC!AS$25,1,0)</f>
        <v>0</v>
      </c>
      <c r="AT14" s="10">
        <f>IF(真實IC!AT14&gt;真實IC!AT$25,1,0)</f>
        <v>1</v>
      </c>
      <c r="AU14" s="10">
        <f>IF(真實IC!AU14&gt;真實IC!AU$25,1,0)</f>
        <v>1</v>
      </c>
      <c r="AV14" s="10">
        <f>IF(真實IC!AV14&gt;真實IC!AV$25,1,0)</f>
        <v>1</v>
      </c>
      <c r="AW14" s="10">
        <f>IF(真實IC!AW14&gt;真實IC!AW$25,1,0)</f>
        <v>1</v>
      </c>
      <c r="AX14" s="10">
        <f>IF(真實IC!AX14&gt;真實IC!AX$25,1,0)</f>
        <v>1</v>
      </c>
      <c r="AY14" s="10">
        <f>IF(真實IC!AY14&gt;真實IC!AY$25,1,0)</f>
        <v>0</v>
      </c>
      <c r="AZ14" s="10">
        <f>IF(真實IC!AZ14&gt;真實IC!AZ$25,1,0)</f>
        <v>1</v>
      </c>
      <c r="BA14" s="10">
        <f>IF(真實IC!BA14&gt;真實IC!BA$25,1,0)</f>
        <v>1</v>
      </c>
      <c r="BB14" s="10">
        <f>IF(真實IC!BB14&gt;真實IC!BB$25,1,0)</f>
        <v>1</v>
      </c>
      <c r="BC14" s="10">
        <f>IF(真實IC!BC14&gt;真實IC!BC$25,1,0)</f>
        <v>0</v>
      </c>
      <c r="BD14" s="10">
        <f>IF(真實IC!BD14&gt;真實IC!BD$25,1,0)</f>
        <v>0</v>
      </c>
      <c r="BE14" s="10">
        <f>IF(真實IC!BE14&gt;真實IC!BE$25,1,0)</f>
        <v>1</v>
      </c>
      <c r="BF14" s="10">
        <f>IF(真實IC!BF14&gt;真實IC!BF$25,1,0)</f>
        <v>1</v>
      </c>
      <c r="BG14" s="10">
        <f>IF(真實IC!BG14&gt;真實IC!BG$25,1,0)</f>
        <v>1</v>
      </c>
      <c r="BH14" s="10">
        <f>IF(真實IC!BH14&gt;真實IC!BH$25,1,0)</f>
        <v>1</v>
      </c>
      <c r="BI14" s="10">
        <f>IF(真實IC!BI14&gt;真實IC!BI$25,1,0)</f>
        <v>1</v>
      </c>
      <c r="BJ14" s="10">
        <f>IF(真實IC!BJ14&gt;真實IC!BJ$25,1,0)</f>
        <v>1</v>
      </c>
      <c r="BK14" s="10">
        <f>IF(真實IC!BK14&gt;真實IC!BK$25,1,0)</f>
        <v>1</v>
      </c>
      <c r="BL14" s="10">
        <f>IF(真實IC!BL14&gt;真實IC!BL$25,1,0)</f>
        <v>0</v>
      </c>
      <c r="BM14" s="10">
        <f>IF(真實IC!BM14&gt;真實IC!BM$25,1,0)</f>
        <v>1</v>
      </c>
      <c r="BN14" s="10">
        <f>IF(真實IC!BN14&gt;真實IC!BN$25,1,0)</f>
        <v>0</v>
      </c>
      <c r="BO14" s="10">
        <f>IF(真實IC!BO14&gt;真實IC!BO$25,1,0)</f>
        <v>1</v>
      </c>
      <c r="BP14" s="10">
        <f>IF(真實IC!BP14&gt;真實IC!BP$25,1,0)</f>
        <v>0</v>
      </c>
      <c r="BQ14" s="10">
        <f>IF(真實IC!BQ14&gt;真實IC!BQ$25,1,0)</f>
        <v>0</v>
      </c>
      <c r="BR14" s="10">
        <f>IF(真實IC!BR14&gt;真實IC!BR$25,1,0)</f>
        <v>1</v>
      </c>
      <c r="BS14" s="10">
        <f>IF(真實IC!BS14&gt;真實IC!BS$25,1,0)</f>
        <v>1</v>
      </c>
      <c r="BT14" s="10">
        <f>IF(真實IC!BT14&gt;真實IC!BT$25,1,0)</f>
        <v>0</v>
      </c>
      <c r="BU14" s="10">
        <f>IF(真實IC!BU14&gt;真實IC!BU$25,1,0)</f>
        <v>1</v>
      </c>
      <c r="BV14" s="10">
        <f>IF(真實IC!BV14&gt;真實IC!BV$25,1,0)</f>
        <v>1</v>
      </c>
      <c r="BW14" s="10">
        <f>IF(真實IC!BW14&gt;真實IC!BW$25,1,0)</f>
        <v>1</v>
      </c>
      <c r="BX14" s="10">
        <f>IF(真實IC!BX14&gt;真實IC!BX$25,1,0)</f>
        <v>0</v>
      </c>
      <c r="BY14" s="10">
        <f>IF(真實IC!BY14&gt;真實IC!BY$25,1,0)</f>
        <v>1</v>
      </c>
      <c r="BZ14" s="10">
        <f>IF(真實IC!BZ14&gt;真實IC!BZ$25,1,0)</f>
        <v>0</v>
      </c>
      <c r="CA14" s="10">
        <f>IF(真實IC!CA14&gt;真實IC!CA$25,1,0)</f>
        <v>1</v>
      </c>
      <c r="CB14" s="10">
        <f>IF(真實IC!CB14&gt;真實IC!CB$25,1,0)</f>
        <v>0</v>
      </c>
      <c r="CC14" s="10">
        <f>IF(真實IC!CC14&gt;真實IC!CC$25,1,0)</f>
        <v>0</v>
      </c>
      <c r="CD14" s="10">
        <f>IF(真實IC!CD14&gt;真實IC!CD$25,1,0)</f>
        <v>0</v>
      </c>
      <c r="CE14" s="10">
        <f>IF(真實IC!CE14&gt;真實IC!CE$25,1,0)</f>
        <v>1</v>
      </c>
      <c r="CF14" s="10">
        <f>IF(真實IC!CF14&gt;真實IC!CF$25,1,0)</f>
        <v>1</v>
      </c>
      <c r="CG14" s="10">
        <f>IF(真實IC!CG14&gt;真實IC!CG$25,1,0)</f>
        <v>0</v>
      </c>
      <c r="CH14" s="10">
        <f>IF(真實IC!CH14&gt;真實IC!CH$25,1,0)</f>
        <v>0</v>
      </c>
      <c r="CI14" s="10">
        <f>IF(真實IC!CI14&gt;真實IC!CI$25,1,0)</f>
        <v>0</v>
      </c>
      <c r="CJ14" s="10">
        <f>IF(真實IC!CJ14&gt;真實IC!CJ$25,1,0)</f>
        <v>1</v>
      </c>
      <c r="CK14" s="10">
        <f>IF(真實IC!CK14&gt;真實IC!CK$25,1,0)</f>
        <v>1</v>
      </c>
      <c r="CL14" s="10">
        <f>IF(真實IC!CL14&gt;真實IC!CL$25,1,0)</f>
        <v>0</v>
      </c>
      <c r="CM14" s="10">
        <f>IF(真實IC!CM14&gt;真實IC!CM$25,1,0)</f>
        <v>0</v>
      </c>
      <c r="CN14" s="10">
        <f>IF(真實IC!CN14&gt;真實IC!CN$25,1,0)</f>
        <v>1</v>
      </c>
      <c r="CO14" s="10">
        <f>IF(真實IC!CO14&gt;真實IC!CO$25,1,0)</f>
        <v>1</v>
      </c>
      <c r="CP14" s="10">
        <f>IF(真實IC!CP14&gt;真實IC!CP$25,1,0)</f>
        <v>0</v>
      </c>
      <c r="CQ14" s="10">
        <f>IF(真實IC!CQ14&gt;真實IC!CQ$25,1,0)</f>
        <v>1</v>
      </c>
      <c r="CR14" s="10">
        <f>IF(真實IC!CR14&gt;真實IC!CR$25,1,0)</f>
        <v>1</v>
      </c>
      <c r="CS14" s="10">
        <f>IF(真實IC!CS14&gt;真實IC!CS$25,1,0)</f>
        <v>0</v>
      </c>
      <c r="CT14" s="10">
        <f>IF(真實IC!CT14&gt;真實IC!CT$25,1,0)</f>
        <v>0</v>
      </c>
      <c r="CU14" s="10">
        <f>IF(真實IC!CU14&gt;真實IC!CU$25,1,0)</f>
        <v>1</v>
      </c>
      <c r="CV14" s="10">
        <f>IF(真實IC!CV14&gt;真實IC!CV$25,1,0)</f>
        <v>1</v>
      </c>
      <c r="CW14" s="10">
        <f>IF(真實IC!CW14&gt;真實IC!CW$25,1,0)</f>
        <v>1</v>
      </c>
      <c r="CX14" s="10">
        <f>IF(真實IC!CX14&gt;真實IC!CX$25,1,0)</f>
        <v>1</v>
      </c>
      <c r="CY14" s="10">
        <f>IF(真實IC!CY14&gt;真實IC!CY$25,1,0)</f>
        <v>1</v>
      </c>
      <c r="CZ14" s="10">
        <f>IF(真實IC!CZ14&gt;真實IC!CZ$25,1,0)</f>
        <v>1</v>
      </c>
      <c r="DA14" s="10">
        <f>IF(真實IC!DA14&gt;真實IC!DA$25,1,0)</f>
        <v>0</v>
      </c>
      <c r="DB14" s="10">
        <f>IF(真實IC!DB14&gt;真實IC!DB$25,1,0)</f>
        <v>1</v>
      </c>
      <c r="DC14" s="10">
        <f>IF(真實IC!DC14&gt;真實IC!DC$25,1,0)</f>
        <v>1</v>
      </c>
      <c r="DD14" s="10">
        <f>IF(真實IC!DD14&gt;真實IC!DD$25,1,0)</f>
        <v>1</v>
      </c>
      <c r="DE14" s="10">
        <f>IF(真實IC!DE14&gt;真實IC!DE$25,1,0)</f>
        <v>0</v>
      </c>
      <c r="DF14" s="10">
        <f>IF(真實IC!DF14&gt;真實IC!DF$25,1,0)</f>
        <v>1</v>
      </c>
      <c r="DG14" s="10">
        <f>IF(真實IC!DG14&gt;真實IC!DG$25,1,0)</f>
        <v>1</v>
      </c>
      <c r="DH14" s="10">
        <f>IF(真實IC!DH14&gt;真實IC!DH$25,1,0)</f>
        <v>1</v>
      </c>
      <c r="DI14" s="10">
        <f>IF(真實IC!DI14&gt;真實IC!DI$25,1,0)</f>
        <v>0</v>
      </c>
      <c r="DJ14" s="10">
        <f>IF(真實IC!DJ14&gt;真實IC!DJ$25,1,0)</f>
        <v>1</v>
      </c>
      <c r="DK14" s="10">
        <f>IF(真實IC!DK14&gt;真實IC!DK$25,1,0)</f>
        <v>0</v>
      </c>
      <c r="DL14" s="10">
        <f>IF(真實IC!DL14&gt;真實IC!DL$25,1,0)</f>
        <v>1</v>
      </c>
      <c r="DM14" s="10">
        <f>IF(真實IC!DM14&gt;真實IC!DM$25,1,0)</f>
        <v>0</v>
      </c>
      <c r="DN14" s="10">
        <f>IF(真實IC!DN14&gt;真實IC!DN$25,1,0)</f>
        <v>1</v>
      </c>
      <c r="DO14" s="10">
        <f>IF(真實IC!DO14&gt;真實IC!DO$25,1,0)</f>
        <v>1</v>
      </c>
      <c r="DP14" s="10">
        <f>IF(真實IC!DP14&gt;真實IC!DP$25,1,0)</f>
        <v>1</v>
      </c>
      <c r="DQ14" s="10">
        <f>IF(真實IC!DQ14&gt;真實IC!DQ$25,1,0)</f>
        <v>0</v>
      </c>
      <c r="DR14" s="10">
        <f>IF(真實IC!DR14&gt;真實IC!DR$25,1,0)</f>
        <v>0</v>
      </c>
      <c r="DS14" s="10">
        <f>IF(真實IC!DS14&gt;真實IC!DS$25,1,0)</f>
        <v>1</v>
      </c>
      <c r="DT14" s="10">
        <f>IF(真實IC!DT14&gt;真實IC!DT$25,1,0)</f>
        <v>0</v>
      </c>
      <c r="DU14" s="10">
        <f>IF(真實IC!DU14&gt;真實IC!DU$25,1,0)</f>
        <v>1</v>
      </c>
      <c r="DV14" s="10">
        <f>IF(真實IC!DV14&gt;真實IC!DV$25,1,0)</f>
        <v>1</v>
      </c>
      <c r="DW14" s="10">
        <f>IF(真實IC!DW14&gt;真實IC!DW$25,1,0)</f>
        <v>0</v>
      </c>
      <c r="DX14" s="10">
        <f>IF(真實IC!DX14&gt;真實IC!DX$25,1,0)</f>
        <v>0</v>
      </c>
      <c r="DY14" s="10">
        <f>IF(真實IC!DY14&gt;真實IC!DY$25,1,0)</f>
        <v>1</v>
      </c>
      <c r="DZ14" s="10">
        <f>IF(真實IC!DZ14&gt;真實IC!DZ$25,1,0)</f>
        <v>0</v>
      </c>
      <c r="EA14" s="10">
        <f>IF(真實IC!EA14&gt;真實IC!EA$25,1,0)</f>
        <v>1</v>
      </c>
      <c r="EB14" s="10">
        <f>IF(真實IC!EB14&gt;真實IC!EB$25,1,0)</f>
        <v>1</v>
      </c>
      <c r="EC14" s="10">
        <f>IF(真實IC!EC14&gt;真實IC!EC$25,1,0)</f>
        <v>0</v>
      </c>
      <c r="ED14" s="10">
        <f>IF(真實IC!ED14&gt;真實IC!ED$25,1,0)</f>
        <v>1</v>
      </c>
      <c r="EE14" s="10">
        <f>IF(真實IC!EE14&gt;真實IC!EE$25,1,0)</f>
        <v>1</v>
      </c>
      <c r="EF14" s="10">
        <f>IF(真實IC!EF14&gt;真實IC!EF$25,1,0)</f>
        <v>1</v>
      </c>
      <c r="EG14" s="10">
        <f>IF(真實IC!EG14&gt;真實IC!EG$25,1,0)</f>
        <v>1</v>
      </c>
      <c r="EH14" s="10">
        <f>IF(真實IC!EH14&gt;真實IC!EH$25,1,0)</f>
        <v>1</v>
      </c>
      <c r="EI14" s="10">
        <f>IF(真實IC!EI14&gt;真實IC!EI$25,1,0)</f>
        <v>0</v>
      </c>
      <c r="EJ14" s="10">
        <f>IF(真實IC!EJ14&gt;真實IC!EJ$25,1,0)</f>
        <v>0</v>
      </c>
      <c r="EK14" s="10">
        <f>IF(真實IC!EK14&gt;真實IC!EK$25,1,0)</f>
        <v>1</v>
      </c>
      <c r="EL14" s="10">
        <f>IF(真實IC!EL14&gt;真實IC!EL$25,1,0)</f>
        <v>1</v>
      </c>
      <c r="EM14" s="6">
        <f t="shared" si="11"/>
        <v>87</v>
      </c>
      <c r="EN14" s="12">
        <f t="shared" si="12"/>
        <v>0.62142857142857144</v>
      </c>
    </row>
    <row r="15" spans="1:144" x14ac:dyDescent="0.3">
      <c r="A15" s="11">
        <v>110</v>
      </c>
      <c r="B15" s="11">
        <f t="shared" si="10"/>
        <v>10</v>
      </c>
      <c r="C15" s="10">
        <f>IF(真實IC!C15&gt;真實IC!C$25,1,0)</f>
        <v>0</v>
      </c>
      <c r="D15" s="10">
        <f>IF(真實IC!D15&gt;真實IC!D$25,1,0)</f>
        <v>0</v>
      </c>
      <c r="E15" s="10">
        <f>IF(真實IC!E15&gt;真實IC!E$25,1,0)</f>
        <v>1</v>
      </c>
      <c r="F15" s="10">
        <f>IF(真實IC!F15&gt;真實IC!F$25,1,0)</f>
        <v>0</v>
      </c>
      <c r="G15" s="10">
        <f>IF(真實IC!G15&gt;真實IC!G$25,1,0)</f>
        <v>0</v>
      </c>
      <c r="H15" s="10">
        <f>IF(真實IC!H15&gt;真實IC!H$25,1,0)</f>
        <v>0</v>
      </c>
      <c r="I15" s="10">
        <f>IF(真實IC!I15&gt;真實IC!I$25,1,0)</f>
        <v>0</v>
      </c>
      <c r="J15" s="10">
        <f>IF(真實IC!J15&gt;真實IC!J$25,1,0)</f>
        <v>0</v>
      </c>
      <c r="K15" s="10">
        <f>IF(真實IC!K15&gt;真實IC!K$25,1,0)</f>
        <v>1</v>
      </c>
      <c r="L15" s="10">
        <f>IF(真實IC!L15&gt;真實IC!L$25,1,0)</f>
        <v>0</v>
      </c>
      <c r="M15" s="10">
        <f>IF(真實IC!M15&gt;真實IC!M$25,1,0)</f>
        <v>1</v>
      </c>
      <c r="N15" s="10">
        <f>IF(真實IC!N15&gt;真實IC!N$25,1,0)</f>
        <v>1</v>
      </c>
      <c r="O15" s="10">
        <f>IF(真實IC!O15&gt;真實IC!O$25,1,0)</f>
        <v>0</v>
      </c>
      <c r="P15" s="10">
        <f>IF(真實IC!P15&gt;真實IC!P$25,1,0)</f>
        <v>1</v>
      </c>
      <c r="Q15" s="10">
        <f>IF(真實IC!Q15&gt;真實IC!Q$25,1,0)</f>
        <v>0</v>
      </c>
      <c r="R15" s="10">
        <f>IF(真實IC!R15&gt;真實IC!R$25,1,0)</f>
        <v>1</v>
      </c>
      <c r="S15" s="10">
        <f>IF(真實IC!S15&gt;真實IC!S$25,1,0)</f>
        <v>1</v>
      </c>
      <c r="T15" s="10">
        <f>IF(真實IC!T15&gt;真實IC!T$25,1,0)</f>
        <v>1</v>
      </c>
      <c r="U15" s="10">
        <f>IF(真實IC!U15&gt;真實IC!U$25,1,0)</f>
        <v>1</v>
      </c>
      <c r="V15" s="10">
        <f>IF(真實IC!V15&gt;真實IC!V$25,1,0)</f>
        <v>0</v>
      </c>
      <c r="W15" s="10">
        <f>IF(真實IC!W15&gt;真實IC!W$25,1,0)</f>
        <v>1</v>
      </c>
      <c r="X15" s="10">
        <f>IF(真實IC!X15&gt;真實IC!X$25,1,0)</f>
        <v>1</v>
      </c>
      <c r="Y15" s="10">
        <f>IF(真實IC!Y15&gt;真實IC!Y$25,1,0)</f>
        <v>1</v>
      </c>
      <c r="Z15" s="10">
        <f>IF(真實IC!Z15&gt;真實IC!Z$25,1,0)</f>
        <v>1</v>
      </c>
      <c r="AA15" s="10">
        <f>IF(真實IC!AA15&gt;真實IC!AA$25,1,0)</f>
        <v>1</v>
      </c>
      <c r="AB15" s="10">
        <f>IF(真實IC!AB15&gt;真實IC!AB$25,1,0)</f>
        <v>0</v>
      </c>
      <c r="AC15" s="10">
        <f>IF(真實IC!AC15&gt;真實IC!AC$25,1,0)</f>
        <v>0</v>
      </c>
      <c r="AD15" s="10">
        <f>IF(真實IC!AD15&gt;真實IC!AD$25,1,0)</f>
        <v>0</v>
      </c>
      <c r="AE15" s="10">
        <f>IF(真實IC!AE15&gt;真實IC!AE$25,1,0)</f>
        <v>1</v>
      </c>
      <c r="AF15" s="10">
        <f>IF(真實IC!AF15&gt;真實IC!AF$25,1,0)</f>
        <v>1</v>
      </c>
      <c r="AG15" s="10">
        <f>IF(真實IC!AG15&gt;真實IC!AG$25,1,0)</f>
        <v>0</v>
      </c>
      <c r="AH15" s="10">
        <f>IF(真實IC!AH15&gt;真實IC!AH$25,1,0)</f>
        <v>0</v>
      </c>
      <c r="AI15" s="10">
        <f>IF(真實IC!AI15&gt;真實IC!AI$25,1,0)</f>
        <v>0</v>
      </c>
      <c r="AJ15" s="10">
        <f>IF(真實IC!AJ15&gt;真實IC!AJ$25,1,0)</f>
        <v>1</v>
      </c>
      <c r="AK15" s="10">
        <f>IF(真實IC!AK15&gt;真實IC!AK$25,1,0)</f>
        <v>1</v>
      </c>
      <c r="AL15" s="10">
        <f>IF(真實IC!AL15&gt;真實IC!AL$25,1,0)</f>
        <v>1</v>
      </c>
      <c r="AM15" s="10">
        <f>IF(真實IC!AM15&gt;真實IC!AM$25,1,0)</f>
        <v>0</v>
      </c>
      <c r="AN15" s="10">
        <f>IF(真實IC!AN15&gt;真實IC!AN$25,1,0)</f>
        <v>0</v>
      </c>
      <c r="AO15" s="10">
        <f>IF(真實IC!AO15&gt;真實IC!AO$25,1,0)</f>
        <v>1</v>
      </c>
      <c r="AP15" s="10">
        <f>IF(真實IC!AP15&gt;真實IC!AP$25,1,0)</f>
        <v>1</v>
      </c>
      <c r="AQ15" s="10">
        <f>IF(真實IC!AQ15&gt;真實IC!AQ$25,1,0)</f>
        <v>0</v>
      </c>
      <c r="AR15" s="10">
        <f>IF(真實IC!AR15&gt;真實IC!AR$25,1,0)</f>
        <v>0</v>
      </c>
      <c r="AS15" s="10">
        <f>IF(真實IC!AS15&gt;真實IC!AS$25,1,0)</f>
        <v>0</v>
      </c>
      <c r="AT15" s="10">
        <f>IF(真實IC!AT15&gt;真實IC!AT$25,1,0)</f>
        <v>1</v>
      </c>
      <c r="AU15" s="10">
        <f>IF(真實IC!AU15&gt;真實IC!AU$25,1,0)</f>
        <v>1</v>
      </c>
      <c r="AV15" s="10">
        <f>IF(真實IC!AV15&gt;真實IC!AV$25,1,0)</f>
        <v>1</v>
      </c>
      <c r="AW15" s="10">
        <f>IF(真實IC!AW15&gt;真實IC!AW$25,1,0)</f>
        <v>1</v>
      </c>
      <c r="AX15" s="10">
        <f>IF(真實IC!AX15&gt;真實IC!AX$25,1,0)</f>
        <v>1</v>
      </c>
      <c r="AY15" s="10">
        <f>IF(真實IC!AY15&gt;真實IC!AY$25,1,0)</f>
        <v>0</v>
      </c>
      <c r="AZ15" s="10">
        <f>IF(真實IC!AZ15&gt;真實IC!AZ$25,1,0)</f>
        <v>1</v>
      </c>
      <c r="BA15" s="10">
        <f>IF(真實IC!BA15&gt;真實IC!BA$25,1,0)</f>
        <v>1</v>
      </c>
      <c r="BB15" s="10">
        <f>IF(真實IC!BB15&gt;真實IC!BB$25,1,0)</f>
        <v>1</v>
      </c>
      <c r="BC15" s="10">
        <f>IF(真實IC!BC15&gt;真實IC!BC$25,1,0)</f>
        <v>0</v>
      </c>
      <c r="BD15" s="10">
        <f>IF(真實IC!BD15&gt;真實IC!BD$25,1,0)</f>
        <v>1</v>
      </c>
      <c r="BE15" s="10">
        <f>IF(真實IC!BE15&gt;真實IC!BE$25,1,0)</f>
        <v>1</v>
      </c>
      <c r="BF15" s="10">
        <f>IF(真實IC!BF15&gt;真實IC!BF$25,1,0)</f>
        <v>1</v>
      </c>
      <c r="BG15" s="10">
        <f>IF(真實IC!BG15&gt;真實IC!BG$25,1,0)</f>
        <v>1</v>
      </c>
      <c r="BH15" s="10">
        <f>IF(真實IC!BH15&gt;真實IC!BH$25,1,0)</f>
        <v>1</v>
      </c>
      <c r="BI15" s="10">
        <f>IF(真實IC!BI15&gt;真實IC!BI$25,1,0)</f>
        <v>1</v>
      </c>
      <c r="BJ15" s="10">
        <f>IF(真實IC!BJ15&gt;真實IC!BJ$25,1,0)</f>
        <v>1</v>
      </c>
      <c r="BK15" s="10">
        <f>IF(真實IC!BK15&gt;真實IC!BK$25,1,0)</f>
        <v>1</v>
      </c>
      <c r="BL15" s="10">
        <f>IF(真實IC!BL15&gt;真實IC!BL$25,1,0)</f>
        <v>1</v>
      </c>
      <c r="BM15" s="10">
        <f>IF(真實IC!BM15&gt;真實IC!BM$25,1,0)</f>
        <v>1</v>
      </c>
      <c r="BN15" s="10">
        <f>IF(真實IC!BN15&gt;真實IC!BN$25,1,0)</f>
        <v>1</v>
      </c>
      <c r="BO15" s="10">
        <f>IF(真實IC!BO15&gt;真實IC!BO$25,1,0)</f>
        <v>1</v>
      </c>
      <c r="BP15" s="10">
        <f>IF(真實IC!BP15&gt;真實IC!BP$25,1,0)</f>
        <v>0</v>
      </c>
      <c r="BQ15" s="10">
        <f>IF(真實IC!BQ15&gt;真實IC!BQ$25,1,0)</f>
        <v>0</v>
      </c>
      <c r="BR15" s="10">
        <f>IF(真實IC!BR15&gt;真實IC!BR$25,1,0)</f>
        <v>1</v>
      </c>
      <c r="BS15" s="10">
        <f>IF(真實IC!BS15&gt;真實IC!BS$25,1,0)</f>
        <v>0</v>
      </c>
      <c r="BT15" s="10">
        <f>IF(真實IC!BT15&gt;真實IC!BT$25,1,0)</f>
        <v>0</v>
      </c>
      <c r="BU15" s="10">
        <f>IF(真實IC!BU15&gt;真實IC!BU$25,1,0)</f>
        <v>0</v>
      </c>
      <c r="BV15" s="10">
        <f>IF(真實IC!BV15&gt;真實IC!BV$25,1,0)</f>
        <v>1</v>
      </c>
      <c r="BW15" s="10">
        <f>IF(真實IC!BW15&gt;真實IC!BW$25,1,0)</f>
        <v>1</v>
      </c>
      <c r="BX15" s="10">
        <f>IF(真實IC!BX15&gt;真實IC!BX$25,1,0)</f>
        <v>0</v>
      </c>
      <c r="BY15" s="10">
        <f>IF(真實IC!BY15&gt;真實IC!BY$25,1,0)</f>
        <v>1</v>
      </c>
      <c r="BZ15" s="10">
        <f>IF(真實IC!BZ15&gt;真實IC!BZ$25,1,0)</f>
        <v>0</v>
      </c>
      <c r="CA15" s="10">
        <f>IF(真實IC!CA15&gt;真實IC!CA$25,1,0)</f>
        <v>1</v>
      </c>
      <c r="CB15" s="10">
        <f>IF(真實IC!CB15&gt;真實IC!CB$25,1,0)</f>
        <v>0</v>
      </c>
      <c r="CC15" s="10">
        <f>IF(真實IC!CC15&gt;真實IC!CC$25,1,0)</f>
        <v>1</v>
      </c>
      <c r="CD15" s="10">
        <f>IF(真實IC!CD15&gt;真實IC!CD$25,1,0)</f>
        <v>0</v>
      </c>
      <c r="CE15" s="10">
        <f>IF(真實IC!CE15&gt;真實IC!CE$25,1,0)</f>
        <v>1</v>
      </c>
      <c r="CF15" s="10">
        <f>IF(真實IC!CF15&gt;真實IC!CF$25,1,0)</f>
        <v>1</v>
      </c>
      <c r="CG15" s="10">
        <f>IF(真實IC!CG15&gt;真實IC!CG$25,1,0)</f>
        <v>1</v>
      </c>
      <c r="CH15" s="10">
        <f>IF(真實IC!CH15&gt;真實IC!CH$25,1,0)</f>
        <v>0</v>
      </c>
      <c r="CI15" s="10">
        <f>IF(真實IC!CI15&gt;真實IC!CI$25,1,0)</f>
        <v>0</v>
      </c>
      <c r="CJ15" s="10">
        <f>IF(真實IC!CJ15&gt;真實IC!CJ$25,1,0)</f>
        <v>1</v>
      </c>
      <c r="CK15" s="10">
        <f>IF(真實IC!CK15&gt;真實IC!CK$25,1,0)</f>
        <v>1</v>
      </c>
      <c r="CL15" s="10">
        <f>IF(真實IC!CL15&gt;真實IC!CL$25,1,0)</f>
        <v>0</v>
      </c>
      <c r="CM15" s="10">
        <f>IF(真實IC!CM15&gt;真實IC!CM$25,1,0)</f>
        <v>0</v>
      </c>
      <c r="CN15" s="10">
        <f>IF(真實IC!CN15&gt;真實IC!CN$25,1,0)</f>
        <v>1</v>
      </c>
      <c r="CO15" s="10">
        <f>IF(真實IC!CO15&gt;真實IC!CO$25,1,0)</f>
        <v>1</v>
      </c>
      <c r="CP15" s="10">
        <f>IF(真實IC!CP15&gt;真實IC!CP$25,1,0)</f>
        <v>0</v>
      </c>
      <c r="CQ15" s="10">
        <f>IF(真實IC!CQ15&gt;真實IC!CQ$25,1,0)</f>
        <v>1</v>
      </c>
      <c r="CR15" s="10">
        <f>IF(真實IC!CR15&gt;真實IC!CR$25,1,0)</f>
        <v>1</v>
      </c>
      <c r="CS15" s="10">
        <f>IF(真實IC!CS15&gt;真實IC!CS$25,1,0)</f>
        <v>0</v>
      </c>
      <c r="CT15" s="10">
        <f>IF(真實IC!CT15&gt;真實IC!CT$25,1,0)</f>
        <v>0</v>
      </c>
      <c r="CU15" s="10">
        <f>IF(真實IC!CU15&gt;真實IC!CU$25,1,0)</f>
        <v>1</v>
      </c>
      <c r="CV15" s="10">
        <f>IF(真實IC!CV15&gt;真實IC!CV$25,1,0)</f>
        <v>1</v>
      </c>
      <c r="CW15" s="10">
        <f>IF(真實IC!CW15&gt;真實IC!CW$25,1,0)</f>
        <v>1</v>
      </c>
      <c r="CX15" s="10">
        <f>IF(真實IC!CX15&gt;真實IC!CX$25,1,0)</f>
        <v>1</v>
      </c>
      <c r="CY15" s="10">
        <f>IF(真實IC!CY15&gt;真實IC!CY$25,1,0)</f>
        <v>1</v>
      </c>
      <c r="CZ15" s="10">
        <f>IF(真實IC!CZ15&gt;真實IC!CZ$25,1,0)</f>
        <v>1</v>
      </c>
      <c r="DA15" s="10">
        <f>IF(真實IC!DA15&gt;真實IC!DA$25,1,0)</f>
        <v>1</v>
      </c>
      <c r="DB15" s="10">
        <f>IF(真實IC!DB15&gt;真實IC!DB$25,1,0)</f>
        <v>1</v>
      </c>
      <c r="DC15" s="10">
        <f>IF(真實IC!DC15&gt;真實IC!DC$25,1,0)</f>
        <v>1</v>
      </c>
      <c r="DD15" s="10">
        <f>IF(真實IC!DD15&gt;真實IC!DD$25,1,0)</f>
        <v>1</v>
      </c>
      <c r="DE15" s="10">
        <f>IF(真實IC!DE15&gt;真實IC!DE$25,1,0)</f>
        <v>0</v>
      </c>
      <c r="DF15" s="10">
        <f>IF(真實IC!DF15&gt;真實IC!DF$25,1,0)</f>
        <v>1</v>
      </c>
      <c r="DG15" s="10">
        <f>IF(真實IC!DG15&gt;真實IC!DG$25,1,0)</f>
        <v>1</v>
      </c>
      <c r="DH15" s="10">
        <f>IF(真實IC!DH15&gt;真實IC!DH$25,1,0)</f>
        <v>0</v>
      </c>
      <c r="DI15" s="10">
        <f>IF(真實IC!DI15&gt;真實IC!DI$25,1,0)</f>
        <v>0</v>
      </c>
      <c r="DJ15" s="10">
        <f>IF(真實IC!DJ15&gt;真實IC!DJ$25,1,0)</f>
        <v>1</v>
      </c>
      <c r="DK15" s="10">
        <f>IF(真實IC!DK15&gt;真實IC!DK$25,1,0)</f>
        <v>0</v>
      </c>
      <c r="DL15" s="10">
        <f>IF(真實IC!DL15&gt;真實IC!DL$25,1,0)</f>
        <v>1</v>
      </c>
      <c r="DM15" s="10">
        <f>IF(真實IC!DM15&gt;真實IC!DM$25,1,0)</f>
        <v>1</v>
      </c>
      <c r="DN15" s="10">
        <f>IF(真實IC!DN15&gt;真實IC!DN$25,1,0)</f>
        <v>1</v>
      </c>
      <c r="DO15" s="10">
        <f>IF(真實IC!DO15&gt;真實IC!DO$25,1,0)</f>
        <v>1</v>
      </c>
      <c r="DP15" s="10">
        <f>IF(真實IC!DP15&gt;真實IC!DP$25,1,0)</f>
        <v>1</v>
      </c>
      <c r="DQ15" s="10">
        <f>IF(真實IC!DQ15&gt;真實IC!DQ$25,1,0)</f>
        <v>0</v>
      </c>
      <c r="DR15" s="10">
        <f>IF(真實IC!DR15&gt;真實IC!DR$25,1,0)</f>
        <v>1</v>
      </c>
      <c r="DS15" s="10">
        <f>IF(真實IC!DS15&gt;真實IC!DS$25,1,0)</f>
        <v>1</v>
      </c>
      <c r="DT15" s="10">
        <f>IF(真實IC!DT15&gt;真實IC!DT$25,1,0)</f>
        <v>0</v>
      </c>
      <c r="DU15" s="10">
        <f>IF(真實IC!DU15&gt;真實IC!DU$25,1,0)</f>
        <v>1</v>
      </c>
      <c r="DV15" s="10">
        <f>IF(真實IC!DV15&gt;真實IC!DV$25,1,0)</f>
        <v>1</v>
      </c>
      <c r="DW15" s="10">
        <f>IF(真實IC!DW15&gt;真實IC!DW$25,1,0)</f>
        <v>0</v>
      </c>
      <c r="DX15" s="10">
        <f>IF(真實IC!DX15&gt;真實IC!DX$25,1,0)</f>
        <v>0</v>
      </c>
      <c r="DY15" s="10">
        <f>IF(真實IC!DY15&gt;真實IC!DY$25,1,0)</f>
        <v>0</v>
      </c>
      <c r="DZ15" s="10">
        <f>IF(真實IC!DZ15&gt;真實IC!DZ$25,1,0)</f>
        <v>0</v>
      </c>
      <c r="EA15" s="10">
        <f>IF(真實IC!EA15&gt;真實IC!EA$25,1,0)</f>
        <v>0</v>
      </c>
      <c r="EB15" s="10">
        <f>IF(真實IC!EB15&gt;真實IC!EB$25,1,0)</f>
        <v>1</v>
      </c>
      <c r="EC15" s="10">
        <f>IF(真實IC!EC15&gt;真實IC!EC$25,1,0)</f>
        <v>0</v>
      </c>
      <c r="ED15" s="10">
        <f>IF(真實IC!ED15&gt;真實IC!ED$25,1,0)</f>
        <v>1</v>
      </c>
      <c r="EE15" s="10">
        <f>IF(真實IC!EE15&gt;真實IC!EE$25,1,0)</f>
        <v>1</v>
      </c>
      <c r="EF15" s="10">
        <f>IF(真實IC!EF15&gt;真實IC!EF$25,1,0)</f>
        <v>1</v>
      </c>
      <c r="EG15" s="10">
        <f>IF(真實IC!EG15&gt;真實IC!EG$25,1,0)</f>
        <v>1</v>
      </c>
      <c r="EH15" s="10">
        <f>IF(真實IC!EH15&gt;真實IC!EH$25,1,0)</f>
        <v>1</v>
      </c>
      <c r="EI15" s="10">
        <f>IF(真實IC!EI15&gt;真實IC!EI$25,1,0)</f>
        <v>0</v>
      </c>
      <c r="EJ15" s="10">
        <f>IF(真實IC!EJ15&gt;真實IC!EJ$25,1,0)</f>
        <v>0</v>
      </c>
      <c r="EK15" s="10">
        <f>IF(真實IC!EK15&gt;真實IC!EK$25,1,0)</f>
        <v>1</v>
      </c>
      <c r="EL15" s="10">
        <f>IF(真實IC!EL15&gt;真實IC!EL$25,1,0)</f>
        <v>1</v>
      </c>
      <c r="EM15" s="6">
        <f t="shared" si="11"/>
        <v>86</v>
      </c>
      <c r="EN15" s="12">
        <f t="shared" si="12"/>
        <v>0.61428571428571432</v>
      </c>
    </row>
    <row r="16" spans="1:144" x14ac:dyDescent="0.3">
      <c r="A16" s="11">
        <v>120</v>
      </c>
      <c r="B16" s="11">
        <f t="shared" si="10"/>
        <v>9</v>
      </c>
      <c r="C16" s="10">
        <f>IF(真實IC!C16&gt;真實IC!C$25,1,0)</f>
        <v>0</v>
      </c>
      <c r="D16" s="10">
        <f>IF(真實IC!D16&gt;真實IC!D$25,1,0)</f>
        <v>1</v>
      </c>
      <c r="E16" s="10">
        <f>IF(真實IC!E16&gt;真實IC!E$25,1,0)</f>
        <v>0</v>
      </c>
      <c r="F16" s="10">
        <f>IF(真實IC!F16&gt;真實IC!F$25,1,0)</f>
        <v>0</v>
      </c>
      <c r="G16" s="10">
        <f>IF(真實IC!G16&gt;真實IC!G$25,1,0)</f>
        <v>1</v>
      </c>
      <c r="H16" s="10">
        <f>IF(真實IC!H16&gt;真實IC!H$25,1,0)</f>
        <v>0</v>
      </c>
      <c r="I16" s="10">
        <f>IF(真實IC!I16&gt;真實IC!I$25,1,0)</f>
        <v>0</v>
      </c>
      <c r="J16" s="10">
        <f>IF(真實IC!J16&gt;真實IC!J$25,1,0)</f>
        <v>0</v>
      </c>
      <c r="K16" s="10">
        <f>IF(真實IC!K16&gt;真實IC!K$25,1,0)</f>
        <v>1</v>
      </c>
      <c r="L16" s="10">
        <f>IF(真實IC!L16&gt;真實IC!L$25,1,0)</f>
        <v>0</v>
      </c>
      <c r="M16" s="10">
        <f>IF(真實IC!M16&gt;真實IC!M$25,1,0)</f>
        <v>1</v>
      </c>
      <c r="N16" s="10">
        <f>IF(真實IC!N16&gt;真實IC!N$25,1,0)</f>
        <v>1</v>
      </c>
      <c r="O16" s="10">
        <f>IF(真實IC!O16&gt;真實IC!O$25,1,0)</f>
        <v>0</v>
      </c>
      <c r="P16" s="10">
        <f>IF(真實IC!P16&gt;真實IC!P$25,1,0)</f>
        <v>1</v>
      </c>
      <c r="Q16" s="10">
        <f>IF(真實IC!Q16&gt;真實IC!Q$25,1,0)</f>
        <v>1</v>
      </c>
      <c r="R16" s="10">
        <f>IF(真實IC!R16&gt;真實IC!R$25,1,0)</f>
        <v>1</v>
      </c>
      <c r="S16" s="10">
        <f>IF(真實IC!S16&gt;真實IC!S$25,1,0)</f>
        <v>1</v>
      </c>
      <c r="T16" s="10">
        <f>IF(真實IC!T16&gt;真實IC!T$25,1,0)</f>
        <v>1</v>
      </c>
      <c r="U16" s="10">
        <f>IF(真實IC!U16&gt;真實IC!U$25,1,0)</f>
        <v>1</v>
      </c>
      <c r="V16" s="10">
        <f>IF(真實IC!V16&gt;真實IC!V$25,1,0)</f>
        <v>0</v>
      </c>
      <c r="W16" s="10">
        <f>IF(真實IC!W16&gt;真實IC!W$25,1,0)</f>
        <v>1</v>
      </c>
      <c r="X16" s="10">
        <f>IF(真實IC!X16&gt;真實IC!X$25,1,0)</f>
        <v>1</v>
      </c>
      <c r="Y16" s="10">
        <f>IF(真實IC!Y16&gt;真實IC!Y$25,1,0)</f>
        <v>1</v>
      </c>
      <c r="Z16" s="10">
        <f>IF(真實IC!Z16&gt;真實IC!Z$25,1,0)</f>
        <v>1</v>
      </c>
      <c r="AA16" s="10">
        <f>IF(真實IC!AA16&gt;真實IC!AA$25,1,0)</f>
        <v>1</v>
      </c>
      <c r="AB16" s="10">
        <f>IF(真實IC!AB16&gt;真實IC!AB$25,1,0)</f>
        <v>0</v>
      </c>
      <c r="AC16" s="10">
        <f>IF(真實IC!AC16&gt;真實IC!AC$25,1,0)</f>
        <v>0</v>
      </c>
      <c r="AD16" s="10">
        <f>IF(真實IC!AD16&gt;真實IC!AD$25,1,0)</f>
        <v>1</v>
      </c>
      <c r="AE16" s="10">
        <f>IF(真實IC!AE16&gt;真實IC!AE$25,1,0)</f>
        <v>1</v>
      </c>
      <c r="AF16" s="10">
        <f>IF(真實IC!AF16&gt;真實IC!AF$25,1,0)</f>
        <v>1</v>
      </c>
      <c r="AG16" s="10">
        <f>IF(真實IC!AG16&gt;真實IC!AG$25,1,0)</f>
        <v>0</v>
      </c>
      <c r="AH16" s="10">
        <f>IF(真實IC!AH16&gt;真實IC!AH$25,1,0)</f>
        <v>0</v>
      </c>
      <c r="AI16" s="10">
        <f>IF(真實IC!AI16&gt;真實IC!AI$25,1,0)</f>
        <v>0</v>
      </c>
      <c r="AJ16" s="10">
        <f>IF(真實IC!AJ16&gt;真實IC!AJ$25,1,0)</f>
        <v>1</v>
      </c>
      <c r="AK16" s="10">
        <f>IF(真實IC!AK16&gt;真實IC!AK$25,1,0)</f>
        <v>1</v>
      </c>
      <c r="AL16" s="10">
        <f>IF(真實IC!AL16&gt;真實IC!AL$25,1,0)</f>
        <v>1</v>
      </c>
      <c r="AM16" s="10">
        <f>IF(真實IC!AM16&gt;真實IC!AM$25,1,0)</f>
        <v>0</v>
      </c>
      <c r="AN16" s="10">
        <f>IF(真實IC!AN16&gt;真實IC!AN$25,1,0)</f>
        <v>0</v>
      </c>
      <c r="AO16" s="10">
        <f>IF(真實IC!AO16&gt;真實IC!AO$25,1,0)</f>
        <v>1</v>
      </c>
      <c r="AP16" s="10">
        <f>IF(真實IC!AP16&gt;真實IC!AP$25,1,0)</f>
        <v>1</v>
      </c>
      <c r="AQ16" s="10">
        <f>IF(真實IC!AQ16&gt;真實IC!AQ$25,1,0)</f>
        <v>0</v>
      </c>
      <c r="AR16" s="10">
        <f>IF(真實IC!AR16&gt;真實IC!AR$25,1,0)</f>
        <v>0</v>
      </c>
      <c r="AS16" s="10">
        <f>IF(真實IC!AS16&gt;真實IC!AS$25,1,0)</f>
        <v>0</v>
      </c>
      <c r="AT16" s="10">
        <f>IF(真實IC!AT16&gt;真實IC!AT$25,1,0)</f>
        <v>1</v>
      </c>
      <c r="AU16" s="10">
        <f>IF(真實IC!AU16&gt;真實IC!AU$25,1,0)</f>
        <v>1</v>
      </c>
      <c r="AV16" s="10">
        <f>IF(真實IC!AV16&gt;真實IC!AV$25,1,0)</f>
        <v>1</v>
      </c>
      <c r="AW16" s="10">
        <f>IF(真實IC!AW16&gt;真實IC!AW$25,1,0)</f>
        <v>1</v>
      </c>
      <c r="AX16" s="10">
        <f>IF(真實IC!AX16&gt;真實IC!AX$25,1,0)</f>
        <v>1</v>
      </c>
      <c r="AY16" s="10">
        <f>IF(真實IC!AY16&gt;真實IC!AY$25,1,0)</f>
        <v>0</v>
      </c>
      <c r="AZ16" s="10">
        <f>IF(真實IC!AZ16&gt;真實IC!AZ$25,1,0)</f>
        <v>1</v>
      </c>
      <c r="BA16" s="10">
        <f>IF(真實IC!BA16&gt;真實IC!BA$25,1,0)</f>
        <v>1</v>
      </c>
      <c r="BB16" s="10">
        <f>IF(真實IC!BB16&gt;真實IC!BB$25,1,0)</f>
        <v>1</v>
      </c>
      <c r="BC16" s="10">
        <f>IF(真實IC!BC16&gt;真實IC!BC$25,1,0)</f>
        <v>0</v>
      </c>
      <c r="BD16" s="10">
        <f>IF(真實IC!BD16&gt;真實IC!BD$25,1,0)</f>
        <v>1</v>
      </c>
      <c r="BE16" s="10">
        <f>IF(真實IC!BE16&gt;真實IC!BE$25,1,0)</f>
        <v>1</v>
      </c>
      <c r="BF16" s="10">
        <f>IF(真實IC!BF16&gt;真實IC!BF$25,1,0)</f>
        <v>1</v>
      </c>
      <c r="BG16" s="10">
        <f>IF(真實IC!BG16&gt;真實IC!BG$25,1,0)</f>
        <v>1</v>
      </c>
      <c r="BH16" s="10">
        <f>IF(真實IC!BH16&gt;真實IC!BH$25,1,0)</f>
        <v>1</v>
      </c>
      <c r="BI16" s="10">
        <f>IF(真實IC!BI16&gt;真實IC!BI$25,1,0)</f>
        <v>1</v>
      </c>
      <c r="BJ16" s="10">
        <f>IF(真實IC!BJ16&gt;真實IC!BJ$25,1,0)</f>
        <v>1</v>
      </c>
      <c r="BK16" s="10">
        <f>IF(真實IC!BK16&gt;真實IC!BK$25,1,0)</f>
        <v>1</v>
      </c>
      <c r="BL16" s="10">
        <f>IF(真實IC!BL16&gt;真實IC!BL$25,1,0)</f>
        <v>1</v>
      </c>
      <c r="BM16" s="10">
        <f>IF(真實IC!BM16&gt;真實IC!BM$25,1,0)</f>
        <v>1</v>
      </c>
      <c r="BN16" s="10">
        <f>IF(真實IC!BN16&gt;真實IC!BN$25,1,0)</f>
        <v>1</v>
      </c>
      <c r="BO16" s="10">
        <f>IF(真實IC!BO16&gt;真實IC!BO$25,1,0)</f>
        <v>1</v>
      </c>
      <c r="BP16" s="10">
        <f>IF(真實IC!BP16&gt;真實IC!BP$25,1,0)</f>
        <v>0</v>
      </c>
      <c r="BQ16" s="10">
        <f>IF(真實IC!BQ16&gt;真實IC!BQ$25,1,0)</f>
        <v>0</v>
      </c>
      <c r="BR16" s="10">
        <f>IF(真實IC!BR16&gt;真實IC!BR$25,1,0)</f>
        <v>1</v>
      </c>
      <c r="BS16" s="10">
        <f>IF(真實IC!BS16&gt;真實IC!BS$25,1,0)</f>
        <v>0</v>
      </c>
      <c r="BT16" s="10">
        <f>IF(真實IC!BT16&gt;真實IC!BT$25,1,0)</f>
        <v>0</v>
      </c>
      <c r="BU16" s="10">
        <f>IF(真實IC!BU16&gt;真實IC!BU$25,1,0)</f>
        <v>0</v>
      </c>
      <c r="BV16" s="10">
        <f>IF(真實IC!BV16&gt;真實IC!BV$25,1,0)</f>
        <v>0</v>
      </c>
      <c r="BW16" s="10">
        <f>IF(真實IC!BW16&gt;真實IC!BW$25,1,0)</f>
        <v>1</v>
      </c>
      <c r="BX16" s="10">
        <f>IF(真實IC!BX16&gt;真實IC!BX$25,1,0)</f>
        <v>0</v>
      </c>
      <c r="BY16" s="10">
        <f>IF(真實IC!BY16&gt;真實IC!BY$25,1,0)</f>
        <v>1</v>
      </c>
      <c r="BZ16" s="10">
        <f>IF(真實IC!BZ16&gt;真實IC!BZ$25,1,0)</f>
        <v>0</v>
      </c>
      <c r="CA16" s="10">
        <f>IF(真實IC!CA16&gt;真實IC!CA$25,1,0)</f>
        <v>1</v>
      </c>
      <c r="CB16" s="10">
        <f>IF(真實IC!CB16&gt;真實IC!CB$25,1,0)</f>
        <v>0</v>
      </c>
      <c r="CC16" s="10">
        <f>IF(真實IC!CC16&gt;真實IC!CC$25,1,0)</f>
        <v>1</v>
      </c>
      <c r="CD16" s="10">
        <f>IF(真實IC!CD16&gt;真實IC!CD$25,1,0)</f>
        <v>0</v>
      </c>
      <c r="CE16" s="10">
        <f>IF(真實IC!CE16&gt;真實IC!CE$25,1,0)</f>
        <v>1</v>
      </c>
      <c r="CF16" s="10">
        <f>IF(真實IC!CF16&gt;真實IC!CF$25,1,0)</f>
        <v>1</v>
      </c>
      <c r="CG16" s="10">
        <f>IF(真實IC!CG16&gt;真實IC!CG$25,1,0)</f>
        <v>1</v>
      </c>
      <c r="CH16" s="10">
        <f>IF(真實IC!CH16&gt;真實IC!CH$25,1,0)</f>
        <v>0</v>
      </c>
      <c r="CI16" s="10">
        <f>IF(真實IC!CI16&gt;真實IC!CI$25,1,0)</f>
        <v>1</v>
      </c>
      <c r="CJ16" s="10">
        <f>IF(真實IC!CJ16&gt;真實IC!CJ$25,1,0)</f>
        <v>0</v>
      </c>
      <c r="CK16" s="10">
        <f>IF(真實IC!CK16&gt;真實IC!CK$25,1,0)</f>
        <v>1</v>
      </c>
      <c r="CL16" s="10">
        <f>IF(真實IC!CL16&gt;真實IC!CL$25,1,0)</f>
        <v>0</v>
      </c>
      <c r="CM16" s="10">
        <f>IF(真實IC!CM16&gt;真實IC!CM$25,1,0)</f>
        <v>0</v>
      </c>
      <c r="CN16" s="10">
        <f>IF(真實IC!CN16&gt;真實IC!CN$25,1,0)</f>
        <v>1</v>
      </c>
      <c r="CO16" s="10">
        <f>IF(真實IC!CO16&gt;真實IC!CO$25,1,0)</f>
        <v>1</v>
      </c>
      <c r="CP16" s="10">
        <f>IF(真實IC!CP16&gt;真實IC!CP$25,1,0)</f>
        <v>0</v>
      </c>
      <c r="CQ16" s="10">
        <f>IF(真實IC!CQ16&gt;真實IC!CQ$25,1,0)</f>
        <v>1</v>
      </c>
      <c r="CR16" s="10">
        <f>IF(真實IC!CR16&gt;真實IC!CR$25,1,0)</f>
        <v>1</v>
      </c>
      <c r="CS16" s="10">
        <f>IF(真實IC!CS16&gt;真實IC!CS$25,1,0)</f>
        <v>0</v>
      </c>
      <c r="CT16" s="10">
        <f>IF(真實IC!CT16&gt;真實IC!CT$25,1,0)</f>
        <v>0</v>
      </c>
      <c r="CU16" s="10">
        <f>IF(真實IC!CU16&gt;真實IC!CU$25,1,0)</f>
        <v>1</v>
      </c>
      <c r="CV16" s="10">
        <f>IF(真實IC!CV16&gt;真實IC!CV$25,1,0)</f>
        <v>1</v>
      </c>
      <c r="CW16" s="10">
        <f>IF(真實IC!CW16&gt;真實IC!CW$25,1,0)</f>
        <v>1</v>
      </c>
      <c r="CX16" s="10">
        <f>IF(真實IC!CX16&gt;真實IC!CX$25,1,0)</f>
        <v>1</v>
      </c>
      <c r="CY16" s="10">
        <f>IF(真實IC!CY16&gt;真實IC!CY$25,1,0)</f>
        <v>1</v>
      </c>
      <c r="CZ16" s="10">
        <f>IF(真實IC!CZ16&gt;真實IC!CZ$25,1,0)</f>
        <v>1</v>
      </c>
      <c r="DA16" s="10">
        <f>IF(真實IC!DA16&gt;真實IC!DA$25,1,0)</f>
        <v>1</v>
      </c>
      <c r="DB16" s="10">
        <f>IF(真實IC!DB16&gt;真實IC!DB$25,1,0)</f>
        <v>1</v>
      </c>
      <c r="DC16" s="10">
        <f>IF(真實IC!DC16&gt;真實IC!DC$25,1,0)</f>
        <v>1</v>
      </c>
      <c r="DD16" s="10">
        <f>IF(真實IC!DD16&gt;真實IC!DD$25,1,0)</f>
        <v>1</v>
      </c>
      <c r="DE16" s="10">
        <f>IF(真實IC!DE16&gt;真實IC!DE$25,1,0)</f>
        <v>0</v>
      </c>
      <c r="DF16" s="10">
        <f>IF(真實IC!DF16&gt;真實IC!DF$25,1,0)</f>
        <v>1</v>
      </c>
      <c r="DG16" s="10">
        <f>IF(真實IC!DG16&gt;真實IC!DG$25,1,0)</f>
        <v>1</v>
      </c>
      <c r="DH16" s="10">
        <f>IF(真實IC!DH16&gt;真實IC!DH$25,1,0)</f>
        <v>0</v>
      </c>
      <c r="DI16" s="10">
        <f>IF(真實IC!DI16&gt;真實IC!DI$25,1,0)</f>
        <v>0</v>
      </c>
      <c r="DJ16" s="10">
        <f>IF(真實IC!DJ16&gt;真實IC!DJ$25,1,0)</f>
        <v>1</v>
      </c>
      <c r="DK16" s="10">
        <f>IF(真實IC!DK16&gt;真實IC!DK$25,1,0)</f>
        <v>0</v>
      </c>
      <c r="DL16" s="10">
        <f>IF(真實IC!DL16&gt;真實IC!DL$25,1,0)</f>
        <v>0</v>
      </c>
      <c r="DM16" s="10">
        <f>IF(真實IC!DM16&gt;真實IC!DM$25,1,0)</f>
        <v>1</v>
      </c>
      <c r="DN16" s="10">
        <f>IF(真實IC!DN16&gt;真實IC!DN$25,1,0)</f>
        <v>1</v>
      </c>
      <c r="DO16" s="10">
        <f>IF(真實IC!DO16&gt;真實IC!DO$25,1,0)</f>
        <v>1</v>
      </c>
      <c r="DP16" s="10">
        <f>IF(真實IC!DP16&gt;真實IC!DP$25,1,0)</f>
        <v>1</v>
      </c>
      <c r="DQ16" s="10">
        <f>IF(真實IC!DQ16&gt;真實IC!DQ$25,1,0)</f>
        <v>0</v>
      </c>
      <c r="DR16" s="10">
        <f>IF(真實IC!DR16&gt;真實IC!DR$25,1,0)</f>
        <v>1</v>
      </c>
      <c r="DS16" s="10">
        <f>IF(真實IC!DS16&gt;真實IC!DS$25,1,0)</f>
        <v>1</v>
      </c>
      <c r="DT16" s="10">
        <f>IF(真實IC!DT16&gt;真實IC!DT$25,1,0)</f>
        <v>1</v>
      </c>
      <c r="DU16" s="10">
        <f>IF(真實IC!DU16&gt;真實IC!DU$25,1,0)</f>
        <v>1</v>
      </c>
      <c r="DV16" s="10">
        <f>IF(真實IC!DV16&gt;真實IC!DV$25,1,0)</f>
        <v>0</v>
      </c>
      <c r="DW16" s="10">
        <f>IF(真實IC!DW16&gt;真實IC!DW$25,1,0)</f>
        <v>0</v>
      </c>
      <c r="DX16" s="10">
        <f>IF(真實IC!DX16&gt;真實IC!DX$25,1,0)</f>
        <v>0</v>
      </c>
      <c r="DY16" s="10">
        <f>IF(真實IC!DY16&gt;真實IC!DY$25,1,0)</f>
        <v>0</v>
      </c>
      <c r="DZ16" s="10">
        <f>IF(真實IC!DZ16&gt;真實IC!DZ$25,1,0)</f>
        <v>0</v>
      </c>
      <c r="EA16" s="10">
        <f>IF(真實IC!EA16&gt;真實IC!EA$25,1,0)</f>
        <v>1</v>
      </c>
      <c r="EB16" s="10">
        <f>IF(真實IC!EB16&gt;真實IC!EB$25,1,0)</f>
        <v>1</v>
      </c>
      <c r="EC16" s="10">
        <f>IF(真實IC!EC16&gt;真實IC!EC$25,1,0)</f>
        <v>0</v>
      </c>
      <c r="ED16" s="10">
        <f>IF(真實IC!ED16&gt;真實IC!ED$25,1,0)</f>
        <v>1</v>
      </c>
      <c r="EE16" s="10">
        <f>IF(真實IC!EE16&gt;真實IC!EE$25,1,0)</f>
        <v>1</v>
      </c>
      <c r="EF16" s="10">
        <f>IF(真實IC!EF16&gt;真實IC!EF$25,1,0)</f>
        <v>1</v>
      </c>
      <c r="EG16" s="10">
        <f>IF(真實IC!EG16&gt;真實IC!EG$25,1,0)</f>
        <v>1</v>
      </c>
      <c r="EH16" s="10">
        <f>IF(真實IC!EH16&gt;真實IC!EH$25,1,0)</f>
        <v>1</v>
      </c>
      <c r="EI16" s="10">
        <f>IF(真實IC!EI16&gt;真實IC!EI$25,1,0)</f>
        <v>0</v>
      </c>
      <c r="EJ16" s="10">
        <f>IF(真實IC!EJ16&gt;真實IC!EJ$25,1,0)</f>
        <v>0</v>
      </c>
      <c r="EK16" s="10">
        <f>IF(真實IC!EK16&gt;真實IC!EK$25,1,0)</f>
        <v>1</v>
      </c>
      <c r="EL16" s="10">
        <f>IF(真實IC!EL16&gt;真實IC!EL$25,1,0)</f>
        <v>1</v>
      </c>
      <c r="EM16" s="6">
        <f t="shared" si="11"/>
        <v>88</v>
      </c>
      <c r="EN16" s="12">
        <f t="shared" si="12"/>
        <v>0.62857142857142856</v>
      </c>
    </row>
    <row r="17" spans="1:144" x14ac:dyDescent="0.3">
      <c r="A17" s="11">
        <v>130</v>
      </c>
      <c r="B17" s="11">
        <f t="shared" si="10"/>
        <v>8</v>
      </c>
      <c r="C17" s="10">
        <f>IF(真實IC!C17&gt;真實IC!C$25,1,0)</f>
        <v>0</v>
      </c>
      <c r="D17" s="10">
        <f>IF(真實IC!D17&gt;真實IC!D$25,1,0)</f>
        <v>1</v>
      </c>
      <c r="E17" s="10">
        <f>IF(真實IC!E17&gt;真實IC!E$25,1,0)</f>
        <v>0</v>
      </c>
      <c r="F17" s="10">
        <f>IF(真實IC!F17&gt;真實IC!F$25,1,0)</f>
        <v>0</v>
      </c>
      <c r="G17" s="10">
        <f>IF(真實IC!G17&gt;真實IC!G$25,1,0)</f>
        <v>1</v>
      </c>
      <c r="H17" s="10">
        <f>IF(真實IC!H17&gt;真實IC!H$25,1,0)</f>
        <v>0</v>
      </c>
      <c r="I17" s="10">
        <f>IF(真實IC!I17&gt;真實IC!I$25,1,0)</f>
        <v>0</v>
      </c>
      <c r="J17" s="10">
        <f>IF(真實IC!J17&gt;真實IC!J$25,1,0)</f>
        <v>0</v>
      </c>
      <c r="K17" s="10">
        <f>IF(真實IC!K17&gt;真實IC!K$25,1,0)</f>
        <v>1</v>
      </c>
      <c r="L17" s="10">
        <f>IF(真實IC!L17&gt;真實IC!L$25,1,0)</f>
        <v>0</v>
      </c>
      <c r="M17" s="10">
        <f>IF(真實IC!M17&gt;真實IC!M$25,1,0)</f>
        <v>1</v>
      </c>
      <c r="N17" s="10">
        <f>IF(真實IC!N17&gt;真實IC!N$25,1,0)</f>
        <v>1</v>
      </c>
      <c r="O17" s="10">
        <f>IF(真實IC!O17&gt;真實IC!O$25,1,0)</f>
        <v>0</v>
      </c>
      <c r="P17" s="10">
        <f>IF(真實IC!P17&gt;真實IC!P$25,1,0)</f>
        <v>0</v>
      </c>
      <c r="Q17" s="10">
        <f>IF(真實IC!Q17&gt;真實IC!Q$25,1,0)</f>
        <v>1</v>
      </c>
      <c r="R17" s="10">
        <f>IF(真實IC!R17&gt;真實IC!R$25,1,0)</f>
        <v>1</v>
      </c>
      <c r="S17" s="10">
        <f>IF(真實IC!S17&gt;真實IC!S$25,1,0)</f>
        <v>1</v>
      </c>
      <c r="T17" s="10">
        <f>IF(真實IC!T17&gt;真實IC!T$25,1,0)</f>
        <v>1</v>
      </c>
      <c r="U17" s="10">
        <f>IF(真實IC!U17&gt;真實IC!U$25,1,0)</f>
        <v>1</v>
      </c>
      <c r="V17" s="10">
        <f>IF(真實IC!V17&gt;真實IC!V$25,1,0)</f>
        <v>0</v>
      </c>
      <c r="W17" s="10">
        <f>IF(真實IC!W17&gt;真實IC!W$25,1,0)</f>
        <v>1</v>
      </c>
      <c r="X17" s="10">
        <f>IF(真實IC!X17&gt;真實IC!X$25,1,0)</f>
        <v>1</v>
      </c>
      <c r="Y17" s="10">
        <f>IF(真實IC!Y17&gt;真實IC!Y$25,1,0)</f>
        <v>1</v>
      </c>
      <c r="Z17" s="10">
        <f>IF(真實IC!Z17&gt;真實IC!Z$25,1,0)</f>
        <v>1</v>
      </c>
      <c r="AA17" s="10">
        <f>IF(真實IC!AA17&gt;真實IC!AA$25,1,0)</f>
        <v>1</v>
      </c>
      <c r="AB17" s="10">
        <f>IF(真實IC!AB17&gt;真實IC!AB$25,1,0)</f>
        <v>0</v>
      </c>
      <c r="AC17" s="10">
        <f>IF(真實IC!AC17&gt;真實IC!AC$25,1,0)</f>
        <v>0</v>
      </c>
      <c r="AD17" s="10">
        <f>IF(真實IC!AD17&gt;真實IC!AD$25,1,0)</f>
        <v>1</v>
      </c>
      <c r="AE17" s="10">
        <f>IF(真實IC!AE17&gt;真實IC!AE$25,1,0)</f>
        <v>1</v>
      </c>
      <c r="AF17" s="10">
        <f>IF(真實IC!AF17&gt;真實IC!AF$25,1,0)</f>
        <v>1</v>
      </c>
      <c r="AG17" s="10">
        <f>IF(真實IC!AG17&gt;真實IC!AG$25,1,0)</f>
        <v>0</v>
      </c>
      <c r="AH17" s="10">
        <f>IF(真實IC!AH17&gt;真實IC!AH$25,1,0)</f>
        <v>0</v>
      </c>
      <c r="AI17" s="10">
        <f>IF(真實IC!AI17&gt;真實IC!AI$25,1,0)</f>
        <v>0</v>
      </c>
      <c r="AJ17" s="10">
        <f>IF(真實IC!AJ17&gt;真實IC!AJ$25,1,0)</f>
        <v>1</v>
      </c>
      <c r="AK17" s="10">
        <f>IF(真實IC!AK17&gt;真實IC!AK$25,1,0)</f>
        <v>1</v>
      </c>
      <c r="AL17" s="10">
        <f>IF(真實IC!AL17&gt;真實IC!AL$25,1,0)</f>
        <v>1</v>
      </c>
      <c r="AM17" s="10">
        <f>IF(真實IC!AM17&gt;真實IC!AM$25,1,0)</f>
        <v>0</v>
      </c>
      <c r="AN17" s="10">
        <f>IF(真實IC!AN17&gt;真實IC!AN$25,1,0)</f>
        <v>0</v>
      </c>
      <c r="AO17" s="10">
        <f>IF(真實IC!AO17&gt;真實IC!AO$25,1,0)</f>
        <v>1</v>
      </c>
      <c r="AP17" s="10">
        <f>IF(真實IC!AP17&gt;真實IC!AP$25,1,0)</f>
        <v>1</v>
      </c>
      <c r="AQ17" s="10">
        <f>IF(真實IC!AQ17&gt;真實IC!AQ$25,1,0)</f>
        <v>0</v>
      </c>
      <c r="AR17" s="10">
        <f>IF(真實IC!AR17&gt;真實IC!AR$25,1,0)</f>
        <v>0</v>
      </c>
      <c r="AS17" s="10">
        <f>IF(真實IC!AS17&gt;真實IC!AS$25,1,0)</f>
        <v>0</v>
      </c>
      <c r="AT17" s="10">
        <f>IF(真實IC!AT17&gt;真實IC!AT$25,1,0)</f>
        <v>1</v>
      </c>
      <c r="AU17" s="10">
        <f>IF(真實IC!AU17&gt;真實IC!AU$25,1,0)</f>
        <v>1</v>
      </c>
      <c r="AV17" s="10">
        <f>IF(真實IC!AV17&gt;真實IC!AV$25,1,0)</f>
        <v>1</v>
      </c>
      <c r="AW17" s="10">
        <f>IF(真實IC!AW17&gt;真實IC!AW$25,1,0)</f>
        <v>1</v>
      </c>
      <c r="AX17" s="10">
        <f>IF(真實IC!AX17&gt;真實IC!AX$25,1,0)</f>
        <v>1</v>
      </c>
      <c r="AY17" s="10">
        <f>IF(真實IC!AY17&gt;真實IC!AY$25,1,0)</f>
        <v>0</v>
      </c>
      <c r="AZ17" s="10">
        <f>IF(真實IC!AZ17&gt;真實IC!AZ$25,1,0)</f>
        <v>1</v>
      </c>
      <c r="BA17" s="10">
        <f>IF(真實IC!BA17&gt;真實IC!BA$25,1,0)</f>
        <v>1</v>
      </c>
      <c r="BB17" s="10">
        <f>IF(真實IC!BB17&gt;真實IC!BB$25,1,0)</f>
        <v>1</v>
      </c>
      <c r="BC17" s="10">
        <f>IF(真實IC!BC17&gt;真實IC!BC$25,1,0)</f>
        <v>0</v>
      </c>
      <c r="BD17" s="10">
        <f>IF(真實IC!BD17&gt;真實IC!BD$25,1,0)</f>
        <v>1</v>
      </c>
      <c r="BE17" s="10">
        <f>IF(真實IC!BE17&gt;真實IC!BE$25,1,0)</f>
        <v>1</v>
      </c>
      <c r="BF17" s="10">
        <f>IF(真實IC!BF17&gt;真實IC!BF$25,1,0)</f>
        <v>1</v>
      </c>
      <c r="BG17" s="10">
        <f>IF(真實IC!BG17&gt;真實IC!BG$25,1,0)</f>
        <v>1</v>
      </c>
      <c r="BH17" s="10">
        <f>IF(真實IC!BH17&gt;真實IC!BH$25,1,0)</f>
        <v>1</v>
      </c>
      <c r="BI17" s="10">
        <f>IF(真實IC!BI17&gt;真實IC!BI$25,1,0)</f>
        <v>1</v>
      </c>
      <c r="BJ17" s="10">
        <f>IF(真實IC!BJ17&gt;真實IC!BJ$25,1,0)</f>
        <v>1</v>
      </c>
      <c r="BK17" s="10">
        <f>IF(真實IC!BK17&gt;真實IC!BK$25,1,0)</f>
        <v>1</v>
      </c>
      <c r="BL17" s="10">
        <f>IF(真實IC!BL17&gt;真實IC!BL$25,1,0)</f>
        <v>0</v>
      </c>
      <c r="BM17" s="10">
        <f>IF(真實IC!BM17&gt;真實IC!BM$25,1,0)</f>
        <v>0</v>
      </c>
      <c r="BN17" s="10">
        <f>IF(真實IC!BN17&gt;真實IC!BN$25,1,0)</f>
        <v>1</v>
      </c>
      <c r="BO17" s="10">
        <f>IF(真實IC!BO17&gt;真實IC!BO$25,1,0)</f>
        <v>1</v>
      </c>
      <c r="BP17" s="10">
        <f>IF(真實IC!BP17&gt;真實IC!BP$25,1,0)</f>
        <v>0</v>
      </c>
      <c r="BQ17" s="10">
        <f>IF(真實IC!BQ17&gt;真實IC!BQ$25,1,0)</f>
        <v>0</v>
      </c>
      <c r="BR17" s="10">
        <f>IF(真實IC!BR17&gt;真實IC!BR$25,1,0)</f>
        <v>1</v>
      </c>
      <c r="BS17" s="10">
        <f>IF(真實IC!BS17&gt;真實IC!BS$25,1,0)</f>
        <v>0</v>
      </c>
      <c r="BT17" s="10">
        <f>IF(真實IC!BT17&gt;真實IC!BT$25,1,0)</f>
        <v>0</v>
      </c>
      <c r="BU17" s="10">
        <f>IF(真實IC!BU17&gt;真實IC!BU$25,1,0)</f>
        <v>0</v>
      </c>
      <c r="BV17" s="10">
        <f>IF(真實IC!BV17&gt;真實IC!BV$25,1,0)</f>
        <v>1</v>
      </c>
      <c r="BW17" s="10">
        <f>IF(真實IC!BW17&gt;真實IC!BW$25,1,0)</f>
        <v>1</v>
      </c>
      <c r="BX17" s="10">
        <f>IF(真實IC!BX17&gt;真實IC!BX$25,1,0)</f>
        <v>0</v>
      </c>
      <c r="BY17" s="10">
        <f>IF(真實IC!BY17&gt;真實IC!BY$25,1,0)</f>
        <v>1</v>
      </c>
      <c r="BZ17" s="10">
        <f>IF(真實IC!BZ17&gt;真實IC!BZ$25,1,0)</f>
        <v>0</v>
      </c>
      <c r="CA17" s="10">
        <f>IF(真實IC!CA17&gt;真實IC!CA$25,1,0)</f>
        <v>1</v>
      </c>
      <c r="CB17" s="10">
        <f>IF(真實IC!CB17&gt;真實IC!CB$25,1,0)</f>
        <v>0</v>
      </c>
      <c r="CC17" s="10">
        <f>IF(真實IC!CC17&gt;真實IC!CC$25,1,0)</f>
        <v>1</v>
      </c>
      <c r="CD17" s="10">
        <f>IF(真實IC!CD17&gt;真實IC!CD$25,1,0)</f>
        <v>1</v>
      </c>
      <c r="CE17" s="10">
        <f>IF(真實IC!CE17&gt;真實IC!CE$25,1,0)</f>
        <v>1</v>
      </c>
      <c r="CF17" s="10">
        <f>IF(真實IC!CF17&gt;真實IC!CF$25,1,0)</f>
        <v>1</v>
      </c>
      <c r="CG17" s="10">
        <f>IF(真實IC!CG17&gt;真實IC!CG$25,1,0)</f>
        <v>1</v>
      </c>
      <c r="CH17" s="10">
        <f>IF(真實IC!CH17&gt;真實IC!CH$25,1,0)</f>
        <v>0</v>
      </c>
      <c r="CI17" s="10">
        <f>IF(真實IC!CI17&gt;真實IC!CI$25,1,0)</f>
        <v>1</v>
      </c>
      <c r="CJ17" s="10">
        <f>IF(真實IC!CJ17&gt;真實IC!CJ$25,1,0)</f>
        <v>0</v>
      </c>
      <c r="CK17" s="10">
        <f>IF(真實IC!CK17&gt;真實IC!CK$25,1,0)</f>
        <v>1</v>
      </c>
      <c r="CL17" s="10">
        <f>IF(真實IC!CL17&gt;真實IC!CL$25,1,0)</f>
        <v>0</v>
      </c>
      <c r="CM17" s="10">
        <f>IF(真實IC!CM17&gt;真實IC!CM$25,1,0)</f>
        <v>1</v>
      </c>
      <c r="CN17" s="10">
        <f>IF(真實IC!CN17&gt;真實IC!CN$25,1,0)</f>
        <v>1</v>
      </c>
      <c r="CO17" s="10">
        <f>IF(真實IC!CO17&gt;真實IC!CO$25,1,0)</f>
        <v>1</v>
      </c>
      <c r="CP17" s="10">
        <f>IF(真實IC!CP17&gt;真實IC!CP$25,1,0)</f>
        <v>0</v>
      </c>
      <c r="CQ17" s="10">
        <f>IF(真實IC!CQ17&gt;真實IC!CQ$25,1,0)</f>
        <v>1</v>
      </c>
      <c r="CR17" s="10">
        <f>IF(真實IC!CR17&gt;真實IC!CR$25,1,0)</f>
        <v>1</v>
      </c>
      <c r="CS17" s="10">
        <f>IF(真實IC!CS17&gt;真實IC!CS$25,1,0)</f>
        <v>1</v>
      </c>
      <c r="CT17" s="10">
        <f>IF(真實IC!CT17&gt;真實IC!CT$25,1,0)</f>
        <v>0</v>
      </c>
      <c r="CU17" s="10">
        <f>IF(真實IC!CU17&gt;真實IC!CU$25,1,0)</f>
        <v>1</v>
      </c>
      <c r="CV17" s="10">
        <f>IF(真實IC!CV17&gt;真實IC!CV$25,1,0)</f>
        <v>1</v>
      </c>
      <c r="CW17" s="10">
        <f>IF(真實IC!CW17&gt;真實IC!CW$25,1,0)</f>
        <v>1</v>
      </c>
      <c r="CX17" s="10">
        <f>IF(真實IC!CX17&gt;真實IC!CX$25,1,0)</f>
        <v>1</v>
      </c>
      <c r="CY17" s="10">
        <f>IF(真實IC!CY17&gt;真實IC!CY$25,1,0)</f>
        <v>1</v>
      </c>
      <c r="CZ17" s="10">
        <f>IF(真實IC!CZ17&gt;真實IC!CZ$25,1,0)</f>
        <v>1</v>
      </c>
      <c r="DA17" s="10">
        <f>IF(真實IC!DA17&gt;真實IC!DA$25,1,0)</f>
        <v>1</v>
      </c>
      <c r="DB17" s="10">
        <f>IF(真實IC!DB17&gt;真實IC!DB$25,1,0)</f>
        <v>1</v>
      </c>
      <c r="DC17" s="10">
        <f>IF(真實IC!DC17&gt;真實IC!DC$25,1,0)</f>
        <v>1</v>
      </c>
      <c r="DD17" s="10">
        <f>IF(真實IC!DD17&gt;真實IC!DD$25,1,0)</f>
        <v>1</v>
      </c>
      <c r="DE17" s="10">
        <f>IF(真實IC!DE17&gt;真實IC!DE$25,1,0)</f>
        <v>0</v>
      </c>
      <c r="DF17" s="10">
        <f>IF(真實IC!DF17&gt;真實IC!DF$25,1,0)</f>
        <v>1</v>
      </c>
      <c r="DG17" s="10">
        <f>IF(真實IC!DG17&gt;真實IC!DG$25,1,0)</f>
        <v>1</v>
      </c>
      <c r="DH17" s="10">
        <f>IF(真實IC!DH17&gt;真實IC!DH$25,1,0)</f>
        <v>1</v>
      </c>
      <c r="DI17" s="10">
        <f>IF(真實IC!DI17&gt;真實IC!DI$25,1,0)</f>
        <v>0</v>
      </c>
      <c r="DJ17" s="10">
        <f>IF(真實IC!DJ17&gt;真實IC!DJ$25,1,0)</f>
        <v>1</v>
      </c>
      <c r="DK17" s="10">
        <f>IF(真實IC!DK17&gt;真實IC!DK$25,1,0)</f>
        <v>0</v>
      </c>
      <c r="DL17" s="10">
        <f>IF(真實IC!DL17&gt;真實IC!DL$25,1,0)</f>
        <v>0</v>
      </c>
      <c r="DM17" s="10">
        <f>IF(真實IC!DM17&gt;真實IC!DM$25,1,0)</f>
        <v>1</v>
      </c>
      <c r="DN17" s="10">
        <f>IF(真實IC!DN17&gt;真實IC!DN$25,1,0)</f>
        <v>1</v>
      </c>
      <c r="DO17" s="10">
        <f>IF(真實IC!DO17&gt;真實IC!DO$25,1,0)</f>
        <v>1</v>
      </c>
      <c r="DP17" s="10">
        <f>IF(真實IC!DP17&gt;真實IC!DP$25,1,0)</f>
        <v>1</v>
      </c>
      <c r="DQ17" s="10">
        <f>IF(真實IC!DQ17&gt;真實IC!DQ$25,1,0)</f>
        <v>0</v>
      </c>
      <c r="DR17" s="10">
        <f>IF(真實IC!DR17&gt;真實IC!DR$25,1,0)</f>
        <v>1</v>
      </c>
      <c r="DS17" s="10">
        <f>IF(真實IC!DS17&gt;真實IC!DS$25,1,0)</f>
        <v>1</v>
      </c>
      <c r="DT17" s="10">
        <f>IF(真實IC!DT17&gt;真實IC!DT$25,1,0)</f>
        <v>1</v>
      </c>
      <c r="DU17" s="10">
        <f>IF(真實IC!DU17&gt;真實IC!DU$25,1,0)</f>
        <v>1</v>
      </c>
      <c r="DV17" s="10">
        <f>IF(真實IC!DV17&gt;真實IC!DV$25,1,0)</f>
        <v>0</v>
      </c>
      <c r="DW17" s="10">
        <f>IF(真實IC!DW17&gt;真實IC!DW$25,1,0)</f>
        <v>0</v>
      </c>
      <c r="DX17" s="10">
        <f>IF(真實IC!DX17&gt;真實IC!DX$25,1,0)</f>
        <v>0</v>
      </c>
      <c r="DY17" s="10">
        <f>IF(真實IC!DY17&gt;真實IC!DY$25,1,0)</f>
        <v>0</v>
      </c>
      <c r="DZ17" s="10">
        <f>IF(真實IC!DZ17&gt;真實IC!DZ$25,1,0)</f>
        <v>0</v>
      </c>
      <c r="EA17" s="10">
        <f>IF(真實IC!EA17&gt;真實IC!EA$25,1,0)</f>
        <v>1</v>
      </c>
      <c r="EB17" s="10">
        <f>IF(真實IC!EB17&gt;真實IC!EB$25,1,0)</f>
        <v>1</v>
      </c>
      <c r="EC17" s="10">
        <f>IF(真實IC!EC17&gt;真實IC!EC$25,1,0)</f>
        <v>0</v>
      </c>
      <c r="ED17" s="10">
        <f>IF(真實IC!ED17&gt;真實IC!ED$25,1,0)</f>
        <v>1</v>
      </c>
      <c r="EE17" s="10">
        <f>IF(真實IC!EE17&gt;真實IC!EE$25,1,0)</f>
        <v>1</v>
      </c>
      <c r="EF17" s="10">
        <f>IF(真實IC!EF17&gt;真實IC!EF$25,1,0)</f>
        <v>1</v>
      </c>
      <c r="EG17" s="10">
        <f>IF(真實IC!EG17&gt;真實IC!EG$25,1,0)</f>
        <v>1</v>
      </c>
      <c r="EH17" s="10">
        <f>IF(真實IC!EH17&gt;真實IC!EH$25,1,0)</f>
        <v>1</v>
      </c>
      <c r="EI17" s="10">
        <f>IF(真實IC!EI17&gt;真實IC!EI$25,1,0)</f>
        <v>0</v>
      </c>
      <c r="EJ17" s="10">
        <f>IF(真實IC!EJ17&gt;真實IC!EJ$25,1,0)</f>
        <v>0</v>
      </c>
      <c r="EK17" s="10">
        <f>IF(真實IC!EK17&gt;真實IC!EK$25,1,0)</f>
        <v>1</v>
      </c>
      <c r="EL17" s="10">
        <f>IF(真實IC!EL17&gt;真實IC!EL$25,1,0)</f>
        <v>0</v>
      </c>
      <c r="EM17" s="6">
        <f t="shared" si="11"/>
        <v>89</v>
      </c>
      <c r="EN17" s="12">
        <f t="shared" si="12"/>
        <v>0.63571428571428568</v>
      </c>
    </row>
    <row r="18" spans="1:144" x14ac:dyDescent="0.3">
      <c r="A18" s="11">
        <v>150</v>
      </c>
      <c r="B18" s="11">
        <f t="shared" si="10"/>
        <v>7</v>
      </c>
      <c r="C18" s="10">
        <f>IF(真實IC!C18&gt;真實IC!C$25,1,0)</f>
        <v>0</v>
      </c>
      <c r="D18" s="10">
        <f>IF(真實IC!D18&gt;真實IC!D$25,1,0)</f>
        <v>1</v>
      </c>
      <c r="E18" s="10">
        <f>IF(真實IC!E18&gt;真實IC!E$25,1,0)</f>
        <v>0</v>
      </c>
      <c r="F18" s="10">
        <f>IF(真實IC!F18&gt;真實IC!F$25,1,0)</f>
        <v>0</v>
      </c>
      <c r="G18" s="10">
        <f>IF(真實IC!G18&gt;真實IC!G$25,1,0)</f>
        <v>1</v>
      </c>
      <c r="H18" s="10">
        <f>IF(真實IC!H18&gt;真實IC!H$25,1,0)</f>
        <v>0</v>
      </c>
      <c r="I18" s="10">
        <f>IF(真實IC!I18&gt;真實IC!I$25,1,0)</f>
        <v>0</v>
      </c>
      <c r="J18" s="10">
        <f>IF(真實IC!J18&gt;真實IC!J$25,1,0)</f>
        <v>0</v>
      </c>
      <c r="K18" s="10">
        <f>IF(真實IC!K18&gt;真實IC!K$25,1,0)</f>
        <v>1</v>
      </c>
      <c r="L18" s="10">
        <f>IF(真實IC!L18&gt;真實IC!L$25,1,0)</f>
        <v>0</v>
      </c>
      <c r="M18" s="10">
        <f>IF(真實IC!M18&gt;真實IC!M$25,1,0)</f>
        <v>1</v>
      </c>
      <c r="N18" s="10">
        <f>IF(真實IC!N18&gt;真實IC!N$25,1,0)</f>
        <v>1</v>
      </c>
      <c r="O18" s="10">
        <f>IF(真實IC!O18&gt;真實IC!O$25,1,0)</f>
        <v>0</v>
      </c>
      <c r="P18" s="10">
        <f>IF(真實IC!P18&gt;真實IC!P$25,1,0)</f>
        <v>0</v>
      </c>
      <c r="Q18" s="10">
        <f>IF(真實IC!Q18&gt;真實IC!Q$25,1,0)</f>
        <v>0</v>
      </c>
      <c r="R18" s="10">
        <f>IF(真實IC!R18&gt;真實IC!R$25,1,0)</f>
        <v>1</v>
      </c>
      <c r="S18" s="10">
        <f>IF(真實IC!S18&gt;真實IC!S$25,1,0)</f>
        <v>1</v>
      </c>
      <c r="T18" s="10">
        <f>IF(真實IC!T18&gt;真實IC!T$25,1,0)</f>
        <v>1</v>
      </c>
      <c r="U18" s="10">
        <f>IF(真實IC!U18&gt;真實IC!U$25,1,0)</f>
        <v>0</v>
      </c>
      <c r="V18" s="10">
        <f>IF(真實IC!V18&gt;真實IC!V$25,1,0)</f>
        <v>0</v>
      </c>
      <c r="W18" s="10">
        <f>IF(真實IC!W18&gt;真實IC!W$25,1,0)</f>
        <v>1</v>
      </c>
      <c r="X18" s="10">
        <f>IF(真實IC!X18&gt;真實IC!X$25,1,0)</f>
        <v>1</v>
      </c>
      <c r="Y18" s="10">
        <f>IF(真實IC!Y18&gt;真實IC!Y$25,1,0)</f>
        <v>1</v>
      </c>
      <c r="Z18" s="10">
        <f>IF(真實IC!Z18&gt;真實IC!Z$25,1,0)</f>
        <v>1</v>
      </c>
      <c r="AA18" s="10">
        <f>IF(真實IC!AA18&gt;真實IC!AA$25,1,0)</f>
        <v>1</v>
      </c>
      <c r="AB18" s="10">
        <f>IF(真實IC!AB18&gt;真實IC!AB$25,1,0)</f>
        <v>0</v>
      </c>
      <c r="AC18" s="10">
        <f>IF(真實IC!AC18&gt;真實IC!AC$25,1,0)</f>
        <v>0</v>
      </c>
      <c r="AD18" s="10">
        <f>IF(真實IC!AD18&gt;真實IC!AD$25,1,0)</f>
        <v>1</v>
      </c>
      <c r="AE18" s="10">
        <f>IF(真實IC!AE18&gt;真實IC!AE$25,1,0)</f>
        <v>1</v>
      </c>
      <c r="AF18" s="10">
        <f>IF(真實IC!AF18&gt;真實IC!AF$25,1,0)</f>
        <v>1</v>
      </c>
      <c r="AG18" s="10">
        <f>IF(真實IC!AG18&gt;真實IC!AG$25,1,0)</f>
        <v>0</v>
      </c>
      <c r="AH18" s="10">
        <f>IF(真實IC!AH18&gt;真實IC!AH$25,1,0)</f>
        <v>0</v>
      </c>
      <c r="AI18" s="10">
        <f>IF(真實IC!AI18&gt;真實IC!AI$25,1,0)</f>
        <v>1</v>
      </c>
      <c r="AJ18" s="10">
        <f>IF(真實IC!AJ18&gt;真實IC!AJ$25,1,0)</f>
        <v>1</v>
      </c>
      <c r="AK18" s="10">
        <f>IF(真實IC!AK18&gt;真實IC!AK$25,1,0)</f>
        <v>1</v>
      </c>
      <c r="AL18" s="10">
        <f>IF(真實IC!AL18&gt;真實IC!AL$25,1,0)</f>
        <v>1</v>
      </c>
      <c r="AM18" s="10">
        <f>IF(真實IC!AM18&gt;真實IC!AM$25,1,0)</f>
        <v>0</v>
      </c>
      <c r="AN18" s="10">
        <f>IF(真實IC!AN18&gt;真實IC!AN$25,1,0)</f>
        <v>1</v>
      </c>
      <c r="AO18" s="10">
        <f>IF(真實IC!AO18&gt;真實IC!AO$25,1,0)</f>
        <v>1</v>
      </c>
      <c r="AP18" s="10">
        <f>IF(真實IC!AP18&gt;真實IC!AP$25,1,0)</f>
        <v>1</v>
      </c>
      <c r="AQ18" s="10">
        <f>IF(真實IC!AQ18&gt;真實IC!AQ$25,1,0)</f>
        <v>0</v>
      </c>
      <c r="AR18" s="10">
        <f>IF(真實IC!AR18&gt;真實IC!AR$25,1,0)</f>
        <v>0</v>
      </c>
      <c r="AS18" s="10">
        <f>IF(真實IC!AS18&gt;真實IC!AS$25,1,0)</f>
        <v>0</v>
      </c>
      <c r="AT18" s="10">
        <f>IF(真實IC!AT18&gt;真實IC!AT$25,1,0)</f>
        <v>1</v>
      </c>
      <c r="AU18" s="10">
        <f>IF(真實IC!AU18&gt;真實IC!AU$25,1,0)</f>
        <v>1</v>
      </c>
      <c r="AV18" s="10">
        <f>IF(真實IC!AV18&gt;真實IC!AV$25,1,0)</f>
        <v>0</v>
      </c>
      <c r="AW18" s="10">
        <f>IF(真實IC!AW18&gt;真實IC!AW$25,1,0)</f>
        <v>1</v>
      </c>
      <c r="AX18" s="10">
        <f>IF(真實IC!AX18&gt;真實IC!AX$25,1,0)</f>
        <v>1</v>
      </c>
      <c r="AY18" s="10">
        <f>IF(真實IC!AY18&gt;真實IC!AY$25,1,0)</f>
        <v>1</v>
      </c>
      <c r="AZ18" s="10">
        <f>IF(真實IC!AZ18&gt;真實IC!AZ$25,1,0)</f>
        <v>0</v>
      </c>
      <c r="BA18" s="10">
        <f>IF(真實IC!BA18&gt;真實IC!BA$25,1,0)</f>
        <v>1</v>
      </c>
      <c r="BB18" s="10">
        <f>IF(真實IC!BB18&gt;真實IC!BB$25,1,0)</f>
        <v>1</v>
      </c>
      <c r="BC18" s="10">
        <f>IF(真實IC!BC18&gt;真實IC!BC$25,1,0)</f>
        <v>1</v>
      </c>
      <c r="BD18" s="10">
        <f>IF(真實IC!BD18&gt;真實IC!BD$25,1,0)</f>
        <v>1</v>
      </c>
      <c r="BE18" s="10">
        <f>IF(真實IC!BE18&gt;真實IC!BE$25,1,0)</f>
        <v>1</v>
      </c>
      <c r="BF18" s="10">
        <f>IF(真實IC!BF18&gt;真實IC!BF$25,1,0)</f>
        <v>1</v>
      </c>
      <c r="BG18" s="10">
        <f>IF(真實IC!BG18&gt;真實IC!BG$25,1,0)</f>
        <v>1</v>
      </c>
      <c r="BH18" s="10">
        <f>IF(真實IC!BH18&gt;真實IC!BH$25,1,0)</f>
        <v>1</v>
      </c>
      <c r="BI18" s="10">
        <f>IF(真實IC!BI18&gt;真實IC!BI$25,1,0)</f>
        <v>1</v>
      </c>
      <c r="BJ18" s="10">
        <f>IF(真實IC!BJ18&gt;真實IC!BJ$25,1,0)</f>
        <v>1</v>
      </c>
      <c r="BK18" s="10">
        <f>IF(真實IC!BK18&gt;真實IC!BK$25,1,0)</f>
        <v>1</v>
      </c>
      <c r="BL18" s="10">
        <f>IF(真實IC!BL18&gt;真實IC!BL$25,1,0)</f>
        <v>1</v>
      </c>
      <c r="BM18" s="10">
        <f>IF(真實IC!BM18&gt;真實IC!BM$25,1,0)</f>
        <v>1</v>
      </c>
      <c r="BN18" s="10">
        <f>IF(真實IC!BN18&gt;真實IC!BN$25,1,0)</f>
        <v>1</v>
      </c>
      <c r="BO18" s="10">
        <f>IF(真實IC!BO18&gt;真實IC!BO$25,1,0)</f>
        <v>1</v>
      </c>
      <c r="BP18" s="10">
        <f>IF(真實IC!BP18&gt;真實IC!BP$25,1,0)</f>
        <v>0</v>
      </c>
      <c r="BQ18" s="10">
        <f>IF(真實IC!BQ18&gt;真實IC!BQ$25,1,0)</f>
        <v>0</v>
      </c>
      <c r="BR18" s="10">
        <f>IF(真實IC!BR18&gt;真實IC!BR$25,1,0)</f>
        <v>1</v>
      </c>
      <c r="BS18" s="10">
        <f>IF(真實IC!BS18&gt;真實IC!BS$25,1,0)</f>
        <v>0</v>
      </c>
      <c r="BT18" s="10">
        <f>IF(真實IC!BT18&gt;真實IC!BT$25,1,0)</f>
        <v>0</v>
      </c>
      <c r="BU18" s="10">
        <f>IF(真實IC!BU18&gt;真實IC!BU$25,1,0)</f>
        <v>0</v>
      </c>
      <c r="BV18" s="10">
        <f>IF(真實IC!BV18&gt;真實IC!BV$25,1,0)</f>
        <v>0</v>
      </c>
      <c r="BW18" s="10">
        <f>IF(真實IC!BW18&gt;真實IC!BW$25,1,0)</f>
        <v>1</v>
      </c>
      <c r="BX18" s="10">
        <f>IF(真實IC!BX18&gt;真實IC!BX$25,1,0)</f>
        <v>0</v>
      </c>
      <c r="BY18" s="10">
        <f>IF(真實IC!BY18&gt;真實IC!BY$25,1,0)</f>
        <v>1</v>
      </c>
      <c r="BZ18" s="10">
        <f>IF(真實IC!BZ18&gt;真實IC!BZ$25,1,0)</f>
        <v>0</v>
      </c>
      <c r="CA18" s="10">
        <f>IF(真實IC!CA18&gt;真實IC!CA$25,1,0)</f>
        <v>1</v>
      </c>
      <c r="CB18" s="10">
        <f>IF(真實IC!CB18&gt;真實IC!CB$25,1,0)</f>
        <v>0</v>
      </c>
      <c r="CC18" s="10">
        <f>IF(真實IC!CC18&gt;真實IC!CC$25,1,0)</f>
        <v>1</v>
      </c>
      <c r="CD18" s="10">
        <f>IF(真實IC!CD18&gt;真實IC!CD$25,1,0)</f>
        <v>0</v>
      </c>
      <c r="CE18" s="10">
        <f>IF(真實IC!CE18&gt;真實IC!CE$25,1,0)</f>
        <v>1</v>
      </c>
      <c r="CF18" s="10">
        <f>IF(真實IC!CF18&gt;真實IC!CF$25,1,0)</f>
        <v>1</v>
      </c>
      <c r="CG18" s="10">
        <f>IF(真實IC!CG18&gt;真實IC!CG$25,1,0)</f>
        <v>1</v>
      </c>
      <c r="CH18" s="10">
        <f>IF(真實IC!CH18&gt;真實IC!CH$25,1,0)</f>
        <v>0</v>
      </c>
      <c r="CI18" s="10">
        <f>IF(真實IC!CI18&gt;真實IC!CI$25,1,0)</f>
        <v>1</v>
      </c>
      <c r="CJ18" s="10">
        <f>IF(真實IC!CJ18&gt;真實IC!CJ$25,1,0)</f>
        <v>0</v>
      </c>
      <c r="CK18" s="10">
        <f>IF(真實IC!CK18&gt;真實IC!CK$25,1,0)</f>
        <v>1</v>
      </c>
      <c r="CL18" s="10">
        <f>IF(真實IC!CL18&gt;真實IC!CL$25,1,0)</f>
        <v>0</v>
      </c>
      <c r="CM18" s="10">
        <f>IF(真實IC!CM18&gt;真實IC!CM$25,1,0)</f>
        <v>1</v>
      </c>
      <c r="CN18" s="10">
        <f>IF(真實IC!CN18&gt;真實IC!CN$25,1,0)</f>
        <v>1</v>
      </c>
      <c r="CO18" s="10">
        <f>IF(真實IC!CO18&gt;真實IC!CO$25,1,0)</f>
        <v>1</v>
      </c>
      <c r="CP18" s="10">
        <f>IF(真實IC!CP18&gt;真實IC!CP$25,1,0)</f>
        <v>0</v>
      </c>
      <c r="CQ18" s="10">
        <f>IF(真實IC!CQ18&gt;真實IC!CQ$25,1,0)</f>
        <v>1</v>
      </c>
      <c r="CR18" s="10">
        <f>IF(真實IC!CR18&gt;真實IC!CR$25,1,0)</f>
        <v>1</v>
      </c>
      <c r="CS18" s="10">
        <f>IF(真實IC!CS18&gt;真實IC!CS$25,1,0)</f>
        <v>1</v>
      </c>
      <c r="CT18" s="10">
        <f>IF(真實IC!CT18&gt;真實IC!CT$25,1,0)</f>
        <v>0</v>
      </c>
      <c r="CU18" s="10">
        <f>IF(真實IC!CU18&gt;真實IC!CU$25,1,0)</f>
        <v>1</v>
      </c>
      <c r="CV18" s="10">
        <f>IF(真實IC!CV18&gt;真實IC!CV$25,1,0)</f>
        <v>1</v>
      </c>
      <c r="CW18" s="10">
        <f>IF(真實IC!CW18&gt;真實IC!CW$25,1,0)</f>
        <v>1</v>
      </c>
      <c r="CX18" s="10">
        <f>IF(真實IC!CX18&gt;真實IC!CX$25,1,0)</f>
        <v>1</v>
      </c>
      <c r="CY18" s="10">
        <f>IF(真實IC!CY18&gt;真實IC!CY$25,1,0)</f>
        <v>1</v>
      </c>
      <c r="CZ18" s="10">
        <f>IF(真實IC!CZ18&gt;真實IC!CZ$25,1,0)</f>
        <v>1</v>
      </c>
      <c r="DA18" s="10">
        <f>IF(真實IC!DA18&gt;真實IC!DA$25,1,0)</f>
        <v>1</v>
      </c>
      <c r="DB18" s="10">
        <f>IF(真實IC!DB18&gt;真實IC!DB$25,1,0)</f>
        <v>1</v>
      </c>
      <c r="DC18" s="10">
        <f>IF(真實IC!DC18&gt;真實IC!DC$25,1,0)</f>
        <v>1</v>
      </c>
      <c r="DD18" s="10">
        <f>IF(真實IC!DD18&gt;真實IC!DD$25,1,0)</f>
        <v>1</v>
      </c>
      <c r="DE18" s="10">
        <f>IF(真實IC!DE18&gt;真實IC!DE$25,1,0)</f>
        <v>0</v>
      </c>
      <c r="DF18" s="10">
        <f>IF(真實IC!DF18&gt;真實IC!DF$25,1,0)</f>
        <v>1</v>
      </c>
      <c r="DG18" s="10">
        <f>IF(真實IC!DG18&gt;真實IC!DG$25,1,0)</f>
        <v>1</v>
      </c>
      <c r="DH18" s="10">
        <f>IF(真實IC!DH18&gt;真實IC!DH$25,1,0)</f>
        <v>1</v>
      </c>
      <c r="DI18" s="10">
        <f>IF(真實IC!DI18&gt;真實IC!DI$25,1,0)</f>
        <v>0</v>
      </c>
      <c r="DJ18" s="10">
        <f>IF(真實IC!DJ18&gt;真實IC!DJ$25,1,0)</f>
        <v>1</v>
      </c>
      <c r="DK18" s="10">
        <f>IF(真實IC!DK18&gt;真實IC!DK$25,1,0)</f>
        <v>0</v>
      </c>
      <c r="DL18" s="10">
        <f>IF(真實IC!DL18&gt;真實IC!DL$25,1,0)</f>
        <v>0</v>
      </c>
      <c r="DM18" s="10">
        <f>IF(真實IC!DM18&gt;真實IC!DM$25,1,0)</f>
        <v>1</v>
      </c>
      <c r="DN18" s="10">
        <f>IF(真實IC!DN18&gt;真實IC!DN$25,1,0)</f>
        <v>1</v>
      </c>
      <c r="DO18" s="10">
        <f>IF(真實IC!DO18&gt;真實IC!DO$25,1,0)</f>
        <v>1</v>
      </c>
      <c r="DP18" s="10">
        <f>IF(真實IC!DP18&gt;真實IC!DP$25,1,0)</f>
        <v>1</v>
      </c>
      <c r="DQ18" s="10">
        <f>IF(真實IC!DQ18&gt;真實IC!DQ$25,1,0)</f>
        <v>0</v>
      </c>
      <c r="DR18" s="10">
        <f>IF(真實IC!DR18&gt;真實IC!DR$25,1,0)</f>
        <v>1</v>
      </c>
      <c r="DS18" s="10">
        <f>IF(真實IC!DS18&gt;真實IC!DS$25,1,0)</f>
        <v>0</v>
      </c>
      <c r="DT18" s="10">
        <f>IF(真實IC!DT18&gt;真實IC!DT$25,1,0)</f>
        <v>1</v>
      </c>
      <c r="DU18" s="10">
        <f>IF(真實IC!DU18&gt;真實IC!DU$25,1,0)</f>
        <v>1</v>
      </c>
      <c r="DV18" s="10">
        <f>IF(真實IC!DV18&gt;真實IC!DV$25,1,0)</f>
        <v>1</v>
      </c>
      <c r="DW18" s="10">
        <f>IF(真實IC!DW18&gt;真實IC!DW$25,1,0)</f>
        <v>0</v>
      </c>
      <c r="DX18" s="10">
        <f>IF(真實IC!DX18&gt;真實IC!DX$25,1,0)</f>
        <v>0</v>
      </c>
      <c r="DY18" s="10">
        <f>IF(真實IC!DY18&gt;真實IC!DY$25,1,0)</f>
        <v>0</v>
      </c>
      <c r="DZ18" s="10">
        <f>IF(真實IC!DZ18&gt;真實IC!DZ$25,1,0)</f>
        <v>0</v>
      </c>
      <c r="EA18" s="10">
        <f>IF(真實IC!EA18&gt;真實IC!EA$25,1,0)</f>
        <v>0</v>
      </c>
      <c r="EB18" s="10">
        <f>IF(真實IC!EB18&gt;真實IC!EB$25,1,0)</f>
        <v>1</v>
      </c>
      <c r="EC18" s="10">
        <f>IF(真實IC!EC18&gt;真實IC!EC$25,1,0)</f>
        <v>0</v>
      </c>
      <c r="ED18" s="10">
        <f>IF(真實IC!ED18&gt;真實IC!ED$25,1,0)</f>
        <v>1</v>
      </c>
      <c r="EE18" s="10">
        <f>IF(真實IC!EE18&gt;真實IC!EE$25,1,0)</f>
        <v>1</v>
      </c>
      <c r="EF18" s="10">
        <f>IF(真實IC!EF18&gt;真實IC!EF$25,1,0)</f>
        <v>1</v>
      </c>
      <c r="EG18" s="10">
        <f>IF(真實IC!EG18&gt;真實IC!EG$25,1,0)</f>
        <v>1</v>
      </c>
      <c r="EH18" s="10">
        <f>IF(真實IC!EH18&gt;真實IC!EH$25,1,0)</f>
        <v>1</v>
      </c>
      <c r="EI18" s="10">
        <f>IF(真實IC!EI18&gt;真實IC!EI$25,1,0)</f>
        <v>0</v>
      </c>
      <c r="EJ18" s="10">
        <f>IF(真實IC!EJ18&gt;真實IC!EJ$25,1,0)</f>
        <v>0</v>
      </c>
      <c r="EK18" s="10">
        <f>IF(真實IC!EK18&gt;真實IC!EK$25,1,0)</f>
        <v>1</v>
      </c>
      <c r="EL18" s="10">
        <f>IF(真實IC!EL18&gt;真實IC!EL$25,1,0)</f>
        <v>0</v>
      </c>
      <c r="EM18" s="6">
        <f t="shared" si="11"/>
        <v>88</v>
      </c>
      <c r="EN18" s="12">
        <f t="shared" si="12"/>
        <v>0.62857142857142856</v>
      </c>
    </row>
    <row r="19" spans="1:144" x14ac:dyDescent="0.3">
      <c r="A19" s="11">
        <v>180</v>
      </c>
      <c r="B19" s="11">
        <f t="shared" si="10"/>
        <v>6</v>
      </c>
      <c r="C19" s="10">
        <f>IF(真實IC!C19&gt;真實IC!C$25,1,0)</f>
        <v>0</v>
      </c>
      <c r="D19" s="10">
        <f>IF(真實IC!D19&gt;真實IC!D$25,1,0)</f>
        <v>1</v>
      </c>
      <c r="E19" s="10">
        <f>IF(真實IC!E19&gt;真實IC!E$25,1,0)</f>
        <v>0</v>
      </c>
      <c r="F19" s="10">
        <f>IF(真實IC!F19&gt;真實IC!F$25,1,0)</f>
        <v>0</v>
      </c>
      <c r="G19" s="10">
        <f>IF(真實IC!G19&gt;真實IC!G$25,1,0)</f>
        <v>1</v>
      </c>
      <c r="H19" s="10">
        <f>IF(真實IC!H19&gt;真實IC!H$25,1,0)</f>
        <v>1</v>
      </c>
      <c r="I19" s="10">
        <f>IF(真實IC!I19&gt;真實IC!I$25,1,0)</f>
        <v>0</v>
      </c>
      <c r="J19" s="10">
        <f>IF(真實IC!J19&gt;真實IC!J$25,1,0)</f>
        <v>0</v>
      </c>
      <c r="K19" s="10">
        <f>IF(真實IC!K19&gt;真實IC!K$25,1,0)</f>
        <v>1</v>
      </c>
      <c r="L19" s="10">
        <f>IF(真實IC!L19&gt;真實IC!L$25,1,0)</f>
        <v>0</v>
      </c>
      <c r="M19" s="10">
        <f>IF(真實IC!M19&gt;真實IC!M$25,1,0)</f>
        <v>1</v>
      </c>
      <c r="N19" s="10">
        <f>IF(真實IC!N19&gt;真實IC!N$25,1,0)</f>
        <v>1</v>
      </c>
      <c r="O19" s="10">
        <f>IF(真實IC!O19&gt;真實IC!O$25,1,0)</f>
        <v>1</v>
      </c>
      <c r="P19" s="10">
        <f>IF(真實IC!P19&gt;真實IC!P$25,1,0)</f>
        <v>1</v>
      </c>
      <c r="Q19" s="10">
        <f>IF(真實IC!Q19&gt;真實IC!Q$25,1,0)</f>
        <v>0</v>
      </c>
      <c r="R19" s="10">
        <f>IF(真實IC!R19&gt;真實IC!R$25,1,0)</f>
        <v>1</v>
      </c>
      <c r="S19" s="10">
        <f>IF(真實IC!S19&gt;真實IC!S$25,1,0)</f>
        <v>1</v>
      </c>
      <c r="T19" s="10">
        <f>IF(真實IC!T19&gt;真實IC!T$25,1,0)</f>
        <v>1</v>
      </c>
      <c r="U19" s="10">
        <f>IF(真實IC!U19&gt;真實IC!U$25,1,0)</f>
        <v>0</v>
      </c>
      <c r="V19" s="10">
        <f>IF(真實IC!V19&gt;真實IC!V$25,1,0)</f>
        <v>0</v>
      </c>
      <c r="W19" s="10">
        <f>IF(真實IC!W19&gt;真實IC!W$25,1,0)</f>
        <v>1</v>
      </c>
      <c r="X19" s="10">
        <f>IF(真實IC!X19&gt;真實IC!X$25,1,0)</f>
        <v>1</v>
      </c>
      <c r="Y19" s="10">
        <f>IF(真實IC!Y19&gt;真實IC!Y$25,1,0)</f>
        <v>1</v>
      </c>
      <c r="Z19" s="10">
        <f>IF(真實IC!Z19&gt;真實IC!Z$25,1,0)</f>
        <v>1</v>
      </c>
      <c r="AA19" s="10">
        <f>IF(真實IC!AA19&gt;真實IC!AA$25,1,0)</f>
        <v>1</v>
      </c>
      <c r="AB19" s="10">
        <f>IF(真實IC!AB19&gt;真實IC!AB$25,1,0)</f>
        <v>0</v>
      </c>
      <c r="AC19" s="10">
        <f>IF(真實IC!AC19&gt;真實IC!AC$25,1,0)</f>
        <v>0</v>
      </c>
      <c r="AD19" s="10">
        <f>IF(真實IC!AD19&gt;真實IC!AD$25,1,0)</f>
        <v>1</v>
      </c>
      <c r="AE19" s="10">
        <f>IF(真實IC!AE19&gt;真實IC!AE$25,1,0)</f>
        <v>1</v>
      </c>
      <c r="AF19" s="10">
        <f>IF(真實IC!AF19&gt;真實IC!AF$25,1,0)</f>
        <v>1</v>
      </c>
      <c r="AG19" s="10">
        <f>IF(真實IC!AG19&gt;真實IC!AG$25,1,0)</f>
        <v>0</v>
      </c>
      <c r="AH19" s="10">
        <f>IF(真實IC!AH19&gt;真實IC!AH$25,1,0)</f>
        <v>0</v>
      </c>
      <c r="AI19" s="10">
        <f>IF(真實IC!AI19&gt;真實IC!AI$25,1,0)</f>
        <v>1</v>
      </c>
      <c r="AJ19" s="10">
        <f>IF(真實IC!AJ19&gt;真實IC!AJ$25,1,0)</f>
        <v>1</v>
      </c>
      <c r="AK19" s="10">
        <f>IF(真實IC!AK19&gt;真實IC!AK$25,1,0)</f>
        <v>1</v>
      </c>
      <c r="AL19" s="10">
        <f>IF(真實IC!AL19&gt;真實IC!AL$25,1,0)</f>
        <v>1</v>
      </c>
      <c r="AM19" s="10">
        <f>IF(真實IC!AM19&gt;真實IC!AM$25,1,0)</f>
        <v>0</v>
      </c>
      <c r="AN19" s="10">
        <f>IF(真實IC!AN19&gt;真實IC!AN$25,1,0)</f>
        <v>0</v>
      </c>
      <c r="AO19" s="10">
        <f>IF(真實IC!AO19&gt;真實IC!AO$25,1,0)</f>
        <v>1</v>
      </c>
      <c r="AP19" s="10">
        <f>IF(真實IC!AP19&gt;真實IC!AP$25,1,0)</f>
        <v>1</v>
      </c>
      <c r="AQ19" s="10">
        <f>IF(真實IC!AQ19&gt;真實IC!AQ$25,1,0)</f>
        <v>0</v>
      </c>
      <c r="AR19" s="10">
        <f>IF(真實IC!AR19&gt;真實IC!AR$25,1,0)</f>
        <v>0</v>
      </c>
      <c r="AS19" s="10">
        <f>IF(真實IC!AS19&gt;真實IC!AS$25,1,0)</f>
        <v>0</v>
      </c>
      <c r="AT19" s="10">
        <f>IF(真實IC!AT19&gt;真實IC!AT$25,1,0)</f>
        <v>1</v>
      </c>
      <c r="AU19" s="10">
        <f>IF(真實IC!AU19&gt;真實IC!AU$25,1,0)</f>
        <v>1</v>
      </c>
      <c r="AV19" s="10">
        <f>IF(真實IC!AV19&gt;真實IC!AV$25,1,0)</f>
        <v>1</v>
      </c>
      <c r="AW19" s="10">
        <f>IF(真實IC!AW19&gt;真實IC!AW$25,1,0)</f>
        <v>1</v>
      </c>
      <c r="AX19" s="10">
        <f>IF(真實IC!AX19&gt;真實IC!AX$25,1,0)</f>
        <v>1</v>
      </c>
      <c r="AY19" s="10">
        <f>IF(真實IC!AY19&gt;真實IC!AY$25,1,0)</f>
        <v>0</v>
      </c>
      <c r="AZ19" s="10">
        <f>IF(真實IC!AZ19&gt;真實IC!AZ$25,1,0)</f>
        <v>1</v>
      </c>
      <c r="BA19" s="10">
        <f>IF(真實IC!BA19&gt;真實IC!BA$25,1,0)</f>
        <v>1</v>
      </c>
      <c r="BB19" s="10">
        <f>IF(真實IC!BB19&gt;真實IC!BB$25,1,0)</f>
        <v>1</v>
      </c>
      <c r="BC19" s="10">
        <f>IF(真實IC!BC19&gt;真實IC!BC$25,1,0)</f>
        <v>1</v>
      </c>
      <c r="BD19" s="10">
        <f>IF(真實IC!BD19&gt;真實IC!BD$25,1,0)</f>
        <v>1</v>
      </c>
      <c r="BE19" s="10">
        <f>IF(真實IC!BE19&gt;真實IC!BE$25,1,0)</f>
        <v>1</v>
      </c>
      <c r="BF19" s="10">
        <f>IF(真實IC!BF19&gt;真實IC!BF$25,1,0)</f>
        <v>1</v>
      </c>
      <c r="BG19" s="10">
        <f>IF(真實IC!BG19&gt;真實IC!BG$25,1,0)</f>
        <v>0</v>
      </c>
      <c r="BH19" s="10">
        <f>IF(真實IC!BH19&gt;真實IC!BH$25,1,0)</f>
        <v>1</v>
      </c>
      <c r="BI19" s="10">
        <f>IF(真實IC!BI19&gt;真實IC!BI$25,1,0)</f>
        <v>1</v>
      </c>
      <c r="BJ19" s="10">
        <f>IF(真實IC!BJ19&gt;真實IC!BJ$25,1,0)</f>
        <v>1</v>
      </c>
      <c r="BK19" s="10">
        <f>IF(真實IC!BK19&gt;真實IC!BK$25,1,0)</f>
        <v>1</v>
      </c>
      <c r="BL19" s="10">
        <f>IF(真實IC!BL19&gt;真實IC!BL$25,1,0)</f>
        <v>1</v>
      </c>
      <c r="BM19" s="10">
        <f>IF(真實IC!BM19&gt;真實IC!BM$25,1,0)</f>
        <v>1</v>
      </c>
      <c r="BN19" s="10">
        <f>IF(真實IC!BN19&gt;真實IC!BN$25,1,0)</f>
        <v>1</v>
      </c>
      <c r="BO19" s="10">
        <f>IF(真實IC!BO19&gt;真實IC!BO$25,1,0)</f>
        <v>1</v>
      </c>
      <c r="BP19" s="10">
        <f>IF(真實IC!BP19&gt;真實IC!BP$25,1,0)</f>
        <v>0</v>
      </c>
      <c r="BQ19" s="10">
        <f>IF(真實IC!BQ19&gt;真實IC!BQ$25,1,0)</f>
        <v>0</v>
      </c>
      <c r="BR19" s="10">
        <f>IF(真實IC!BR19&gt;真實IC!BR$25,1,0)</f>
        <v>1</v>
      </c>
      <c r="BS19" s="10">
        <f>IF(真實IC!BS19&gt;真實IC!BS$25,1,0)</f>
        <v>0</v>
      </c>
      <c r="BT19" s="10">
        <f>IF(真實IC!BT19&gt;真實IC!BT$25,1,0)</f>
        <v>0</v>
      </c>
      <c r="BU19" s="10">
        <f>IF(真實IC!BU19&gt;真實IC!BU$25,1,0)</f>
        <v>0</v>
      </c>
      <c r="BV19" s="10">
        <f>IF(真實IC!BV19&gt;真實IC!BV$25,1,0)</f>
        <v>0</v>
      </c>
      <c r="BW19" s="10">
        <f>IF(真實IC!BW19&gt;真實IC!BW$25,1,0)</f>
        <v>1</v>
      </c>
      <c r="BX19" s="10">
        <f>IF(真實IC!BX19&gt;真實IC!BX$25,1,0)</f>
        <v>0</v>
      </c>
      <c r="BY19" s="10">
        <f>IF(真實IC!BY19&gt;真實IC!BY$25,1,0)</f>
        <v>0</v>
      </c>
      <c r="BZ19" s="10">
        <f>IF(真實IC!BZ19&gt;真實IC!BZ$25,1,0)</f>
        <v>0</v>
      </c>
      <c r="CA19" s="10">
        <f>IF(真實IC!CA19&gt;真實IC!CA$25,1,0)</f>
        <v>1</v>
      </c>
      <c r="CB19" s="10">
        <f>IF(真實IC!CB19&gt;真實IC!CB$25,1,0)</f>
        <v>0</v>
      </c>
      <c r="CC19" s="10">
        <f>IF(真實IC!CC19&gt;真實IC!CC$25,1,0)</f>
        <v>1</v>
      </c>
      <c r="CD19" s="10">
        <f>IF(真實IC!CD19&gt;真實IC!CD$25,1,0)</f>
        <v>1</v>
      </c>
      <c r="CE19" s="10">
        <f>IF(真實IC!CE19&gt;真實IC!CE$25,1,0)</f>
        <v>1</v>
      </c>
      <c r="CF19" s="10">
        <f>IF(真實IC!CF19&gt;真實IC!CF$25,1,0)</f>
        <v>0</v>
      </c>
      <c r="CG19" s="10">
        <f>IF(真實IC!CG19&gt;真實IC!CG$25,1,0)</f>
        <v>1</v>
      </c>
      <c r="CH19" s="10">
        <f>IF(真實IC!CH19&gt;真實IC!CH$25,1,0)</f>
        <v>1</v>
      </c>
      <c r="CI19" s="10">
        <f>IF(真實IC!CI19&gt;真實IC!CI$25,1,0)</f>
        <v>0</v>
      </c>
      <c r="CJ19" s="10">
        <f>IF(真實IC!CJ19&gt;真實IC!CJ$25,1,0)</f>
        <v>0</v>
      </c>
      <c r="CK19" s="10">
        <f>IF(真實IC!CK19&gt;真實IC!CK$25,1,0)</f>
        <v>1</v>
      </c>
      <c r="CL19" s="10">
        <f>IF(真實IC!CL19&gt;真實IC!CL$25,1,0)</f>
        <v>0</v>
      </c>
      <c r="CM19" s="10">
        <f>IF(真實IC!CM19&gt;真實IC!CM$25,1,0)</f>
        <v>1</v>
      </c>
      <c r="CN19" s="10">
        <f>IF(真實IC!CN19&gt;真實IC!CN$25,1,0)</f>
        <v>1</v>
      </c>
      <c r="CO19" s="10">
        <f>IF(真實IC!CO19&gt;真實IC!CO$25,1,0)</f>
        <v>1</v>
      </c>
      <c r="CP19" s="10">
        <f>IF(真實IC!CP19&gt;真實IC!CP$25,1,0)</f>
        <v>0</v>
      </c>
      <c r="CQ19" s="10">
        <f>IF(真實IC!CQ19&gt;真實IC!CQ$25,1,0)</f>
        <v>1</v>
      </c>
      <c r="CR19" s="10">
        <f>IF(真實IC!CR19&gt;真實IC!CR$25,1,0)</f>
        <v>1</v>
      </c>
      <c r="CS19" s="10">
        <f>IF(真實IC!CS19&gt;真實IC!CS$25,1,0)</f>
        <v>1</v>
      </c>
      <c r="CT19" s="10">
        <f>IF(真實IC!CT19&gt;真實IC!CT$25,1,0)</f>
        <v>0</v>
      </c>
      <c r="CU19" s="10">
        <f>IF(真實IC!CU19&gt;真實IC!CU$25,1,0)</f>
        <v>1</v>
      </c>
      <c r="CV19" s="10">
        <f>IF(真實IC!CV19&gt;真實IC!CV$25,1,0)</f>
        <v>1</v>
      </c>
      <c r="CW19" s="10">
        <f>IF(真實IC!CW19&gt;真實IC!CW$25,1,0)</f>
        <v>1</v>
      </c>
      <c r="CX19" s="10">
        <f>IF(真實IC!CX19&gt;真實IC!CX$25,1,0)</f>
        <v>1</v>
      </c>
      <c r="CY19" s="10">
        <f>IF(真實IC!CY19&gt;真實IC!CY$25,1,0)</f>
        <v>1</v>
      </c>
      <c r="CZ19" s="10">
        <f>IF(真實IC!CZ19&gt;真實IC!CZ$25,1,0)</f>
        <v>1</v>
      </c>
      <c r="DA19" s="10">
        <f>IF(真實IC!DA19&gt;真實IC!DA$25,1,0)</f>
        <v>1</v>
      </c>
      <c r="DB19" s="10">
        <f>IF(真實IC!DB19&gt;真實IC!DB$25,1,0)</f>
        <v>1</v>
      </c>
      <c r="DC19" s="10">
        <f>IF(真實IC!DC19&gt;真實IC!DC$25,1,0)</f>
        <v>1</v>
      </c>
      <c r="DD19" s="10">
        <f>IF(真實IC!DD19&gt;真實IC!DD$25,1,0)</f>
        <v>1</v>
      </c>
      <c r="DE19" s="10">
        <f>IF(真實IC!DE19&gt;真實IC!DE$25,1,0)</f>
        <v>0</v>
      </c>
      <c r="DF19" s="10">
        <f>IF(真實IC!DF19&gt;真實IC!DF$25,1,0)</f>
        <v>1</v>
      </c>
      <c r="DG19" s="10">
        <f>IF(真實IC!DG19&gt;真實IC!DG$25,1,0)</f>
        <v>1</v>
      </c>
      <c r="DH19" s="10">
        <f>IF(真實IC!DH19&gt;真實IC!DH$25,1,0)</f>
        <v>0</v>
      </c>
      <c r="DI19" s="10">
        <f>IF(真實IC!DI19&gt;真實IC!DI$25,1,0)</f>
        <v>0</v>
      </c>
      <c r="DJ19" s="10">
        <f>IF(真實IC!DJ19&gt;真實IC!DJ$25,1,0)</f>
        <v>1</v>
      </c>
      <c r="DK19" s="10">
        <f>IF(真實IC!DK19&gt;真實IC!DK$25,1,0)</f>
        <v>0</v>
      </c>
      <c r="DL19" s="10">
        <f>IF(真實IC!DL19&gt;真實IC!DL$25,1,0)</f>
        <v>0</v>
      </c>
      <c r="DM19" s="10">
        <f>IF(真實IC!DM19&gt;真實IC!DM$25,1,0)</f>
        <v>1</v>
      </c>
      <c r="DN19" s="10">
        <f>IF(真實IC!DN19&gt;真實IC!DN$25,1,0)</f>
        <v>1</v>
      </c>
      <c r="DO19" s="10">
        <f>IF(真實IC!DO19&gt;真實IC!DO$25,1,0)</f>
        <v>1</v>
      </c>
      <c r="DP19" s="10">
        <f>IF(真實IC!DP19&gt;真實IC!DP$25,1,0)</f>
        <v>1</v>
      </c>
      <c r="DQ19" s="10">
        <f>IF(真實IC!DQ19&gt;真實IC!DQ$25,1,0)</f>
        <v>0</v>
      </c>
      <c r="DR19" s="10">
        <f>IF(真實IC!DR19&gt;真實IC!DR$25,1,0)</f>
        <v>1</v>
      </c>
      <c r="DS19" s="10">
        <f>IF(真實IC!DS19&gt;真實IC!DS$25,1,0)</f>
        <v>0</v>
      </c>
      <c r="DT19" s="10">
        <f>IF(真實IC!DT19&gt;真實IC!DT$25,1,0)</f>
        <v>1</v>
      </c>
      <c r="DU19" s="10">
        <f>IF(真實IC!DU19&gt;真實IC!DU$25,1,0)</f>
        <v>1</v>
      </c>
      <c r="DV19" s="10">
        <f>IF(真實IC!DV19&gt;真實IC!DV$25,1,0)</f>
        <v>1</v>
      </c>
      <c r="DW19" s="10">
        <f>IF(真實IC!DW19&gt;真實IC!DW$25,1,0)</f>
        <v>0</v>
      </c>
      <c r="DX19" s="10">
        <f>IF(真實IC!DX19&gt;真實IC!DX$25,1,0)</f>
        <v>0</v>
      </c>
      <c r="DY19" s="10">
        <f>IF(真實IC!DY19&gt;真實IC!DY$25,1,0)</f>
        <v>0</v>
      </c>
      <c r="DZ19" s="10">
        <f>IF(真實IC!DZ19&gt;真實IC!DZ$25,1,0)</f>
        <v>0</v>
      </c>
      <c r="EA19" s="10">
        <f>IF(真實IC!EA19&gt;真實IC!EA$25,1,0)</f>
        <v>1</v>
      </c>
      <c r="EB19" s="10">
        <f>IF(真實IC!EB19&gt;真實IC!EB$25,1,0)</f>
        <v>1</v>
      </c>
      <c r="EC19" s="10">
        <f>IF(真實IC!EC19&gt;真實IC!EC$25,1,0)</f>
        <v>0</v>
      </c>
      <c r="ED19" s="10">
        <f>IF(真實IC!ED19&gt;真實IC!ED$25,1,0)</f>
        <v>0</v>
      </c>
      <c r="EE19" s="10">
        <f>IF(真實IC!EE19&gt;真實IC!EE$25,1,0)</f>
        <v>1</v>
      </c>
      <c r="EF19" s="10">
        <f>IF(真實IC!EF19&gt;真實IC!EF$25,1,0)</f>
        <v>1</v>
      </c>
      <c r="EG19" s="10">
        <f>IF(真實IC!EG19&gt;真實IC!EG$25,1,0)</f>
        <v>1</v>
      </c>
      <c r="EH19" s="10">
        <f>IF(真實IC!EH19&gt;真實IC!EH$25,1,0)</f>
        <v>1</v>
      </c>
      <c r="EI19" s="10">
        <f>IF(真實IC!EI19&gt;真實IC!EI$25,1,0)</f>
        <v>0</v>
      </c>
      <c r="EJ19" s="10">
        <f>IF(真實IC!EJ19&gt;真實IC!EJ$25,1,0)</f>
        <v>0</v>
      </c>
      <c r="EK19" s="10">
        <f>IF(真實IC!EK19&gt;真實IC!EK$25,1,0)</f>
        <v>1</v>
      </c>
      <c r="EL19" s="10">
        <f>IF(真實IC!EL19&gt;真實IC!EL$25,1,0)</f>
        <v>0</v>
      </c>
      <c r="EM19" s="6">
        <f t="shared" si="11"/>
        <v>88</v>
      </c>
      <c r="EN19" s="12">
        <f t="shared" si="12"/>
        <v>0.62857142857142856</v>
      </c>
    </row>
    <row r="20" spans="1:144" x14ac:dyDescent="0.3">
      <c r="A20" s="11">
        <v>200</v>
      </c>
      <c r="B20" s="11">
        <f t="shared" si="10"/>
        <v>5</v>
      </c>
      <c r="C20" s="10">
        <f>IF(真實IC!C20&gt;真實IC!C$25,1,0)</f>
        <v>0</v>
      </c>
      <c r="D20" s="10">
        <f>IF(真實IC!D20&gt;真實IC!D$25,1,0)</f>
        <v>1</v>
      </c>
      <c r="E20" s="10">
        <f>IF(真實IC!E20&gt;真實IC!E$25,1,0)</f>
        <v>0</v>
      </c>
      <c r="F20" s="10">
        <f>IF(真實IC!F20&gt;真實IC!F$25,1,0)</f>
        <v>0</v>
      </c>
      <c r="G20" s="10">
        <f>IF(真實IC!G20&gt;真實IC!G$25,1,0)</f>
        <v>1</v>
      </c>
      <c r="H20" s="10">
        <f>IF(真實IC!H20&gt;真實IC!H$25,1,0)</f>
        <v>0</v>
      </c>
      <c r="I20" s="10">
        <f>IF(真實IC!I20&gt;真實IC!I$25,1,0)</f>
        <v>0</v>
      </c>
      <c r="J20" s="10">
        <f>IF(真實IC!J20&gt;真實IC!J$25,1,0)</f>
        <v>0</v>
      </c>
      <c r="K20" s="10">
        <f>IF(真實IC!K20&gt;真實IC!K$25,1,0)</f>
        <v>1</v>
      </c>
      <c r="L20" s="10">
        <f>IF(真實IC!L20&gt;真實IC!L$25,1,0)</f>
        <v>0</v>
      </c>
      <c r="M20" s="10">
        <f>IF(真實IC!M20&gt;真實IC!M$25,1,0)</f>
        <v>1</v>
      </c>
      <c r="N20" s="10">
        <f>IF(真實IC!N20&gt;真實IC!N$25,1,0)</f>
        <v>1</v>
      </c>
      <c r="O20" s="10">
        <f>IF(真實IC!O20&gt;真實IC!O$25,1,0)</f>
        <v>1</v>
      </c>
      <c r="P20" s="10">
        <f>IF(真實IC!P20&gt;真實IC!P$25,1,0)</f>
        <v>1</v>
      </c>
      <c r="Q20" s="10">
        <f>IF(真實IC!Q20&gt;真實IC!Q$25,1,0)</f>
        <v>0</v>
      </c>
      <c r="R20" s="10">
        <f>IF(真實IC!R20&gt;真實IC!R$25,1,0)</f>
        <v>1</v>
      </c>
      <c r="S20" s="10">
        <f>IF(真實IC!S20&gt;真實IC!S$25,1,0)</f>
        <v>1</v>
      </c>
      <c r="T20" s="10">
        <f>IF(真實IC!T20&gt;真實IC!T$25,1,0)</f>
        <v>1</v>
      </c>
      <c r="U20" s="10">
        <f>IF(真實IC!U20&gt;真實IC!U$25,1,0)</f>
        <v>0</v>
      </c>
      <c r="V20" s="10">
        <f>IF(真實IC!V20&gt;真實IC!V$25,1,0)</f>
        <v>0</v>
      </c>
      <c r="W20" s="10">
        <f>IF(真實IC!W20&gt;真實IC!W$25,1,0)</f>
        <v>1</v>
      </c>
      <c r="X20" s="10">
        <f>IF(真實IC!X20&gt;真實IC!X$25,1,0)</f>
        <v>1</v>
      </c>
      <c r="Y20" s="10">
        <f>IF(真實IC!Y20&gt;真實IC!Y$25,1,0)</f>
        <v>1</v>
      </c>
      <c r="Z20" s="10">
        <f>IF(真實IC!Z20&gt;真實IC!Z$25,1,0)</f>
        <v>1</v>
      </c>
      <c r="AA20" s="10">
        <f>IF(真實IC!AA20&gt;真實IC!AA$25,1,0)</f>
        <v>1</v>
      </c>
      <c r="AB20" s="10">
        <f>IF(真實IC!AB20&gt;真實IC!AB$25,1,0)</f>
        <v>1</v>
      </c>
      <c r="AC20" s="10">
        <f>IF(真實IC!AC20&gt;真實IC!AC$25,1,0)</f>
        <v>1</v>
      </c>
      <c r="AD20" s="10">
        <f>IF(真實IC!AD20&gt;真實IC!AD$25,1,0)</f>
        <v>1</v>
      </c>
      <c r="AE20" s="10">
        <f>IF(真實IC!AE20&gt;真實IC!AE$25,1,0)</f>
        <v>1</v>
      </c>
      <c r="AF20" s="10">
        <f>IF(真實IC!AF20&gt;真實IC!AF$25,1,0)</f>
        <v>1</v>
      </c>
      <c r="AG20" s="10">
        <f>IF(真實IC!AG20&gt;真實IC!AG$25,1,0)</f>
        <v>1</v>
      </c>
      <c r="AH20" s="10">
        <f>IF(真實IC!AH20&gt;真實IC!AH$25,1,0)</f>
        <v>0</v>
      </c>
      <c r="AI20" s="10">
        <f>IF(真實IC!AI20&gt;真實IC!AI$25,1,0)</f>
        <v>1</v>
      </c>
      <c r="AJ20" s="10">
        <f>IF(真實IC!AJ20&gt;真實IC!AJ$25,1,0)</f>
        <v>1</v>
      </c>
      <c r="AK20" s="10">
        <f>IF(真實IC!AK20&gt;真實IC!AK$25,1,0)</f>
        <v>1</v>
      </c>
      <c r="AL20" s="10">
        <f>IF(真實IC!AL20&gt;真實IC!AL$25,1,0)</f>
        <v>1</v>
      </c>
      <c r="AM20" s="10">
        <f>IF(真實IC!AM20&gt;真實IC!AM$25,1,0)</f>
        <v>0</v>
      </c>
      <c r="AN20" s="10">
        <f>IF(真實IC!AN20&gt;真實IC!AN$25,1,0)</f>
        <v>1</v>
      </c>
      <c r="AO20" s="10">
        <f>IF(真實IC!AO20&gt;真實IC!AO$25,1,0)</f>
        <v>1</v>
      </c>
      <c r="AP20" s="10">
        <f>IF(真實IC!AP20&gt;真實IC!AP$25,1,0)</f>
        <v>1</v>
      </c>
      <c r="AQ20" s="10">
        <f>IF(真實IC!AQ20&gt;真實IC!AQ$25,1,0)</f>
        <v>0</v>
      </c>
      <c r="AR20" s="10">
        <f>IF(真實IC!AR20&gt;真實IC!AR$25,1,0)</f>
        <v>0</v>
      </c>
      <c r="AS20" s="10">
        <f>IF(真實IC!AS20&gt;真實IC!AS$25,1,0)</f>
        <v>0</v>
      </c>
      <c r="AT20" s="10">
        <f>IF(真實IC!AT20&gt;真實IC!AT$25,1,0)</f>
        <v>1</v>
      </c>
      <c r="AU20" s="10">
        <f>IF(真實IC!AU20&gt;真實IC!AU$25,1,0)</f>
        <v>1</v>
      </c>
      <c r="AV20" s="10">
        <f>IF(真實IC!AV20&gt;真實IC!AV$25,1,0)</f>
        <v>0</v>
      </c>
      <c r="AW20" s="10">
        <f>IF(真實IC!AW20&gt;真實IC!AW$25,1,0)</f>
        <v>1</v>
      </c>
      <c r="AX20" s="10">
        <f>IF(真實IC!AX20&gt;真實IC!AX$25,1,0)</f>
        <v>1</v>
      </c>
      <c r="AY20" s="10">
        <f>IF(真實IC!AY20&gt;真實IC!AY$25,1,0)</f>
        <v>0</v>
      </c>
      <c r="AZ20" s="10">
        <f>IF(真實IC!AZ20&gt;真實IC!AZ$25,1,0)</f>
        <v>1</v>
      </c>
      <c r="BA20" s="10">
        <f>IF(真實IC!BA20&gt;真實IC!BA$25,1,0)</f>
        <v>1</v>
      </c>
      <c r="BB20" s="10">
        <f>IF(真實IC!BB20&gt;真實IC!BB$25,1,0)</f>
        <v>1</v>
      </c>
      <c r="BC20" s="10">
        <f>IF(真實IC!BC20&gt;真實IC!BC$25,1,0)</f>
        <v>1</v>
      </c>
      <c r="BD20" s="10">
        <f>IF(真實IC!BD20&gt;真實IC!BD$25,1,0)</f>
        <v>1</v>
      </c>
      <c r="BE20" s="10">
        <f>IF(真實IC!BE20&gt;真實IC!BE$25,1,0)</f>
        <v>1</v>
      </c>
      <c r="BF20" s="10">
        <f>IF(真實IC!BF20&gt;真實IC!BF$25,1,0)</f>
        <v>1</v>
      </c>
      <c r="BG20" s="10">
        <f>IF(真實IC!BG20&gt;真實IC!BG$25,1,0)</f>
        <v>1</v>
      </c>
      <c r="BH20" s="10">
        <f>IF(真實IC!BH20&gt;真實IC!BH$25,1,0)</f>
        <v>1</v>
      </c>
      <c r="BI20" s="10">
        <f>IF(真實IC!BI20&gt;真實IC!BI$25,1,0)</f>
        <v>1</v>
      </c>
      <c r="BJ20" s="10">
        <f>IF(真實IC!BJ20&gt;真實IC!BJ$25,1,0)</f>
        <v>1</v>
      </c>
      <c r="BK20" s="10">
        <f>IF(真實IC!BK20&gt;真實IC!BK$25,1,0)</f>
        <v>0</v>
      </c>
      <c r="BL20" s="10">
        <f>IF(真實IC!BL20&gt;真實IC!BL$25,1,0)</f>
        <v>1</v>
      </c>
      <c r="BM20" s="10">
        <f>IF(真實IC!BM20&gt;真實IC!BM$25,1,0)</f>
        <v>1</v>
      </c>
      <c r="BN20" s="10">
        <f>IF(真實IC!BN20&gt;真實IC!BN$25,1,0)</f>
        <v>1</v>
      </c>
      <c r="BO20" s="10">
        <f>IF(真實IC!BO20&gt;真實IC!BO$25,1,0)</f>
        <v>1</v>
      </c>
      <c r="BP20" s="10">
        <f>IF(真實IC!BP20&gt;真實IC!BP$25,1,0)</f>
        <v>0</v>
      </c>
      <c r="BQ20" s="10">
        <f>IF(真實IC!BQ20&gt;真實IC!BQ$25,1,0)</f>
        <v>0</v>
      </c>
      <c r="BR20" s="10">
        <f>IF(真實IC!BR20&gt;真實IC!BR$25,1,0)</f>
        <v>1</v>
      </c>
      <c r="BS20" s="10">
        <f>IF(真實IC!BS20&gt;真實IC!BS$25,1,0)</f>
        <v>0</v>
      </c>
      <c r="BT20" s="10">
        <f>IF(真實IC!BT20&gt;真實IC!BT$25,1,0)</f>
        <v>0</v>
      </c>
      <c r="BU20" s="10">
        <f>IF(真實IC!BU20&gt;真實IC!BU$25,1,0)</f>
        <v>0</v>
      </c>
      <c r="BV20" s="10">
        <f>IF(真實IC!BV20&gt;真實IC!BV$25,1,0)</f>
        <v>0</v>
      </c>
      <c r="BW20" s="10">
        <f>IF(真實IC!BW20&gt;真實IC!BW$25,1,0)</f>
        <v>1</v>
      </c>
      <c r="BX20" s="10">
        <f>IF(真實IC!BX20&gt;真實IC!BX$25,1,0)</f>
        <v>0</v>
      </c>
      <c r="BY20" s="10">
        <f>IF(真實IC!BY20&gt;真實IC!BY$25,1,0)</f>
        <v>0</v>
      </c>
      <c r="BZ20" s="10">
        <f>IF(真實IC!BZ20&gt;真實IC!BZ$25,1,0)</f>
        <v>0</v>
      </c>
      <c r="CA20" s="10">
        <f>IF(真實IC!CA20&gt;真實IC!CA$25,1,0)</f>
        <v>1</v>
      </c>
      <c r="CB20" s="10">
        <f>IF(真實IC!CB20&gt;真實IC!CB$25,1,0)</f>
        <v>0</v>
      </c>
      <c r="CC20" s="10">
        <f>IF(真實IC!CC20&gt;真實IC!CC$25,1,0)</f>
        <v>1</v>
      </c>
      <c r="CD20" s="10">
        <f>IF(真實IC!CD20&gt;真實IC!CD$25,1,0)</f>
        <v>0</v>
      </c>
      <c r="CE20" s="10">
        <f>IF(真實IC!CE20&gt;真實IC!CE$25,1,0)</f>
        <v>1</v>
      </c>
      <c r="CF20" s="10">
        <f>IF(真實IC!CF20&gt;真實IC!CF$25,1,0)</f>
        <v>0</v>
      </c>
      <c r="CG20" s="10">
        <f>IF(真實IC!CG20&gt;真實IC!CG$25,1,0)</f>
        <v>1</v>
      </c>
      <c r="CH20" s="10">
        <f>IF(真實IC!CH20&gt;真實IC!CH$25,1,0)</f>
        <v>1</v>
      </c>
      <c r="CI20" s="10">
        <f>IF(真實IC!CI20&gt;真實IC!CI$25,1,0)</f>
        <v>0</v>
      </c>
      <c r="CJ20" s="10">
        <f>IF(真實IC!CJ20&gt;真實IC!CJ$25,1,0)</f>
        <v>0</v>
      </c>
      <c r="CK20" s="10">
        <f>IF(真實IC!CK20&gt;真實IC!CK$25,1,0)</f>
        <v>1</v>
      </c>
      <c r="CL20" s="10">
        <f>IF(真實IC!CL20&gt;真實IC!CL$25,1,0)</f>
        <v>0</v>
      </c>
      <c r="CM20" s="10">
        <f>IF(真實IC!CM20&gt;真實IC!CM$25,1,0)</f>
        <v>0</v>
      </c>
      <c r="CN20" s="10">
        <f>IF(真實IC!CN20&gt;真實IC!CN$25,1,0)</f>
        <v>1</v>
      </c>
      <c r="CO20" s="10">
        <f>IF(真實IC!CO20&gt;真實IC!CO$25,1,0)</f>
        <v>1</v>
      </c>
      <c r="CP20" s="10">
        <f>IF(真實IC!CP20&gt;真實IC!CP$25,1,0)</f>
        <v>0</v>
      </c>
      <c r="CQ20" s="10">
        <f>IF(真實IC!CQ20&gt;真實IC!CQ$25,1,0)</f>
        <v>1</v>
      </c>
      <c r="CR20" s="10">
        <f>IF(真實IC!CR20&gt;真實IC!CR$25,1,0)</f>
        <v>1</v>
      </c>
      <c r="CS20" s="10">
        <f>IF(真實IC!CS20&gt;真實IC!CS$25,1,0)</f>
        <v>1</v>
      </c>
      <c r="CT20" s="10">
        <f>IF(真實IC!CT20&gt;真實IC!CT$25,1,0)</f>
        <v>0</v>
      </c>
      <c r="CU20" s="10">
        <f>IF(真實IC!CU20&gt;真實IC!CU$25,1,0)</f>
        <v>1</v>
      </c>
      <c r="CV20" s="10">
        <f>IF(真實IC!CV20&gt;真實IC!CV$25,1,0)</f>
        <v>1</v>
      </c>
      <c r="CW20" s="10">
        <f>IF(真實IC!CW20&gt;真實IC!CW$25,1,0)</f>
        <v>1</v>
      </c>
      <c r="CX20" s="10">
        <f>IF(真實IC!CX20&gt;真實IC!CX$25,1,0)</f>
        <v>1</v>
      </c>
      <c r="CY20" s="10">
        <f>IF(真實IC!CY20&gt;真實IC!CY$25,1,0)</f>
        <v>1</v>
      </c>
      <c r="CZ20" s="10">
        <f>IF(真實IC!CZ20&gt;真實IC!CZ$25,1,0)</f>
        <v>1</v>
      </c>
      <c r="DA20" s="10">
        <f>IF(真實IC!DA20&gt;真實IC!DA$25,1,0)</f>
        <v>1</v>
      </c>
      <c r="DB20" s="10">
        <f>IF(真實IC!DB20&gt;真實IC!DB$25,1,0)</f>
        <v>1</v>
      </c>
      <c r="DC20" s="10">
        <f>IF(真實IC!DC20&gt;真實IC!DC$25,1,0)</f>
        <v>1</v>
      </c>
      <c r="DD20" s="10">
        <f>IF(真實IC!DD20&gt;真實IC!DD$25,1,0)</f>
        <v>1</v>
      </c>
      <c r="DE20" s="10">
        <f>IF(真實IC!DE20&gt;真實IC!DE$25,1,0)</f>
        <v>0</v>
      </c>
      <c r="DF20" s="10">
        <f>IF(真實IC!DF20&gt;真實IC!DF$25,1,0)</f>
        <v>1</v>
      </c>
      <c r="DG20" s="10">
        <f>IF(真實IC!DG20&gt;真實IC!DG$25,1,0)</f>
        <v>1</v>
      </c>
      <c r="DH20" s="10">
        <f>IF(真實IC!DH20&gt;真實IC!DH$25,1,0)</f>
        <v>0</v>
      </c>
      <c r="DI20" s="10">
        <f>IF(真實IC!DI20&gt;真實IC!DI$25,1,0)</f>
        <v>0</v>
      </c>
      <c r="DJ20" s="10">
        <f>IF(真實IC!DJ20&gt;真實IC!DJ$25,1,0)</f>
        <v>1</v>
      </c>
      <c r="DK20" s="10">
        <f>IF(真實IC!DK20&gt;真實IC!DK$25,1,0)</f>
        <v>0</v>
      </c>
      <c r="DL20" s="10">
        <f>IF(真實IC!DL20&gt;真實IC!DL$25,1,0)</f>
        <v>0</v>
      </c>
      <c r="DM20" s="10">
        <f>IF(真實IC!DM20&gt;真實IC!DM$25,1,0)</f>
        <v>1</v>
      </c>
      <c r="DN20" s="10">
        <f>IF(真實IC!DN20&gt;真實IC!DN$25,1,0)</f>
        <v>1</v>
      </c>
      <c r="DO20" s="10">
        <f>IF(真實IC!DO20&gt;真實IC!DO$25,1,0)</f>
        <v>0</v>
      </c>
      <c r="DP20" s="10">
        <f>IF(真實IC!DP20&gt;真實IC!DP$25,1,0)</f>
        <v>1</v>
      </c>
      <c r="DQ20" s="10">
        <f>IF(真實IC!DQ20&gt;真實IC!DQ$25,1,0)</f>
        <v>0</v>
      </c>
      <c r="DR20" s="10">
        <f>IF(真實IC!DR20&gt;真實IC!DR$25,1,0)</f>
        <v>1</v>
      </c>
      <c r="DS20" s="10">
        <f>IF(真實IC!DS20&gt;真實IC!DS$25,1,0)</f>
        <v>0</v>
      </c>
      <c r="DT20" s="10">
        <f>IF(真實IC!DT20&gt;真實IC!DT$25,1,0)</f>
        <v>1</v>
      </c>
      <c r="DU20" s="10">
        <f>IF(真實IC!DU20&gt;真實IC!DU$25,1,0)</f>
        <v>1</v>
      </c>
      <c r="DV20" s="10">
        <f>IF(真實IC!DV20&gt;真實IC!DV$25,1,0)</f>
        <v>1</v>
      </c>
      <c r="DW20" s="10">
        <f>IF(真實IC!DW20&gt;真實IC!DW$25,1,0)</f>
        <v>0</v>
      </c>
      <c r="DX20" s="10">
        <f>IF(真實IC!DX20&gt;真實IC!DX$25,1,0)</f>
        <v>0</v>
      </c>
      <c r="DY20" s="10">
        <f>IF(真實IC!DY20&gt;真實IC!DY$25,1,0)</f>
        <v>0</v>
      </c>
      <c r="DZ20" s="10">
        <f>IF(真實IC!DZ20&gt;真實IC!DZ$25,1,0)</f>
        <v>0</v>
      </c>
      <c r="EA20" s="10">
        <f>IF(真實IC!EA20&gt;真實IC!EA$25,1,0)</f>
        <v>1</v>
      </c>
      <c r="EB20" s="10">
        <f>IF(真實IC!EB20&gt;真實IC!EB$25,1,0)</f>
        <v>1</v>
      </c>
      <c r="EC20" s="10">
        <f>IF(真實IC!EC20&gt;真實IC!EC$25,1,0)</f>
        <v>0</v>
      </c>
      <c r="ED20" s="10">
        <f>IF(真實IC!ED20&gt;真實IC!ED$25,1,0)</f>
        <v>0</v>
      </c>
      <c r="EE20" s="10">
        <f>IF(真實IC!EE20&gt;真實IC!EE$25,1,0)</f>
        <v>1</v>
      </c>
      <c r="EF20" s="10">
        <f>IF(真實IC!EF20&gt;真實IC!EF$25,1,0)</f>
        <v>1</v>
      </c>
      <c r="EG20" s="10">
        <f>IF(真實IC!EG20&gt;真實IC!EG$25,1,0)</f>
        <v>1</v>
      </c>
      <c r="EH20" s="10">
        <f>IF(真實IC!EH20&gt;真實IC!EH$25,1,0)</f>
        <v>1</v>
      </c>
      <c r="EI20" s="10">
        <f>IF(真實IC!EI20&gt;真實IC!EI$25,1,0)</f>
        <v>0</v>
      </c>
      <c r="EJ20" s="10">
        <f>IF(真實IC!EJ20&gt;真實IC!EJ$25,1,0)</f>
        <v>0</v>
      </c>
      <c r="EK20" s="10">
        <f>IF(真實IC!EK20&gt;真實IC!EK$25,1,0)</f>
        <v>1</v>
      </c>
      <c r="EL20" s="10">
        <f>IF(真實IC!EL20&gt;真實IC!EL$25,1,0)</f>
        <v>0</v>
      </c>
      <c r="EM20" s="6">
        <f t="shared" si="11"/>
        <v>87</v>
      </c>
      <c r="EN20" s="12">
        <f t="shared" si="12"/>
        <v>0.62142857142857144</v>
      </c>
    </row>
    <row r="21" spans="1:144" x14ac:dyDescent="0.3">
      <c r="A21" s="11">
        <v>256</v>
      </c>
      <c r="B21" s="11">
        <f t="shared" si="10"/>
        <v>4</v>
      </c>
      <c r="C21" s="10">
        <f>IF(真實IC!C21&gt;真實IC!C$25,1,0)</f>
        <v>1</v>
      </c>
      <c r="D21" s="10">
        <f>IF(真實IC!D21&gt;真實IC!D$25,1,0)</f>
        <v>1</v>
      </c>
      <c r="E21" s="10">
        <f>IF(真實IC!E21&gt;真實IC!E$25,1,0)</f>
        <v>0</v>
      </c>
      <c r="F21" s="10">
        <f>IF(真實IC!F21&gt;真實IC!F$25,1,0)</f>
        <v>0</v>
      </c>
      <c r="G21" s="10">
        <f>IF(真實IC!G21&gt;真實IC!G$25,1,0)</f>
        <v>1</v>
      </c>
      <c r="H21" s="10">
        <f>IF(真實IC!H21&gt;真實IC!H$25,1,0)</f>
        <v>0</v>
      </c>
      <c r="I21" s="10">
        <f>IF(真實IC!I21&gt;真實IC!I$25,1,0)</f>
        <v>0</v>
      </c>
      <c r="J21" s="10">
        <f>IF(真實IC!J21&gt;真實IC!J$25,1,0)</f>
        <v>0</v>
      </c>
      <c r="K21" s="10">
        <f>IF(真實IC!K21&gt;真實IC!K$25,1,0)</f>
        <v>1</v>
      </c>
      <c r="L21" s="10">
        <f>IF(真實IC!L21&gt;真實IC!L$25,1,0)</f>
        <v>0</v>
      </c>
      <c r="M21" s="10">
        <f>IF(真實IC!M21&gt;真實IC!M$25,1,0)</f>
        <v>0</v>
      </c>
      <c r="N21" s="10">
        <f>IF(真實IC!N21&gt;真實IC!N$25,1,0)</f>
        <v>1</v>
      </c>
      <c r="O21" s="10">
        <f>IF(真實IC!O21&gt;真實IC!O$25,1,0)</f>
        <v>1</v>
      </c>
      <c r="P21" s="10">
        <f>IF(真實IC!P21&gt;真實IC!P$25,1,0)</f>
        <v>1</v>
      </c>
      <c r="Q21" s="10">
        <f>IF(真實IC!Q21&gt;真實IC!Q$25,1,0)</f>
        <v>1</v>
      </c>
      <c r="R21" s="10">
        <f>IF(真實IC!R21&gt;真實IC!R$25,1,0)</f>
        <v>1</v>
      </c>
      <c r="S21" s="10">
        <f>IF(真實IC!S21&gt;真實IC!S$25,1,0)</f>
        <v>1</v>
      </c>
      <c r="T21" s="10">
        <f>IF(真實IC!T21&gt;真實IC!T$25,1,0)</f>
        <v>1</v>
      </c>
      <c r="U21" s="10">
        <f>IF(真實IC!U21&gt;真實IC!U$25,1,0)</f>
        <v>0</v>
      </c>
      <c r="V21" s="10">
        <f>IF(真實IC!V21&gt;真實IC!V$25,1,0)</f>
        <v>1</v>
      </c>
      <c r="W21" s="10">
        <f>IF(真實IC!W21&gt;真實IC!W$25,1,0)</f>
        <v>1</v>
      </c>
      <c r="X21" s="10">
        <f>IF(真實IC!X21&gt;真實IC!X$25,1,0)</f>
        <v>1</v>
      </c>
      <c r="Y21" s="10">
        <f>IF(真實IC!Y21&gt;真實IC!Y$25,1,0)</f>
        <v>1</v>
      </c>
      <c r="Z21" s="10">
        <f>IF(真實IC!Z21&gt;真實IC!Z$25,1,0)</f>
        <v>1</v>
      </c>
      <c r="AA21" s="10">
        <f>IF(真實IC!AA21&gt;真實IC!AA$25,1,0)</f>
        <v>1</v>
      </c>
      <c r="AB21" s="10">
        <f>IF(真實IC!AB21&gt;真實IC!AB$25,1,0)</f>
        <v>1</v>
      </c>
      <c r="AC21" s="10">
        <f>IF(真實IC!AC21&gt;真實IC!AC$25,1,0)</f>
        <v>1</v>
      </c>
      <c r="AD21" s="10">
        <f>IF(真實IC!AD21&gt;真實IC!AD$25,1,0)</f>
        <v>0</v>
      </c>
      <c r="AE21" s="10">
        <f>IF(真實IC!AE21&gt;真實IC!AE$25,1,0)</f>
        <v>1</v>
      </c>
      <c r="AF21" s="10">
        <f>IF(真實IC!AF21&gt;真實IC!AF$25,1,0)</f>
        <v>1</v>
      </c>
      <c r="AG21" s="10">
        <f>IF(真實IC!AG21&gt;真實IC!AG$25,1,0)</f>
        <v>1</v>
      </c>
      <c r="AH21" s="10">
        <f>IF(真實IC!AH21&gt;真實IC!AH$25,1,0)</f>
        <v>0</v>
      </c>
      <c r="AI21" s="10">
        <f>IF(真實IC!AI21&gt;真實IC!AI$25,1,0)</f>
        <v>0</v>
      </c>
      <c r="AJ21" s="10">
        <f>IF(真實IC!AJ21&gt;真實IC!AJ$25,1,0)</f>
        <v>1</v>
      </c>
      <c r="AK21" s="10">
        <f>IF(真實IC!AK21&gt;真實IC!AK$25,1,0)</f>
        <v>1</v>
      </c>
      <c r="AL21" s="10">
        <f>IF(真實IC!AL21&gt;真實IC!AL$25,1,0)</f>
        <v>1</v>
      </c>
      <c r="AM21" s="10">
        <f>IF(真實IC!AM21&gt;真實IC!AM$25,1,0)</f>
        <v>1</v>
      </c>
      <c r="AN21" s="10">
        <f>IF(真實IC!AN21&gt;真實IC!AN$25,1,0)</f>
        <v>0</v>
      </c>
      <c r="AO21" s="10">
        <f>IF(真實IC!AO21&gt;真實IC!AO$25,1,0)</f>
        <v>1</v>
      </c>
      <c r="AP21" s="10">
        <f>IF(真實IC!AP21&gt;真實IC!AP$25,1,0)</f>
        <v>1</v>
      </c>
      <c r="AQ21" s="10">
        <f>IF(真實IC!AQ21&gt;真實IC!AQ$25,1,0)</f>
        <v>0</v>
      </c>
      <c r="AR21" s="10">
        <f>IF(真實IC!AR21&gt;真實IC!AR$25,1,0)</f>
        <v>0</v>
      </c>
      <c r="AS21" s="10">
        <f>IF(真實IC!AS21&gt;真實IC!AS$25,1,0)</f>
        <v>0</v>
      </c>
      <c r="AT21" s="10">
        <f>IF(真實IC!AT21&gt;真實IC!AT$25,1,0)</f>
        <v>1</v>
      </c>
      <c r="AU21" s="10">
        <f>IF(真實IC!AU21&gt;真實IC!AU$25,1,0)</f>
        <v>1</v>
      </c>
      <c r="AV21" s="10">
        <f>IF(真實IC!AV21&gt;真實IC!AV$25,1,0)</f>
        <v>0</v>
      </c>
      <c r="AW21" s="10">
        <f>IF(真實IC!AW21&gt;真實IC!AW$25,1,0)</f>
        <v>1</v>
      </c>
      <c r="AX21" s="10">
        <f>IF(真實IC!AX21&gt;真實IC!AX$25,1,0)</f>
        <v>1</v>
      </c>
      <c r="AY21" s="10">
        <f>IF(真實IC!AY21&gt;真實IC!AY$25,1,0)</f>
        <v>0</v>
      </c>
      <c r="AZ21" s="10">
        <f>IF(真實IC!AZ21&gt;真實IC!AZ$25,1,0)</f>
        <v>1</v>
      </c>
      <c r="BA21" s="10">
        <f>IF(真實IC!BA21&gt;真實IC!BA$25,1,0)</f>
        <v>1</v>
      </c>
      <c r="BB21" s="10">
        <f>IF(真實IC!BB21&gt;真實IC!BB$25,1,0)</f>
        <v>1</v>
      </c>
      <c r="BC21" s="10">
        <f>IF(真實IC!BC21&gt;真實IC!BC$25,1,0)</f>
        <v>1</v>
      </c>
      <c r="BD21" s="10">
        <f>IF(真實IC!BD21&gt;真實IC!BD$25,1,0)</f>
        <v>1</v>
      </c>
      <c r="BE21" s="10">
        <f>IF(真實IC!BE21&gt;真實IC!BE$25,1,0)</f>
        <v>1</v>
      </c>
      <c r="BF21" s="10">
        <f>IF(真實IC!BF21&gt;真實IC!BF$25,1,0)</f>
        <v>1</v>
      </c>
      <c r="BG21" s="10">
        <f>IF(真實IC!BG21&gt;真實IC!BG$25,1,0)</f>
        <v>0</v>
      </c>
      <c r="BH21" s="10">
        <f>IF(真實IC!BH21&gt;真實IC!BH$25,1,0)</f>
        <v>1</v>
      </c>
      <c r="BI21" s="10">
        <f>IF(真實IC!BI21&gt;真實IC!BI$25,1,0)</f>
        <v>1</v>
      </c>
      <c r="BJ21" s="10">
        <f>IF(真實IC!BJ21&gt;真實IC!BJ$25,1,0)</f>
        <v>1</v>
      </c>
      <c r="BK21" s="10">
        <f>IF(真實IC!BK21&gt;真實IC!BK$25,1,0)</f>
        <v>0</v>
      </c>
      <c r="BL21" s="10">
        <f>IF(真實IC!BL21&gt;真實IC!BL$25,1,0)</f>
        <v>1</v>
      </c>
      <c r="BM21" s="10">
        <f>IF(真實IC!BM21&gt;真實IC!BM$25,1,0)</f>
        <v>1</v>
      </c>
      <c r="BN21" s="10">
        <f>IF(真實IC!BN21&gt;真實IC!BN$25,1,0)</f>
        <v>1</v>
      </c>
      <c r="BO21" s="10">
        <f>IF(真實IC!BO21&gt;真實IC!BO$25,1,0)</f>
        <v>1</v>
      </c>
      <c r="BP21" s="10">
        <f>IF(真實IC!BP21&gt;真實IC!BP$25,1,0)</f>
        <v>0</v>
      </c>
      <c r="BQ21" s="10">
        <f>IF(真實IC!BQ21&gt;真實IC!BQ$25,1,0)</f>
        <v>0</v>
      </c>
      <c r="BR21" s="10">
        <f>IF(真實IC!BR21&gt;真實IC!BR$25,1,0)</f>
        <v>1</v>
      </c>
      <c r="BS21" s="10">
        <f>IF(真實IC!BS21&gt;真實IC!BS$25,1,0)</f>
        <v>0</v>
      </c>
      <c r="BT21" s="10">
        <f>IF(真實IC!BT21&gt;真實IC!BT$25,1,0)</f>
        <v>0</v>
      </c>
      <c r="BU21" s="10">
        <f>IF(真實IC!BU21&gt;真實IC!BU$25,1,0)</f>
        <v>0</v>
      </c>
      <c r="BV21" s="10">
        <f>IF(真實IC!BV21&gt;真實IC!BV$25,1,0)</f>
        <v>0</v>
      </c>
      <c r="BW21" s="10">
        <f>IF(真實IC!BW21&gt;真實IC!BW$25,1,0)</f>
        <v>1</v>
      </c>
      <c r="BX21" s="10">
        <f>IF(真實IC!BX21&gt;真實IC!BX$25,1,0)</f>
        <v>0</v>
      </c>
      <c r="BY21" s="10">
        <f>IF(真實IC!BY21&gt;真實IC!BY$25,1,0)</f>
        <v>1</v>
      </c>
      <c r="BZ21" s="10">
        <f>IF(真實IC!BZ21&gt;真實IC!BZ$25,1,0)</f>
        <v>0</v>
      </c>
      <c r="CA21" s="10">
        <f>IF(真實IC!CA21&gt;真實IC!CA$25,1,0)</f>
        <v>1</v>
      </c>
      <c r="CB21" s="10">
        <f>IF(真實IC!CB21&gt;真實IC!CB$25,1,0)</f>
        <v>0</v>
      </c>
      <c r="CC21" s="10">
        <f>IF(真實IC!CC21&gt;真實IC!CC$25,1,0)</f>
        <v>1</v>
      </c>
      <c r="CD21" s="10">
        <f>IF(真實IC!CD21&gt;真實IC!CD$25,1,0)</f>
        <v>1</v>
      </c>
      <c r="CE21" s="10">
        <f>IF(真實IC!CE21&gt;真實IC!CE$25,1,0)</f>
        <v>1</v>
      </c>
      <c r="CF21" s="10">
        <f>IF(真實IC!CF21&gt;真實IC!CF$25,1,0)</f>
        <v>1</v>
      </c>
      <c r="CG21" s="10">
        <f>IF(真實IC!CG21&gt;真實IC!CG$25,1,0)</f>
        <v>1</v>
      </c>
      <c r="CH21" s="10">
        <f>IF(真實IC!CH21&gt;真實IC!CH$25,1,0)</f>
        <v>1</v>
      </c>
      <c r="CI21" s="10">
        <f>IF(真實IC!CI21&gt;真實IC!CI$25,1,0)</f>
        <v>0</v>
      </c>
      <c r="CJ21" s="10">
        <f>IF(真實IC!CJ21&gt;真實IC!CJ$25,1,0)</f>
        <v>0</v>
      </c>
      <c r="CK21" s="10">
        <f>IF(真實IC!CK21&gt;真實IC!CK$25,1,0)</f>
        <v>1</v>
      </c>
      <c r="CL21" s="10">
        <f>IF(真實IC!CL21&gt;真實IC!CL$25,1,0)</f>
        <v>0</v>
      </c>
      <c r="CM21" s="10">
        <f>IF(真實IC!CM21&gt;真實IC!CM$25,1,0)</f>
        <v>0</v>
      </c>
      <c r="CN21" s="10">
        <f>IF(真實IC!CN21&gt;真實IC!CN$25,1,0)</f>
        <v>1</v>
      </c>
      <c r="CO21" s="10">
        <f>IF(真實IC!CO21&gt;真實IC!CO$25,1,0)</f>
        <v>1</v>
      </c>
      <c r="CP21" s="10">
        <f>IF(真實IC!CP21&gt;真實IC!CP$25,1,0)</f>
        <v>0</v>
      </c>
      <c r="CQ21" s="10">
        <f>IF(真實IC!CQ21&gt;真實IC!CQ$25,1,0)</f>
        <v>1</v>
      </c>
      <c r="CR21" s="10">
        <f>IF(真實IC!CR21&gt;真實IC!CR$25,1,0)</f>
        <v>1</v>
      </c>
      <c r="CS21" s="10">
        <f>IF(真實IC!CS21&gt;真實IC!CS$25,1,0)</f>
        <v>0</v>
      </c>
      <c r="CT21" s="10">
        <f>IF(真實IC!CT21&gt;真實IC!CT$25,1,0)</f>
        <v>1</v>
      </c>
      <c r="CU21" s="10">
        <f>IF(真實IC!CU21&gt;真實IC!CU$25,1,0)</f>
        <v>1</v>
      </c>
      <c r="CV21" s="10">
        <f>IF(真實IC!CV21&gt;真實IC!CV$25,1,0)</f>
        <v>1</v>
      </c>
      <c r="CW21" s="10">
        <f>IF(真實IC!CW21&gt;真實IC!CW$25,1,0)</f>
        <v>1</v>
      </c>
      <c r="CX21" s="10">
        <f>IF(真實IC!CX21&gt;真實IC!CX$25,1,0)</f>
        <v>1</v>
      </c>
      <c r="CY21" s="10">
        <f>IF(真實IC!CY21&gt;真實IC!CY$25,1,0)</f>
        <v>1</v>
      </c>
      <c r="CZ21" s="10">
        <f>IF(真實IC!CZ21&gt;真實IC!CZ$25,1,0)</f>
        <v>1</v>
      </c>
      <c r="DA21" s="10">
        <f>IF(真實IC!DA21&gt;真實IC!DA$25,1,0)</f>
        <v>1</v>
      </c>
      <c r="DB21" s="10">
        <f>IF(真實IC!DB21&gt;真實IC!DB$25,1,0)</f>
        <v>1</v>
      </c>
      <c r="DC21" s="10">
        <f>IF(真實IC!DC21&gt;真實IC!DC$25,1,0)</f>
        <v>1</v>
      </c>
      <c r="DD21" s="10">
        <f>IF(真實IC!DD21&gt;真實IC!DD$25,1,0)</f>
        <v>1</v>
      </c>
      <c r="DE21" s="10">
        <f>IF(真實IC!DE21&gt;真實IC!DE$25,1,0)</f>
        <v>0</v>
      </c>
      <c r="DF21" s="10">
        <f>IF(真實IC!DF21&gt;真實IC!DF$25,1,0)</f>
        <v>1</v>
      </c>
      <c r="DG21" s="10">
        <f>IF(真實IC!DG21&gt;真實IC!DG$25,1,0)</f>
        <v>1</v>
      </c>
      <c r="DH21" s="10">
        <f>IF(真實IC!DH21&gt;真實IC!DH$25,1,0)</f>
        <v>0</v>
      </c>
      <c r="DI21" s="10">
        <f>IF(真實IC!DI21&gt;真實IC!DI$25,1,0)</f>
        <v>0</v>
      </c>
      <c r="DJ21" s="10">
        <f>IF(真實IC!DJ21&gt;真實IC!DJ$25,1,0)</f>
        <v>0</v>
      </c>
      <c r="DK21" s="10">
        <f>IF(真實IC!DK21&gt;真實IC!DK$25,1,0)</f>
        <v>0</v>
      </c>
      <c r="DL21" s="10">
        <f>IF(真實IC!DL21&gt;真實IC!DL$25,1,0)</f>
        <v>1</v>
      </c>
      <c r="DM21" s="10">
        <f>IF(真實IC!DM21&gt;真實IC!DM$25,1,0)</f>
        <v>1</v>
      </c>
      <c r="DN21" s="10">
        <f>IF(真實IC!DN21&gt;真實IC!DN$25,1,0)</f>
        <v>1</v>
      </c>
      <c r="DO21" s="10">
        <f>IF(真實IC!DO21&gt;真實IC!DO$25,1,0)</f>
        <v>1</v>
      </c>
      <c r="DP21" s="10">
        <f>IF(真實IC!DP21&gt;真實IC!DP$25,1,0)</f>
        <v>1</v>
      </c>
      <c r="DQ21" s="10">
        <f>IF(真實IC!DQ21&gt;真實IC!DQ$25,1,0)</f>
        <v>1</v>
      </c>
      <c r="DR21" s="10">
        <f>IF(真實IC!DR21&gt;真實IC!DR$25,1,0)</f>
        <v>1</v>
      </c>
      <c r="DS21" s="10">
        <f>IF(真實IC!DS21&gt;真實IC!DS$25,1,0)</f>
        <v>1</v>
      </c>
      <c r="DT21" s="10">
        <f>IF(真實IC!DT21&gt;真實IC!DT$25,1,0)</f>
        <v>0</v>
      </c>
      <c r="DU21" s="10">
        <f>IF(真實IC!DU21&gt;真實IC!DU$25,1,0)</f>
        <v>1</v>
      </c>
      <c r="DV21" s="10">
        <f>IF(真實IC!DV21&gt;真實IC!DV$25,1,0)</f>
        <v>1</v>
      </c>
      <c r="DW21" s="10">
        <f>IF(真實IC!DW21&gt;真實IC!DW$25,1,0)</f>
        <v>0</v>
      </c>
      <c r="DX21" s="10">
        <f>IF(真實IC!DX21&gt;真實IC!DX$25,1,0)</f>
        <v>0</v>
      </c>
      <c r="DY21" s="10">
        <f>IF(真實IC!DY21&gt;真實IC!DY$25,1,0)</f>
        <v>0</v>
      </c>
      <c r="DZ21" s="10">
        <f>IF(真實IC!DZ21&gt;真實IC!DZ$25,1,0)</f>
        <v>0</v>
      </c>
      <c r="EA21" s="10">
        <f>IF(真實IC!EA21&gt;真實IC!EA$25,1,0)</f>
        <v>0</v>
      </c>
      <c r="EB21" s="10">
        <f>IF(真實IC!EB21&gt;真實IC!EB$25,1,0)</f>
        <v>1</v>
      </c>
      <c r="EC21" s="10">
        <f>IF(真實IC!EC21&gt;真實IC!EC$25,1,0)</f>
        <v>0</v>
      </c>
      <c r="ED21" s="10">
        <f>IF(真實IC!ED21&gt;真實IC!ED$25,1,0)</f>
        <v>0</v>
      </c>
      <c r="EE21" s="10">
        <f>IF(真實IC!EE21&gt;真實IC!EE$25,1,0)</f>
        <v>0</v>
      </c>
      <c r="EF21" s="10">
        <f>IF(真實IC!EF21&gt;真實IC!EF$25,1,0)</f>
        <v>1</v>
      </c>
      <c r="EG21" s="10">
        <f>IF(真實IC!EG21&gt;真實IC!EG$25,1,0)</f>
        <v>1</v>
      </c>
      <c r="EH21" s="10">
        <f>IF(真實IC!EH21&gt;真實IC!EH$25,1,0)</f>
        <v>0</v>
      </c>
      <c r="EI21" s="10">
        <f>IF(真實IC!EI21&gt;真實IC!EI$25,1,0)</f>
        <v>0</v>
      </c>
      <c r="EJ21" s="10">
        <f>IF(真實IC!EJ21&gt;真實IC!EJ$25,1,0)</f>
        <v>0</v>
      </c>
      <c r="EK21" s="10">
        <f>IF(真實IC!EK21&gt;真實IC!EK$25,1,0)</f>
        <v>1</v>
      </c>
      <c r="EL21" s="10">
        <f>IF(真實IC!EL21&gt;真實IC!EL$25,1,0)</f>
        <v>1</v>
      </c>
      <c r="EM21" s="6">
        <f t="shared" si="11"/>
        <v>89</v>
      </c>
      <c r="EN21" s="12">
        <f t="shared" si="12"/>
        <v>0.63571428571428568</v>
      </c>
    </row>
    <row r="22" spans="1:144" x14ac:dyDescent="0.3">
      <c r="A22" s="11">
        <v>400</v>
      </c>
      <c r="B22" s="11">
        <f t="shared" si="10"/>
        <v>3</v>
      </c>
      <c r="C22" s="10">
        <f>IF(真實IC!C22&gt;真實IC!C$25,1,0)</f>
        <v>1</v>
      </c>
      <c r="D22" s="10">
        <f>IF(真實IC!D22&gt;真實IC!D$25,1,0)</f>
        <v>1</v>
      </c>
      <c r="E22" s="10">
        <f>IF(真實IC!E22&gt;真實IC!E$25,1,0)</f>
        <v>0</v>
      </c>
      <c r="F22" s="10">
        <f>IF(真實IC!F22&gt;真實IC!F$25,1,0)</f>
        <v>0</v>
      </c>
      <c r="G22" s="10">
        <f>IF(真實IC!G22&gt;真實IC!G$25,1,0)</f>
        <v>1</v>
      </c>
      <c r="H22" s="10">
        <f>IF(真實IC!H22&gt;真實IC!H$25,1,0)</f>
        <v>0</v>
      </c>
      <c r="I22" s="10">
        <f>IF(真實IC!I22&gt;真實IC!I$25,1,0)</f>
        <v>0</v>
      </c>
      <c r="J22" s="10">
        <f>IF(真實IC!J22&gt;真實IC!J$25,1,0)</f>
        <v>0</v>
      </c>
      <c r="K22" s="10">
        <f>IF(真實IC!K22&gt;真實IC!K$25,1,0)</f>
        <v>1</v>
      </c>
      <c r="L22" s="10">
        <f>IF(真實IC!L22&gt;真實IC!L$25,1,0)</f>
        <v>0</v>
      </c>
      <c r="M22" s="10">
        <f>IF(真實IC!M22&gt;真實IC!M$25,1,0)</f>
        <v>0</v>
      </c>
      <c r="N22" s="10">
        <f>IF(真實IC!N22&gt;真實IC!N$25,1,0)</f>
        <v>1</v>
      </c>
      <c r="O22" s="10">
        <f>IF(真實IC!O22&gt;真實IC!O$25,1,0)</f>
        <v>1</v>
      </c>
      <c r="P22" s="10">
        <f>IF(真實IC!P22&gt;真實IC!P$25,1,0)</f>
        <v>1</v>
      </c>
      <c r="Q22" s="10">
        <f>IF(真實IC!Q22&gt;真實IC!Q$25,1,0)</f>
        <v>1</v>
      </c>
      <c r="R22" s="10">
        <f>IF(真實IC!R22&gt;真實IC!R$25,1,0)</f>
        <v>1</v>
      </c>
      <c r="S22" s="10">
        <f>IF(真實IC!S22&gt;真實IC!S$25,1,0)</f>
        <v>1</v>
      </c>
      <c r="T22" s="10">
        <f>IF(真實IC!T22&gt;真實IC!T$25,1,0)</f>
        <v>1</v>
      </c>
      <c r="U22" s="10">
        <f>IF(真實IC!U22&gt;真實IC!U$25,1,0)</f>
        <v>0</v>
      </c>
      <c r="V22" s="10">
        <f>IF(真實IC!V22&gt;真實IC!V$25,1,0)</f>
        <v>1</v>
      </c>
      <c r="W22" s="10">
        <f>IF(真實IC!W22&gt;真實IC!W$25,1,0)</f>
        <v>1</v>
      </c>
      <c r="X22" s="10">
        <f>IF(真實IC!X22&gt;真實IC!X$25,1,0)</f>
        <v>1</v>
      </c>
      <c r="Y22" s="10">
        <f>IF(真實IC!Y22&gt;真實IC!Y$25,1,0)</f>
        <v>1</v>
      </c>
      <c r="Z22" s="10">
        <f>IF(真實IC!Z22&gt;真實IC!Z$25,1,0)</f>
        <v>1</v>
      </c>
      <c r="AA22" s="10">
        <f>IF(真實IC!AA22&gt;真實IC!AA$25,1,0)</f>
        <v>1</v>
      </c>
      <c r="AB22" s="10">
        <f>IF(真實IC!AB22&gt;真實IC!AB$25,1,0)</f>
        <v>1</v>
      </c>
      <c r="AC22" s="10">
        <f>IF(真實IC!AC22&gt;真實IC!AC$25,1,0)</f>
        <v>1</v>
      </c>
      <c r="AD22" s="10">
        <f>IF(真實IC!AD22&gt;真實IC!AD$25,1,0)</f>
        <v>0</v>
      </c>
      <c r="AE22" s="10">
        <f>IF(真實IC!AE22&gt;真實IC!AE$25,1,0)</f>
        <v>1</v>
      </c>
      <c r="AF22" s="10">
        <f>IF(真實IC!AF22&gt;真實IC!AF$25,1,0)</f>
        <v>1</v>
      </c>
      <c r="AG22" s="10">
        <f>IF(真實IC!AG22&gt;真實IC!AG$25,1,0)</f>
        <v>1</v>
      </c>
      <c r="AH22" s="10">
        <f>IF(真實IC!AH22&gt;真實IC!AH$25,1,0)</f>
        <v>1</v>
      </c>
      <c r="AI22" s="10">
        <f>IF(真實IC!AI22&gt;真實IC!AI$25,1,0)</f>
        <v>1</v>
      </c>
      <c r="AJ22" s="10">
        <f>IF(真實IC!AJ22&gt;真實IC!AJ$25,1,0)</f>
        <v>0</v>
      </c>
      <c r="AK22" s="10">
        <f>IF(真實IC!AK22&gt;真實IC!AK$25,1,0)</f>
        <v>0</v>
      </c>
      <c r="AL22" s="10">
        <f>IF(真實IC!AL22&gt;真實IC!AL$25,1,0)</f>
        <v>1</v>
      </c>
      <c r="AM22" s="10">
        <f>IF(真實IC!AM22&gt;真實IC!AM$25,1,0)</f>
        <v>1</v>
      </c>
      <c r="AN22" s="10">
        <f>IF(真實IC!AN22&gt;真實IC!AN$25,1,0)</f>
        <v>0</v>
      </c>
      <c r="AO22" s="10">
        <f>IF(真實IC!AO22&gt;真實IC!AO$25,1,0)</f>
        <v>1</v>
      </c>
      <c r="AP22" s="10">
        <f>IF(真實IC!AP22&gt;真實IC!AP$25,1,0)</f>
        <v>1</v>
      </c>
      <c r="AQ22" s="10">
        <f>IF(真實IC!AQ22&gt;真實IC!AQ$25,1,0)</f>
        <v>0</v>
      </c>
      <c r="AR22" s="10">
        <f>IF(真實IC!AR22&gt;真實IC!AR$25,1,0)</f>
        <v>0</v>
      </c>
      <c r="AS22" s="10">
        <f>IF(真實IC!AS22&gt;真實IC!AS$25,1,0)</f>
        <v>0</v>
      </c>
      <c r="AT22" s="10">
        <f>IF(真實IC!AT22&gt;真實IC!AT$25,1,0)</f>
        <v>1</v>
      </c>
      <c r="AU22" s="10">
        <f>IF(真實IC!AU22&gt;真實IC!AU$25,1,0)</f>
        <v>1</v>
      </c>
      <c r="AV22" s="10">
        <f>IF(真實IC!AV22&gt;真實IC!AV$25,1,0)</f>
        <v>1</v>
      </c>
      <c r="AW22" s="10">
        <f>IF(真實IC!AW22&gt;真實IC!AW$25,1,0)</f>
        <v>1</v>
      </c>
      <c r="AX22" s="10">
        <f>IF(真實IC!AX22&gt;真實IC!AX$25,1,0)</f>
        <v>0</v>
      </c>
      <c r="AY22" s="10">
        <f>IF(真實IC!AY22&gt;真實IC!AY$25,1,0)</f>
        <v>0</v>
      </c>
      <c r="AZ22" s="10">
        <f>IF(真實IC!AZ22&gt;真實IC!AZ$25,1,0)</f>
        <v>1</v>
      </c>
      <c r="BA22" s="10">
        <f>IF(真實IC!BA22&gt;真實IC!BA$25,1,0)</f>
        <v>1</v>
      </c>
      <c r="BB22" s="10">
        <f>IF(真實IC!BB22&gt;真實IC!BB$25,1,0)</f>
        <v>1</v>
      </c>
      <c r="BC22" s="10">
        <f>IF(真實IC!BC22&gt;真實IC!BC$25,1,0)</f>
        <v>1</v>
      </c>
      <c r="BD22" s="10">
        <f>IF(真實IC!BD22&gt;真實IC!BD$25,1,0)</f>
        <v>1</v>
      </c>
      <c r="BE22" s="10">
        <f>IF(真實IC!BE22&gt;真實IC!BE$25,1,0)</f>
        <v>1</v>
      </c>
      <c r="BF22" s="10">
        <f>IF(真實IC!BF22&gt;真實IC!BF$25,1,0)</f>
        <v>1</v>
      </c>
      <c r="BG22" s="10">
        <f>IF(真實IC!BG22&gt;真實IC!BG$25,1,0)</f>
        <v>0</v>
      </c>
      <c r="BH22" s="10">
        <f>IF(真實IC!BH22&gt;真實IC!BH$25,1,0)</f>
        <v>1</v>
      </c>
      <c r="BI22" s="10">
        <f>IF(真實IC!BI22&gt;真實IC!BI$25,1,0)</f>
        <v>0</v>
      </c>
      <c r="BJ22" s="10">
        <f>IF(真實IC!BJ22&gt;真實IC!BJ$25,1,0)</f>
        <v>1</v>
      </c>
      <c r="BK22" s="10">
        <f>IF(真實IC!BK22&gt;真實IC!BK$25,1,0)</f>
        <v>0</v>
      </c>
      <c r="BL22" s="10">
        <f>IF(真實IC!BL22&gt;真實IC!BL$25,1,0)</f>
        <v>1</v>
      </c>
      <c r="BM22" s="10">
        <f>IF(真實IC!BM22&gt;真實IC!BM$25,1,0)</f>
        <v>0</v>
      </c>
      <c r="BN22" s="10">
        <f>IF(真實IC!BN22&gt;真實IC!BN$25,1,0)</f>
        <v>0</v>
      </c>
      <c r="BO22" s="10">
        <f>IF(真實IC!BO22&gt;真實IC!BO$25,1,0)</f>
        <v>1</v>
      </c>
      <c r="BP22" s="10">
        <f>IF(真實IC!BP22&gt;真實IC!BP$25,1,0)</f>
        <v>1</v>
      </c>
      <c r="BQ22" s="10">
        <f>IF(真實IC!BQ22&gt;真實IC!BQ$25,1,0)</f>
        <v>0</v>
      </c>
      <c r="BR22" s="10">
        <f>IF(真實IC!BR22&gt;真實IC!BR$25,1,0)</f>
        <v>1</v>
      </c>
      <c r="BS22" s="10">
        <f>IF(真實IC!BS22&gt;真實IC!BS$25,1,0)</f>
        <v>1</v>
      </c>
      <c r="BT22" s="10">
        <f>IF(真實IC!BT22&gt;真實IC!BT$25,1,0)</f>
        <v>1</v>
      </c>
      <c r="BU22" s="10">
        <f>IF(真實IC!BU22&gt;真實IC!BU$25,1,0)</f>
        <v>0</v>
      </c>
      <c r="BV22" s="10">
        <f>IF(真實IC!BV22&gt;真實IC!BV$25,1,0)</f>
        <v>0</v>
      </c>
      <c r="BW22" s="10">
        <f>IF(真實IC!BW22&gt;真實IC!BW$25,1,0)</f>
        <v>1</v>
      </c>
      <c r="BX22" s="10">
        <f>IF(真實IC!BX22&gt;真實IC!BX$25,1,0)</f>
        <v>0</v>
      </c>
      <c r="BY22" s="10">
        <f>IF(真實IC!BY22&gt;真實IC!BY$25,1,0)</f>
        <v>0</v>
      </c>
      <c r="BZ22" s="10">
        <f>IF(真實IC!BZ22&gt;真實IC!BZ$25,1,0)</f>
        <v>0</v>
      </c>
      <c r="CA22" s="10">
        <f>IF(真實IC!CA22&gt;真實IC!CA$25,1,0)</f>
        <v>1</v>
      </c>
      <c r="CB22" s="10">
        <f>IF(真實IC!CB22&gt;真實IC!CB$25,1,0)</f>
        <v>0</v>
      </c>
      <c r="CC22" s="10">
        <f>IF(真實IC!CC22&gt;真實IC!CC$25,1,0)</f>
        <v>1</v>
      </c>
      <c r="CD22" s="10">
        <f>IF(真實IC!CD22&gt;真實IC!CD$25,1,0)</f>
        <v>0</v>
      </c>
      <c r="CE22" s="10">
        <f>IF(真實IC!CE22&gt;真實IC!CE$25,1,0)</f>
        <v>1</v>
      </c>
      <c r="CF22" s="10">
        <f>IF(真實IC!CF22&gt;真實IC!CF$25,1,0)</f>
        <v>1</v>
      </c>
      <c r="CG22" s="10">
        <f>IF(真實IC!CG22&gt;真實IC!CG$25,1,0)</f>
        <v>1</v>
      </c>
      <c r="CH22" s="10">
        <f>IF(真實IC!CH22&gt;真實IC!CH$25,1,0)</f>
        <v>1</v>
      </c>
      <c r="CI22" s="10">
        <f>IF(真實IC!CI22&gt;真實IC!CI$25,1,0)</f>
        <v>1</v>
      </c>
      <c r="CJ22" s="10">
        <f>IF(真實IC!CJ22&gt;真實IC!CJ$25,1,0)</f>
        <v>0</v>
      </c>
      <c r="CK22" s="10">
        <f>IF(真實IC!CK22&gt;真實IC!CK$25,1,0)</f>
        <v>1</v>
      </c>
      <c r="CL22" s="10">
        <f>IF(真實IC!CL22&gt;真實IC!CL$25,1,0)</f>
        <v>0</v>
      </c>
      <c r="CM22" s="10">
        <f>IF(真實IC!CM22&gt;真實IC!CM$25,1,0)</f>
        <v>0</v>
      </c>
      <c r="CN22" s="10">
        <f>IF(真實IC!CN22&gt;真實IC!CN$25,1,0)</f>
        <v>1</v>
      </c>
      <c r="CO22" s="10">
        <f>IF(真實IC!CO22&gt;真實IC!CO$25,1,0)</f>
        <v>1</v>
      </c>
      <c r="CP22" s="10">
        <f>IF(真實IC!CP22&gt;真實IC!CP$25,1,0)</f>
        <v>0</v>
      </c>
      <c r="CQ22" s="10">
        <f>IF(真實IC!CQ22&gt;真實IC!CQ$25,1,0)</f>
        <v>1</v>
      </c>
      <c r="CR22" s="10">
        <f>IF(真實IC!CR22&gt;真實IC!CR$25,1,0)</f>
        <v>1</v>
      </c>
      <c r="CS22" s="10">
        <f>IF(真實IC!CS22&gt;真實IC!CS$25,1,0)</f>
        <v>0</v>
      </c>
      <c r="CT22" s="10">
        <f>IF(真實IC!CT22&gt;真實IC!CT$25,1,0)</f>
        <v>0</v>
      </c>
      <c r="CU22" s="10">
        <f>IF(真實IC!CU22&gt;真實IC!CU$25,1,0)</f>
        <v>1</v>
      </c>
      <c r="CV22" s="10">
        <f>IF(真實IC!CV22&gt;真實IC!CV$25,1,0)</f>
        <v>1</v>
      </c>
      <c r="CW22" s="10">
        <f>IF(真實IC!CW22&gt;真實IC!CW$25,1,0)</f>
        <v>0</v>
      </c>
      <c r="CX22" s="10">
        <f>IF(真實IC!CX22&gt;真實IC!CX$25,1,0)</f>
        <v>1</v>
      </c>
      <c r="CY22" s="10">
        <f>IF(真實IC!CY22&gt;真實IC!CY$25,1,0)</f>
        <v>1</v>
      </c>
      <c r="CZ22" s="10">
        <f>IF(真實IC!CZ22&gt;真實IC!CZ$25,1,0)</f>
        <v>1</v>
      </c>
      <c r="DA22" s="10">
        <f>IF(真實IC!DA22&gt;真實IC!DA$25,1,0)</f>
        <v>1</v>
      </c>
      <c r="DB22" s="10">
        <f>IF(真實IC!DB22&gt;真實IC!DB$25,1,0)</f>
        <v>1</v>
      </c>
      <c r="DC22" s="10">
        <f>IF(真實IC!DC22&gt;真實IC!DC$25,1,0)</f>
        <v>1</v>
      </c>
      <c r="DD22" s="10">
        <f>IF(真實IC!DD22&gt;真實IC!DD$25,1,0)</f>
        <v>1</v>
      </c>
      <c r="DE22" s="10">
        <f>IF(真實IC!DE22&gt;真實IC!DE$25,1,0)</f>
        <v>0</v>
      </c>
      <c r="DF22" s="10">
        <f>IF(真實IC!DF22&gt;真實IC!DF$25,1,0)</f>
        <v>1</v>
      </c>
      <c r="DG22" s="10">
        <f>IF(真實IC!DG22&gt;真實IC!DG$25,1,0)</f>
        <v>1</v>
      </c>
      <c r="DH22" s="10">
        <f>IF(真實IC!DH22&gt;真實IC!DH$25,1,0)</f>
        <v>0</v>
      </c>
      <c r="DI22" s="10">
        <f>IF(真實IC!DI22&gt;真實IC!DI$25,1,0)</f>
        <v>0</v>
      </c>
      <c r="DJ22" s="10">
        <f>IF(真實IC!DJ22&gt;真實IC!DJ$25,1,0)</f>
        <v>1</v>
      </c>
      <c r="DK22" s="10">
        <f>IF(真實IC!DK22&gt;真實IC!DK$25,1,0)</f>
        <v>0</v>
      </c>
      <c r="DL22" s="10">
        <f>IF(真實IC!DL22&gt;真實IC!DL$25,1,0)</f>
        <v>1</v>
      </c>
      <c r="DM22" s="10">
        <f>IF(真實IC!DM22&gt;真實IC!DM$25,1,0)</f>
        <v>1</v>
      </c>
      <c r="DN22" s="10">
        <f>IF(真實IC!DN22&gt;真實IC!DN$25,1,0)</f>
        <v>1</v>
      </c>
      <c r="DO22" s="10">
        <f>IF(真實IC!DO22&gt;真實IC!DO$25,1,0)</f>
        <v>0</v>
      </c>
      <c r="DP22" s="10">
        <f>IF(真實IC!DP22&gt;真實IC!DP$25,1,0)</f>
        <v>1</v>
      </c>
      <c r="DQ22" s="10">
        <f>IF(真實IC!DQ22&gt;真實IC!DQ$25,1,0)</f>
        <v>1</v>
      </c>
      <c r="DR22" s="10">
        <f>IF(真實IC!DR22&gt;真實IC!DR$25,1,0)</f>
        <v>1</v>
      </c>
      <c r="DS22" s="10">
        <f>IF(真實IC!DS22&gt;真實IC!DS$25,1,0)</f>
        <v>1</v>
      </c>
      <c r="DT22" s="10">
        <f>IF(真實IC!DT22&gt;真實IC!DT$25,1,0)</f>
        <v>0</v>
      </c>
      <c r="DU22" s="10">
        <f>IF(真實IC!DU22&gt;真實IC!DU$25,1,0)</f>
        <v>1</v>
      </c>
      <c r="DV22" s="10">
        <f>IF(真實IC!DV22&gt;真實IC!DV$25,1,0)</f>
        <v>1</v>
      </c>
      <c r="DW22" s="10">
        <f>IF(真實IC!DW22&gt;真實IC!DW$25,1,0)</f>
        <v>0</v>
      </c>
      <c r="DX22" s="10">
        <f>IF(真實IC!DX22&gt;真實IC!DX$25,1,0)</f>
        <v>0</v>
      </c>
      <c r="DY22" s="10">
        <f>IF(真實IC!DY22&gt;真實IC!DY$25,1,0)</f>
        <v>0</v>
      </c>
      <c r="DZ22" s="10">
        <f>IF(真實IC!DZ22&gt;真實IC!DZ$25,1,0)</f>
        <v>0</v>
      </c>
      <c r="EA22" s="10">
        <f>IF(真實IC!EA22&gt;真實IC!EA$25,1,0)</f>
        <v>0</v>
      </c>
      <c r="EB22" s="10">
        <f>IF(真實IC!EB22&gt;真實IC!EB$25,1,0)</f>
        <v>1</v>
      </c>
      <c r="EC22" s="10">
        <f>IF(真實IC!EC22&gt;真實IC!EC$25,1,0)</f>
        <v>1</v>
      </c>
      <c r="ED22" s="10">
        <f>IF(真實IC!ED22&gt;真實IC!ED$25,1,0)</f>
        <v>0</v>
      </c>
      <c r="EE22" s="10">
        <f>IF(真實IC!EE22&gt;真實IC!EE$25,1,0)</f>
        <v>0</v>
      </c>
      <c r="EF22" s="10">
        <f>IF(真實IC!EF22&gt;真實IC!EF$25,1,0)</f>
        <v>1</v>
      </c>
      <c r="EG22" s="10">
        <f>IF(真實IC!EG22&gt;真實IC!EG$25,1,0)</f>
        <v>1</v>
      </c>
      <c r="EH22" s="10">
        <f>IF(真實IC!EH22&gt;真實IC!EH$25,1,0)</f>
        <v>1</v>
      </c>
      <c r="EI22" s="10">
        <f>IF(真實IC!EI22&gt;真實IC!EI$25,1,0)</f>
        <v>0</v>
      </c>
      <c r="EJ22" s="10">
        <f>IF(真實IC!EJ22&gt;真實IC!EJ$25,1,0)</f>
        <v>1</v>
      </c>
      <c r="EK22" s="10">
        <f>IF(真實IC!EK22&gt;真實IC!EK$25,1,0)</f>
        <v>1</v>
      </c>
      <c r="EL22" s="10">
        <f>IF(真實IC!EL22&gt;真實IC!EL$25,1,0)</f>
        <v>1</v>
      </c>
      <c r="EM22" s="6">
        <f t="shared" si="11"/>
        <v>89</v>
      </c>
      <c r="EN22" s="12">
        <f t="shared" si="12"/>
        <v>0.63571428571428568</v>
      </c>
    </row>
    <row r="23" spans="1:144" x14ac:dyDescent="0.3">
      <c r="A23" s="11">
        <v>512</v>
      </c>
      <c r="B23" s="11">
        <f t="shared" si="10"/>
        <v>2</v>
      </c>
      <c r="C23" s="10">
        <f>IF(真實IC!C23&gt;真實IC!C$25,1,0)</f>
        <v>1</v>
      </c>
      <c r="D23" s="10">
        <f>IF(真實IC!D23&gt;真實IC!D$25,1,0)</f>
        <v>1</v>
      </c>
      <c r="E23" s="10">
        <f>IF(真實IC!E23&gt;真實IC!E$25,1,0)</f>
        <v>0</v>
      </c>
      <c r="F23" s="10">
        <f>IF(真實IC!F23&gt;真實IC!F$25,1,0)</f>
        <v>0</v>
      </c>
      <c r="G23" s="10">
        <f>IF(真實IC!G23&gt;真實IC!G$25,1,0)</f>
        <v>0</v>
      </c>
      <c r="H23" s="10">
        <f>IF(真實IC!H23&gt;真實IC!H$25,1,0)</f>
        <v>0</v>
      </c>
      <c r="I23" s="10">
        <f>IF(真實IC!I23&gt;真實IC!I$25,1,0)</f>
        <v>0</v>
      </c>
      <c r="J23" s="10">
        <f>IF(真實IC!J23&gt;真實IC!J$25,1,0)</f>
        <v>0</v>
      </c>
      <c r="K23" s="10">
        <f>IF(真實IC!K23&gt;真實IC!K$25,1,0)</f>
        <v>1</v>
      </c>
      <c r="L23" s="10">
        <f>IF(真實IC!L23&gt;真實IC!L$25,1,0)</f>
        <v>0</v>
      </c>
      <c r="M23" s="10">
        <f>IF(真實IC!M23&gt;真實IC!M$25,1,0)</f>
        <v>0</v>
      </c>
      <c r="N23" s="10">
        <f>IF(真實IC!N23&gt;真實IC!N$25,1,0)</f>
        <v>1</v>
      </c>
      <c r="O23" s="10">
        <f>IF(真實IC!O23&gt;真實IC!O$25,1,0)</f>
        <v>0</v>
      </c>
      <c r="P23" s="10">
        <f>IF(真實IC!P23&gt;真實IC!P$25,1,0)</f>
        <v>1</v>
      </c>
      <c r="Q23" s="10">
        <f>IF(真實IC!Q23&gt;真實IC!Q$25,1,0)</f>
        <v>1</v>
      </c>
      <c r="R23" s="10">
        <f>IF(真實IC!R23&gt;真實IC!R$25,1,0)</f>
        <v>1</v>
      </c>
      <c r="S23" s="10">
        <f>IF(真實IC!S23&gt;真實IC!S$25,1,0)</f>
        <v>1</v>
      </c>
      <c r="T23" s="10">
        <f>IF(真實IC!T23&gt;真實IC!T$25,1,0)</f>
        <v>1</v>
      </c>
      <c r="U23" s="10">
        <f>IF(真實IC!U23&gt;真實IC!U$25,1,0)</f>
        <v>0</v>
      </c>
      <c r="V23" s="10">
        <f>IF(真實IC!V23&gt;真實IC!V$25,1,0)</f>
        <v>1</v>
      </c>
      <c r="W23" s="10">
        <f>IF(真實IC!W23&gt;真實IC!W$25,1,0)</f>
        <v>1</v>
      </c>
      <c r="X23" s="10">
        <f>IF(真實IC!X23&gt;真實IC!X$25,1,0)</f>
        <v>1</v>
      </c>
      <c r="Y23" s="10">
        <f>IF(真實IC!Y23&gt;真實IC!Y$25,1,0)</f>
        <v>1</v>
      </c>
      <c r="Z23" s="10">
        <f>IF(真實IC!Z23&gt;真實IC!Z$25,1,0)</f>
        <v>1</v>
      </c>
      <c r="AA23" s="10">
        <f>IF(真實IC!AA23&gt;真實IC!AA$25,1,0)</f>
        <v>1</v>
      </c>
      <c r="AB23" s="10">
        <f>IF(真實IC!AB23&gt;真實IC!AB$25,1,0)</f>
        <v>1</v>
      </c>
      <c r="AC23" s="10">
        <f>IF(真實IC!AC23&gt;真實IC!AC$25,1,0)</f>
        <v>1</v>
      </c>
      <c r="AD23" s="10">
        <f>IF(真實IC!AD23&gt;真實IC!AD$25,1,0)</f>
        <v>1</v>
      </c>
      <c r="AE23" s="10">
        <f>IF(真實IC!AE23&gt;真實IC!AE$25,1,0)</f>
        <v>1</v>
      </c>
      <c r="AF23" s="10">
        <f>IF(真實IC!AF23&gt;真實IC!AF$25,1,0)</f>
        <v>1</v>
      </c>
      <c r="AG23" s="10">
        <f>IF(真實IC!AG23&gt;真實IC!AG$25,1,0)</f>
        <v>1</v>
      </c>
      <c r="AH23" s="10">
        <f>IF(真實IC!AH23&gt;真實IC!AH$25,1,0)</f>
        <v>1</v>
      </c>
      <c r="AI23" s="10">
        <f>IF(真實IC!AI23&gt;真實IC!AI$25,1,0)</f>
        <v>1</v>
      </c>
      <c r="AJ23" s="10">
        <f>IF(真實IC!AJ23&gt;真實IC!AJ$25,1,0)</f>
        <v>0</v>
      </c>
      <c r="AK23" s="10">
        <f>IF(真實IC!AK23&gt;真實IC!AK$25,1,0)</f>
        <v>0</v>
      </c>
      <c r="AL23" s="10">
        <f>IF(真實IC!AL23&gt;真實IC!AL$25,1,0)</f>
        <v>1</v>
      </c>
      <c r="AM23" s="10">
        <f>IF(真實IC!AM23&gt;真實IC!AM$25,1,0)</f>
        <v>0</v>
      </c>
      <c r="AN23" s="10">
        <f>IF(真實IC!AN23&gt;真實IC!AN$25,1,0)</f>
        <v>1</v>
      </c>
      <c r="AO23" s="10">
        <f>IF(真實IC!AO23&gt;真實IC!AO$25,1,0)</f>
        <v>1</v>
      </c>
      <c r="AP23" s="10">
        <f>IF(真實IC!AP23&gt;真實IC!AP$25,1,0)</f>
        <v>0</v>
      </c>
      <c r="AQ23" s="10">
        <f>IF(真實IC!AQ23&gt;真實IC!AQ$25,1,0)</f>
        <v>0</v>
      </c>
      <c r="AR23" s="10">
        <f>IF(真實IC!AR23&gt;真實IC!AR$25,1,0)</f>
        <v>0</v>
      </c>
      <c r="AS23" s="10">
        <f>IF(真實IC!AS23&gt;真實IC!AS$25,1,0)</f>
        <v>0</v>
      </c>
      <c r="AT23" s="10">
        <f>IF(真實IC!AT23&gt;真實IC!AT$25,1,0)</f>
        <v>1</v>
      </c>
      <c r="AU23" s="10">
        <f>IF(真實IC!AU23&gt;真實IC!AU$25,1,0)</f>
        <v>1</v>
      </c>
      <c r="AV23" s="10">
        <f>IF(真實IC!AV23&gt;真實IC!AV$25,1,0)</f>
        <v>1</v>
      </c>
      <c r="AW23" s="10">
        <f>IF(真實IC!AW23&gt;真實IC!AW$25,1,0)</f>
        <v>1</v>
      </c>
      <c r="AX23" s="10">
        <f>IF(真實IC!AX23&gt;真實IC!AX$25,1,0)</f>
        <v>0</v>
      </c>
      <c r="AY23" s="10">
        <f>IF(真實IC!AY23&gt;真實IC!AY$25,1,0)</f>
        <v>0</v>
      </c>
      <c r="AZ23" s="10">
        <f>IF(真實IC!AZ23&gt;真實IC!AZ$25,1,0)</f>
        <v>1</v>
      </c>
      <c r="BA23" s="10">
        <f>IF(真實IC!BA23&gt;真實IC!BA$25,1,0)</f>
        <v>0</v>
      </c>
      <c r="BB23" s="10">
        <f>IF(真實IC!BB23&gt;真實IC!BB$25,1,0)</f>
        <v>1</v>
      </c>
      <c r="BC23" s="10">
        <f>IF(真實IC!BC23&gt;真實IC!BC$25,1,0)</f>
        <v>0</v>
      </c>
      <c r="BD23" s="10">
        <f>IF(真實IC!BD23&gt;真實IC!BD$25,1,0)</f>
        <v>1</v>
      </c>
      <c r="BE23" s="10">
        <f>IF(真實IC!BE23&gt;真實IC!BE$25,1,0)</f>
        <v>1</v>
      </c>
      <c r="BF23" s="10">
        <f>IF(真實IC!BF23&gt;真實IC!BF$25,1,0)</f>
        <v>1</v>
      </c>
      <c r="BG23" s="10">
        <f>IF(真實IC!BG23&gt;真實IC!BG$25,1,0)</f>
        <v>0</v>
      </c>
      <c r="BH23" s="10">
        <f>IF(真實IC!BH23&gt;真實IC!BH$25,1,0)</f>
        <v>1</v>
      </c>
      <c r="BI23" s="10">
        <f>IF(真實IC!BI23&gt;真實IC!BI$25,1,0)</f>
        <v>1</v>
      </c>
      <c r="BJ23" s="10">
        <f>IF(真實IC!BJ23&gt;真實IC!BJ$25,1,0)</f>
        <v>1</v>
      </c>
      <c r="BK23" s="10">
        <f>IF(真實IC!BK23&gt;真實IC!BK$25,1,0)</f>
        <v>0</v>
      </c>
      <c r="BL23" s="10">
        <f>IF(真實IC!BL23&gt;真實IC!BL$25,1,0)</f>
        <v>1</v>
      </c>
      <c r="BM23" s="10">
        <f>IF(真實IC!BM23&gt;真實IC!BM$25,1,0)</f>
        <v>0</v>
      </c>
      <c r="BN23" s="10">
        <f>IF(真實IC!BN23&gt;真實IC!BN$25,1,0)</f>
        <v>0</v>
      </c>
      <c r="BO23" s="10">
        <f>IF(真實IC!BO23&gt;真實IC!BO$25,1,0)</f>
        <v>0</v>
      </c>
      <c r="BP23" s="10">
        <f>IF(真實IC!BP23&gt;真實IC!BP$25,1,0)</f>
        <v>1</v>
      </c>
      <c r="BQ23" s="10">
        <f>IF(真實IC!BQ23&gt;真實IC!BQ$25,1,0)</f>
        <v>1</v>
      </c>
      <c r="BR23" s="10">
        <f>IF(真實IC!BR23&gt;真實IC!BR$25,1,0)</f>
        <v>1</v>
      </c>
      <c r="BS23" s="10">
        <f>IF(真實IC!BS23&gt;真實IC!BS$25,1,0)</f>
        <v>0</v>
      </c>
      <c r="BT23" s="10">
        <f>IF(真實IC!BT23&gt;真實IC!BT$25,1,0)</f>
        <v>1</v>
      </c>
      <c r="BU23" s="10">
        <f>IF(真實IC!BU23&gt;真實IC!BU$25,1,0)</f>
        <v>0</v>
      </c>
      <c r="BV23" s="10">
        <f>IF(真實IC!BV23&gt;真實IC!BV$25,1,0)</f>
        <v>0</v>
      </c>
      <c r="BW23" s="10">
        <f>IF(真實IC!BW23&gt;真實IC!BW$25,1,0)</f>
        <v>1</v>
      </c>
      <c r="BX23" s="10">
        <f>IF(真實IC!BX23&gt;真實IC!BX$25,1,0)</f>
        <v>0</v>
      </c>
      <c r="BY23" s="10">
        <f>IF(真實IC!BY23&gt;真實IC!BY$25,1,0)</f>
        <v>0</v>
      </c>
      <c r="BZ23" s="10">
        <f>IF(真實IC!BZ23&gt;真實IC!BZ$25,1,0)</f>
        <v>0</v>
      </c>
      <c r="CA23" s="10">
        <f>IF(真實IC!CA23&gt;真實IC!CA$25,1,0)</f>
        <v>1</v>
      </c>
      <c r="CB23" s="10">
        <f>IF(真實IC!CB23&gt;真實IC!CB$25,1,0)</f>
        <v>1</v>
      </c>
      <c r="CC23" s="10">
        <f>IF(真實IC!CC23&gt;真實IC!CC$25,1,0)</f>
        <v>1</v>
      </c>
      <c r="CD23" s="10">
        <f>IF(真實IC!CD23&gt;真實IC!CD$25,1,0)</f>
        <v>0</v>
      </c>
      <c r="CE23" s="10">
        <f>IF(真實IC!CE23&gt;真實IC!CE$25,1,0)</f>
        <v>1</v>
      </c>
      <c r="CF23" s="10">
        <f>IF(真實IC!CF23&gt;真實IC!CF$25,1,0)</f>
        <v>1</v>
      </c>
      <c r="CG23" s="10">
        <f>IF(真實IC!CG23&gt;真實IC!CG$25,1,0)</f>
        <v>1</v>
      </c>
      <c r="CH23" s="10">
        <f>IF(真實IC!CH23&gt;真實IC!CH$25,1,0)</f>
        <v>1</v>
      </c>
      <c r="CI23" s="10">
        <f>IF(真實IC!CI23&gt;真實IC!CI$25,1,0)</f>
        <v>1</v>
      </c>
      <c r="CJ23" s="10">
        <f>IF(真實IC!CJ23&gt;真實IC!CJ$25,1,0)</f>
        <v>0</v>
      </c>
      <c r="CK23" s="10">
        <f>IF(真實IC!CK23&gt;真實IC!CK$25,1,0)</f>
        <v>1</v>
      </c>
      <c r="CL23" s="10">
        <f>IF(真實IC!CL23&gt;真實IC!CL$25,1,0)</f>
        <v>0</v>
      </c>
      <c r="CM23" s="10">
        <f>IF(真實IC!CM23&gt;真實IC!CM$25,1,0)</f>
        <v>0</v>
      </c>
      <c r="CN23" s="10">
        <f>IF(真實IC!CN23&gt;真實IC!CN$25,1,0)</f>
        <v>1</v>
      </c>
      <c r="CO23" s="10">
        <f>IF(真實IC!CO23&gt;真實IC!CO$25,1,0)</f>
        <v>1</v>
      </c>
      <c r="CP23" s="10">
        <f>IF(真實IC!CP23&gt;真實IC!CP$25,1,0)</f>
        <v>0</v>
      </c>
      <c r="CQ23" s="10">
        <f>IF(真實IC!CQ23&gt;真實IC!CQ$25,1,0)</f>
        <v>1</v>
      </c>
      <c r="CR23" s="10">
        <f>IF(真實IC!CR23&gt;真實IC!CR$25,1,0)</f>
        <v>1</v>
      </c>
      <c r="CS23" s="10">
        <f>IF(真實IC!CS23&gt;真實IC!CS$25,1,0)</f>
        <v>0</v>
      </c>
      <c r="CT23" s="10">
        <f>IF(真實IC!CT23&gt;真實IC!CT$25,1,0)</f>
        <v>0</v>
      </c>
      <c r="CU23" s="10">
        <f>IF(真實IC!CU23&gt;真實IC!CU$25,1,0)</f>
        <v>1</v>
      </c>
      <c r="CV23" s="10">
        <f>IF(真實IC!CV23&gt;真實IC!CV$25,1,0)</f>
        <v>1</v>
      </c>
      <c r="CW23" s="10">
        <f>IF(真實IC!CW23&gt;真實IC!CW$25,1,0)</f>
        <v>0</v>
      </c>
      <c r="CX23" s="10">
        <f>IF(真實IC!CX23&gt;真實IC!CX$25,1,0)</f>
        <v>1</v>
      </c>
      <c r="CY23" s="10">
        <f>IF(真實IC!CY23&gt;真實IC!CY$25,1,0)</f>
        <v>1</v>
      </c>
      <c r="CZ23" s="10">
        <f>IF(真實IC!CZ23&gt;真實IC!CZ$25,1,0)</f>
        <v>1</v>
      </c>
      <c r="DA23" s="10">
        <f>IF(真實IC!DA23&gt;真實IC!DA$25,1,0)</f>
        <v>1</v>
      </c>
      <c r="DB23" s="10">
        <f>IF(真實IC!DB23&gt;真實IC!DB$25,1,0)</f>
        <v>1</v>
      </c>
      <c r="DC23" s="10">
        <f>IF(真實IC!DC23&gt;真實IC!DC$25,1,0)</f>
        <v>1</v>
      </c>
      <c r="DD23" s="10">
        <f>IF(真實IC!DD23&gt;真實IC!DD$25,1,0)</f>
        <v>1</v>
      </c>
      <c r="DE23" s="10">
        <f>IF(真實IC!DE23&gt;真實IC!DE$25,1,0)</f>
        <v>0</v>
      </c>
      <c r="DF23" s="10">
        <f>IF(真實IC!DF23&gt;真實IC!DF$25,1,0)</f>
        <v>0</v>
      </c>
      <c r="DG23" s="10">
        <f>IF(真實IC!DG23&gt;真實IC!DG$25,1,0)</f>
        <v>1</v>
      </c>
      <c r="DH23" s="10">
        <f>IF(真實IC!DH23&gt;真實IC!DH$25,1,0)</f>
        <v>0</v>
      </c>
      <c r="DI23" s="10">
        <f>IF(真實IC!DI23&gt;真實IC!DI$25,1,0)</f>
        <v>1</v>
      </c>
      <c r="DJ23" s="10">
        <f>IF(真實IC!DJ23&gt;真實IC!DJ$25,1,0)</f>
        <v>1</v>
      </c>
      <c r="DK23" s="10">
        <f>IF(真實IC!DK23&gt;真實IC!DK$25,1,0)</f>
        <v>0</v>
      </c>
      <c r="DL23" s="10">
        <f>IF(真實IC!DL23&gt;真實IC!DL$25,1,0)</f>
        <v>1</v>
      </c>
      <c r="DM23" s="10">
        <f>IF(真實IC!DM23&gt;真實IC!DM$25,1,0)</f>
        <v>0</v>
      </c>
      <c r="DN23" s="10">
        <f>IF(真實IC!DN23&gt;真實IC!DN$25,1,0)</f>
        <v>1</v>
      </c>
      <c r="DO23" s="10">
        <f>IF(真實IC!DO23&gt;真實IC!DO$25,1,0)</f>
        <v>0</v>
      </c>
      <c r="DP23" s="10">
        <f>IF(真實IC!DP23&gt;真實IC!DP$25,1,0)</f>
        <v>1</v>
      </c>
      <c r="DQ23" s="10">
        <f>IF(真實IC!DQ23&gt;真實IC!DQ$25,1,0)</f>
        <v>1</v>
      </c>
      <c r="DR23" s="10">
        <f>IF(真實IC!DR23&gt;真實IC!DR$25,1,0)</f>
        <v>1</v>
      </c>
      <c r="DS23" s="10">
        <f>IF(真實IC!DS23&gt;真實IC!DS$25,1,0)</f>
        <v>1</v>
      </c>
      <c r="DT23" s="10">
        <f>IF(真實IC!DT23&gt;真實IC!DT$25,1,0)</f>
        <v>1</v>
      </c>
      <c r="DU23" s="10">
        <f>IF(真實IC!DU23&gt;真實IC!DU$25,1,0)</f>
        <v>1</v>
      </c>
      <c r="DV23" s="10">
        <f>IF(真實IC!DV23&gt;真實IC!DV$25,1,0)</f>
        <v>0</v>
      </c>
      <c r="DW23" s="10">
        <f>IF(真實IC!DW23&gt;真實IC!DW$25,1,0)</f>
        <v>1</v>
      </c>
      <c r="DX23" s="10">
        <f>IF(真實IC!DX23&gt;真實IC!DX$25,1,0)</f>
        <v>0</v>
      </c>
      <c r="DY23" s="10">
        <f>IF(真實IC!DY23&gt;真實IC!DY$25,1,0)</f>
        <v>0</v>
      </c>
      <c r="DZ23" s="10">
        <f>IF(真實IC!DZ23&gt;真實IC!DZ$25,1,0)</f>
        <v>0</v>
      </c>
      <c r="EA23" s="10">
        <f>IF(真實IC!EA23&gt;真實IC!EA$25,1,0)</f>
        <v>0</v>
      </c>
      <c r="EB23" s="10">
        <f>IF(真實IC!EB23&gt;真實IC!EB$25,1,0)</f>
        <v>1</v>
      </c>
      <c r="EC23" s="10">
        <f>IF(真實IC!EC23&gt;真實IC!EC$25,1,0)</f>
        <v>1</v>
      </c>
      <c r="ED23" s="10">
        <f>IF(真實IC!ED23&gt;真實IC!ED$25,1,0)</f>
        <v>0</v>
      </c>
      <c r="EE23" s="10">
        <f>IF(真實IC!EE23&gt;真實IC!EE$25,1,0)</f>
        <v>0</v>
      </c>
      <c r="EF23" s="10">
        <f>IF(真實IC!EF23&gt;真實IC!EF$25,1,0)</f>
        <v>1</v>
      </c>
      <c r="EG23" s="10">
        <f>IF(真實IC!EG23&gt;真實IC!EG$25,1,0)</f>
        <v>1</v>
      </c>
      <c r="EH23" s="10">
        <f>IF(真實IC!EH23&gt;真實IC!EH$25,1,0)</f>
        <v>1</v>
      </c>
      <c r="EI23" s="10">
        <f>IF(真實IC!EI23&gt;真實IC!EI$25,1,0)</f>
        <v>0</v>
      </c>
      <c r="EJ23" s="10">
        <f>IF(真實IC!EJ23&gt;真實IC!EJ$25,1,0)</f>
        <v>1</v>
      </c>
      <c r="EK23" s="10">
        <f>IF(真實IC!EK23&gt;真實IC!EK$25,1,0)</f>
        <v>1</v>
      </c>
      <c r="EL23" s="10">
        <f>IF(真實IC!EL23&gt;真實IC!EL$25,1,0)</f>
        <v>1</v>
      </c>
      <c r="EM23" s="6">
        <f t="shared" si="11"/>
        <v>86</v>
      </c>
      <c r="EN23" s="12">
        <f t="shared" si="12"/>
        <v>0.61428571428571432</v>
      </c>
    </row>
    <row r="24" spans="1:144" x14ac:dyDescent="0.3">
      <c r="A24" s="11">
        <v>1051</v>
      </c>
      <c r="B24" s="11">
        <f t="shared" si="10"/>
        <v>1</v>
      </c>
      <c r="C24" s="10">
        <f>IF(真實IC!C24&gt;真實IC!C$25,1,0)</f>
        <v>1</v>
      </c>
      <c r="D24" s="10">
        <f>IF(真實IC!D24&gt;真實IC!D$25,1,0)</f>
        <v>1</v>
      </c>
      <c r="E24" s="10">
        <f>IF(真實IC!E24&gt;真實IC!E$25,1,0)</f>
        <v>0</v>
      </c>
      <c r="F24" s="10">
        <f>IF(真實IC!F24&gt;真實IC!F$25,1,0)</f>
        <v>0</v>
      </c>
      <c r="G24" s="10">
        <f>IF(真實IC!G24&gt;真實IC!G$25,1,0)</f>
        <v>0</v>
      </c>
      <c r="H24" s="10">
        <f>IF(真實IC!H24&gt;真實IC!H$25,1,0)</f>
        <v>0</v>
      </c>
      <c r="I24" s="10">
        <f>IF(真實IC!I24&gt;真實IC!I$25,1,0)</f>
        <v>0</v>
      </c>
      <c r="J24" s="10">
        <f>IF(真實IC!J24&gt;真實IC!J$25,1,0)</f>
        <v>0</v>
      </c>
      <c r="K24" s="10">
        <f>IF(真實IC!K24&gt;真實IC!K$25,1,0)</f>
        <v>1</v>
      </c>
      <c r="L24" s="10">
        <f>IF(真實IC!L24&gt;真實IC!L$25,1,0)</f>
        <v>0</v>
      </c>
      <c r="M24" s="10">
        <f>IF(真實IC!M24&gt;真實IC!M$25,1,0)</f>
        <v>0</v>
      </c>
      <c r="N24" s="10">
        <f>IF(真實IC!N24&gt;真實IC!N$25,1,0)</f>
        <v>1</v>
      </c>
      <c r="O24" s="10">
        <f>IF(真實IC!O24&gt;真實IC!O$25,1,0)</f>
        <v>1</v>
      </c>
      <c r="P24" s="10">
        <f>IF(真實IC!P24&gt;真實IC!P$25,1,0)</f>
        <v>1</v>
      </c>
      <c r="Q24" s="10">
        <f>IF(真實IC!Q24&gt;真實IC!Q$25,1,0)</f>
        <v>1</v>
      </c>
      <c r="R24" s="10">
        <f>IF(真實IC!R24&gt;真實IC!R$25,1,0)</f>
        <v>1</v>
      </c>
      <c r="S24" s="10">
        <f>IF(真實IC!S24&gt;真實IC!S$25,1,0)</f>
        <v>1</v>
      </c>
      <c r="T24" s="10">
        <f>IF(真實IC!T24&gt;真實IC!T$25,1,0)</f>
        <v>0</v>
      </c>
      <c r="U24" s="10">
        <f>IF(真實IC!U24&gt;真實IC!U$25,1,0)</f>
        <v>0</v>
      </c>
      <c r="V24" s="10">
        <f>IF(真實IC!V24&gt;真實IC!V$25,1,0)</f>
        <v>1</v>
      </c>
      <c r="W24" s="10">
        <f>IF(真實IC!W24&gt;真實IC!W$25,1,0)</f>
        <v>1</v>
      </c>
      <c r="X24" s="10">
        <f>IF(真實IC!X24&gt;真實IC!X$25,1,0)</f>
        <v>0</v>
      </c>
      <c r="Y24" s="10">
        <f>IF(真實IC!Y24&gt;真實IC!Y$25,1,0)</f>
        <v>1</v>
      </c>
      <c r="Z24" s="10">
        <f>IF(真實IC!Z24&gt;真實IC!Z$25,1,0)</f>
        <v>1</v>
      </c>
      <c r="AA24" s="10">
        <f>IF(真實IC!AA24&gt;真實IC!AA$25,1,0)</f>
        <v>1</v>
      </c>
      <c r="AB24" s="10">
        <f>IF(真實IC!AB24&gt;真實IC!AB$25,1,0)</f>
        <v>1</v>
      </c>
      <c r="AC24" s="10">
        <f>IF(真實IC!AC24&gt;真實IC!AC$25,1,0)</f>
        <v>1</v>
      </c>
      <c r="AD24" s="10">
        <f>IF(真實IC!AD24&gt;真實IC!AD$25,1,0)</f>
        <v>0</v>
      </c>
      <c r="AE24" s="10">
        <f>IF(真實IC!AE24&gt;真實IC!AE$25,1,0)</f>
        <v>1</v>
      </c>
      <c r="AF24" s="10">
        <f>IF(真實IC!AF24&gt;真實IC!AF$25,1,0)</f>
        <v>1</v>
      </c>
      <c r="AG24" s="10">
        <f>IF(真實IC!AG24&gt;真實IC!AG$25,1,0)</f>
        <v>1</v>
      </c>
      <c r="AH24" s="10">
        <f>IF(真實IC!AH24&gt;真實IC!AH$25,1,0)</f>
        <v>1</v>
      </c>
      <c r="AI24" s="10">
        <f>IF(真實IC!AI24&gt;真實IC!AI$25,1,0)</f>
        <v>1</v>
      </c>
      <c r="AJ24" s="10">
        <f>IF(真實IC!AJ24&gt;真實IC!AJ$25,1,0)</f>
        <v>0</v>
      </c>
      <c r="AK24" s="10">
        <f>IF(真實IC!AK24&gt;真實IC!AK$25,1,0)</f>
        <v>1</v>
      </c>
      <c r="AL24" s="10">
        <f>IF(真實IC!AL24&gt;真實IC!AL$25,1,0)</f>
        <v>1</v>
      </c>
      <c r="AM24" s="10">
        <f>IF(真實IC!AM24&gt;真實IC!AM$25,1,0)</f>
        <v>0</v>
      </c>
      <c r="AN24" s="10">
        <f>IF(真實IC!AN24&gt;真實IC!AN$25,1,0)</f>
        <v>1</v>
      </c>
      <c r="AO24" s="10">
        <f>IF(真實IC!AO24&gt;真實IC!AO$25,1,0)</f>
        <v>1</v>
      </c>
      <c r="AP24" s="10">
        <f>IF(真實IC!AP24&gt;真實IC!AP$25,1,0)</f>
        <v>0</v>
      </c>
      <c r="AQ24" s="10">
        <f>IF(真實IC!AQ24&gt;真實IC!AQ$25,1,0)</f>
        <v>0</v>
      </c>
      <c r="AR24" s="10">
        <f>IF(真實IC!AR24&gt;真實IC!AR$25,1,0)</f>
        <v>0</v>
      </c>
      <c r="AS24" s="10">
        <f>IF(真實IC!AS24&gt;真實IC!AS$25,1,0)</f>
        <v>0</v>
      </c>
      <c r="AT24" s="10">
        <f>IF(真實IC!AT24&gt;真實IC!AT$25,1,0)</f>
        <v>1</v>
      </c>
      <c r="AU24" s="10">
        <f>IF(真實IC!AU24&gt;真實IC!AU$25,1,0)</f>
        <v>1</v>
      </c>
      <c r="AV24" s="10">
        <f>IF(真實IC!AV24&gt;真實IC!AV$25,1,0)</f>
        <v>1</v>
      </c>
      <c r="AW24" s="10">
        <f>IF(真實IC!AW24&gt;真實IC!AW$25,1,0)</f>
        <v>1</v>
      </c>
      <c r="AX24" s="10">
        <f>IF(真實IC!AX24&gt;真實IC!AX$25,1,0)</f>
        <v>1</v>
      </c>
      <c r="AY24" s="10">
        <f>IF(真實IC!AY24&gt;真實IC!AY$25,1,0)</f>
        <v>0</v>
      </c>
      <c r="AZ24" s="10">
        <f>IF(真實IC!AZ24&gt;真實IC!AZ$25,1,0)</f>
        <v>1</v>
      </c>
      <c r="BA24" s="10">
        <f>IF(真實IC!BA24&gt;真實IC!BA$25,1,0)</f>
        <v>0</v>
      </c>
      <c r="BB24" s="10">
        <f>IF(真實IC!BB24&gt;真實IC!BB$25,1,0)</f>
        <v>1</v>
      </c>
      <c r="BC24" s="10">
        <f>IF(真實IC!BC24&gt;真實IC!BC$25,1,0)</f>
        <v>0</v>
      </c>
      <c r="BD24" s="10">
        <f>IF(真實IC!BD24&gt;真實IC!BD$25,1,0)</f>
        <v>0</v>
      </c>
      <c r="BE24" s="10">
        <f>IF(真實IC!BE24&gt;真實IC!BE$25,1,0)</f>
        <v>0</v>
      </c>
      <c r="BF24" s="10">
        <f>IF(真實IC!BF24&gt;真實IC!BF$25,1,0)</f>
        <v>0</v>
      </c>
      <c r="BG24" s="10">
        <f>IF(真實IC!BG24&gt;真實IC!BG$25,1,0)</f>
        <v>0</v>
      </c>
      <c r="BH24" s="10">
        <f>IF(真實IC!BH24&gt;真實IC!BH$25,1,0)</f>
        <v>1</v>
      </c>
      <c r="BI24" s="10">
        <f>IF(真實IC!BI24&gt;真實IC!BI$25,1,0)</f>
        <v>1</v>
      </c>
      <c r="BJ24" s="10">
        <f>IF(真實IC!BJ24&gt;真實IC!BJ$25,1,0)</f>
        <v>0</v>
      </c>
      <c r="BK24" s="10">
        <f>IF(真實IC!BK24&gt;真實IC!BK$25,1,0)</f>
        <v>0</v>
      </c>
      <c r="BL24" s="10">
        <f>IF(真實IC!BL24&gt;真實IC!BL$25,1,0)</f>
        <v>1</v>
      </c>
      <c r="BM24" s="10">
        <f>IF(真實IC!BM24&gt;真實IC!BM$25,1,0)</f>
        <v>1</v>
      </c>
      <c r="BN24" s="10">
        <f>IF(真實IC!BN24&gt;真實IC!BN$25,1,0)</f>
        <v>0</v>
      </c>
      <c r="BO24" s="10">
        <f>IF(真實IC!BO24&gt;真實IC!BO$25,1,0)</f>
        <v>0</v>
      </c>
      <c r="BP24" s="10">
        <f>IF(真實IC!BP24&gt;真實IC!BP$25,1,0)</f>
        <v>0</v>
      </c>
      <c r="BQ24" s="10">
        <f>IF(真實IC!BQ24&gt;真實IC!BQ$25,1,0)</f>
        <v>1</v>
      </c>
      <c r="BR24" s="10">
        <f>IF(真實IC!BR24&gt;真實IC!BR$25,1,0)</f>
        <v>1</v>
      </c>
      <c r="BS24" s="10">
        <f>IF(真實IC!BS24&gt;真實IC!BS$25,1,0)</f>
        <v>0</v>
      </c>
      <c r="BT24" s="10">
        <f>IF(真實IC!BT24&gt;真實IC!BT$25,1,0)</f>
        <v>1</v>
      </c>
      <c r="BU24" s="10">
        <f>IF(真實IC!BU24&gt;真實IC!BU$25,1,0)</f>
        <v>0</v>
      </c>
      <c r="BV24" s="10">
        <f>IF(真實IC!BV24&gt;真實IC!BV$25,1,0)</f>
        <v>0</v>
      </c>
      <c r="BW24" s="10">
        <f>IF(真實IC!BW24&gt;真實IC!BW$25,1,0)</f>
        <v>1</v>
      </c>
      <c r="BX24" s="10">
        <f>IF(真實IC!BX24&gt;真實IC!BX$25,1,0)</f>
        <v>0</v>
      </c>
      <c r="BY24" s="10">
        <f>IF(真實IC!BY24&gt;真實IC!BY$25,1,0)</f>
        <v>1</v>
      </c>
      <c r="BZ24" s="10">
        <f>IF(真實IC!BZ24&gt;真實IC!BZ$25,1,0)</f>
        <v>0</v>
      </c>
      <c r="CA24" s="10">
        <f>IF(真實IC!CA24&gt;真實IC!CA$25,1,0)</f>
        <v>1</v>
      </c>
      <c r="CB24" s="10">
        <f>IF(真實IC!CB24&gt;真實IC!CB$25,1,0)</f>
        <v>0</v>
      </c>
      <c r="CC24" s="10">
        <f>IF(真實IC!CC24&gt;真實IC!CC$25,1,0)</f>
        <v>0</v>
      </c>
      <c r="CD24" s="10">
        <f>IF(真實IC!CD24&gt;真實IC!CD$25,1,0)</f>
        <v>0</v>
      </c>
      <c r="CE24" s="10">
        <f>IF(真實IC!CE24&gt;真實IC!CE$25,1,0)</f>
        <v>1</v>
      </c>
      <c r="CF24" s="10">
        <f>IF(真實IC!CF24&gt;真實IC!CF$25,1,0)</f>
        <v>1</v>
      </c>
      <c r="CG24" s="10">
        <f>IF(真實IC!CG24&gt;真實IC!CG$25,1,0)</f>
        <v>1</v>
      </c>
      <c r="CH24" s="10">
        <f>IF(真實IC!CH24&gt;真實IC!CH$25,1,0)</f>
        <v>0</v>
      </c>
      <c r="CI24" s="10">
        <f>IF(真實IC!CI24&gt;真實IC!CI$25,1,0)</f>
        <v>1</v>
      </c>
      <c r="CJ24" s="10">
        <f>IF(真實IC!CJ24&gt;真實IC!CJ$25,1,0)</f>
        <v>0</v>
      </c>
      <c r="CK24" s="10">
        <f>IF(真實IC!CK24&gt;真實IC!CK$25,1,0)</f>
        <v>0</v>
      </c>
      <c r="CL24" s="10">
        <f>IF(真實IC!CL24&gt;真實IC!CL$25,1,0)</f>
        <v>0</v>
      </c>
      <c r="CM24" s="10">
        <f>IF(真實IC!CM24&gt;真實IC!CM$25,1,0)</f>
        <v>0</v>
      </c>
      <c r="CN24" s="10">
        <f>IF(真實IC!CN24&gt;真實IC!CN$25,1,0)</f>
        <v>1</v>
      </c>
      <c r="CO24" s="10">
        <f>IF(真實IC!CO24&gt;真實IC!CO$25,1,0)</f>
        <v>1</v>
      </c>
      <c r="CP24" s="10">
        <f>IF(真實IC!CP24&gt;真實IC!CP$25,1,0)</f>
        <v>0</v>
      </c>
      <c r="CQ24" s="10">
        <f>IF(真實IC!CQ24&gt;真實IC!CQ$25,1,0)</f>
        <v>1</v>
      </c>
      <c r="CR24" s="10">
        <f>IF(真實IC!CR24&gt;真實IC!CR$25,1,0)</f>
        <v>1</v>
      </c>
      <c r="CS24" s="10">
        <f>IF(真實IC!CS24&gt;真實IC!CS$25,1,0)</f>
        <v>1</v>
      </c>
      <c r="CT24" s="10">
        <f>IF(真實IC!CT24&gt;真實IC!CT$25,1,0)</f>
        <v>0</v>
      </c>
      <c r="CU24" s="10">
        <f>IF(真實IC!CU24&gt;真實IC!CU$25,1,0)</f>
        <v>1</v>
      </c>
      <c r="CV24" s="10">
        <f>IF(真實IC!CV24&gt;真實IC!CV$25,1,0)</f>
        <v>1</v>
      </c>
      <c r="CW24" s="10">
        <f>IF(真實IC!CW24&gt;真實IC!CW$25,1,0)</f>
        <v>0</v>
      </c>
      <c r="CX24" s="10">
        <f>IF(真實IC!CX24&gt;真實IC!CX$25,1,0)</f>
        <v>1</v>
      </c>
      <c r="CY24" s="10">
        <f>IF(真實IC!CY24&gt;真實IC!CY$25,1,0)</f>
        <v>1</v>
      </c>
      <c r="CZ24" s="10">
        <f>IF(真實IC!CZ24&gt;真實IC!CZ$25,1,0)</f>
        <v>0</v>
      </c>
      <c r="DA24" s="10">
        <f>IF(真實IC!DA24&gt;真實IC!DA$25,1,0)</f>
        <v>1</v>
      </c>
      <c r="DB24" s="10">
        <f>IF(真實IC!DB24&gt;真實IC!DB$25,1,0)</f>
        <v>1</v>
      </c>
      <c r="DC24" s="10">
        <f>IF(真實IC!DC24&gt;真實IC!DC$25,1,0)</f>
        <v>1</v>
      </c>
      <c r="DD24" s="10">
        <f>IF(真實IC!DD24&gt;真實IC!DD$25,1,0)</f>
        <v>0</v>
      </c>
      <c r="DE24" s="10">
        <f>IF(真實IC!DE24&gt;真實IC!DE$25,1,0)</f>
        <v>0</v>
      </c>
      <c r="DF24" s="10">
        <f>IF(真實IC!DF24&gt;真實IC!DF$25,1,0)</f>
        <v>1</v>
      </c>
      <c r="DG24" s="10">
        <f>IF(真實IC!DG24&gt;真實IC!DG$25,1,0)</f>
        <v>1</v>
      </c>
      <c r="DH24" s="10">
        <f>IF(真實IC!DH24&gt;真實IC!DH$25,1,0)</f>
        <v>0</v>
      </c>
      <c r="DI24" s="10">
        <f>IF(真實IC!DI24&gt;真實IC!DI$25,1,0)</f>
        <v>0</v>
      </c>
      <c r="DJ24" s="10">
        <f>IF(真實IC!DJ24&gt;真實IC!DJ$25,1,0)</f>
        <v>0</v>
      </c>
      <c r="DK24" s="10">
        <f>IF(真實IC!DK24&gt;真實IC!DK$25,1,0)</f>
        <v>0</v>
      </c>
      <c r="DL24" s="10">
        <f>IF(真實IC!DL24&gt;真實IC!DL$25,1,0)</f>
        <v>1</v>
      </c>
      <c r="DM24" s="10">
        <f>IF(真實IC!DM24&gt;真實IC!DM$25,1,0)</f>
        <v>1</v>
      </c>
      <c r="DN24" s="10">
        <f>IF(真實IC!DN24&gt;真實IC!DN$25,1,0)</f>
        <v>1</v>
      </c>
      <c r="DO24" s="10">
        <f>IF(真實IC!DO24&gt;真實IC!DO$25,1,0)</f>
        <v>0</v>
      </c>
      <c r="DP24" s="10">
        <f>IF(真實IC!DP24&gt;真實IC!DP$25,1,0)</f>
        <v>1</v>
      </c>
      <c r="DQ24" s="10">
        <f>IF(真實IC!DQ24&gt;真實IC!DQ$25,1,0)</f>
        <v>1</v>
      </c>
      <c r="DR24" s="10">
        <f>IF(真實IC!DR24&gt;真實IC!DR$25,1,0)</f>
        <v>1</v>
      </c>
      <c r="DS24" s="10">
        <f>IF(真實IC!DS24&gt;真實IC!DS$25,1,0)</f>
        <v>1</v>
      </c>
      <c r="DT24" s="10">
        <f>IF(真實IC!DT24&gt;真實IC!DT$25,1,0)</f>
        <v>0</v>
      </c>
      <c r="DU24" s="10">
        <f>IF(真實IC!DU24&gt;真實IC!DU$25,1,0)</f>
        <v>1</v>
      </c>
      <c r="DV24" s="10">
        <f>IF(真實IC!DV24&gt;真實IC!DV$25,1,0)</f>
        <v>1</v>
      </c>
      <c r="DW24" s="10">
        <f>IF(真實IC!DW24&gt;真實IC!DW$25,1,0)</f>
        <v>1</v>
      </c>
      <c r="DX24" s="10">
        <f>IF(真實IC!DX24&gt;真實IC!DX$25,1,0)</f>
        <v>0</v>
      </c>
      <c r="DY24" s="10">
        <f>IF(真實IC!DY24&gt;真實IC!DY$25,1,0)</f>
        <v>1</v>
      </c>
      <c r="DZ24" s="10">
        <f>IF(真實IC!DZ24&gt;真實IC!DZ$25,1,0)</f>
        <v>0</v>
      </c>
      <c r="EA24" s="10">
        <f>IF(真實IC!EA24&gt;真實IC!EA$25,1,0)</f>
        <v>0</v>
      </c>
      <c r="EB24" s="10">
        <f>IF(真實IC!EB24&gt;真實IC!EB$25,1,0)</f>
        <v>1</v>
      </c>
      <c r="EC24" s="10">
        <f>IF(真實IC!EC24&gt;真實IC!EC$25,1,0)</f>
        <v>1</v>
      </c>
      <c r="ED24" s="10">
        <f>IF(真實IC!ED24&gt;真實IC!ED$25,1,0)</f>
        <v>0</v>
      </c>
      <c r="EE24" s="10">
        <f>IF(真實IC!EE24&gt;真實IC!EE$25,1,0)</f>
        <v>1</v>
      </c>
      <c r="EF24" s="10">
        <f>IF(真實IC!EF24&gt;真實IC!EF$25,1,0)</f>
        <v>1</v>
      </c>
      <c r="EG24" s="10">
        <f>IF(真實IC!EG24&gt;真實IC!EG$25,1,0)</f>
        <v>1</v>
      </c>
      <c r="EH24" s="10">
        <f>IF(真實IC!EH24&gt;真實IC!EH$25,1,0)</f>
        <v>1</v>
      </c>
      <c r="EI24" s="10">
        <f>IF(真實IC!EI24&gt;真實IC!EI$25,1,0)</f>
        <v>0</v>
      </c>
      <c r="EJ24" s="10">
        <f>IF(真實IC!EJ24&gt;真實IC!EJ$25,1,0)</f>
        <v>1</v>
      </c>
      <c r="EK24" s="10">
        <f>IF(真實IC!EK24&gt;真實IC!EK$25,1,0)</f>
        <v>0</v>
      </c>
      <c r="EL24" s="10">
        <f>IF(真實IC!EL24&gt;真實IC!EL$25,1,0)</f>
        <v>0</v>
      </c>
      <c r="EM24" s="6">
        <f t="shared" si="11"/>
        <v>78</v>
      </c>
      <c r="EN24" s="12">
        <f t="shared" si="12"/>
        <v>0.55714285714285716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1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0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L164"/>
  <sheetViews>
    <sheetView tabSelected="1" topLeftCell="DU8" zoomScale="130" zoomScaleNormal="130" workbookViewId="0">
      <selection activeCell="EL24" sqref="EL24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13" t="s">
        <v>146</v>
      </c>
      <c r="B6" s="14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13" t="s">
        <v>147</v>
      </c>
      <c r="B10" s="14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1">
        <v>10</v>
      </c>
      <c r="B12" s="11">
        <f t="shared" ref="B12:B24" si="10">ROUND($D$10/A12,0)</f>
        <v>105</v>
      </c>
      <c r="C12" s="2">
        <v>9.8199501924411306E-2</v>
      </c>
      <c r="D12" s="2">
        <f>C12+真實IC!D12</f>
        <v>0.14174057566495049</v>
      </c>
      <c r="E12" s="2">
        <f>D12+真實IC!E12</f>
        <v>0.13480444627425534</v>
      </c>
      <c r="F12" s="2">
        <f>E12+真實IC!F12</f>
        <v>0.16036034862296919</v>
      </c>
      <c r="G12" s="2">
        <f>F12+真實IC!G12</f>
        <v>0.19313310854194909</v>
      </c>
      <c r="H12" s="2">
        <f>G12+真實IC!H12</f>
        <v>0.20084413127070491</v>
      </c>
      <c r="I12" s="2">
        <f>H12+真實IC!I12</f>
        <v>0.22399043393151358</v>
      </c>
      <c r="J12" s="2">
        <f>I12+真實IC!J12</f>
        <v>0.22281651714229489</v>
      </c>
      <c r="K12" s="2">
        <f>J12+真實IC!K12</f>
        <v>0.23079493255190944</v>
      </c>
      <c r="L12" s="2">
        <f>K12+真實IC!L12</f>
        <v>0.22994522874901197</v>
      </c>
      <c r="M12" s="2">
        <f>L12+真實IC!M12</f>
        <v>0.26401002401511509</v>
      </c>
      <c r="N12" s="2">
        <f>M12+真實IC!N12</f>
        <v>0.28569998965332788</v>
      </c>
      <c r="O12" s="2">
        <f>N12+真實IC!O12</f>
        <v>0.31196282858768859</v>
      </c>
      <c r="P12" s="2">
        <f>O12+真實IC!P12</f>
        <v>0.31641753605317308</v>
      </c>
      <c r="Q12" s="2">
        <f>P12+真實IC!Q12</f>
        <v>0.33343217330167985</v>
      </c>
      <c r="R12" s="2">
        <f>Q12+真實IC!R12</f>
        <v>0.32027245788185138</v>
      </c>
      <c r="S12" s="2">
        <f>R12+真實IC!S12</f>
        <v>0.36075431386514983</v>
      </c>
      <c r="T12" s="2">
        <f>S12+真實IC!T12</f>
        <v>0.40806144183924209</v>
      </c>
      <c r="U12" s="2">
        <f>T12+真實IC!U12</f>
        <v>0.41227820957755995</v>
      </c>
      <c r="V12" s="2">
        <f>U12+真實IC!V12</f>
        <v>0.41483206263787981</v>
      </c>
      <c r="W12" s="2">
        <f>V12+真實IC!W12</f>
        <v>0.44794027722963004</v>
      </c>
      <c r="X12" s="2">
        <f>W12+真實IC!X12</f>
        <v>0.56836337303841644</v>
      </c>
      <c r="Y12" s="2">
        <f>X12+真實IC!Y12</f>
        <v>0.60508499554532458</v>
      </c>
      <c r="Z12" s="2">
        <f>Y12+真實IC!Z12</f>
        <v>0.65444380286989334</v>
      </c>
      <c r="AA12" s="2">
        <f>Z12+真實IC!AA12</f>
        <v>0.68631009971117596</v>
      </c>
      <c r="AB12" s="2">
        <f>AA12+真實IC!AB12</f>
        <v>0.68005952682742821</v>
      </c>
      <c r="AC12" s="2">
        <f>AB12+真實IC!AC12</f>
        <v>0.73013363152179189</v>
      </c>
      <c r="AD12" s="2">
        <f>AC12+真實IC!AD12</f>
        <v>0.74221045404242803</v>
      </c>
      <c r="AE12" s="2">
        <f>AD12+真實IC!AE12</f>
        <v>0.78716439782897929</v>
      </c>
      <c r="AF12" s="2">
        <f>AE12+真實IC!AF12</f>
        <v>0.83724008154423868</v>
      </c>
      <c r="AG12" s="2">
        <f>AF12+真實IC!AG12</f>
        <v>0.84415877611161261</v>
      </c>
      <c r="AH12" s="2">
        <f>AG12+真實IC!AH12</f>
        <v>0.84024691613707336</v>
      </c>
      <c r="AI12" s="2">
        <f>AH12+真實IC!AI12</f>
        <v>0.84798761638344966</v>
      </c>
      <c r="AJ12" s="2">
        <f>AI12+真實IC!AJ12</f>
        <v>0.8579260657659451</v>
      </c>
      <c r="AK12" s="2">
        <f>AJ12+真實IC!AK12</f>
        <v>0.87056966028666971</v>
      </c>
      <c r="AL12" s="2">
        <f>AK12+真實IC!AL12</f>
        <v>0.9180395748871043</v>
      </c>
      <c r="AM12" s="2">
        <f>AL12+真實IC!AM12</f>
        <v>0.9468083151106419</v>
      </c>
      <c r="AN12" s="2">
        <f>AM12+真實IC!AN12</f>
        <v>0.97603037252993652</v>
      </c>
      <c r="AO12" s="2">
        <f>AN12+真實IC!AO12</f>
        <v>1.0049350482948625</v>
      </c>
      <c r="AP12" s="2">
        <f>AO12+真實IC!AP12</f>
        <v>1.0193639944146802</v>
      </c>
      <c r="AQ12" s="2">
        <f>AP12+真實IC!AQ12</f>
        <v>1.0340961281716001</v>
      </c>
      <c r="AR12" s="2">
        <f>AQ12+真實IC!AR12</f>
        <v>1.0410979184966167</v>
      </c>
      <c r="AS12" s="2">
        <f>AR12+真實IC!AS12</f>
        <v>1.0701365218038459</v>
      </c>
      <c r="AT12" s="2">
        <f>AS12+真實IC!AT12</f>
        <v>1.1419518911019804</v>
      </c>
      <c r="AU12" s="2">
        <f>AT12+真實IC!AU12</f>
        <v>1.1590382666854346</v>
      </c>
      <c r="AV12" s="2">
        <f>AU12+真實IC!AV12</f>
        <v>1.2183813115474704</v>
      </c>
      <c r="AW12" s="2">
        <f>AV12+真實IC!AW12</f>
        <v>1.2293991997832057</v>
      </c>
      <c r="AX12" s="2">
        <f>AW12+真實IC!AX12</f>
        <v>1.2851895136732405</v>
      </c>
      <c r="AY12" s="2">
        <f>AX12+真實IC!AY12</f>
        <v>1.2952234667009168</v>
      </c>
      <c r="AZ12" s="2">
        <f>AY12+真實IC!AZ12</f>
        <v>1.3083876363263971</v>
      </c>
      <c r="BA12" s="2">
        <f>AZ12+真實IC!BA12</f>
        <v>1.3498130187023107</v>
      </c>
      <c r="BB12" s="2">
        <f>BA12+真實IC!BB12</f>
        <v>1.3875443201400812</v>
      </c>
      <c r="BC12" s="2">
        <f>BB12+真實IC!BC12</f>
        <v>1.4101534929255921</v>
      </c>
      <c r="BD12" s="2">
        <f>BC12+真實IC!BD12</f>
        <v>1.4064554335444064</v>
      </c>
      <c r="BE12" s="2">
        <f>BD12+真實IC!BE12</f>
        <v>1.4340761101674619</v>
      </c>
      <c r="BF12" s="2">
        <f>BE12+真實IC!BF12</f>
        <v>1.4798572124245348</v>
      </c>
      <c r="BG12" s="2">
        <f>BF12+真實IC!BG12</f>
        <v>1.5309304525291749</v>
      </c>
      <c r="BH12" s="2">
        <f>BG12+真實IC!BH12</f>
        <v>1.5653526731450282</v>
      </c>
      <c r="BI12" s="2">
        <f>BH12+真實IC!BI12</f>
        <v>1.6235036340798026</v>
      </c>
      <c r="BJ12" s="2">
        <f>BI12+真實IC!BJ12</f>
        <v>1.6424769869695135</v>
      </c>
      <c r="BK12" s="2">
        <f>BJ12+真實IC!BK12</f>
        <v>1.6554595794545797</v>
      </c>
      <c r="BL12" s="2">
        <f>BK12+真實IC!BL12</f>
        <v>1.6825837252341114</v>
      </c>
      <c r="BM12" s="2">
        <f>BL12+真實IC!BM12</f>
        <v>1.7228853248529115</v>
      </c>
      <c r="BN12" s="2">
        <f>BM12+真實IC!BN12</f>
        <v>1.7270032095355468</v>
      </c>
      <c r="BO12" s="2">
        <f>BN12+真實IC!BO12</f>
        <v>1.734673094163468</v>
      </c>
      <c r="BP12" s="2">
        <f>BO12+真實IC!BP12</f>
        <v>1.742920482074396</v>
      </c>
      <c r="BQ12" s="2">
        <f>BP12+真實IC!BQ12</f>
        <v>1.7690618552460244</v>
      </c>
      <c r="BR12" s="2">
        <f>BQ12+真實IC!BR12</f>
        <v>1.8288150222561983</v>
      </c>
      <c r="BS12" s="2">
        <f>BR12+真實IC!BS12</f>
        <v>1.858618032534807</v>
      </c>
      <c r="BT12" s="2">
        <f>BS12+真實IC!BT12</f>
        <v>1.8674315436071729</v>
      </c>
      <c r="BU12" s="2">
        <f>BT12+真實IC!BU12</f>
        <v>1.8911394146782217</v>
      </c>
      <c r="BV12" s="2">
        <f>BU12+真實IC!BV12</f>
        <v>1.9256941728149017</v>
      </c>
      <c r="BW12" s="2">
        <f>BV12+真實IC!BW12</f>
        <v>1.9640428209047291</v>
      </c>
      <c r="BX12" s="2">
        <f>BW12+真實IC!BX12</f>
        <v>1.9676266980537471</v>
      </c>
      <c r="BY12" s="2">
        <f>BX12+真實IC!BY12</f>
        <v>2.0247295143611561</v>
      </c>
      <c r="BZ12" s="2">
        <f>BY12+真實IC!BZ12</f>
        <v>2.0563420224550177</v>
      </c>
      <c r="CA12" s="2">
        <f>BZ12+真實IC!CA12</f>
        <v>2.0521966384062869</v>
      </c>
      <c r="CB12" s="2">
        <f>CA12+真實IC!CB12</f>
        <v>2.0546354397217015</v>
      </c>
      <c r="CC12" s="2">
        <f>CB12+真實IC!CC12</f>
        <v>2.0741811740725571</v>
      </c>
      <c r="CD12" s="2">
        <f>CC12+真實IC!CD12</f>
        <v>2.1262847120375148</v>
      </c>
      <c r="CE12" s="2">
        <f>CD12+真實IC!CE12</f>
        <v>2.1891537475860114</v>
      </c>
      <c r="CF12" s="2">
        <f>CE12+真實IC!CF12</f>
        <v>2.2003043324990585</v>
      </c>
      <c r="CG12" s="2">
        <f>CF12+真實IC!CG12</f>
        <v>2.2499656784334379</v>
      </c>
      <c r="CH12" s="2">
        <f>CG12+真實IC!CH12</f>
        <v>2.2653761373901791</v>
      </c>
      <c r="CI12" s="2">
        <f>CH12+真實IC!CI12</f>
        <v>2.294679774870906</v>
      </c>
      <c r="CJ12" s="2">
        <f>CI12+真實IC!CJ12</f>
        <v>2.3527156280960173</v>
      </c>
      <c r="CK12" s="2">
        <f>CJ12+真實IC!CK12</f>
        <v>2.4129592117831669</v>
      </c>
      <c r="CL12" s="2">
        <f>CK12+真實IC!CL12</f>
        <v>2.4489062073396703</v>
      </c>
      <c r="CM12" s="2">
        <f>CL12+真實IC!CM12</f>
        <v>2.4637433129968942</v>
      </c>
      <c r="CN12" s="2">
        <f>CM12+真實IC!CN12</f>
        <v>2.561493788060452</v>
      </c>
      <c r="CO12" s="2">
        <f>CN12+真實IC!CO12</f>
        <v>2.5831899158987595</v>
      </c>
      <c r="CP12" s="2">
        <f>CO12+真實IC!CP12</f>
        <v>2.5917321244955986</v>
      </c>
      <c r="CQ12" s="2">
        <f>CP12+真實IC!CQ12</f>
        <v>2.6489429809729992</v>
      </c>
      <c r="CR12" s="2">
        <f>CQ12+真實IC!CR12</f>
        <v>2.691449717588168</v>
      </c>
      <c r="CS12" s="2">
        <f>CR12+真實IC!CS12</f>
        <v>2.6967089079426585</v>
      </c>
      <c r="CT12" s="2">
        <f>CS12+真實IC!CT12</f>
        <v>2.7032176216081685</v>
      </c>
      <c r="CU12" s="2">
        <f>CT12+真實IC!CU12</f>
        <v>2.779968222913725</v>
      </c>
      <c r="CV12" s="2">
        <f>CU12+真實IC!CV12</f>
        <v>2.8484222956271861</v>
      </c>
      <c r="CW12" s="2">
        <f>CV12+真實IC!CW12</f>
        <v>2.8743693658778873</v>
      </c>
      <c r="CX12" s="2">
        <f>CW12+真實IC!CX12</f>
        <v>2.8952415619576706</v>
      </c>
      <c r="CY12" s="2">
        <f>CX12+真實IC!CY12</f>
        <v>2.9212532674331233</v>
      </c>
      <c r="CZ12" s="2">
        <f>CY12+真實IC!CZ12</f>
        <v>2.9398488792598254</v>
      </c>
      <c r="DA12" s="2">
        <f>CZ12+真實IC!DA12</f>
        <v>2.956111154050832</v>
      </c>
      <c r="DB12" s="2">
        <f>DA12+真實IC!DB12</f>
        <v>2.9862684516180362</v>
      </c>
      <c r="DC12" s="2">
        <f>DB12+真實IC!DC12</f>
        <v>2.9768217960496832</v>
      </c>
      <c r="DD12" s="2">
        <f>DC12+真實IC!DD12</f>
        <v>3.036172217756016</v>
      </c>
      <c r="DE12" s="2">
        <f>DD12+真實IC!DE12</f>
        <v>3.0560249088460791</v>
      </c>
      <c r="DF12" s="2">
        <f>DE12+真實IC!DF12</f>
        <v>3.0687052851777654</v>
      </c>
      <c r="DG12" s="2">
        <f>DF12+真實IC!DG12</f>
        <v>3.1093570994381787</v>
      </c>
      <c r="DH12" s="2">
        <f>DG12+真實IC!DH12</f>
        <v>3.1418993486725655</v>
      </c>
      <c r="DI12" s="2">
        <f>DH12+真實IC!DI12</f>
        <v>3.1617230631029738</v>
      </c>
      <c r="DJ12" s="2">
        <f>DI12+真實IC!DJ12</f>
        <v>3.1920849554965196</v>
      </c>
      <c r="DK12" s="2">
        <f>DJ12+真實IC!DK12</f>
        <v>3.2051889964435598</v>
      </c>
      <c r="DL12" s="2">
        <f>DK12+真實IC!DL12</f>
        <v>3.2313025830071429</v>
      </c>
      <c r="DM12" s="2">
        <f>DL12+真實IC!DM12</f>
        <v>3.2495991949974705</v>
      </c>
      <c r="DN12" s="2">
        <f>DM12+真實IC!DN12</f>
        <v>3.2395859840418342</v>
      </c>
      <c r="DO12" s="2">
        <f>DN12+真實IC!DO12</f>
        <v>3.2629616280467628</v>
      </c>
      <c r="DP12" s="2">
        <f>DO12+真實IC!DP12</f>
        <v>3.3302348149545185</v>
      </c>
      <c r="DQ12" s="2">
        <f>DP12+真實IC!DQ12</f>
        <v>3.3921371713805444</v>
      </c>
      <c r="DR12" s="2">
        <f>DQ12+真實IC!DR12</f>
        <v>3.3882708909878501</v>
      </c>
      <c r="DS12" s="2">
        <f>DR12+真實IC!DS12</f>
        <v>3.4381473653294918</v>
      </c>
      <c r="DT12" s="2">
        <f>DS12+真實IC!DT12</f>
        <v>3.4650763120591894</v>
      </c>
      <c r="DU12" s="2">
        <f>DT12+真實IC!DU12</f>
        <v>3.5020721357447746</v>
      </c>
      <c r="DV12" s="2">
        <f>DU12+真實IC!DV12</f>
        <v>3.5097755213509214</v>
      </c>
      <c r="DW12" s="2">
        <f>DV12+真實IC!DW12</f>
        <v>3.5065823460683636</v>
      </c>
      <c r="DX12" s="2">
        <f>DW12+真實IC!DX12</f>
        <v>3.5311880118322492</v>
      </c>
      <c r="DY12" s="2">
        <f>DX12+真實IC!DY12</f>
        <v>3.5608256813938617</v>
      </c>
      <c r="DZ12" s="2">
        <f>DY12+真實IC!DZ12</f>
        <v>3.5814061334549572</v>
      </c>
      <c r="EA12" s="2">
        <f>DZ12+真實IC!EA12</f>
        <v>3.6982568740237598</v>
      </c>
      <c r="EB12" s="2">
        <f>EA12+真實IC!EB12</f>
        <v>3.7263285511773789</v>
      </c>
      <c r="EC12" s="2">
        <f>EB12+真實IC!EC12</f>
        <v>3.7227853201025622</v>
      </c>
      <c r="ED12" s="2">
        <f>EC12+真實IC!ED12</f>
        <v>3.7314320499812532</v>
      </c>
      <c r="EE12" s="2">
        <f>ED12+真實IC!EE12</f>
        <v>3.7521250836486635</v>
      </c>
      <c r="EF12" s="2">
        <f>EE12+真實IC!EF12</f>
        <v>3.7780426894899231</v>
      </c>
      <c r="EG12" s="2">
        <f>EF12+真實IC!EG12</f>
        <v>3.807249925586119</v>
      </c>
      <c r="EH12" s="2">
        <f>EG12+真實IC!EH12</f>
        <v>3.8269901869653222</v>
      </c>
      <c r="EI12" s="2">
        <f>EH12+真實IC!EI12</f>
        <v>3.8210821230797114</v>
      </c>
      <c r="EJ12" s="2">
        <f>EI12+真實IC!EJ12</f>
        <v>3.8098571412320159</v>
      </c>
      <c r="EK12" s="2">
        <f>EJ12+真實IC!EK12</f>
        <v>3.8220571356483157</v>
      </c>
      <c r="EL12" s="2">
        <f>EK12+真實IC!EL12</f>
        <v>3.8310599235480036</v>
      </c>
    </row>
    <row r="13" spans="1:142" x14ac:dyDescent="0.3">
      <c r="A13" s="11">
        <v>20</v>
      </c>
      <c r="B13" s="11">
        <f t="shared" si="10"/>
        <v>53</v>
      </c>
      <c r="C13" s="2">
        <v>0.12107776166471761</v>
      </c>
      <c r="D13" s="2">
        <f>C13+真實IC!D13</f>
        <v>0.17059607205158833</v>
      </c>
      <c r="E13" s="2">
        <f>D13+真實IC!E13</f>
        <v>0.16781721478432859</v>
      </c>
      <c r="F13" s="2">
        <f>E13+真實IC!F13</f>
        <v>0.19077457412485346</v>
      </c>
      <c r="G13" s="2">
        <f>F13+真實IC!G13</f>
        <v>0.20755879797211815</v>
      </c>
      <c r="H13" s="2">
        <f>G13+真實IC!H13</f>
        <v>0.2159367413640482</v>
      </c>
      <c r="I13" s="2">
        <f>H13+真實IC!I13</f>
        <v>0.20484258322020066</v>
      </c>
      <c r="J13" s="2">
        <f>I13+真實IC!J13</f>
        <v>0.21501850616197335</v>
      </c>
      <c r="K13" s="2">
        <f>J13+真實IC!K13</f>
        <v>0.25095645128927729</v>
      </c>
      <c r="L13" s="2">
        <f>K13+真實IC!L13</f>
        <v>0.24792271966916674</v>
      </c>
      <c r="M13" s="2">
        <f>L13+真實IC!M13</f>
        <v>0.26245507616883679</v>
      </c>
      <c r="N13" s="2">
        <f>M13+真實IC!N13</f>
        <v>0.31032505551065453</v>
      </c>
      <c r="O13" s="2">
        <f>N13+真實IC!O13</f>
        <v>0.32716030610912966</v>
      </c>
      <c r="P13" s="2">
        <f>O13+真實IC!P13</f>
        <v>0.32783656943147582</v>
      </c>
      <c r="Q13" s="2">
        <f>P13+真實IC!Q13</f>
        <v>0.33840220065872589</v>
      </c>
      <c r="R13" s="2">
        <f>Q13+真實IC!R13</f>
        <v>0.32927596161494394</v>
      </c>
      <c r="S13" s="2">
        <f>R13+真實IC!S13</f>
        <v>0.39651593297457843</v>
      </c>
      <c r="T13" s="2">
        <f>S13+真實IC!T13</f>
        <v>0.46692103854728451</v>
      </c>
      <c r="U13" s="2">
        <f>T13+真實IC!U13</f>
        <v>0.50098658581118416</v>
      </c>
      <c r="V13" s="2">
        <f>U13+真實IC!V13</f>
        <v>0.5044188707769055</v>
      </c>
      <c r="W13" s="2">
        <f>V13+真實IC!W13</f>
        <v>0.52200947179608925</v>
      </c>
      <c r="X13" s="2">
        <f>W13+真實IC!X13</f>
        <v>0.66128797032390052</v>
      </c>
      <c r="Y13" s="2">
        <f>X13+真實IC!Y13</f>
        <v>0.66993487741520186</v>
      </c>
      <c r="Z13" s="2">
        <f>Y13+真實IC!Z13</f>
        <v>0.72963230144170932</v>
      </c>
      <c r="AA13" s="2">
        <f>Z13+真實IC!AA13</f>
        <v>0.78032528374924892</v>
      </c>
      <c r="AB13" s="2">
        <f>AA13+真實IC!AB13</f>
        <v>0.76767883359996725</v>
      </c>
      <c r="AC13" s="2">
        <f>AB13+真實IC!AC13</f>
        <v>0.82069909460275181</v>
      </c>
      <c r="AD13" s="2">
        <f>AC13+真實IC!AD13</f>
        <v>0.82716543176807167</v>
      </c>
      <c r="AE13" s="2">
        <f>AD13+真實IC!AE13</f>
        <v>0.89308415806927011</v>
      </c>
      <c r="AF13" s="2">
        <f>AE13+真實IC!AF13</f>
        <v>0.96072237967096141</v>
      </c>
      <c r="AG13" s="2">
        <f>AF13+真實IC!AG13</f>
        <v>0.9657636750118036</v>
      </c>
      <c r="AH13" s="2">
        <f>AG13+真實IC!AH13</f>
        <v>0.9533904318370604</v>
      </c>
      <c r="AI13" s="2">
        <f>AH13+真實IC!AI13</f>
        <v>0.97298063876250618</v>
      </c>
      <c r="AJ13" s="2">
        <f>AI13+真實IC!AJ13</f>
        <v>0.98860029350725864</v>
      </c>
      <c r="AK13" s="2">
        <f>AJ13+真實IC!AK13</f>
        <v>1.013855123639958</v>
      </c>
      <c r="AL13" s="2">
        <f>AK13+真實IC!AL13</f>
        <v>1.0530152674912732</v>
      </c>
      <c r="AM13" s="2">
        <f>AL13+真實IC!AM13</f>
        <v>1.0716843794949504</v>
      </c>
      <c r="AN13" s="2">
        <f>AM13+真實IC!AN13</f>
        <v>1.104891326137295</v>
      </c>
      <c r="AO13" s="2">
        <f>AN13+真實IC!AO13</f>
        <v>1.1363409577776036</v>
      </c>
      <c r="AP13" s="2">
        <f>AO13+真實IC!AP13</f>
        <v>1.1456811068323056</v>
      </c>
      <c r="AQ13" s="2">
        <f>AP13+真實IC!AQ13</f>
        <v>1.1616184866960901</v>
      </c>
      <c r="AR13" s="2">
        <f>AQ13+真實IC!AR13</f>
        <v>1.1646655607687864</v>
      </c>
      <c r="AS13" s="2">
        <f>AR13+真實IC!AS13</f>
        <v>1.1995431287734961</v>
      </c>
      <c r="AT13" s="2">
        <f>AS13+真實IC!AT13</f>
        <v>1.2944722807623417</v>
      </c>
      <c r="AU13" s="2">
        <f>AT13+真實IC!AU13</f>
        <v>1.3254207146256645</v>
      </c>
      <c r="AV13" s="2">
        <f>AU13+真實IC!AV13</f>
        <v>1.4221314784475716</v>
      </c>
      <c r="AW13" s="2">
        <f>AV13+真實IC!AW13</f>
        <v>1.4383976004945582</v>
      </c>
      <c r="AX13" s="2">
        <f>AW13+真實IC!AX13</f>
        <v>1.4904983736496442</v>
      </c>
      <c r="AY13" s="2">
        <f>AX13+真實IC!AY13</f>
        <v>1.4934055002818516</v>
      </c>
      <c r="AZ13" s="2">
        <f>AY13+真實IC!AZ13</f>
        <v>1.5047489684585362</v>
      </c>
      <c r="BA13" s="2">
        <f>AZ13+真實IC!BA13</f>
        <v>1.5378691882761895</v>
      </c>
      <c r="BB13" s="2">
        <f>BA13+真實IC!BB13</f>
        <v>1.5545494410336489</v>
      </c>
      <c r="BC13" s="2">
        <f>BB13+真實IC!BC13</f>
        <v>1.5542935297721505</v>
      </c>
      <c r="BD13" s="2">
        <f>BC13+真實IC!BD13</f>
        <v>1.5505291587574042</v>
      </c>
      <c r="BE13" s="2">
        <f>BD13+真實IC!BE13</f>
        <v>1.5872861040488413</v>
      </c>
      <c r="BF13" s="2">
        <f>BE13+真實IC!BF13</f>
        <v>1.6925670914607616</v>
      </c>
      <c r="BG13" s="2">
        <f>BF13+真實IC!BG13</f>
        <v>1.7780066792438711</v>
      </c>
      <c r="BH13" s="2">
        <f>BG13+真實IC!BH13</f>
        <v>1.8191864523784744</v>
      </c>
      <c r="BI13" s="2">
        <f>BH13+真實IC!BI13</f>
        <v>1.8754636468732526</v>
      </c>
      <c r="BJ13" s="2">
        <f>BI13+真實IC!BJ13</f>
        <v>1.8898430021846939</v>
      </c>
      <c r="BK13" s="2">
        <f>BJ13+真實IC!BK13</f>
        <v>1.9180399149372929</v>
      </c>
      <c r="BL13" s="2">
        <f>BK13+真實IC!BL13</f>
        <v>1.9569809737176427</v>
      </c>
      <c r="BM13" s="2">
        <f>BL13+真實IC!BM13</f>
        <v>2.0035934892826179</v>
      </c>
      <c r="BN13" s="2">
        <f>BM13+真實IC!BN13</f>
        <v>2.0240373447717697</v>
      </c>
      <c r="BO13" s="2">
        <f>BN13+真實IC!BO13</f>
        <v>2.0485139063266873</v>
      </c>
      <c r="BP13" s="2">
        <f>BO13+真實IC!BP13</f>
        <v>2.0626288469729861</v>
      </c>
      <c r="BQ13" s="2">
        <f>BP13+真實IC!BQ13</f>
        <v>2.0723878675759964</v>
      </c>
      <c r="BR13" s="2">
        <f>BQ13+真實IC!BR13</f>
        <v>2.1518232411677309</v>
      </c>
      <c r="BS13" s="2">
        <f>BR13+真實IC!BS13</f>
        <v>2.1858719575264645</v>
      </c>
      <c r="BT13" s="2">
        <f>BS13+真實IC!BT13</f>
        <v>2.1808465793519893</v>
      </c>
      <c r="BU13" s="2">
        <f>BT13+真實IC!BU13</f>
        <v>2.2053628958680878</v>
      </c>
      <c r="BV13" s="2">
        <f>BU13+真實IC!BV13</f>
        <v>2.254841636803699</v>
      </c>
      <c r="BW13" s="2">
        <f>BV13+真實IC!BW13</f>
        <v>2.3147965280598877</v>
      </c>
      <c r="BX13" s="2">
        <f>BW13+真實IC!BX13</f>
        <v>2.3130084606074091</v>
      </c>
      <c r="BY13" s="2">
        <f>BX13+真實IC!BY13</f>
        <v>2.346789146018684</v>
      </c>
      <c r="BZ13" s="2">
        <f>BY13+真實IC!BZ13</f>
        <v>2.4083376959398497</v>
      </c>
      <c r="CA13" s="2">
        <f>BZ13+真實IC!CA13</f>
        <v>2.4245589665863672</v>
      </c>
      <c r="CB13" s="2">
        <f>CA13+真實IC!CB13</f>
        <v>2.4421109156852334</v>
      </c>
      <c r="CC13" s="2">
        <f>CB13+真實IC!CC13</f>
        <v>2.4410392435937869</v>
      </c>
      <c r="CD13" s="2">
        <f>CC13+真實IC!CD13</f>
        <v>2.4378534890917911</v>
      </c>
      <c r="CE13" s="2">
        <f>CD13+真實IC!CE13</f>
        <v>2.5255892500865249</v>
      </c>
      <c r="CF13" s="2">
        <f>CE13+真實IC!CF13</f>
        <v>2.5547084519367593</v>
      </c>
      <c r="CG13" s="2">
        <f>CF13+真實IC!CG13</f>
        <v>2.6039111046804204</v>
      </c>
      <c r="CH13" s="2">
        <f>CG13+真實IC!CH13</f>
        <v>2.6123127764044733</v>
      </c>
      <c r="CI13" s="2">
        <f>CH13+真實IC!CI13</f>
        <v>2.6319415672417685</v>
      </c>
      <c r="CJ13" s="2">
        <f>CI13+真實IC!CJ13</f>
        <v>2.7010262623036967</v>
      </c>
      <c r="CK13" s="2">
        <f>CJ13+真實IC!CK13</f>
        <v>2.7665433806752171</v>
      </c>
      <c r="CL13" s="2">
        <f>CK13+真實IC!CL13</f>
        <v>2.7841113487320013</v>
      </c>
      <c r="CM13" s="2">
        <f>CL13+真實IC!CM13</f>
        <v>2.7728368665642917</v>
      </c>
      <c r="CN13" s="2">
        <f>CM13+真實IC!CN13</f>
        <v>2.8864952877968779</v>
      </c>
      <c r="CO13" s="2">
        <f>CN13+真實IC!CO13</f>
        <v>2.9303691376294356</v>
      </c>
      <c r="CP13" s="2">
        <f>CO13+真實IC!CP13</f>
        <v>2.915828887083991</v>
      </c>
      <c r="CQ13" s="2">
        <f>CP13+真實IC!CQ13</f>
        <v>2.9724706192234116</v>
      </c>
      <c r="CR13" s="2">
        <f>CQ13+真實IC!CR13</f>
        <v>3.0329733436960669</v>
      </c>
      <c r="CS13" s="2">
        <f>CR13+真實IC!CS13</f>
        <v>3.0427899649780792</v>
      </c>
      <c r="CT13" s="2">
        <f>CS13+真實IC!CT13</f>
        <v>3.0513184332244632</v>
      </c>
      <c r="CU13" s="2">
        <f>CT13+真實IC!CU13</f>
        <v>3.163106484791562</v>
      </c>
      <c r="CV13" s="2">
        <f>CU13+真實IC!CV13</f>
        <v>3.2400138410048447</v>
      </c>
      <c r="CW13" s="2">
        <f>CV13+真實IC!CW13</f>
        <v>3.2738094350527036</v>
      </c>
      <c r="CX13" s="2">
        <f>CW13+真實IC!CX13</f>
        <v>3.3042253601403084</v>
      </c>
      <c r="CY13" s="2">
        <f>CX13+真實IC!CY13</f>
        <v>3.36045904604872</v>
      </c>
      <c r="CZ13" s="2">
        <f>CY13+真實IC!CZ13</f>
        <v>3.3668817788376408</v>
      </c>
      <c r="DA13" s="2">
        <f>CZ13+真實IC!DA13</f>
        <v>3.3929121779192646</v>
      </c>
      <c r="DB13" s="2">
        <f>DA13+真實IC!DB13</f>
        <v>3.4534346040856394</v>
      </c>
      <c r="DC13" s="2">
        <f>DB13+真實IC!DC13</f>
        <v>3.4562985126214398</v>
      </c>
      <c r="DD13" s="2">
        <f>DC13+真實IC!DD13</f>
        <v>3.5279917846130755</v>
      </c>
      <c r="DE13" s="2">
        <f>DD13+真實IC!DE13</f>
        <v>3.5426244506142668</v>
      </c>
      <c r="DF13" s="2">
        <f>DE13+真實IC!DF13</f>
        <v>3.5662975669612127</v>
      </c>
      <c r="DG13" s="2">
        <f>DF13+真實IC!DG13</f>
        <v>3.6311170194830811</v>
      </c>
      <c r="DH13" s="2">
        <f>DG13+真實IC!DH13</f>
        <v>3.6682919243293686</v>
      </c>
      <c r="DI13" s="2">
        <f>DH13+真實IC!DI13</f>
        <v>3.6833967179352749</v>
      </c>
      <c r="DJ13" s="2">
        <f>DI13+真實IC!DJ13</f>
        <v>3.6848883337823413</v>
      </c>
      <c r="DK13" s="2">
        <f>DJ13+真實IC!DK13</f>
        <v>3.6917411566519793</v>
      </c>
      <c r="DL13" s="2">
        <f>DK13+真實IC!DL13</f>
        <v>3.723669523579157</v>
      </c>
      <c r="DM13" s="2">
        <f>DL13+真實IC!DM13</f>
        <v>3.7134970093942936</v>
      </c>
      <c r="DN13" s="2">
        <f>DM13+真實IC!DN13</f>
        <v>3.7089922450650037</v>
      </c>
      <c r="DO13" s="2">
        <f>DN13+真實IC!DO13</f>
        <v>3.7500599616105683</v>
      </c>
      <c r="DP13" s="2">
        <f>DO13+真實IC!DP13</f>
        <v>3.8253013098616417</v>
      </c>
      <c r="DQ13" s="2">
        <f>DP13+真實IC!DQ13</f>
        <v>3.8865219055846056</v>
      </c>
      <c r="DR13" s="2">
        <f>DQ13+真實IC!DR13</f>
        <v>3.8787866520486731</v>
      </c>
      <c r="DS13" s="2">
        <f>DR13+真實IC!DS13</f>
        <v>3.9061864251977068</v>
      </c>
      <c r="DT13" s="2">
        <f>DS13+真實IC!DT13</f>
        <v>3.9335615379513698</v>
      </c>
      <c r="DU13" s="2">
        <f>DT13+真實IC!DU13</f>
        <v>3.954376448989958</v>
      </c>
      <c r="DV13" s="2">
        <f>DU13+真實IC!DV13</f>
        <v>3.9724583450326505</v>
      </c>
      <c r="DW13" s="2">
        <f>DV13+真實IC!DW13</f>
        <v>3.9512658662029017</v>
      </c>
      <c r="DX13" s="2">
        <f>DW13+真實IC!DX13</f>
        <v>3.9822991024563601</v>
      </c>
      <c r="DY13" s="2">
        <f>DX13+真實IC!DY13</f>
        <v>3.9802003886361721</v>
      </c>
      <c r="DZ13" s="2">
        <f>DY13+真實IC!DZ13</f>
        <v>4.003636736063342</v>
      </c>
      <c r="EA13" s="2">
        <f>DZ13+真實IC!EA13</f>
        <v>4.1305850036164395</v>
      </c>
      <c r="EB13" s="2">
        <f>EA13+真實IC!EB13</f>
        <v>4.1876655367980913</v>
      </c>
      <c r="EC13" s="2">
        <f>EB13+真實IC!EC13</f>
        <v>4.1780286447104285</v>
      </c>
      <c r="ED13" s="2">
        <f>EC13+真實IC!ED13</f>
        <v>4.221384214042307</v>
      </c>
      <c r="EE13" s="2">
        <f>ED13+真實IC!EE13</f>
        <v>4.2501955036465011</v>
      </c>
      <c r="EF13" s="2">
        <f>EE13+真實IC!EF13</f>
        <v>4.2828075092737601</v>
      </c>
      <c r="EG13" s="2">
        <f>EF13+真實IC!EG13</f>
        <v>4.3360691473951887</v>
      </c>
      <c r="EH13" s="2">
        <f>EG13+真實IC!EH13</f>
        <v>4.3472743776085281</v>
      </c>
      <c r="EI13" s="2">
        <f>EH13+真實IC!EI13</f>
        <v>4.34072590630731</v>
      </c>
      <c r="EJ13" s="2">
        <f>EI13+真實IC!EJ13</f>
        <v>4.3471204107926118</v>
      </c>
      <c r="EK13" s="2">
        <f>EJ13+真實IC!EK13</f>
        <v>4.3609923286180399</v>
      </c>
      <c r="EL13" s="2">
        <f>EK13+真實IC!EL13</f>
        <v>4.390574183495592</v>
      </c>
    </row>
    <row r="14" spans="1:142" x14ac:dyDescent="0.3">
      <c r="A14" s="11">
        <v>50</v>
      </c>
      <c r="B14" s="11">
        <f t="shared" si="10"/>
        <v>21</v>
      </c>
      <c r="C14" s="2">
        <v>0.13220513330973041</v>
      </c>
      <c r="D14" s="2">
        <f>C14+真實IC!D14</f>
        <v>0.13899090069123338</v>
      </c>
      <c r="E14" s="2">
        <f>D14+真實IC!E14</f>
        <v>0.16567641632870239</v>
      </c>
      <c r="F14" s="2">
        <f>E14+真實IC!F14</f>
        <v>0.14570453228993824</v>
      </c>
      <c r="G14" s="2">
        <f>F14+真實IC!G14</f>
        <v>0.22078990292220002</v>
      </c>
      <c r="H14" s="2">
        <f>G14+真實IC!H14</f>
        <v>0.22784559699124207</v>
      </c>
      <c r="I14" s="2">
        <f>H14+真實IC!I14</f>
        <v>0.1981337726573672</v>
      </c>
      <c r="J14" s="2">
        <f>I14+真實IC!J14</f>
        <v>0.17376425014492211</v>
      </c>
      <c r="K14" s="2">
        <f>J14+真實IC!K14</f>
        <v>0.17539640413981103</v>
      </c>
      <c r="L14" s="2">
        <f>K14+真實IC!L14</f>
        <v>0.11688284006983997</v>
      </c>
      <c r="M14" s="2">
        <f>L14+真實IC!M14</f>
        <v>0.11460767066788617</v>
      </c>
      <c r="N14" s="2">
        <f>M14+真實IC!N14</f>
        <v>0.18225894467791381</v>
      </c>
      <c r="O14" s="2">
        <f>N14+真實IC!O14</f>
        <v>0.17527511370597948</v>
      </c>
      <c r="P14" s="2">
        <f>O14+真實IC!P14</f>
        <v>0.18210788912016371</v>
      </c>
      <c r="Q14" s="2">
        <f>P14+真實IC!Q14</f>
        <v>0.18569556407829801</v>
      </c>
      <c r="R14" s="2">
        <f>Q14+真實IC!R14</f>
        <v>0.21443825030004668</v>
      </c>
      <c r="S14" s="2">
        <f>R14+真實IC!S14</f>
        <v>0.3540223596461578</v>
      </c>
      <c r="T14" s="2">
        <f>S14+真實IC!T14</f>
        <v>0.39766299635900049</v>
      </c>
      <c r="U14" s="2">
        <f>T14+真實IC!U14</f>
        <v>0.41400124538814825</v>
      </c>
      <c r="V14" s="2">
        <f>U14+真實IC!V14</f>
        <v>0.37976974558929066</v>
      </c>
      <c r="W14" s="2">
        <f>V14+真實IC!W14</f>
        <v>0.40664353510655171</v>
      </c>
      <c r="X14" s="2">
        <f>W14+真實IC!X14</f>
        <v>0.55879311394626296</v>
      </c>
      <c r="Y14" s="2">
        <f>X14+真實IC!Y14</f>
        <v>0.54956686392007181</v>
      </c>
      <c r="Z14" s="2">
        <f>Y14+真實IC!Z14</f>
        <v>0.65577909581749094</v>
      </c>
      <c r="AA14" s="2">
        <f>Z14+真實IC!AA14</f>
        <v>0.75263004560135727</v>
      </c>
      <c r="AB14" s="2">
        <f>AA14+真實IC!AB14</f>
        <v>0.74269483929301583</v>
      </c>
      <c r="AC14" s="2">
        <f>AB14+真實IC!AC14</f>
        <v>0.76251920837486298</v>
      </c>
      <c r="AD14" s="2">
        <f>AC14+真實IC!AD14</f>
        <v>0.77626317756591146</v>
      </c>
      <c r="AE14" s="2">
        <f>AD14+真實IC!AE14</f>
        <v>0.88455956188231888</v>
      </c>
      <c r="AF14" s="2">
        <f>AE14+真實IC!AF14</f>
        <v>0.96140292798334392</v>
      </c>
      <c r="AG14" s="2">
        <f>AF14+真實IC!AG14</f>
        <v>0.9672821929508677</v>
      </c>
      <c r="AH14" s="2">
        <f>AG14+真實IC!AH14</f>
        <v>0.91640279682925674</v>
      </c>
      <c r="AI14" s="2">
        <f>AH14+真實IC!AI14</f>
        <v>0.88899981090385782</v>
      </c>
      <c r="AJ14" s="2">
        <f>AI14+真實IC!AJ14</f>
        <v>0.92070069787704445</v>
      </c>
      <c r="AK14" s="2">
        <f>AJ14+真實IC!AK14</f>
        <v>0.98352603212137923</v>
      </c>
      <c r="AL14" s="2">
        <f>AK14+真實IC!AL14</f>
        <v>1.0307356495551161</v>
      </c>
      <c r="AM14" s="2">
        <f>AL14+真實IC!AM14</f>
        <v>1.0308668873782123</v>
      </c>
      <c r="AN14" s="2">
        <f>AM14+真實IC!AN14</f>
        <v>1.075849659005031</v>
      </c>
      <c r="AO14" s="2">
        <f>AN14+真實IC!AO14</f>
        <v>1.1084543267880276</v>
      </c>
      <c r="AP14" s="2">
        <f>AO14+真實IC!AP14</f>
        <v>1.1510587256786675</v>
      </c>
      <c r="AQ14" s="2">
        <f>AP14+真實IC!AQ14</f>
        <v>1.1707244109556447</v>
      </c>
      <c r="AR14" s="2">
        <f>AQ14+真實IC!AR14</f>
        <v>1.1780996677708322</v>
      </c>
      <c r="AS14" s="2">
        <f>AR14+真實IC!AS14</f>
        <v>1.1646216662158557</v>
      </c>
      <c r="AT14" s="2">
        <f>AS14+真實IC!AT14</f>
        <v>1.3024360797198411</v>
      </c>
      <c r="AU14" s="2">
        <f>AT14+真實IC!AU14</f>
        <v>1.3799532702378932</v>
      </c>
      <c r="AV14" s="2">
        <f>AU14+真實IC!AV14</f>
        <v>1.4906659445605455</v>
      </c>
      <c r="AW14" s="2">
        <f>AV14+真實IC!AW14</f>
        <v>1.5559254950429964</v>
      </c>
      <c r="AX14" s="2">
        <f>AW14+真實IC!AX14</f>
        <v>1.5966954785772949</v>
      </c>
      <c r="AY14" s="2">
        <f>AX14+真實IC!AY14</f>
        <v>1.5957227110846266</v>
      </c>
      <c r="AZ14" s="2">
        <f>AY14+真實IC!AZ14</f>
        <v>1.6360107963505948</v>
      </c>
      <c r="BA14" s="2">
        <f>AZ14+真實IC!BA14</f>
        <v>1.6902655443948011</v>
      </c>
      <c r="BB14" s="2">
        <f>BA14+真實IC!BB14</f>
        <v>1.7680841380279495</v>
      </c>
      <c r="BC14" s="2">
        <f>BB14+真實IC!BC14</f>
        <v>1.7100014282974192</v>
      </c>
      <c r="BD14" s="2">
        <f>BC14+真實IC!BD14</f>
        <v>1.6749285504664446</v>
      </c>
      <c r="BE14" s="2">
        <f>BD14+真實IC!BE14</f>
        <v>1.7467406680384723</v>
      </c>
      <c r="BF14" s="2">
        <f>BE14+真實IC!BF14</f>
        <v>1.9040318944251207</v>
      </c>
      <c r="BG14" s="2">
        <f>BF14+真實IC!BG14</f>
        <v>2.0311049203397684</v>
      </c>
      <c r="BH14" s="2">
        <f>BG14+真實IC!BH14</f>
        <v>2.0958165453994959</v>
      </c>
      <c r="BI14" s="2">
        <f>BH14+真實IC!BI14</f>
        <v>2.1259039626914955</v>
      </c>
      <c r="BJ14" s="2">
        <f>BI14+真實IC!BJ14</f>
        <v>2.1322322519346848</v>
      </c>
      <c r="BK14" s="2">
        <f>BJ14+真實IC!BK14</f>
        <v>2.2210756588978109</v>
      </c>
      <c r="BL14" s="2">
        <f>BK14+真實IC!BL14</f>
        <v>2.2535794448798501</v>
      </c>
      <c r="BM14" s="2">
        <f>BL14+真實IC!BM14</f>
        <v>2.2865006097032952</v>
      </c>
      <c r="BN14" s="2">
        <f>BM14+真實IC!BN14</f>
        <v>2.3153922729693637</v>
      </c>
      <c r="BO14" s="2">
        <f>BN14+真實IC!BO14</f>
        <v>2.3694267017588961</v>
      </c>
      <c r="BP14" s="2">
        <f>BO14+真實IC!BP14</f>
        <v>2.3820497258082591</v>
      </c>
      <c r="BQ14" s="2">
        <f>BP14+真實IC!BQ14</f>
        <v>2.3587868895532722</v>
      </c>
      <c r="BR14" s="2">
        <f>BQ14+真實IC!BR14</f>
        <v>2.4386337356563028</v>
      </c>
      <c r="BS14" s="2">
        <f>BR14+真實IC!BS14</f>
        <v>2.4682453508370465</v>
      </c>
      <c r="BT14" s="2">
        <f>BS14+真實IC!BT14</f>
        <v>2.4312000796581961</v>
      </c>
      <c r="BU14" s="2">
        <f>BT14+真實IC!BU14</f>
        <v>2.4515139678078905</v>
      </c>
      <c r="BV14" s="2">
        <f>BU14+真實IC!BV14</f>
        <v>2.5325949740985623</v>
      </c>
      <c r="BW14" s="2">
        <f>BV14+真實IC!BW14</f>
        <v>2.6274081602920876</v>
      </c>
      <c r="BX14" s="2">
        <f>BW14+真實IC!BX14</f>
        <v>2.5963919339663244</v>
      </c>
      <c r="BY14" s="2">
        <f>BX14+真實IC!BY14</f>
        <v>2.5935674313177643</v>
      </c>
      <c r="BZ14" s="2">
        <f>BY14+真實IC!BZ14</f>
        <v>2.6754981255259125</v>
      </c>
      <c r="CA14" s="2">
        <f>BZ14+真實IC!CA14</f>
        <v>2.7542217228898043</v>
      </c>
      <c r="CB14" s="2">
        <f>CA14+真實IC!CB14</f>
        <v>2.7684142313412075</v>
      </c>
      <c r="CC14" s="2">
        <f>CB14+真實IC!CC14</f>
        <v>2.7778698828990462</v>
      </c>
      <c r="CD14" s="2">
        <f>CC14+真實IC!CD14</f>
        <v>2.7310545338270651</v>
      </c>
      <c r="CE14" s="2">
        <f>CD14+真實IC!CE14</f>
        <v>2.8253325527156132</v>
      </c>
      <c r="CF14" s="2">
        <f>CE14+真實IC!CF14</f>
        <v>2.8760883255627392</v>
      </c>
      <c r="CG14" s="2">
        <f>CF14+真實IC!CG14</f>
        <v>2.9412492939572563</v>
      </c>
      <c r="CH14" s="2">
        <f>CG14+真實IC!CH14</f>
        <v>3.0121819112717909</v>
      </c>
      <c r="CI14" s="2">
        <f>CH14+真實IC!CI14</f>
        <v>2.9809438276526277</v>
      </c>
      <c r="CJ14" s="2">
        <f>CI14+真實IC!CJ14</f>
        <v>3.0423818175490323</v>
      </c>
      <c r="CK14" s="2">
        <f>CJ14+真實IC!CK14</f>
        <v>3.0963245096761125</v>
      </c>
      <c r="CL14" s="2">
        <f>CK14+真實IC!CL14</f>
        <v>3.1374094666985823</v>
      </c>
      <c r="CM14" s="2">
        <f>CL14+真實IC!CM14</f>
        <v>3.0854340388830606</v>
      </c>
      <c r="CN14" s="2">
        <f>CM14+真實IC!CN14</f>
        <v>3.2997960102301755</v>
      </c>
      <c r="CO14" s="2">
        <f>CN14+真實IC!CO14</f>
        <v>3.3710867376956228</v>
      </c>
      <c r="CP14" s="2">
        <f>CO14+真實IC!CP14</f>
        <v>3.304441297007727</v>
      </c>
      <c r="CQ14" s="2">
        <f>CP14+真實IC!CQ14</f>
        <v>3.3214252829911306</v>
      </c>
      <c r="CR14" s="2">
        <f>CQ14+真實IC!CR14</f>
        <v>3.3647449211950944</v>
      </c>
      <c r="CS14" s="2">
        <f>CR14+真實IC!CS14</f>
        <v>3.3769140078866275</v>
      </c>
      <c r="CT14" s="2">
        <f>CS14+真實IC!CT14</f>
        <v>3.3497361032505073</v>
      </c>
      <c r="CU14" s="2">
        <f>CT14+真實IC!CU14</f>
        <v>3.4802294225133568</v>
      </c>
      <c r="CV14" s="2">
        <f>CU14+真實IC!CV14</f>
        <v>3.6149691701451343</v>
      </c>
      <c r="CW14" s="2">
        <f>CV14+真實IC!CW14</f>
        <v>3.6561771134445853</v>
      </c>
      <c r="CX14" s="2">
        <f>CW14+真實IC!CX14</f>
        <v>3.7097366342045692</v>
      </c>
      <c r="CY14" s="2">
        <f>CX14+真實IC!CY14</f>
        <v>3.8194082579708617</v>
      </c>
      <c r="CZ14" s="2">
        <f>CY14+真實IC!CZ14</f>
        <v>3.8587037867822782</v>
      </c>
      <c r="DA14" s="2">
        <f>CZ14+真實IC!DA14</f>
        <v>3.8247774167119348</v>
      </c>
      <c r="DB14" s="2">
        <f>DA14+真實IC!DB14</f>
        <v>3.9251778115494362</v>
      </c>
      <c r="DC14" s="2">
        <f>DB14+真實IC!DC14</f>
        <v>3.9628766910859996</v>
      </c>
      <c r="DD14" s="2">
        <f>DC14+真實IC!DD14</f>
        <v>4.0616114595050927</v>
      </c>
      <c r="DE14" s="2">
        <f>DD14+真實IC!DE14</f>
        <v>4.1206848618006982</v>
      </c>
      <c r="DF14" s="2">
        <f>DE14+真實IC!DF14</f>
        <v>4.2111678691219785</v>
      </c>
      <c r="DG14" s="2">
        <f>DF14+真實IC!DG14</f>
        <v>4.2958011165003933</v>
      </c>
      <c r="DH14" s="2">
        <f>DG14+真實IC!DH14</f>
        <v>4.3284773539682613</v>
      </c>
      <c r="DI14" s="2">
        <f>DH14+真實IC!DI14</f>
        <v>4.3146233527322959</v>
      </c>
      <c r="DJ14" s="2">
        <f>DI14+真實IC!DJ14</f>
        <v>4.3052871411402718</v>
      </c>
      <c r="DK14" s="2">
        <f>DJ14+真實IC!DK14</f>
        <v>4.2821339314669524</v>
      </c>
      <c r="DL14" s="2">
        <f>DK14+真實IC!DL14</f>
        <v>4.3220065647099402</v>
      </c>
      <c r="DM14" s="2">
        <f>DL14+真實IC!DM14</f>
        <v>4.3061269127510222</v>
      </c>
      <c r="DN14" s="2">
        <f>DM14+真實IC!DN14</f>
        <v>4.3708071039616856</v>
      </c>
      <c r="DO14" s="2">
        <f>DN14+真實IC!DO14</f>
        <v>4.4382986589530455</v>
      </c>
      <c r="DP14" s="2">
        <f>DO14+真實IC!DP14</f>
        <v>4.5203985317018631</v>
      </c>
      <c r="DQ14" s="2">
        <f>DP14+真實IC!DQ14</f>
        <v>4.5530440647180308</v>
      </c>
      <c r="DR14" s="2">
        <f>DQ14+真實IC!DR14</f>
        <v>4.5412401247377296</v>
      </c>
      <c r="DS14" s="2">
        <f>DR14+真實IC!DS14</f>
        <v>4.609765432574946</v>
      </c>
      <c r="DT14" s="2">
        <f>DS14+真實IC!DT14</f>
        <v>4.6248907176753935</v>
      </c>
      <c r="DU14" s="2">
        <f>DT14+真實IC!DU14</f>
        <v>4.712637408998793</v>
      </c>
      <c r="DV14" s="2">
        <f>DU14+真實IC!DV14</f>
        <v>4.7453405210106601</v>
      </c>
      <c r="DW14" s="2">
        <f>DV14+真實IC!DW14</f>
        <v>4.7356208352451228</v>
      </c>
      <c r="DX14" s="2">
        <f>DW14+真實IC!DX14</f>
        <v>4.7544476227235908</v>
      </c>
      <c r="DY14" s="2">
        <f>DX14+真實IC!DY14</f>
        <v>4.783404250777151</v>
      </c>
      <c r="DZ14" s="2">
        <f>DY14+真實IC!DZ14</f>
        <v>4.7715041551201187</v>
      </c>
      <c r="EA14" s="2">
        <f>DZ14+真實IC!EA14</f>
        <v>4.8397886383430864</v>
      </c>
      <c r="EB14" s="2">
        <f>EA14+真實IC!EB14</f>
        <v>4.9244084550061702</v>
      </c>
      <c r="EC14" s="2">
        <f>EB14+真實IC!EC14</f>
        <v>4.8746720496477556</v>
      </c>
      <c r="ED14" s="2">
        <f>EC14+真實IC!ED14</f>
        <v>4.9248133717174687</v>
      </c>
      <c r="EE14" s="2">
        <f>ED14+真實IC!EE14</f>
        <v>4.9699450873921958</v>
      </c>
      <c r="EF14" s="2">
        <f>EE14+真實IC!EF14</f>
        <v>5.0666343306042538</v>
      </c>
      <c r="EG14" s="2">
        <f>EF14+真實IC!EG14</f>
        <v>5.192599142273739</v>
      </c>
      <c r="EH14" s="2">
        <f>EG14+真實IC!EH14</f>
        <v>5.2042771955246376</v>
      </c>
      <c r="EI14" s="2">
        <f>EH14+真實IC!EI14</f>
        <v>5.2546690880451692</v>
      </c>
      <c r="EJ14" s="2">
        <f>EI14+真實IC!EJ14</f>
        <v>5.2647227353123833</v>
      </c>
      <c r="EK14" s="2">
        <f>EJ14+真實IC!EK14</f>
        <v>5.3425123800177676</v>
      </c>
      <c r="EL14" s="2">
        <f>EK14+真實IC!EL14</f>
        <v>5.4367109992596649</v>
      </c>
    </row>
    <row r="15" spans="1:142" x14ac:dyDescent="0.3">
      <c r="A15" s="11">
        <v>110</v>
      </c>
      <c r="B15" s="11">
        <f t="shared" si="10"/>
        <v>10</v>
      </c>
      <c r="C15" s="2">
        <v>0.24155842264248281</v>
      </c>
      <c r="D15" s="2">
        <f>C15+真實IC!D15</f>
        <v>0.25422757078811709</v>
      </c>
      <c r="E15" s="2">
        <f>D15+真實IC!E15</f>
        <v>0.2907058656124899</v>
      </c>
      <c r="F15" s="2">
        <f>E15+真實IC!F15</f>
        <v>0.21828160970976263</v>
      </c>
      <c r="G15" s="2">
        <f>F15+真實IC!G15</f>
        <v>0.22081738947579826</v>
      </c>
      <c r="H15" s="2">
        <f>G15+真實IC!H15</f>
        <v>0.23715479578427195</v>
      </c>
      <c r="I15" s="2">
        <f>H15+真實IC!I15</f>
        <v>0.12928152241238025</v>
      </c>
      <c r="J15" s="2">
        <f>I15+真實IC!J15</f>
        <v>8.5833654982954838E-2</v>
      </c>
      <c r="K15" s="2">
        <f>J15+真實IC!K15</f>
        <v>0.13168974966218222</v>
      </c>
      <c r="L15" s="2">
        <f>K15+真實IC!L15</f>
        <v>2.8181627603427323E-2</v>
      </c>
      <c r="M15" s="2">
        <f>L15+真實IC!M15</f>
        <v>8.4477486471120383E-2</v>
      </c>
      <c r="N15" s="2">
        <f>M15+真實IC!N15</f>
        <v>0.17424980311288729</v>
      </c>
      <c r="O15" s="2">
        <f>N15+真實IC!O15</f>
        <v>0.15535326011270681</v>
      </c>
      <c r="P15" s="2">
        <f>O15+真實IC!P15</f>
        <v>0.20163669438052004</v>
      </c>
      <c r="Q15" s="2">
        <f>P15+真實IC!Q15</f>
        <v>0.17095907698729171</v>
      </c>
      <c r="R15" s="2">
        <f>Q15+真實IC!R15</f>
        <v>0.25663235729661138</v>
      </c>
      <c r="S15" s="2">
        <f>R15+真實IC!S15</f>
        <v>0.43686850202472505</v>
      </c>
      <c r="T15" s="2">
        <f>S15+真實IC!T15</f>
        <v>0.49506698879301353</v>
      </c>
      <c r="U15" s="2">
        <f>T15+真實IC!U15</f>
        <v>0.44727325389874073</v>
      </c>
      <c r="V15" s="2">
        <f>U15+真實IC!V15</f>
        <v>0.38667325820904208</v>
      </c>
      <c r="W15" s="2">
        <f>V15+真實IC!W15</f>
        <v>0.40211423590623352</v>
      </c>
      <c r="X15" s="2">
        <f>W15+真實IC!X15</f>
        <v>0.60695519177363544</v>
      </c>
      <c r="Y15" s="2">
        <f>X15+真實IC!Y15</f>
        <v>0.6181719967412358</v>
      </c>
      <c r="Z15" s="2">
        <f>Y15+真實IC!Z15</f>
        <v>0.6665383661373192</v>
      </c>
      <c r="AA15" s="2">
        <f>Z15+真實IC!AA15</f>
        <v>0.79544726714762581</v>
      </c>
      <c r="AB15" s="2">
        <f>AA15+真實IC!AB15</f>
        <v>0.76321411796729965</v>
      </c>
      <c r="AC15" s="2">
        <f>AB15+真實IC!AC15</f>
        <v>0.72933087191067159</v>
      </c>
      <c r="AD15" s="2">
        <f>AC15+真實IC!AD15</f>
        <v>0.68232351333365304</v>
      </c>
      <c r="AE15" s="2">
        <f>AD15+真實IC!AE15</f>
        <v>0.85834668092007571</v>
      </c>
      <c r="AF15" s="2">
        <f>AE15+真實IC!AF15</f>
        <v>0.99083338570178325</v>
      </c>
      <c r="AG15" s="2">
        <f>AF15+真實IC!AG15</f>
        <v>0.98797174990665704</v>
      </c>
      <c r="AH15" s="2">
        <f>AG15+真實IC!AH15</f>
        <v>0.94088105711101966</v>
      </c>
      <c r="AI15" s="2">
        <f>AH15+真實IC!AI15</f>
        <v>0.92230852921531825</v>
      </c>
      <c r="AJ15" s="2">
        <f>AI15+真實IC!AJ15</f>
        <v>0.97528295665578968</v>
      </c>
      <c r="AK15" s="2">
        <f>AJ15+真實IC!AK15</f>
        <v>0.98320727616741155</v>
      </c>
      <c r="AL15" s="2">
        <f>AK15+真實IC!AL15</f>
        <v>1.0536056131358595</v>
      </c>
      <c r="AM15" s="2">
        <f>AL15+真實IC!AM15</f>
        <v>0.96682202411849483</v>
      </c>
      <c r="AN15" s="2">
        <f>AM15+真實IC!AN15</f>
        <v>0.98752611832869119</v>
      </c>
      <c r="AO15" s="2">
        <f>AN15+真實IC!AO15</f>
        <v>1.0313244654158302</v>
      </c>
      <c r="AP15" s="2">
        <f>AO15+真實IC!AP15</f>
        <v>1.0882817215650442</v>
      </c>
      <c r="AQ15" s="2">
        <f>AP15+真實IC!AQ15</f>
        <v>1.0501792528104763</v>
      </c>
      <c r="AR15" s="2">
        <f>AQ15+真實IC!AR15</f>
        <v>1.0614976222979775</v>
      </c>
      <c r="AS15" s="2">
        <f>AR15+真實IC!AS15</f>
        <v>0.99646881867872728</v>
      </c>
      <c r="AT15" s="2">
        <f>AS15+真實IC!AT15</f>
        <v>1.2043077765478638</v>
      </c>
      <c r="AU15" s="2">
        <f>AT15+真實IC!AU15</f>
        <v>1.2952405045774731</v>
      </c>
      <c r="AV15" s="2">
        <f>AU15+真實IC!AV15</f>
        <v>1.3863243141429427</v>
      </c>
      <c r="AW15" s="2">
        <f>AV15+真實IC!AW15</f>
        <v>1.4835354673013699</v>
      </c>
      <c r="AX15" s="2">
        <f>AW15+真實IC!AX15</f>
        <v>1.5976151604482183</v>
      </c>
      <c r="AY15" s="2">
        <f>AX15+真實IC!AY15</f>
        <v>1.585307063847271</v>
      </c>
      <c r="AZ15" s="2">
        <f>AY15+真實IC!AZ15</f>
        <v>1.6267863582644191</v>
      </c>
      <c r="BA15" s="2">
        <f>AZ15+真實IC!BA15</f>
        <v>1.7158326945160614</v>
      </c>
      <c r="BB15" s="2">
        <f>BA15+真實IC!BB15</f>
        <v>1.8508630071495713</v>
      </c>
      <c r="BC15" s="2">
        <f>BB15+真實IC!BC15</f>
        <v>1.79730696877313</v>
      </c>
      <c r="BD15" s="2">
        <f>BC15+真實IC!BD15</f>
        <v>1.8222996385763388</v>
      </c>
      <c r="BE15" s="2">
        <f>BD15+真實IC!BE15</f>
        <v>1.8856324774217761</v>
      </c>
      <c r="BF15" s="2">
        <f>BE15+真實IC!BF15</f>
        <v>2.1127328809090722</v>
      </c>
      <c r="BG15" s="2">
        <f>BF15+真實IC!BG15</f>
        <v>2.2191272515732692</v>
      </c>
      <c r="BH15" s="2">
        <f>BG15+真實IC!BH15</f>
        <v>2.3142893792753196</v>
      </c>
      <c r="BI15" s="2">
        <f>BH15+真實IC!BI15</f>
        <v>2.3583753570668935</v>
      </c>
      <c r="BJ15" s="2">
        <f>BI15+真實IC!BJ15</f>
        <v>2.4045303918408187</v>
      </c>
      <c r="BK15" s="2">
        <f>BJ15+真實IC!BK15</f>
        <v>2.5086679463430306</v>
      </c>
      <c r="BL15" s="2">
        <f>BK15+真實IC!BL15</f>
        <v>2.5845596622777744</v>
      </c>
      <c r="BM15" s="2">
        <f>BL15+真實IC!BM15</f>
        <v>2.6390524941916027</v>
      </c>
      <c r="BN15" s="2">
        <f>BM15+真實IC!BN15</f>
        <v>2.7396287187684933</v>
      </c>
      <c r="BO15" s="2">
        <f>BN15+真實IC!BO15</f>
        <v>2.7776445266021037</v>
      </c>
      <c r="BP15" s="2">
        <f>BO15+真實IC!BP15</f>
        <v>2.7626112473138202</v>
      </c>
      <c r="BQ15" s="2">
        <f>BP15+真實IC!BQ15</f>
        <v>2.7022998746805387</v>
      </c>
      <c r="BR15" s="2">
        <f>BQ15+真實IC!BR15</f>
        <v>2.8123427185751599</v>
      </c>
      <c r="BS15" s="2">
        <f>BR15+真實IC!BS15</f>
        <v>2.8163214965748584</v>
      </c>
      <c r="BT15" s="2">
        <f>BS15+真實IC!BT15</f>
        <v>2.7670942551538027</v>
      </c>
      <c r="BU15" s="2">
        <f>BT15+真實IC!BU15</f>
        <v>2.7743551372555881</v>
      </c>
      <c r="BV15" s="2">
        <f>BU15+真實IC!BV15</f>
        <v>2.8382035600259954</v>
      </c>
      <c r="BW15" s="2">
        <f>BV15+真實IC!BW15</f>
        <v>3.1536391223045639</v>
      </c>
      <c r="BX15" s="2">
        <f>BW15+真實IC!BX15</f>
        <v>3.1017925897402954</v>
      </c>
      <c r="BY15" s="2">
        <f>BX15+真實IC!BY15</f>
        <v>3.0555041930710569</v>
      </c>
      <c r="BZ15" s="2">
        <f>BY15+真實IC!BZ15</f>
        <v>3.0710359270351701</v>
      </c>
      <c r="CA15" s="2">
        <f>BZ15+真實IC!CA15</f>
        <v>3.2505996926384806</v>
      </c>
      <c r="CB15" s="2">
        <f>CA15+真實IC!CB15</f>
        <v>3.1478334096885896</v>
      </c>
      <c r="CC15" s="2">
        <f>CB15+真實IC!CC15</f>
        <v>3.2556606665518042</v>
      </c>
      <c r="CD15" s="2">
        <f>CC15+真實IC!CD15</f>
        <v>3.2338557348088934</v>
      </c>
      <c r="CE15" s="2">
        <f>CD15+真實IC!CE15</f>
        <v>3.3424592818406462</v>
      </c>
      <c r="CF15" s="2">
        <f>CE15+真實IC!CF15</f>
        <v>3.4289036441311067</v>
      </c>
      <c r="CG15" s="2">
        <f>CF15+真實IC!CG15</f>
        <v>3.5328129643877455</v>
      </c>
      <c r="CH15" s="2">
        <f>CG15+真實IC!CH15</f>
        <v>3.5896383949355002</v>
      </c>
      <c r="CI15" s="2">
        <f>CH15+真實IC!CI15</f>
        <v>3.5777298674769318</v>
      </c>
      <c r="CJ15" s="2">
        <f>CI15+真實IC!CJ15</f>
        <v>3.632604317607433</v>
      </c>
      <c r="CK15" s="2">
        <f>CJ15+真實IC!CK15</f>
        <v>3.7760261443141743</v>
      </c>
      <c r="CL15" s="2">
        <f>CK15+真實IC!CL15</f>
        <v>3.7163514475912414</v>
      </c>
      <c r="CM15" s="2">
        <f>CL15+真實IC!CM15</f>
        <v>3.6794466476729975</v>
      </c>
      <c r="CN15" s="2">
        <f>CM15+真實IC!CN15</f>
        <v>3.8480892605807875</v>
      </c>
      <c r="CO15" s="2">
        <f>CN15+真實IC!CO15</f>
        <v>4.0431853322904328</v>
      </c>
      <c r="CP15" s="2">
        <f>CO15+真實IC!CP15</f>
        <v>3.9643602473718715</v>
      </c>
      <c r="CQ15" s="2">
        <f>CP15+真實IC!CQ15</f>
        <v>3.9708085368017825</v>
      </c>
      <c r="CR15" s="2">
        <f>CQ15+真實IC!CR15</f>
        <v>4.0796938196042003</v>
      </c>
      <c r="CS15" s="2">
        <f>CR15+真實IC!CS15</f>
        <v>4.0886950796372838</v>
      </c>
      <c r="CT15" s="2">
        <f>CS15+真實IC!CT15</f>
        <v>4.0572685698045321</v>
      </c>
      <c r="CU15" s="2">
        <f>CT15+真實IC!CU15</f>
        <v>4.2176646243506175</v>
      </c>
      <c r="CV15" s="2">
        <f>CU15+真實IC!CV15</f>
        <v>4.3765008996402548</v>
      </c>
      <c r="CW15" s="2">
        <f>CV15+真實IC!CW15</f>
        <v>4.4076701102643279</v>
      </c>
      <c r="CX15" s="2">
        <f>CW15+真實IC!CX15</f>
        <v>4.4933804530314587</v>
      </c>
      <c r="CY15" s="2">
        <f>CX15+真實IC!CY15</f>
        <v>4.5615381429120232</v>
      </c>
      <c r="CZ15" s="2">
        <f>CY15+真實IC!CZ15</f>
        <v>4.5560810959313827</v>
      </c>
      <c r="DA15" s="2">
        <f>CZ15+真實IC!DA15</f>
        <v>4.6167029219528475</v>
      </c>
      <c r="DB15" s="2">
        <f>DA15+真實IC!DB15</f>
        <v>4.8350676142397759</v>
      </c>
      <c r="DC15" s="2">
        <f>DB15+真實IC!DC15</f>
        <v>4.8690166201522347</v>
      </c>
      <c r="DD15" s="2">
        <f>DC15+真實IC!DD15</f>
        <v>4.9360134242618967</v>
      </c>
      <c r="DE15" s="2">
        <f>DD15+真實IC!DE15</f>
        <v>5.013390044654205</v>
      </c>
      <c r="DF15" s="2">
        <f>DE15+真實IC!DF15</f>
        <v>5.000511162188527</v>
      </c>
      <c r="DG15" s="2">
        <f>DF15+真實IC!DG15</f>
        <v>5.0985204742708019</v>
      </c>
      <c r="DH15" s="2">
        <f>DG15+真實IC!DH15</f>
        <v>5.1000416398000272</v>
      </c>
      <c r="DI15" s="2">
        <f>DH15+真實IC!DI15</f>
        <v>5.0715731730949756</v>
      </c>
      <c r="DJ15" s="2">
        <f>DI15+真實IC!DJ15</f>
        <v>5.1343521423083658</v>
      </c>
      <c r="DK15" s="2">
        <f>DJ15+真實IC!DK15</f>
        <v>5.1138770480576099</v>
      </c>
      <c r="DL15" s="2">
        <f>DK15+真實IC!DL15</f>
        <v>5.1590514419587086</v>
      </c>
      <c r="DM15" s="2">
        <f>DL15+真實IC!DM15</f>
        <v>5.2114615142285832</v>
      </c>
      <c r="DN15" s="2">
        <f>DM15+真實IC!DN15</f>
        <v>5.32263604765767</v>
      </c>
      <c r="DO15" s="2">
        <f>DN15+真實IC!DO15</f>
        <v>5.3646717799957342</v>
      </c>
      <c r="DP15" s="2">
        <f>DO15+真實IC!DP15</f>
        <v>5.514539829683228</v>
      </c>
      <c r="DQ15" s="2">
        <f>DP15+真實IC!DQ15</f>
        <v>5.5405316001527538</v>
      </c>
      <c r="DR15" s="2">
        <f>DQ15+真實IC!DR15</f>
        <v>5.5845713749528194</v>
      </c>
      <c r="DS15" s="2">
        <f>DR15+真實IC!DS15</f>
        <v>5.61492974452129</v>
      </c>
      <c r="DT15" s="2">
        <f>DS15+真實IC!DT15</f>
        <v>5.6373852011658618</v>
      </c>
      <c r="DU15" s="2">
        <f>DT15+真實IC!DU15</f>
        <v>5.7930900838276775</v>
      </c>
      <c r="DV15" s="2">
        <f>DU15+真實IC!DV15</f>
        <v>5.8018990928896859</v>
      </c>
      <c r="DW15" s="2">
        <f>DV15+真實IC!DW15</f>
        <v>5.7857013902936991</v>
      </c>
      <c r="DX15" s="2">
        <f>DW15+真實IC!DX15</f>
        <v>5.8216055003663296</v>
      </c>
      <c r="DY15" s="2">
        <f>DX15+真實IC!DY15</f>
        <v>5.7418053046919981</v>
      </c>
      <c r="DZ15" s="2">
        <f>DY15+真實IC!DZ15</f>
        <v>5.7010462543024056</v>
      </c>
      <c r="EA15" s="2">
        <f>DZ15+真實IC!EA15</f>
        <v>5.6635765784269223</v>
      </c>
      <c r="EB15" s="2">
        <f>EA15+真實IC!EB15</f>
        <v>5.7769418319480117</v>
      </c>
      <c r="EC15" s="2">
        <f>EB15+真實IC!EC15</f>
        <v>5.6890471403567267</v>
      </c>
      <c r="ED15" s="2">
        <f>EC15+真實IC!ED15</f>
        <v>5.7846278086255118</v>
      </c>
      <c r="EE15" s="2">
        <f>ED15+真實IC!EE15</f>
        <v>5.8407186782988667</v>
      </c>
      <c r="EF15" s="2">
        <f>EE15+真實IC!EF15</f>
        <v>5.9482185647048951</v>
      </c>
      <c r="EG15" s="2">
        <f>EF15+真實IC!EG15</f>
        <v>6.2096673062838317</v>
      </c>
      <c r="EH15" s="2">
        <f>EG15+真實IC!EH15</f>
        <v>6.2330176595200859</v>
      </c>
      <c r="EI15" s="2">
        <f>EH15+真實IC!EI15</f>
        <v>6.2059193522445151</v>
      </c>
      <c r="EJ15" s="2">
        <f>EI15+真實IC!EJ15</f>
        <v>6.2168734208650278</v>
      </c>
      <c r="EK15" s="2">
        <f>EJ15+真實IC!EK15</f>
        <v>6.3309731176773756</v>
      </c>
      <c r="EL15" s="2">
        <f>EK15+真實IC!EL15</f>
        <v>6.3717434919176563</v>
      </c>
    </row>
    <row r="16" spans="1:142" x14ac:dyDescent="0.3">
      <c r="A16" s="11">
        <v>120</v>
      </c>
      <c r="B16" s="11">
        <f t="shared" si="10"/>
        <v>9</v>
      </c>
      <c r="C16" s="2">
        <v>0.26072770983563209</v>
      </c>
      <c r="D16" s="2">
        <f>C16+真實IC!D16</f>
        <v>0.28530424371393659</v>
      </c>
      <c r="E16" s="2">
        <f>D16+真實IC!E16</f>
        <v>0.2840496038960359</v>
      </c>
      <c r="F16" s="2">
        <f>E16+真實IC!F16</f>
        <v>0.18250449650447498</v>
      </c>
      <c r="G16" s="2">
        <f>F16+真實IC!G16</f>
        <v>0.27085287861999258</v>
      </c>
      <c r="H16" s="2">
        <f>G16+真實IC!H16</f>
        <v>0.29671521895112124</v>
      </c>
      <c r="I16" s="2">
        <f>H16+真實IC!I16</f>
        <v>0.18067691338766556</v>
      </c>
      <c r="J16" s="2">
        <f>I16+真實IC!J16</f>
        <v>0.12832043237922186</v>
      </c>
      <c r="K16" s="2">
        <f>J16+真實IC!K16</f>
        <v>0.16383284726869843</v>
      </c>
      <c r="L16" s="2">
        <f>K16+真實IC!L16</f>
        <v>7.1326687251586779E-2</v>
      </c>
      <c r="M16" s="2">
        <f>L16+真實IC!M16</f>
        <v>0.12525277925055389</v>
      </c>
      <c r="N16" s="2">
        <f>M16+真實IC!N16</f>
        <v>0.21204377536787594</v>
      </c>
      <c r="O16" s="2">
        <f>N16+真實IC!O16</f>
        <v>0.18267182730573622</v>
      </c>
      <c r="P16" s="2">
        <f>O16+真實IC!P16</f>
        <v>0.22211736744515934</v>
      </c>
      <c r="Q16" s="2">
        <f>P16+真實IC!Q16</f>
        <v>0.21944109951412899</v>
      </c>
      <c r="R16" s="2">
        <f>Q16+真實IC!R16</f>
        <v>0.28733785415596991</v>
      </c>
      <c r="S16" s="2">
        <f>R16+真實IC!S16</f>
        <v>0.4835673166971392</v>
      </c>
      <c r="T16" s="2">
        <f>S16+真實IC!T16</f>
        <v>0.57779404285073199</v>
      </c>
      <c r="U16" s="2">
        <f>T16+真實IC!U16</f>
        <v>0.52317294116007984</v>
      </c>
      <c r="V16" s="2">
        <f>U16+真實IC!V16</f>
        <v>0.44787705893145296</v>
      </c>
      <c r="W16" s="2">
        <f>V16+真實IC!W16</f>
        <v>0.51062110165261698</v>
      </c>
      <c r="X16" s="2">
        <f>W16+真實IC!X16</f>
        <v>0.69403266424450816</v>
      </c>
      <c r="Y16" s="2">
        <f>X16+真實IC!Y16</f>
        <v>0.71026987987814694</v>
      </c>
      <c r="Z16" s="2">
        <f>Y16+真實IC!Z16</f>
        <v>0.75875840869280509</v>
      </c>
      <c r="AA16" s="2">
        <f>Z16+真實IC!AA16</f>
        <v>0.88790992983417105</v>
      </c>
      <c r="AB16" s="2">
        <f>AA16+真實IC!AB16</f>
        <v>0.85480409260854717</v>
      </c>
      <c r="AC16" s="2">
        <f>AB16+真實IC!AC16</f>
        <v>0.82971747046573618</v>
      </c>
      <c r="AD16" s="2">
        <f>AC16+真實IC!AD16</f>
        <v>0.8178339364971996</v>
      </c>
      <c r="AE16" s="2">
        <f>AD16+真實IC!AE16</f>
        <v>1.0122041100414967</v>
      </c>
      <c r="AF16" s="2">
        <f>AE16+真實IC!AF16</f>
        <v>1.1549052936536268</v>
      </c>
      <c r="AG16" s="2">
        <f>AF16+真實IC!AG16</f>
        <v>1.1575623501106165</v>
      </c>
      <c r="AH16" s="2">
        <f>AG16+真實IC!AH16</f>
        <v>1.0989853787176633</v>
      </c>
      <c r="AI16" s="2">
        <f>AH16+真實IC!AI16</f>
        <v>1.0738341642681315</v>
      </c>
      <c r="AJ16" s="2">
        <f>AI16+真實IC!AJ16</f>
        <v>1.1328765670139074</v>
      </c>
      <c r="AK16" s="2">
        <f>AJ16+真實IC!AK16</f>
        <v>1.1435540475918879</v>
      </c>
      <c r="AL16" s="2">
        <f>AK16+真實IC!AL16</f>
        <v>1.2246498868085756</v>
      </c>
      <c r="AM16" s="2">
        <f>AL16+真實IC!AM16</f>
        <v>1.1455738300893838</v>
      </c>
      <c r="AN16" s="2">
        <f>AM16+真實IC!AN16</f>
        <v>1.1656502189157263</v>
      </c>
      <c r="AO16" s="2">
        <f>AN16+真實IC!AO16</f>
        <v>1.2295789219709683</v>
      </c>
      <c r="AP16" s="2">
        <f>AO16+真實IC!AP16</f>
        <v>1.3069800709497315</v>
      </c>
      <c r="AQ16" s="2">
        <f>AP16+真實IC!AQ16</f>
        <v>1.2553250538009375</v>
      </c>
      <c r="AR16" s="2">
        <f>AQ16+真實IC!AR16</f>
        <v>1.2772781008283898</v>
      </c>
      <c r="AS16" s="2">
        <f>AR16+真實IC!AS16</f>
        <v>1.211558008980012</v>
      </c>
      <c r="AT16" s="2">
        <f>AS16+真實IC!AT16</f>
        <v>1.4328788460241024</v>
      </c>
      <c r="AU16" s="2">
        <f>AT16+真實IC!AU16</f>
        <v>1.5477136176162738</v>
      </c>
      <c r="AV16" s="2">
        <f>AU16+真實IC!AV16</f>
        <v>1.6371729023562795</v>
      </c>
      <c r="AW16" s="2">
        <f>AV16+真實IC!AW16</f>
        <v>1.7503526036264816</v>
      </c>
      <c r="AX16" s="2">
        <f>AW16+真實IC!AX16</f>
        <v>1.8639482005384296</v>
      </c>
      <c r="AY16" s="2">
        <f>AX16+真實IC!AY16</f>
        <v>1.8527800556799241</v>
      </c>
      <c r="AZ16" s="2">
        <f>AY16+真實IC!AZ16</f>
        <v>1.8709354539406986</v>
      </c>
      <c r="BA16" s="2">
        <f>AZ16+真實IC!BA16</f>
        <v>1.9500792619113714</v>
      </c>
      <c r="BB16" s="2">
        <f>BA16+真實IC!BB16</f>
        <v>2.1314438679531964</v>
      </c>
      <c r="BC16" s="2">
        <f>BB16+真實IC!BC16</f>
        <v>2.0866762622300579</v>
      </c>
      <c r="BD16" s="2">
        <f>BC16+真實IC!BD16</f>
        <v>2.0896669241377239</v>
      </c>
      <c r="BE16" s="2">
        <f>BD16+真實IC!BE16</f>
        <v>2.1454165088975037</v>
      </c>
      <c r="BF16" s="2">
        <f>BE16+真實IC!BF16</f>
        <v>2.2813206139208466</v>
      </c>
      <c r="BG16" s="2">
        <f>BF16+真實IC!BG16</f>
        <v>2.3850005295370367</v>
      </c>
      <c r="BH16" s="2">
        <f>BG16+真實IC!BH16</f>
        <v>2.5064732816445066</v>
      </c>
      <c r="BI16" s="2">
        <f>BH16+真實IC!BI16</f>
        <v>2.5468217161741924</v>
      </c>
      <c r="BJ16" s="2">
        <f>BI16+真實IC!BJ16</f>
        <v>2.5979867001054178</v>
      </c>
      <c r="BK16" s="2">
        <f>BJ16+真實IC!BK16</f>
        <v>2.7005359165272997</v>
      </c>
      <c r="BL16" s="2">
        <f>BK16+真實IC!BL16</f>
        <v>2.7699323150646435</v>
      </c>
      <c r="BM16" s="2">
        <f>BL16+真實IC!BM16</f>
        <v>2.8143939092485382</v>
      </c>
      <c r="BN16" s="2">
        <f>BM16+真實IC!BN16</f>
        <v>2.8925920273414447</v>
      </c>
      <c r="BO16" s="2">
        <f>BN16+真實IC!BO16</f>
        <v>2.922792746526889</v>
      </c>
      <c r="BP16" s="2">
        <f>BO16+真實IC!BP16</f>
        <v>2.9115612114992913</v>
      </c>
      <c r="BQ16" s="2">
        <f>BP16+真實IC!BQ16</f>
        <v>2.8496290537502773</v>
      </c>
      <c r="BR16" s="2">
        <f>BQ16+真實IC!BR16</f>
        <v>2.962772691752507</v>
      </c>
      <c r="BS16" s="2">
        <f>BR16+真實IC!BS16</f>
        <v>2.9548714525754503</v>
      </c>
      <c r="BT16" s="2">
        <f>BS16+真實IC!BT16</f>
        <v>2.9047118582684122</v>
      </c>
      <c r="BU16" s="2">
        <f>BT16+真實IC!BU16</f>
        <v>2.8898909156650343</v>
      </c>
      <c r="BV16" s="2">
        <f>BU16+真實IC!BV16</f>
        <v>2.9274692897616243</v>
      </c>
      <c r="BW16" s="2">
        <f>BV16+真實IC!BW16</f>
        <v>3.2641132311614207</v>
      </c>
      <c r="BX16" s="2">
        <f>BW16+真實IC!BX16</f>
        <v>3.1890377281611939</v>
      </c>
      <c r="BY16" s="2">
        <f>BX16+真實IC!BY16</f>
        <v>3.124260341518962</v>
      </c>
      <c r="BZ16" s="2">
        <f>BY16+真實IC!BZ16</f>
        <v>3.1390903913968327</v>
      </c>
      <c r="CA16" s="2">
        <f>BZ16+真實IC!CA16</f>
        <v>3.3105437149074035</v>
      </c>
      <c r="CB16" s="2">
        <f>CA16+真實IC!CB16</f>
        <v>3.2151882054893521</v>
      </c>
      <c r="CC16" s="2">
        <f>CB16+真實IC!CC16</f>
        <v>3.3334383651122614</v>
      </c>
      <c r="CD16" s="2">
        <f>CC16+真實IC!CD16</f>
        <v>3.3148927700080479</v>
      </c>
      <c r="CE16" s="2">
        <f>CD16+真實IC!CE16</f>
        <v>3.4462814447772225</v>
      </c>
      <c r="CF16" s="2">
        <f>CE16+真實IC!CF16</f>
        <v>3.5245878325319162</v>
      </c>
      <c r="CG16" s="2">
        <f>CF16+真實IC!CG16</f>
        <v>3.6405646518048611</v>
      </c>
      <c r="CH16" s="2">
        <f>CG16+真實IC!CH16</f>
        <v>3.7096825707857537</v>
      </c>
      <c r="CI16" s="2">
        <f>CH16+真實IC!CI16</f>
        <v>3.7892319227943805</v>
      </c>
      <c r="CJ16" s="2">
        <f>CI16+真實IC!CJ16</f>
        <v>3.8201873393798862</v>
      </c>
      <c r="CK16" s="2">
        <f>CJ16+真實IC!CK16</f>
        <v>3.9616572419312375</v>
      </c>
      <c r="CL16" s="2">
        <f>CK16+真實IC!CL16</f>
        <v>3.8996734091776473</v>
      </c>
      <c r="CM16" s="2">
        <f>CL16+真實IC!CM16</f>
        <v>3.8681702649399399</v>
      </c>
      <c r="CN16" s="2">
        <f>CM16+真實IC!CN16</f>
        <v>4.0399340787260645</v>
      </c>
      <c r="CO16" s="2">
        <f>CN16+真實IC!CO16</f>
        <v>4.2500896794810457</v>
      </c>
      <c r="CP16" s="2">
        <f>CO16+真實IC!CP16</f>
        <v>4.1696835365056382</v>
      </c>
      <c r="CQ16" s="2">
        <f>CP16+真實IC!CQ16</f>
        <v>4.2453435051298429</v>
      </c>
      <c r="CR16" s="2">
        <f>CQ16+真實IC!CR16</f>
        <v>4.3549267337149651</v>
      </c>
      <c r="CS16" s="2">
        <f>CR16+真實IC!CS16</f>
        <v>4.3649281337517243</v>
      </c>
      <c r="CT16" s="2">
        <f>CS16+真實IC!CT16</f>
        <v>4.3330638915034996</v>
      </c>
      <c r="CU16" s="2">
        <f>CT16+真實IC!CU16</f>
        <v>4.4923502046195649</v>
      </c>
      <c r="CV16" s="2">
        <f>CU16+真實IC!CV16</f>
        <v>4.624792536519001</v>
      </c>
      <c r="CW16" s="2">
        <f>CV16+真實IC!CW16</f>
        <v>4.6805930575650168</v>
      </c>
      <c r="CX16" s="2">
        <f>CW16+真實IC!CX16</f>
        <v>4.8066110168224334</v>
      </c>
      <c r="CY16" s="2">
        <f>CX16+真實IC!CY16</f>
        <v>4.8855471338383554</v>
      </c>
      <c r="CZ16" s="2">
        <f>CY16+真實IC!CZ16</f>
        <v>4.9121931018291596</v>
      </c>
      <c r="DA16" s="2">
        <f>CZ16+真實IC!DA16</f>
        <v>5.0058969358389858</v>
      </c>
      <c r="DB16" s="2">
        <f>DA16+真實IC!DB16</f>
        <v>5.2614474756948892</v>
      </c>
      <c r="DC16" s="2">
        <f>DB16+真實IC!DC16</f>
        <v>5.2955395465359327</v>
      </c>
      <c r="DD16" s="2">
        <f>DC16+真實IC!DD16</f>
        <v>5.3773028189428231</v>
      </c>
      <c r="DE16" s="2">
        <f>DD16+真實IC!DE16</f>
        <v>5.429752929620947</v>
      </c>
      <c r="DF16" s="2">
        <f>DE16+真實IC!DF16</f>
        <v>5.4101245518392229</v>
      </c>
      <c r="DG16" s="2">
        <f>DF16+真實IC!DG16</f>
        <v>5.4988273140794828</v>
      </c>
      <c r="DH16" s="2">
        <f>DG16+真實IC!DH16</f>
        <v>5.5044006032230754</v>
      </c>
      <c r="DI16" s="2">
        <f>DH16+真實IC!DI16</f>
        <v>5.4642539959092913</v>
      </c>
      <c r="DJ16" s="2">
        <f>DI16+真實IC!DJ16</f>
        <v>5.5237724522280693</v>
      </c>
      <c r="DK16" s="2">
        <f>DJ16+真實IC!DK16</f>
        <v>5.5202102549785179</v>
      </c>
      <c r="DL16" s="2">
        <f>DK16+真實IC!DL16</f>
        <v>5.5298371858509938</v>
      </c>
      <c r="DM16" s="2">
        <f>DL16+真實IC!DM16</f>
        <v>5.5804282486874985</v>
      </c>
      <c r="DN16" s="2">
        <f>DM16+真實IC!DN16</f>
        <v>5.6834287343998326</v>
      </c>
      <c r="DO16" s="2">
        <f>DN16+真實IC!DO16</f>
        <v>5.7388051748673519</v>
      </c>
      <c r="DP16" s="2">
        <f>DO16+真實IC!DP16</f>
        <v>5.8851731726183614</v>
      </c>
      <c r="DQ16" s="2">
        <f>DP16+真實IC!DQ16</f>
        <v>5.9100120682321817</v>
      </c>
      <c r="DR16" s="2">
        <f>DQ16+真實IC!DR16</f>
        <v>5.9501542334244357</v>
      </c>
      <c r="DS16" s="2">
        <f>DR16+真實IC!DS16</f>
        <v>5.9745284954768119</v>
      </c>
      <c r="DT16" s="2">
        <f>DS16+真實IC!DT16</f>
        <v>6.0334618309707793</v>
      </c>
      <c r="DU16" s="2">
        <f>DT16+真實IC!DU16</f>
        <v>6.2113751692964794</v>
      </c>
      <c r="DV16" s="2">
        <f>DU16+真實IC!DV16</f>
        <v>6.2149715750342649</v>
      </c>
      <c r="DW16" s="2">
        <f>DV16+真實IC!DW16</f>
        <v>6.1864267059568814</v>
      </c>
      <c r="DX16" s="2">
        <f>DW16+真實IC!DX16</f>
        <v>6.2138166163604023</v>
      </c>
      <c r="DY16" s="2">
        <f>DX16+真實IC!DY16</f>
        <v>6.1242349379144185</v>
      </c>
      <c r="DZ16" s="2">
        <f>DY16+真實IC!DZ16</f>
        <v>6.0862376926612809</v>
      </c>
      <c r="EA16" s="2">
        <f>DZ16+真實IC!EA16</f>
        <v>6.1015426356643783</v>
      </c>
      <c r="EB16" s="2">
        <f>EA16+真實IC!EB16</f>
        <v>6.2126411711038978</v>
      </c>
      <c r="EC16" s="2">
        <f>EB16+真實IC!EC16</f>
        <v>6.1169400850564815</v>
      </c>
      <c r="ED16" s="2">
        <f>EC16+真實IC!ED16</f>
        <v>6.2152093909122348</v>
      </c>
      <c r="EE16" s="2">
        <f>ED16+真實IC!EE16</f>
        <v>6.2737386170640947</v>
      </c>
      <c r="EF16" s="2">
        <f>EE16+真實IC!EF16</f>
        <v>6.3584684404194798</v>
      </c>
      <c r="EG16" s="2">
        <f>EF16+真實IC!EG16</f>
        <v>6.6395329349468044</v>
      </c>
      <c r="EH16" s="2">
        <f>EG16+真實IC!EH16</f>
        <v>6.6600668968832082</v>
      </c>
      <c r="EI16" s="2">
        <f>EH16+真實IC!EI16</f>
        <v>6.6297669228664855</v>
      </c>
      <c r="EJ16" s="2">
        <f>EI16+真實IC!EJ16</f>
        <v>6.6564513519421906</v>
      </c>
      <c r="EK16" s="2">
        <f>EJ16+真實IC!EK16</f>
        <v>6.7727502270504045</v>
      </c>
      <c r="EL16" s="2">
        <f>EK16+真實IC!EL16</f>
        <v>6.8063400515535806</v>
      </c>
    </row>
    <row r="17" spans="1:142" x14ac:dyDescent="0.3">
      <c r="A17" s="11">
        <v>130</v>
      </c>
      <c r="B17" s="11">
        <f t="shared" si="10"/>
        <v>8</v>
      </c>
      <c r="C17" s="2">
        <v>0.2378970514581851</v>
      </c>
      <c r="D17" s="2">
        <f>C17+真實IC!D17</f>
        <v>0.28594129970356574</v>
      </c>
      <c r="E17" s="2">
        <f>D17+真實IC!E17</f>
        <v>0.30027890464160145</v>
      </c>
      <c r="F17" s="2">
        <f>E17+真實IC!F17</f>
        <v>0.15723425256134116</v>
      </c>
      <c r="G17" s="2">
        <f>F17+真實IC!G17</f>
        <v>0.24601593440201275</v>
      </c>
      <c r="H17" s="2">
        <f>G17+真實IC!H17</f>
        <v>0.27471265971166958</v>
      </c>
      <c r="I17" s="2">
        <f>H17+真實IC!I17</f>
        <v>0.15160528382927788</v>
      </c>
      <c r="J17" s="2">
        <f>I17+真實IC!J17</f>
        <v>0.10772410548430994</v>
      </c>
      <c r="K17" s="2">
        <f>J17+真實IC!K17</f>
        <v>0.15407615234746574</v>
      </c>
      <c r="L17" s="2">
        <f>K17+真實IC!L17</f>
        <v>8.0843964306130819E-2</v>
      </c>
      <c r="M17" s="2">
        <f>L17+真實IC!M17</f>
        <v>0.1360810695394141</v>
      </c>
      <c r="N17" s="2">
        <f>M17+真實IC!N17</f>
        <v>0.23355881622704425</v>
      </c>
      <c r="O17" s="2">
        <f>N17+真實IC!O17</f>
        <v>0.20949152190811141</v>
      </c>
      <c r="P17" s="2">
        <f>O17+真實IC!P17</f>
        <v>0.23147455392595909</v>
      </c>
      <c r="Q17" s="2">
        <f>P17+真實IC!Q17</f>
        <v>0.23937681842234748</v>
      </c>
      <c r="R17" s="2">
        <f>Q17+真實IC!R17</f>
        <v>0.31027636223992738</v>
      </c>
      <c r="S17" s="2">
        <f>R17+真實IC!S17</f>
        <v>0.55624196078615262</v>
      </c>
      <c r="T17" s="2">
        <f>S17+真實IC!T17</f>
        <v>0.65011868824264596</v>
      </c>
      <c r="U17" s="2">
        <f>T17+真實IC!U17</f>
        <v>0.60524012906488422</v>
      </c>
      <c r="V17" s="2">
        <f>U17+真實IC!V17</f>
        <v>0.53378084123235758</v>
      </c>
      <c r="W17" s="2">
        <f>V17+真實IC!W17</f>
        <v>0.61036253790904482</v>
      </c>
      <c r="X17" s="2">
        <f>W17+真實IC!X17</f>
        <v>0.78661499327172724</v>
      </c>
      <c r="Y17" s="2">
        <f>X17+真實IC!Y17</f>
        <v>0.78960763873861228</v>
      </c>
      <c r="Z17" s="2">
        <f>Y17+真實IC!Z17</f>
        <v>0.84643202077323898</v>
      </c>
      <c r="AA17" s="2">
        <f>Z17+真實IC!AA17</f>
        <v>1.0061149646644785</v>
      </c>
      <c r="AB17" s="2">
        <f>AA17+真實IC!AB17</f>
        <v>0.985399185808985</v>
      </c>
      <c r="AC17" s="2">
        <f>AB17+真實IC!AC17</f>
        <v>0.96759509967466717</v>
      </c>
      <c r="AD17" s="2">
        <f>AC17+真實IC!AD17</f>
        <v>0.95535715217418526</v>
      </c>
      <c r="AE17" s="2">
        <f>AD17+真實IC!AE17</f>
        <v>1.1301964017859583</v>
      </c>
      <c r="AF17" s="2">
        <f>AE17+真實IC!AF17</f>
        <v>1.3118135385456786</v>
      </c>
      <c r="AG17" s="2">
        <f>AF17+真實IC!AG17</f>
        <v>1.3130785617932501</v>
      </c>
      <c r="AH17" s="2">
        <f>AG17+真實IC!AH17</f>
        <v>1.2193100014447298</v>
      </c>
      <c r="AI17" s="2">
        <f>AH17+真實IC!AI17</f>
        <v>1.2181251053163686</v>
      </c>
      <c r="AJ17" s="2">
        <f>AI17+真實IC!AJ17</f>
        <v>1.3019724166711582</v>
      </c>
      <c r="AK17" s="2">
        <f>AJ17+真實IC!AK17</f>
        <v>1.3253794929793474</v>
      </c>
      <c r="AL17" s="2">
        <f>AK17+真實IC!AL17</f>
        <v>1.4116647396748458</v>
      </c>
      <c r="AM17" s="2">
        <f>AL17+真實IC!AM17</f>
        <v>1.2985268045306453</v>
      </c>
      <c r="AN17" s="2">
        <f>AM17+真實IC!AN17</f>
        <v>1.3109879652180501</v>
      </c>
      <c r="AO17" s="2">
        <f>AN17+真實IC!AO17</f>
        <v>1.3401380487314456</v>
      </c>
      <c r="AP17" s="2">
        <f>AO17+真實IC!AP17</f>
        <v>1.4406439018121346</v>
      </c>
      <c r="AQ17" s="2">
        <f>AP17+真實IC!AQ17</f>
        <v>1.4075466046564524</v>
      </c>
      <c r="AR17" s="2">
        <f>AQ17+真實IC!AR17</f>
        <v>1.4321467311484033</v>
      </c>
      <c r="AS17" s="2">
        <f>AR17+真實IC!AS17</f>
        <v>1.3460470580921133</v>
      </c>
      <c r="AT17" s="2">
        <f>AS17+真實IC!AT17</f>
        <v>1.613548789905515</v>
      </c>
      <c r="AU17" s="2">
        <f>AT17+真實IC!AU17</f>
        <v>1.7780607525312344</v>
      </c>
      <c r="AV17" s="2">
        <f>AU17+真實IC!AV17</f>
        <v>1.8347670573891552</v>
      </c>
      <c r="AW17" s="2">
        <f>AV17+真實IC!AW17</f>
        <v>1.9615675223913918</v>
      </c>
      <c r="AX17" s="2">
        <f>AW17+真實IC!AX17</f>
        <v>2.0575786051999345</v>
      </c>
      <c r="AY17" s="2">
        <f>AX17+真實IC!AY17</f>
        <v>2.0468122652771554</v>
      </c>
      <c r="AZ17" s="2">
        <f>AY17+真實IC!AZ17</f>
        <v>2.0268303421204559</v>
      </c>
      <c r="BA17" s="2">
        <f>AZ17+真實IC!BA17</f>
        <v>2.1360145863188844</v>
      </c>
      <c r="BB17" s="2">
        <f>BA17+真實IC!BB17</f>
        <v>2.3381580579704955</v>
      </c>
      <c r="BC17" s="2">
        <f>BB17+真實IC!BC17</f>
        <v>2.3395366202766783</v>
      </c>
      <c r="BD17" s="2">
        <f>BC17+真實IC!BD17</f>
        <v>2.3622019520088862</v>
      </c>
      <c r="BE17" s="2">
        <f>BD17+真實IC!BE17</f>
        <v>2.4413483806835465</v>
      </c>
      <c r="BF17" s="2">
        <f>BE17+真實IC!BF17</f>
        <v>2.5908268514136554</v>
      </c>
      <c r="BG17" s="2">
        <f>BF17+真實IC!BG17</f>
        <v>2.6799314666027216</v>
      </c>
      <c r="BH17" s="2">
        <f>BG17+真實IC!BH17</f>
        <v>2.8040581814046708</v>
      </c>
      <c r="BI17" s="2">
        <f>BH17+真實IC!BI17</f>
        <v>2.8285063903163619</v>
      </c>
      <c r="BJ17" s="2">
        <f>BI17+真實IC!BJ17</f>
        <v>2.9060921761586669</v>
      </c>
      <c r="BK17" s="2">
        <f>BJ17+真實IC!BK17</f>
        <v>3.0030083960459617</v>
      </c>
      <c r="BL17" s="2">
        <f>BK17+真實IC!BL17</f>
        <v>3.0464114923047392</v>
      </c>
      <c r="BM17" s="2">
        <f>BL17+真實IC!BM17</f>
        <v>3.0700972657083265</v>
      </c>
      <c r="BN17" s="2">
        <f>BM17+真實IC!BN17</f>
        <v>3.1289085218655988</v>
      </c>
      <c r="BO17" s="2">
        <f>BN17+真實IC!BO17</f>
        <v>3.1606464071589251</v>
      </c>
      <c r="BP17" s="2">
        <f>BO17+真實IC!BP17</f>
        <v>3.1472416517541526</v>
      </c>
      <c r="BQ17" s="2">
        <f>BP17+真實IC!BQ17</f>
        <v>3.0877171969704178</v>
      </c>
      <c r="BR17" s="2">
        <f>BQ17+真實IC!BR17</f>
        <v>3.21375853785722</v>
      </c>
      <c r="BS17" s="2">
        <f>BR17+真實IC!BS17</f>
        <v>3.2045260404670266</v>
      </c>
      <c r="BT17" s="2">
        <f>BS17+真實IC!BT17</f>
        <v>3.1773900589032955</v>
      </c>
      <c r="BU17" s="2">
        <f>BT17+真實IC!BU17</f>
        <v>3.1291755534602879</v>
      </c>
      <c r="BV17" s="2">
        <f>BU17+真實IC!BV17</f>
        <v>3.1950764871884503</v>
      </c>
      <c r="BW17" s="2">
        <f>BV17+真實IC!BW17</f>
        <v>3.5841058192758855</v>
      </c>
      <c r="BX17" s="2">
        <f>BW17+真實IC!BX17</f>
        <v>3.4859442060609624</v>
      </c>
      <c r="BY17" s="2">
        <f>BX17+真實IC!BY17</f>
        <v>3.4002160195611575</v>
      </c>
      <c r="BZ17" s="2">
        <f>BY17+真實IC!BZ17</f>
        <v>3.3658099054214672</v>
      </c>
      <c r="CA17" s="2">
        <f>BZ17+真實IC!CA17</f>
        <v>3.495062949976333</v>
      </c>
      <c r="CB17" s="2">
        <f>CA17+真實IC!CB17</f>
        <v>3.3943077347495145</v>
      </c>
      <c r="CC17" s="2">
        <f>CB17+真實IC!CC17</f>
        <v>3.5786278013071304</v>
      </c>
      <c r="CD17" s="2">
        <f>CC17+真實IC!CD17</f>
        <v>3.5803406318284368</v>
      </c>
      <c r="CE17" s="2">
        <f>CD17+真實IC!CE17</f>
        <v>3.7072565571882525</v>
      </c>
      <c r="CF17" s="2">
        <f>CE17+真實IC!CF17</f>
        <v>3.7762326849607515</v>
      </c>
      <c r="CG17" s="2">
        <f>CF17+真實IC!CG17</f>
        <v>3.8995029675382349</v>
      </c>
      <c r="CH17" s="2">
        <f>CG17+真實IC!CH17</f>
        <v>3.9452798389403378</v>
      </c>
      <c r="CI17" s="2">
        <f>CH17+真實IC!CI17</f>
        <v>4.0171466188072902</v>
      </c>
      <c r="CJ17" s="2">
        <f>CI17+真實IC!CJ17</f>
        <v>4.0348866640475238</v>
      </c>
      <c r="CK17" s="2">
        <f>CJ17+真實IC!CK17</f>
        <v>4.1779301340861377</v>
      </c>
      <c r="CL17" s="2">
        <f>CK17+真實IC!CL17</f>
        <v>4.0609094576341027</v>
      </c>
      <c r="CM17" s="2">
        <f>CL17+真實IC!CM17</f>
        <v>4.0743335759596677</v>
      </c>
      <c r="CN17" s="2">
        <f>CM17+真實IC!CN17</f>
        <v>4.2089453522504936</v>
      </c>
      <c r="CO17" s="2">
        <f>CN17+真實IC!CO17</f>
        <v>4.4261404478208952</v>
      </c>
      <c r="CP17" s="2">
        <f>CO17+真實IC!CP17</f>
        <v>4.3266875868650114</v>
      </c>
      <c r="CQ17" s="2">
        <f>CP17+真實IC!CQ17</f>
        <v>4.392840538102508</v>
      </c>
      <c r="CR17" s="2">
        <f>CQ17+真實IC!CR17</f>
        <v>4.4719551540073006</v>
      </c>
      <c r="CS17" s="2">
        <f>CR17+真實IC!CS17</f>
        <v>4.5046251512964268</v>
      </c>
      <c r="CT17" s="2">
        <f>CS17+真實IC!CT17</f>
        <v>4.4644698056970551</v>
      </c>
      <c r="CU17" s="2">
        <f>CT17+真實IC!CU17</f>
        <v>4.6191613529821067</v>
      </c>
      <c r="CV17" s="2">
        <f>CU17+真實IC!CV17</f>
        <v>4.7419565165213617</v>
      </c>
      <c r="CW17" s="2">
        <f>CV17+真實IC!CW17</f>
        <v>4.8115187560287458</v>
      </c>
      <c r="CX17" s="2">
        <f>CW17+真實IC!CX17</f>
        <v>4.9371834037752231</v>
      </c>
      <c r="CY17" s="2">
        <f>CX17+真實IC!CY17</f>
        <v>4.9833736146696213</v>
      </c>
      <c r="CZ17" s="2">
        <f>CY17+真實IC!CZ17</f>
        <v>5.0109693042879391</v>
      </c>
      <c r="DA17" s="2">
        <f>CZ17+真實IC!DA17</f>
        <v>5.0871040618769525</v>
      </c>
      <c r="DB17" s="2">
        <f>DA17+真實IC!DB17</f>
        <v>5.3986230629592971</v>
      </c>
      <c r="DC17" s="2">
        <f>DB17+真實IC!DC17</f>
        <v>5.4437140326023563</v>
      </c>
      <c r="DD17" s="2">
        <f>DC17+真實IC!DD17</f>
        <v>5.539719218894934</v>
      </c>
      <c r="DE17" s="2">
        <f>DD17+真實IC!DE17</f>
        <v>5.5603355358308297</v>
      </c>
      <c r="DF17" s="2">
        <f>DE17+真實IC!DF17</f>
        <v>5.5344265362157863</v>
      </c>
      <c r="DG17" s="2">
        <f>DF17+真實IC!DG17</f>
        <v>5.6318199443970709</v>
      </c>
      <c r="DH17" s="2">
        <f>DG17+真實IC!DH17</f>
        <v>5.659086570256239</v>
      </c>
      <c r="DI17" s="2">
        <f>DH17+真實IC!DI17</f>
        <v>5.6271748423246075</v>
      </c>
      <c r="DJ17" s="2">
        <f>DI17+真實IC!DJ17</f>
        <v>5.6933476660263471</v>
      </c>
      <c r="DK17" s="2">
        <f>DJ17+真實IC!DK17</f>
        <v>5.7009815147407448</v>
      </c>
      <c r="DL17" s="2">
        <f>DK17+真實IC!DL17</f>
        <v>5.7043591669040081</v>
      </c>
      <c r="DM17" s="2">
        <f>DL17+真實IC!DM17</f>
        <v>5.7930614626486205</v>
      </c>
      <c r="DN17" s="2">
        <f>DM17+真實IC!DN17</f>
        <v>5.9338543065904705</v>
      </c>
      <c r="DO17" s="2">
        <f>DN17+真實IC!DO17</f>
        <v>6.0090189966781331</v>
      </c>
      <c r="DP17" s="2">
        <f>DO17+真實IC!DP17</f>
        <v>6.1882761071729684</v>
      </c>
      <c r="DQ17" s="2">
        <f>DP17+真實IC!DQ17</f>
        <v>6.2359199443394431</v>
      </c>
      <c r="DR17" s="2">
        <f>DQ17+真實IC!DR17</f>
        <v>6.3036136415633388</v>
      </c>
      <c r="DS17" s="2">
        <f>DR17+真實IC!DS17</f>
        <v>6.3093809325224086</v>
      </c>
      <c r="DT17" s="2">
        <f>DS17+真實IC!DT17</f>
        <v>6.3861092856603445</v>
      </c>
      <c r="DU17" s="2">
        <f>DT17+真實IC!DU17</f>
        <v>6.5817532518620778</v>
      </c>
      <c r="DV17" s="2">
        <f>DU17+真實IC!DV17</f>
        <v>6.5795036876470974</v>
      </c>
      <c r="DW17" s="2">
        <f>DV17+真實IC!DW17</f>
        <v>6.5402318229044516</v>
      </c>
      <c r="DX17" s="2">
        <f>DW17+真實IC!DX17</f>
        <v>6.5614036993295608</v>
      </c>
      <c r="DY17" s="2">
        <f>DX17+真實IC!DY17</f>
        <v>6.4687879547325267</v>
      </c>
      <c r="DZ17" s="2">
        <f>DY17+真實IC!DZ17</f>
        <v>6.3945257496520043</v>
      </c>
      <c r="EA17" s="2">
        <f>DZ17+真實IC!EA17</f>
        <v>6.403921885612573</v>
      </c>
      <c r="EB17" s="2">
        <f>EA17+真實IC!EB17</f>
        <v>6.5248817056822395</v>
      </c>
      <c r="EC17" s="2">
        <f>EB17+真實IC!EC17</f>
        <v>6.404210029252237</v>
      </c>
      <c r="ED17" s="2">
        <f>EC17+真實IC!ED17</f>
        <v>6.4742479933461006</v>
      </c>
      <c r="EE17" s="2">
        <f>ED17+真實IC!EE17</f>
        <v>6.5406853409911951</v>
      </c>
      <c r="EF17" s="2">
        <f>EE17+真實IC!EF17</f>
        <v>6.6673451231894898</v>
      </c>
      <c r="EG17" s="2">
        <f>EF17+真實IC!EG17</f>
        <v>6.9594067283322056</v>
      </c>
      <c r="EH17" s="2">
        <f>EG17+真實IC!EH17</f>
        <v>6.975157811551826</v>
      </c>
      <c r="EI17" s="2">
        <f>EH17+真實IC!EI17</f>
        <v>6.9450034034237911</v>
      </c>
      <c r="EJ17" s="2">
        <f>EI17+真實IC!EJ17</f>
        <v>6.9743434766015495</v>
      </c>
      <c r="EK17" s="2">
        <f>EJ17+真實IC!EK17</f>
        <v>7.108233116333853</v>
      </c>
      <c r="EL17" s="2">
        <f>EK17+真實IC!EL17</f>
        <v>7.1005651279232005</v>
      </c>
    </row>
    <row r="18" spans="1:142" x14ac:dyDescent="0.3">
      <c r="A18" s="11">
        <v>150</v>
      </c>
      <c r="B18" s="11">
        <f t="shared" si="10"/>
        <v>7</v>
      </c>
      <c r="C18" s="2">
        <v>0.24368728540115189</v>
      </c>
      <c r="D18" s="2">
        <f>C18+真實IC!D18</f>
        <v>0.30709658171659543</v>
      </c>
      <c r="E18" s="2">
        <f>D18+真實IC!E18</f>
        <v>0.2940479932319518</v>
      </c>
      <c r="F18" s="2">
        <f>E18+真實IC!F18</f>
        <v>0.13606491216415309</v>
      </c>
      <c r="G18" s="2">
        <f>F18+真實IC!G18</f>
        <v>0.21155557971742131</v>
      </c>
      <c r="H18" s="2">
        <f>G18+真實IC!H18</f>
        <v>0.23047357939942925</v>
      </c>
      <c r="I18" s="2">
        <f>H18+真實IC!I18</f>
        <v>7.5804306333614152E-2</v>
      </c>
      <c r="J18" s="2">
        <f>I18+真實IC!J18</f>
        <v>3.7075289395653473E-2</v>
      </c>
      <c r="K18" s="2">
        <f>J18+真實IC!K18</f>
        <v>9.8630366858553614E-2</v>
      </c>
      <c r="L18" s="2">
        <f>K18+真實IC!L18</f>
        <v>3.7919370490298254E-2</v>
      </c>
      <c r="M18" s="2">
        <f>L18+真實IC!M18</f>
        <v>9.1858256432850602E-2</v>
      </c>
      <c r="N18" s="2">
        <f>M18+真實IC!N18</f>
        <v>0.18581251738277438</v>
      </c>
      <c r="O18" s="2">
        <f>N18+真實IC!O18</f>
        <v>0.18529992822944333</v>
      </c>
      <c r="P18" s="2">
        <f>O18+真實IC!P18</f>
        <v>0.19558393622192285</v>
      </c>
      <c r="Q18" s="2">
        <f>P18+真實IC!Q18</f>
        <v>0.17595941259436942</v>
      </c>
      <c r="R18" s="2">
        <f>Q18+真實IC!R18</f>
        <v>0.25960876819563167</v>
      </c>
      <c r="S18" s="2">
        <f>R18+真實IC!S18</f>
        <v>0.54075198642055677</v>
      </c>
      <c r="T18" s="2">
        <f>S18+真實IC!T18</f>
        <v>0.62924798564755169</v>
      </c>
      <c r="U18" s="2">
        <f>T18+真實IC!U18</f>
        <v>0.49277130068283037</v>
      </c>
      <c r="V18" s="2">
        <f>U18+真實IC!V18</f>
        <v>0.42458937268004826</v>
      </c>
      <c r="W18" s="2">
        <f>V18+真實IC!W18</f>
        <v>0.51361963801458288</v>
      </c>
      <c r="X18" s="2">
        <f>W18+真實IC!X18</f>
        <v>0.73726999050015718</v>
      </c>
      <c r="Y18" s="2">
        <f>X18+真實IC!Y18</f>
        <v>0.72314565961907407</v>
      </c>
      <c r="Z18" s="2">
        <f>Y18+真實IC!Z18</f>
        <v>0.79025108642645669</v>
      </c>
      <c r="AA18" s="2">
        <f>Z18+真實IC!AA18</f>
        <v>0.93300795456479846</v>
      </c>
      <c r="AB18" s="2">
        <f>AA18+真實IC!AB18</f>
        <v>0.93836153398541877</v>
      </c>
      <c r="AC18" s="2">
        <f>AB18+真實IC!AC18</f>
        <v>0.9204172995601847</v>
      </c>
      <c r="AD18" s="2">
        <f>AC18+真實IC!AD18</f>
        <v>0.88207030564656019</v>
      </c>
      <c r="AE18" s="2">
        <f>AD18+真實IC!AE18</f>
        <v>1.0844029675716302</v>
      </c>
      <c r="AF18" s="2">
        <f>AE18+真實IC!AF18</f>
        <v>1.3179362540612982</v>
      </c>
      <c r="AG18" s="2">
        <f>AF18+真實IC!AG18</f>
        <v>1.3258563788491484</v>
      </c>
      <c r="AH18" s="2">
        <f>AG18+真實IC!AH18</f>
        <v>1.2389388041293328</v>
      </c>
      <c r="AI18" s="2">
        <f>AH18+真實IC!AI18</f>
        <v>1.2530657852286031</v>
      </c>
      <c r="AJ18" s="2">
        <f>AI18+真實IC!AJ18</f>
        <v>1.3292136367029883</v>
      </c>
      <c r="AK18" s="2">
        <f>AJ18+真實IC!AK18</f>
        <v>1.3570381234127027</v>
      </c>
      <c r="AL18" s="2">
        <f>AK18+真實IC!AL18</f>
        <v>1.4461231966183394</v>
      </c>
      <c r="AM18" s="2">
        <f>AL18+真實IC!AM18</f>
        <v>1.3465042175436654</v>
      </c>
      <c r="AN18" s="2">
        <f>AM18+真實IC!AN18</f>
        <v>1.394125527552486</v>
      </c>
      <c r="AO18" s="2">
        <f>AN18+真實IC!AO18</f>
        <v>1.4071977279013115</v>
      </c>
      <c r="AP18" s="2">
        <f>AO18+真實IC!AP18</f>
        <v>1.4827943482197674</v>
      </c>
      <c r="AQ18" s="2">
        <f>AP18+真實IC!AQ18</f>
        <v>1.4897630230543757</v>
      </c>
      <c r="AR18" s="2">
        <f>AQ18+真實IC!AR18</f>
        <v>1.5172729695056135</v>
      </c>
      <c r="AS18" s="2">
        <f>AR18+真實IC!AS18</f>
        <v>1.4822921130035622</v>
      </c>
      <c r="AT18" s="2">
        <f>AS18+真實IC!AT18</f>
        <v>1.7798457089177264</v>
      </c>
      <c r="AU18" s="2">
        <f>AT18+真實IC!AU18</f>
        <v>1.9529858165875995</v>
      </c>
      <c r="AV18" s="2">
        <f>AU18+真實IC!AV18</f>
        <v>1.9892741451148601</v>
      </c>
      <c r="AW18" s="2">
        <f>AV18+真實IC!AW18</f>
        <v>2.173631907314018</v>
      </c>
      <c r="AX18" s="2">
        <f>AW18+真實IC!AX18</f>
        <v>2.3121157673808077</v>
      </c>
      <c r="AY18" s="2">
        <f>AX18+真實IC!AY18</f>
        <v>2.3811012707294315</v>
      </c>
      <c r="AZ18" s="2">
        <f>AY18+真實IC!AZ18</f>
        <v>2.3543988571528831</v>
      </c>
      <c r="BA18" s="2">
        <f>AZ18+真實IC!BA18</f>
        <v>2.4113466352893331</v>
      </c>
      <c r="BB18" s="2">
        <f>BA18+真實IC!BB18</f>
        <v>2.6403758780238675</v>
      </c>
      <c r="BC18" s="2">
        <f>BB18+真實IC!BC18</f>
        <v>2.7722137180201871</v>
      </c>
      <c r="BD18" s="2">
        <f>BC18+真實IC!BD18</f>
        <v>2.7816675365180918</v>
      </c>
      <c r="BE18" s="2">
        <f>BD18+真實IC!BE18</f>
        <v>2.8576455065135278</v>
      </c>
      <c r="BF18" s="2">
        <f>BE18+真實IC!BF18</f>
        <v>3.0015184911998962</v>
      </c>
      <c r="BG18" s="2">
        <f>BF18+真實IC!BG18</f>
        <v>3.0648480403417717</v>
      </c>
      <c r="BH18" s="2">
        <f>BG18+真實IC!BH18</f>
        <v>3.1892347972112054</v>
      </c>
      <c r="BI18" s="2">
        <f>BH18+真實IC!BI18</f>
        <v>3.2274746223109818</v>
      </c>
      <c r="BJ18" s="2">
        <f>BI18+真實IC!BJ18</f>
        <v>3.2681064213074422</v>
      </c>
      <c r="BK18" s="2">
        <f>BJ18+真實IC!BK18</f>
        <v>3.3952904542050391</v>
      </c>
      <c r="BL18" s="2">
        <f>BK18+真實IC!BL18</f>
        <v>3.4544712506337318</v>
      </c>
      <c r="BM18" s="2">
        <f>BL18+真實IC!BM18</f>
        <v>3.501535983718338</v>
      </c>
      <c r="BN18" s="2">
        <f>BM18+真實IC!BN18</f>
        <v>3.5650191411434835</v>
      </c>
      <c r="BO18" s="2">
        <f>BN18+真實IC!BO18</f>
        <v>3.5745089778478296</v>
      </c>
      <c r="BP18" s="2">
        <f>BO18+真實IC!BP18</f>
        <v>3.5525937572152486</v>
      </c>
      <c r="BQ18" s="2">
        <f>BP18+真實IC!BQ18</f>
        <v>3.5079256920186066</v>
      </c>
      <c r="BR18" s="2">
        <f>BQ18+真實IC!BR18</f>
        <v>3.6177632367129426</v>
      </c>
      <c r="BS18" s="2">
        <f>BR18+真實IC!BS18</f>
        <v>3.6090120778937687</v>
      </c>
      <c r="BT18" s="2">
        <f>BS18+真實IC!BT18</f>
        <v>3.5795479087596069</v>
      </c>
      <c r="BU18" s="2">
        <f>BT18+真實IC!BU18</f>
        <v>3.5336813087171359</v>
      </c>
      <c r="BV18" s="2">
        <f>BU18+真實IC!BV18</f>
        <v>3.5241428484764743</v>
      </c>
      <c r="BW18" s="2">
        <f>BV18+真實IC!BW18</f>
        <v>3.9548266767934139</v>
      </c>
      <c r="BX18" s="2">
        <f>BW18+真實IC!BX18</f>
        <v>3.8306442572724246</v>
      </c>
      <c r="BY18" s="2">
        <f>BX18+真實IC!BY18</f>
        <v>3.6907399719579028</v>
      </c>
      <c r="BZ18" s="2">
        <f>BY18+真實IC!BZ18</f>
        <v>3.6098776036539801</v>
      </c>
      <c r="CA18" s="2">
        <f>BZ18+真實IC!CA18</f>
        <v>3.7697465476265051</v>
      </c>
      <c r="CB18" s="2">
        <f>CA18+真實IC!CB18</f>
        <v>3.6965413318408427</v>
      </c>
      <c r="CC18" s="2">
        <f>CB18+真實IC!CC18</f>
        <v>3.9165065792719096</v>
      </c>
      <c r="CD18" s="2">
        <f>CC18+真實IC!CD18</f>
        <v>3.9075283674993582</v>
      </c>
      <c r="CE18" s="2">
        <f>CD18+真實IC!CE18</f>
        <v>4.0147032542372179</v>
      </c>
      <c r="CF18" s="2">
        <f>CE18+真實IC!CF18</f>
        <v>4.0735817840683817</v>
      </c>
      <c r="CG18" s="2">
        <f>CF18+真實IC!CG18</f>
        <v>4.2442702615872925</v>
      </c>
      <c r="CH18" s="2">
        <f>CG18+真實IC!CH18</f>
        <v>4.2893425903336873</v>
      </c>
      <c r="CI18" s="2">
        <f>CH18+真實IC!CI18</f>
        <v>4.3374240195606539</v>
      </c>
      <c r="CJ18" s="2">
        <f>CI18+真實IC!CJ18</f>
        <v>4.3382513538944352</v>
      </c>
      <c r="CK18" s="2">
        <f>CJ18+真實IC!CK18</f>
        <v>4.4873575711944254</v>
      </c>
      <c r="CL18" s="2">
        <f>CK18+真實IC!CL18</f>
        <v>4.3704017696364765</v>
      </c>
      <c r="CM18" s="2">
        <f>CL18+真實IC!CM18</f>
        <v>4.3764593011039317</v>
      </c>
      <c r="CN18" s="2">
        <f>CM18+真實IC!CN18</f>
        <v>4.5451705013360497</v>
      </c>
      <c r="CO18" s="2">
        <f>CN18+真實IC!CO18</f>
        <v>4.7559726268074654</v>
      </c>
      <c r="CP18" s="2">
        <f>CO18+真實IC!CP18</f>
        <v>4.6433775612335726</v>
      </c>
      <c r="CQ18" s="2">
        <f>CP18+真實IC!CQ18</f>
        <v>4.6912684661321515</v>
      </c>
      <c r="CR18" s="2">
        <f>CQ18+真實IC!CR18</f>
        <v>4.7390828117250123</v>
      </c>
      <c r="CS18" s="2">
        <f>CR18+真實IC!CS18</f>
        <v>4.782307566823996</v>
      </c>
      <c r="CT18" s="2">
        <f>CS18+真實IC!CT18</f>
        <v>4.7448059219044181</v>
      </c>
      <c r="CU18" s="2">
        <f>CT18+真實IC!CU18</f>
        <v>4.9120404859094862</v>
      </c>
      <c r="CV18" s="2">
        <f>CU18+真實IC!CV18</f>
        <v>5.0178720587512542</v>
      </c>
      <c r="CW18" s="2">
        <f>CV18+真實IC!CW18</f>
        <v>5.099585544493384</v>
      </c>
      <c r="CX18" s="2">
        <f>CW18+真實IC!CX18</f>
        <v>5.1971254130466757</v>
      </c>
      <c r="CY18" s="2">
        <f>CX18+真實IC!CY18</f>
        <v>5.2622954594787554</v>
      </c>
      <c r="CZ18" s="2">
        <f>CY18+真實IC!CZ18</f>
        <v>5.327140316765302</v>
      </c>
      <c r="DA18" s="2">
        <f>CZ18+真實IC!DA18</f>
        <v>5.4321951402173498</v>
      </c>
      <c r="DB18" s="2">
        <f>DA18+真實IC!DB18</f>
        <v>5.7695493734763259</v>
      </c>
      <c r="DC18" s="2">
        <f>DB18+真實IC!DC18</f>
        <v>5.7845736505636198</v>
      </c>
      <c r="DD18" s="2">
        <f>DC18+真實IC!DD18</f>
        <v>5.8477078216919205</v>
      </c>
      <c r="DE18" s="2">
        <f>DD18+真實IC!DE18</f>
        <v>5.8878417284738651</v>
      </c>
      <c r="DF18" s="2">
        <f>DE18+真實IC!DF18</f>
        <v>5.839383323442128</v>
      </c>
      <c r="DG18" s="2">
        <f>DF18+真實IC!DG18</f>
        <v>5.9289807037883859</v>
      </c>
      <c r="DH18" s="2">
        <f>DG18+真實IC!DH18</f>
        <v>5.9574237659171505</v>
      </c>
      <c r="DI18" s="2">
        <f>DH18+真實IC!DI18</f>
        <v>5.9195368113243436</v>
      </c>
      <c r="DJ18" s="2">
        <f>DI18+真實IC!DJ18</f>
        <v>5.9855597868470891</v>
      </c>
      <c r="DK18" s="2">
        <f>DJ18+真實IC!DK18</f>
        <v>6.0209003521371525</v>
      </c>
      <c r="DL18" s="2">
        <f>DK18+真實IC!DL18</f>
        <v>6.0245197842659186</v>
      </c>
      <c r="DM18" s="2">
        <f>DL18+真實IC!DM18</f>
        <v>6.1078301642140103</v>
      </c>
      <c r="DN18" s="2">
        <f>DM18+真實IC!DN18</f>
        <v>6.2612961565705527</v>
      </c>
      <c r="DO18" s="2">
        <f>DN18+真實IC!DO18</f>
        <v>6.302825626302095</v>
      </c>
      <c r="DP18" s="2">
        <f>DO18+真實IC!DP18</f>
        <v>6.4959071306202585</v>
      </c>
      <c r="DQ18" s="2">
        <f>DP18+真實IC!DQ18</f>
        <v>6.5330735397303856</v>
      </c>
      <c r="DR18" s="2">
        <f>DQ18+真實IC!DR18</f>
        <v>6.5804341848080936</v>
      </c>
      <c r="DS18" s="2">
        <f>DR18+真實IC!DS18</f>
        <v>6.5773863846410459</v>
      </c>
      <c r="DT18" s="2">
        <f>DS18+真實IC!DT18</f>
        <v>6.6728949512735358</v>
      </c>
      <c r="DU18" s="2">
        <f>DT18+真實IC!DU18</f>
        <v>6.839888930062477</v>
      </c>
      <c r="DV18" s="2">
        <f>DU18+真實IC!DV18</f>
        <v>6.8562470221525098</v>
      </c>
      <c r="DW18" s="2">
        <f>DV18+真實IC!DW18</f>
        <v>6.8224079265582569</v>
      </c>
      <c r="DX18" s="2">
        <f>DW18+真實IC!DX18</f>
        <v>6.7763300077431756</v>
      </c>
      <c r="DY18" s="2">
        <f>DX18+真實IC!DY18</f>
        <v>6.64873238114291</v>
      </c>
      <c r="DZ18" s="2">
        <f>DY18+真實IC!DZ18</f>
        <v>6.5516763174299069</v>
      </c>
      <c r="EA18" s="2">
        <f>DZ18+真實IC!EA18</f>
        <v>6.5337306510637569</v>
      </c>
      <c r="EB18" s="2">
        <f>EA18+真實IC!EB18</f>
        <v>6.6428085384915825</v>
      </c>
      <c r="EC18" s="2">
        <f>EB18+真實IC!EC18</f>
        <v>6.5228907747714375</v>
      </c>
      <c r="ED18" s="2">
        <f>EC18+真實IC!ED18</f>
        <v>6.5626383664954622</v>
      </c>
      <c r="EE18" s="2">
        <f>ED18+真實IC!EE18</f>
        <v>6.6230206942571446</v>
      </c>
      <c r="EF18" s="2">
        <f>EE18+真實IC!EF18</f>
        <v>6.7244748028393806</v>
      </c>
      <c r="EG18" s="2">
        <f>EF18+真實IC!EG18</f>
        <v>7.0538315095050228</v>
      </c>
      <c r="EH18" s="2">
        <f>EG18+真實IC!EH18</f>
        <v>7.0708238964671111</v>
      </c>
      <c r="EI18" s="2">
        <f>EH18+真實IC!EI18</f>
        <v>7.0570310542403165</v>
      </c>
      <c r="EJ18" s="2">
        <f>EI18+真實IC!EJ18</f>
        <v>7.0849750904189115</v>
      </c>
      <c r="EK18" s="2">
        <f>EJ18+真實IC!EK18</f>
        <v>7.2271438670735213</v>
      </c>
      <c r="EL18" s="2">
        <f>EK18+真實IC!EL18</f>
        <v>7.2080346342492687</v>
      </c>
    </row>
    <row r="19" spans="1:142" x14ac:dyDescent="0.3">
      <c r="A19" s="11">
        <v>180</v>
      </c>
      <c r="B19" s="11">
        <f t="shared" si="10"/>
        <v>6</v>
      </c>
      <c r="C19" s="2">
        <v>0.25825037374733928</v>
      </c>
      <c r="D19" s="2">
        <f>C19+真實IC!D19</f>
        <v>0.32657762750274316</v>
      </c>
      <c r="E19" s="2">
        <f>D19+真實IC!E19</f>
        <v>0.26955835927460964</v>
      </c>
      <c r="F19" s="2">
        <f>E19+真實IC!F19</f>
        <v>0.13382843056906965</v>
      </c>
      <c r="G19" s="2">
        <f>F19+真實IC!G19</f>
        <v>0.24664225729612743</v>
      </c>
      <c r="H19" s="2">
        <f>G19+真實IC!H19</f>
        <v>0.2827759015177902</v>
      </c>
      <c r="I19" s="2">
        <f>H19+真實IC!I19</f>
        <v>0.11385818736787709</v>
      </c>
      <c r="J19" s="2">
        <f>I19+真實IC!J19</f>
        <v>7.4242540384912514E-2</v>
      </c>
      <c r="K19" s="2">
        <f>J19+真實IC!K19</f>
        <v>0.20260567753049841</v>
      </c>
      <c r="L19" s="2">
        <f>K19+真實IC!L19</f>
        <v>0.15758023299032262</v>
      </c>
      <c r="M19" s="2">
        <f>L19+真實IC!M19</f>
        <v>0.21416738469230412</v>
      </c>
      <c r="N19" s="2">
        <f>M19+真實IC!N19</f>
        <v>0.30988602375244678</v>
      </c>
      <c r="O19" s="2">
        <f>N19+真實IC!O19</f>
        <v>0.36107593889419193</v>
      </c>
      <c r="P19" s="2">
        <f>O19+真實IC!P19</f>
        <v>0.3932444903058035</v>
      </c>
      <c r="Q19" s="2">
        <f>P19+真實IC!Q19</f>
        <v>0.34264158122851218</v>
      </c>
      <c r="R19" s="2">
        <f>Q19+真實IC!R19</f>
        <v>0.43540477668182642</v>
      </c>
      <c r="S19" s="2">
        <f>R19+真實IC!S19</f>
        <v>0.7599555851837847</v>
      </c>
      <c r="T19" s="2">
        <f>S19+真實IC!T19</f>
        <v>0.83066194835928142</v>
      </c>
      <c r="U19" s="2">
        <f>T19+真實IC!U19</f>
        <v>0.68391320743577888</v>
      </c>
      <c r="V19" s="2">
        <f>U19+真實IC!V19</f>
        <v>0.60711963370193189</v>
      </c>
      <c r="W19" s="2">
        <f>V19+真實IC!W19</f>
        <v>0.71938272734834641</v>
      </c>
      <c r="X19" s="2">
        <f>W19+真實IC!X19</f>
        <v>0.94740675594927315</v>
      </c>
      <c r="Y19" s="2">
        <f>X19+真實IC!Y19</f>
        <v>0.97238251386239904</v>
      </c>
      <c r="Z19" s="2">
        <f>Y19+真實IC!Z19</f>
        <v>1.0452535930034712</v>
      </c>
      <c r="AA19" s="2">
        <f>Z19+真實IC!AA19</f>
        <v>1.1476733651508382</v>
      </c>
      <c r="AB19" s="2">
        <f>AA19+真實IC!AB19</f>
        <v>1.1595665335979874</v>
      </c>
      <c r="AC19" s="2">
        <f>AB19+真實IC!AC19</f>
        <v>1.1500713932933648</v>
      </c>
      <c r="AD19" s="2">
        <f>AC19+真實IC!AD19</f>
        <v>1.1476063263183027</v>
      </c>
      <c r="AE19" s="2">
        <f>AD19+真實IC!AE19</f>
        <v>1.3843605047033292</v>
      </c>
      <c r="AF19" s="2">
        <f>AE19+真實IC!AF19</f>
        <v>1.6300604551658933</v>
      </c>
      <c r="AG19" s="2">
        <f>AF19+真實IC!AG19</f>
        <v>1.6596894491829941</v>
      </c>
      <c r="AH19" s="2">
        <f>AG19+真實IC!AH19</f>
        <v>1.5785868187776653</v>
      </c>
      <c r="AI19" s="2">
        <f>AH19+真實IC!AI19</f>
        <v>1.6101412550607124</v>
      </c>
      <c r="AJ19" s="2">
        <f>AI19+真實IC!AJ19</f>
        <v>1.7007464624543167</v>
      </c>
      <c r="AK19" s="2">
        <f>AJ19+真實IC!AK19</f>
        <v>1.7465031340208685</v>
      </c>
      <c r="AL19" s="2">
        <f>AK19+真實IC!AL19</f>
        <v>1.8382153303710591</v>
      </c>
      <c r="AM19" s="2">
        <f>AL19+真實IC!AM19</f>
        <v>1.7588850049005544</v>
      </c>
      <c r="AN19" s="2">
        <f>AM19+真實IC!AN19</f>
        <v>1.7874247453721401</v>
      </c>
      <c r="AO19" s="2">
        <f>AN19+真實IC!AO19</f>
        <v>1.8109458973585169</v>
      </c>
      <c r="AP19" s="2">
        <f>AO19+真實IC!AP19</f>
        <v>1.9150091728506768</v>
      </c>
      <c r="AQ19" s="2">
        <f>AP19+真實IC!AQ19</f>
        <v>1.9168135279565621</v>
      </c>
      <c r="AR19" s="2">
        <f>AQ19+真實IC!AR19</f>
        <v>1.946358617634945</v>
      </c>
      <c r="AS19" s="2">
        <f>AR19+真實IC!AS19</f>
        <v>1.8893333854900685</v>
      </c>
      <c r="AT19" s="2">
        <f>AS19+真實IC!AT19</f>
        <v>2.2193356103614579</v>
      </c>
      <c r="AU19" s="2">
        <f>AT19+真實IC!AU19</f>
        <v>2.4295355814103194</v>
      </c>
      <c r="AV19" s="2">
        <f>AU19+真實IC!AV19</f>
        <v>2.4704355000655718</v>
      </c>
      <c r="AW19" s="2">
        <f>AV19+真實IC!AW19</f>
        <v>2.6735968707734044</v>
      </c>
      <c r="AX19" s="2">
        <f>AW19+真實IC!AX19</f>
        <v>2.8542170768194959</v>
      </c>
      <c r="AY19" s="2">
        <f>AX19+真實IC!AY19</f>
        <v>2.8034618401713209</v>
      </c>
      <c r="AZ19" s="2">
        <f>AY19+真實IC!AZ19</f>
        <v>2.8746000057397043</v>
      </c>
      <c r="BA19" s="2">
        <f>AZ19+真實IC!BA19</f>
        <v>2.9484280212939016</v>
      </c>
      <c r="BB19" s="2">
        <f>BA19+真實IC!BB19</f>
        <v>3.2359846962167325</v>
      </c>
      <c r="BC19" s="2">
        <f>BB19+真實IC!BC19</f>
        <v>3.4053409492980227</v>
      </c>
      <c r="BD19" s="2">
        <f>BC19+真實IC!BD19</f>
        <v>3.4494496239094912</v>
      </c>
      <c r="BE19" s="2">
        <f>BD19+真實IC!BE19</f>
        <v>3.5305085127557585</v>
      </c>
      <c r="BF19" s="2">
        <f>BE19+真實IC!BF19</f>
        <v>3.6607748238740765</v>
      </c>
      <c r="BG19" s="2">
        <f>BF19+真實IC!BG19</f>
        <v>3.6456308091788308</v>
      </c>
      <c r="BH19" s="2">
        <f>BG19+真實IC!BH19</f>
        <v>3.775299536709142</v>
      </c>
      <c r="BI19" s="2">
        <f>BH19+真實IC!BI19</f>
        <v>3.837883500786532</v>
      </c>
      <c r="BJ19" s="2">
        <f>BI19+真實IC!BJ19</f>
        <v>3.8673248689526751</v>
      </c>
      <c r="BK19" s="2">
        <f>BJ19+真實IC!BK19</f>
        <v>3.9768572603053083</v>
      </c>
      <c r="BL19" s="2">
        <f>BK19+真實IC!BL19</f>
        <v>4.0439801955470589</v>
      </c>
      <c r="BM19" s="2">
        <f>BL19+真實IC!BM19</f>
        <v>4.0930909768889405</v>
      </c>
      <c r="BN19" s="2">
        <f>BM19+真實IC!BN19</f>
        <v>4.1413594758239354</v>
      </c>
      <c r="BO19" s="2">
        <f>BN19+真實IC!BO19</f>
        <v>4.1247964593854141</v>
      </c>
      <c r="BP19" s="2">
        <f>BO19+真實IC!BP19</f>
        <v>4.0848186078928457</v>
      </c>
      <c r="BQ19" s="2">
        <f>BP19+真實IC!BQ19</f>
        <v>4.0112670417492904</v>
      </c>
      <c r="BR19" s="2">
        <f>BQ19+真實IC!BR19</f>
        <v>4.134506576373715</v>
      </c>
      <c r="BS19" s="2">
        <f>BR19+真實IC!BS19</f>
        <v>4.1255395147935303</v>
      </c>
      <c r="BT19" s="2">
        <f>BS19+真實IC!BT19</f>
        <v>4.1030542405447097</v>
      </c>
      <c r="BU19" s="2">
        <f>BT19+真實IC!BU19</f>
        <v>4.0405609470421728</v>
      </c>
      <c r="BV19" s="2">
        <f>BU19+真實IC!BV19</f>
        <v>3.9909216866681896</v>
      </c>
      <c r="BW19" s="2">
        <f>BV19+真實IC!BW19</f>
        <v>4.3474319313649943</v>
      </c>
      <c r="BX19" s="2">
        <f>BW19+真實IC!BX19</f>
        <v>4.2617526552290297</v>
      </c>
      <c r="BY19" s="2">
        <f>BX19+真實IC!BY19</f>
        <v>4.1093786193409834</v>
      </c>
      <c r="BZ19" s="2">
        <f>BY19+真實IC!BZ19</f>
        <v>4.0395671068795229</v>
      </c>
      <c r="CA19" s="2">
        <f>BZ19+真實IC!CA19</f>
        <v>4.1122759845401262</v>
      </c>
      <c r="CB19" s="2">
        <f>CA19+真實IC!CB19</f>
        <v>4.0536151736780006</v>
      </c>
      <c r="CC19" s="2">
        <f>CB19+真實IC!CC19</f>
        <v>4.2953784647585591</v>
      </c>
      <c r="CD19" s="2">
        <f>CC19+真實IC!CD19</f>
        <v>4.3206217608296038</v>
      </c>
      <c r="CE19" s="2">
        <f>CD19+真實IC!CE19</f>
        <v>4.500728628918254</v>
      </c>
      <c r="CF19" s="2">
        <f>CE19+真實IC!CF19</f>
        <v>4.4799386958495271</v>
      </c>
      <c r="CG19" s="2">
        <f>CF19+真實IC!CG19</f>
        <v>4.6212351158334455</v>
      </c>
      <c r="CH19" s="2">
        <f>CG19+真實IC!CH19</f>
        <v>4.751582660764968</v>
      </c>
      <c r="CI19" s="2">
        <f>CH19+真實IC!CI19</f>
        <v>4.7561470829930359</v>
      </c>
      <c r="CJ19" s="2">
        <f>CI19+真實IC!CJ19</f>
        <v>4.7580199326674615</v>
      </c>
      <c r="CK19" s="2">
        <f>CJ19+真實IC!CK19</f>
        <v>4.9102579025988371</v>
      </c>
      <c r="CL19" s="2">
        <f>CK19+真實IC!CL19</f>
        <v>4.7470647559439207</v>
      </c>
      <c r="CM19" s="2">
        <f>CL19+真實IC!CM19</f>
        <v>4.7447622776424048</v>
      </c>
      <c r="CN19" s="2">
        <f>CM19+真實IC!CN19</f>
        <v>4.9483377248400897</v>
      </c>
      <c r="CO19" s="2">
        <f>CN19+真實IC!CO19</f>
        <v>5.1718531446132952</v>
      </c>
      <c r="CP19" s="2">
        <f>CO19+真實IC!CP19</f>
        <v>5.0534775902995062</v>
      </c>
      <c r="CQ19" s="2">
        <f>CP19+真實IC!CQ19</f>
        <v>5.0996066163683285</v>
      </c>
      <c r="CR19" s="2">
        <f>CQ19+真實IC!CR19</f>
        <v>5.2027338732690094</v>
      </c>
      <c r="CS19" s="2">
        <f>CR19+真實IC!CS19</f>
        <v>5.2577943380934862</v>
      </c>
      <c r="CT19" s="2">
        <f>CS19+真實IC!CT19</f>
        <v>5.265439505698664</v>
      </c>
      <c r="CU19" s="2">
        <f>CT19+真實IC!CU19</f>
        <v>5.4362122946699936</v>
      </c>
      <c r="CV19" s="2">
        <f>CU19+真實IC!CV19</f>
        <v>5.5707694655002848</v>
      </c>
      <c r="CW19" s="2">
        <f>CV19+真實IC!CW19</f>
        <v>5.6385005319583765</v>
      </c>
      <c r="CX19" s="2">
        <f>CW19+真實IC!CX19</f>
        <v>5.7420660485771222</v>
      </c>
      <c r="CY19" s="2">
        <f>CX19+真實IC!CY19</f>
        <v>5.8150572638671152</v>
      </c>
      <c r="CZ19" s="2">
        <f>CY19+真實IC!CZ19</f>
        <v>5.8330689147892514</v>
      </c>
      <c r="DA19" s="2">
        <f>CZ19+真實IC!DA19</f>
        <v>6.0214728393293768</v>
      </c>
      <c r="DB19" s="2">
        <f>DA19+真實IC!DB19</f>
        <v>6.3682264209661996</v>
      </c>
      <c r="DC19" s="2">
        <f>DB19+真實IC!DC19</f>
        <v>6.3804808024379636</v>
      </c>
      <c r="DD19" s="2">
        <f>DC19+真實IC!DD19</f>
        <v>6.4124885754699203</v>
      </c>
      <c r="DE19" s="2">
        <f>DD19+真實IC!DE19</f>
        <v>6.4989728027664126</v>
      </c>
      <c r="DF19" s="2">
        <f>DE19+真實IC!DF19</f>
        <v>6.4833484187329118</v>
      </c>
      <c r="DG19" s="2">
        <f>DF19+真實IC!DG19</f>
        <v>6.5990225200084014</v>
      </c>
      <c r="DH19" s="2">
        <f>DG19+真實IC!DH19</f>
        <v>6.5852537013361356</v>
      </c>
      <c r="DI19" s="2">
        <f>DH19+真實IC!DI19</f>
        <v>6.5243461058658108</v>
      </c>
      <c r="DJ19" s="2">
        <f>DI19+真實IC!DJ19</f>
        <v>6.5650064112599189</v>
      </c>
      <c r="DK19" s="2">
        <f>DJ19+真實IC!DK19</f>
        <v>6.605698832615098</v>
      </c>
      <c r="DL19" s="2">
        <f>DK19+真實IC!DL19</f>
        <v>6.6005091750118625</v>
      </c>
      <c r="DM19" s="2">
        <f>DL19+真實IC!DM19</f>
        <v>6.6433850681481141</v>
      </c>
      <c r="DN19" s="2">
        <f>DM19+真實IC!DN19</f>
        <v>6.8391294596312306</v>
      </c>
      <c r="DO19" s="2">
        <f>DN19+真實IC!DO19</f>
        <v>6.8781401111551128</v>
      </c>
      <c r="DP19" s="2">
        <f>DO19+真實IC!DP19</f>
        <v>7.0653618194819581</v>
      </c>
      <c r="DQ19" s="2">
        <f>DP19+真實IC!DQ19</f>
        <v>7.1158096128190786</v>
      </c>
      <c r="DR19" s="2">
        <f>DQ19+真實IC!DR19</f>
        <v>7.1996890872758676</v>
      </c>
      <c r="DS19" s="2">
        <f>DR19+真實IC!DS19</f>
        <v>7.1831287837544897</v>
      </c>
      <c r="DT19" s="2">
        <f>DS19+真實IC!DT19</f>
        <v>7.2570501025704468</v>
      </c>
      <c r="DU19" s="2">
        <f>DT19+真實IC!DU19</f>
        <v>7.4516064399197619</v>
      </c>
      <c r="DV19" s="2">
        <f>DU19+真實IC!DV19</f>
        <v>7.4600019593651119</v>
      </c>
      <c r="DW19" s="2">
        <f>DV19+真實IC!DW19</f>
        <v>7.4199344107222789</v>
      </c>
      <c r="DX19" s="2">
        <f>DW19+真實IC!DX19</f>
        <v>7.3470611905490264</v>
      </c>
      <c r="DY19" s="2">
        <f>DX19+真實IC!DY19</f>
        <v>7.2394681720165668</v>
      </c>
      <c r="DZ19" s="2">
        <f>DY19+真實IC!DZ19</f>
        <v>7.0825248043664049</v>
      </c>
      <c r="EA19" s="2">
        <f>DZ19+真實IC!EA19</f>
        <v>7.0902995449302875</v>
      </c>
      <c r="EB19" s="2">
        <f>EA19+真實IC!EB19</f>
        <v>7.2106176442798882</v>
      </c>
      <c r="EC19" s="2">
        <f>EB19+真實IC!EC19</f>
        <v>7.0773178161639549</v>
      </c>
      <c r="ED19" s="2">
        <f>EC19+真實IC!ED19</f>
        <v>7.110568996674985</v>
      </c>
      <c r="EE19" s="2">
        <f>ED19+真實IC!EE19</f>
        <v>7.1701718425828975</v>
      </c>
      <c r="EF19" s="2">
        <f>EE19+真實IC!EF19</f>
        <v>7.279140347314943</v>
      </c>
      <c r="EG19" s="2">
        <f>EF19+真實IC!EG19</f>
        <v>7.719581847742397</v>
      </c>
      <c r="EH19" s="2">
        <f>EG19+真實IC!EH19</f>
        <v>7.7072008439989519</v>
      </c>
      <c r="EI19" s="2">
        <f>EH19+真實IC!EI19</f>
        <v>7.7133154959774002</v>
      </c>
      <c r="EJ19" s="2">
        <f>EI19+真實IC!EJ19</f>
        <v>7.7541928015650576</v>
      </c>
      <c r="EK19" s="2">
        <f>EJ19+真實IC!EK19</f>
        <v>7.877895060679899</v>
      </c>
      <c r="EL19" s="2">
        <f>EK19+真實IC!EL19</f>
        <v>7.8781786483370251</v>
      </c>
    </row>
    <row r="20" spans="1:142" x14ac:dyDescent="0.3">
      <c r="A20" s="11">
        <v>200</v>
      </c>
      <c r="B20" s="11">
        <f t="shared" si="10"/>
        <v>5</v>
      </c>
      <c r="C20" s="2">
        <v>0.241035745977561</v>
      </c>
      <c r="D20" s="2">
        <f>C20+真實IC!D20</f>
        <v>0.31441918588600964</v>
      </c>
      <c r="E20" s="2">
        <f>D20+真實IC!E20</f>
        <v>0.24609856856394358</v>
      </c>
      <c r="F20" s="2">
        <f>E20+真實IC!F20</f>
        <v>8.2097406127388778E-2</v>
      </c>
      <c r="G20" s="2">
        <f>F20+真實IC!G20</f>
        <v>0.21536457780097079</v>
      </c>
      <c r="H20" s="2">
        <f>G20+真實IC!H20</f>
        <v>0.23282645064391905</v>
      </c>
      <c r="I20" s="2">
        <f>H20+真實IC!I20</f>
        <v>5.3663036428818256E-2</v>
      </c>
      <c r="J20" s="2">
        <f>I20+真實IC!J20</f>
        <v>-2.3476783621891886E-2</v>
      </c>
      <c r="K20" s="2">
        <f>J20+真實IC!K20</f>
        <v>8.5530510412961919E-2</v>
      </c>
      <c r="L20" s="2">
        <f>K20+真實IC!L20</f>
        <v>2.2163796217237977E-2</v>
      </c>
      <c r="M20" s="2">
        <f>L20+真實IC!M20</f>
        <v>6.5971125523442614E-2</v>
      </c>
      <c r="N20" s="2">
        <f>M20+真實IC!N20</f>
        <v>0.21087116283061683</v>
      </c>
      <c r="O20" s="2">
        <f>N20+真實IC!O20</f>
        <v>0.25360518758840733</v>
      </c>
      <c r="P20" s="2">
        <f>O20+真實IC!P20</f>
        <v>0.30570243122429719</v>
      </c>
      <c r="Q20" s="2">
        <f>P20+真實IC!Q20</f>
        <v>0.27887148609400075</v>
      </c>
      <c r="R20" s="2">
        <f>Q20+真實IC!R20</f>
        <v>0.35551630222384945</v>
      </c>
      <c r="S20" s="2">
        <f>R20+真實IC!S20</f>
        <v>0.63298400909556807</v>
      </c>
      <c r="T20" s="2">
        <f>S20+真實IC!T20</f>
        <v>0.7254722510735091</v>
      </c>
      <c r="U20" s="2">
        <f>T20+真實IC!U20</f>
        <v>0.59285908016230227</v>
      </c>
      <c r="V20" s="2">
        <f>U20+真實IC!V20</f>
        <v>0.51997879579883677</v>
      </c>
      <c r="W20" s="2">
        <f>V20+真實IC!W20</f>
        <v>0.6865872850419823</v>
      </c>
      <c r="X20" s="2">
        <f>W20+真實IC!X20</f>
        <v>0.87948959548346772</v>
      </c>
      <c r="Y20" s="2">
        <f>X20+真實IC!Y20</f>
        <v>0.90406492421501161</v>
      </c>
      <c r="Z20" s="2">
        <f>Y20+真實IC!Z20</f>
        <v>1.0210238255247217</v>
      </c>
      <c r="AA20" s="2">
        <f>Z20+真實IC!AA20</f>
        <v>1.1164393544377493</v>
      </c>
      <c r="AB20" s="2">
        <f>AA20+真實IC!AB20</f>
        <v>1.166933578995871</v>
      </c>
      <c r="AC20" s="2">
        <f>AB20+真實IC!AC20</f>
        <v>1.2172897441155626</v>
      </c>
      <c r="AD20" s="2">
        <f>AC20+真實IC!AD20</f>
        <v>1.176554966396258</v>
      </c>
      <c r="AE20" s="2">
        <f>AD20+真實IC!AE20</f>
        <v>1.3184906289264204</v>
      </c>
      <c r="AF20" s="2">
        <f>AE20+真實IC!AF20</f>
        <v>1.5571746722675386</v>
      </c>
      <c r="AG20" s="2">
        <f>AF20+真實IC!AG20</f>
        <v>1.6575742826040336</v>
      </c>
      <c r="AH20" s="2">
        <f>AG20+真實IC!AH20</f>
        <v>1.6039587829466115</v>
      </c>
      <c r="AI20" s="2">
        <f>AH20+真實IC!AI20</f>
        <v>1.6345975319177322</v>
      </c>
      <c r="AJ20" s="2">
        <f>AI20+真實IC!AJ20</f>
        <v>1.7740485095326746</v>
      </c>
      <c r="AK20" s="2">
        <f>AJ20+真實IC!AK20</f>
        <v>1.7887786761654214</v>
      </c>
      <c r="AL20" s="2">
        <f>AK20+真實IC!AL20</f>
        <v>1.9079662355848586</v>
      </c>
      <c r="AM20" s="2">
        <f>AL20+真實IC!AM20</f>
        <v>1.842606805658253</v>
      </c>
      <c r="AN20" s="2">
        <f>AM20+真實IC!AN20</f>
        <v>1.8862447711856187</v>
      </c>
      <c r="AO20" s="2">
        <f>AN20+真實IC!AO20</f>
        <v>1.9195542733200246</v>
      </c>
      <c r="AP20" s="2">
        <f>AO20+真實IC!AP20</f>
        <v>2.0668263364995849</v>
      </c>
      <c r="AQ20" s="2">
        <f>AP20+真實IC!AQ20</f>
        <v>2.0441082929903218</v>
      </c>
      <c r="AR20" s="2">
        <f>AQ20+真實IC!AR20</f>
        <v>2.0420105007800986</v>
      </c>
      <c r="AS20" s="2">
        <f>AR20+真實IC!AS20</f>
        <v>1.9687641450917805</v>
      </c>
      <c r="AT20" s="2">
        <f>AS20+真實IC!AT20</f>
        <v>2.1718267357355527</v>
      </c>
      <c r="AU20" s="2">
        <f>AT20+真實IC!AU20</f>
        <v>2.3738657450289486</v>
      </c>
      <c r="AV20" s="2">
        <f>AU20+真實IC!AV20</f>
        <v>2.3999520681595943</v>
      </c>
      <c r="AW20" s="2">
        <f>AV20+真實IC!AW20</f>
        <v>2.6664486905509039</v>
      </c>
      <c r="AX20" s="2">
        <f>AW20+真實IC!AX20</f>
        <v>2.8454626385715724</v>
      </c>
      <c r="AY20" s="2">
        <f>AX20+真實IC!AY20</f>
        <v>2.7708352853678475</v>
      </c>
      <c r="AZ20" s="2">
        <f>AY20+真實IC!AZ20</f>
        <v>2.8655654932522294</v>
      </c>
      <c r="BA20" s="2">
        <f>AZ20+真實IC!BA20</f>
        <v>3.0544258623710432</v>
      </c>
      <c r="BB20" s="2">
        <f>BA20+真實IC!BB20</f>
        <v>3.3525521710459847</v>
      </c>
      <c r="BC20" s="2">
        <f>BB20+真實IC!BC20</f>
        <v>3.4472074252961806</v>
      </c>
      <c r="BD20" s="2">
        <f>BC20+真實IC!BD20</f>
        <v>3.5044559613484165</v>
      </c>
      <c r="BE20" s="2">
        <f>BD20+真實IC!BE20</f>
        <v>3.5586636415879989</v>
      </c>
      <c r="BF20" s="2">
        <f>BE20+真實IC!BF20</f>
        <v>3.7182368094228546</v>
      </c>
      <c r="BG20" s="2">
        <f>BF20+真實IC!BG20</f>
        <v>3.719532291913497</v>
      </c>
      <c r="BH20" s="2">
        <f>BG20+真實IC!BH20</f>
        <v>3.8105511520963606</v>
      </c>
      <c r="BI20" s="2">
        <f>BH20+真實IC!BI20</f>
        <v>3.899599109926208</v>
      </c>
      <c r="BJ20" s="2">
        <f>BI20+真實IC!BJ20</f>
        <v>3.9287389809915161</v>
      </c>
      <c r="BK20" s="2">
        <f>BJ20+真實IC!BK20</f>
        <v>3.9272042286372626</v>
      </c>
      <c r="BL20" s="2">
        <f>BK20+真實IC!BL20</f>
        <v>4.0018137523681609</v>
      </c>
      <c r="BM20" s="2">
        <f>BL20+真實IC!BM20</f>
        <v>4.058294615101075</v>
      </c>
      <c r="BN20" s="2">
        <f>BM20+真實IC!BN20</f>
        <v>4.1174894803536484</v>
      </c>
      <c r="BO20" s="2">
        <f>BN20+真實IC!BO20</f>
        <v>4.1222604757567094</v>
      </c>
      <c r="BP20" s="2">
        <f>BO20+真實IC!BP20</f>
        <v>4.0913154165642815</v>
      </c>
      <c r="BQ20" s="2">
        <f>BP20+真實IC!BQ20</f>
        <v>3.9974497702248017</v>
      </c>
      <c r="BR20" s="2">
        <f>BQ20+真實IC!BR20</f>
        <v>4.1555270479307156</v>
      </c>
      <c r="BS20" s="2">
        <f>BR20+真實IC!BS20</f>
        <v>4.1311624177869346</v>
      </c>
      <c r="BT20" s="2">
        <f>BS20+真實IC!BT20</f>
        <v>4.0951070129855038</v>
      </c>
      <c r="BU20" s="2">
        <f>BT20+真實IC!BU20</f>
        <v>4.0445511940766066</v>
      </c>
      <c r="BV20" s="2">
        <f>BU20+真實IC!BV20</f>
        <v>3.9871036388137338</v>
      </c>
      <c r="BW20" s="2">
        <f>BV20+真實IC!BW20</f>
        <v>4.4095294559192908</v>
      </c>
      <c r="BX20" s="2">
        <f>BW20+真實IC!BX20</f>
        <v>4.3798729136885788</v>
      </c>
      <c r="BY20" s="2">
        <f>BX20+真實IC!BY20</f>
        <v>4.2130390555166901</v>
      </c>
      <c r="BZ20" s="2">
        <f>BY20+真實IC!BZ20</f>
        <v>4.1616716199099768</v>
      </c>
      <c r="CA20" s="2">
        <f>BZ20+真實IC!CA20</f>
        <v>4.2495235189924863</v>
      </c>
      <c r="CB20" s="2">
        <f>CA20+真實IC!CB20</f>
        <v>4.2155767631365064</v>
      </c>
      <c r="CC20" s="2">
        <f>CB20+真實IC!CC20</f>
        <v>4.4826724970403715</v>
      </c>
      <c r="CD20" s="2">
        <f>CC20+真實IC!CD20</f>
        <v>4.4611543510505838</v>
      </c>
      <c r="CE20" s="2">
        <f>CD20+真實IC!CE20</f>
        <v>4.6697416134537324</v>
      </c>
      <c r="CF20" s="2">
        <f>CE20+真實IC!CF20</f>
        <v>4.6578755933461027</v>
      </c>
      <c r="CG20" s="2">
        <f>CF20+真實IC!CG20</f>
        <v>4.7895893471333801</v>
      </c>
      <c r="CH20" s="2">
        <f>CG20+真實IC!CH20</f>
        <v>4.9242976236772522</v>
      </c>
      <c r="CI20" s="2">
        <f>CH20+真實IC!CI20</f>
        <v>4.9248113987186963</v>
      </c>
      <c r="CJ20" s="2">
        <f>CI20+真實IC!CJ20</f>
        <v>4.8732554535305361</v>
      </c>
      <c r="CK20" s="2">
        <f>CJ20+真實IC!CK20</f>
        <v>4.9866483868286684</v>
      </c>
      <c r="CL20" s="2">
        <f>CK20+真實IC!CL20</f>
        <v>4.6978683208243135</v>
      </c>
      <c r="CM20" s="2">
        <f>CL20+真實IC!CM20</f>
        <v>4.6532806418111425</v>
      </c>
      <c r="CN20" s="2">
        <f>CM20+真實IC!CN20</f>
        <v>4.7573605518708089</v>
      </c>
      <c r="CO20" s="2">
        <f>CN20+真實IC!CO20</f>
        <v>5.0439938136830111</v>
      </c>
      <c r="CP20" s="2">
        <f>CO20+真實IC!CP20</f>
        <v>4.8794821541151077</v>
      </c>
      <c r="CQ20" s="2">
        <f>CP20+真實IC!CQ20</f>
        <v>4.924658798294125</v>
      </c>
      <c r="CR20" s="2">
        <f>CQ20+真實IC!CR20</f>
        <v>5.0406014036005677</v>
      </c>
      <c r="CS20" s="2">
        <f>CR20+真實IC!CS20</f>
        <v>5.075642151514085</v>
      </c>
      <c r="CT20" s="2">
        <f>CS20+真實IC!CT20</f>
        <v>5.1100061708424409</v>
      </c>
      <c r="CU20" s="2">
        <f>CT20+真實IC!CU20</f>
        <v>5.2719503381130028</v>
      </c>
      <c r="CV20" s="2">
        <f>CU20+真實IC!CV20</f>
        <v>5.4236399456612965</v>
      </c>
      <c r="CW20" s="2">
        <f>CV20+真實IC!CW20</f>
        <v>5.4772271375211581</v>
      </c>
      <c r="CX20" s="2">
        <f>CW20+真實IC!CX20</f>
        <v>5.5683993682005033</v>
      </c>
      <c r="CY20" s="2">
        <f>CX20+真實IC!CY20</f>
        <v>5.6585246613903548</v>
      </c>
      <c r="CZ20" s="2">
        <f>CY20+真實IC!CZ20</f>
        <v>5.6665252098968297</v>
      </c>
      <c r="DA20" s="2">
        <f>CZ20+真實IC!DA20</f>
        <v>5.9386091453678098</v>
      </c>
      <c r="DB20" s="2">
        <f>DA20+真實IC!DB20</f>
        <v>6.3475893659500402</v>
      </c>
      <c r="DC20" s="2">
        <f>DB20+真實IC!DC20</f>
        <v>6.4552026551584714</v>
      </c>
      <c r="DD20" s="2">
        <f>DC20+真實IC!DD20</f>
        <v>6.4897678172479747</v>
      </c>
      <c r="DE20" s="2">
        <f>DD20+真實IC!DE20</f>
        <v>6.557305321339487</v>
      </c>
      <c r="DF20" s="2">
        <f>DE20+真實IC!DF20</f>
        <v>6.5572690799017987</v>
      </c>
      <c r="DG20" s="2">
        <f>DF20+真實IC!DG20</f>
        <v>6.6976983306718196</v>
      </c>
      <c r="DH20" s="2">
        <f>DG20+真實IC!DH20</f>
        <v>6.6821778479726808</v>
      </c>
      <c r="DI20" s="2">
        <f>DH20+真實IC!DI20</f>
        <v>6.6546833071781313</v>
      </c>
      <c r="DJ20" s="2">
        <f>DI20+真實IC!DJ20</f>
        <v>6.6704109565783458</v>
      </c>
      <c r="DK20" s="2">
        <f>DJ20+真實IC!DK20</f>
        <v>6.6731397819647045</v>
      </c>
      <c r="DL20" s="2">
        <f>DK20+真實IC!DL20</f>
        <v>6.6786047315396555</v>
      </c>
      <c r="DM20" s="2">
        <f>DL20+真實IC!DM20</f>
        <v>6.7518935470628456</v>
      </c>
      <c r="DN20" s="2">
        <f>DM20+真實IC!DN20</f>
        <v>6.9787357887443102</v>
      </c>
      <c r="DO20" s="2">
        <f>DN20+真實IC!DO20</f>
        <v>6.9608806686498426</v>
      </c>
      <c r="DP20" s="2">
        <f>DO20+真實IC!DP20</f>
        <v>7.1309793886256108</v>
      </c>
      <c r="DQ20" s="2">
        <f>DP20+真實IC!DQ20</f>
        <v>7.172597510816022</v>
      </c>
      <c r="DR20" s="2">
        <f>DQ20+真實IC!DR20</f>
        <v>7.2471060425634768</v>
      </c>
      <c r="DS20" s="2">
        <f>DR20+真實IC!DS20</f>
        <v>7.2088708343155607</v>
      </c>
      <c r="DT20" s="2">
        <f>DS20+真實IC!DT20</f>
        <v>7.2769132214429257</v>
      </c>
      <c r="DU20" s="2">
        <f>DT20+真實IC!DU20</f>
        <v>7.5195690741933934</v>
      </c>
      <c r="DV20" s="2">
        <f>DU20+真實IC!DV20</f>
        <v>7.561357671484811</v>
      </c>
      <c r="DW20" s="2">
        <f>DV20+真實IC!DW20</f>
        <v>7.5119341998280609</v>
      </c>
      <c r="DX20" s="2">
        <f>DW20+真實IC!DX20</f>
        <v>7.3930352581053835</v>
      </c>
      <c r="DY20" s="2">
        <f>DX20+真實IC!DY20</f>
        <v>7.202436664899154</v>
      </c>
      <c r="DZ20" s="2">
        <f>DY20+真實IC!DZ20</f>
        <v>7.0092338660861042</v>
      </c>
      <c r="EA20" s="2">
        <f>DZ20+真實IC!EA20</f>
        <v>7.0112940487614095</v>
      </c>
      <c r="EB20" s="2">
        <f>EA20+真實IC!EB20</f>
        <v>7.1448876899517808</v>
      </c>
      <c r="EC20" s="2">
        <f>EB20+真實IC!EC20</f>
        <v>7.0030150441565588</v>
      </c>
      <c r="ED20" s="2">
        <f>EC20+真實IC!ED20</f>
        <v>7.0113117750260843</v>
      </c>
      <c r="EE20" s="2">
        <f>ED20+真實IC!EE20</f>
        <v>7.0395380405159012</v>
      </c>
      <c r="EF20" s="2">
        <f>EE20+真實IC!EF20</f>
        <v>7.1778851083219939</v>
      </c>
      <c r="EG20" s="2">
        <f>EF20+真實IC!EG20</f>
        <v>7.6313757899380299</v>
      </c>
      <c r="EH20" s="2">
        <f>EG20+真實IC!EH20</f>
        <v>7.6226073489137001</v>
      </c>
      <c r="EI20" s="2">
        <f>EH20+真實IC!EI20</f>
        <v>7.570865037184932</v>
      </c>
      <c r="EJ20" s="2">
        <f>EI20+真實IC!EJ20</f>
        <v>7.5985741122814563</v>
      </c>
      <c r="EK20" s="2">
        <f>EJ20+真實IC!EK20</f>
        <v>7.7451231349517711</v>
      </c>
      <c r="EL20" s="2">
        <f>EK20+真實IC!EL20</f>
        <v>7.764796852515607</v>
      </c>
    </row>
    <row r="21" spans="1:142" x14ac:dyDescent="0.3">
      <c r="A21" s="11">
        <v>256</v>
      </c>
      <c r="B21" s="11">
        <f t="shared" si="10"/>
        <v>4</v>
      </c>
      <c r="C21" s="2">
        <v>0.2490064650579937</v>
      </c>
      <c r="D21" s="2">
        <f>C21+真實IC!D21</f>
        <v>0.31300478960469313</v>
      </c>
      <c r="E21" s="2">
        <f>D21+真實IC!E21</f>
        <v>0.32262064339727459</v>
      </c>
      <c r="F21" s="2">
        <f>E21+真實IC!F21</f>
        <v>0.1385820617911446</v>
      </c>
      <c r="G21" s="2">
        <f>F21+真實IC!G21</f>
        <v>0.20103766479891191</v>
      </c>
      <c r="H21" s="2">
        <f>G21+真實IC!H21</f>
        <v>0.1480925992518804</v>
      </c>
      <c r="I21" s="2">
        <f>H21+真實IC!I21</f>
        <v>-9.1230462925873612E-2</v>
      </c>
      <c r="J21" s="2">
        <f>I21+真實IC!J21</f>
        <v>-0.18179710217032044</v>
      </c>
      <c r="K21" s="2">
        <f>J21+真實IC!K21</f>
        <v>-0.12541127871762076</v>
      </c>
      <c r="L21" s="2">
        <f>K21+真實IC!L21</f>
        <v>-0.19841391316302262</v>
      </c>
      <c r="M21" s="2">
        <f>L21+真實IC!M21</f>
        <v>-0.22776403120847483</v>
      </c>
      <c r="N21" s="2">
        <f>M21+真實IC!N21</f>
        <v>-8.3561140785867322E-2</v>
      </c>
      <c r="O21" s="2">
        <f>N21+真實IC!O21</f>
        <v>-2.4706000673429665E-2</v>
      </c>
      <c r="P21" s="2">
        <f>O21+真實IC!P21</f>
        <v>6.3459605607084801E-2</v>
      </c>
      <c r="Q21" s="2">
        <f>P21+真實IC!Q21</f>
        <v>8.1203609211645808E-2</v>
      </c>
      <c r="R21" s="2">
        <f>Q21+真實IC!R21</f>
        <v>0.18542976256837312</v>
      </c>
      <c r="S21" s="2">
        <f>R21+真實IC!S21</f>
        <v>0.44011256507425345</v>
      </c>
      <c r="T21" s="2">
        <f>S21+真實IC!T21</f>
        <v>0.55583152270795799</v>
      </c>
      <c r="U21" s="2">
        <f>T21+真實IC!U21</f>
        <v>0.43485465755364172</v>
      </c>
      <c r="V21" s="2">
        <f>U21+真實IC!V21</f>
        <v>0.40635697151294714</v>
      </c>
      <c r="W21" s="2">
        <f>V21+真實IC!W21</f>
        <v>0.56941285133952402</v>
      </c>
      <c r="X21" s="2">
        <f>W21+真實IC!X21</f>
        <v>0.76324986646166726</v>
      </c>
      <c r="Y21" s="2">
        <f>X21+真實IC!Y21</f>
        <v>0.77638874873102492</v>
      </c>
      <c r="Z21" s="2">
        <f>Y21+真實IC!Z21</f>
        <v>0.90825260382416528</v>
      </c>
      <c r="AA21" s="2">
        <f>Z21+真實IC!AA21</f>
        <v>1.000360785424089</v>
      </c>
      <c r="AB21" s="2">
        <f>AA21+真實IC!AB21</f>
        <v>1.0920361621984442</v>
      </c>
      <c r="AC21" s="2">
        <f>AB21+真實IC!AC21</f>
        <v>1.1540340914608136</v>
      </c>
      <c r="AD21" s="2">
        <f>AC21+真實IC!AD21</f>
        <v>1.0809196669396985</v>
      </c>
      <c r="AE21" s="2">
        <f>AD21+真實IC!AE21</f>
        <v>1.2313536005467307</v>
      </c>
      <c r="AF21" s="2">
        <f>AE21+真實IC!AF21</f>
        <v>1.4741150976068682</v>
      </c>
      <c r="AG21" s="2">
        <f>AF21+真實IC!AG21</f>
        <v>1.5606600880010912</v>
      </c>
      <c r="AH21" s="2">
        <f>AG21+真實IC!AH21</f>
        <v>1.5347520821233527</v>
      </c>
      <c r="AI21" s="2">
        <f>AH21+真實IC!AI21</f>
        <v>1.5120331679981758</v>
      </c>
      <c r="AJ21" s="2">
        <f>AI21+真實IC!AJ21</f>
        <v>1.7390645617937568</v>
      </c>
      <c r="AK21" s="2">
        <f>AJ21+真實IC!AK21</f>
        <v>1.751927858583987</v>
      </c>
      <c r="AL21" s="2">
        <f>AK21+真實IC!AL21</f>
        <v>1.8643793663913395</v>
      </c>
      <c r="AM21" s="2">
        <f>AL21+真實IC!AM21</f>
        <v>1.918318775405504</v>
      </c>
      <c r="AN21" s="2">
        <f>AM21+真實IC!AN21</f>
        <v>1.8934263503924464</v>
      </c>
      <c r="AO21" s="2">
        <f>AN21+真實IC!AO21</f>
        <v>2.0737868382525293</v>
      </c>
      <c r="AP21" s="2">
        <f>AO21+真實IC!AP21</f>
        <v>2.2583220046929364</v>
      </c>
      <c r="AQ21" s="2">
        <f>AP21+真實IC!AQ21</f>
        <v>2.2117444385866394</v>
      </c>
      <c r="AR21" s="2">
        <f>AQ21+真實IC!AR21</f>
        <v>2.1735253422760761</v>
      </c>
      <c r="AS21" s="2">
        <f>AR21+真實IC!AS21</f>
        <v>2.0561080216174821</v>
      </c>
      <c r="AT21" s="2">
        <f>AS21+真實IC!AT21</f>
        <v>2.2672920913476355</v>
      </c>
      <c r="AU21" s="2">
        <f>AT21+真實IC!AU21</f>
        <v>2.5281893795759163</v>
      </c>
      <c r="AV21" s="2">
        <f>AU21+真實IC!AV21</f>
        <v>2.5420796417132872</v>
      </c>
      <c r="AW21" s="2">
        <f>AV21+真實IC!AW21</f>
        <v>2.82485289337601</v>
      </c>
      <c r="AX21" s="2">
        <f>AW21+真實IC!AX21</f>
        <v>2.9821642577945733</v>
      </c>
      <c r="AY21" s="2">
        <f>AX21+真實IC!AY21</f>
        <v>2.9135204882653292</v>
      </c>
      <c r="AZ21" s="2">
        <f>AY21+真實IC!AZ21</f>
        <v>3.0775682165139231</v>
      </c>
      <c r="BA21" s="2">
        <f>AZ21+真實IC!BA21</f>
        <v>3.1230155376878677</v>
      </c>
      <c r="BB21" s="2">
        <f>BA21+真實IC!BB21</f>
        <v>3.5363273649789</v>
      </c>
      <c r="BC21" s="2">
        <f>BB21+真實IC!BC21</f>
        <v>3.5970217823150858</v>
      </c>
      <c r="BD21" s="2">
        <f>BC21+真實IC!BD21</f>
        <v>3.7050121968344825</v>
      </c>
      <c r="BE21" s="2">
        <f>BD21+真實IC!BE21</f>
        <v>3.8417575527424468</v>
      </c>
      <c r="BF21" s="2">
        <f>BE21+真實IC!BF21</f>
        <v>4.0408747691730502</v>
      </c>
      <c r="BG21" s="2">
        <f>BF21+真實IC!BG21</f>
        <v>3.9472356603643641</v>
      </c>
      <c r="BH21" s="2">
        <f>BG21+真實IC!BH21</f>
        <v>4.122014855374565</v>
      </c>
      <c r="BI21" s="2">
        <f>BH21+真實IC!BI21</f>
        <v>4.1810699687720563</v>
      </c>
      <c r="BJ21" s="2">
        <f>BI21+真實IC!BJ21</f>
        <v>4.1833795589975526</v>
      </c>
      <c r="BK21" s="2">
        <f>BJ21+真實IC!BK21</f>
        <v>4.1785943901822771</v>
      </c>
      <c r="BL21" s="2">
        <f>BK21+真實IC!BL21</f>
        <v>4.2731026727645176</v>
      </c>
      <c r="BM21" s="2">
        <f>BL21+真實IC!BM21</f>
        <v>4.3138979587932385</v>
      </c>
      <c r="BN21" s="2">
        <f>BM21+真實IC!BN21</f>
        <v>4.4484858539569903</v>
      </c>
      <c r="BO21" s="2">
        <f>BN21+真實IC!BO21</f>
        <v>4.4812841961349319</v>
      </c>
      <c r="BP21" s="2">
        <f>BO21+真實IC!BP21</f>
        <v>4.4888753547208555</v>
      </c>
      <c r="BQ21" s="2">
        <f>BP21+真實IC!BQ21</f>
        <v>4.4178285116542879</v>
      </c>
      <c r="BR21" s="2">
        <f>BQ21+真實IC!BR21</f>
        <v>4.555191743971208</v>
      </c>
      <c r="BS21" s="2">
        <f>BR21+真實IC!BS21</f>
        <v>4.5254331512327139</v>
      </c>
      <c r="BT21" s="2">
        <f>BS21+真實IC!BT21</f>
        <v>4.5136690683392207</v>
      </c>
      <c r="BU21" s="2">
        <f>BT21+真實IC!BU21</f>
        <v>4.335876812734365</v>
      </c>
      <c r="BV21" s="2">
        <f>BU21+真實IC!BV21</f>
        <v>4.2537778505323969</v>
      </c>
      <c r="BW21" s="2">
        <f>BV21+真實IC!BW21</f>
        <v>4.7963875780255911</v>
      </c>
      <c r="BX21" s="2">
        <f>BW21+真實IC!BX21</f>
        <v>4.7472925040099794</v>
      </c>
      <c r="BY21" s="2">
        <f>BX21+真實IC!BY21</f>
        <v>4.6437354364386323</v>
      </c>
      <c r="BZ21" s="2">
        <f>BY21+真實IC!BZ21</f>
        <v>4.5796833308585407</v>
      </c>
      <c r="CA21" s="2">
        <f>BZ21+真實IC!CA21</f>
        <v>4.7293572242830892</v>
      </c>
      <c r="CB21" s="2">
        <f>CA21+真實IC!CB21</f>
        <v>4.7126866767132771</v>
      </c>
      <c r="CC21" s="2">
        <f>CB21+真實IC!CC21</f>
        <v>4.892005422743642</v>
      </c>
      <c r="CD21" s="2">
        <f>CC21+真實IC!CD21</f>
        <v>4.9467404924496821</v>
      </c>
      <c r="CE21" s="2">
        <f>CD21+真實IC!CE21</f>
        <v>5.0732553906424611</v>
      </c>
      <c r="CF21" s="2">
        <f>CE21+真實IC!CF21</f>
        <v>5.0896275012787688</v>
      </c>
      <c r="CG21" s="2">
        <f>CF21+真實IC!CG21</f>
        <v>5.2425002973507402</v>
      </c>
      <c r="CH21" s="2">
        <f>CG21+真實IC!CH21</f>
        <v>5.3694639160107691</v>
      </c>
      <c r="CI21" s="2">
        <f>CH21+真實IC!CI21</f>
        <v>5.3770258291505746</v>
      </c>
      <c r="CJ21" s="2">
        <f>CI21+真實IC!CJ21</f>
        <v>5.357364054984882</v>
      </c>
      <c r="CK21" s="2">
        <f>CJ21+真實IC!CK21</f>
        <v>5.5939953873406782</v>
      </c>
      <c r="CL21" s="2">
        <f>CK21+真實IC!CL21</f>
        <v>5.243797275407033</v>
      </c>
      <c r="CM21" s="2">
        <f>CL21+真實IC!CM21</f>
        <v>5.1370572794038045</v>
      </c>
      <c r="CN21" s="2">
        <f>CM21+真實IC!CN21</f>
        <v>5.3009085957566091</v>
      </c>
      <c r="CO21" s="2">
        <f>CN21+真實IC!CO21</f>
        <v>5.59816853407977</v>
      </c>
      <c r="CP21" s="2">
        <f>CO21+真實IC!CP21</f>
        <v>5.475958188515162</v>
      </c>
      <c r="CQ21" s="2">
        <f>CP21+真實IC!CQ21</f>
        <v>5.523030608990994</v>
      </c>
      <c r="CR21" s="2">
        <f>CQ21+真實IC!CR21</f>
        <v>5.642739153728213</v>
      </c>
      <c r="CS21" s="2">
        <f>CR21+真實IC!CS21</f>
        <v>5.6108757706245047</v>
      </c>
      <c r="CT21" s="2">
        <f>CS21+真實IC!CT21</f>
        <v>5.6623267715551329</v>
      </c>
      <c r="CU21" s="2">
        <f>CT21+真實IC!CU21</f>
        <v>5.8402635916212517</v>
      </c>
      <c r="CV21" s="2">
        <f>CU21+真實IC!CV21</f>
        <v>6.0406601502395301</v>
      </c>
      <c r="CW21" s="2">
        <f>CV21+真實IC!CW21</f>
        <v>6.0845017395516203</v>
      </c>
      <c r="CX21" s="2">
        <f>CW21+真實IC!CX21</f>
        <v>6.1222956426414914</v>
      </c>
      <c r="CY21" s="2">
        <f>CX21+真實IC!CY21</f>
        <v>6.2329459494557939</v>
      </c>
      <c r="CZ21" s="2">
        <f>CY21+真實IC!CZ21</f>
        <v>6.2240585902982009</v>
      </c>
      <c r="DA21" s="2">
        <f>CZ21+真實IC!DA21</f>
        <v>6.5518799008977648</v>
      </c>
      <c r="DB21" s="2">
        <f>DA21+真實IC!DB21</f>
        <v>7.0405244269296805</v>
      </c>
      <c r="DC21" s="2">
        <f>DB21+真實IC!DC21</f>
        <v>7.1270116698599821</v>
      </c>
      <c r="DD21" s="2">
        <f>DC21+真實IC!DD21</f>
        <v>7.1606828656578596</v>
      </c>
      <c r="DE21" s="2">
        <f>DD21+真實IC!DE21</f>
        <v>7.1928146430928868</v>
      </c>
      <c r="DF21" s="2">
        <f>DE21+真實IC!DF21</f>
        <v>7.2047139808183829</v>
      </c>
      <c r="DG21" s="2">
        <f>DF21+真實IC!DG21</f>
        <v>7.3329446044179711</v>
      </c>
      <c r="DH21" s="2">
        <f>DG21+真實IC!DH21</f>
        <v>7.3294733925047577</v>
      </c>
      <c r="DI21" s="2">
        <f>DH21+真實IC!DI21</f>
        <v>7.2755470978376877</v>
      </c>
      <c r="DJ21" s="2">
        <f>DI21+真實IC!DJ21</f>
        <v>7.2399481283771685</v>
      </c>
      <c r="DK21" s="2">
        <f>DJ21+真實IC!DK21</f>
        <v>7.2614934315268114</v>
      </c>
      <c r="DL21" s="2">
        <f>DK21+真實IC!DL21</f>
        <v>7.2834136201155379</v>
      </c>
      <c r="DM21" s="2">
        <f>DL21+真實IC!DM21</f>
        <v>7.3996661201672094</v>
      </c>
      <c r="DN21" s="2">
        <f>DM21+真實IC!DN21</f>
        <v>7.7215817997339977</v>
      </c>
      <c r="DO21" s="2">
        <f>DN21+真實IC!DO21</f>
        <v>7.7356482098892876</v>
      </c>
      <c r="DP21" s="2">
        <f>DO21+真實IC!DP21</f>
        <v>7.8505473189676227</v>
      </c>
      <c r="DQ21" s="2">
        <f>DP21+真實IC!DQ21</f>
        <v>7.9597556024451777</v>
      </c>
      <c r="DR21" s="2">
        <f>DQ21+真實IC!DR21</f>
        <v>8.0651420602072825</v>
      </c>
      <c r="DS21" s="2">
        <f>DR21+真實IC!DS21</f>
        <v>8.1719674419980599</v>
      </c>
      <c r="DT21" s="2">
        <f>DS21+真實IC!DT21</f>
        <v>8.1640735089842131</v>
      </c>
      <c r="DU21" s="2">
        <f>DT21+真實IC!DU21</f>
        <v>8.4849640931785526</v>
      </c>
      <c r="DV21" s="2">
        <f>DU21+真實IC!DV21</f>
        <v>8.5371132463769062</v>
      </c>
      <c r="DW21" s="2">
        <f>DV21+真實IC!DW21</f>
        <v>8.4169155899272852</v>
      </c>
      <c r="DX21" s="2">
        <f>DW21+真實IC!DX21</f>
        <v>8.3000867000525034</v>
      </c>
      <c r="DY21" s="2">
        <f>DX21+真實IC!DY21</f>
        <v>8.1799068670786319</v>
      </c>
      <c r="DZ21" s="2">
        <f>DY21+真實IC!DZ21</f>
        <v>7.9701422641922388</v>
      </c>
      <c r="EA21" s="2">
        <f>DZ21+真實IC!EA21</f>
        <v>7.9165184077413393</v>
      </c>
      <c r="EB21" s="2">
        <f>EA21+真實IC!EB21</f>
        <v>8.0055908006463774</v>
      </c>
      <c r="EC21" s="2">
        <f>EB21+真實IC!EC21</f>
        <v>7.8654967826941515</v>
      </c>
      <c r="ED21" s="2">
        <f>EC21+真實IC!ED21</f>
        <v>7.7075622600825344</v>
      </c>
      <c r="EE21" s="2">
        <f>ED21+真實IC!EE21</f>
        <v>7.7199794263947519</v>
      </c>
      <c r="EF21" s="2">
        <f>EE21+真實IC!EF21</f>
        <v>7.8913525485628169</v>
      </c>
      <c r="EG21" s="2">
        <f>EF21+真實IC!EG21</f>
        <v>8.4613759157149548</v>
      </c>
      <c r="EH21" s="2">
        <f>EG21+真實IC!EH21</f>
        <v>8.4349492460997588</v>
      </c>
      <c r="EI21" s="2">
        <f>EH21+真實IC!EI21</f>
        <v>8.2819764522704631</v>
      </c>
      <c r="EJ21" s="2">
        <f>EI21+真實IC!EJ21</f>
        <v>8.30512541953801</v>
      </c>
      <c r="EK21" s="2">
        <f>EJ21+真實IC!EK21</f>
        <v>8.4597124152953</v>
      </c>
      <c r="EL21" s="2">
        <f>EK21+真實IC!EL21</f>
        <v>8.5651344264517117</v>
      </c>
    </row>
    <row r="22" spans="1:142" x14ac:dyDescent="0.3">
      <c r="A22" s="11">
        <v>400</v>
      </c>
      <c r="B22" s="11">
        <f t="shared" si="10"/>
        <v>3</v>
      </c>
      <c r="C22" s="2">
        <v>0.28886619116808843</v>
      </c>
      <c r="D22" s="2">
        <f>C22+真實IC!D22</f>
        <v>0.38649360031404928</v>
      </c>
      <c r="E22" s="2">
        <f>D22+真實IC!E22</f>
        <v>0.40872401257328739</v>
      </c>
      <c r="F22" s="2">
        <f>E22+真實IC!F22</f>
        <v>0.34089295165200983</v>
      </c>
      <c r="G22" s="2">
        <f>F22+真實IC!G22</f>
        <v>0.44477731494234396</v>
      </c>
      <c r="H22" s="2">
        <f>G22+真實IC!H22</f>
        <v>0.21497177045094337</v>
      </c>
      <c r="I22" s="2">
        <f>H22+真實IC!I22</f>
        <v>-3.9461132459506637E-2</v>
      </c>
      <c r="J22" s="2">
        <f>I22+真實IC!J22</f>
        <v>-0.15783941364179474</v>
      </c>
      <c r="K22" s="2">
        <f>J22+真實IC!K22</f>
        <v>-5.7178268191442644E-2</v>
      </c>
      <c r="L22" s="2">
        <f>K22+真實IC!L22</f>
        <v>-0.18612704106689854</v>
      </c>
      <c r="M22" s="2">
        <f>L22+真實IC!M22</f>
        <v>-0.20222342760215517</v>
      </c>
      <c r="N22" s="2">
        <f>M22+真實IC!N22</f>
        <v>-6.461847136435106E-2</v>
      </c>
      <c r="O22" s="2">
        <f>N22+真實IC!O22</f>
        <v>1.9547977229305485E-2</v>
      </c>
      <c r="P22" s="2">
        <f>O22+真實IC!P22</f>
        <v>0.10777028332764924</v>
      </c>
      <c r="Q22" s="2">
        <f>P22+真實IC!Q22</f>
        <v>0.14242742434908798</v>
      </c>
      <c r="R22" s="2">
        <f>Q22+真實IC!R22</f>
        <v>0.32881482092915981</v>
      </c>
      <c r="S22" s="2">
        <f>R22+真實IC!S22</f>
        <v>0.40165564744416371</v>
      </c>
      <c r="T22" s="2">
        <f>S22+真實IC!T22</f>
        <v>0.53751279701177479</v>
      </c>
      <c r="U22" s="2">
        <f>T22+真實IC!U22</f>
        <v>0.30919753680631923</v>
      </c>
      <c r="V22" s="2">
        <f>U22+真實IC!V22</f>
        <v>0.37046276403906014</v>
      </c>
      <c r="W22" s="2">
        <f>V22+真實IC!W22</f>
        <v>0.52670541762521461</v>
      </c>
      <c r="X22" s="2">
        <f>W22+真實IC!X22</f>
        <v>0.68455546928608368</v>
      </c>
      <c r="Y22" s="2">
        <f>X22+真實IC!Y22</f>
        <v>0.77777461206039811</v>
      </c>
      <c r="Z22" s="2">
        <f>Y22+真實IC!Z22</f>
        <v>0.90426264816679325</v>
      </c>
      <c r="AA22" s="2">
        <f>Z22+真實IC!AA22</f>
        <v>0.95677062001235269</v>
      </c>
      <c r="AB22" s="2">
        <f>AA22+真實IC!AB22</f>
        <v>1.1291518725445067</v>
      </c>
      <c r="AC22" s="2">
        <f>AB22+真實IC!AC22</f>
        <v>1.1903798264799659</v>
      </c>
      <c r="AD22" s="2">
        <f>AC22+真實IC!AD22</f>
        <v>1.1323839553876198</v>
      </c>
      <c r="AE22" s="2">
        <f>AD22+真實IC!AE22</f>
        <v>1.265638207051321</v>
      </c>
      <c r="AF22" s="2">
        <f>AE22+真實IC!AF22</f>
        <v>1.5380104569727506</v>
      </c>
      <c r="AG22" s="2">
        <f>AF22+真實IC!AG22</f>
        <v>1.6464756035529509</v>
      </c>
      <c r="AH22" s="2">
        <f>AG22+真實IC!AH22</f>
        <v>1.91827712855976</v>
      </c>
      <c r="AI22" s="2">
        <f>AH22+真實IC!AI22</f>
        <v>1.9387767365348583</v>
      </c>
      <c r="AJ22" s="2">
        <f>AI22+真實IC!AJ22</f>
        <v>1.9473218537721859</v>
      </c>
      <c r="AK22" s="2">
        <f>AJ22+真實IC!AK22</f>
        <v>1.9272008859175731</v>
      </c>
      <c r="AL22" s="2">
        <f>AK22+真實IC!AL22</f>
        <v>2.1130452661826524</v>
      </c>
      <c r="AM22" s="2">
        <f>AL22+真實IC!AM22</f>
        <v>2.1953694846508465</v>
      </c>
      <c r="AN22" s="2">
        <f>AM22+真實IC!AN22</f>
        <v>2.1609881121244046</v>
      </c>
      <c r="AO22" s="2">
        <f>AN22+真實IC!AO22</f>
        <v>2.3970902657295823</v>
      </c>
      <c r="AP22" s="2">
        <f>AO22+真實IC!AP22</f>
        <v>2.6259215638563789</v>
      </c>
      <c r="AQ22" s="2">
        <f>AP22+真實IC!AQ22</f>
        <v>2.4468591697733957</v>
      </c>
      <c r="AR22" s="2">
        <f>AQ22+真實IC!AR22</f>
        <v>2.3220955604338056</v>
      </c>
      <c r="AS22" s="2">
        <f>AR22+真實IC!AS22</f>
        <v>2.2999250783215248</v>
      </c>
      <c r="AT22" s="2">
        <f>AS22+真實IC!AT22</f>
        <v>2.4135294231810338</v>
      </c>
      <c r="AU22" s="2">
        <f>AT22+真實IC!AU22</f>
        <v>2.6818532886731217</v>
      </c>
      <c r="AV22" s="2">
        <f>AU22+真實IC!AV22</f>
        <v>2.7610565173438779</v>
      </c>
      <c r="AW22" s="2">
        <f>AV22+真實IC!AW22</f>
        <v>3.1779510860633531</v>
      </c>
      <c r="AX22" s="2">
        <f>AW22+真實IC!AX22</f>
        <v>3.1302132450918725</v>
      </c>
      <c r="AY22" s="2">
        <f>AX22+真實IC!AY22</f>
        <v>3.089198062431477</v>
      </c>
      <c r="AZ22" s="2">
        <f>AY22+真實IC!AZ22</f>
        <v>3.2910992180333496</v>
      </c>
      <c r="BA22" s="2">
        <f>AZ22+真實IC!BA22</f>
        <v>3.3715675821344364</v>
      </c>
      <c r="BB22" s="2">
        <f>BA22+真實IC!BB22</f>
        <v>3.8617348555255981</v>
      </c>
      <c r="BC22" s="2">
        <f>BB22+真實IC!BC22</f>
        <v>3.9338643361470904</v>
      </c>
      <c r="BD22" s="2">
        <f>BC22+真實IC!BD22</f>
        <v>4.0202266534306599</v>
      </c>
      <c r="BE22" s="2">
        <f>BD22+真實IC!BE22</f>
        <v>4.1482945373963203</v>
      </c>
      <c r="BF22" s="2">
        <f>BE22+真實IC!BF22</f>
        <v>4.3473969859447585</v>
      </c>
      <c r="BG22" s="2">
        <f>BF22+真實IC!BG22</f>
        <v>4.2044266345708925</v>
      </c>
      <c r="BH22" s="2">
        <f>BG22+真實IC!BH22</f>
        <v>4.3321336439673086</v>
      </c>
      <c r="BI22" s="2">
        <f>BH22+真實IC!BI22</f>
        <v>4.3145928489347156</v>
      </c>
      <c r="BJ22" s="2">
        <f>BI22+真實IC!BJ22</f>
        <v>4.3853074136565668</v>
      </c>
      <c r="BK22" s="2">
        <f>BJ22+真實IC!BK22</f>
        <v>4.3894598630769766</v>
      </c>
      <c r="BL22" s="2">
        <f>BK22+真實IC!BL22</f>
        <v>4.5071168124404037</v>
      </c>
      <c r="BM22" s="2">
        <f>BL22+真實IC!BM22</f>
        <v>4.5095472956859366</v>
      </c>
      <c r="BN22" s="2">
        <f>BM22+真實IC!BN22</f>
        <v>4.481028489221961</v>
      </c>
      <c r="BO22" s="2">
        <f>BN22+真實IC!BO22</f>
        <v>4.4955864861203638</v>
      </c>
      <c r="BP22" s="2">
        <f>BO22+真實IC!BP22</f>
        <v>4.5401277695704492</v>
      </c>
      <c r="BQ22" s="2">
        <f>BP22+真實IC!BQ22</f>
        <v>4.4853850838413525</v>
      </c>
      <c r="BR22" s="2">
        <f>BQ22+真實IC!BR22</f>
        <v>4.6323417876620958</v>
      </c>
      <c r="BS22" s="2">
        <f>BR22+真實IC!BS22</f>
        <v>4.6764202106607806</v>
      </c>
      <c r="BT22" s="2">
        <f>BS22+真實IC!BT22</f>
        <v>4.7520736299158557</v>
      </c>
      <c r="BU22" s="2">
        <f>BT22+真實IC!BU22</f>
        <v>4.6197212938957852</v>
      </c>
      <c r="BV22" s="2">
        <f>BU22+真實IC!BV22</f>
        <v>4.5724548293838794</v>
      </c>
      <c r="BW22" s="2">
        <f>BV22+真實IC!BW22</f>
        <v>4.8830204927052208</v>
      </c>
      <c r="BX22" s="2">
        <f>BW22+真實IC!BX22</f>
        <v>4.7972958947023399</v>
      </c>
      <c r="BY22" s="2">
        <f>BX22+真實IC!BY22</f>
        <v>4.5871542159435199</v>
      </c>
      <c r="BZ22" s="2">
        <f>BY22+真實IC!BZ22</f>
        <v>4.4553189212900453</v>
      </c>
      <c r="CA22" s="2">
        <f>BZ22+真實IC!CA22</f>
        <v>4.7082936004780747</v>
      </c>
      <c r="CB22" s="2">
        <f>CA22+真實IC!CB22</f>
        <v>4.7193514978636415</v>
      </c>
      <c r="CC22" s="2">
        <f>CB22+真實IC!CC22</f>
        <v>4.9947963172870713</v>
      </c>
      <c r="CD22" s="2">
        <f>CC22+真實IC!CD22</f>
        <v>4.8790269909669712</v>
      </c>
      <c r="CE22" s="2">
        <f>CD22+真實IC!CE22</f>
        <v>5.036319862591804</v>
      </c>
      <c r="CF22" s="2">
        <f>CE22+真實IC!CF22</f>
        <v>5.0664465173438842</v>
      </c>
      <c r="CG22" s="2">
        <f>CF22+真實IC!CG22</f>
        <v>5.3903696007896578</v>
      </c>
      <c r="CH22" s="2">
        <f>CG22+真實IC!CH22</f>
        <v>5.4857588988350949</v>
      </c>
      <c r="CI22" s="2">
        <f>CH22+真實IC!CI22</f>
        <v>5.521372257978781</v>
      </c>
      <c r="CJ22" s="2">
        <f>CI22+真實IC!CJ22</f>
        <v>5.5108315386394793</v>
      </c>
      <c r="CK22" s="2">
        <f>CJ22+真實IC!CK22</f>
        <v>5.6872707467893244</v>
      </c>
      <c r="CL22" s="2">
        <f>CK22+真實IC!CL22</f>
        <v>5.2292134873384049</v>
      </c>
      <c r="CM22" s="2">
        <f>CL22+真實IC!CM22</f>
        <v>5.0971396660999302</v>
      </c>
      <c r="CN22" s="2">
        <f>CM22+真實IC!CN22</f>
        <v>5.2792967912100464</v>
      </c>
      <c r="CO22" s="2">
        <f>CN22+真實IC!CO22</f>
        <v>5.6821156346962081</v>
      </c>
      <c r="CP22" s="2">
        <f>CO22+真實IC!CP22</f>
        <v>5.4635863344673279</v>
      </c>
      <c r="CQ22" s="2">
        <f>CP22+真實IC!CQ22</f>
        <v>5.5557522428756227</v>
      </c>
      <c r="CR22" s="2">
        <f>CQ22+真實IC!CR22</f>
        <v>5.6620833165128142</v>
      </c>
      <c r="CS22" s="2">
        <f>CR22+真實IC!CS22</f>
        <v>5.5938472495213416</v>
      </c>
      <c r="CT22" s="2">
        <f>CS22+真實IC!CT22</f>
        <v>5.5989345048754293</v>
      </c>
      <c r="CU22" s="2">
        <f>CT22+真實IC!CU22</f>
        <v>5.7916486797266886</v>
      </c>
      <c r="CV22" s="2">
        <f>CU22+真實IC!CV22</f>
        <v>6.0279294925562086</v>
      </c>
      <c r="CW22" s="2">
        <f>CV22+真實IC!CW22</f>
        <v>6.017702946259762</v>
      </c>
      <c r="CX22" s="2">
        <f>CW22+真實IC!CX22</f>
        <v>6.0713713843584323</v>
      </c>
      <c r="CY22" s="2">
        <f>CX22+真實IC!CY22</f>
        <v>6.2068608180128484</v>
      </c>
      <c r="CZ22" s="2">
        <f>CY22+真實IC!CZ22</f>
        <v>6.2090563668052621</v>
      </c>
      <c r="DA22" s="2">
        <f>CZ22+真實IC!DA22</f>
        <v>6.5758588265102444</v>
      </c>
      <c r="DB22" s="2">
        <f>DA22+真實IC!DB22</f>
        <v>7.1692339982364759</v>
      </c>
      <c r="DC22" s="2">
        <f>DB22+真實IC!DC22</f>
        <v>7.3104012339557851</v>
      </c>
      <c r="DD22" s="2">
        <f>DC22+真實IC!DD22</f>
        <v>7.4487558875002584</v>
      </c>
      <c r="DE22" s="2">
        <f>DD22+真實IC!DE22</f>
        <v>7.4309993839983255</v>
      </c>
      <c r="DF22" s="2">
        <f>DE22+真實IC!DF22</f>
        <v>7.4086215014771213</v>
      </c>
      <c r="DG22" s="2">
        <f>DF22+真實IC!DG22</f>
        <v>7.5934586919702109</v>
      </c>
      <c r="DH22" s="2">
        <f>DG22+真實IC!DH22</f>
        <v>7.5878775243369594</v>
      </c>
      <c r="DI22" s="2">
        <f>DH22+真實IC!DI22</f>
        <v>7.5895609616068072</v>
      </c>
      <c r="DJ22" s="2">
        <f>DI22+真實IC!DJ22</f>
        <v>7.5867744618383828</v>
      </c>
      <c r="DK22" s="2">
        <f>DJ22+真實IC!DK22</f>
        <v>7.5775201129215004</v>
      </c>
      <c r="DL22" s="2">
        <f>DK22+真實IC!DL22</f>
        <v>7.6106292280134431</v>
      </c>
      <c r="DM22" s="2">
        <f>DL22+真實IC!DM22</f>
        <v>7.6306255196867498</v>
      </c>
      <c r="DN22" s="2">
        <f>DM22+真實IC!DN22</f>
        <v>7.9311213018262592</v>
      </c>
      <c r="DO22" s="2">
        <f>DN22+真實IC!DO22</f>
        <v>7.8696606285410757</v>
      </c>
      <c r="DP22" s="2">
        <f>DO22+真實IC!DP22</f>
        <v>7.9582131149784727</v>
      </c>
      <c r="DQ22" s="2">
        <f>DP22+真實IC!DQ22</f>
        <v>8.169274056740246</v>
      </c>
      <c r="DR22" s="2">
        <f>DQ22+真實IC!DR22</f>
        <v>8.2983180326169865</v>
      </c>
      <c r="DS22" s="2">
        <f>DR22+真實IC!DS22</f>
        <v>8.4372378566482666</v>
      </c>
      <c r="DT22" s="2">
        <f>DS22+真實IC!DT22</f>
        <v>8.4757069942595678</v>
      </c>
      <c r="DU22" s="2">
        <f>DT22+真實IC!DU22</f>
        <v>8.8751834131140495</v>
      </c>
      <c r="DV22" s="2">
        <f>DU22+真實IC!DV22</f>
        <v>8.9669592518752204</v>
      </c>
      <c r="DW22" s="2">
        <f>DV22+真實IC!DW22</f>
        <v>8.9918369421767856</v>
      </c>
      <c r="DX22" s="2">
        <f>DW22+真實IC!DX22</f>
        <v>8.8274848181352468</v>
      </c>
      <c r="DY22" s="2">
        <f>DX22+真實IC!DY22</f>
        <v>8.6858505609851733</v>
      </c>
      <c r="DZ22" s="2">
        <f>DY22+真實IC!DZ22</f>
        <v>8.5079468740384279</v>
      </c>
      <c r="EA22" s="2">
        <f>DZ22+真實IC!EA22</f>
        <v>8.4537202339023505</v>
      </c>
      <c r="EB22" s="2">
        <f>EA22+真實IC!EB22</f>
        <v>8.6580955941181053</v>
      </c>
      <c r="EC22" s="2">
        <f>EB22+真實IC!EC22</f>
        <v>8.6865244058961562</v>
      </c>
      <c r="ED22" s="2">
        <f>EC22+真實IC!ED22</f>
        <v>8.5028424193919996</v>
      </c>
      <c r="EE22" s="2">
        <f>ED22+真實IC!EE22</f>
        <v>8.4610451590057316</v>
      </c>
      <c r="EF22" s="2">
        <f>EE22+真實IC!EF22</f>
        <v>8.6221913600240097</v>
      </c>
      <c r="EG22" s="2">
        <f>EF22+真實IC!EG22</f>
        <v>9.3598985493740887</v>
      </c>
      <c r="EH22" s="2">
        <f>EG22+真實IC!EH22</f>
        <v>9.3477313417814667</v>
      </c>
      <c r="EI22" s="2">
        <f>EH22+真實IC!EI22</f>
        <v>9.2485254856880044</v>
      </c>
      <c r="EJ22" s="2">
        <f>EI22+真實IC!EJ22</f>
        <v>9.3321272145776053</v>
      </c>
      <c r="EK22" s="2">
        <f>EJ22+真實IC!EK22</f>
        <v>9.5819739811044808</v>
      </c>
      <c r="EL22" s="2">
        <f>EK22+真實IC!EL22</f>
        <v>9.7251300584193512</v>
      </c>
    </row>
    <row r="23" spans="1:142" x14ac:dyDescent="0.3">
      <c r="A23" s="11">
        <v>512</v>
      </c>
      <c r="B23" s="11">
        <f t="shared" si="10"/>
        <v>2</v>
      </c>
      <c r="C23" s="2">
        <v>0.28298926569632887</v>
      </c>
      <c r="D23" s="2">
        <f>C23+真實IC!D23</f>
        <v>0.37195588843068561</v>
      </c>
      <c r="E23" s="2">
        <f>D23+真實IC!E23</f>
        <v>0.38701747611765103</v>
      </c>
      <c r="F23" s="2">
        <f>E23+真實IC!F23</f>
        <v>0.20462140079677232</v>
      </c>
      <c r="G23" s="2">
        <f>F23+真實IC!G23</f>
        <v>0.1776498322724043</v>
      </c>
      <c r="H23" s="2">
        <f>G23+真實IC!H23</f>
        <v>-8.5160408929048498E-2</v>
      </c>
      <c r="I23" s="2">
        <f>H23+真實IC!I23</f>
        <v>-0.34086328099462559</v>
      </c>
      <c r="J23" s="2">
        <f>I23+真實IC!J23</f>
        <v>-0.49615709789760876</v>
      </c>
      <c r="K23" s="2">
        <f>J23+真實IC!K23</f>
        <v>-0.35467438263996154</v>
      </c>
      <c r="L23" s="2">
        <f>K23+真實IC!L23</f>
        <v>-0.58711874368242367</v>
      </c>
      <c r="M23" s="2">
        <f>L23+真實IC!M23</f>
        <v>-0.65384406755139746</v>
      </c>
      <c r="N23" s="2">
        <f>M23+真實IC!N23</f>
        <v>-0.55001234627750717</v>
      </c>
      <c r="O23" s="2">
        <f>N23+真實IC!O23</f>
        <v>-0.55231449802971788</v>
      </c>
      <c r="P23" s="2">
        <f>O23+真實IC!P23</f>
        <v>-0.4349790256412906</v>
      </c>
      <c r="Q23" s="2">
        <f>P23+真實IC!Q23</f>
        <v>-0.36788788830333341</v>
      </c>
      <c r="R23" s="2">
        <f>Q23+真實IC!R23</f>
        <v>-0.29247450602244729</v>
      </c>
      <c r="S23" s="2">
        <f>R23+真實IC!S23</f>
        <v>-0.20846302290297375</v>
      </c>
      <c r="T23" s="2">
        <f>S23+真實IC!T23</f>
        <v>-0.16884883373814613</v>
      </c>
      <c r="U23" s="2">
        <f>T23+真實IC!U23</f>
        <v>-0.39071832577456173</v>
      </c>
      <c r="V23" s="2">
        <f>U23+真實IC!V23</f>
        <v>-0.22542556005067402</v>
      </c>
      <c r="W23" s="2">
        <f>V23+真實IC!W23</f>
        <v>-8.8890656490745706E-2</v>
      </c>
      <c r="X23" s="2">
        <f>W23+真實IC!X23</f>
        <v>9.2890529307077196E-2</v>
      </c>
      <c r="Y23" s="2">
        <f>X23+真實IC!Y23</f>
        <v>0.29703797830952311</v>
      </c>
      <c r="Z23" s="2">
        <f>Y23+真實IC!Z23</f>
        <v>0.40918527703302809</v>
      </c>
      <c r="AA23" s="2">
        <f>Z23+真實IC!AA23</f>
        <v>0.53929052127758914</v>
      </c>
      <c r="AB23" s="2">
        <f>AA23+真實IC!AB23</f>
        <v>0.74952581146134278</v>
      </c>
      <c r="AC23" s="2">
        <f>AB23+真實IC!AC23</f>
        <v>0.92219395833963813</v>
      </c>
      <c r="AD23" s="2">
        <f>AC23+真實IC!AD23</f>
        <v>0.90500615475001678</v>
      </c>
      <c r="AE23" s="2">
        <f>AD23+真實IC!AE23</f>
        <v>1.0574426903178136</v>
      </c>
      <c r="AF23" s="2">
        <f>AE23+真實IC!AF23</f>
        <v>1.2492155847617585</v>
      </c>
      <c r="AG23" s="2">
        <f>AF23+真實IC!AG23</f>
        <v>1.459821138589015</v>
      </c>
      <c r="AH23" s="2">
        <f>AG23+真實IC!AH23</f>
        <v>1.8829358840518493</v>
      </c>
      <c r="AI23" s="2">
        <f>AH23+真實IC!AI23</f>
        <v>1.9131796283622604</v>
      </c>
      <c r="AJ23" s="2">
        <f>AI23+真實IC!AJ23</f>
        <v>1.9212776670004812</v>
      </c>
      <c r="AK23" s="2">
        <f>AJ23+真實IC!AK23</f>
        <v>1.8888362027612242</v>
      </c>
      <c r="AL23" s="2">
        <f>AK23+真實IC!AL23</f>
        <v>2.0681641679687788</v>
      </c>
      <c r="AM23" s="2">
        <f>AL23+真實IC!AM23</f>
        <v>2.0126010771197902</v>
      </c>
      <c r="AN23" s="2">
        <f>AM23+真實IC!AN23</f>
        <v>2.0797583087643647</v>
      </c>
      <c r="AO23" s="2">
        <f>AN23+真實IC!AO23</f>
        <v>2.326165473546852</v>
      </c>
      <c r="AP23" s="2">
        <f>AO23+真實IC!AP23</f>
        <v>2.147136587241727</v>
      </c>
      <c r="AQ23" s="2">
        <f>AP23+真實IC!AQ23</f>
        <v>1.9599438101028401</v>
      </c>
      <c r="AR23" s="2">
        <f>AQ23+真實IC!AR23</f>
        <v>1.7131506936121108</v>
      </c>
      <c r="AS23" s="2">
        <f>AR23+真實IC!AS23</f>
        <v>1.6503668499541859</v>
      </c>
      <c r="AT23" s="2">
        <f>AS23+真實IC!AT23</f>
        <v>1.7598727529190861</v>
      </c>
      <c r="AU23" s="2">
        <f>AT23+真實IC!AU23</f>
        <v>2.0106816194031953</v>
      </c>
      <c r="AV23" s="2">
        <f>AU23+真實IC!AV23</f>
        <v>2.1611581307004646</v>
      </c>
      <c r="AW23" s="2">
        <f>AV23+真實IC!AW23</f>
        <v>2.2526290978730041</v>
      </c>
      <c r="AX23" s="2">
        <f>AW23+真實IC!AX23</f>
        <v>2.2378163188644633</v>
      </c>
      <c r="AY23" s="2">
        <f>AX23+真實IC!AY23</f>
        <v>2.1116876791338668</v>
      </c>
      <c r="AZ23" s="2">
        <f>AY23+真實IC!AZ23</f>
        <v>2.4035046713732626</v>
      </c>
      <c r="BA23" s="2">
        <f>AZ23+真實IC!BA23</f>
        <v>2.3941616456497039</v>
      </c>
      <c r="BB23" s="2">
        <f>BA23+真實IC!BB23</f>
        <v>2.8797408006099579</v>
      </c>
      <c r="BC23" s="2">
        <f>BB23+真實IC!BC23</f>
        <v>2.741184221285677</v>
      </c>
      <c r="BD23" s="2">
        <f>BC23+真實IC!BD23</f>
        <v>2.7565348905101112</v>
      </c>
      <c r="BE23" s="2">
        <f>BD23+真實IC!BE23</f>
        <v>2.8808270335360104</v>
      </c>
      <c r="BF23" s="2">
        <f>BE23+真實IC!BF23</f>
        <v>3.0908361463964615</v>
      </c>
      <c r="BG23" s="2">
        <f>BF23+真實IC!BG23</f>
        <v>2.8184531283929477</v>
      </c>
      <c r="BH23" s="2">
        <f>BG23+真實IC!BH23</f>
        <v>2.8818183240961859</v>
      </c>
      <c r="BI23" s="2">
        <f>BH23+真實IC!BI23</f>
        <v>2.9632352039677445</v>
      </c>
      <c r="BJ23" s="2">
        <f>BI23+真實IC!BJ23</f>
        <v>3.0346731131299323</v>
      </c>
      <c r="BK23" s="2">
        <f>BJ23+真實IC!BK23</f>
        <v>3.0335666923866502</v>
      </c>
      <c r="BL23" s="2">
        <f>BK23+真實IC!BL23</f>
        <v>3.1479329825283191</v>
      </c>
      <c r="BM23" s="2">
        <f>BL23+真實IC!BM23</f>
        <v>3.0784375205038685</v>
      </c>
      <c r="BN23" s="2">
        <f>BM23+真實IC!BN23</f>
        <v>3.051834050481891</v>
      </c>
      <c r="BO23" s="2">
        <f>BN23+真實IC!BO23</f>
        <v>2.9380979191925398</v>
      </c>
      <c r="BP23" s="2">
        <f>BO23+真實IC!BP23</f>
        <v>2.9700114723181863</v>
      </c>
      <c r="BQ23" s="2">
        <f>BP23+真實IC!BQ23</f>
        <v>2.990903389516272</v>
      </c>
      <c r="BR23" s="2">
        <f>BQ23+真實IC!BR23</f>
        <v>3.1233187208734798</v>
      </c>
      <c r="BS23" s="2">
        <f>BR23+真實IC!BS23</f>
        <v>3.1228276202911101</v>
      </c>
      <c r="BT23" s="2">
        <f>BS23+真實IC!BT23</f>
        <v>3.4651812269076356</v>
      </c>
      <c r="BU23" s="2">
        <f>BT23+真實IC!BU23</f>
        <v>3.3259168358937665</v>
      </c>
      <c r="BV23" s="2">
        <f>BU23+真實IC!BV23</f>
        <v>3.2726477853358782</v>
      </c>
      <c r="BW23" s="2">
        <f>BV23+真實IC!BW23</f>
        <v>3.5913329727326659</v>
      </c>
      <c r="BX23" s="2">
        <f>BW23+真實IC!BX23</f>
        <v>3.4681939396042107</v>
      </c>
      <c r="BY23" s="2">
        <f>BX23+真實IC!BY23</f>
        <v>3.2305702723125655</v>
      </c>
      <c r="BZ23" s="2">
        <f>BY23+真實IC!BZ23</f>
        <v>3.0457700341803955</v>
      </c>
      <c r="CA23" s="2">
        <f>BZ23+真實IC!CA23</f>
        <v>3.5420638666698183</v>
      </c>
      <c r="CB23" s="2">
        <f>CA23+真實IC!CB23</f>
        <v>3.6801116130259257</v>
      </c>
      <c r="CC23" s="2">
        <f>CB23+真實IC!CC23</f>
        <v>4.1232944822233284</v>
      </c>
      <c r="CD23" s="2">
        <f>CC23+真實IC!CD23</f>
        <v>4.0114309114973352</v>
      </c>
      <c r="CE23" s="2">
        <f>CD23+真實IC!CE23</f>
        <v>4.2331596107309526</v>
      </c>
      <c r="CF23" s="2">
        <f>CE23+真實IC!CF23</f>
        <v>4.3759271565971289</v>
      </c>
      <c r="CG23" s="2">
        <f>CF23+真實IC!CG23</f>
        <v>4.7692039043892374</v>
      </c>
      <c r="CH23" s="2">
        <f>CG23+真實IC!CH23</f>
        <v>4.9000514392979664</v>
      </c>
      <c r="CI23" s="2">
        <f>CH23+真實IC!CI23</f>
        <v>4.9650491031868587</v>
      </c>
      <c r="CJ23" s="2">
        <f>CI23+真實IC!CJ23</f>
        <v>4.962852318542569</v>
      </c>
      <c r="CK23" s="2">
        <f>CJ23+真實IC!CK23</f>
        <v>5.2776566097503785</v>
      </c>
      <c r="CL23" s="2">
        <f>CK23+真實IC!CL23</f>
        <v>4.578217517533175</v>
      </c>
      <c r="CM23" s="2">
        <f>CL23+真實IC!CM23</f>
        <v>4.4423755042377859</v>
      </c>
      <c r="CN23" s="2">
        <f>CM23+真實IC!CN23</f>
        <v>4.7386983536592595</v>
      </c>
      <c r="CO23" s="2">
        <f>CN23+真實IC!CO23</f>
        <v>5.175611372596796</v>
      </c>
      <c r="CP23" s="2">
        <f>CO23+真實IC!CP23</f>
        <v>4.9578033374553092</v>
      </c>
      <c r="CQ23" s="2">
        <f>CP23+真實IC!CQ23</f>
        <v>5.0691353923044451</v>
      </c>
      <c r="CR23" s="2">
        <f>CQ23+真實IC!CR23</f>
        <v>5.0873080520371614</v>
      </c>
      <c r="CS23" s="2">
        <f>CR23+真實IC!CS23</f>
        <v>5.0925921182554452</v>
      </c>
      <c r="CT23" s="2">
        <f>CS23+真實IC!CT23</f>
        <v>4.9178116608709086</v>
      </c>
      <c r="CU23" s="2">
        <f>CT23+真實IC!CU23</f>
        <v>5.1579559413554028</v>
      </c>
      <c r="CV23" s="2">
        <f>CU23+真實IC!CV23</f>
        <v>5.4677344461843305</v>
      </c>
      <c r="CW23" s="2">
        <f>CV23+真實IC!CW23</f>
        <v>5.4486809170846584</v>
      </c>
      <c r="CX23" s="2">
        <f>CW23+真實IC!CX23</f>
        <v>5.5365207796972946</v>
      </c>
      <c r="CY23" s="2">
        <f>CX23+真實IC!CY23</f>
        <v>5.708659187680758</v>
      </c>
      <c r="CZ23" s="2">
        <f>CY23+真實IC!CZ23</f>
        <v>5.6623463984843347</v>
      </c>
      <c r="DA23" s="2">
        <f>CZ23+真實IC!DA23</f>
        <v>6.1378504684247677</v>
      </c>
      <c r="DB23" s="2">
        <f>DA23+真實IC!DB23</f>
        <v>7.0024260430219787</v>
      </c>
      <c r="DC23" s="2">
        <f>DB23+真實IC!DC23</f>
        <v>7.1603749423402316</v>
      </c>
      <c r="DD23" s="2">
        <f>DC23+真實IC!DD23</f>
        <v>7.2531736170173851</v>
      </c>
      <c r="DE23" s="2">
        <f>DD23+真實IC!DE23</f>
        <v>7.1930876695072135</v>
      </c>
      <c r="DF23" s="2">
        <f>DE23+真實IC!DF23</f>
        <v>7.1333021419906695</v>
      </c>
      <c r="DG23" s="2">
        <f>DF23+真實IC!DG23</f>
        <v>7.3818757648018662</v>
      </c>
      <c r="DH23" s="2">
        <f>DG23+真實IC!DH23</f>
        <v>7.3445798598850462</v>
      </c>
      <c r="DI23" s="2">
        <f>DH23+真實IC!DI23</f>
        <v>7.3737417021058826</v>
      </c>
      <c r="DJ23" s="2">
        <f>DI23+真實IC!DJ23</f>
        <v>7.3642143078948719</v>
      </c>
      <c r="DK23" s="2">
        <f>DJ23+真實IC!DK23</f>
        <v>7.321528191732674</v>
      </c>
      <c r="DL23" s="2">
        <f>DK23+真實IC!DL23</f>
        <v>7.3756294688736723</v>
      </c>
      <c r="DM23" s="2">
        <f>DL23+真實IC!DM23</f>
        <v>7.3621761931273655</v>
      </c>
      <c r="DN23" s="2">
        <f>DM23+真實IC!DN23</f>
        <v>7.8063689793514044</v>
      </c>
      <c r="DO23" s="2">
        <f>DN23+真實IC!DO23</f>
        <v>7.757291652435808</v>
      </c>
      <c r="DP23" s="2">
        <f>DO23+真實IC!DP23</f>
        <v>7.9316046607339556</v>
      </c>
      <c r="DQ23" s="2">
        <f>DP23+真實IC!DQ23</f>
        <v>8.2146473964744438</v>
      </c>
      <c r="DR23" s="2">
        <f>DQ23+真實IC!DR23</f>
        <v>8.3322028808770003</v>
      </c>
      <c r="DS23" s="2">
        <f>DR23+真實IC!DS23</f>
        <v>8.503151478828201</v>
      </c>
      <c r="DT23" s="2">
        <f>DS23+真實IC!DT23</f>
        <v>8.5870143562089769</v>
      </c>
      <c r="DU23" s="2">
        <f>DT23+真實IC!DU23</f>
        <v>9.1209360432933178</v>
      </c>
      <c r="DV23" s="2">
        <f>DU23+真實IC!DV23</f>
        <v>9.099566396895824</v>
      </c>
      <c r="DW23" s="2">
        <f>DV23+真實IC!DW23</f>
        <v>9.3781427687192416</v>
      </c>
      <c r="DX23" s="2">
        <f>DW23+真實IC!DX23</f>
        <v>9.2071399817507871</v>
      </c>
      <c r="DY23" s="2">
        <f>DX23+真實IC!DY23</f>
        <v>8.9389180523786624</v>
      </c>
      <c r="DZ23" s="2">
        <f>DY23+真實IC!DZ23</f>
        <v>8.8744600034808183</v>
      </c>
      <c r="EA23" s="2">
        <f>DZ23+真實IC!EA23</f>
        <v>8.7775016821164122</v>
      </c>
      <c r="EB23" s="2">
        <f>EA23+真實IC!EB23</f>
        <v>9.1090370606981725</v>
      </c>
      <c r="EC23" s="2">
        <f>EB23+真實IC!EC23</f>
        <v>9.2322420036538375</v>
      </c>
      <c r="ED23" s="2">
        <f>EC23+真實IC!ED23</f>
        <v>9.0379187251319184</v>
      </c>
      <c r="EE23" s="2">
        <f>ED23+真實IC!EE23</f>
        <v>8.9683731670369315</v>
      </c>
      <c r="EF23" s="2">
        <f>EE23+真實IC!EF23</f>
        <v>9.0516449437864139</v>
      </c>
      <c r="EG23" s="2">
        <f>EF23+真實IC!EG23</f>
        <v>9.0819993012837479</v>
      </c>
      <c r="EH23" s="2">
        <f>EG23+真實IC!EH23</f>
        <v>9.181208672940528</v>
      </c>
      <c r="EI23" s="2">
        <f>EH23+真實IC!EI23</f>
        <v>9.0715149285296004</v>
      </c>
      <c r="EJ23" s="2">
        <f>EI23+真實IC!EJ23</f>
        <v>9.154279012216417</v>
      </c>
      <c r="EK23" s="2">
        <f>EJ23+真實IC!EK23</f>
        <v>9.4730178495418844</v>
      </c>
      <c r="EL23" s="2">
        <f>EK23+真實IC!EL23</f>
        <v>9.5943539905488517</v>
      </c>
    </row>
    <row r="24" spans="1:142" x14ac:dyDescent="0.3">
      <c r="A24" s="11">
        <v>1051</v>
      </c>
      <c r="B24" s="11">
        <f t="shared" si="10"/>
        <v>1</v>
      </c>
      <c r="C24" s="2">
        <v>9.9113364206882743E-2</v>
      </c>
      <c r="D24" s="2">
        <f>C24+真實IC!D24</f>
        <v>0.18110174337650664</v>
      </c>
      <c r="E24" s="2">
        <f>D24+真實IC!E24</f>
        <v>9.9221408766109145E-2</v>
      </c>
      <c r="F24" s="2">
        <f>E24+真實IC!F24</f>
        <v>-0.10232431010553707</v>
      </c>
      <c r="G24" s="2">
        <f>F24+真實IC!G24</f>
        <v>-0.12494669866815472</v>
      </c>
      <c r="H24" s="2">
        <f>G24+真實IC!H24</f>
        <v>-0.47576888999919353</v>
      </c>
      <c r="I24" s="2">
        <f>H24+真實IC!I24</f>
        <v>-0.71615513477010939</v>
      </c>
      <c r="J24" s="2">
        <f>I24+真實IC!J24</f>
        <v>-0.72019085970936902</v>
      </c>
      <c r="K24" s="2">
        <f>J24+真實IC!K24</f>
        <v>-0.66974652371588028</v>
      </c>
      <c r="L24" s="2">
        <f>K24+真實IC!L24</f>
        <v>-1.0035059681915268</v>
      </c>
      <c r="M24" s="2">
        <f>L24+真實IC!M24</f>
        <v>-1.1503253070910353</v>
      </c>
      <c r="N24" s="2">
        <f>M24+真實IC!N24</f>
        <v>-1.04513359629519</v>
      </c>
      <c r="O24" s="2">
        <f>N24+真實IC!O24</f>
        <v>-1.0084848055556463</v>
      </c>
      <c r="P24" s="2">
        <f>O24+真實IC!P24</f>
        <v>-0.93074831970158911</v>
      </c>
      <c r="Q24" s="2">
        <f>P24+真實IC!Q24</f>
        <v>-0.84060337090292614</v>
      </c>
      <c r="R24" s="2">
        <f>Q24+真實IC!R24</f>
        <v>-0.73223787599073498</v>
      </c>
      <c r="S24" s="2">
        <f>R24+真實IC!S24</f>
        <v>-0.63142908070308756</v>
      </c>
      <c r="T24" s="2">
        <f>S24+真實IC!T24</f>
        <v>-0.70936747720096072</v>
      </c>
      <c r="U24" s="2">
        <f>T24+真實IC!U24</f>
        <v>-1.125228679258635</v>
      </c>
      <c r="V24" s="2">
        <f>U24+真實IC!V24</f>
        <v>-1.0086883625417842</v>
      </c>
      <c r="W24" s="2">
        <f>V24+真實IC!W24</f>
        <v>-0.36575483393612473</v>
      </c>
      <c r="X24" s="2">
        <f>W24+真實IC!X24</f>
        <v>-0.40191273029737673</v>
      </c>
      <c r="Y24" s="2">
        <f>X24+真實IC!Y24</f>
        <v>9.1627257181588484E-2</v>
      </c>
      <c r="Z24" s="2">
        <f>Y24+真實IC!Z24</f>
        <v>0.17105096143084109</v>
      </c>
      <c r="AA24" s="2">
        <f>Z24+真實IC!AA24</f>
        <v>0.4560711288285379</v>
      </c>
      <c r="AB24" s="2">
        <f>AA24+真實IC!AB24</f>
        <v>0.80500848503093825</v>
      </c>
      <c r="AC24" s="2">
        <f>AB24+真實IC!AC24</f>
        <v>1.2791917685622278</v>
      </c>
      <c r="AD24" s="2">
        <f>AC24+真實IC!AD24</f>
        <v>0.81112157804637897</v>
      </c>
      <c r="AE24" s="2">
        <f>AD24+真實IC!AE24</f>
        <v>0.92285285947021434</v>
      </c>
      <c r="AF24" s="2">
        <f>AE24+真實IC!AF24</f>
        <v>0.99768678446888515</v>
      </c>
      <c r="AG24" s="2">
        <f>AF24+真實IC!AG24</f>
        <v>1.4869032444735029</v>
      </c>
      <c r="AH24" s="2">
        <f>AG24+真實IC!AH24</f>
        <v>1.9870126584018168</v>
      </c>
      <c r="AI24" s="2">
        <f>AH24+真實IC!AI24</f>
        <v>2.2015498800426236</v>
      </c>
      <c r="AJ24" s="2">
        <f>AI24+真實IC!AJ24</f>
        <v>2.182724238158273</v>
      </c>
      <c r="AK24" s="2">
        <f>AJ24+真實IC!AK24</f>
        <v>2.2632631006422854</v>
      </c>
      <c r="AL24" s="2">
        <f>AK24+真實IC!AL24</f>
        <v>2.5966012230731041</v>
      </c>
      <c r="AM24" s="2">
        <f>AL24+真實IC!AM24</f>
        <v>2.611567768407228</v>
      </c>
      <c r="AN24" s="2">
        <f>AM24+真實IC!AN24</f>
        <v>2.7222285403427784</v>
      </c>
      <c r="AO24" s="2">
        <f>AN24+真實IC!AO24</f>
        <v>2.8251342429205679</v>
      </c>
      <c r="AP24" s="2">
        <f>AO24+真實IC!AP24</f>
        <v>2.4087257090308571</v>
      </c>
      <c r="AQ24" s="2">
        <f>AP24+真實IC!AQ24</f>
        <v>2.1107223246718894</v>
      </c>
      <c r="AR24" s="2">
        <f>AQ24+真實IC!AR24</f>
        <v>1.8824018316841178</v>
      </c>
      <c r="AS24" s="2">
        <f>AR24+真實IC!AS24</f>
        <v>1.82288770415171</v>
      </c>
      <c r="AT24" s="2">
        <f>AS24+真實IC!AT24</f>
        <v>1.9736566840773908</v>
      </c>
      <c r="AU24" s="2">
        <f>AT24+真實IC!AU24</f>
        <v>2.2034976997568108</v>
      </c>
      <c r="AV24" s="2">
        <f>AU24+真實IC!AV24</f>
        <v>2.4511823599871381</v>
      </c>
      <c r="AW24" s="2">
        <f>AV24+真實IC!AW24</f>
        <v>2.5778134996719029</v>
      </c>
      <c r="AX24" s="2">
        <f>AW24+真實IC!AX24</f>
        <v>2.6893048365881183</v>
      </c>
      <c r="AY24" s="2">
        <f>AX24+真實IC!AY24</f>
        <v>2.5712894577146779</v>
      </c>
      <c r="AZ24" s="2">
        <f>AY24+真實IC!AZ24</f>
        <v>3.1811890178994546</v>
      </c>
      <c r="BA24" s="2">
        <f>AZ24+真實IC!BA24</f>
        <v>3.0794063235895122</v>
      </c>
      <c r="BB24" s="2">
        <f>BA24+真實IC!BB24</f>
        <v>3.9521094726960024</v>
      </c>
      <c r="BC24" s="2">
        <f>BB24+真實IC!BC24</f>
        <v>3.9477426030816192</v>
      </c>
      <c r="BD24" s="2">
        <f>BC24+真實IC!BD24</f>
        <v>3.7751724643682789</v>
      </c>
      <c r="BE24" s="2">
        <f>BD24+真實IC!BE24</f>
        <v>3.7177919263831987</v>
      </c>
      <c r="BF24" s="2">
        <f>BE24+真實IC!BF24</f>
        <v>3.6534215054337351</v>
      </c>
      <c r="BG24" s="2">
        <f>BF24+真實IC!BG24</f>
        <v>3.5624372777262994</v>
      </c>
      <c r="BH24" s="2">
        <f>BG24+真實IC!BH24</f>
        <v>3.7101108429780192</v>
      </c>
      <c r="BI24" s="2">
        <f>BH24+真實IC!BI24</f>
        <v>3.850324771736664</v>
      </c>
      <c r="BJ24" s="2">
        <f>BI24+真實IC!BJ24</f>
        <v>3.785170676556878</v>
      </c>
      <c r="BK24" s="2">
        <f>BJ24+真實IC!BK24</f>
        <v>3.7579324675033732</v>
      </c>
      <c r="BL24" s="2">
        <f>BK24+真實IC!BL24</f>
        <v>3.8640393876545396</v>
      </c>
      <c r="BM24" s="2">
        <f>BL24+真實IC!BM24</f>
        <v>3.9488223274935277</v>
      </c>
      <c r="BN24" s="2">
        <f>BM24+真實IC!BN24</f>
        <v>3.928932169014308</v>
      </c>
      <c r="BO24" s="2">
        <f>BN24+真實IC!BO24</f>
        <v>3.7208558367831857</v>
      </c>
      <c r="BP24" s="2">
        <f>BO24+真實IC!BP24</f>
        <v>3.5518239659574897</v>
      </c>
      <c r="BQ24" s="2">
        <f>BP24+真實IC!BQ24</f>
        <v>3.5656814323816262</v>
      </c>
      <c r="BR24" s="2">
        <f>BQ24+真實IC!BR24</f>
        <v>3.6646023215668677</v>
      </c>
      <c r="BS24" s="2">
        <f>BR24+真實IC!BS24</f>
        <v>3.5242822076047764</v>
      </c>
      <c r="BT24" s="2">
        <f>BS24+真實IC!BT24</f>
        <v>3.8237466509480398</v>
      </c>
      <c r="BU24" s="2">
        <f>BT24+真實IC!BU24</f>
        <v>3.6661947750655615</v>
      </c>
      <c r="BV24" s="2">
        <f>BU24+真實IC!BV24</f>
        <v>3.6199360693248988</v>
      </c>
      <c r="BW24" s="2">
        <f>BV24+真實IC!BW24</f>
        <v>3.7769285220123683</v>
      </c>
      <c r="BX24" s="2">
        <f>BW24+真實IC!BX24</f>
        <v>3.7188851523624531</v>
      </c>
      <c r="BY24" s="2">
        <f>BX24+真實IC!BY24</f>
        <v>3.7443169269546503</v>
      </c>
      <c r="BZ24" s="2">
        <f>BY24+真實IC!BZ24</f>
        <v>3.4239874996970929</v>
      </c>
      <c r="CA24" s="2">
        <f>BZ24+真實IC!CA24</f>
        <v>3.5093396384843261</v>
      </c>
      <c r="CB24" s="2">
        <f>CA24+真實IC!CB24</f>
        <v>3.445212555328284</v>
      </c>
      <c r="CC24" s="2">
        <f>CB24+真實IC!CC24</f>
        <v>3.2253813621270568</v>
      </c>
      <c r="CD24" s="2">
        <f>CC24+真實IC!CD24</f>
        <v>2.9818993021644737</v>
      </c>
      <c r="CE24" s="2">
        <f>CD24+真實IC!CE24</f>
        <v>3.1283310637696617</v>
      </c>
      <c r="CF24" s="2">
        <f>CE24+真實IC!CF24</f>
        <v>3.5311701578027526</v>
      </c>
      <c r="CG24" s="2">
        <f>CF24+真實IC!CG24</f>
        <v>4.1717547916753706</v>
      </c>
      <c r="CH24" s="2">
        <f>CG24+真實IC!CH24</f>
        <v>4.1803320887559439</v>
      </c>
      <c r="CI24" s="2">
        <f>CH24+真實IC!CI24</f>
        <v>4.2274047134609489</v>
      </c>
      <c r="CJ24" s="2">
        <f>CI24+真實IC!CJ24</f>
        <v>3.7899739166934232</v>
      </c>
      <c r="CK24" s="2">
        <f>CJ24+真實IC!CK24</f>
        <v>3.7811865406964205</v>
      </c>
      <c r="CL24" s="2">
        <f>CK24+真實IC!CL24</f>
        <v>2.9934145343443102</v>
      </c>
      <c r="CM24" s="2">
        <f>CL24+真實IC!CM24</f>
        <v>2.6770419694296002</v>
      </c>
      <c r="CN24" s="2">
        <f>CM24+真實IC!CN24</f>
        <v>3.2846016434067673</v>
      </c>
      <c r="CO24" s="2">
        <f>CN24+真實IC!CO24</f>
        <v>4.0003306521321278</v>
      </c>
      <c r="CP24" s="2">
        <f>CO24+真實IC!CP24</f>
        <v>3.7348717164650571</v>
      </c>
      <c r="CQ24" s="2">
        <f>CP24+真實IC!CQ24</f>
        <v>3.8657989146652851</v>
      </c>
      <c r="CR24" s="2">
        <f>CQ24+真實IC!CR24</f>
        <v>3.9033970217466498</v>
      </c>
      <c r="CS24" s="2">
        <f>CR24+真實IC!CS24</f>
        <v>4.0627453810269056</v>
      </c>
      <c r="CT24" s="2">
        <f>CS24+真實IC!CT24</f>
        <v>3.879848793734789</v>
      </c>
      <c r="CU24" s="2">
        <f>CT24+真實IC!CU24</f>
        <v>3.9325778385484438</v>
      </c>
      <c r="CV24" s="2">
        <f>CU24+真實IC!CV24</f>
        <v>4.1946026772325506</v>
      </c>
      <c r="CW24" s="2">
        <f>CV24+真實IC!CW24</f>
        <v>3.898879615752159</v>
      </c>
      <c r="CX24" s="2">
        <f>CW24+真實IC!CX24</f>
        <v>4.0769508144457358</v>
      </c>
      <c r="CY24" s="2">
        <f>CX24+真實IC!CY24</f>
        <v>4.4371788612144734</v>
      </c>
      <c r="CZ24" s="2">
        <f>CY24+真實IC!CZ24</f>
        <v>4.12601152382876</v>
      </c>
      <c r="DA24" s="2">
        <f>CZ24+真實IC!DA24</f>
        <v>4.9390339207357234</v>
      </c>
      <c r="DB24" s="2">
        <f>DA24+真實IC!DB24</f>
        <v>5.8871435101156928</v>
      </c>
      <c r="DC24" s="2">
        <f>DB24+真實IC!DC24</f>
        <v>6.1698732888442107</v>
      </c>
      <c r="DD24" s="2">
        <f>DC24+真實IC!DD24</f>
        <v>5.9740285666617696</v>
      </c>
      <c r="DE24" s="2">
        <f>DD24+真實IC!DE24</f>
        <v>6.1056141579573024</v>
      </c>
      <c r="DF24" s="2">
        <f>DE24+真實IC!DF24</f>
        <v>6.1806811666801451</v>
      </c>
      <c r="DG24" s="2">
        <f>DF24+真實IC!DG24</f>
        <v>6.3697914257544008</v>
      </c>
      <c r="DH24" s="2">
        <f>DG24+真實IC!DH24</f>
        <v>6.1923667719392466</v>
      </c>
      <c r="DI24" s="2">
        <f>DH24+真實IC!DI24</f>
        <v>5.8275916566525812</v>
      </c>
      <c r="DJ24" s="2">
        <f>DI24+真實IC!DJ24</f>
        <v>5.5791669936994701</v>
      </c>
      <c r="DK24" s="2">
        <f>DJ24+真實IC!DK24</f>
        <v>5.6072073610258366</v>
      </c>
      <c r="DL24" s="2">
        <f>DK24+真實IC!DL24</f>
        <v>5.6549764470377148</v>
      </c>
      <c r="DM24" s="2">
        <f>DL24+真實IC!DM24</f>
        <v>5.7363859906712857</v>
      </c>
      <c r="DN24" s="2">
        <f>DM24+真實IC!DN24</f>
        <v>6.4034746662732758</v>
      </c>
      <c r="DO24" s="2">
        <f>DN24+真實IC!DO24</f>
        <v>6.3625803768159352</v>
      </c>
      <c r="DP24" s="2">
        <f>DO24+真實IC!DP24</f>
        <v>6.6982122552359762</v>
      </c>
      <c r="DQ24" s="2">
        <f>DP24+真實IC!DQ24</f>
        <v>7.0452233570094664</v>
      </c>
      <c r="DR24" s="2">
        <f>DQ24+真實IC!DR24</f>
        <v>7.3990970333592614</v>
      </c>
      <c r="DS24" s="2">
        <f>DR24+真實IC!DS24</f>
        <v>7.8225172136458774</v>
      </c>
      <c r="DT24" s="2">
        <f>DS24+真實IC!DT24</f>
        <v>7.8281812442136607</v>
      </c>
      <c r="DU24" s="2">
        <f>DT24+真實IC!DU24</f>
        <v>8.5791196050238625</v>
      </c>
      <c r="DV24" s="2">
        <f>DU24+真實IC!DV24</f>
        <v>8.808744561150089</v>
      </c>
      <c r="DW24" s="2">
        <f>DV24+真實IC!DW24</f>
        <v>9.1921078020952951</v>
      </c>
      <c r="DX24" s="2">
        <f>DW24+真實IC!DX24</f>
        <v>9.0183704716472164</v>
      </c>
      <c r="DY24" s="2">
        <f>DX24+真實IC!DY24</f>
        <v>8.986303935917265</v>
      </c>
      <c r="DZ24" s="2">
        <f>DY24+真實IC!DZ24</f>
        <v>8.9373992716584656</v>
      </c>
      <c r="EA24" s="2">
        <f>DZ24+真實IC!EA24</f>
        <v>8.9101696503174121</v>
      </c>
      <c r="EB24" s="2">
        <f>EA24+真實IC!EB24</f>
        <v>9.5953713245367016</v>
      </c>
      <c r="EC24" s="2">
        <f>EB24+真實IC!EC24</f>
        <v>9.8520227045002287</v>
      </c>
      <c r="ED24" s="2">
        <f>EC24+真實IC!ED24</f>
        <v>9.7674826119329641</v>
      </c>
      <c r="EE24" s="2">
        <f>ED24+真實IC!EE24</f>
        <v>9.8031465948039287</v>
      </c>
      <c r="EF24" s="2">
        <f>EE24+真實IC!EF24</f>
        <v>9.9321043678823671</v>
      </c>
      <c r="EG24" s="2">
        <f>EF24+真實IC!EG24</f>
        <v>9.8616530434974656</v>
      </c>
      <c r="EH24" s="2">
        <f>EG24+真實IC!EH24</f>
        <v>10.06703862218998</v>
      </c>
      <c r="EI24" s="2">
        <f>EH24+真實IC!EI24</f>
        <v>9.9317439790153141</v>
      </c>
      <c r="EJ24" s="2">
        <f>EI24+真實IC!EJ24</f>
        <v>10.101657459637281</v>
      </c>
      <c r="EK24" s="2">
        <f>EJ24+真實IC!EK24</f>
        <v>9.9037317350661347</v>
      </c>
      <c r="EL24" s="2">
        <f>EK24+真實IC!EL24</f>
        <v>9.8968261236255763</v>
      </c>
    </row>
    <row r="25" spans="1:142" x14ac:dyDescent="0.3">
      <c r="A25" s="11" t="s">
        <v>154</v>
      </c>
      <c r="B25" s="11" t="s">
        <v>155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13" t="s">
        <v>146</v>
      </c>
      <c r="B6" s="14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13" t="s">
        <v>147</v>
      </c>
      <c r="B10" s="14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1"/>
      <c r="B12" s="11">
        <v>10</v>
      </c>
      <c r="C12" s="2">
        <v>9.8199501924411306E-2</v>
      </c>
      <c r="D12" s="2">
        <f>C12+真實IC!D12</f>
        <v>0.14174057566495049</v>
      </c>
      <c r="E12" s="2">
        <f>D12+真實IC!E12</f>
        <v>0.13480444627425534</v>
      </c>
      <c r="F12" s="2">
        <f>E12+真實IC!F12</f>
        <v>0.16036034862296919</v>
      </c>
      <c r="G12" s="2">
        <f>F12+真實IC!G12</f>
        <v>0.19313310854194909</v>
      </c>
      <c r="H12" s="2">
        <f>G12+真實IC!H12</f>
        <v>0.20084413127070491</v>
      </c>
      <c r="I12" s="2">
        <f>H12+真實IC!I12</f>
        <v>0.22399043393151358</v>
      </c>
      <c r="J12" s="2">
        <f>I12+真實IC!J12</f>
        <v>0.22281651714229489</v>
      </c>
      <c r="K12" s="2">
        <f>J12+真實IC!K12</f>
        <v>0.23079493255190944</v>
      </c>
      <c r="L12" s="2">
        <f>K12+真實IC!L12</f>
        <v>0.22994522874901197</v>
      </c>
      <c r="M12" s="2">
        <f>L12+真實IC!M12</f>
        <v>0.26401002401511509</v>
      </c>
      <c r="N12" s="2">
        <f>M12+真實IC!N12</f>
        <v>0.28569998965332788</v>
      </c>
      <c r="O12" s="2">
        <f>N12+真實IC!O12</f>
        <v>0.31196282858768859</v>
      </c>
      <c r="P12" s="2">
        <f>O12+真實IC!P12</f>
        <v>0.31641753605317308</v>
      </c>
      <c r="Q12" s="2">
        <f>P12+真實IC!Q12</f>
        <v>0.33343217330167985</v>
      </c>
      <c r="R12" s="2">
        <f>Q12+真實IC!R12</f>
        <v>0.32027245788185138</v>
      </c>
      <c r="S12" s="2">
        <f>R12+真實IC!S12</f>
        <v>0.36075431386514983</v>
      </c>
      <c r="T12" s="2">
        <f>S12+真實IC!T12</f>
        <v>0.40806144183924209</v>
      </c>
      <c r="U12" s="2">
        <f>T12+真實IC!U12</f>
        <v>0.41227820957755995</v>
      </c>
      <c r="V12" s="2">
        <f>U12+真實IC!V12</f>
        <v>0.41483206263787981</v>
      </c>
      <c r="W12" s="2">
        <f>V12+真實IC!W12</f>
        <v>0.44794027722963004</v>
      </c>
      <c r="X12" s="2">
        <f>W12+真實IC!X12</f>
        <v>0.56836337303841644</v>
      </c>
      <c r="Y12" s="2">
        <f>X12+真實IC!Y12</f>
        <v>0.60508499554532458</v>
      </c>
      <c r="Z12" s="2">
        <f>Y12+真實IC!Z12</f>
        <v>0.65444380286989334</v>
      </c>
      <c r="AA12" s="2">
        <f>Z12+真實IC!AA12</f>
        <v>0.68631009971117596</v>
      </c>
      <c r="AB12" s="2">
        <f>AA12+真實IC!AB12</f>
        <v>0.68005952682742821</v>
      </c>
      <c r="AC12" s="2">
        <f>AB12+真實IC!AC12</f>
        <v>0.73013363152179189</v>
      </c>
      <c r="AD12" s="2">
        <f>AC12+真實IC!AD12</f>
        <v>0.74221045404242803</v>
      </c>
      <c r="AE12" s="2">
        <f>AD12+真實IC!AE12</f>
        <v>0.78716439782897929</v>
      </c>
      <c r="AF12" s="2">
        <f>AE12+真實IC!AF12</f>
        <v>0.83724008154423868</v>
      </c>
      <c r="AG12" s="2">
        <f>AF12+真實IC!AG12</f>
        <v>0.84415877611161261</v>
      </c>
      <c r="AH12" s="2">
        <f>AG12+真實IC!AH12</f>
        <v>0.84024691613707336</v>
      </c>
      <c r="AI12" s="2">
        <f>AH12+真實IC!AI12</f>
        <v>0.84798761638344966</v>
      </c>
      <c r="AJ12" s="2">
        <f>AI12+真實IC!AJ12</f>
        <v>0.8579260657659451</v>
      </c>
      <c r="AK12" s="2">
        <f>AJ12+真實IC!AK12</f>
        <v>0.87056966028666971</v>
      </c>
      <c r="AL12" s="2">
        <f>AK12+真實IC!AL12</f>
        <v>0.9180395748871043</v>
      </c>
      <c r="AM12" s="2">
        <f>AL12+真實IC!AM12</f>
        <v>0.9468083151106419</v>
      </c>
      <c r="AN12" s="2">
        <f>AM12+真實IC!AN12</f>
        <v>0.97603037252993652</v>
      </c>
      <c r="AO12" s="2">
        <f>AN12+真實IC!AO12</f>
        <v>1.0049350482948625</v>
      </c>
      <c r="AP12" s="2">
        <f>AO12+真實IC!AP12</f>
        <v>1.0193639944146802</v>
      </c>
      <c r="AQ12" s="2">
        <f>AP12+真實IC!AQ12</f>
        <v>1.0340961281716001</v>
      </c>
      <c r="AR12" s="2">
        <f>AQ12+真實IC!AR12</f>
        <v>1.0410979184966167</v>
      </c>
      <c r="AS12" s="2">
        <f>AR12+真實IC!AS12</f>
        <v>1.0701365218038459</v>
      </c>
      <c r="AT12" s="2">
        <f>AS12+真實IC!AT12</f>
        <v>1.1419518911019804</v>
      </c>
      <c r="AU12" s="2">
        <f>AT12+真實IC!AU12</f>
        <v>1.1590382666854346</v>
      </c>
      <c r="AV12" s="2">
        <f>AU12+真實IC!AV12</f>
        <v>1.2183813115474704</v>
      </c>
      <c r="AW12" s="2">
        <f>AV12+真實IC!AW12</f>
        <v>1.2293991997832057</v>
      </c>
      <c r="AX12" s="2">
        <f>AW12+真實IC!AX12</f>
        <v>1.2851895136732405</v>
      </c>
      <c r="AY12" s="2">
        <f>AX12+真實IC!AY12</f>
        <v>1.2952234667009168</v>
      </c>
      <c r="AZ12" s="2">
        <f>AY12+真實IC!AZ12</f>
        <v>1.3083876363263971</v>
      </c>
      <c r="BA12" s="2">
        <f>AZ12+真實IC!BA12</f>
        <v>1.3498130187023107</v>
      </c>
      <c r="BB12" s="2">
        <f>BA12+真實IC!BB12</f>
        <v>1.3875443201400812</v>
      </c>
      <c r="BC12" s="2">
        <f>BB12+真實IC!BC12</f>
        <v>1.4101534929255921</v>
      </c>
      <c r="BD12" s="2">
        <f>BC12+真實IC!BD12</f>
        <v>1.4064554335444064</v>
      </c>
      <c r="BE12" s="2">
        <f>BD12+真實IC!BE12</f>
        <v>1.4340761101674619</v>
      </c>
      <c r="BF12" s="2">
        <f>BE12+真實IC!BF12</f>
        <v>1.4798572124245348</v>
      </c>
      <c r="BG12" s="2">
        <f>BF12+真實IC!BG12</f>
        <v>1.5309304525291749</v>
      </c>
      <c r="BH12" s="2">
        <f>BG12+真實IC!BH12</f>
        <v>1.5653526731450282</v>
      </c>
      <c r="BI12" s="2">
        <f>BH12+真實IC!BI12</f>
        <v>1.6235036340798026</v>
      </c>
      <c r="BJ12" s="2">
        <f>BI12+真實IC!BJ12</f>
        <v>1.6424769869695135</v>
      </c>
      <c r="BK12" s="2">
        <f>BJ12+真實IC!BK12</f>
        <v>1.6554595794545797</v>
      </c>
      <c r="BL12" s="2">
        <f>BK12+真實IC!BL12</f>
        <v>1.6825837252341114</v>
      </c>
      <c r="BM12" s="2">
        <f>BL12+真實IC!BM12</f>
        <v>1.7228853248529115</v>
      </c>
      <c r="BN12" s="2">
        <f>BM12+真實IC!BN12</f>
        <v>1.7270032095355468</v>
      </c>
      <c r="BO12" s="2">
        <f>BN12+真實IC!BO12</f>
        <v>1.734673094163468</v>
      </c>
      <c r="BP12" s="2">
        <f>BO12+真實IC!BP12</f>
        <v>1.742920482074396</v>
      </c>
      <c r="BQ12" s="2">
        <f>BP12+真實IC!BQ12</f>
        <v>1.7690618552460244</v>
      </c>
      <c r="BR12" s="2">
        <f>BQ12+真實IC!BR12</f>
        <v>1.8288150222561983</v>
      </c>
      <c r="BS12" s="2">
        <f>BR12+真實IC!BS12</f>
        <v>1.858618032534807</v>
      </c>
      <c r="BT12" s="2">
        <f>BS12+真實IC!BT12</f>
        <v>1.8674315436071729</v>
      </c>
      <c r="BU12" s="2">
        <f>BT12+真實IC!BU12</f>
        <v>1.8911394146782217</v>
      </c>
      <c r="BV12" s="2">
        <f>BU12+真實IC!BV12</f>
        <v>1.9256941728149017</v>
      </c>
      <c r="BW12" s="2">
        <f>BV12+真實IC!BW12</f>
        <v>1.9640428209047291</v>
      </c>
      <c r="BX12" s="2">
        <f>BW12+真實IC!BX12</f>
        <v>1.9676266980537471</v>
      </c>
      <c r="BY12" s="2">
        <f>BX12+真實IC!BY12</f>
        <v>2.0247295143611561</v>
      </c>
      <c r="BZ12" s="2">
        <f>BY12+真實IC!BZ12</f>
        <v>2.0563420224550177</v>
      </c>
      <c r="CA12" s="2">
        <f>BZ12+真實IC!CA12</f>
        <v>2.0521966384062869</v>
      </c>
      <c r="CB12" s="2">
        <f>CA12+真實IC!CB12</f>
        <v>2.0546354397217015</v>
      </c>
      <c r="CC12" s="2">
        <f>CB12+真實IC!CC12</f>
        <v>2.0741811740725571</v>
      </c>
      <c r="CD12" s="2">
        <f>CC12+真實IC!CD12</f>
        <v>2.1262847120375148</v>
      </c>
      <c r="CE12" s="2">
        <f>CD12+真實IC!CE12</f>
        <v>2.1891537475860114</v>
      </c>
      <c r="CF12" s="2">
        <f>CE12+真實IC!CF12</f>
        <v>2.2003043324990585</v>
      </c>
      <c r="CG12" s="2">
        <f>CF12+真實IC!CG12</f>
        <v>2.2499656784334379</v>
      </c>
      <c r="CH12" s="2">
        <f>CG12+真實IC!CH12</f>
        <v>2.2653761373901791</v>
      </c>
      <c r="CI12" s="2">
        <f>CH12+真實IC!CI12</f>
        <v>2.294679774870906</v>
      </c>
      <c r="CJ12" s="2">
        <f>CI12+真實IC!CJ12</f>
        <v>2.3527156280960173</v>
      </c>
      <c r="CK12" s="2">
        <f>CJ12+真實IC!CK12</f>
        <v>2.4129592117831669</v>
      </c>
      <c r="CL12" s="2">
        <f>CK12+真實IC!CL12</f>
        <v>2.4489062073396703</v>
      </c>
      <c r="CM12" s="2">
        <f>CL12+真實IC!CM12</f>
        <v>2.4637433129968942</v>
      </c>
      <c r="CN12" s="2">
        <f>CM12+真實IC!CN12</f>
        <v>2.561493788060452</v>
      </c>
      <c r="CO12" s="2">
        <f>CN12+真實IC!CO12</f>
        <v>2.5831899158987595</v>
      </c>
      <c r="CP12" s="2">
        <f>CO12+真實IC!CP12</f>
        <v>2.5917321244955986</v>
      </c>
      <c r="CQ12" s="2">
        <f>CP12+真實IC!CQ12</f>
        <v>2.6489429809729992</v>
      </c>
      <c r="CR12" s="2">
        <f>CQ12+真實IC!CR12</f>
        <v>2.691449717588168</v>
      </c>
      <c r="CS12" s="2">
        <f>CR12+真實IC!CS12</f>
        <v>2.6967089079426585</v>
      </c>
      <c r="CT12" s="2">
        <f>CS12+真實IC!CT12</f>
        <v>2.7032176216081685</v>
      </c>
      <c r="CU12" s="2">
        <f>CT12+真實IC!CU12</f>
        <v>2.779968222913725</v>
      </c>
      <c r="CV12" s="2">
        <f>CU12+真實IC!CV12</f>
        <v>2.8484222956271861</v>
      </c>
      <c r="CW12" s="2">
        <f>CV12+真實IC!CW12</f>
        <v>2.8743693658778873</v>
      </c>
      <c r="CX12" s="2">
        <f>CW12+真實IC!CX12</f>
        <v>2.8952415619576706</v>
      </c>
      <c r="CY12" s="2">
        <f>CX12+真實IC!CY12</f>
        <v>2.9212532674331233</v>
      </c>
      <c r="CZ12" s="2">
        <f>CY12+真實IC!CZ12</f>
        <v>2.9398488792598254</v>
      </c>
      <c r="DA12" s="2">
        <f>CZ12+真實IC!DA12</f>
        <v>2.956111154050832</v>
      </c>
      <c r="DB12" s="2">
        <f>DA12+真實IC!DB12</f>
        <v>2.9862684516180362</v>
      </c>
      <c r="DC12" s="2">
        <f>DB12+真實IC!DC12</f>
        <v>2.9768217960496832</v>
      </c>
      <c r="DD12" s="2">
        <f>DC12+真實IC!DD12</f>
        <v>3.036172217756016</v>
      </c>
      <c r="DE12" s="2">
        <f>DD12+真實IC!DE12</f>
        <v>3.0560249088460791</v>
      </c>
      <c r="DF12" s="2">
        <f>DE12+真實IC!DF12</f>
        <v>3.0687052851777654</v>
      </c>
      <c r="DG12" s="2">
        <f>DF12+真實IC!DG12</f>
        <v>3.1093570994381787</v>
      </c>
      <c r="DH12" s="2">
        <f>DG12+真實IC!DH12</f>
        <v>3.1418993486725655</v>
      </c>
      <c r="DI12" s="2">
        <f>DH12+真實IC!DI12</f>
        <v>3.1617230631029738</v>
      </c>
      <c r="DJ12" s="2">
        <f>DI12+真實IC!DJ12</f>
        <v>3.1920849554965196</v>
      </c>
      <c r="DK12" s="2">
        <f>DJ12+真實IC!DK12</f>
        <v>3.2051889964435598</v>
      </c>
      <c r="DL12" s="2">
        <f>DK12+真實IC!DL12</f>
        <v>3.2313025830071429</v>
      </c>
      <c r="DM12" s="2">
        <f>DL12+真實IC!DM12</f>
        <v>3.2495991949974705</v>
      </c>
      <c r="DN12" s="2">
        <f>DM12+真實IC!DN12</f>
        <v>3.2395859840418342</v>
      </c>
      <c r="DO12" s="2">
        <f>DN12+真實IC!DO12</f>
        <v>3.2629616280467628</v>
      </c>
      <c r="DP12" s="2">
        <f>DO12+真實IC!DP12</f>
        <v>3.3302348149545185</v>
      </c>
      <c r="DQ12" s="2">
        <f>DP12+真實IC!DQ12</f>
        <v>3.3921371713805444</v>
      </c>
      <c r="DR12" s="2">
        <f>DQ12+真實IC!DR12</f>
        <v>3.3882708909878501</v>
      </c>
      <c r="DS12" s="2">
        <f>DR12+真實IC!DS12</f>
        <v>3.4381473653294918</v>
      </c>
      <c r="DT12" s="2">
        <f>DS12+真實IC!DT12</f>
        <v>3.4650763120591894</v>
      </c>
      <c r="DU12" s="2">
        <f>DT12+真實IC!DU12</f>
        <v>3.5020721357447746</v>
      </c>
      <c r="DV12" s="2">
        <f>DU12+真實IC!DV12</f>
        <v>3.5097755213509214</v>
      </c>
      <c r="DW12" s="2">
        <f>DV12+真實IC!DW12</f>
        <v>3.5065823460683636</v>
      </c>
      <c r="DX12" s="2">
        <f>DW12+真實IC!DX12</f>
        <v>3.5311880118322492</v>
      </c>
      <c r="DY12" s="2">
        <f>DX12+真實IC!DY12</f>
        <v>3.5608256813938617</v>
      </c>
      <c r="DZ12" s="2">
        <f>DY12+真實IC!DZ12</f>
        <v>3.5814061334549572</v>
      </c>
      <c r="EA12" s="2">
        <f>DZ12+真實IC!EA12</f>
        <v>3.6982568740237598</v>
      </c>
      <c r="EB12" s="2">
        <f>EA12+真實IC!EB12</f>
        <v>3.7263285511773789</v>
      </c>
      <c r="EC12" s="2">
        <f>EB12+真實IC!EC12</f>
        <v>3.7227853201025622</v>
      </c>
      <c r="ED12" s="2">
        <f>EC12+真實IC!ED12</f>
        <v>3.7314320499812532</v>
      </c>
      <c r="EE12" s="2">
        <f>ED12+真實IC!EE12</f>
        <v>3.7521250836486635</v>
      </c>
      <c r="EF12" s="2">
        <f>EE12+真實IC!EF12</f>
        <v>3.7780426894899231</v>
      </c>
      <c r="EG12" s="2">
        <f>EF12+真實IC!EG12</f>
        <v>3.807249925586119</v>
      </c>
      <c r="EH12" s="2">
        <f>EG12+真實IC!EH12</f>
        <v>3.8269901869653222</v>
      </c>
      <c r="EI12" s="2">
        <f>EH12+真實IC!EI12</f>
        <v>3.8210821230797114</v>
      </c>
      <c r="EJ12" s="2">
        <f>EI12+真實IC!EJ12</f>
        <v>3.8098571412320159</v>
      </c>
      <c r="EK12" s="2">
        <f>EJ12+真實IC!EK12</f>
        <v>3.8220571356483157</v>
      </c>
      <c r="EL12" s="2">
        <f>EK12+真實IC!EL12</f>
        <v>3.8310599235480036</v>
      </c>
    </row>
    <row r="13" spans="1:142" x14ac:dyDescent="0.3">
      <c r="A13" s="11"/>
      <c r="B13" s="11">
        <v>20</v>
      </c>
      <c r="C13" s="2">
        <v>0.12107776166471761</v>
      </c>
      <c r="D13" s="2">
        <f>C13+真實IC!D13</f>
        <v>0.17059607205158833</v>
      </c>
      <c r="E13" s="2">
        <f>D13+真實IC!E13</f>
        <v>0.16781721478432859</v>
      </c>
      <c r="F13" s="2">
        <f>E13+真實IC!F13</f>
        <v>0.19077457412485346</v>
      </c>
      <c r="G13" s="2">
        <f>F13+真實IC!G13</f>
        <v>0.20755879797211815</v>
      </c>
      <c r="H13" s="2">
        <f>G13+真實IC!H13</f>
        <v>0.2159367413640482</v>
      </c>
      <c r="I13" s="2">
        <f>H13+真實IC!I13</f>
        <v>0.20484258322020066</v>
      </c>
      <c r="J13" s="2">
        <f>I13+真實IC!J13</f>
        <v>0.21501850616197335</v>
      </c>
      <c r="K13" s="2">
        <f>J13+真實IC!K13</f>
        <v>0.25095645128927729</v>
      </c>
      <c r="L13" s="2">
        <f>K13+真實IC!L13</f>
        <v>0.24792271966916674</v>
      </c>
      <c r="M13" s="2">
        <f>L13+真實IC!M13</f>
        <v>0.26245507616883679</v>
      </c>
      <c r="N13" s="2">
        <f>M13+真實IC!N13</f>
        <v>0.31032505551065453</v>
      </c>
      <c r="O13" s="2">
        <f>N13+真實IC!O13</f>
        <v>0.32716030610912966</v>
      </c>
      <c r="P13" s="2">
        <f>O13+真實IC!P13</f>
        <v>0.32783656943147582</v>
      </c>
      <c r="Q13" s="2">
        <f>P13+真實IC!Q13</f>
        <v>0.33840220065872589</v>
      </c>
      <c r="R13" s="2">
        <f>Q13+真實IC!R13</f>
        <v>0.32927596161494394</v>
      </c>
      <c r="S13" s="2">
        <f>R13+真實IC!S13</f>
        <v>0.39651593297457843</v>
      </c>
      <c r="T13" s="2">
        <f>S13+真實IC!T13</f>
        <v>0.46692103854728451</v>
      </c>
      <c r="U13" s="2">
        <f>T13+真實IC!U13</f>
        <v>0.50098658581118416</v>
      </c>
      <c r="V13" s="2">
        <f>U13+真實IC!V13</f>
        <v>0.5044188707769055</v>
      </c>
      <c r="W13" s="2">
        <f>V13+真實IC!W13</f>
        <v>0.52200947179608925</v>
      </c>
      <c r="X13" s="2">
        <f>W13+真實IC!X13</f>
        <v>0.66128797032390052</v>
      </c>
      <c r="Y13" s="2">
        <f>X13+真實IC!Y13</f>
        <v>0.66993487741520186</v>
      </c>
      <c r="Z13" s="2">
        <f>Y13+真實IC!Z13</f>
        <v>0.72963230144170932</v>
      </c>
      <c r="AA13" s="2">
        <f>Z13+真實IC!AA13</f>
        <v>0.78032528374924892</v>
      </c>
      <c r="AB13" s="2">
        <f>AA13+真實IC!AB13</f>
        <v>0.76767883359996725</v>
      </c>
      <c r="AC13" s="2">
        <f>AB13+真實IC!AC13</f>
        <v>0.82069909460275181</v>
      </c>
      <c r="AD13" s="2">
        <f>AC13+真實IC!AD13</f>
        <v>0.82716543176807167</v>
      </c>
      <c r="AE13" s="2">
        <f>AD13+真實IC!AE13</f>
        <v>0.89308415806927011</v>
      </c>
      <c r="AF13" s="2">
        <f>AE13+真實IC!AF13</f>
        <v>0.96072237967096141</v>
      </c>
      <c r="AG13" s="2">
        <f>AF13+真實IC!AG13</f>
        <v>0.9657636750118036</v>
      </c>
      <c r="AH13" s="2">
        <f>AG13+真實IC!AH13</f>
        <v>0.9533904318370604</v>
      </c>
      <c r="AI13" s="2">
        <f>AH13+真實IC!AI13</f>
        <v>0.97298063876250618</v>
      </c>
      <c r="AJ13" s="2">
        <f>AI13+真實IC!AJ13</f>
        <v>0.98860029350725864</v>
      </c>
      <c r="AK13" s="2">
        <f>AJ13+真實IC!AK13</f>
        <v>1.013855123639958</v>
      </c>
      <c r="AL13" s="2">
        <f>AK13+真實IC!AL13</f>
        <v>1.0530152674912732</v>
      </c>
      <c r="AM13" s="2">
        <f>AL13+真實IC!AM13</f>
        <v>1.0716843794949504</v>
      </c>
      <c r="AN13" s="2">
        <f>AM13+真實IC!AN13</f>
        <v>1.104891326137295</v>
      </c>
      <c r="AO13" s="2">
        <f>AN13+真實IC!AO13</f>
        <v>1.1363409577776036</v>
      </c>
      <c r="AP13" s="2">
        <f>AO13+真實IC!AP13</f>
        <v>1.1456811068323056</v>
      </c>
      <c r="AQ13" s="2">
        <f>AP13+真實IC!AQ13</f>
        <v>1.1616184866960901</v>
      </c>
      <c r="AR13" s="2">
        <f>AQ13+真實IC!AR13</f>
        <v>1.1646655607687864</v>
      </c>
      <c r="AS13" s="2">
        <f>AR13+真實IC!AS13</f>
        <v>1.1995431287734961</v>
      </c>
      <c r="AT13" s="2">
        <f>AS13+真實IC!AT13</f>
        <v>1.2944722807623417</v>
      </c>
      <c r="AU13" s="2">
        <f>AT13+真實IC!AU13</f>
        <v>1.3254207146256645</v>
      </c>
      <c r="AV13" s="2">
        <f>AU13+真實IC!AV13</f>
        <v>1.4221314784475716</v>
      </c>
      <c r="AW13" s="2">
        <f>AV13+真實IC!AW13</f>
        <v>1.4383976004945582</v>
      </c>
      <c r="AX13" s="2">
        <f>AW13+真實IC!AX13</f>
        <v>1.4904983736496442</v>
      </c>
      <c r="AY13" s="2">
        <f>AX13+真實IC!AY13</f>
        <v>1.4934055002818516</v>
      </c>
      <c r="AZ13" s="2">
        <f>AY13+真實IC!AZ13</f>
        <v>1.5047489684585362</v>
      </c>
      <c r="BA13" s="2">
        <f>AZ13+真實IC!BA13</f>
        <v>1.5378691882761895</v>
      </c>
      <c r="BB13" s="2">
        <f>BA13+真實IC!BB13</f>
        <v>1.5545494410336489</v>
      </c>
      <c r="BC13" s="2">
        <f>BB13+真實IC!BC13</f>
        <v>1.5542935297721505</v>
      </c>
      <c r="BD13" s="2">
        <f>BC13+真實IC!BD13</f>
        <v>1.5505291587574042</v>
      </c>
      <c r="BE13" s="2">
        <f>BD13+真實IC!BE13</f>
        <v>1.5872861040488413</v>
      </c>
      <c r="BF13" s="2">
        <f>BE13+真實IC!BF13</f>
        <v>1.6925670914607616</v>
      </c>
      <c r="BG13" s="2">
        <f>BF13+真實IC!BG13</f>
        <v>1.7780066792438711</v>
      </c>
      <c r="BH13" s="2">
        <f>BG13+真實IC!BH13</f>
        <v>1.8191864523784744</v>
      </c>
      <c r="BI13" s="2">
        <f>BH13+真實IC!BI13</f>
        <v>1.8754636468732526</v>
      </c>
      <c r="BJ13" s="2">
        <f>BI13+真實IC!BJ13</f>
        <v>1.8898430021846939</v>
      </c>
      <c r="BK13" s="2">
        <f>BJ13+真實IC!BK13</f>
        <v>1.9180399149372929</v>
      </c>
      <c r="BL13" s="2">
        <f>BK13+真實IC!BL13</f>
        <v>1.9569809737176427</v>
      </c>
      <c r="BM13" s="2">
        <f>BL13+真實IC!BM13</f>
        <v>2.0035934892826179</v>
      </c>
      <c r="BN13" s="2">
        <f>BM13+真實IC!BN13</f>
        <v>2.0240373447717697</v>
      </c>
      <c r="BO13" s="2">
        <f>BN13+真實IC!BO13</f>
        <v>2.0485139063266873</v>
      </c>
      <c r="BP13" s="2">
        <f>BO13+真實IC!BP13</f>
        <v>2.0626288469729861</v>
      </c>
      <c r="BQ13" s="2">
        <f>BP13+真實IC!BQ13</f>
        <v>2.0723878675759964</v>
      </c>
      <c r="BR13" s="2">
        <f>BQ13+真實IC!BR13</f>
        <v>2.1518232411677309</v>
      </c>
      <c r="BS13" s="2">
        <f>BR13+真實IC!BS13</f>
        <v>2.1858719575264645</v>
      </c>
      <c r="BT13" s="2">
        <f>BS13+真實IC!BT13</f>
        <v>2.1808465793519893</v>
      </c>
      <c r="BU13" s="2">
        <f>BT13+真實IC!BU13</f>
        <v>2.2053628958680878</v>
      </c>
      <c r="BV13" s="2">
        <f>BU13+真實IC!BV13</f>
        <v>2.254841636803699</v>
      </c>
      <c r="BW13" s="2">
        <f>BV13+真實IC!BW13</f>
        <v>2.3147965280598877</v>
      </c>
      <c r="BX13" s="2">
        <f>BW13+真實IC!BX13</f>
        <v>2.3130084606074091</v>
      </c>
      <c r="BY13" s="2">
        <f>BX13+真實IC!BY13</f>
        <v>2.346789146018684</v>
      </c>
      <c r="BZ13" s="2">
        <f>BY13+真實IC!BZ13</f>
        <v>2.4083376959398497</v>
      </c>
      <c r="CA13" s="2">
        <f>BZ13+真實IC!CA13</f>
        <v>2.4245589665863672</v>
      </c>
      <c r="CB13" s="2">
        <f>CA13+真實IC!CB13</f>
        <v>2.4421109156852334</v>
      </c>
      <c r="CC13" s="2">
        <f>CB13+真實IC!CC13</f>
        <v>2.4410392435937869</v>
      </c>
      <c r="CD13" s="2">
        <f>CC13+真實IC!CD13</f>
        <v>2.4378534890917911</v>
      </c>
      <c r="CE13" s="2">
        <f>CD13+真實IC!CE13</f>
        <v>2.5255892500865249</v>
      </c>
      <c r="CF13" s="2">
        <f>CE13+真實IC!CF13</f>
        <v>2.5547084519367593</v>
      </c>
      <c r="CG13" s="2">
        <f>CF13+真實IC!CG13</f>
        <v>2.6039111046804204</v>
      </c>
      <c r="CH13" s="2">
        <f>CG13+真實IC!CH13</f>
        <v>2.6123127764044733</v>
      </c>
      <c r="CI13" s="2">
        <f>CH13+真實IC!CI13</f>
        <v>2.6319415672417685</v>
      </c>
      <c r="CJ13" s="2">
        <f>CI13+真實IC!CJ13</f>
        <v>2.7010262623036967</v>
      </c>
      <c r="CK13" s="2">
        <f>CJ13+真實IC!CK13</f>
        <v>2.7665433806752171</v>
      </c>
      <c r="CL13" s="2">
        <f>CK13+真實IC!CL13</f>
        <v>2.7841113487320013</v>
      </c>
      <c r="CM13" s="2">
        <f>CL13+真實IC!CM13</f>
        <v>2.7728368665642917</v>
      </c>
      <c r="CN13" s="2">
        <f>CM13+真實IC!CN13</f>
        <v>2.8864952877968779</v>
      </c>
      <c r="CO13" s="2">
        <f>CN13+真實IC!CO13</f>
        <v>2.9303691376294356</v>
      </c>
      <c r="CP13" s="2">
        <f>CO13+真實IC!CP13</f>
        <v>2.915828887083991</v>
      </c>
      <c r="CQ13" s="2">
        <f>CP13+真實IC!CQ13</f>
        <v>2.9724706192234116</v>
      </c>
      <c r="CR13" s="2">
        <f>CQ13+真實IC!CR13</f>
        <v>3.0329733436960669</v>
      </c>
      <c r="CS13" s="2">
        <f>CR13+真實IC!CS13</f>
        <v>3.0427899649780792</v>
      </c>
      <c r="CT13" s="2">
        <f>CS13+真實IC!CT13</f>
        <v>3.0513184332244632</v>
      </c>
      <c r="CU13" s="2">
        <f>CT13+真實IC!CU13</f>
        <v>3.163106484791562</v>
      </c>
      <c r="CV13" s="2">
        <f>CU13+真實IC!CV13</f>
        <v>3.2400138410048447</v>
      </c>
      <c r="CW13" s="2">
        <f>CV13+真實IC!CW13</f>
        <v>3.2738094350527036</v>
      </c>
      <c r="CX13" s="2">
        <f>CW13+真實IC!CX13</f>
        <v>3.3042253601403084</v>
      </c>
      <c r="CY13" s="2">
        <f>CX13+真實IC!CY13</f>
        <v>3.36045904604872</v>
      </c>
      <c r="CZ13" s="2">
        <f>CY13+真實IC!CZ13</f>
        <v>3.3668817788376408</v>
      </c>
      <c r="DA13" s="2">
        <f>CZ13+真實IC!DA13</f>
        <v>3.3929121779192646</v>
      </c>
      <c r="DB13" s="2">
        <f>DA13+真實IC!DB13</f>
        <v>3.4534346040856394</v>
      </c>
      <c r="DC13" s="2">
        <f>DB13+真實IC!DC13</f>
        <v>3.4562985126214398</v>
      </c>
      <c r="DD13" s="2">
        <f>DC13+真實IC!DD13</f>
        <v>3.5279917846130755</v>
      </c>
      <c r="DE13" s="2">
        <f>DD13+真實IC!DE13</f>
        <v>3.5426244506142668</v>
      </c>
      <c r="DF13" s="2">
        <f>DE13+真實IC!DF13</f>
        <v>3.5662975669612127</v>
      </c>
      <c r="DG13" s="2">
        <f>DF13+真實IC!DG13</f>
        <v>3.6311170194830811</v>
      </c>
      <c r="DH13" s="2">
        <f>DG13+真實IC!DH13</f>
        <v>3.6682919243293686</v>
      </c>
      <c r="DI13" s="2">
        <f>DH13+真實IC!DI13</f>
        <v>3.6833967179352749</v>
      </c>
      <c r="DJ13" s="2">
        <f>DI13+真實IC!DJ13</f>
        <v>3.6848883337823413</v>
      </c>
      <c r="DK13" s="2">
        <f>DJ13+真實IC!DK13</f>
        <v>3.6917411566519793</v>
      </c>
      <c r="DL13" s="2">
        <f>DK13+真實IC!DL13</f>
        <v>3.723669523579157</v>
      </c>
      <c r="DM13" s="2">
        <f>DL13+真實IC!DM13</f>
        <v>3.7134970093942936</v>
      </c>
      <c r="DN13" s="2">
        <f>DM13+真實IC!DN13</f>
        <v>3.7089922450650037</v>
      </c>
      <c r="DO13" s="2">
        <f>DN13+真實IC!DO13</f>
        <v>3.7500599616105683</v>
      </c>
      <c r="DP13" s="2">
        <f>DO13+真實IC!DP13</f>
        <v>3.8253013098616417</v>
      </c>
      <c r="DQ13" s="2">
        <f>DP13+真實IC!DQ13</f>
        <v>3.8865219055846056</v>
      </c>
      <c r="DR13" s="2">
        <f>DQ13+真實IC!DR13</f>
        <v>3.8787866520486731</v>
      </c>
      <c r="DS13" s="2">
        <f>DR13+真實IC!DS13</f>
        <v>3.9061864251977068</v>
      </c>
      <c r="DT13" s="2">
        <f>DS13+真實IC!DT13</f>
        <v>3.9335615379513698</v>
      </c>
      <c r="DU13" s="2">
        <f>DT13+真實IC!DU13</f>
        <v>3.954376448989958</v>
      </c>
      <c r="DV13" s="2">
        <f>DU13+真實IC!DV13</f>
        <v>3.9724583450326505</v>
      </c>
      <c r="DW13" s="2">
        <f>DV13+真實IC!DW13</f>
        <v>3.9512658662029017</v>
      </c>
      <c r="DX13" s="2">
        <f>DW13+真實IC!DX13</f>
        <v>3.9822991024563601</v>
      </c>
      <c r="DY13" s="2">
        <f>DX13+真實IC!DY13</f>
        <v>3.9802003886361721</v>
      </c>
      <c r="DZ13" s="2">
        <f>DY13+真實IC!DZ13</f>
        <v>4.003636736063342</v>
      </c>
      <c r="EA13" s="2">
        <f>DZ13+真實IC!EA13</f>
        <v>4.1305850036164395</v>
      </c>
      <c r="EB13" s="2">
        <f>EA13+真實IC!EB13</f>
        <v>4.1876655367980913</v>
      </c>
      <c r="EC13" s="2">
        <f>EB13+真實IC!EC13</f>
        <v>4.1780286447104285</v>
      </c>
      <c r="ED13" s="2">
        <f>EC13+真實IC!ED13</f>
        <v>4.221384214042307</v>
      </c>
      <c r="EE13" s="2">
        <f>ED13+真實IC!EE13</f>
        <v>4.2501955036465011</v>
      </c>
      <c r="EF13" s="2">
        <f>EE13+真實IC!EF13</f>
        <v>4.2828075092737601</v>
      </c>
      <c r="EG13" s="2">
        <f>EF13+真實IC!EG13</f>
        <v>4.3360691473951887</v>
      </c>
      <c r="EH13" s="2">
        <f>EG13+真實IC!EH13</f>
        <v>4.3472743776085281</v>
      </c>
      <c r="EI13" s="2">
        <f>EH13+真實IC!EI13</f>
        <v>4.34072590630731</v>
      </c>
      <c r="EJ13" s="2">
        <f>EI13+真實IC!EJ13</f>
        <v>4.3471204107926118</v>
      </c>
      <c r="EK13" s="2">
        <f>EJ13+真實IC!EK13</f>
        <v>4.3609923286180399</v>
      </c>
      <c r="EL13" s="2">
        <f>EK13+真實IC!EL13</f>
        <v>4.390574183495592</v>
      </c>
    </row>
    <row r="14" spans="1:142" x14ac:dyDescent="0.3">
      <c r="A14" s="11"/>
      <c r="B14" s="11">
        <v>50</v>
      </c>
      <c r="C14" s="2">
        <v>0.13220513330973041</v>
      </c>
      <c r="D14" s="2">
        <f>C14+真實IC!D14</f>
        <v>0.13899090069123338</v>
      </c>
      <c r="E14" s="2">
        <f>D14+真實IC!E14</f>
        <v>0.16567641632870239</v>
      </c>
      <c r="F14" s="2">
        <f>E14+真實IC!F14</f>
        <v>0.14570453228993824</v>
      </c>
      <c r="G14" s="2">
        <f>F14+真實IC!G14</f>
        <v>0.22078990292220002</v>
      </c>
      <c r="H14" s="2">
        <f>G14+真實IC!H14</f>
        <v>0.22784559699124207</v>
      </c>
      <c r="I14" s="2">
        <f>H14+真實IC!I14</f>
        <v>0.1981337726573672</v>
      </c>
      <c r="J14" s="2">
        <f>I14+真實IC!J14</f>
        <v>0.17376425014492211</v>
      </c>
      <c r="K14" s="2">
        <f>J14+真實IC!K14</f>
        <v>0.17539640413981103</v>
      </c>
      <c r="L14" s="2">
        <f>K14+真實IC!L14</f>
        <v>0.11688284006983997</v>
      </c>
      <c r="M14" s="2">
        <f>L14+真實IC!M14</f>
        <v>0.11460767066788617</v>
      </c>
      <c r="N14" s="2">
        <f>M14+真實IC!N14</f>
        <v>0.18225894467791381</v>
      </c>
      <c r="O14" s="2">
        <f>N14+真實IC!O14</f>
        <v>0.17527511370597948</v>
      </c>
      <c r="P14" s="2">
        <f>O14+真實IC!P14</f>
        <v>0.18210788912016371</v>
      </c>
      <c r="Q14" s="2">
        <f>P14+真實IC!Q14</f>
        <v>0.18569556407829801</v>
      </c>
      <c r="R14" s="2">
        <f>Q14+真實IC!R14</f>
        <v>0.21443825030004668</v>
      </c>
      <c r="S14" s="2">
        <f>R14+真實IC!S14</f>
        <v>0.3540223596461578</v>
      </c>
      <c r="T14" s="2">
        <f>S14+真實IC!T14</f>
        <v>0.39766299635900049</v>
      </c>
      <c r="U14" s="2">
        <f>T14+真實IC!U14</f>
        <v>0.41400124538814825</v>
      </c>
      <c r="V14" s="2">
        <f>U14+真實IC!V14</f>
        <v>0.37976974558929066</v>
      </c>
      <c r="W14" s="2">
        <f>V14+真實IC!W14</f>
        <v>0.40664353510655171</v>
      </c>
      <c r="X14" s="2">
        <f>W14+真實IC!X14</f>
        <v>0.55879311394626296</v>
      </c>
      <c r="Y14" s="2">
        <f>X14+真實IC!Y14</f>
        <v>0.54956686392007181</v>
      </c>
      <c r="Z14" s="2">
        <f>Y14+真實IC!Z14</f>
        <v>0.65577909581749094</v>
      </c>
      <c r="AA14" s="2">
        <f>Z14+真實IC!AA14</f>
        <v>0.75263004560135727</v>
      </c>
      <c r="AB14" s="2">
        <f>AA14+真實IC!AB14</f>
        <v>0.74269483929301583</v>
      </c>
      <c r="AC14" s="2">
        <f>AB14+真實IC!AC14</f>
        <v>0.76251920837486298</v>
      </c>
      <c r="AD14" s="2">
        <f>AC14+真實IC!AD14</f>
        <v>0.77626317756591146</v>
      </c>
      <c r="AE14" s="2">
        <f>AD14+真實IC!AE14</f>
        <v>0.88455956188231888</v>
      </c>
      <c r="AF14" s="2">
        <f>AE14+真實IC!AF14</f>
        <v>0.96140292798334392</v>
      </c>
      <c r="AG14" s="2">
        <f>AF14+真實IC!AG14</f>
        <v>0.9672821929508677</v>
      </c>
      <c r="AH14" s="2">
        <f>AG14+真實IC!AH14</f>
        <v>0.91640279682925674</v>
      </c>
      <c r="AI14" s="2">
        <f>AH14+真實IC!AI14</f>
        <v>0.88899981090385782</v>
      </c>
      <c r="AJ14" s="2">
        <f>AI14+真實IC!AJ14</f>
        <v>0.92070069787704445</v>
      </c>
      <c r="AK14" s="2">
        <f>AJ14+真實IC!AK14</f>
        <v>0.98352603212137923</v>
      </c>
      <c r="AL14" s="2">
        <f>AK14+真實IC!AL14</f>
        <v>1.0307356495551161</v>
      </c>
      <c r="AM14" s="2">
        <f>AL14+真實IC!AM14</f>
        <v>1.0308668873782123</v>
      </c>
      <c r="AN14" s="2">
        <f>AM14+真實IC!AN14</f>
        <v>1.075849659005031</v>
      </c>
      <c r="AO14" s="2">
        <f>AN14+真實IC!AO14</f>
        <v>1.1084543267880276</v>
      </c>
      <c r="AP14" s="2">
        <f>AO14+真實IC!AP14</f>
        <v>1.1510587256786675</v>
      </c>
      <c r="AQ14" s="2">
        <f>AP14+真實IC!AQ14</f>
        <v>1.1707244109556447</v>
      </c>
      <c r="AR14" s="2">
        <f>AQ14+真實IC!AR14</f>
        <v>1.1780996677708322</v>
      </c>
      <c r="AS14" s="2">
        <f>AR14+真實IC!AS14</f>
        <v>1.1646216662158557</v>
      </c>
      <c r="AT14" s="2">
        <f>AS14+真實IC!AT14</f>
        <v>1.3024360797198411</v>
      </c>
      <c r="AU14" s="2">
        <f>AT14+真實IC!AU14</f>
        <v>1.3799532702378932</v>
      </c>
      <c r="AV14" s="2">
        <f>AU14+真實IC!AV14</f>
        <v>1.4906659445605455</v>
      </c>
      <c r="AW14" s="2">
        <f>AV14+真實IC!AW14</f>
        <v>1.5559254950429964</v>
      </c>
      <c r="AX14" s="2">
        <f>AW14+真實IC!AX14</f>
        <v>1.5966954785772949</v>
      </c>
      <c r="AY14" s="2">
        <f>AX14+真實IC!AY14</f>
        <v>1.5957227110846266</v>
      </c>
      <c r="AZ14" s="2">
        <f>AY14+真實IC!AZ14</f>
        <v>1.6360107963505948</v>
      </c>
      <c r="BA14" s="2">
        <f>AZ14+真實IC!BA14</f>
        <v>1.6902655443948011</v>
      </c>
      <c r="BB14" s="2">
        <f>BA14+真實IC!BB14</f>
        <v>1.7680841380279495</v>
      </c>
      <c r="BC14" s="2">
        <f>BB14+真實IC!BC14</f>
        <v>1.7100014282974192</v>
      </c>
      <c r="BD14" s="2">
        <f>BC14+真實IC!BD14</f>
        <v>1.6749285504664446</v>
      </c>
      <c r="BE14" s="2">
        <f>BD14+真實IC!BE14</f>
        <v>1.7467406680384723</v>
      </c>
      <c r="BF14" s="2">
        <f>BE14+真實IC!BF14</f>
        <v>1.9040318944251207</v>
      </c>
      <c r="BG14" s="2">
        <f>BF14+真實IC!BG14</f>
        <v>2.0311049203397684</v>
      </c>
      <c r="BH14" s="2">
        <f>BG14+真實IC!BH14</f>
        <v>2.0958165453994959</v>
      </c>
      <c r="BI14" s="2">
        <f>BH14+真實IC!BI14</f>
        <v>2.1259039626914955</v>
      </c>
      <c r="BJ14" s="2">
        <f>BI14+真實IC!BJ14</f>
        <v>2.1322322519346848</v>
      </c>
      <c r="BK14" s="2">
        <f>BJ14+真實IC!BK14</f>
        <v>2.2210756588978109</v>
      </c>
      <c r="BL14" s="2">
        <f>BK14+真實IC!BL14</f>
        <v>2.2535794448798501</v>
      </c>
      <c r="BM14" s="2">
        <f>BL14+真實IC!BM14</f>
        <v>2.2865006097032952</v>
      </c>
      <c r="BN14" s="2">
        <f>BM14+真實IC!BN14</f>
        <v>2.3153922729693637</v>
      </c>
      <c r="BO14" s="2">
        <f>BN14+真實IC!BO14</f>
        <v>2.3694267017588961</v>
      </c>
      <c r="BP14" s="2">
        <f>BO14+真實IC!BP14</f>
        <v>2.3820497258082591</v>
      </c>
      <c r="BQ14" s="2">
        <f>BP14+真實IC!BQ14</f>
        <v>2.3587868895532722</v>
      </c>
      <c r="BR14" s="2">
        <f>BQ14+真實IC!BR14</f>
        <v>2.4386337356563028</v>
      </c>
      <c r="BS14" s="2">
        <f>BR14+真實IC!BS14</f>
        <v>2.4682453508370465</v>
      </c>
      <c r="BT14" s="2">
        <f>BS14+真實IC!BT14</f>
        <v>2.4312000796581961</v>
      </c>
      <c r="BU14" s="2">
        <f>BT14+真實IC!BU14</f>
        <v>2.4515139678078905</v>
      </c>
      <c r="BV14" s="2">
        <f>BU14+真實IC!BV14</f>
        <v>2.5325949740985623</v>
      </c>
      <c r="BW14" s="2">
        <f>BV14+真實IC!BW14</f>
        <v>2.6274081602920876</v>
      </c>
      <c r="BX14" s="2">
        <f>BW14+真實IC!BX14</f>
        <v>2.5963919339663244</v>
      </c>
      <c r="BY14" s="2">
        <f>BX14+真實IC!BY14</f>
        <v>2.5935674313177643</v>
      </c>
      <c r="BZ14" s="2">
        <f>BY14+真實IC!BZ14</f>
        <v>2.6754981255259125</v>
      </c>
      <c r="CA14" s="2">
        <f>BZ14+真實IC!CA14</f>
        <v>2.7542217228898043</v>
      </c>
      <c r="CB14" s="2">
        <f>CA14+真實IC!CB14</f>
        <v>2.7684142313412075</v>
      </c>
      <c r="CC14" s="2">
        <f>CB14+真實IC!CC14</f>
        <v>2.7778698828990462</v>
      </c>
      <c r="CD14" s="2">
        <f>CC14+真實IC!CD14</f>
        <v>2.7310545338270651</v>
      </c>
      <c r="CE14" s="2">
        <f>CD14+真實IC!CE14</f>
        <v>2.8253325527156132</v>
      </c>
      <c r="CF14" s="2">
        <f>CE14+真實IC!CF14</f>
        <v>2.8760883255627392</v>
      </c>
      <c r="CG14" s="2">
        <f>CF14+真實IC!CG14</f>
        <v>2.9412492939572563</v>
      </c>
      <c r="CH14" s="2">
        <f>CG14+真實IC!CH14</f>
        <v>3.0121819112717909</v>
      </c>
      <c r="CI14" s="2">
        <f>CH14+真實IC!CI14</f>
        <v>2.9809438276526277</v>
      </c>
      <c r="CJ14" s="2">
        <f>CI14+真實IC!CJ14</f>
        <v>3.0423818175490323</v>
      </c>
      <c r="CK14" s="2">
        <f>CJ14+真實IC!CK14</f>
        <v>3.0963245096761125</v>
      </c>
      <c r="CL14" s="2">
        <f>CK14+真實IC!CL14</f>
        <v>3.1374094666985823</v>
      </c>
      <c r="CM14" s="2">
        <f>CL14+真實IC!CM14</f>
        <v>3.0854340388830606</v>
      </c>
      <c r="CN14" s="2">
        <f>CM14+真實IC!CN14</f>
        <v>3.2997960102301755</v>
      </c>
      <c r="CO14" s="2">
        <f>CN14+真實IC!CO14</f>
        <v>3.3710867376956228</v>
      </c>
      <c r="CP14" s="2">
        <f>CO14+真實IC!CP14</f>
        <v>3.304441297007727</v>
      </c>
      <c r="CQ14" s="2">
        <f>CP14+真實IC!CQ14</f>
        <v>3.3214252829911306</v>
      </c>
      <c r="CR14" s="2">
        <f>CQ14+真實IC!CR14</f>
        <v>3.3647449211950944</v>
      </c>
      <c r="CS14" s="2">
        <f>CR14+真實IC!CS14</f>
        <v>3.3769140078866275</v>
      </c>
      <c r="CT14" s="2">
        <f>CS14+真實IC!CT14</f>
        <v>3.3497361032505073</v>
      </c>
      <c r="CU14" s="2">
        <f>CT14+真實IC!CU14</f>
        <v>3.4802294225133568</v>
      </c>
      <c r="CV14" s="2">
        <f>CU14+真實IC!CV14</f>
        <v>3.6149691701451343</v>
      </c>
      <c r="CW14" s="2">
        <f>CV14+真實IC!CW14</f>
        <v>3.6561771134445853</v>
      </c>
      <c r="CX14" s="2">
        <f>CW14+真實IC!CX14</f>
        <v>3.7097366342045692</v>
      </c>
      <c r="CY14" s="2">
        <f>CX14+真實IC!CY14</f>
        <v>3.8194082579708617</v>
      </c>
      <c r="CZ14" s="2">
        <f>CY14+真實IC!CZ14</f>
        <v>3.8587037867822782</v>
      </c>
      <c r="DA14" s="2">
        <f>CZ14+真實IC!DA14</f>
        <v>3.8247774167119348</v>
      </c>
      <c r="DB14" s="2">
        <f>DA14+真實IC!DB14</f>
        <v>3.9251778115494362</v>
      </c>
      <c r="DC14" s="2">
        <f>DB14+真實IC!DC14</f>
        <v>3.9628766910859996</v>
      </c>
      <c r="DD14" s="2">
        <f>DC14+真實IC!DD14</f>
        <v>4.0616114595050927</v>
      </c>
      <c r="DE14" s="2">
        <f>DD14+真實IC!DE14</f>
        <v>4.1206848618006982</v>
      </c>
      <c r="DF14" s="2">
        <f>DE14+真實IC!DF14</f>
        <v>4.2111678691219785</v>
      </c>
      <c r="DG14" s="2">
        <f>DF14+真實IC!DG14</f>
        <v>4.2958011165003933</v>
      </c>
      <c r="DH14" s="2">
        <f>DG14+真實IC!DH14</f>
        <v>4.3284773539682613</v>
      </c>
      <c r="DI14" s="2">
        <f>DH14+真實IC!DI14</f>
        <v>4.3146233527322959</v>
      </c>
      <c r="DJ14" s="2">
        <f>DI14+真實IC!DJ14</f>
        <v>4.3052871411402718</v>
      </c>
      <c r="DK14" s="2">
        <f>DJ14+真實IC!DK14</f>
        <v>4.2821339314669524</v>
      </c>
      <c r="DL14" s="2">
        <f>DK14+真實IC!DL14</f>
        <v>4.3220065647099402</v>
      </c>
      <c r="DM14" s="2">
        <f>DL14+真實IC!DM14</f>
        <v>4.3061269127510222</v>
      </c>
      <c r="DN14" s="2">
        <f>DM14+真實IC!DN14</f>
        <v>4.3708071039616856</v>
      </c>
      <c r="DO14" s="2">
        <f>DN14+真實IC!DO14</f>
        <v>4.4382986589530455</v>
      </c>
      <c r="DP14" s="2">
        <f>DO14+真實IC!DP14</f>
        <v>4.5203985317018631</v>
      </c>
      <c r="DQ14" s="2">
        <f>DP14+真實IC!DQ14</f>
        <v>4.5530440647180308</v>
      </c>
      <c r="DR14" s="2">
        <f>DQ14+真實IC!DR14</f>
        <v>4.5412401247377296</v>
      </c>
      <c r="DS14" s="2">
        <f>DR14+真實IC!DS14</f>
        <v>4.609765432574946</v>
      </c>
      <c r="DT14" s="2">
        <f>DS14+真實IC!DT14</f>
        <v>4.6248907176753935</v>
      </c>
      <c r="DU14" s="2">
        <f>DT14+真實IC!DU14</f>
        <v>4.712637408998793</v>
      </c>
      <c r="DV14" s="2">
        <f>DU14+真實IC!DV14</f>
        <v>4.7453405210106601</v>
      </c>
      <c r="DW14" s="2">
        <f>DV14+真實IC!DW14</f>
        <v>4.7356208352451228</v>
      </c>
      <c r="DX14" s="2">
        <f>DW14+真實IC!DX14</f>
        <v>4.7544476227235908</v>
      </c>
      <c r="DY14" s="2">
        <f>DX14+真實IC!DY14</f>
        <v>4.783404250777151</v>
      </c>
      <c r="DZ14" s="2">
        <f>DY14+真實IC!DZ14</f>
        <v>4.7715041551201187</v>
      </c>
      <c r="EA14" s="2">
        <f>DZ14+真實IC!EA14</f>
        <v>4.8397886383430864</v>
      </c>
      <c r="EB14" s="2">
        <f>EA14+真實IC!EB14</f>
        <v>4.9244084550061702</v>
      </c>
      <c r="EC14" s="2">
        <f>EB14+真實IC!EC14</f>
        <v>4.8746720496477556</v>
      </c>
      <c r="ED14" s="2">
        <f>EC14+真實IC!ED14</f>
        <v>4.9248133717174687</v>
      </c>
      <c r="EE14" s="2">
        <f>ED14+真實IC!EE14</f>
        <v>4.9699450873921958</v>
      </c>
      <c r="EF14" s="2">
        <f>EE14+真實IC!EF14</f>
        <v>5.0666343306042538</v>
      </c>
      <c r="EG14" s="2">
        <f>EF14+真實IC!EG14</f>
        <v>5.192599142273739</v>
      </c>
      <c r="EH14" s="2">
        <f>EG14+真實IC!EH14</f>
        <v>5.2042771955246376</v>
      </c>
      <c r="EI14" s="2">
        <f>EH14+真實IC!EI14</f>
        <v>5.2546690880451692</v>
      </c>
      <c r="EJ14" s="2">
        <f>EI14+真實IC!EJ14</f>
        <v>5.2647227353123833</v>
      </c>
      <c r="EK14" s="2">
        <f>EJ14+真實IC!EK14</f>
        <v>5.3425123800177676</v>
      </c>
      <c r="EL14" s="2">
        <f>EK14+真實IC!EL14</f>
        <v>5.4367109992596649</v>
      </c>
    </row>
    <row r="15" spans="1:142" x14ac:dyDescent="0.3">
      <c r="A15" s="11"/>
      <c r="B15" s="11">
        <v>110</v>
      </c>
      <c r="C15" s="2">
        <v>0.24155842264248281</v>
      </c>
      <c r="D15" s="2">
        <f>C15+真實IC!D15</f>
        <v>0.25422757078811709</v>
      </c>
      <c r="E15" s="2">
        <f>D15+真實IC!E15</f>
        <v>0.2907058656124899</v>
      </c>
      <c r="F15" s="2">
        <f>E15+真實IC!F15</f>
        <v>0.21828160970976263</v>
      </c>
      <c r="G15" s="2">
        <f>F15+真實IC!G15</f>
        <v>0.22081738947579826</v>
      </c>
      <c r="H15" s="2">
        <f>G15+真實IC!H15</f>
        <v>0.23715479578427195</v>
      </c>
      <c r="I15" s="2">
        <f>H15+真實IC!I15</f>
        <v>0.12928152241238025</v>
      </c>
      <c r="J15" s="2">
        <f>I15+真實IC!J15</f>
        <v>8.5833654982954838E-2</v>
      </c>
      <c r="K15" s="2">
        <f>J15+真實IC!K15</f>
        <v>0.13168974966218222</v>
      </c>
      <c r="L15" s="2">
        <f>K15+真實IC!L15</f>
        <v>2.8181627603427323E-2</v>
      </c>
      <c r="M15" s="2">
        <f>L15+真實IC!M15</f>
        <v>8.4477486471120383E-2</v>
      </c>
      <c r="N15" s="2">
        <f>M15+真實IC!N15</f>
        <v>0.17424980311288729</v>
      </c>
      <c r="O15" s="2">
        <f>N15+真實IC!O15</f>
        <v>0.15535326011270681</v>
      </c>
      <c r="P15" s="2">
        <f>O15+真實IC!P15</f>
        <v>0.20163669438052004</v>
      </c>
      <c r="Q15" s="2">
        <f>P15+真實IC!Q15</f>
        <v>0.17095907698729171</v>
      </c>
      <c r="R15" s="2">
        <f>Q15+真實IC!R15</f>
        <v>0.25663235729661138</v>
      </c>
      <c r="S15" s="2">
        <f>R15+真實IC!S15</f>
        <v>0.43686850202472505</v>
      </c>
      <c r="T15" s="2">
        <f>S15+真實IC!T15</f>
        <v>0.49506698879301353</v>
      </c>
      <c r="U15" s="2">
        <f>T15+真實IC!U15</f>
        <v>0.44727325389874073</v>
      </c>
      <c r="V15" s="2">
        <f>U15+真實IC!V15</f>
        <v>0.38667325820904208</v>
      </c>
      <c r="W15" s="2">
        <f>V15+真實IC!W15</f>
        <v>0.40211423590623352</v>
      </c>
      <c r="X15" s="2">
        <f>W15+真實IC!X15</f>
        <v>0.60695519177363544</v>
      </c>
      <c r="Y15" s="2">
        <f>X15+真實IC!Y15</f>
        <v>0.6181719967412358</v>
      </c>
      <c r="Z15" s="2">
        <f>Y15+真實IC!Z15</f>
        <v>0.6665383661373192</v>
      </c>
      <c r="AA15" s="2">
        <f>Z15+真實IC!AA15</f>
        <v>0.79544726714762581</v>
      </c>
      <c r="AB15" s="2">
        <f>AA15+真實IC!AB15</f>
        <v>0.76321411796729965</v>
      </c>
      <c r="AC15" s="2">
        <f>AB15+真實IC!AC15</f>
        <v>0.72933087191067159</v>
      </c>
      <c r="AD15" s="2">
        <f>AC15+真實IC!AD15</f>
        <v>0.68232351333365304</v>
      </c>
      <c r="AE15" s="2">
        <f>AD15+真實IC!AE15</f>
        <v>0.85834668092007571</v>
      </c>
      <c r="AF15" s="2">
        <f>AE15+真實IC!AF15</f>
        <v>0.99083338570178325</v>
      </c>
      <c r="AG15" s="2">
        <f>AF15+真實IC!AG15</f>
        <v>0.98797174990665704</v>
      </c>
      <c r="AH15" s="2">
        <f>AG15+真實IC!AH15</f>
        <v>0.94088105711101966</v>
      </c>
      <c r="AI15" s="2">
        <f>AH15+真實IC!AI15</f>
        <v>0.92230852921531825</v>
      </c>
      <c r="AJ15" s="2">
        <f>AI15+真實IC!AJ15</f>
        <v>0.97528295665578968</v>
      </c>
      <c r="AK15" s="2">
        <f>AJ15+真實IC!AK15</f>
        <v>0.98320727616741155</v>
      </c>
      <c r="AL15" s="2">
        <f>AK15+真實IC!AL15</f>
        <v>1.0536056131358595</v>
      </c>
      <c r="AM15" s="2">
        <f>AL15+真實IC!AM15</f>
        <v>0.96682202411849483</v>
      </c>
      <c r="AN15" s="2">
        <f>AM15+真實IC!AN15</f>
        <v>0.98752611832869119</v>
      </c>
      <c r="AO15" s="2">
        <f>AN15+真實IC!AO15</f>
        <v>1.0313244654158302</v>
      </c>
      <c r="AP15" s="2">
        <f>AO15+真實IC!AP15</f>
        <v>1.0882817215650442</v>
      </c>
      <c r="AQ15" s="2">
        <f>AP15+真實IC!AQ15</f>
        <v>1.0501792528104763</v>
      </c>
      <c r="AR15" s="2">
        <f>AQ15+真實IC!AR15</f>
        <v>1.0614976222979775</v>
      </c>
      <c r="AS15" s="2">
        <f>AR15+真實IC!AS15</f>
        <v>0.99646881867872728</v>
      </c>
      <c r="AT15" s="2">
        <f>AS15+真實IC!AT15</f>
        <v>1.2043077765478638</v>
      </c>
      <c r="AU15" s="2">
        <f>AT15+真實IC!AU15</f>
        <v>1.2952405045774731</v>
      </c>
      <c r="AV15" s="2">
        <f>AU15+真實IC!AV15</f>
        <v>1.3863243141429427</v>
      </c>
      <c r="AW15" s="2">
        <f>AV15+真實IC!AW15</f>
        <v>1.4835354673013699</v>
      </c>
      <c r="AX15" s="2">
        <f>AW15+真實IC!AX15</f>
        <v>1.5976151604482183</v>
      </c>
      <c r="AY15" s="2">
        <f>AX15+真實IC!AY15</f>
        <v>1.585307063847271</v>
      </c>
      <c r="AZ15" s="2">
        <f>AY15+真實IC!AZ15</f>
        <v>1.6267863582644191</v>
      </c>
      <c r="BA15" s="2">
        <f>AZ15+真實IC!BA15</f>
        <v>1.7158326945160614</v>
      </c>
      <c r="BB15" s="2">
        <f>BA15+真實IC!BB15</f>
        <v>1.8508630071495713</v>
      </c>
      <c r="BC15" s="2">
        <f>BB15+真實IC!BC15</f>
        <v>1.79730696877313</v>
      </c>
      <c r="BD15" s="2">
        <f>BC15+真實IC!BD15</f>
        <v>1.8222996385763388</v>
      </c>
      <c r="BE15" s="2">
        <f>BD15+真實IC!BE15</f>
        <v>1.8856324774217761</v>
      </c>
      <c r="BF15" s="2">
        <f>BE15+真實IC!BF15</f>
        <v>2.1127328809090722</v>
      </c>
      <c r="BG15" s="2">
        <f>BF15+真實IC!BG15</f>
        <v>2.2191272515732692</v>
      </c>
      <c r="BH15" s="2">
        <f>BG15+真實IC!BH15</f>
        <v>2.3142893792753196</v>
      </c>
      <c r="BI15" s="2">
        <f>BH15+真實IC!BI15</f>
        <v>2.3583753570668935</v>
      </c>
      <c r="BJ15" s="2">
        <f>BI15+真實IC!BJ15</f>
        <v>2.4045303918408187</v>
      </c>
      <c r="BK15" s="2">
        <f>BJ15+真實IC!BK15</f>
        <v>2.5086679463430306</v>
      </c>
      <c r="BL15" s="2">
        <f>BK15+真實IC!BL15</f>
        <v>2.5845596622777744</v>
      </c>
      <c r="BM15" s="2">
        <f>BL15+真實IC!BM15</f>
        <v>2.6390524941916027</v>
      </c>
      <c r="BN15" s="2">
        <f>BM15+真實IC!BN15</f>
        <v>2.7396287187684933</v>
      </c>
      <c r="BO15" s="2">
        <f>BN15+真實IC!BO15</f>
        <v>2.7776445266021037</v>
      </c>
      <c r="BP15" s="2">
        <f>BO15+真實IC!BP15</f>
        <v>2.7626112473138202</v>
      </c>
      <c r="BQ15" s="2">
        <f>BP15+真實IC!BQ15</f>
        <v>2.7022998746805387</v>
      </c>
      <c r="BR15" s="2">
        <f>BQ15+真實IC!BR15</f>
        <v>2.8123427185751599</v>
      </c>
      <c r="BS15" s="2">
        <f>BR15+真實IC!BS15</f>
        <v>2.8163214965748584</v>
      </c>
      <c r="BT15" s="2">
        <f>BS15+真實IC!BT15</f>
        <v>2.7670942551538027</v>
      </c>
      <c r="BU15" s="2">
        <f>BT15+真實IC!BU15</f>
        <v>2.7743551372555881</v>
      </c>
      <c r="BV15" s="2">
        <f>BU15+真實IC!BV15</f>
        <v>2.8382035600259954</v>
      </c>
      <c r="BW15" s="2">
        <f>BV15+真實IC!BW15</f>
        <v>3.1536391223045639</v>
      </c>
      <c r="BX15" s="2">
        <f>BW15+真實IC!BX15</f>
        <v>3.1017925897402954</v>
      </c>
      <c r="BY15" s="2">
        <f>BX15+真實IC!BY15</f>
        <v>3.0555041930710569</v>
      </c>
      <c r="BZ15" s="2">
        <f>BY15+真實IC!BZ15</f>
        <v>3.0710359270351701</v>
      </c>
      <c r="CA15" s="2">
        <f>BZ15+真實IC!CA15</f>
        <v>3.2505996926384806</v>
      </c>
      <c r="CB15" s="2">
        <f>CA15+真實IC!CB15</f>
        <v>3.1478334096885896</v>
      </c>
      <c r="CC15" s="2">
        <f>CB15+真實IC!CC15</f>
        <v>3.2556606665518042</v>
      </c>
      <c r="CD15" s="2">
        <f>CC15+真實IC!CD15</f>
        <v>3.2338557348088934</v>
      </c>
      <c r="CE15" s="2">
        <f>CD15+真實IC!CE15</f>
        <v>3.3424592818406462</v>
      </c>
      <c r="CF15" s="2">
        <f>CE15+真實IC!CF15</f>
        <v>3.4289036441311067</v>
      </c>
      <c r="CG15" s="2">
        <f>CF15+真實IC!CG15</f>
        <v>3.5328129643877455</v>
      </c>
      <c r="CH15" s="2">
        <f>CG15+真實IC!CH15</f>
        <v>3.5896383949355002</v>
      </c>
      <c r="CI15" s="2">
        <f>CH15+真實IC!CI15</f>
        <v>3.5777298674769318</v>
      </c>
      <c r="CJ15" s="2">
        <f>CI15+真實IC!CJ15</f>
        <v>3.632604317607433</v>
      </c>
      <c r="CK15" s="2">
        <f>CJ15+真實IC!CK15</f>
        <v>3.7760261443141743</v>
      </c>
      <c r="CL15" s="2">
        <f>CK15+真實IC!CL15</f>
        <v>3.7163514475912414</v>
      </c>
      <c r="CM15" s="2">
        <f>CL15+真實IC!CM15</f>
        <v>3.6794466476729975</v>
      </c>
      <c r="CN15" s="2">
        <f>CM15+真實IC!CN15</f>
        <v>3.8480892605807875</v>
      </c>
      <c r="CO15" s="2">
        <f>CN15+真實IC!CO15</f>
        <v>4.0431853322904328</v>
      </c>
      <c r="CP15" s="2">
        <f>CO15+真實IC!CP15</f>
        <v>3.9643602473718715</v>
      </c>
      <c r="CQ15" s="2">
        <f>CP15+真實IC!CQ15</f>
        <v>3.9708085368017825</v>
      </c>
      <c r="CR15" s="2">
        <f>CQ15+真實IC!CR15</f>
        <v>4.0796938196042003</v>
      </c>
      <c r="CS15" s="2">
        <f>CR15+真實IC!CS15</f>
        <v>4.0886950796372838</v>
      </c>
      <c r="CT15" s="2">
        <f>CS15+真實IC!CT15</f>
        <v>4.0572685698045321</v>
      </c>
      <c r="CU15" s="2">
        <f>CT15+真實IC!CU15</f>
        <v>4.2176646243506175</v>
      </c>
      <c r="CV15" s="2">
        <f>CU15+真實IC!CV15</f>
        <v>4.3765008996402548</v>
      </c>
      <c r="CW15" s="2">
        <f>CV15+真實IC!CW15</f>
        <v>4.4076701102643279</v>
      </c>
      <c r="CX15" s="2">
        <f>CW15+真實IC!CX15</f>
        <v>4.4933804530314587</v>
      </c>
      <c r="CY15" s="2">
        <f>CX15+真實IC!CY15</f>
        <v>4.5615381429120232</v>
      </c>
      <c r="CZ15" s="2">
        <f>CY15+真實IC!CZ15</f>
        <v>4.5560810959313827</v>
      </c>
      <c r="DA15" s="2">
        <f>CZ15+真實IC!DA15</f>
        <v>4.6167029219528475</v>
      </c>
      <c r="DB15" s="2">
        <f>DA15+真實IC!DB15</f>
        <v>4.8350676142397759</v>
      </c>
      <c r="DC15" s="2">
        <f>DB15+真實IC!DC15</f>
        <v>4.8690166201522347</v>
      </c>
      <c r="DD15" s="2">
        <f>DC15+真實IC!DD15</f>
        <v>4.9360134242618967</v>
      </c>
      <c r="DE15" s="2">
        <f>DD15+真實IC!DE15</f>
        <v>5.013390044654205</v>
      </c>
      <c r="DF15" s="2">
        <f>DE15+真實IC!DF15</f>
        <v>5.000511162188527</v>
      </c>
      <c r="DG15" s="2">
        <f>DF15+真實IC!DG15</f>
        <v>5.0985204742708019</v>
      </c>
      <c r="DH15" s="2">
        <f>DG15+真實IC!DH15</f>
        <v>5.1000416398000272</v>
      </c>
      <c r="DI15" s="2">
        <f>DH15+真實IC!DI15</f>
        <v>5.0715731730949756</v>
      </c>
      <c r="DJ15" s="2">
        <f>DI15+真實IC!DJ15</f>
        <v>5.1343521423083658</v>
      </c>
      <c r="DK15" s="2">
        <f>DJ15+真實IC!DK15</f>
        <v>5.1138770480576099</v>
      </c>
      <c r="DL15" s="2">
        <f>DK15+真實IC!DL15</f>
        <v>5.1590514419587086</v>
      </c>
      <c r="DM15" s="2">
        <f>DL15+真實IC!DM15</f>
        <v>5.2114615142285832</v>
      </c>
      <c r="DN15" s="2">
        <f>DM15+真實IC!DN15</f>
        <v>5.32263604765767</v>
      </c>
      <c r="DO15" s="2">
        <f>DN15+真實IC!DO15</f>
        <v>5.3646717799957342</v>
      </c>
      <c r="DP15" s="2">
        <f>DO15+真實IC!DP15</f>
        <v>5.514539829683228</v>
      </c>
      <c r="DQ15" s="2">
        <f>DP15+真實IC!DQ15</f>
        <v>5.5405316001527538</v>
      </c>
      <c r="DR15" s="2">
        <f>DQ15+真實IC!DR15</f>
        <v>5.5845713749528194</v>
      </c>
      <c r="DS15" s="2">
        <f>DR15+真實IC!DS15</f>
        <v>5.61492974452129</v>
      </c>
      <c r="DT15" s="2">
        <f>DS15+真實IC!DT15</f>
        <v>5.6373852011658618</v>
      </c>
      <c r="DU15" s="2">
        <f>DT15+真實IC!DU15</f>
        <v>5.7930900838276775</v>
      </c>
      <c r="DV15" s="2">
        <f>DU15+真實IC!DV15</f>
        <v>5.8018990928896859</v>
      </c>
      <c r="DW15" s="2">
        <f>DV15+真實IC!DW15</f>
        <v>5.7857013902936991</v>
      </c>
      <c r="DX15" s="2">
        <f>DW15+真實IC!DX15</f>
        <v>5.8216055003663296</v>
      </c>
      <c r="DY15" s="2">
        <f>DX15+真實IC!DY15</f>
        <v>5.7418053046919981</v>
      </c>
      <c r="DZ15" s="2">
        <f>DY15+真實IC!DZ15</f>
        <v>5.7010462543024056</v>
      </c>
      <c r="EA15" s="2">
        <f>DZ15+真實IC!EA15</f>
        <v>5.6635765784269223</v>
      </c>
      <c r="EB15" s="2">
        <f>EA15+真實IC!EB15</f>
        <v>5.7769418319480117</v>
      </c>
      <c r="EC15" s="2">
        <f>EB15+真實IC!EC15</f>
        <v>5.6890471403567267</v>
      </c>
      <c r="ED15" s="2">
        <f>EC15+真實IC!ED15</f>
        <v>5.7846278086255118</v>
      </c>
      <c r="EE15" s="2">
        <f>ED15+真實IC!EE15</f>
        <v>5.8407186782988667</v>
      </c>
      <c r="EF15" s="2">
        <f>EE15+真實IC!EF15</f>
        <v>5.9482185647048951</v>
      </c>
      <c r="EG15" s="2">
        <f>EF15+真實IC!EG15</f>
        <v>6.2096673062838317</v>
      </c>
      <c r="EH15" s="2">
        <f>EG15+真實IC!EH15</f>
        <v>6.2330176595200859</v>
      </c>
      <c r="EI15" s="2">
        <f>EH15+真實IC!EI15</f>
        <v>6.2059193522445151</v>
      </c>
      <c r="EJ15" s="2">
        <f>EI15+真實IC!EJ15</f>
        <v>6.2168734208650278</v>
      </c>
      <c r="EK15" s="2">
        <f>EJ15+真實IC!EK15</f>
        <v>6.3309731176773756</v>
      </c>
      <c r="EL15" s="2">
        <f>EK15+真實IC!EL15</f>
        <v>6.3717434919176563</v>
      </c>
    </row>
    <row r="16" spans="1:142" x14ac:dyDescent="0.3">
      <c r="A16" s="11"/>
      <c r="B16" s="11">
        <v>120</v>
      </c>
      <c r="C16" s="2">
        <v>0.26072770983563209</v>
      </c>
      <c r="D16" s="2">
        <f>C16+真實IC!D16</f>
        <v>0.28530424371393659</v>
      </c>
      <c r="E16" s="2">
        <f>D16+真實IC!E16</f>
        <v>0.2840496038960359</v>
      </c>
      <c r="F16" s="2">
        <f>E16+真實IC!F16</f>
        <v>0.18250449650447498</v>
      </c>
      <c r="G16" s="2">
        <f>F16+真實IC!G16</f>
        <v>0.27085287861999258</v>
      </c>
      <c r="H16" s="2">
        <f>G16+真實IC!H16</f>
        <v>0.29671521895112124</v>
      </c>
      <c r="I16" s="2">
        <f>H16+真實IC!I16</f>
        <v>0.18067691338766556</v>
      </c>
      <c r="J16" s="2">
        <f>I16+真實IC!J16</f>
        <v>0.12832043237922186</v>
      </c>
      <c r="K16" s="2">
        <f>J16+真實IC!K16</f>
        <v>0.16383284726869843</v>
      </c>
      <c r="L16" s="2">
        <f>K16+真實IC!L16</f>
        <v>7.1326687251586779E-2</v>
      </c>
      <c r="M16" s="2">
        <f>L16+真實IC!M16</f>
        <v>0.12525277925055389</v>
      </c>
      <c r="N16" s="2">
        <f>M16+真實IC!N16</f>
        <v>0.21204377536787594</v>
      </c>
      <c r="O16" s="2">
        <f>N16+真實IC!O16</f>
        <v>0.18267182730573622</v>
      </c>
      <c r="P16" s="2">
        <f>O16+真實IC!P16</f>
        <v>0.22211736744515934</v>
      </c>
      <c r="Q16" s="2">
        <f>P16+真實IC!Q16</f>
        <v>0.21944109951412899</v>
      </c>
      <c r="R16" s="2">
        <f>Q16+真實IC!R16</f>
        <v>0.28733785415596991</v>
      </c>
      <c r="S16" s="2">
        <f>R16+真實IC!S16</f>
        <v>0.4835673166971392</v>
      </c>
      <c r="T16" s="2">
        <f>S16+真實IC!T16</f>
        <v>0.57779404285073199</v>
      </c>
      <c r="U16" s="2">
        <f>T16+真實IC!U16</f>
        <v>0.52317294116007984</v>
      </c>
      <c r="V16" s="2">
        <f>U16+真實IC!V16</f>
        <v>0.44787705893145296</v>
      </c>
      <c r="W16" s="2">
        <f>V16+真實IC!W16</f>
        <v>0.51062110165261698</v>
      </c>
      <c r="X16" s="2">
        <f>W16+真實IC!X16</f>
        <v>0.69403266424450816</v>
      </c>
      <c r="Y16" s="2">
        <f>X16+真實IC!Y16</f>
        <v>0.71026987987814694</v>
      </c>
      <c r="Z16" s="2">
        <f>Y16+真實IC!Z16</f>
        <v>0.75875840869280509</v>
      </c>
      <c r="AA16" s="2">
        <f>Z16+真實IC!AA16</f>
        <v>0.88790992983417105</v>
      </c>
      <c r="AB16" s="2">
        <f>AA16+真實IC!AB16</f>
        <v>0.85480409260854717</v>
      </c>
      <c r="AC16" s="2">
        <f>AB16+真實IC!AC16</f>
        <v>0.82971747046573618</v>
      </c>
      <c r="AD16" s="2">
        <f>AC16+真實IC!AD16</f>
        <v>0.8178339364971996</v>
      </c>
      <c r="AE16" s="2">
        <f>AD16+真實IC!AE16</f>
        <v>1.0122041100414967</v>
      </c>
      <c r="AF16" s="2">
        <f>AE16+真實IC!AF16</f>
        <v>1.1549052936536268</v>
      </c>
      <c r="AG16" s="2">
        <f>AF16+真實IC!AG16</f>
        <v>1.1575623501106165</v>
      </c>
      <c r="AH16" s="2">
        <f>AG16+真實IC!AH16</f>
        <v>1.0989853787176633</v>
      </c>
      <c r="AI16" s="2">
        <f>AH16+真實IC!AI16</f>
        <v>1.0738341642681315</v>
      </c>
      <c r="AJ16" s="2">
        <f>AI16+真實IC!AJ16</f>
        <v>1.1328765670139074</v>
      </c>
      <c r="AK16" s="2">
        <f>AJ16+真實IC!AK16</f>
        <v>1.1435540475918879</v>
      </c>
      <c r="AL16" s="2">
        <f>AK16+真實IC!AL16</f>
        <v>1.2246498868085756</v>
      </c>
      <c r="AM16" s="2">
        <f>AL16+真實IC!AM16</f>
        <v>1.1455738300893838</v>
      </c>
      <c r="AN16" s="2">
        <f>AM16+真實IC!AN16</f>
        <v>1.1656502189157263</v>
      </c>
      <c r="AO16" s="2">
        <f>AN16+真實IC!AO16</f>
        <v>1.2295789219709683</v>
      </c>
      <c r="AP16" s="2">
        <f>AO16+真實IC!AP16</f>
        <v>1.3069800709497315</v>
      </c>
      <c r="AQ16" s="2">
        <f>AP16+真實IC!AQ16</f>
        <v>1.2553250538009375</v>
      </c>
      <c r="AR16" s="2">
        <f>AQ16+真實IC!AR16</f>
        <v>1.2772781008283898</v>
      </c>
      <c r="AS16" s="2">
        <f>AR16+真實IC!AS16</f>
        <v>1.211558008980012</v>
      </c>
      <c r="AT16" s="2">
        <f>AS16+真實IC!AT16</f>
        <v>1.4328788460241024</v>
      </c>
      <c r="AU16" s="2">
        <f>AT16+真實IC!AU16</f>
        <v>1.5477136176162738</v>
      </c>
      <c r="AV16" s="2">
        <f>AU16+真實IC!AV16</f>
        <v>1.6371729023562795</v>
      </c>
      <c r="AW16" s="2">
        <f>AV16+真實IC!AW16</f>
        <v>1.7503526036264816</v>
      </c>
      <c r="AX16" s="2">
        <f>AW16+真實IC!AX16</f>
        <v>1.8639482005384296</v>
      </c>
      <c r="AY16" s="2">
        <f>AX16+真實IC!AY16</f>
        <v>1.8527800556799241</v>
      </c>
      <c r="AZ16" s="2">
        <f>AY16+真實IC!AZ16</f>
        <v>1.8709354539406986</v>
      </c>
      <c r="BA16" s="2">
        <f>AZ16+真實IC!BA16</f>
        <v>1.9500792619113714</v>
      </c>
      <c r="BB16" s="2">
        <f>BA16+真實IC!BB16</f>
        <v>2.1314438679531964</v>
      </c>
      <c r="BC16" s="2">
        <f>BB16+真實IC!BC16</f>
        <v>2.0866762622300579</v>
      </c>
      <c r="BD16" s="2">
        <f>BC16+真實IC!BD16</f>
        <v>2.0896669241377239</v>
      </c>
      <c r="BE16" s="2">
        <f>BD16+真實IC!BE16</f>
        <v>2.1454165088975037</v>
      </c>
      <c r="BF16" s="2">
        <f>BE16+真實IC!BF16</f>
        <v>2.2813206139208466</v>
      </c>
      <c r="BG16" s="2">
        <f>BF16+真實IC!BG16</f>
        <v>2.3850005295370367</v>
      </c>
      <c r="BH16" s="2">
        <f>BG16+真實IC!BH16</f>
        <v>2.5064732816445066</v>
      </c>
      <c r="BI16" s="2">
        <f>BH16+真實IC!BI16</f>
        <v>2.5468217161741924</v>
      </c>
      <c r="BJ16" s="2">
        <f>BI16+真實IC!BJ16</f>
        <v>2.5979867001054178</v>
      </c>
      <c r="BK16" s="2">
        <f>BJ16+真實IC!BK16</f>
        <v>2.7005359165272997</v>
      </c>
      <c r="BL16" s="2">
        <f>BK16+真實IC!BL16</f>
        <v>2.7699323150646435</v>
      </c>
      <c r="BM16" s="2">
        <f>BL16+真實IC!BM16</f>
        <v>2.8143939092485382</v>
      </c>
      <c r="BN16" s="2">
        <f>BM16+真實IC!BN16</f>
        <v>2.8925920273414447</v>
      </c>
      <c r="BO16" s="2">
        <f>BN16+真實IC!BO16</f>
        <v>2.922792746526889</v>
      </c>
      <c r="BP16" s="2">
        <f>BO16+真實IC!BP16</f>
        <v>2.9115612114992913</v>
      </c>
      <c r="BQ16" s="2">
        <f>BP16+真實IC!BQ16</f>
        <v>2.8496290537502773</v>
      </c>
      <c r="BR16" s="2">
        <f>BQ16+真實IC!BR16</f>
        <v>2.962772691752507</v>
      </c>
      <c r="BS16" s="2">
        <f>BR16+真實IC!BS16</f>
        <v>2.9548714525754503</v>
      </c>
      <c r="BT16" s="2">
        <f>BS16+真實IC!BT16</f>
        <v>2.9047118582684122</v>
      </c>
      <c r="BU16" s="2">
        <f>BT16+真實IC!BU16</f>
        <v>2.8898909156650343</v>
      </c>
      <c r="BV16" s="2">
        <f>BU16+真實IC!BV16</f>
        <v>2.9274692897616243</v>
      </c>
      <c r="BW16" s="2">
        <f>BV16+真實IC!BW16</f>
        <v>3.2641132311614207</v>
      </c>
      <c r="BX16" s="2">
        <f>BW16+真實IC!BX16</f>
        <v>3.1890377281611939</v>
      </c>
      <c r="BY16" s="2">
        <f>BX16+真實IC!BY16</f>
        <v>3.124260341518962</v>
      </c>
      <c r="BZ16" s="2">
        <f>BY16+真實IC!BZ16</f>
        <v>3.1390903913968327</v>
      </c>
      <c r="CA16" s="2">
        <f>BZ16+真實IC!CA16</f>
        <v>3.3105437149074035</v>
      </c>
      <c r="CB16" s="2">
        <f>CA16+真實IC!CB16</f>
        <v>3.2151882054893521</v>
      </c>
      <c r="CC16" s="2">
        <f>CB16+真實IC!CC16</f>
        <v>3.3334383651122614</v>
      </c>
      <c r="CD16" s="2">
        <f>CC16+真實IC!CD16</f>
        <v>3.3148927700080479</v>
      </c>
      <c r="CE16" s="2">
        <f>CD16+真實IC!CE16</f>
        <v>3.4462814447772225</v>
      </c>
      <c r="CF16" s="2">
        <f>CE16+真實IC!CF16</f>
        <v>3.5245878325319162</v>
      </c>
      <c r="CG16" s="2">
        <f>CF16+真實IC!CG16</f>
        <v>3.6405646518048611</v>
      </c>
      <c r="CH16" s="2">
        <f>CG16+真實IC!CH16</f>
        <v>3.7096825707857537</v>
      </c>
      <c r="CI16" s="2">
        <f>CH16+真實IC!CI16</f>
        <v>3.7892319227943805</v>
      </c>
      <c r="CJ16" s="2">
        <f>CI16+真實IC!CJ16</f>
        <v>3.8201873393798862</v>
      </c>
      <c r="CK16" s="2">
        <f>CJ16+真實IC!CK16</f>
        <v>3.9616572419312375</v>
      </c>
      <c r="CL16" s="2">
        <f>CK16+真實IC!CL16</f>
        <v>3.8996734091776473</v>
      </c>
      <c r="CM16" s="2">
        <f>CL16+真實IC!CM16</f>
        <v>3.8681702649399399</v>
      </c>
      <c r="CN16" s="2">
        <f>CM16+真實IC!CN16</f>
        <v>4.0399340787260645</v>
      </c>
      <c r="CO16" s="2">
        <f>CN16+真實IC!CO16</f>
        <v>4.2500896794810457</v>
      </c>
      <c r="CP16" s="2">
        <f>CO16+真實IC!CP16</f>
        <v>4.1696835365056382</v>
      </c>
      <c r="CQ16" s="2">
        <f>CP16+真實IC!CQ16</f>
        <v>4.2453435051298429</v>
      </c>
      <c r="CR16" s="2">
        <f>CQ16+真實IC!CR16</f>
        <v>4.3549267337149651</v>
      </c>
      <c r="CS16" s="2">
        <f>CR16+真實IC!CS16</f>
        <v>4.3649281337517243</v>
      </c>
      <c r="CT16" s="2">
        <f>CS16+真實IC!CT16</f>
        <v>4.3330638915034996</v>
      </c>
      <c r="CU16" s="2">
        <f>CT16+真實IC!CU16</f>
        <v>4.4923502046195649</v>
      </c>
      <c r="CV16" s="2">
        <f>CU16+真實IC!CV16</f>
        <v>4.624792536519001</v>
      </c>
      <c r="CW16" s="2">
        <f>CV16+真實IC!CW16</f>
        <v>4.6805930575650168</v>
      </c>
      <c r="CX16" s="2">
        <f>CW16+真實IC!CX16</f>
        <v>4.8066110168224334</v>
      </c>
      <c r="CY16" s="2">
        <f>CX16+真實IC!CY16</f>
        <v>4.8855471338383554</v>
      </c>
      <c r="CZ16" s="2">
        <f>CY16+真實IC!CZ16</f>
        <v>4.9121931018291596</v>
      </c>
      <c r="DA16" s="2">
        <f>CZ16+真實IC!DA16</f>
        <v>5.0058969358389858</v>
      </c>
      <c r="DB16" s="2">
        <f>DA16+真實IC!DB16</f>
        <v>5.2614474756948892</v>
      </c>
      <c r="DC16" s="2">
        <f>DB16+真實IC!DC16</f>
        <v>5.2955395465359327</v>
      </c>
      <c r="DD16" s="2">
        <f>DC16+真實IC!DD16</f>
        <v>5.3773028189428231</v>
      </c>
      <c r="DE16" s="2">
        <f>DD16+真實IC!DE16</f>
        <v>5.429752929620947</v>
      </c>
      <c r="DF16" s="2">
        <f>DE16+真實IC!DF16</f>
        <v>5.4101245518392229</v>
      </c>
      <c r="DG16" s="2">
        <f>DF16+真實IC!DG16</f>
        <v>5.4988273140794828</v>
      </c>
      <c r="DH16" s="2">
        <f>DG16+真實IC!DH16</f>
        <v>5.5044006032230754</v>
      </c>
      <c r="DI16" s="2">
        <f>DH16+真實IC!DI16</f>
        <v>5.4642539959092913</v>
      </c>
      <c r="DJ16" s="2">
        <f>DI16+真實IC!DJ16</f>
        <v>5.5237724522280693</v>
      </c>
      <c r="DK16" s="2">
        <f>DJ16+真實IC!DK16</f>
        <v>5.5202102549785179</v>
      </c>
      <c r="DL16" s="2">
        <f>DK16+真實IC!DL16</f>
        <v>5.5298371858509938</v>
      </c>
      <c r="DM16" s="2">
        <f>DL16+真實IC!DM16</f>
        <v>5.5804282486874985</v>
      </c>
      <c r="DN16" s="2">
        <f>DM16+真實IC!DN16</f>
        <v>5.6834287343998326</v>
      </c>
      <c r="DO16" s="2">
        <f>DN16+真實IC!DO16</f>
        <v>5.7388051748673519</v>
      </c>
      <c r="DP16" s="2">
        <f>DO16+真實IC!DP16</f>
        <v>5.8851731726183614</v>
      </c>
      <c r="DQ16" s="2">
        <f>DP16+真實IC!DQ16</f>
        <v>5.9100120682321817</v>
      </c>
      <c r="DR16" s="2">
        <f>DQ16+真實IC!DR16</f>
        <v>5.9501542334244357</v>
      </c>
      <c r="DS16" s="2">
        <f>DR16+真實IC!DS16</f>
        <v>5.9745284954768119</v>
      </c>
      <c r="DT16" s="2">
        <f>DS16+真實IC!DT16</f>
        <v>6.0334618309707793</v>
      </c>
      <c r="DU16" s="2">
        <f>DT16+真實IC!DU16</f>
        <v>6.2113751692964794</v>
      </c>
      <c r="DV16" s="2">
        <f>DU16+真實IC!DV16</f>
        <v>6.2149715750342649</v>
      </c>
      <c r="DW16" s="2">
        <f>DV16+真實IC!DW16</f>
        <v>6.1864267059568814</v>
      </c>
      <c r="DX16" s="2">
        <f>DW16+真實IC!DX16</f>
        <v>6.2138166163604023</v>
      </c>
      <c r="DY16" s="2">
        <f>DX16+真實IC!DY16</f>
        <v>6.1242349379144185</v>
      </c>
      <c r="DZ16" s="2">
        <f>DY16+真實IC!DZ16</f>
        <v>6.0862376926612809</v>
      </c>
      <c r="EA16" s="2">
        <f>DZ16+真實IC!EA16</f>
        <v>6.1015426356643783</v>
      </c>
      <c r="EB16" s="2">
        <f>EA16+真實IC!EB16</f>
        <v>6.2126411711038978</v>
      </c>
      <c r="EC16" s="2">
        <f>EB16+真實IC!EC16</f>
        <v>6.1169400850564815</v>
      </c>
      <c r="ED16" s="2">
        <f>EC16+真實IC!ED16</f>
        <v>6.2152093909122348</v>
      </c>
      <c r="EE16" s="2">
        <f>ED16+真實IC!EE16</f>
        <v>6.2737386170640947</v>
      </c>
      <c r="EF16" s="2">
        <f>EE16+真實IC!EF16</f>
        <v>6.3584684404194798</v>
      </c>
      <c r="EG16" s="2">
        <f>EF16+真實IC!EG16</f>
        <v>6.6395329349468044</v>
      </c>
      <c r="EH16" s="2">
        <f>EG16+真實IC!EH16</f>
        <v>6.6600668968832082</v>
      </c>
      <c r="EI16" s="2">
        <f>EH16+真實IC!EI16</f>
        <v>6.6297669228664855</v>
      </c>
      <c r="EJ16" s="2">
        <f>EI16+真實IC!EJ16</f>
        <v>6.6564513519421906</v>
      </c>
      <c r="EK16" s="2">
        <f>EJ16+真實IC!EK16</f>
        <v>6.7727502270504045</v>
      </c>
      <c r="EL16" s="2">
        <f>EK16+真實IC!EL16</f>
        <v>6.8063400515535806</v>
      </c>
    </row>
    <row r="17" spans="1:142" x14ac:dyDescent="0.3">
      <c r="A17" s="11"/>
      <c r="B17" s="11">
        <v>130</v>
      </c>
      <c r="C17" s="2">
        <v>0.2378970514581851</v>
      </c>
      <c r="D17" s="2">
        <f>C17+真實IC!D17</f>
        <v>0.28594129970356574</v>
      </c>
      <c r="E17" s="2">
        <f>D17+真實IC!E17</f>
        <v>0.30027890464160145</v>
      </c>
      <c r="F17" s="2">
        <f>E17+真實IC!F17</f>
        <v>0.15723425256134116</v>
      </c>
      <c r="G17" s="2">
        <f>F17+真實IC!G17</f>
        <v>0.24601593440201275</v>
      </c>
      <c r="H17" s="2">
        <f>G17+真實IC!H17</f>
        <v>0.27471265971166958</v>
      </c>
      <c r="I17" s="2">
        <f>H17+真實IC!I17</f>
        <v>0.15160528382927788</v>
      </c>
      <c r="J17" s="2">
        <f>I17+真實IC!J17</f>
        <v>0.10772410548430994</v>
      </c>
      <c r="K17" s="2">
        <f>J17+真實IC!K17</f>
        <v>0.15407615234746574</v>
      </c>
      <c r="L17" s="2">
        <f>K17+真實IC!L17</f>
        <v>8.0843964306130819E-2</v>
      </c>
      <c r="M17" s="2">
        <f>L17+真實IC!M17</f>
        <v>0.1360810695394141</v>
      </c>
      <c r="N17" s="2">
        <f>M17+真實IC!N17</f>
        <v>0.23355881622704425</v>
      </c>
      <c r="O17" s="2">
        <f>N17+真實IC!O17</f>
        <v>0.20949152190811141</v>
      </c>
      <c r="P17" s="2">
        <f>O17+真實IC!P17</f>
        <v>0.23147455392595909</v>
      </c>
      <c r="Q17" s="2">
        <f>P17+真實IC!Q17</f>
        <v>0.23937681842234748</v>
      </c>
      <c r="R17" s="2">
        <f>Q17+真實IC!R17</f>
        <v>0.31027636223992738</v>
      </c>
      <c r="S17" s="2">
        <f>R17+真實IC!S17</f>
        <v>0.55624196078615262</v>
      </c>
      <c r="T17" s="2">
        <f>S17+真實IC!T17</f>
        <v>0.65011868824264596</v>
      </c>
      <c r="U17" s="2">
        <f>T17+真實IC!U17</f>
        <v>0.60524012906488422</v>
      </c>
      <c r="V17" s="2">
        <f>U17+真實IC!V17</f>
        <v>0.53378084123235758</v>
      </c>
      <c r="W17" s="2">
        <f>V17+真實IC!W17</f>
        <v>0.61036253790904482</v>
      </c>
      <c r="X17" s="2">
        <f>W17+真實IC!X17</f>
        <v>0.78661499327172724</v>
      </c>
      <c r="Y17" s="2">
        <f>X17+真實IC!Y17</f>
        <v>0.78960763873861228</v>
      </c>
      <c r="Z17" s="2">
        <f>Y17+真實IC!Z17</f>
        <v>0.84643202077323898</v>
      </c>
      <c r="AA17" s="2">
        <f>Z17+真實IC!AA17</f>
        <v>1.0061149646644785</v>
      </c>
      <c r="AB17" s="2">
        <f>AA17+真實IC!AB17</f>
        <v>0.985399185808985</v>
      </c>
      <c r="AC17" s="2">
        <f>AB17+真實IC!AC17</f>
        <v>0.96759509967466717</v>
      </c>
      <c r="AD17" s="2">
        <f>AC17+真實IC!AD17</f>
        <v>0.95535715217418526</v>
      </c>
      <c r="AE17" s="2">
        <f>AD17+真實IC!AE17</f>
        <v>1.1301964017859583</v>
      </c>
      <c r="AF17" s="2">
        <f>AE17+真實IC!AF17</f>
        <v>1.3118135385456786</v>
      </c>
      <c r="AG17" s="2">
        <f>AF17+真實IC!AG17</f>
        <v>1.3130785617932501</v>
      </c>
      <c r="AH17" s="2">
        <f>AG17+真實IC!AH17</f>
        <v>1.2193100014447298</v>
      </c>
      <c r="AI17" s="2">
        <f>AH17+真實IC!AI17</f>
        <v>1.2181251053163686</v>
      </c>
      <c r="AJ17" s="2">
        <f>AI17+真實IC!AJ17</f>
        <v>1.3019724166711582</v>
      </c>
      <c r="AK17" s="2">
        <f>AJ17+真實IC!AK17</f>
        <v>1.3253794929793474</v>
      </c>
      <c r="AL17" s="2">
        <f>AK17+真實IC!AL17</f>
        <v>1.4116647396748458</v>
      </c>
      <c r="AM17" s="2">
        <f>AL17+真實IC!AM17</f>
        <v>1.2985268045306453</v>
      </c>
      <c r="AN17" s="2">
        <f>AM17+真實IC!AN17</f>
        <v>1.3109879652180501</v>
      </c>
      <c r="AO17" s="2">
        <f>AN17+真實IC!AO17</f>
        <v>1.3401380487314456</v>
      </c>
      <c r="AP17" s="2">
        <f>AO17+真實IC!AP17</f>
        <v>1.4406439018121346</v>
      </c>
      <c r="AQ17" s="2">
        <f>AP17+真實IC!AQ17</f>
        <v>1.4075466046564524</v>
      </c>
      <c r="AR17" s="2">
        <f>AQ17+真實IC!AR17</f>
        <v>1.4321467311484033</v>
      </c>
      <c r="AS17" s="2">
        <f>AR17+真實IC!AS17</f>
        <v>1.3460470580921133</v>
      </c>
      <c r="AT17" s="2">
        <f>AS17+真實IC!AT17</f>
        <v>1.613548789905515</v>
      </c>
      <c r="AU17" s="2">
        <f>AT17+真實IC!AU17</f>
        <v>1.7780607525312344</v>
      </c>
      <c r="AV17" s="2">
        <f>AU17+真實IC!AV17</f>
        <v>1.8347670573891552</v>
      </c>
      <c r="AW17" s="2">
        <f>AV17+真實IC!AW17</f>
        <v>1.9615675223913918</v>
      </c>
      <c r="AX17" s="2">
        <f>AW17+真實IC!AX17</f>
        <v>2.0575786051999345</v>
      </c>
      <c r="AY17" s="2">
        <f>AX17+真實IC!AY17</f>
        <v>2.0468122652771554</v>
      </c>
      <c r="AZ17" s="2">
        <f>AY17+真實IC!AZ17</f>
        <v>2.0268303421204559</v>
      </c>
      <c r="BA17" s="2">
        <f>AZ17+真實IC!BA17</f>
        <v>2.1360145863188844</v>
      </c>
      <c r="BB17" s="2">
        <f>BA17+真實IC!BB17</f>
        <v>2.3381580579704955</v>
      </c>
      <c r="BC17" s="2">
        <f>BB17+真實IC!BC17</f>
        <v>2.3395366202766783</v>
      </c>
      <c r="BD17" s="2">
        <f>BC17+真實IC!BD17</f>
        <v>2.3622019520088862</v>
      </c>
      <c r="BE17" s="2">
        <f>BD17+真實IC!BE17</f>
        <v>2.4413483806835465</v>
      </c>
      <c r="BF17" s="2">
        <f>BE17+真實IC!BF17</f>
        <v>2.5908268514136554</v>
      </c>
      <c r="BG17" s="2">
        <f>BF17+真實IC!BG17</f>
        <v>2.6799314666027216</v>
      </c>
      <c r="BH17" s="2">
        <f>BG17+真實IC!BH17</f>
        <v>2.8040581814046708</v>
      </c>
      <c r="BI17" s="2">
        <f>BH17+真實IC!BI17</f>
        <v>2.8285063903163619</v>
      </c>
      <c r="BJ17" s="2">
        <f>BI17+真實IC!BJ17</f>
        <v>2.9060921761586669</v>
      </c>
      <c r="BK17" s="2">
        <f>BJ17+真實IC!BK17</f>
        <v>3.0030083960459617</v>
      </c>
      <c r="BL17" s="2">
        <f>BK17+真實IC!BL17</f>
        <v>3.0464114923047392</v>
      </c>
      <c r="BM17" s="2">
        <f>BL17+真實IC!BM17</f>
        <v>3.0700972657083265</v>
      </c>
      <c r="BN17" s="2">
        <f>BM17+真實IC!BN17</f>
        <v>3.1289085218655988</v>
      </c>
      <c r="BO17" s="2">
        <f>BN17+真實IC!BO17</f>
        <v>3.1606464071589251</v>
      </c>
      <c r="BP17" s="2">
        <f>BO17+真實IC!BP17</f>
        <v>3.1472416517541526</v>
      </c>
      <c r="BQ17" s="2">
        <f>BP17+真實IC!BQ17</f>
        <v>3.0877171969704178</v>
      </c>
      <c r="BR17" s="2">
        <f>BQ17+真實IC!BR17</f>
        <v>3.21375853785722</v>
      </c>
      <c r="BS17" s="2">
        <f>BR17+真實IC!BS17</f>
        <v>3.2045260404670266</v>
      </c>
      <c r="BT17" s="2">
        <f>BS17+真實IC!BT17</f>
        <v>3.1773900589032955</v>
      </c>
      <c r="BU17" s="2">
        <f>BT17+真實IC!BU17</f>
        <v>3.1291755534602879</v>
      </c>
      <c r="BV17" s="2">
        <f>BU17+真實IC!BV17</f>
        <v>3.1950764871884503</v>
      </c>
      <c r="BW17" s="2">
        <f>BV17+真實IC!BW17</f>
        <v>3.5841058192758855</v>
      </c>
      <c r="BX17" s="2">
        <f>BW17+真實IC!BX17</f>
        <v>3.4859442060609624</v>
      </c>
      <c r="BY17" s="2">
        <f>BX17+真實IC!BY17</f>
        <v>3.4002160195611575</v>
      </c>
      <c r="BZ17" s="2">
        <f>BY17+真實IC!BZ17</f>
        <v>3.3658099054214672</v>
      </c>
      <c r="CA17" s="2">
        <f>BZ17+真實IC!CA17</f>
        <v>3.495062949976333</v>
      </c>
      <c r="CB17" s="2">
        <f>CA17+真實IC!CB17</f>
        <v>3.3943077347495145</v>
      </c>
      <c r="CC17" s="2">
        <f>CB17+真實IC!CC17</f>
        <v>3.5786278013071304</v>
      </c>
      <c r="CD17" s="2">
        <f>CC17+真實IC!CD17</f>
        <v>3.5803406318284368</v>
      </c>
      <c r="CE17" s="2">
        <f>CD17+真實IC!CE17</f>
        <v>3.7072565571882525</v>
      </c>
      <c r="CF17" s="2">
        <f>CE17+真實IC!CF17</f>
        <v>3.7762326849607515</v>
      </c>
      <c r="CG17" s="2">
        <f>CF17+真實IC!CG17</f>
        <v>3.8995029675382349</v>
      </c>
      <c r="CH17" s="2">
        <f>CG17+真實IC!CH17</f>
        <v>3.9452798389403378</v>
      </c>
      <c r="CI17" s="2">
        <f>CH17+真實IC!CI17</f>
        <v>4.0171466188072902</v>
      </c>
      <c r="CJ17" s="2">
        <f>CI17+真實IC!CJ17</f>
        <v>4.0348866640475238</v>
      </c>
      <c r="CK17" s="2">
        <f>CJ17+真實IC!CK17</f>
        <v>4.1779301340861377</v>
      </c>
      <c r="CL17" s="2">
        <f>CK17+真實IC!CL17</f>
        <v>4.0609094576341027</v>
      </c>
      <c r="CM17" s="2">
        <f>CL17+真實IC!CM17</f>
        <v>4.0743335759596677</v>
      </c>
      <c r="CN17" s="2">
        <f>CM17+真實IC!CN17</f>
        <v>4.2089453522504936</v>
      </c>
      <c r="CO17" s="2">
        <f>CN17+真實IC!CO17</f>
        <v>4.4261404478208952</v>
      </c>
      <c r="CP17" s="2">
        <f>CO17+真實IC!CP17</f>
        <v>4.3266875868650114</v>
      </c>
      <c r="CQ17" s="2">
        <f>CP17+真實IC!CQ17</f>
        <v>4.392840538102508</v>
      </c>
      <c r="CR17" s="2">
        <f>CQ17+真實IC!CR17</f>
        <v>4.4719551540073006</v>
      </c>
      <c r="CS17" s="2">
        <f>CR17+真實IC!CS17</f>
        <v>4.5046251512964268</v>
      </c>
      <c r="CT17" s="2">
        <f>CS17+真實IC!CT17</f>
        <v>4.4644698056970551</v>
      </c>
      <c r="CU17" s="2">
        <f>CT17+真實IC!CU17</f>
        <v>4.6191613529821067</v>
      </c>
      <c r="CV17" s="2">
        <f>CU17+真實IC!CV17</f>
        <v>4.7419565165213617</v>
      </c>
      <c r="CW17" s="2">
        <f>CV17+真實IC!CW17</f>
        <v>4.8115187560287458</v>
      </c>
      <c r="CX17" s="2">
        <f>CW17+真實IC!CX17</f>
        <v>4.9371834037752231</v>
      </c>
      <c r="CY17" s="2">
        <f>CX17+真實IC!CY17</f>
        <v>4.9833736146696213</v>
      </c>
      <c r="CZ17" s="2">
        <f>CY17+真實IC!CZ17</f>
        <v>5.0109693042879391</v>
      </c>
      <c r="DA17" s="2">
        <f>CZ17+真實IC!DA17</f>
        <v>5.0871040618769525</v>
      </c>
      <c r="DB17" s="2">
        <f>DA17+真實IC!DB17</f>
        <v>5.3986230629592971</v>
      </c>
      <c r="DC17" s="2">
        <f>DB17+真實IC!DC17</f>
        <v>5.4437140326023563</v>
      </c>
      <c r="DD17" s="2">
        <f>DC17+真實IC!DD17</f>
        <v>5.539719218894934</v>
      </c>
      <c r="DE17" s="2">
        <f>DD17+真實IC!DE17</f>
        <v>5.5603355358308297</v>
      </c>
      <c r="DF17" s="2">
        <f>DE17+真實IC!DF17</f>
        <v>5.5344265362157863</v>
      </c>
      <c r="DG17" s="2">
        <f>DF17+真實IC!DG17</f>
        <v>5.6318199443970709</v>
      </c>
      <c r="DH17" s="2">
        <f>DG17+真實IC!DH17</f>
        <v>5.659086570256239</v>
      </c>
      <c r="DI17" s="2">
        <f>DH17+真實IC!DI17</f>
        <v>5.6271748423246075</v>
      </c>
      <c r="DJ17" s="2">
        <f>DI17+真實IC!DJ17</f>
        <v>5.6933476660263471</v>
      </c>
      <c r="DK17" s="2">
        <f>DJ17+真實IC!DK17</f>
        <v>5.7009815147407448</v>
      </c>
      <c r="DL17" s="2">
        <f>DK17+真實IC!DL17</f>
        <v>5.7043591669040081</v>
      </c>
      <c r="DM17" s="2">
        <f>DL17+真實IC!DM17</f>
        <v>5.7930614626486205</v>
      </c>
      <c r="DN17" s="2">
        <f>DM17+真實IC!DN17</f>
        <v>5.9338543065904705</v>
      </c>
      <c r="DO17" s="2">
        <f>DN17+真實IC!DO17</f>
        <v>6.0090189966781331</v>
      </c>
      <c r="DP17" s="2">
        <f>DO17+真實IC!DP17</f>
        <v>6.1882761071729684</v>
      </c>
      <c r="DQ17" s="2">
        <f>DP17+真實IC!DQ17</f>
        <v>6.2359199443394431</v>
      </c>
      <c r="DR17" s="2">
        <f>DQ17+真實IC!DR17</f>
        <v>6.3036136415633388</v>
      </c>
      <c r="DS17" s="2">
        <f>DR17+真實IC!DS17</f>
        <v>6.3093809325224086</v>
      </c>
      <c r="DT17" s="2">
        <f>DS17+真實IC!DT17</f>
        <v>6.3861092856603445</v>
      </c>
      <c r="DU17" s="2">
        <f>DT17+真實IC!DU17</f>
        <v>6.5817532518620778</v>
      </c>
      <c r="DV17" s="2">
        <f>DU17+真實IC!DV17</f>
        <v>6.5795036876470974</v>
      </c>
      <c r="DW17" s="2">
        <f>DV17+真實IC!DW17</f>
        <v>6.5402318229044516</v>
      </c>
      <c r="DX17" s="2">
        <f>DW17+真實IC!DX17</f>
        <v>6.5614036993295608</v>
      </c>
      <c r="DY17" s="2">
        <f>DX17+真實IC!DY17</f>
        <v>6.4687879547325267</v>
      </c>
      <c r="DZ17" s="2">
        <f>DY17+真實IC!DZ17</f>
        <v>6.3945257496520043</v>
      </c>
      <c r="EA17" s="2">
        <f>DZ17+真實IC!EA17</f>
        <v>6.403921885612573</v>
      </c>
      <c r="EB17" s="2">
        <f>EA17+真實IC!EB17</f>
        <v>6.5248817056822395</v>
      </c>
      <c r="EC17" s="2">
        <f>EB17+真實IC!EC17</f>
        <v>6.404210029252237</v>
      </c>
      <c r="ED17" s="2">
        <f>EC17+真實IC!ED17</f>
        <v>6.4742479933461006</v>
      </c>
      <c r="EE17" s="2">
        <f>ED17+真實IC!EE17</f>
        <v>6.5406853409911951</v>
      </c>
      <c r="EF17" s="2">
        <f>EE17+真實IC!EF17</f>
        <v>6.6673451231894898</v>
      </c>
      <c r="EG17" s="2">
        <f>EF17+真實IC!EG17</f>
        <v>6.9594067283322056</v>
      </c>
      <c r="EH17" s="2">
        <f>EG17+真實IC!EH17</f>
        <v>6.975157811551826</v>
      </c>
      <c r="EI17" s="2">
        <f>EH17+真實IC!EI17</f>
        <v>6.9450034034237911</v>
      </c>
      <c r="EJ17" s="2">
        <f>EI17+真實IC!EJ17</f>
        <v>6.9743434766015495</v>
      </c>
      <c r="EK17" s="2">
        <f>EJ17+真實IC!EK17</f>
        <v>7.108233116333853</v>
      </c>
      <c r="EL17" s="2">
        <f>EK17+真實IC!EL17</f>
        <v>7.1005651279232005</v>
      </c>
    </row>
    <row r="18" spans="1:142" x14ac:dyDescent="0.3">
      <c r="A18" s="11"/>
      <c r="B18" s="11">
        <v>150</v>
      </c>
      <c r="C18" s="2">
        <v>0.24368728540115189</v>
      </c>
      <c r="D18" s="2">
        <f>C18+真實IC!D18</f>
        <v>0.30709658171659543</v>
      </c>
      <c r="E18" s="2">
        <f>D18+真實IC!E18</f>
        <v>0.2940479932319518</v>
      </c>
      <c r="F18" s="2">
        <f>E18+真實IC!F18</f>
        <v>0.13606491216415309</v>
      </c>
      <c r="G18" s="2">
        <f>F18+真實IC!G18</f>
        <v>0.21155557971742131</v>
      </c>
      <c r="H18" s="2">
        <f>G18+真實IC!H18</f>
        <v>0.23047357939942925</v>
      </c>
      <c r="I18" s="2">
        <f>H18+真實IC!I18</f>
        <v>7.5804306333614152E-2</v>
      </c>
      <c r="J18" s="2">
        <f>I18+真實IC!J18</f>
        <v>3.7075289395653473E-2</v>
      </c>
      <c r="K18" s="2">
        <f>J18+真實IC!K18</f>
        <v>9.8630366858553614E-2</v>
      </c>
      <c r="L18" s="2">
        <f>K18+真實IC!L18</f>
        <v>3.7919370490298254E-2</v>
      </c>
      <c r="M18" s="2">
        <f>L18+真實IC!M18</f>
        <v>9.1858256432850602E-2</v>
      </c>
      <c r="N18" s="2">
        <f>M18+真實IC!N18</f>
        <v>0.18581251738277438</v>
      </c>
      <c r="O18" s="2">
        <f>N18+真實IC!O18</f>
        <v>0.18529992822944333</v>
      </c>
      <c r="P18" s="2">
        <f>O18+真實IC!P18</f>
        <v>0.19558393622192285</v>
      </c>
      <c r="Q18" s="2">
        <f>P18+真實IC!Q18</f>
        <v>0.17595941259436942</v>
      </c>
      <c r="R18" s="2">
        <f>Q18+真實IC!R18</f>
        <v>0.25960876819563167</v>
      </c>
      <c r="S18" s="2">
        <f>R18+真實IC!S18</f>
        <v>0.54075198642055677</v>
      </c>
      <c r="T18" s="2">
        <f>S18+真實IC!T18</f>
        <v>0.62924798564755169</v>
      </c>
      <c r="U18" s="2">
        <f>T18+真實IC!U18</f>
        <v>0.49277130068283037</v>
      </c>
      <c r="V18" s="2">
        <f>U18+真實IC!V18</f>
        <v>0.42458937268004826</v>
      </c>
      <c r="W18" s="2">
        <f>V18+真實IC!W18</f>
        <v>0.51361963801458288</v>
      </c>
      <c r="X18" s="2">
        <f>W18+真實IC!X18</f>
        <v>0.73726999050015718</v>
      </c>
      <c r="Y18" s="2">
        <f>X18+真實IC!Y18</f>
        <v>0.72314565961907407</v>
      </c>
      <c r="Z18" s="2">
        <f>Y18+真實IC!Z18</f>
        <v>0.79025108642645669</v>
      </c>
      <c r="AA18" s="2">
        <f>Z18+真實IC!AA18</f>
        <v>0.93300795456479846</v>
      </c>
      <c r="AB18" s="2">
        <f>AA18+真實IC!AB18</f>
        <v>0.93836153398541877</v>
      </c>
      <c r="AC18" s="2">
        <f>AB18+真實IC!AC18</f>
        <v>0.9204172995601847</v>
      </c>
      <c r="AD18" s="2">
        <f>AC18+真實IC!AD18</f>
        <v>0.88207030564656019</v>
      </c>
      <c r="AE18" s="2">
        <f>AD18+真實IC!AE18</f>
        <v>1.0844029675716302</v>
      </c>
      <c r="AF18" s="2">
        <f>AE18+真實IC!AF18</f>
        <v>1.3179362540612982</v>
      </c>
      <c r="AG18" s="2">
        <f>AF18+真實IC!AG18</f>
        <v>1.3258563788491484</v>
      </c>
      <c r="AH18" s="2">
        <f>AG18+真實IC!AH18</f>
        <v>1.2389388041293328</v>
      </c>
      <c r="AI18" s="2">
        <f>AH18+真實IC!AI18</f>
        <v>1.2530657852286031</v>
      </c>
      <c r="AJ18" s="2">
        <f>AI18+真實IC!AJ18</f>
        <v>1.3292136367029883</v>
      </c>
      <c r="AK18" s="2">
        <f>AJ18+真實IC!AK18</f>
        <v>1.3570381234127027</v>
      </c>
      <c r="AL18" s="2">
        <f>AK18+真實IC!AL18</f>
        <v>1.4461231966183394</v>
      </c>
      <c r="AM18" s="2">
        <f>AL18+真實IC!AM18</f>
        <v>1.3465042175436654</v>
      </c>
      <c r="AN18" s="2">
        <f>AM18+真實IC!AN18</f>
        <v>1.394125527552486</v>
      </c>
      <c r="AO18" s="2">
        <f>AN18+真實IC!AO18</f>
        <v>1.4071977279013115</v>
      </c>
      <c r="AP18" s="2">
        <f>AO18+真實IC!AP18</f>
        <v>1.4827943482197674</v>
      </c>
      <c r="AQ18" s="2">
        <f>AP18+真實IC!AQ18</f>
        <v>1.4897630230543757</v>
      </c>
      <c r="AR18" s="2">
        <f>AQ18+真實IC!AR18</f>
        <v>1.5172729695056135</v>
      </c>
      <c r="AS18" s="2">
        <f>AR18+真實IC!AS18</f>
        <v>1.4822921130035622</v>
      </c>
      <c r="AT18" s="2">
        <f>AS18+真實IC!AT18</f>
        <v>1.7798457089177264</v>
      </c>
      <c r="AU18" s="2">
        <f>AT18+真實IC!AU18</f>
        <v>1.9529858165875995</v>
      </c>
      <c r="AV18" s="2">
        <f>AU18+真實IC!AV18</f>
        <v>1.9892741451148601</v>
      </c>
      <c r="AW18" s="2">
        <f>AV18+真實IC!AW18</f>
        <v>2.173631907314018</v>
      </c>
      <c r="AX18" s="2">
        <f>AW18+真實IC!AX18</f>
        <v>2.3121157673808077</v>
      </c>
      <c r="AY18" s="2">
        <f>AX18+真實IC!AY18</f>
        <v>2.3811012707294315</v>
      </c>
      <c r="AZ18" s="2">
        <f>AY18+真實IC!AZ18</f>
        <v>2.3543988571528831</v>
      </c>
      <c r="BA18" s="2">
        <f>AZ18+真實IC!BA18</f>
        <v>2.4113466352893331</v>
      </c>
      <c r="BB18" s="2">
        <f>BA18+真實IC!BB18</f>
        <v>2.6403758780238675</v>
      </c>
      <c r="BC18" s="2">
        <f>BB18+真實IC!BC18</f>
        <v>2.7722137180201871</v>
      </c>
      <c r="BD18" s="2">
        <f>BC18+真實IC!BD18</f>
        <v>2.7816675365180918</v>
      </c>
      <c r="BE18" s="2">
        <f>BD18+真實IC!BE18</f>
        <v>2.8576455065135278</v>
      </c>
      <c r="BF18" s="2">
        <f>BE18+真實IC!BF18</f>
        <v>3.0015184911998962</v>
      </c>
      <c r="BG18" s="2">
        <f>BF18+真實IC!BG18</f>
        <v>3.0648480403417717</v>
      </c>
      <c r="BH18" s="2">
        <f>BG18+真實IC!BH18</f>
        <v>3.1892347972112054</v>
      </c>
      <c r="BI18" s="2">
        <f>BH18+真實IC!BI18</f>
        <v>3.2274746223109818</v>
      </c>
      <c r="BJ18" s="2">
        <f>BI18+真實IC!BJ18</f>
        <v>3.2681064213074422</v>
      </c>
      <c r="BK18" s="2">
        <f>BJ18+真實IC!BK18</f>
        <v>3.3952904542050391</v>
      </c>
      <c r="BL18" s="2">
        <f>BK18+真實IC!BL18</f>
        <v>3.4544712506337318</v>
      </c>
      <c r="BM18" s="2">
        <f>BL18+真實IC!BM18</f>
        <v>3.501535983718338</v>
      </c>
      <c r="BN18" s="2">
        <f>BM18+真實IC!BN18</f>
        <v>3.5650191411434835</v>
      </c>
      <c r="BO18" s="2">
        <f>BN18+真實IC!BO18</f>
        <v>3.5745089778478296</v>
      </c>
      <c r="BP18" s="2">
        <f>BO18+真實IC!BP18</f>
        <v>3.5525937572152486</v>
      </c>
      <c r="BQ18" s="2">
        <f>BP18+真實IC!BQ18</f>
        <v>3.5079256920186066</v>
      </c>
      <c r="BR18" s="2">
        <f>BQ18+真實IC!BR18</f>
        <v>3.6177632367129426</v>
      </c>
      <c r="BS18" s="2">
        <f>BR18+真實IC!BS18</f>
        <v>3.6090120778937687</v>
      </c>
      <c r="BT18" s="2">
        <f>BS18+真實IC!BT18</f>
        <v>3.5795479087596069</v>
      </c>
      <c r="BU18" s="2">
        <f>BT18+真實IC!BU18</f>
        <v>3.5336813087171359</v>
      </c>
      <c r="BV18" s="2">
        <f>BU18+真實IC!BV18</f>
        <v>3.5241428484764743</v>
      </c>
      <c r="BW18" s="2">
        <f>BV18+真實IC!BW18</f>
        <v>3.9548266767934139</v>
      </c>
      <c r="BX18" s="2">
        <f>BW18+真實IC!BX18</f>
        <v>3.8306442572724246</v>
      </c>
      <c r="BY18" s="2">
        <f>BX18+真實IC!BY18</f>
        <v>3.6907399719579028</v>
      </c>
      <c r="BZ18" s="2">
        <f>BY18+真實IC!BZ18</f>
        <v>3.6098776036539801</v>
      </c>
      <c r="CA18" s="2">
        <f>BZ18+真實IC!CA18</f>
        <v>3.7697465476265051</v>
      </c>
      <c r="CB18" s="2">
        <f>CA18+真實IC!CB18</f>
        <v>3.6965413318408427</v>
      </c>
      <c r="CC18" s="2">
        <f>CB18+真實IC!CC18</f>
        <v>3.9165065792719096</v>
      </c>
      <c r="CD18" s="2">
        <f>CC18+真實IC!CD18</f>
        <v>3.9075283674993582</v>
      </c>
      <c r="CE18" s="2">
        <f>CD18+真實IC!CE18</f>
        <v>4.0147032542372179</v>
      </c>
      <c r="CF18" s="2">
        <f>CE18+真實IC!CF18</f>
        <v>4.0735817840683817</v>
      </c>
      <c r="CG18" s="2">
        <f>CF18+真實IC!CG18</f>
        <v>4.2442702615872925</v>
      </c>
      <c r="CH18" s="2">
        <f>CG18+真實IC!CH18</f>
        <v>4.2893425903336873</v>
      </c>
      <c r="CI18" s="2">
        <f>CH18+真實IC!CI18</f>
        <v>4.3374240195606539</v>
      </c>
      <c r="CJ18" s="2">
        <f>CI18+真實IC!CJ18</f>
        <v>4.3382513538944352</v>
      </c>
      <c r="CK18" s="2">
        <f>CJ18+真實IC!CK18</f>
        <v>4.4873575711944254</v>
      </c>
      <c r="CL18" s="2">
        <f>CK18+真實IC!CL18</f>
        <v>4.3704017696364765</v>
      </c>
      <c r="CM18" s="2">
        <f>CL18+真實IC!CM18</f>
        <v>4.3764593011039317</v>
      </c>
      <c r="CN18" s="2">
        <f>CM18+真實IC!CN18</f>
        <v>4.5451705013360497</v>
      </c>
      <c r="CO18" s="2">
        <f>CN18+真實IC!CO18</f>
        <v>4.7559726268074654</v>
      </c>
      <c r="CP18" s="2">
        <f>CO18+真實IC!CP18</f>
        <v>4.6433775612335726</v>
      </c>
      <c r="CQ18" s="2">
        <f>CP18+真實IC!CQ18</f>
        <v>4.6912684661321515</v>
      </c>
      <c r="CR18" s="2">
        <f>CQ18+真實IC!CR18</f>
        <v>4.7390828117250123</v>
      </c>
      <c r="CS18" s="2">
        <f>CR18+真實IC!CS18</f>
        <v>4.782307566823996</v>
      </c>
      <c r="CT18" s="2">
        <f>CS18+真實IC!CT18</f>
        <v>4.7448059219044181</v>
      </c>
      <c r="CU18" s="2">
        <f>CT18+真實IC!CU18</f>
        <v>4.9120404859094862</v>
      </c>
      <c r="CV18" s="2">
        <f>CU18+真實IC!CV18</f>
        <v>5.0178720587512542</v>
      </c>
      <c r="CW18" s="2">
        <f>CV18+真實IC!CW18</f>
        <v>5.099585544493384</v>
      </c>
      <c r="CX18" s="2">
        <f>CW18+真實IC!CX18</f>
        <v>5.1971254130466757</v>
      </c>
      <c r="CY18" s="2">
        <f>CX18+真實IC!CY18</f>
        <v>5.2622954594787554</v>
      </c>
      <c r="CZ18" s="2">
        <f>CY18+真實IC!CZ18</f>
        <v>5.327140316765302</v>
      </c>
      <c r="DA18" s="2">
        <f>CZ18+真實IC!DA18</f>
        <v>5.4321951402173498</v>
      </c>
      <c r="DB18" s="2">
        <f>DA18+真實IC!DB18</f>
        <v>5.7695493734763259</v>
      </c>
      <c r="DC18" s="2">
        <f>DB18+真實IC!DC18</f>
        <v>5.7845736505636198</v>
      </c>
      <c r="DD18" s="2">
        <f>DC18+真實IC!DD18</f>
        <v>5.8477078216919205</v>
      </c>
      <c r="DE18" s="2">
        <f>DD18+真實IC!DE18</f>
        <v>5.8878417284738651</v>
      </c>
      <c r="DF18" s="2">
        <f>DE18+真實IC!DF18</f>
        <v>5.839383323442128</v>
      </c>
      <c r="DG18" s="2">
        <f>DF18+真實IC!DG18</f>
        <v>5.9289807037883859</v>
      </c>
      <c r="DH18" s="2">
        <f>DG18+真實IC!DH18</f>
        <v>5.9574237659171505</v>
      </c>
      <c r="DI18" s="2">
        <f>DH18+真實IC!DI18</f>
        <v>5.9195368113243436</v>
      </c>
      <c r="DJ18" s="2">
        <f>DI18+真實IC!DJ18</f>
        <v>5.9855597868470891</v>
      </c>
      <c r="DK18" s="2">
        <f>DJ18+真實IC!DK18</f>
        <v>6.0209003521371525</v>
      </c>
      <c r="DL18" s="2">
        <f>DK18+真實IC!DL18</f>
        <v>6.0245197842659186</v>
      </c>
      <c r="DM18" s="2">
        <f>DL18+真實IC!DM18</f>
        <v>6.1078301642140103</v>
      </c>
      <c r="DN18" s="2">
        <f>DM18+真實IC!DN18</f>
        <v>6.2612961565705527</v>
      </c>
      <c r="DO18" s="2">
        <f>DN18+真實IC!DO18</f>
        <v>6.302825626302095</v>
      </c>
      <c r="DP18" s="2">
        <f>DO18+真實IC!DP18</f>
        <v>6.4959071306202585</v>
      </c>
      <c r="DQ18" s="2">
        <f>DP18+真實IC!DQ18</f>
        <v>6.5330735397303856</v>
      </c>
      <c r="DR18" s="2">
        <f>DQ18+真實IC!DR18</f>
        <v>6.5804341848080936</v>
      </c>
      <c r="DS18" s="2">
        <f>DR18+真實IC!DS18</f>
        <v>6.5773863846410459</v>
      </c>
      <c r="DT18" s="2">
        <f>DS18+真實IC!DT18</f>
        <v>6.6728949512735358</v>
      </c>
      <c r="DU18" s="2">
        <f>DT18+真實IC!DU18</f>
        <v>6.839888930062477</v>
      </c>
      <c r="DV18" s="2">
        <f>DU18+真實IC!DV18</f>
        <v>6.8562470221525098</v>
      </c>
      <c r="DW18" s="2">
        <f>DV18+真實IC!DW18</f>
        <v>6.8224079265582569</v>
      </c>
      <c r="DX18" s="2">
        <f>DW18+真實IC!DX18</f>
        <v>6.7763300077431756</v>
      </c>
      <c r="DY18" s="2">
        <f>DX18+真實IC!DY18</f>
        <v>6.64873238114291</v>
      </c>
      <c r="DZ18" s="2">
        <f>DY18+真實IC!DZ18</f>
        <v>6.5516763174299069</v>
      </c>
      <c r="EA18" s="2">
        <f>DZ18+真實IC!EA18</f>
        <v>6.5337306510637569</v>
      </c>
      <c r="EB18" s="2">
        <f>EA18+真實IC!EB18</f>
        <v>6.6428085384915825</v>
      </c>
      <c r="EC18" s="2">
        <f>EB18+真實IC!EC18</f>
        <v>6.5228907747714375</v>
      </c>
      <c r="ED18" s="2">
        <f>EC18+真實IC!ED18</f>
        <v>6.5626383664954622</v>
      </c>
      <c r="EE18" s="2">
        <f>ED18+真實IC!EE18</f>
        <v>6.6230206942571446</v>
      </c>
      <c r="EF18" s="2">
        <f>EE18+真實IC!EF18</f>
        <v>6.7244748028393806</v>
      </c>
      <c r="EG18" s="2">
        <f>EF18+真實IC!EG18</f>
        <v>7.0538315095050228</v>
      </c>
      <c r="EH18" s="2">
        <f>EG18+真實IC!EH18</f>
        <v>7.0708238964671111</v>
      </c>
      <c r="EI18" s="2">
        <f>EH18+真實IC!EI18</f>
        <v>7.0570310542403165</v>
      </c>
      <c r="EJ18" s="2">
        <f>EI18+真實IC!EJ18</f>
        <v>7.0849750904189115</v>
      </c>
      <c r="EK18" s="2">
        <f>EJ18+真實IC!EK18</f>
        <v>7.2271438670735213</v>
      </c>
      <c r="EL18" s="2">
        <f>EK18+真實IC!EL18</f>
        <v>7.2080346342492687</v>
      </c>
    </row>
    <row r="19" spans="1:142" x14ac:dyDescent="0.3">
      <c r="A19" s="11"/>
      <c r="B19" s="11">
        <v>180</v>
      </c>
      <c r="C19" s="2">
        <v>0.25825037374733928</v>
      </c>
      <c r="D19" s="2">
        <f>C19+真實IC!D19</f>
        <v>0.32657762750274316</v>
      </c>
      <c r="E19" s="2">
        <f>D19+真實IC!E19</f>
        <v>0.26955835927460964</v>
      </c>
      <c r="F19" s="2">
        <f>E19+真實IC!F19</f>
        <v>0.13382843056906965</v>
      </c>
      <c r="G19" s="2">
        <f>F19+真實IC!G19</f>
        <v>0.24664225729612743</v>
      </c>
      <c r="H19" s="2">
        <f>G19+真實IC!H19</f>
        <v>0.2827759015177902</v>
      </c>
      <c r="I19" s="2">
        <f>H19+真實IC!I19</f>
        <v>0.11385818736787709</v>
      </c>
      <c r="J19" s="2">
        <f>I19+真實IC!J19</f>
        <v>7.4242540384912514E-2</v>
      </c>
      <c r="K19" s="2">
        <f>J19+真實IC!K19</f>
        <v>0.20260567753049841</v>
      </c>
      <c r="L19" s="2">
        <f>K19+真實IC!L19</f>
        <v>0.15758023299032262</v>
      </c>
      <c r="M19" s="2">
        <f>L19+真實IC!M19</f>
        <v>0.21416738469230412</v>
      </c>
      <c r="N19" s="2">
        <f>M19+真實IC!N19</f>
        <v>0.30988602375244678</v>
      </c>
      <c r="O19" s="2">
        <f>N19+真實IC!O19</f>
        <v>0.36107593889419193</v>
      </c>
      <c r="P19" s="2">
        <f>O19+真實IC!P19</f>
        <v>0.3932444903058035</v>
      </c>
      <c r="Q19" s="2">
        <f>P19+真實IC!Q19</f>
        <v>0.34264158122851218</v>
      </c>
      <c r="R19" s="2">
        <f>Q19+真實IC!R19</f>
        <v>0.43540477668182642</v>
      </c>
      <c r="S19" s="2">
        <f>R19+真實IC!S19</f>
        <v>0.7599555851837847</v>
      </c>
      <c r="T19" s="2">
        <f>S19+真實IC!T19</f>
        <v>0.83066194835928142</v>
      </c>
      <c r="U19" s="2">
        <f>T19+真實IC!U19</f>
        <v>0.68391320743577888</v>
      </c>
      <c r="V19" s="2">
        <f>U19+真實IC!V19</f>
        <v>0.60711963370193189</v>
      </c>
      <c r="W19" s="2">
        <f>V19+真實IC!W19</f>
        <v>0.71938272734834641</v>
      </c>
      <c r="X19" s="2">
        <f>W19+真實IC!X19</f>
        <v>0.94740675594927315</v>
      </c>
      <c r="Y19" s="2">
        <f>X19+真實IC!Y19</f>
        <v>0.97238251386239904</v>
      </c>
      <c r="Z19" s="2">
        <f>Y19+真實IC!Z19</f>
        <v>1.0452535930034712</v>
      </c>
      <c r="AA19" s="2">
        <f>Z19+真實IC!AA19</f>
        <v>1.1476733651508382</v>
      </c>
      <c r="AB19" s="2">
        <f>AA19+真實IC!AB19</f>
        <v>1.1595665335979874</v>
      </c>
      <c r="AC19" s="2">
        <f>AB19+真實IC!AC19</f>
        <v>1.1500713932933648</v>
      </c>
      <c r="AD19" s="2">
        <f>AC19+真實IC!AD19</f>
        <v>1.1476063263183027</v>
      </c>
      <c r="AE19" s="2">
        <f>AD19+真實IC!AE19</f>
        <v>1.3843605047033292</v>
      </c>
      <c r="AF19" s="2">
        <f>AE19+真實IC!AF19</f>
        <v>1.6300604551658933</v>
      </c>
      <c r="AG19" s="2">
        <f>AF19+真實IC!AG19</f>
        <v>1.6596894491829941</v>
      </c>
      <c r="AH19" s="2">
        <f>AG19+真實IC!AH19</f>
        <v>1.5785868187776653</v>
      </c>
      <c r="AI19" s="2">
        <f>AH19+真實IC!AI19</f>
        <v>1.6101412550607124</v>
      </c>
      <c r="AJ19" s="2">
        <f>AI19+真實IC!AJ19</f>
        <v>1.7007464624543167</v>
      </c>
      <c r="AK19" s="2">
        <f>AJ19+真實IC!AK19</f>
        <v>1.7465031340208685</v>
      </c>
      <c r="AL19" s="2">
        <f>AK19+真實IC!AL19</f>
        <v>1.8382153303710591</v>
      </c>
      <c r="AM19" s="2">
        <f>AL19+真實IC!AM19</f>
        <v>1.7588850049005544</v>
      </c>
      <c r="AN19" s="2">
        <f>AM19+真實IC!AN19</f>
        <v>1.7874247453721401</v>
      </c>
      <c r="AO19" s="2">
        <f>AN19+真實IC!AO19</f>
        <v>1.8109458973585169</v>
      </c>
      <c r="AP19" s="2">
        <f>AO19+真實IC!AP19</f>
        <v>1.9150091728506768</v>
      </c>
      <c r="AQ19" s="2">
        <f>AP19+真實IC!AQ19</f>
        <v>1.9168135279565621</v>
      </c>
      <c r="AR19" s="2">
        <f>AQ19+真實IC!AR19</f>
        <v>1.946358617634945</v>
      </c>
      <c r="AS19" s="2">
        <f>AR19+真實IC!AS19</f>
        <v>1.8893333854900685</v>
      </c>
      <c r="AT19" s="2">
        <f>AS19+真實IC!AT19</f>
        <v>2.2193356103614579</v>
      </c>
      <c r="AU19" s="2">
        <f>AT19+真實IC!AU19</f>
        <v>2.4295355814103194</v>
      </c>
      <c r="AV19" s="2">
        <f>AU19+真實IC!AV19</f>
        <v>2.4704355000655718</v>
      </c>
      <c r="AW19" s="2">
        <f>AV19+真實IC!AW19</f>
        <v>2.6735968707734044</v>
      </c>
      <c r="AX19" s="2">
        <f>AW19+真實IC!AX19</f>
        <v>2.8542170768194959</v>
      </c>
      <c r="AY19" s="2">
        <f>AX19+真實IC!AY19</f>
        <v>2.8034618401713209</v>
      </c>
      <c r="AZ19" s="2">
        <f>AY19+真實IC!AZ19</f>
        <v>2.8746000057397043</v>
      </c>
      <c r="BA19" s="2">
        <f>AZ19+真實IC!BA19</f>
        <v>2.9484280212939016</v>
      </c>
      <c r="BB19" s="2">
        <f>BA19+真實IC!BB19</f>
        <v>3.2359846962167325</v>
      </c>
      <c r="BC19" s="2">
        <f>BB19+真實IC!BC19</f>
        <v>3.4053409492980227</v>
      </c>
      <c r="BD19" s="2">
        <f>BC19+真實IC!BD19</f>
        <v>3.4494496239094912</v>
      </c>
      <c r="BE19" s="2">
        <f>BD19+真實IC!BE19</f>
        <v>3.5305085127557585</v>
      </c>
      <c r="BF19" s="2">
        <f>BE19+真實IC!BF19</f>
        <v>3.6607748238740765</v>
      </c>
      <c r="BG19" s="2">
        <f>BF19+真實IC!BG19</f>
        <v>3.6456308091788308</v>
      </c>
      <c r="BH19" s="2">
        <f>BG19+真實IC!BH19</f>
        <v>3.775299536709142</v>
      </c>
      <c r="BI19" s="2">
        <f>BH19+真實IC!BI19</f>
        <v>3.837883500786532</v>
      </c>
      <c r="BJ19" s="2">
        <f>BI19+真實IC!BJ19</f>
        <v>3.8673248689526751</v>
      </c>
      <c r="BK19" s="2">
        <f>BJ19+真實IC!BK19</f>
        <v>3.9768572603053083</v>
      </c>
      <c r="BL19" s="2">
        <f>BK19+真實IC!BL19</f>
        <v>4.0439801955470589</v>
      </c>
      <c r="BM19" s="2">
        <f>BL19+真實IC!BM19</f>
        <v>4.0930909768889405</v>
      </c>
      <c r="BN19" s="2">
        <f>BM19+真實IC!BN19</f>
        <v>4.1413594758239354</v>
      </c>
      <c r="BO19" s="2">
        <f>BN19+真實IC!BO19</f>
        <v>4.1247964593854141</v>
      </c>
      <c r="BP19" s="2">
        <f>BO19+真實IC!BP19</f>
        <v>4.0848186078928457</v>
      </c>
      <c r="BQ19" s="2">
        <f>BP19+真實IC!BQ19</f>
        <v>4.0112670417492904</v>
      </c>
      <c r="BR19" s="2">
        <f>BQ19+真實IC!BR19</f>
        <v>4.134506576373715</v>
      </c>
      <c r="BS19" s="2">
        <f>BR19+真實IC!BS19</f>
        <v>4.1255395147935303</v>
      </c>
      <c r="BT19" s="2">
        <f>BS19+真實IC!BT19</f>
        <v>4.1030542405447097</v>
      </c>
      <c r="BU19" s="2">
        <f>BT19+真實IC!BU19</f>
        <v>4.0405609470421728</v>
      </c>
      <c r="BV19" s="2">
        <f>BU19+真實IC!BV19</f>
        <v>3.9909216866681896</v>
      </c>
      <c r="BW19" s="2">
        <f>BV19+真實IC!BW19</f>
        <v>4.3474319313649943</v>
      </c>
      <c r="BX19" s="2">
        <f>BW19+真實IC!BX19</f>
        <v>4.2617526552290297</v>
      </c>
      <c r="BY19" s="2">
        <f>BX19+真實IC!BY19</f>
        <v>4.1093786193409834</v>
      </c>
      <c r="BZ19" s="2">
        <f>BY19+真實IC!BZ19</f>
        <v>4.0395671068795229</v>
      </c>
      <c r="CA19" s="2">
        <f>BZ19+真實IC!CA19</f>
        <v>4.1122759845401262</v>
      </c>
      <c r="CB19" s="2">
        <f>CA19+真實IC!CB19</f>
        <v>4.0536151736780006</v>
      </c>
      <c r="CC19" s="2">
        <f>CB19+真實IC!CC19</f>
        <v>4.2953784647585591</v>
      </c>
      <c r="CD19" s="2">
        <f>CC19+真實IC!CD19</f>
        <v>4.3206217608296038</v>
      </c>
      <c r="CE19" s="2">
        <f>CD19+真實IC!CE19</f>
        <v>4.500728628918254</v>
      </c>
      <c r="CF19" s="2">
        <f>CE19+真實IC!CF19</f>
        <v>4.4799386958495271</v>
      </c>
      <c r="CG19" s="2">
        <f>CF19+真實IC!CG19</f>
        <v>4.6212351158334455</v>
      </c>
      <c r="CH19" s="2">
        <f>CG19+真實IC!CH19</f>
        <v>4.751582660764968</v>
      </c>
      <c r="CI19" s="2">
        <f>CH19+真實IC!CI19</f>
        <v>4.7561470829930359</v>
      </c>
      <c r="CJ19" s="2">
        <f>CI19+真實IC!CJ19</f>
        <v>4.7580199326674615</v>
      </c>
      <c r="CK19" s="2">
        <f>CJ19+真實IC!CK19</f>
        <v>4.9102579025988371</v>
      </c>
      <c r="CL19" s="2">
        <f>CK19+真實IC!CL19</f>
        <v>4.7470647559439207</v>
      </c>
      <c r="CM19" s="2">
        <f>CL19+真實IC!CM19</f>
        <v>4.7447622776424048</v>
      </c>
      <c r="CN19" s="2">
        <f>CM19+真實IC!CN19</f>
        <v>4.9483377248400897</v>
      </c>
      <c r="CO19" s="2">
        <f>CN19+真實IC!CO19</f>
        <v>5.1718531446132952</v>
      </c>
      <c r="CP19" s="2">
        <f>CO19+真實IC!CP19</f>
        <v>5.0534775902995062</v>
      </c>
      <c r="CQ19" s="2">
        <f>CP19+真實IC!CQ19</f>
        <v>5.0996066163683285</v>
      </c>
      <c r="CR19" s="2">
        <f>CQ19+真實IC!CR19</f>
        <v>5.2027338732690094</v>
      </c>
      <c r="CS19" s="2">
        <f>CR19+真實IC!CS19</f>
        <v>5.2577943380934862</v>
      </c>
      <c r="CT19" s="2">
        <f>CS19+真實IC!CT19</f>
        <v>5.265439505698664</v>
      </c>
      <c r="CU19" s="2">
        <f>CT19+真實IC!CU19</f>
        <v>5.4362122946699936</v>
      </c>
      <c r="CV19" s="2">
        <f>CU19+真實IC!CV19</f>
        <v>5.5707694655002848</v>
      </c>
      <c r="CW19" s="2">
        <f>CV19+真實IC!CW19</f>
        <v>5.6385005319583765</v>
      </c>
      <c r="CX19" s="2">
        <f>CW19+真實IC!CX19</f>
        <v>5.7420660485771222</v>
      </c>
      <c r="CY19" s="2">
        <f>CX19+真實IC!CY19</f>
        <v>5.8150572638671152</v>
      </c>
      <c r="CZ19" s="2">
        <f>CY19+真實IC!CZ19</f>
        <v>5.8330689147892514</v>
      </c>
      <c r="DA19" s="2">
        <f>CZ19+真實IC!DA19</f>
        <v>6.0214728393293768</v>
      </c>
      <c r="DB19" s="2">
        <f>DA19+真實IC!DB19</f>
        <v>6.3682264209661996</v>
      </c>
      <c r="DC19" s="2">
        <f>DB19+真實IC!DC19</f>
        <v>6.3804808024379636</v>
      </c>
      <c r="DD19" s="2">
        <f>DC19+真實IC!DD19</f>
        <v>6.4124885754699203</v>
      </c>
      <c r="DE19" s="2">
        <f>DD19+真實IC!DE19</f>
        <v>6.4989728027664126</v>
      </c>
      <c r="DF19" s="2">
        <f>DE19+真實IC!DF19</f>
        <v>6.4833484187329118</v>
      </c>
      <c r="DG19" s="2">
        <f>DF19+真實IC!DG19</f>
        <v>6.5990225200084014</v>
      </c>
      <c r="DH19" s="2">
        <f>DG19+真實IC!DH19</f>
        <v>6.5852537013361356</v>
      </c>
      <c r="DI19" s="2">
        <f>DH19+真實IC!DI19</f>
        <v>6.5243461058658108</v>
      </c>
      <c r="DJ19" s="2">
        <f>DI19+真實IC!DJ19</f>
        <v>6.5650064112599189</v>
      </c>
      <c r="DK19" s="2">
        <f>DJ19+真實IC!DK19</f>
        <v>6.605698832615098</v>
      </c>
      <c r="DL19" s="2">
        <f>DK19+真實IC!DL19</f>
        <v>6.6005091750118625</v>
      </c>
      <c r="DM19" s="2">
        <f>DL19+真實IC!DM19</f>
        <v>6.6433850681481141</v>
      </c>
      <c r="DN19" s="2">
        <f>DM19+真實IC!DN19</f>
        <v>6.8391294596312306</v>
      </c>
      <c r="DO19" s="2">
        <f>DN19+真實IC!DO19</f>
        <v>6.8781401111551128</v>
      </c>
      <c r="DP19" s="2">
        <f>DO19+真實IC!DP19</f>
        <v>7.0653618194819581</v>
      </c>
      <c r="DQ19" s="2">
        <f>DP19+真實IC!DQ19</f>
        <v>7.1158096128190786</v>
      </c>
      <c r="DR19" s="2">
        <f>DQ19+真實IC!DR19</f>
        <v>7.1996890872758676</v>
      </c>
      <c r="DS19" s="2">
        <f>DR19+真實IC!DS19</f>
        <v>7.1831287837544897</v>
      </c>
      <c r="DT19" s="2">
        <f>DS19+真實IC!DT19</f>
        <v>7.2570501025704468</v>
      </c>
      <c r="DU19" s="2">
        <f>DT19+真實IC!DU19</f>
        <v>7.4516064399197619</v>
      </c>
      <c r="DV19" s="2">
        <f>DU19+真實IC!DV19</f>
        <v>7.4600019593651119</v>
      </c>
      <c r="DW19" s="2">
        <f>DV19+真實IC!DW19</f>
        <v>7.4199344107222789</v>
      </c>
      <c r="DX19" s="2">
        <f>DW19+真實IC!DX19</f>
        <v>7.3470611905490264</v>
      </c>
      <c r="DY19" s="2">
        <f>DX19+真實IC!DY19</f>
        <v>7.2394681720165668</v>
      </c>
      <c r="DZ19" s="2">
        <f>DY19+真實IC!DZ19</f>
        <v>7.0825248043664049</v>
      </c>
      <c r="EA19" s="2">
        <f>DZ19+真實IC!EA19</f>
        <v>7.0902995449302875</v>
      </c>
      <c r="EB19" s="2">
        <f>EA19+真實IC!EB19</f>
        <v>7.2106176442798882</v>
      </c>
      <c r="EC19" s="2">
        <f>EB19+真實IC!EC19</f>
        <v>7.0773178161639549</v>
      </c>
      <c r="ED19" s="2">
        <f>EC19+真實IC!ED19</f>
        <v>7.110568996674985</v>
      </c>
      <c r="EE19" s="2">
        <f>ED19+真實IC!EE19</f>
        <v>7.1701718425828975</v>
      </c>
      <c r="EF19" s="2">
        <f>EE19+真實IC!EF19</f>
        <v>7.279140347314943</v>
      </c>
      <c r="EG19" s="2">
        <f>EF19+真實IC!EG19</f>
        <v>7.719581847742397</v>
      </c>
      <c r="EH19" s="2">
        <f>EG19+真實IC!EH19</f>
        <v>7.7072008439989519</v>
      </c>
      <c r="EI19" s="2">
        <f>EH19+真實IC!EI19</f>
        <v>7.7133154959774002</v>
      </c>
      <c r="EJ19" s="2">
        <f>EI19+真實IC!EJ19</f>
        <v>7.7541928015650576</v>
      </c>
      <c r="EK19" s="2">
        <f>EJ19+真實IC!EK19</f>
        <v>7.877895060679899</v>
      </c>
      <c r="EL19" s="2">
        <f>EK19+真實IC!EL19</f>
        <v>7.8781786483370251</v>
      </c>
    </row>
    <row r="20" spans="1:142" x14ac:dyDescent="0.3">
      <c r="A20" s="11"/>
      <c r="B20" s="11">
        <v>200</v>
      </c>
      <c r="C20" s="2">
        <v>0.241035745977561</v>
      </c>
      <c r="D20" s="2">
        <f>C20+真實IC!D20</f>
        <v>0.31441918588600964</v>
      </c>
      <c r="E20" s="2">
        <f>D20+真實IC!E20</f>
        <v>0.24609856856394358</v>
      </c>
      <c r="F20" s="2">
        <f>E20+真實IC!F20</f>
        <v>8.2097406127388778E-2</v>
      </c>
      <c r="G20" s="2">
        <f>F20+真實IC!G20</f>
        <v>0.21536457780097079</v>
      </c>
      <c r="H20" s="2">
        <f>G20+真實IC!H20</f>
        <v>0.23282645064391905</v>
      </c>
      <c r="I20" s="2">
        <f>H20+真實IC!I20</f>
        <v>5.3663036428818256E-2</v>
      </c>
      <c r="J20" s="2">
        <f>I20+真實IC!J20</f>
        <v>-2.3476783621891886E-2</v>
      </c>
      <c r="K20" s="2">
        <f>J20+真實IC!K20</f>
        <v>8.5530510412961919E-2</v>
      </c>
      <c r="L20" s="2">
        <f>K20+真實IC!L20</f>
        <v>2.2163796217237977E-2</v>
      </c>
      <c r="M20" s="2">
        <f>L20+真實IC!M20</f>
        <v>6.5971125523442614E-2</v>
      </c>
      <c r="N20" s="2">
        <f>M20+真實IC!N20</f>
        <v>0.21087116283061683</v>
      </c>
      <c r="O20" s="2">
        <f>N20+真實IC!O20</f>
        <v>0.25360518758840733</v>
      </c>
      <c r="P20" s="2">
        <f>O20+真實IC!P20</f>
        <v>0.30570243122429719</v>
      </c>
      <c r="Q20" s="2">
        <f>P20+真實IC!Q20</f>
        <v>0.27887148609400075</v>
      </c>
      <c r="R20" s="2">
        <f>Q20+真實IC!R20</f>
        <v>0.35551630222384945</v>
      </c>
      <c r="S20" s="2">
        <f>R20+真實IC!S20</f>
        <v>0.63298400909556807</v>
      </c>
      <c r="T20" s="2">
        <f>S20+真實IC!T20</f>
        <v>0.7254722510735091</v>
      </c>
      <c r="U20" s="2">
        <f>T20+真實IC!U20</f>
        <v>0.59285908016230227</v>
      </c>
      <c r="V20" s="2">
        <f>U20+真實IC!V20</f>
        <v>0.51997879579883677</v>
      </c>
      <c r="W20" s="2">
        <f>V20+真實IC!W20</f>
        <v>0.6865872850419823</v>
      </c>
      <c r="X20" s="2">
        <f>W20+真實IC!X20</f>
        <v>0.87948959548346772</v>
      </c>
      <c r="Y20" s="2">
        <f>X20+真實IC!Y20</f>
        <v>0.90406492421501161</v>
      </c>
      <c r="Z20" s="2">
        <f>Y20+真實IC!Z20</f>
        <v>1.0210238255247217</v>
      </c>
      <c r="AA20" s="2">
        <f>Z20+真實IC!AA20</f>
        <v>1.1164393544377493</v>
      </c>
      <c r="AB20" s="2">
        <f>AA20+真實IC!AB20</f>
        <v>1.166933578995871</v>
      </c>
      <c r="AC20" s="2">
        <f>AB20+真實IC!AC20</f>
        <v>1.2172897441155626</v>
      </c>
      <c r="AD20" s="2">
        <f>AC20+真實IC!AD20</f>
        <v>1.176554966396258</v>
      </c>
      <c r="AE20" s="2">
        <f>AD20+真實IC!AE20</f>
        <v>1.3184906289264204</v>
      </c>
      <c r="AF20" s="2">
        <f>AE20+真實IC!AF20</f>
        <v>1.5571746722675386</v>
      </c>
      <c r="AG20" s="2">
        <f>AF20+真實IC!AG20</f>
        <v>1.6575742826040336</v>
      </c>
      <c r="AH20" s="2">
        <f>AG20+真實IC!AH20</f>
        <v>1.6039587829466115</v>
      </c>
      <c r="AI20" s="2">
        <f>AH20+真實IC!AI20</f>
        <v>1.6345975319177322</v>
      </c>
      <c r="AJ20" s="2">
        <f>AI20+真實IC!AJ20</f>
        <v>1.7740485095326746</v>
      </c>
      <c r="AK20" s="2">
        <f>AJ20+真實IC!AK20</f>
        <v>1.7887786761654214</v>
      </c>
      <c r="AL20" s="2">
        <f>AK20+真實IC!AL20</f>
        <v>1.9079662355848586</v>
      </c>
      <c r="AM20" s="2">
        <f>AL20+真實IC!AM20</f>
        <v>1.842606805658253</v>
      </c>
      <c r="AN20" s="2">
        <f>AM20+真實IC!AN20</f>
        <v>1.8862447711856187</v>
      </c>
      <c r="AO20" s="2">
        <f>AN20+真實IC!AO20</f>
        <v>1.9195542733200246</v>
      </c>
      <c r="AP20" s="2">
        <f>AO20+真實IC!AP20</f>
        <v>2.0668263364995849</v>
      </c>
      <c r="AQ20" s="2">
        <f>AP20+真實IC!AQ20</f>
        <v>2.0441082929903218</v>
      </c>
      <c r="AR20" s="2">
        <f>AQ20+真實IC!AR20</f>
        <v>2.0420105007800986</v>
      </c>
      <c r="AS20" s="2">
        <f>AR20+真實IC!AS20</f>
        <v>1.9687641450917805</v>
      </c>
      <c r="AT20" s="2">
        <f>AS20+真實IC!AT20</f>
        <v>2.1718267357355527</v>
      </c>
      <c r="AU20" s="2">
        <f>AT20+真實IC!AU20</f>
        <v>2.3738657450289486</v>
      </c>
      <c r="AV20" s="2">
        <f>AU20+真實IC!AV20</f>
        <v>2.3999520681595943</v>
      </c>
      <c r="AW20" s="2">
        <f>AV20+真實IC!AW20</f>
        <v>2.6664486905509039</v>
      </c>
      <c r="AX20" s="2">
        <f>AW20+真實IC!AX20</f>
        <v>2.8454626385715724</v>
      </c>
      <c r="AY20" s="2">
        <f>AX20+真實IC!AY20</f>
        <v>2.7708352853678475</v>
      </c>
      <c r="AZ20" s="2">
        <f>AY20+真實IC!AZ20</f>
        <v>2.8655654932522294</v>
      </c>
      <c r="BA20" s="2">
        <f>AZ20+真實IC!BA20</f>
        <v>3.0544258623710432</v>
      </c>
      <c r="BB20" s="2">
        <f>BA20+真實IC!BB20</f>
        <v>3.3525521710459847</v>
      </c>
      <c r="BC20" s="2">
        <f>BB20+真實IC!BC20</f>
        <v>3.4472074252961806</v>
      </c>
      <c r="BD20" s="2">
        <f>BC20+真實IC!BD20</f>
        <v>3.5044559613484165</v>
      </c>
      <c r="BE20" s="2">
        <f>BD20+真實IC!BE20</f>
        <v>3.5586636415879989</v>
      </c>
      <c r="BF20" s="2">
        <f>BE20+真實IC!BF20</f>
        <v>3.7182368094228546</v>
      </c>
      <c r="BG20" s="2">
        <f>BF20+真實IC!BG20</f>
        <v>3.719532291913497</v>
      </c>
      <c r="BH20" s="2">
        <f>BG20+真實IC!BH20</f>
        <v>3.8105511520963606</v>
      </c>
      <c r="BI20" s="2">
        <f>BH20+真實IC!BI20</f>
        <v>3.899599109926208</v>
      </c>
      <c r="BJ20" s="2">
        <f>BI20+真實IC!BJ20</f>
        <v>3.9287389809915161</v>
      </c>
      <c r="BK20" s="2">
        <f>BJ20+真實IC!BK20</f>
        <v>3.9272042286372626</v>
      </c>
      <c r="BL20" s="2">
        <f>BK20+真實IC!BL20</f>
        <v>4.0018137523681609</v>
      </c>
      <c r="BM20" s="2">
        <f>BL20+真實IC!BM20</f>
        <v>4.058294615101075</v>
      </c>
      <c r="BN20" s="2">
        <f>BM20+真實IC!BN20</f>
        <v>4.1174894803536484</v>
      </c>
      <c r="BO20" s="2">
        <f>BN20+真實IC!BO20</f>
        <v>4.1222604757567094</v>
      </c>
      <c r="BP20" s="2">
        <f>BO20+真實IC!BP20</f>
        <v>4.0913154165642815</v>
      </c>
      <c r="BQ20" s="2">
        <f>BP20+真實IC!BQ20</f>
        <v>3.9974497702248017</v>
      </c>
      <c r="BR20" s="2">
        <f>BQ20+真實IC!BR20</f>
        <v>4.1555270479307156</v>
      </c>
      <c r="BS20" s="2">
        <f>BR20+真實IC!BS20</f>
        <v>4.1311624177869346</v>
      </c>
      <c r="BT20" s="2">
        <f>BS20+真實IC!BT20</f>
        <v>4.0951070129855038</v>
      </c>
      <c r="BU20" s="2">
        <f>BT20+真實IC!BU20</f>
        <v>4.0445511940766066</v>
      </c>
      <c r="BV20" s="2">
        <f>BU20+真實IC!BV20</f>
        <v>3.9871036388137338</v>
      </c>
      <c r="BW20" s="2">
        <f>BV20+真實IC!BW20</f>
        <v>4.4095294559192908</v>
      </c>
      <c r="BX20" s="2">
        <f>BW20+真實IC!BX20</f>
        <v>4.3798729136885788</v>
      </c>
      <c r="BY20" s="2">
        <f>BX20+真實IC!BY20</f>
        <v>4.2130390555166901</v>
      </c>
      <c r="BZ20" s="2">
        <f>BY20+真實IC!BZ20</f>
        <v>4.1616716199099768</v>
      </c>
      <c r="CA20" s="2">
        <f>BZ20+真實IC!CA20</f>
        <v>4.2495235189924863</v>
      </c>
      <c r="CB20" s="2">
        <f>CA20+真實IC!CB20</f>
        <v>4.2155767631365064</v>
      </c>
      <c r="CC20" s="2">
        <f>CB20+真實IC!CC20</f>
        <v>4.4826724970403715</v>
      </c>
      <c r="CD20" s="2">
        <f>CC20+真實IC!CD20</f>
        <v>4.4611543510505838</v>
      </c>
      <c r="CE20" s="2">
        <f>CD20+真實IC!CE20</f>
        <v>4.6697416134537324</v>
      </c>
      <c r="CF20" s="2">
        <f>CE20+真實IC!CF20</f>
        <v>4.6578755933461027</v>
      </c>
      <c r="CG20" s="2">
        <f>CF20+真實IC!CG20</f>
        <v>4.7895893471333801</v>
      </c>
      <c r="CH20" s="2">
        <f>CG20+真實IC!CH20</f>
        <v>4.9242976236772522</v>
      </c>
      <c r="CI20" s="2">
        <f>CH20+真實IC!CI20</f>
        <v>4.9248113987186963</v>
      </c>
      <c r="CJ20" s="2">
        <f>CI20+真實IC!CJ20</f>
        <v>4.8732554535305361</v>
      </c>
      <c r="CK20" s="2">
        <f>CJ20+真實IC!CK20</f>
        <v>4.9866483868286684</v>
      </c>
      <c r="CL20" s="2">
        <f>CK20+真實IC!CL20</f>
        <v>4.6978683208243135</v>
      </c>
      <c r="CM20" s="2">
        <f>CL20+真實IC!CM20</f>
        <v>4.6532806418111425</v>
      </c>
      <c r="CN20" s="2">
        <f>CM20+真實IC!CN20</f>
        <v>4.7573605518708089</v>
      </c>
      <c r="CO20" s="2">
        <f>CN20+真實IC!CO20</f>
        <v>5.0439938136830111</v>
      </c>
      <c r="CP20" s="2">
        <f>CO20+真實IC!CP20</f>
        <v>4.8794821541151077</v>
      </c>
      <c r="CQ20" s="2">
        <f>CP20+真實IC!CQ20</f>
        <v>4.924658798294125</v>
      </c>
      <c r="CR20" s="2">
        <f>CQ20+真實IC!CR20</f>
        <v>5.0406014036005677</v>
      </c>
      <c r="CS20" s="2">
        <f>CR20+真實IC!CS20</f>
        <v>5.075642151514085</v>
      </c>
      <c r="CT20" s="2">
        <f>CS20+真實IC!CT20</f>
        <v>5.1100061708424409</v>
      </c>
      <c r="CU20" s="2">
        <f>CT20+真實IC!CU20</f>
        <v>5.2719503381130028</v>
      </c>
      <c r="CV20" s="2">
        <f>CU20+真實IC!CV20</f>
        <v>5.4236399456612965</v>
      </c>
      <c r="CW20" s="2">
        <f>CV20+真實IC!CW20</f>
        <v>5.4772271375211581</v>
      </c>
      <c r="CX20" s="2">
        <f>CW20+真實IC!CX20</f>
        <v>5.5683993682005033</v>
      </c>
      <c r="CY20" s="2">
        <f>CX20+真實IC!CY20</f>
        <v>5.6585246613903548</v>
      </c>
      <c r="CZ20" s="2">
        <f>CY20+真實IC!CZ20</f>
        <v>5.6665252098968297</v>
      </c>
      <c r="DA20" s="2">
        <f>CZ20+真實IC!DA20</f>
        <v>5.9386091453678098</v>
      </c>
      <c r="DB20" s="2">
        <f>DA20+真實IC!DB20</f>
        <v>6.3475893659500402</v>
      </c>
      <c r="DC20" s="2">
        <f>DB20+真實IC!DC20</f>
        <v>6.4552026551584714</v>
      </c>
      <c r="DD20" s="2">
        <f>DC20+真實IC!DD20</f>
        <v>6.4897678172479747</v>
      </c>
      <c r="DE20" s="2">
        <f>DD20+真實IC!DE20</f>
        <v>6.557305321339487</v>
      </c>
      <c r="DF20" s="2">
        <f>DE20+真實IC!DF20</f>
        <v>6.5572690799017987</v>
      </c>
      <c r="DG20" s="2">
        <f>DF20+真實IC!DG20</f>
        <v>6.6976983306718196</v>
      </c>
      <c r="DH20" s="2">
        <f>DG20+真實IC!DH20</f>
        <v>6.6821778479726808</v>
      </c>
      <c r="DI20" s="2">
        <f>DH20+真實IC!DI20</f>
        <v>6.6546833071781313</v>
      </c>
      <c r="DJ20" s="2">
        <f>DI20+真實IC!DJ20</f>
        <v>6.6704109565783458</v>
      </c>
      <c r="DK20" s="2">
        <f>DJ20+真實IC!DK20</f>
        <v>6.6731397819647045</v>
      </c>
      <c r="DL20" s="2">
        <f>DK20+真實IC!DL20</f>
        <v>6.6786047315396555</v>
      </c>
      <c r="DM20" s="2">
        <f>DL20+真實IC!DM20</f>
        <v>6.7518935470628456</v>
      </c>
      <c r="DN20" s="2">
        <f>DM20+真實IC!DN20</f>
        <v>6.9787357887443102</v>
      </c>
      <c r="DO20" s="2">
        <f>DN20+真實IC!DO20</f>
        <v>6.9608806686498426</v>
      </c>
      <c r="DP20" s="2">
        <f>DO20+真實IC!DP20</f>
        <v>7.1309793886256108</v>
      </c>
      <c r="DQ20" s="2">
        <f>DP20+真實IC!DQ20</f>
        <v>7.172597510816022</v>
      </c>
      <c r="DR20" s="2">
        <f>DQ20+真實IC!DR20</f>
        <v>7.2471060425634768</v>
      </c>
      <c r="DS20" s="2">
        <f>DR20+真實IC!DS20</f>
        <v>7.2088708343155607</v>
      </c>
      <c r="DT20" s="2">
        <f>DS20+真實IC!DT20</f>
        <v>7.2769132214429257</v>
      </c>
      <c r="DU20" s="2">
        <f>DT20+真實IC!DU20</f>
        <v>7.5195690741933934</v>
      </c>
      <c r="DV20" s="2">
        <f>DU20+真實IC!DV20</f>
        <v>7.561357671484811</v>
      </c>
      <c r="DW20" s="2">
        <f>DV20+真實IC!DW20</f>
        <v>7.5119341998280609</v>
      </c>
      <c r="DX20" s="2">
        <f>DW20+真實IC!DX20</f>
        <v>7.3930352581053835</v>
      </c>
      <c r="DY20" s="2">
        <f>DX20+真實IC!DY20</f>
        <v>7.202436664899154</v>
      </c>
      <c r="DZ20" s="2">
        <f>DY20+真實IC!DZ20</f>
        <v>7.0092338660861042</v>
      </c>
      <c r="EA20" s="2">
        <f>DZ20+真實IC!EA20</f>
        <v>7.0112940487614095</v>
      </c>
      <c r="EB20" s="2">
        <f>EA20+真實IC!EB20</f>
        <v>7.1448876899517808</v>
      </c>
      <c r="EC20" s="2">
        <f>EB20+真實IC!EC20</f>
        <v>7.0030150441565588</v>
      </c>
      <c r="ED20" s="2">
        <f>EC20+真實IC!ED20</f>
        <v>7.0113117750260843</v>
      </c>
      <c r="EE20" s="2">
        <f>ED20+真實IC!EE20</f>
        <v>7.0395380405159012</v>
      </c>
      <c r="EF20" s="2">
        <f>EE20+真實IC!EF20</f>
        <v>7.1778851083219939</v>
      </c>
      <c r="EG20" s="2">
        <f>EF20+真實IC!EG20</f>
        <v>7.6313757899380299</v>
      </c>
      <c r="EH20" s="2">
        <f>EG20+真實IC!EH20</f>
        <v>7.6226073489137001</v>
      </c>
      <c r="EI20" s="2">
        <f>EH20+真實IC!EI20</f>
        <v>7.570865037184932</v>
      </c>
      <c r="EJ20" s="2">
        <f>EI20+真實IC!EJ20</f>
        <v>7.5985741122814563</v>
      </c>
      <c r="EK20" s="2">
        <f>EJ20+真實IC!EK20</f>
        <v>7.7451231349517711</v>
      </c>
      <c r="EL20" s="2">
        <f>EK20+真實IC!EL20</f>
        <v>7.764796852515607</v>
      </c>
    </row>
    <row r="21" spans="1:142" x14ac:dyDescent="0.3">
      <c r="A21" s="11"/>
      <c r="B21" s="11">
        <v>256</v>
      </c>
      <c r="C21" s="2">
        <v>0.2490064650579937</v>
      </c>
      <c r="D21" s="2">
        <f>C21+真實IC!D21</f>
        <v>0.31300478960469313</v>
      </c>
      <c r="E21" s="2">
        <f>D21+真實IC!E21</f>
        <v>0.32262064339727459</v>
      </c>
      <c r="F21" s="2">
        <f>E21+真實IC!F21</f>
        <v>0.1385820617911446</v>
      </c>
      <c r="G21" s="2">
        <f>F21+真實IC!G21</f>
        <v>0.20103766479891191</v>
      </c>
      <c r="H21" s="2">
        <f>G21+真實IC!H21</f>
        <v>0.1480925992518804</v>
      </c>
      <c r="I21" s="2">
        <f>H21+真實IC!I21</f>
        <v>-9.1230462925873612E-2</v>
      </c>
      <c r="J21" s="2">
        <f>I21+真實IC!J21</f>
        <v>-0.18179710217032044</v>
      </c>
      <c r="K21" s="2">
        <f>J21+真實IC!K21</f>
        <v>-0.12541127871762076</v>
      </c>
      <c r="L21" s="2">
        <f>K21+真實IC!L21</f>
        <v>-0.19841391316302262</v>
      </c>
      <c r="M21" s="2">
        <f>L21+真實IC!M21</f>
        <v>-0.22776403120847483</v>
      </c>
      <c r="N21" s="2">
        <f>M21+真實IC!N21</f>
        <v>-8.3561140785867322E-2</v>
      </c>
      <c r="O21" s="2">
        <f>N21+真實IC!O21</f>
        <v>-2.4706000673429665E-2</v>
      </c>
      <c r="P21" s="2">
        <f>O21+真實IC!P21</f>
        <v>6.3459605607084801E-2</v>
      </c>
      <c r="Q21" s="2">
        <f>P21+真實IC!Q21</f>
        <v>8.1203609211645808E-2</v>
      </c>
      <c r="R21" s="2">
        <f>Q21+真實IC!R21</f>
        <v>0.18542976256837312</v>
      </c>
      <c r="S21" s="2">
        <f>R21+真實IC!S21</f>
        <v>0.44011256507425345</v>
      </c>
      <c r="T21" s="2">
        <f>S21+真實IC!T21</f>
        <v>0.55583152270795799</v>
      </c>
      <c r="U21" s="2">
        <f>T21+真實IC!U21</f>
        <v>0.43485465755364172</v>
      </c>
      <c r="V21" s="2">
        <f>U21+真實IC!V21</f>
        <v>0.40635697151294714</v>
      </c>
      <c r="W21" s="2">
        <f>V21+真實IC!W21</f>
        <v>0.56941285133952402</v>
      </c>
      <c r="X21" s="2">
        <f>W21+真實IC!X21</f>
        <v>0.76324986646166726</v>
      </c>
      <c r="Y21" s="2">
        <f>X21+真實IC!Y21</f>
        <v>0.77638874873102492</v>
      </c>
      <c r="Z21" s="2">
        <f>Y21+真實IC!Z21</f>
        <v>0.90825260382416528</v>
      </c>
      <c r="AA21" s="2">
        <f>Z21+真實IC!AA21</f>
        <v>1.000360785424089</v>
      </c>
      <c r="AB21" s="2">
        <f>AA21+真實IC!AB21</f>
        <v>1.0920361621984442</v>
      </c>
      <c r="AC21" s="2">
        <f>AB21+真實IC!AC21</f>
        <v>1.1540340914608136</v>
      </c>
      <c r="AD21" s="2">
        <f>AC21+真實IC!AD21</f>
        <v>1.0809196669396985</v>
      </c>
      <c r="AE21" s="2">
        <f>AD21+真實IC!AE21</f>
        <v>1.2313536005467307</v>
      </c>
      <c r="AF21" s="2">
        <f>AE21+真實IC!AF21</f>
        <v>1.4741150976068682</v>
      </c>
      <c r="AG21" s="2">
        <f>AF21+真實IC!AG21</f>
        <v>1.5606600880010912</v>
      </c>
      <c r="AH21" s="2">
        <f>AG21+真實IC!AH21</f>
        <v>1.5347520821233527</v>
      </c>
      <c r="AI21" s="2">
        <f>AH21+真實IC!AI21</f>
        <v>1.5120331679981758</v>
      </c>
      <c r="AJ21" s="2">
        <f>AI21+真實IC!AJ21</f>
        <v>1.7390645617937568</v>
      </c>
      <c r="AK21" s="2">
        <f>AJ21+真實IC!AK21</f>
        <v>1.751927858583987</v>
      </c>
      <c r="AL21" s="2">
        <f>AK21+真實IC!AL21</f>
        <v>1.8643793663913395</v>
      </c>
      <c r="AM21" s="2">
        <f>AL21+真實IC!AM21</f>
        <v>1.918318775405504</v>
      </c>
      <c r="AN21" s="2">
        <f>AM21+真實IC!AN21</f>
        <v>1.8934263503924464</v>
      </c>
      <c r="AO21" s="2">
        <f>AN21+真實IC!AO21</f>
        <v>2.0737868382525293</v>
      </c>
      <c r="AP21" s="2">
        <f>AO21+真實IC!AP21</f>
        <v>2.2583220046929364</v>
      </c>
      <c r="AQ21" s="2">
        <f>AP21+真實IC!AQ21</f>
        <v>2.2117444385866394</v>
      </c>
      <c r="AR21" s="2">
        <f>AQ21+真實IC!AR21</f>
        <v>2.1735253422760761</v>
      </c>
      <c r="AS21" s="2">
        <f>AR21+真實IC!AS21</f>
        <v>2.0561080216174821</v>
      </c>
      <c r="AT21" s="2">
        <f>AS21+真實IC!AT21</f>
        <v>2.2672920913476355</v>
      </c>
      <c r="AU21" s="2">
        <f>AT21+真實IC!AU21</f>
        <v>2.5281893795759163</v>
      </c>
      <c r="AV21" s="2">
        <f>AU21+真實IC!AV21</f>
        <v>2.5420796417132872</v>
      </c>
      <c r="AW21" s="2">
        <f>AV21+真實IC!AW21</f>
        <v>2.82485289337601</v>
      </c>
      <c r="AX21" s="2">
        <f>AW21+真實IC!AX21</f>
        <v>2.9821642577945733</v>
      </c>
      <c r="AY21" s="2">
        <f>AX21+真實IC!AY21</f>
        <v>2.9135204882653292</v>
      </c>
      <c r="AZ21" s="2">
        <f>AY21+真實IC!AZ21</f>
        <v>3.0775682165139231</v>
      </c>
      <c r="BA21" s="2">
        <f>AZ21+真實IC!BA21</f>
        <v>3.1230155376878677</v>
      </c>
      <c r="BB21" s="2">
        <f>BA21+真實IC!BB21</f>
        <v>3.5363273649789</v>
      </c>
      <c r="BC21" s="2">
        <f>BB21+真實IC!BC21</f>
        <v>3.5970217823150858</v>
      </c>
      <c r="BD21" s="2">
        <f>BC21+真實IC!BD21</f>
        <v>3.7050121968344825</v>
      </c>
      <c r="BE21" s="2">
        <f>BD21+真實IC!BE21</f>
        <v>3.8417575527424468</v>
      </c>
      <c r="BF21" s="2">
        <f>BE21+真實IC!BF21</f>
        <v>4.0408747691730502</v>
      </c>
      <c r="BG21" s="2">
        <f>BF21+真實IC!BG21</f>
        <v>3.9472356603643641</v>
      </c>
      <c r="BH21" s="2">
        <f>BG21+真實IC!BH21</f>
        <v>4.122014855374565</v>
      </c>
      <c r="BI21" s="2">
        <f>BH21+真實IC!BI21</f>
        <v>4.1810699687720563</v>
      </c>
      <c r="BJ21" s="2">
        <f>BI21+真實IC!BJ21</f>
        <v>4.1833795589975526</v>
      </c>
      <c r="BK21" s="2">
        <f>BJ21+真實IC!BK21</f>
        <v>4.1785943901822771</v>
      </c>
      <c r="BL21" s="2">
        <f>BK21+真實IC!BL21</f>
        <v>4.2731026727645176</v>
      </c>
      <c r="BM21" s="2">
        <f>BL21+真實IC!BM21</f>
        <v>4.3138979587932385</v>
      </c>
      <c r="BN21" s="2">
        <f>BM21+真實IC!BN21</f>
        <v>4.4484858539569903</v>
      </c>
      <c r="BO21" s="2">
        <f>BN21+真實IC!BO21</f>
        <v>4.4812841961349319</v>
      </c>
      <c r="BP21" s="2">
        <f>BO21+真實IC!BP21</f>
        <v>4.4888753547208555</v>
      </c>
      <c r="BQ21" s="2">
        <f>BP21+真實IC!BQ21</f>
        <v>4.4178285116542879</v>
      </c>
      <c r="BR21" s="2">
        <f>BQ21+真實IC!BR21</f>
        <v>4.555191743971208</v>
      </c>
      <c r="BS21" s="2">
        <f>BR21+真實IC!BS21</f>
        <v>4.5254331512327139</v>
      </c>
      <c r="BT21" s="2">
        <f>BS21+真實IC!BT21</f>
        <v>4.5136690683392207</v>
      </c>
      <c r="BU21" s="2">
        <f>BT21+真實IC!BU21</f>
        <v>4.335876812734365</v>
      </c>
      <c r="BV21" s="2">
        <f>BU21+真實IC!BV21</f>
        <v>4.2537778505323969</v>
      </c>
      <c r="BW21" s="2">
        <f>BV21+真實IC!BW21</f>
        <v>4.7963875780255911</v>
      </c>
      <c r="BX21" s="2">
        <f>BW21+真實IC!BX21</f>
        <v>4.7472925040099794</v>
      </c>
      <c r="BY21" s="2">
        <f>BX21+真實IC!BY21</f>
        <v>4.6437354364386323</v>
      </c>
      <c r="BZ21" s="2">
        <f>BY21+真實IC!BZ21</f>
        <v>4.5796833308585407</v>
      </c>
      <c r="CA21" s="2">
        <f>BZ21+真實IC!CA21</f>
        <v>4.7293572242830892</v>
      </c>
      <c r="CB21" s="2">
        <f>CA21+真實IC!CB21</f>
        <v>4.7126866767132771</v>
      </c>
      <c r="CC21" s="2">
        <f>CB21+真實IC!CC21</f>
        <v>4.892005422743642</v>
      </c>
      <c r="CD21" s="2">
        <f>CC21+真實IC!CD21</f>
        <v>4.9467404924496821</v>
      </c>
      <c r="CE21" s="2">
        <f>CD21+真實IC!CE21</f>
        <v>5.0732553906424611</v>
      </c>
      <c r="CF21" s="2">
        <f>CE21+真實IC!CF21</f>
        <v>5.0896275012787688</v>
      </c>
      <c r="CG21" s="2">
        <f>CF21+真實IC!CG21</f>
        <v>5.2425002973507402</v>
      </c>
      <c r="CH21" s="2">
        <f>CG21+真實IC!CH21</f>
        <v>5.3694639160107691</v>
      </c>
      <c r="CI21" s="2">
        <f>CH21+真實IC!CI21</f>
        <v>5.3770258291505746</v>
      </c>
      <c r="CJ21" s="2">
        <f>CI21+真實IC!CJ21</f>
        <v>5.357364054984882</v>
      </c>
      <c r="CK21" s="2">
        <f>CJ21+真實IC!CK21</f>
        <v>5.5939953873406782</v>
      </c>
      <c r="CL21" s="2">
        <f>CK21+真實IC!CL21</f>
        <v>5.243797275407033</v>
      </c>
      <c r="CM21" s="2">
        <f>CL21+真實IC!CM21</f>
        <v>5.1370572794038045</v>
      </c>
      <c r="CN21" s="2">
        <f>CM21+真實IC!CN21</f>
        <v>5.3009085957566091</v>
      </c>
      <c r="CO21" s="2">
        <f>CN21+真實IC!CO21</f>
        <v>5.59816853407977</v>
      </c>
      <c r="CP21" s="2">
        <f>CO21+真實IC!CP21</f>
        <v>5.475958188515162</v>
      </c>
      <c r="CQ21" s="2">
        <f>CP21+真實IC!CQ21</f>
        <v>5.523030608990994</v>
      </c>
      <c r="CR21" s="2">
        <f>CQ21+真實IC!CR21</f>
        <v>5.642739153728213</v>
      </c>
      <c r="CS21" s="2">
        <f>CR21+真實IC!CS21</f>
        <v>5.6108757706245047</v>
      </c>
      <c r="CT21" s="2">
        <f>CS21+真實IC!CT21</f>
        <v>5.6623267715551329</v>
      </c>
      <c r="CU21" s="2">
        <f>CT21+真實IC!CU21</f>
        <v>5.8402635916212517</v>
      </c>
      <c r="CV21" s="2">
        <f>CU21+真實IC!CV21</f>
        <v>6.0406601502395301</v>
      </c>
      <c r="CW21" s="2">
        <f>CV21+真實IC!CW21</f>
        <v>6.0845017395516203</v>
      </c>
      <c r="CX21" s="2">
        <f>CW21+真實IC!CX21</f>
        <v>6.1222956426414914</v>
      </c>
      <c r="CY21" s="2">
        <f>CX21+真實IC!CY21</f>
        <v>6.2329459494557939</v>
      </c>
      <c r="CZ21" s="2">
        <f>CY21+真實IC!CZ21</f>
        <v>6.2240585902982009</v>
      </c>
      <c r="DA21" s="2">
        <f>CZ21+真實IC!DA21</f>
        <v>6.5518799008977648</v>
      </c>
      <c r="DB21" s="2">
        <f>DA21+真實IC!DB21</f>
        <v>7.0405244269296805</v>
      </c>
      <c r="DC21" s="2">
        <f>DB21+真實IC!DC21</f>
        <v>7.1270116698599821</v>
      </c>
      <c r="DD21" s="2">
        <f>DC21+真實IC!DD21</f>
        <v>7.1606828656578596</v>
      </c>
      <c r="DE21" s="2">
        <f>DD21+真實IC!DE21</f>
        <v>7.1928146430928868</v>
      </c>
      <c r="DF21" s="2">
        <f>DE21+真實IC!DF21</f>
        <v>7.2047139808183829</v>
      </c>
      <c r="DG21" s="2">
        <f>DF21+真實IC!DG21</f>
        <v>7.3329446044179711</v>
      </c>
      <c r="DH21" s="2">
        <f>DG21+真實IC!DH21</f>
        <v>7.3294733925047577</v>
      </c>
      <c r="DI21" s="2">
        <f>DH21+真實IC!DI21</f>
        <v>7.2755470978376877</v>
      </c>
      <c r="DJ21" s="2">
        <f>DI21+真實IC!DJ21</f>
        <v>7.2399481283771685</v>
      </c>
      <c r="DK21" s="2">
        <f>DJ21+真實IC!DK21</f>
        <v>7.2614934315268114</v>
      </c>
      <c r="DL21" s="2">
        <f>DK21+真實IC!DL21</f>
        <v>7.2834136201155379</v>
      </c>
      <c r="DM21" s="2">
        <f>DL21+真實IC!DM21</f>
        <v>7.3996661201672094</v>
      </c>
      <c r="DN21" s="2">
        <f>DM21+真實IC!DN21</f>
        <v>7.7215817997339977</v>
      </c>
      <c r="DO21" s="2">
        <f>DN21+真實IC!DO21</f>
        <v>7.7356482098892876</v>
      </c>
      <c r="DP21" s="2">
        <f>DO21+真實IC!DP21</f>
        <v>7.8505473189676227</v>
      </c>
      <c r="DQ21" s="2">
        <f>DP21+真實IC!DQ21</f>
        <v>7.9597556024451777</v>
      </c>
      <c r="DR21" s="2">
        <f>DQ21+真實IC!DR21</f>
        <v>8.0651420602072825</v>
      </c>
      <c r="DS21" s="2">
        <f>DR21+真實IC!DS21</f>
        <v>8.1719674419980599</v>
      </c>
      <c r="DT21" s="2">
        <f>DS21+真實IC!DT21</f>
        <v>8.1640735089842131</v>
      </c>
      <c r="DU21" s="2">
        <f>DT21+真實IC!DU21</f>
        <v>8.4849640931785526</v>
      </c>
      <c r="DV21" s="2">
        <f>DU21+真實IC!DV21</f>
        <v>8.5371132463769062</v>
      </c>
      <c r="DW21" s="2">
        <f>DV21+真實IC!DW21</f>
        <v>8.4169155899272852</v>
      </c>
      <c r="DX21" s="2">
        <f>DW21+真實IC!DX21</f>
        <v>8.3000867000525034</v>
      </c>
      <c r="DY21" s="2">
        <f>DX21+真實IC!DY21</f>
        <v>8.1799068670786319</v>
      </c>
      <c r="DZ21" s="2">
        <f>DY21+真實IC!DZ21</f>
        <v>7.9701422641922388</v>
      </c>
      <c r="EA21" s="2">
        <f>DZ21+真實IC!EA21</f>
        <v>7.9165184077413393</v>
      </c>
      <c r="EB21" s="2">
        <f>EA21+真實IC!EB21</f>
        <v>8.0055908006463774</v>
      </c>
      <c r="EC21" s="2">
        <f>EB21+真實IC!EC21</f>
        <v>7.8654967826941515</v>
      </c>
      <c r="ED21" s="2">
        <f>EC21+真實IC!ED21</f>
        <v>7.7075622600825344</v>
      </c>
      <c r="EE21" s="2">
        <f>ED21+真實IC!EE21</f>
        <v>7.7199794263947519</v>
      </c>
      <c r="EF21" s="2">
        <f>EE21+真實IC!EF21</f>
        <v>7.8913525485628169</v>
      </c>
      <c r="EG21" s="2">
        <f>EF21+真實IC!EG21</f>
        <v>8.4613759157149548</v>
      </c>
      <c r="EH21" s="2">
        <f>EG21+真實IC!EH21</f>
        <v>8.4349492460997588</v>
      </c>
      <c r="EI21" s="2">
        <f>EH21+真實IC!EI21</f>
        <v>8.2819764522704631</v>
      </c>
      <c r="EJ21" s="2">
        <f>EI21+真實IC!EJ21</f>
        <v>8.30512541953801</v>
      </c>
      <c r="EK21" s="2">
        <f>EJ21+真實IC!EK21</f>
        <v>8.4597124152953</v>
      </c>
      <c r="EL21" s="2">
        <f>EK21+真實IC!EL21</f>
        <v>8.5651344264517117</v>
      </c>
    </row>
    <row r="22" spans="1:142" x14ac:dyDescent="0.3">
      <c r="A22" s="11"/>
      <c r="B22" s="11">
        <v>400</v>
      </c>
      <c r="C22" s="2">
        <v>0.28886619116808843</v>
      </c>
      <c r="D22" s="2">
        <f>C22+真實IC!D22</f>
        <v>0.38649360031404928</v>
      </c>
      <c r="E22" s="2">
        <f>D22+真實IC!E22</f>
        <v>0.40872401257328739</v>
      </c>
      <c r="F22" s="2">
        <f>E22+真實IC!F22</f>
        <v>0.34089295165200983</v>
      </c>
      <c r="G22" s="2">
        <f>F22+真實IC!G22</f>
        <v>0.44477731494234396</v>
      </c>
      <c r="H22" s="2">
        <f>G22+真實IC!H22</f>
        <v>0.21497177045094337</v>
      </c>
      <c r="I22" s="2">
        <f>H22+真實IC!I22</f>
        <v>-3.9461132459506637E-2</v>
      </c>
      <c r="J22" s="2">
        <f>I22+真實IC!J22</f>
        <v>-0.15783941364179474</v>
      </c>
      <c r="K22" s="2">
        <f>J22+真實IC!K22</f>
        <v>-5.7178268191442644E-2</v>
      </c>
      <c r="L22" s="2">
        <f>K22+真實IC!L22</f>
        <v>-0.18612704106689854</v>
      </c>
      <c r="M22" s="2">
        <f>L22+真實IC!M22</f>
        <v>-0.20222342760215517</v>
      </c>
      <c r="N22" s="2">
        <f>M22+真實IC!N22</f>
        <v>-6.461847136435106E-2</v>
      </c>
      <c r="O22" s="2">
        <f>N22+真實IC!O22</f>
        <v>1.9547977229305485E-2</v>
      </c>
      <c r="P22" s="2">
        <f>O22+真實IC!P22</f>
        <v>0.10777028332764924</v>
      </c>
      <c r="Q22" s="2">
        <f>P22+真實IC!Q22</f>
        <v>0.14242742434908798</v>
      </c>
      <c r="R22" s="2">
        <f>Q22+真實IC!R22</f>
        <v>0.32881482092915981</v>
      </c>
      <c r="S22" s="2">
        <f>R22+真實IC!S22</f>
        <v>0.40165564744416371</v>
      </c>
      <c r="T22" s="2">
        <f>S22+真實IC!T22</f>
        <v>0.53751279701177479</v>
      </c>
      <c r="U22" s="2">
        <f>T22+真實IC!U22</f>
        <v>0.30919753680631923</v>
      </c>
      <c r="V22" s="2">
        <f>U22+真實IC!V22</f>
        <v>0.37046276403906014</v>
      </c>
      <c r="W22" s="2">
        <f>V22+真實IC!W22</f>
        <v>0.52670541762521461</v>
      </c>
      <c r="X22" s="2">
        <f>W22+真實IC!X22</f>
        <v>0.68455546928608368</v>
      </c>
      <c r="Y22" s="2">
        <f>X22+真實IC!Y22</f>
        <v>0.77777461206039811</v>
      </c>
      <c r="Z22" s="2">
        <f>Y22+真實IC!Z22</f>
        <v>0.90426264816679325</v>
      </c>
      <c r="AA22" s="2">
        <f>Z22+真實IC!AA22</f>
        <v>0.95677062001235269</v>
      </c>
      <c r="AB22" s="2">
        <f>AA22+真實IC!AB22</f>
        <v>1.1291518725445067</v>
      </c>
      <c r="AC22" s="2">
        <f>AB22+真實IC!AC22</f>
        <v>1.1903798264799659</v>
      </c>
      <c r="AD22" s="2">
        <f>AC22+真實IC!AD22</f>
        <v>1.1323839553876198</v>
      </c>
      <c r="AE22" s="2">
        <f>AD22+真實IC!AE22</f>
        <v>1.265638207051321</v>
      </c>
      <c r="AF22" s="2">
        <f>AE22+真實IC!AF22</f>
        <v>1.5380104569727506</v>
      </c>
      <c r="AG22" s="2">
        <f>AF22+真實IC!AG22</f>
        <v>1.6464756035529509</v>
      </c>
      <c r="AH22" s="2">
        <f>AG22+真實IC!AH22</f>
        <v>1.91827712855976</v>
      </c>
      <c r="AI22" s="2">
        <f>AH22+真實IC!AI22</f>
        <v>1.9387767365348583</v>
      </c>
      <c r="AJ22" s="2">
        <f>AI22+真實IC!AJ22</f>
        <v>1.9473218537721859</v>
      </c>
      <c r="AK22" s="2">
        <f>AJ22+真實IC!AK22</f>
        <v>1.9272008859175731</v>
      </c>
      <c r="AL22" s="2">
        <f>AK22+真實IC!AL22</f>
        <v>2.1130452661826524</v>
      </c>
      <c r="AM22" s="2">
        <f>AL22+真實IC!AM22</f>
        <v>2.1953694846508465</v>
      </c>
      <c r="AN22" s="2">
        <f>AM22+真實IC!AN22</f>
        <v>2.1609881121244046</v>
      </c>
      <c r="AO22" s="2">
        <f>AN22+真實IC!AO22</f>
        <v>2.3970902657295823</v>
      </c>
      <c r="AP22" s="2">
        <f>AO22+真實IC!AP22</f>
        <v>2.6259215638563789</v>
      </c>
      <c r="AQ22" s="2">
        <f>AP22+真實IC!AQ22</f>
        <v>2.4468591697733957</v>
      </c>
      <c r="AR22" s="2">
        <f>AQ22+真實IC!AR22</f>
        <v>2.3220955604338056</v>
      </c>
      <c r="AS22" s="2">
        <f>AR22+真實IC!AS22</f>
        <v>2.2999250783215248</v>
      </c>
      <c r="AT22" s="2">
        <f>AS22+真實IC!AT22</f>
        <v>2.4135294231810338</v>
      </c>
      <c r="AU22" s="2">
        <f>AT22+真實IC!AU22</f>
        <v>2.6818532886731217</v>
      </c>
      <c r="AV22" s="2">
        <f>AU22+真實IC!AV22</f>
        <v>2.7610565173438779</v>
      </c>
      <c r="AW22" s="2">
        <f>AV22+真實IC!AW22</f>
        <v>3.1779510860633531</v>
      </c>
      <c r="AX22" s="2">
        <f>AW22+真實IC!AX22</f>
        <v>3.1302132450918725</v>
      </c>
      <c r="AY22" s="2">
        <f>AX22+真實IC!AY22</f>
        <v>3.089198062431477</v>
      </c>
      <c r="AZ22" s="2">
        <f>AY22+真實IC!AZ22</f>
        <v>3.2910992180333496</v>
      </c>
      <c r="BA22" s="2">
        <f>AZ22+真實IC!BA22</f>
        <v>3.3715675821344364</v>
      </c>
      <c r="BB22" s="2">
        <f>BA22+真實IC!BB22</f>
        <v>3.8617348555255981</v>
      </c>
      <c r="BC22" s="2">
        <f>BB22+真實IC!BC22</f>
        <v>3.9338643361470904</v>
      </c>
      <c r="BD22" s="2">
        <f>BC22+真實IC!BD22</f>
        <v>4.0202266534306599</v>
      </c>
      <c r="BE22" s="2">
        <f>BD22+真實IC!BE22</f>
        <v>4.1482945373963203</v>
      </c>
      <c r="BF22" s="2">
        <f>BE22+真實IC!BF22</f>
        <v>4.3473969859447585</v>
      </c>
      <c r="BG22" s="2">
        <f>BF22+真實IC!BG22</f>
        <v>4.2044266345708925</v>
      </c>
      <c r="BH22" s="2">
        <f>BG22+真實IC!BH22</f>
        <v>4.3321336439673086</v>
      </c>
      <c r="BI22" s="2">
        <f>BH22+真實IC!BI22</f>
        <v>4.3145928489347156</v>
      </c>
      <c r="BJ22" s="2">
        <f>BI22+真實IC!BJ22</f>
        <v>4.3853074136565668</v>
      </c>
      <c r="BK22" s="2">
        <f>BJ22+真實IC!BK22</f>
        <v>4.3894598630769766</v>
      </c>
      <c r="BL22" s="2">
        <f>BK22+真實IC!BL22</f>
        <v>4.5071168124404037</v>
      </c>
      <c r="BM22" s="2">
        <f>BL22+真實IC!BM22</f>
        <v>4.5095472956859366</v>
      </c>
      <c r="BN22" s="2">
        <f>BM22+真實IC!BN22</f>
        <v>4.481028489221961</v>
      </c>
      <c r="BO22" s="2">
        <f>BN22+真實IC!BO22</f>
        <v>4.4955864861203638</v>
      </c>
      <c r="BP22" s="2">
        <f>BO22+真實IC!BP22</f>
        <v>4.5401277695704492</v>
      </c>
      <c r="BQ22" s="2">
        <f>BP22+真實IC!BQ22</f>
        <v>4.4853850838413525</v>
      </c>
      <c r="BR22" s="2">
        <f>BQ22+真實IC!BR22</f>
        <v>4.6323417876620958</v>
      </c>
      <c r="BS22" s="2">
        <f>BR22+真實IC!BS22</f>
        <v>4.6764202106607806</v>
      </c>
      <c r="BT22" s="2">
        <f>BS22+真實IC!BT22</f>
        <v>4.7520736299158557</v>
      </c>
      <c r="BU22" s="2">
        <f>BT22+真實IC!BU22</f>
        <v>4.6197212938957852</v>
      </c>
      <c r="BV22" s="2">
        <f>BU22+真實IC!BV22</f>
        <v>4.5724548293838794</v>
      </c>
      <c r="BW22" s="2">
        <f>BV22+真實IC!BW22</f>
        <v>4.8830204927052208</v>
      </c>
      <c r="BX22" s="2">
        <f>BW22+真實IC!BX22</f>
        <v>4.7972958947023399</v>
      </c>
      <c r="BY22" s="2">
        <f>BX22+真實IC!BY22</f>
        <v>4.5871542159435199</v>
      </c>
      <c r="BZ22" s="2">
        <f>BY22+真實IC!BZ22</f>
        <v>4.4553189212900453</v>
      </c>
      <c r="CA22" s="2">
        <f>BZ22+真實IC!CA22</f>
        <v>4.7082936004780747</v>
      </c>
      <c r="CB22" s="2">
        <f>CA22+真實IC!CB22</f>
        <v>4.7193514978636415</v>
      </c>
      <c r="CC22" s="2">
        <f>CB22+真實IC!CC22</f>
        <v>4.9947963172870713</v>
      </c>
      <c r="CD22" s="2">
        <f>CC22+真實IC!CD22</f>
        <v>4.8790269909669712</v>
      </c>
      <c r="CE22" s="2">
        <f>CD22+真實IC!CE22</f>
        <v>5.036319862591804</v>
      </c>
      <c r="CF22" s="2">
        <f>CE22+真實IC!CF22</f>
        <v>5.0664465173438842</v>
      </c>
      <c r="CG22" s="2">
        <f>CF22+真實IC!CG22</f>
        <v>5.3903696007896578</v>
      </c>
      <c r="CH22" s="2">
        <f>CG22+真實IC!CH22</f>
        <v>5.4857588988350949</v>
      </c>
      <c r="CI22" s="2">
        <f>CH22+真實IC!CI22</f>
        <v>5.521372257978781</v>
      </c>
      <c r="CJ22" s="2">
        <f>CI22+真實IC!CJ22</f>
        <v>5.5108315386394793</v>
      </c>
      <c r="CK22" s="2">
        <f>CJ22+真實IC!CK22</f>
        <v>5.6872707467893244</v>
      </c>
      <c r="CL22" s="2">
        <f>CK22+真實IC!CL22</f>
        <v>5.2292134873384049</v>
      </c>
      <c r="CM22" s="2">
        <f>CL22+真實IC!CM22</f>
        <v>5.0971396660999302</v>
      </c>
      <c r="CN22" s="2">
        <f>CM22+真實IC!CN22</f>
        <v>5.2792967912100464</v>
      </c>
      <c r="CO22" s="2">
        <f>CN22+真實IC!CO22</f>
        <v>5.6821156346962081</v>
      </c>
      <c r="CP22" s="2">
        <f>CO22+真實IC!CP22</f>
        <v>5.4635863344673279</v>
      </c>
      <c r="CQ22" s="2">
        <f>CP22+真實IC!CQ22</f>
        <v>5.5557522428756227</v>
      </c>
      <c r="CR22" s="2">
        <f>CQ22+真實IC!CR22</f>
        <v>5.6620833165128142</v>
      </c>
      <c r="CS22" s="2">
        <f>CR22+真實IC!CS22</f>
        <v>5.5938472495213416</v>
      </c>
      <c r="CT22" s="2">
        <f>CS22+真實IC!CT22</f>
        <v>5.5989345048754293</v>
      </c>
      <c r="CU22" s="2">
        <f>CT22+真實IC!CU22</f>
        <v>5.7916486797266886</v>
      </c>
      <c r="CV22" s="2">
        <f>CU22+真實IC!CV22</f>
        <v>6.0279294925562086</v>
      </c>
      <c r="CW22" s="2">
        <f>CV22+真實IC!CW22</f>
        <v>6.017702946259762</v>
      </c>
      <c r="CX22" s="2">
        <f>CW22+真實IC!CX22</f>
        <v>6.0713713843584323</v>
      </c>
      <c r="CY22" s="2">
        <f>CX22+真實IC!CY22</f>
        <v>6.2068608180128484</v>
      </c>
      <c r="CZ22" s="2">
        <f>CY22+真實IC!CZ22</f>
        <v>6.2090563668052621</v>
      </c>
      <c r="DA22" s="2">
        <f>CZ22+真實IC!DA22</f>
        <v>6.5758588265102444</v>
      </c>
      <c r="DB22" s="2">
        <f>DA22+真實IC!DB22</f>
        <v>7.1692339982364759</v>
      </c>
      <c r="DC22" s="2">
        <f>DB22+真實IC!DC22</f>
        <v>7.3104012339557851</v>
      </c>
      <c r="DD22" s="2">
        <f>DC22+真實IC!DD22</f>
        <v>7.4487558875002584</v>
      </c>
      <c r="DE22" s="2">
        <f>DD22+真實IC!DE22</f>
        <v>7.4309993839983255</v>
      </c>
      <c r="DF22" s="2">
        <f>DE22+真實IC!DF22</f>
        <v>7.4086215014771213</v>
      </c>
      <c r="DG22" s="2">
        <f>DF22+真實IC!DG22</f>
        <v>7.5934586919702109</v>
      </c>
      <c r="DH22" s="2">
        <f>DG22+真實IC!DH22</f>
        <v>7.5878775243369594</v>
      </c>
      <c r="DI22" s="2">
        <f>DH22+真實IC!DI22</f>
        <v>7.5895609616068072</v>
      </c>
      <c r="DJ22" s="2">
        <f>DI22+真實IC!DJ22</f>
        <v>7.5867744618383828</v>
      </c>
      <c r="DK22" s="2">
        <f>DJ22+真實IC!DK22</f>
        <v>7.5775201129215004</v>
      </c>
      <c r="DL22" s="2">
        <f>DK22+真實IC!DL22</f>
        <v>7.6106292280134431</v>
      </c>
      <c r="DM22" s="2">
        <f>DL22+真實IC!DM22</f>
        <v>7.6306255196867498</v>
      </c>
      <c r="DN22" s="2">
        <f>DM22+真實IC!DN22</f>
        <v>7.9311213018262592</v>
      </c>
      <c r="DO22" s="2">
        <f>DN22+真實IC!DO22</f>
        <v>7.8696606285410757</v>
      </c>
      <c r="DP22" s="2">
        <f>DO22+真實IC!DP22</f>
        <v>7.9582131149784727</v>
      </c>
      <c r="DQ22" s="2">
        <f>DP22+真實IC!DQ22</f>
        <v>8.169274056740246</v>
      </c>
      <c r="DR22" s="2">
        <f>DQ22+真實IC!DR22</f>
        <v>8.2983180326169865</v>
      </c>
      <c r="DS22" s="2">
        <f>DR22+真實IC!DS22</f>
        <v>8.4372378566482666</v>
      </c>
      <c r="DT22" s="2">
        <f>DS22+真實IC!DT22</f>
        <v>8.4757069942595678</v>
      </c>
      <c r="DU22" s="2">
        <f>DT22+真實IC!DU22</f>
        <v>8.8751834131140495</v>
      </c>
      <c r="DV22" s="2">
        <f>DU22+真實IC!DV22</f>
        <v>8.9669592518752204</v>
      </c>
      <c r="DW22" s="2">
        <f>DV22+真實IC!DW22</f>
        <v>8.9918369421767856</v>
      </c>
      <c r="DX22" s="2">
        <f>DW22+真實IC!DX22</f>
        <v>8.8274848181352468</v>
      </c>
      <c r="DY22" s="2">
        <f>DX22+真實IC!DY22</f>
        <v>8.6858505609851733</v>
      </c>
      <c r="DZ22" s="2">
        <f>DY22+真實IC!DZ22</f>
        <v>8.5079468740384279</v>
      </c>
      <c r="EA22" s="2">
        <f>DZ22+真實IC!EA22</f>
        <v>8.4537202339023505</v>
      </c>
      <c r="EB22" s="2">
        <f>EA22+真實IC!EB22</f>
        <v>8.6580955941181053</v>
      </c>
      <c r="EC22" s="2">
        <f>EB22+真實IC!EC22</f>
        <v>8.6865244058961562</v>
      </c>
      <c r="ED22" s="2">
        <f>EC22+真實IC!ED22</f>
        <v>8.5028424193919996</v>
      </c>
      <c r="EE22" s="2">
        <f>ED22+真實IC!EE22</f>
        <v>8.4610451590057316</v>
      </c>
      <c r="EF22" s="2">
        <f>EE22+真實IC!EF22</f>
        <v>8.6221913600240097</v>
      </c>
      <c r="EG22" s="2">
        <f>EF22+真實IC!EG22</f>
        <v>9.3598985493740887</v>
      </c>
      <c r="EH22" s="2">
        <f>EG22+真實IC!EH22</f>
        <v>9.3477313417814667</v>
      </c>
      <c r="EI22" s="2">
        <f>EH22+真實IC!EI22</f>
        <v>9.2485254856880044</v>
      </c>
      <c r="EJ22" s="2">
        <f>EI22+真實IC!EJ22</f>
        <v>9.3321272145776053</v>
      </c>
      <c r="EK22" s="2">
        <f>EJ22+真實IC!EK22</f>
        <v>9.5819739811044808</v>
      </c>
      <c r="EL22" s="2">
        <f>EK22+真實IC!EL22</f>
        <v>9.7251300584193512</v>
      </c>
    </row>
    <row r="23" spans="1:142" x14ac:dyDescent="0.3">
      <c r="A23" s="11"/>
      <c r="B23" s="11">
        <v>512</v>
      </c>
      <c r="C23" s="2">
        <v>0.28298926569632887</v>
      </c>
      <c r="D23" s="2">
        <f>C23+真實IC!D23</f>
        <v>0.37195588843068561</v>
      </c>
      <c r="E23" s="2">
        <f>D23+真實IC!E23</f>
        <v>0.38701747611765103</v>
      </c>
      <c r="F23" s="2">
        <f>E23+真實IC!F23</f>
        <v>0.20462140079677232</v>
      </c>
      <c r="G23" s="2">
        <f>F23+真實IC!G23</f>
        <v>0.1776498322724043</v>
      </c>
      <c r="H23" s="2">
        <f>G23+真實IC!H23</f>
        <v>-8.5160408929048498E-2</v>
      </c>
      <c r="I23" s="2">
        <f>H23+真實IC!I23</f>
        <v>-0.34086328099462559</v>
      </c>
      <c r="J23" s="2">
        <f>I23+真實IC!J23</f>
        <v>-0.49615709789760876</v>
      </c>
      <c r="K23" s="2">
        <f>J23+真實IC!K23</f>
        <v>-0.35467438263996154</v>
      </c>
      <c r="L23" s="2">
        <f>K23+真實IC!L23</f>
        <v>-0.58711874368242367</v>
      </c>
      <c r="M23" s="2">
        <f>L23+真實IC!M23</f>
        <v>-0.65384406755139746</v>
      </c>
      <c r="N23" s="2">
        <f>M23+真實IC!N23</f>
        <v>-0.55001234627750717</v>
      </c>
      <c r="O23" s="2">
        <f>N23+真實IC!O23</f>
        <v>-0.55231449802971788</v>
      </c>
      <c r="P23" s="2">
        <f>O23+真實IC!P23</f>
        <v>-0.4349790256412906</v>
      </c>
      <c r="Q23" s="2">
        <f>P23+真實IC!Q23</f>
        <v>-0.36788788830333341</v>
      </c>
      <c r="R23" s="2">
        <f>Q23+真實IC!R23</f>
        <v>-0.29247450602244729</v>
      </c>
      <c r="S23" s="2">
        <f>R23+真實IC!S23</f>
        <v>-0.20846302290297375</v>
      </c>
      <c r="T23" s="2">
        <f>S23+真實IC!T23</f>
        <v>-0.16884883373814613</v>
      </c>
      <c r="U23" s="2">
        <f>T23+真實IC!U23</f>
        <v>-0.39071832577456173</v>
      </c>
      <c r="V23" s="2">
        <f>U23+真實IC!V23</f>
        <v>-0.22542556005067402</v>
      </c>
      <c r="W23" s="2">
        <f>V23+真實IC!W23</f>
        <v>-8.8890656490745706E-2</v>
      </c>
      <c r="X23" s="2">
        <f>W23+真實IC!X23</f>
        <v>9.2890529307077196E-2</v>
      </c>
      <c r="Y23" s="2">
        <f>X23+真實IC!Y23</f>
        <v>0.29703797830952311</v>
      </c>
      <c r="Z23" s="2">
        <f>Y23+真實IC!Z23</f>
        <v>0.40918527703302809</v>
      </c>
      <c r="AA23" s="2">
        <f>Z23+真實IC!AA23</f>
        <v>0.53929052127758914</v>
      </c>
      <c r="AB23" s="2">
        <f>AA23+真實IC!AB23</f>
        <v>0.74952581146134278</v>
      </c>
      <c r="AC23" s="2">
        <f>AB23+真實IC!AC23</f>
        <v>0.92219395833963813</v>
      </c>
      <c r="AD23" s="2">
        <f>AC23+真實IC!AD23</f>
        <v>0.90500615475001678</v>
      </c>
      <c r="AE23" s="2">
        <f>AD23+真實IC!AE23</f>
        <v>1.0574426903178136</v>
      </c>
      <c r="AF23" s="2">
        <f>AE23+真實IC!AF23</f>
        <v>1.2492155847617585</v>
      </c>
      <c r="AG23" s="2">
        <f>AF23+真實IC!AG23</f>
        <v>1.459821138589015</v>
      </c>
      <c r="AH23" s="2">
        <f>AG23+真實IC!AH23</f>
        <v>1.8829358840518493</v>
      </c>
      <c r="AI23" s="2">
        <f>AH23+真實IC!AI23</f>
        <v>1.9131796283622604</v>
      </c>
      <c r="AJ23" s="2">
        <f>AI23+真實IC!AJ23</f>
        <v>1.9212776670004812</v>
      </c>
      <c r="AK23" s="2">
        <f>AJ23+真實IC!AK23</f>
        <v>1.8888362027612242</v>
      </c>
      <c r="AL23" s="2">
        <f>AK23+真實IC!AL23</f>
        <v>2.0681641679687788</v>
      </c>
      <c r="AM23" s="2">
        <f>AL23+真實IC!AM23</f>
        <v>2.0126010771197902</v>
      </c>
      <c r="AN23" s="2">
        <f>AM23+真實IC!AN23</f>
        <v>2.0797583087643647</v>
      </c>
      <c r="AO23" s="2">
        <f>AN23+真實IC!AO23</f>
        <v>2.326165473546852</v>
      </c>
      <c r="AP23" s="2">
        <f>AO23+真實IC!AP23</f>
        <v>2.147136587241727</v>
      </c>
      <c r="AQ23" s="2">
        <f>AP23+真實IC!AQ23</f>
        <v>1.9599438101028401</v>
      </c>
      <c r="AR23" s="2">
        <f>AQ23+真實IC!AR23</f>
        <v>1.7131506936121108</v>
      </c>
      <c r="AS23" s="2">
        <f>AR23+真實IC!AS23</f>
        <v>1.6503668499541859</v>
      </c>
      <c r="AT23" s="2">
        <f>AS23+真實IC!AT23</f>
        <v>1.7598727529190861</v>
      </c>
      <c r="AU23" s="2">
        <f>AT23+真實IC!AU23</f>
        <v>2.0106816194031953</v>
      </c>
      <c r="AV23" s="2">
        <f>AU23+真實IC!AV23</f>
        <v>2.1611581307004646</v>
      </c>
      <c r="AW23" s="2">
        <f>AV23+真實IC!AW23</f>
        <v>2.2526290978730041</v>
      </c>
      <c r="AX23" s="2">
        <f>AW23+真實IC!AX23</f>
        <v>2.2378163188644633</v>
      </c>
      <c r="AY23" s="2">
        <f>AX23+真實IC!AY23</f>
        <v>2.1116876791338668</v>
      </c>
      <c r="AZ23" s="2">
        <f>AY23+真實IC!AZ23</f>
        <v>2.4035046713732626</v>
      </c>
      <c r="BA23" s="2">
        <f>AZ23+真實IC!BA23</f>
        <v>2.3941616456497039</v>
      </c>
      <c r="BB23" s="2">
        <f>BA23+真實IC!BB23</f>
        <v>2.8797408006099579</v>
      </c>
      <c r="BC23" s="2">
        <f>BB23+真實IC!BC23</f>
        <v>2.741184221285677</v>
      </c>
      <c r="BD23" s="2">
        <f>BC23+真實IC!BD23</f>
        <v>2.7565348905101112</v>
      </c>
      <c r="BE23" s="2">
        <f>BD23+真實IC!BE23</f>
        <v>2.8808270335360104</v>
      </c>
      <c r="BF23" s="2">
        <f>BE23+真實IC!BF23</f>
        <v>3.0908361463964615</v>
      </c>
      <c r="BG23" s="2">
        <f>BF23+真實IC!BG23</f>
        <v>2.8184531283929477</v>
      </c>
      <c r="BH23" s="2">
        <f>BG23+真實IC!BH23</f>
        <v>2.8818183240961859</v>
      </c>
      <c r="BI23" s="2">
        <f>BH23+真實IC!BI23</f>
        <v>2.9632352039677445</v>
      </c>
      <c r="BJ23" s="2">
        <f>BI23+真實IC!BJ23</f>
        <v>3.0346731131299323</v>
      </c>
      <c r="BK23" s="2">
        <f>BJ23+真實IC!BK23</f>
        <v>3.0335666923866502</v>
      </c>
      <c r="BL23" s="2">
        <f>BK23+真實IC!BL23</f>
        <v>3.1479329825283191</v>
      </c>
      <c r="BM23" s="2">
        <f>BL23+真實IC!BM23</f>
        <v>3.0784375205038685</v>
      </c>
      <c r="BN23" s="2">
        <f>BM23+真實IC!BN23</f>
        <v>3.051834050481891</v>
      </c>
      <c r="BO23" s="2">
        <f>BN23+真實IC!BO23</f>
        <v>2.9380979191925398</v>
      </c>
      <c r="BP23" s="2">
        <f>BO23+真實IC!BP23</f>
        <v>2.9700114723181863</v>
      </c>
      <c r="BQ23" s="2">
        <f>BP23+真實IC!BQ23</f>
        <v>2.990903389516272</v>
      </c>
      <c r="BR23" s="2">
        <f>BQ23+真實IC!BR23</f>
        <v>3.1233187208734798</v>
      </c>
      <c r="BS23" s="2">
        <f>BR23+真實IC!BS23</f>
        <v>3.1228276202911101</v>
      </c>
      <c r="BT23" s="2">
        <f>BS23+真實IC!BT23</f>
        <v>3.4651812269076356</v>
      </c>
      <c r="BU23" s="2">
        <f>BT23+真實IC!BU23</f>
        <v>3.3259168358937665</v>
      </c>
      <c r="BV23" s="2">
        <f>BU23+真實IC!BV23</f>
        <v>3.2726477853358782</v>
      </c>
      <c r="BW23" s="2">
        <f>BV23+真實IC!BW23</f>
        <v>3.5913329727326659</v>
      </c>
      <c r="BX23" s="2">
        <f>BW23+真實IC!BX23</f>
        <v>3.4681939396042107</v>
      </c>
      <c r="BY23" s="2">
        <f>BX23+真實IC!BY23</f>
        <v>3.2305702723125655</v>
      </c>
      <c r="BZ23" s="2">
        <f>BY23+真實IC!BZ23</f>
        <v>3.0457700341803955</v>
      </c>
      <c r="CA23" s="2">
        <f>BZ23+真實IC!CA23</f>
        <v>3.5420638666698183</v>
      </c>
      <c r="CB23" s="2">
        <f>CA23+真實IC!CB23</f>
        <v>3.6801116130259257</v>
      </c>
      <c r="CC23" s="2">
        <f>CB23+真實IC!CC23</f>
        <v>4.1232944822233284</v>
      </c>
      <c r="CD23" s="2">
        <f>CC23+真實IC!CD23</f>
        <v>4.0114309114973352</v>
      </c>
      <c r="CE23" s="2">
        <f>CD23+真實IC!CE23</f>
        <v>4.2331596107309526</v>
      </c>
      <c r="CF23" s="2">
        <f>CE23+真實IC!CF23</f>
        <v>4.3759271565971289</v>
      </c>
      <c r="CG23" s="2">
        <f>CF23+真實IC!CG23</f>
        <v>4.7692039043892374</v>
      </c>
      <c r="CH23" s="2">
        <f>CG23+真實IC!CH23</f>
        <v>4.9000514392979664</v>
      </c>
      <c r="CI23" s="2">
        <f>CH23+真實IC!CI23</f>
        <v>4.9650491031868587</v>
      </c>
      <c r="CJ23" s="2">
        <f>CI23+真實IC!CJ23</f>
        <v>4.962852318542569</v>
      </c>
      <c r="CK23" s="2">
        <f>CJ23+真實IC!CK23</f>
        <v>5.2776566097503785</v>
      </c>
      <c r="CL23" s="2">
        <f>CK23+真實IC!CL23</f>
        <v>4.578217517533175</v>
      </c>
      <c r="CM23" s="2">
        <f>CL23+真實IC!CM23</f>
        <v>4.4423755042377859</v>
      </c>
      <c r="CN23" s="2">
        <f>CM23+真實IC!CN23</f>
        <v>4.7386983536592595</v>
      </c>
      <c r="CO23" s="2">
        <f>CN23+真實IC!CO23</f>
        <v>5.175611372596796</v>
      </c>
      <c r="CP23" s="2">
        <f>CO23+真實IC!CP23</f>
        <v>4.9578033374553092</v>
      </c>
      <c r="CQ23" s="2">
        <f>CP23+真實IC!CQ23</f>
        <v>5.0691353923044451</v>
      </c>
      <c r="CR23" s="2">
        <f>CQ23+真實IC!CR23</f>
        <v>5.0873080520371614</v>
      </c>
      <c r="CS23" s="2">
        <f>CR23+真實IC!CS23</f>
        <v>5.0925921182554452</v>
      </c>
      <c r="CT23" s="2">
        <f>CS23+真實IC!CT23</f>
        <v>4.9178116608709086</v>
      </c>
      <c r="CU23" s="2">
        <f>CT23+真實IC!CU23</f>
        <v>5.1579559413554028</v>
      </c>
      <c r="CV23" s="2">
        <f>CU23+真實IC!CV23</f>
        <v>5.4677344461843305</v>
      </c>
      <c r="CW23" s="2">
        <f>CV23+真實IC!CW23</f>
        <v>5.4486809170846584</v>
      </c>
      <c r="CX23" s="2">
        <f>CW23+真實IC!CX23</f>
        <v>5.5365207796972946</v>
      </c>
      <c r="CY23" s="2">
        <f>CX23+真實IC!CY23</f>
        <v>5.708659187680758</v>
      </c>
      <c r="CZ23" s="2">
        <f>CY23+真實IC!CZ23</f>
        <v>5.6623463984843347</v>
      </c>
      <c r="DA23" s="2">
        <f>CZ23+真實IC!DA23</f>
        <v>6.1378504684247677</v>
      </c>
      <c r="DB23" s="2">
        <f>DA23+真實IC!DB23</f>
        <v>7.0024260430219787</v>
      </c>
      <c r="DC23" s="2">
        <f>DB23+真實IC!DC23</f>
        <v>7.1603749423402316</v>
      </c>
      <c r="DD23" s="2">
        <f>DC23+真實IC!DD23</f>
        <v>7.2531736170173851</v>
      </c>
      <c r="DE23" s="2">
        <f>DD23+真實IC!DE23</f>
        <v>7.1930876695072135</v>
      </c>
      <c r="DF23" s="2">
        <f>DE23+真實IC!DF23</f>
        <v>7.1333021419906695</v>
      </c>
      <c r="DG23" s="2">
        <f>DF23+真實IC!DG23</f>
        <v>7.3818757648018662</v>
      </c>
      <c r="DH23" s="2">
        <f>DG23+真實IC!DH23</f>
        <v>7.3445798598850462</v>
      </c>
      <c r="DI23" s="2">
        <f>DH23+真實IC!DI23</f>
        <v>7.3737417021058826</v>
      </c>
      <c r="DJ23" s="2">
        <f>DI23+真實IC!DJ23</f>
        <v>7.3642143078948719</v>
      </c>
      <c r="DK23" s="2">
        <f>DJ23+真實IC!DK23</f>
        <v>7.321528191732674</v>
      </c>
      <c r="DL23" s="2">
        <f>DK23+真實IC!DL23</f>
        <v>7.3756294688736723</v>
      </c>
      <c r="DM23" s="2">
        <f>DL23+真實IC!DM23</f>
        <v>7.3621761931273655</v>
      </c>
      <c r="DN23" s="2">
        <f>DM23+真實IC!DN23</f>
        <v>7.8063689793514044</v>
      </c>
      <c r="DO23" s="2">
        <f>DN23+真實IC!DO23</f>
        <v>7.757291652435808</v>
      </c>
      <c r="DP23" s="2">
        <f>DO23+真實IC!DP23</f>
        <v>7.9316046607339556</v>
      </c>
      <c r="DQ23" s="2">
        <f>DP23+真實IC!DQ23</f>
        <v>8.2146473964744438</v>
      </c>
      <c r="DR23" s="2">
        <f>DQ23+真實IC!DR23</f>
        <v>8.3322028808770003</v>
      </c>
      <c r="DS23" s="2">
        <f>DR23+真實IC!DS23</f>
        <v>8.503151478828201</v>
      </c>
      <c r="DT23" s="2">
        <f>DS23+真實IC!DT23</f>
        <v>8.5870143562089769</v>
      </c>
      <c r="DU23" s="2">
        <f>DT23+真實IC!DU23</f>
        <v>9.1209360432933178</v>
      </c>
      <c r="DV23" s="2">
        <f>DU23+真實IC!DV23</f>
        <v>9.099566396895824</v>
      </c>
      <c r="DW23" s="2">
        <f>DV23+真實IC!DW23</f>
        <v>9.3781427687192416</v>
      </c>
      <c r="DX23" s="2">
        <f>DW23+真實IC!DX23</f>
        <v>9.2071399817507871</v>
      </c>
      <c r="DY23" s="2">
        <f>DX23+真實IC!DY23</f>
        <v>8.9389180523786624</v>
      </c>
      <c r="DZ23" s="2">
        <f>DY23+真實IC!DZ23</f>
        <v>8.8744600034808183</v>
      </c>
      <c r="EA23" s="2">
        <f>DZ23+真實IC!EA23</f>
        <v>8.7775016821164122</v>
      </c>
      <c r="EB23" s="2">
        <f>EA23+真實IC!EB23</f>
        <v>9.1090370606981725</v>
      </c>
      <c r="EC23" s="2">
        <f>EB23+真實IC!EC23</f>
        <v>9.2322420036538375</v>
      </c>
      <c r="ED23" s="2">
        <f>EC23+真實IC!ED23</f>
        <v>9.0379187251319184</v>
      </c>
      <c r="EE23" s="2">
        <f>ED23+真實IC!EE23</f>
        <v>8.9683731670369315</v>
      </c>
      <c r="EF23" s="2">
        <f>EE23+真實IC!EF23</f>
        <v>9.0516449437864139</v>
      </c>
      <c r="EG23" s="2">
        <f>EF23+真實IC!EG23</f>
        <v>9.0819993012837479</v>
      </c>
      <c r="EH23" s="2">
        <f>EG23+真實IC!EH23</f>
        <v>9.181208672940528</v>
      </c>
      <c r="EI23" s="2">
        <f>EH23+真實IC!EI23</f>
        <v>9.0715149285296004</v>
      </c>
      <c r="EJ23" s="2">
        <f>EI23+真實IC!EJ23</f>
        <v>9.154279012216417</v>
      </c>
      <c r="EK23" s="2">
        <f>EJ23+真實IC!EK23</f>
        <v>9.4730178495418844</v>
      </c>
      <c r="EL23" s="2">
        <f>EK23+真實IC!EL23</f>
        <v>9.5943539905488517</v>
      </c>
    </row>
    <row r="24" spans="1:142" x14ac:dyDescent="0.3">
      <c r="A24" s="11"/>
      <c r="B24" s="11">
        <v>1051</v>
      </c>
      <c r="C24" s="2">
        <v>9.9113364206882743E-2</v>
      </c>
      <c r="D24" s="2">
        <f>C24+真實IC!D24</f>
        <v>0.18110174337650664</v>
      </c>
      <c r="E24" s="2">
        <f>D24+真實IC!E24</f>
        <v>9.9221408766109145E-2</v>
      </c>
      <c r="F24" s="2">
        <f>E24+真實IC!F24</f>
        <v>-0.10232431010553707</v>
      </c>
      <c r="G24" s="2">
        <f>F24+真實IC!G24</f>
        <v>-0.12494669866815472</v>
      </c>
      <c r="H24" s="2">
        <f>G24+真實IC!H24</f>
        <v>-0.47576888999919353</v>
      </c>
      <c r="I24" s="2">
        <f>H24+真實IC!I24</f>
        <v>-0.71615513477010939</v>
      </c>
      <c r="J24" s="2">
        <f>I24+真實IC!J24</f>
        <v>-0.72019085970936902</v>
      </c>
      <c r="K24" s="2">
        <f>J24+真實IC!K24</f>
        <v>-0.66974652371588028</v>
      </c>
      <c r="L24" s="2">
        <f>K24+真實IC!L24</f>
        <v>-1.0035059681915268</v>
      </c>
      <c r="M24" s="2">
        <f>L24+真實IC!M24</f>
        <v>-1.1503253070910353</v>
      </c>
      <c r="N24" s="2">
        <f>M24+真實IC!N24</f>
        <v>-1.04513359629519</v>
      </c>
      <c r="O24" s="2">
        <f>N24+真實IC!O24</f>
        <v>-1.0084848055556463</v>
      </c>
      <c r="P24" s="2">
        <f>O24+真實IC!P24</f>
        <v>-0.93074831970158911</v>
      </c>
      <c r="Q24" s="2">
        <f>P24+真實IC!Q24</f>
        <v>-0.84060337090292614</v>
      </c>
      <c r="R24" s="2">
        <f>Q24+真實IC!R24</f>
        <v>-0.73223787599073498</v>
      </c>
      <c r="S24" s="2">
        <f>R24+真實IC!S24</f>
        <v>-0.63142908070308756</v>
      </c>
      <c r="T24" s="2">
        <f>S24+真實IC!T24</f>
        <v>-0.70936747720096072</v>
      </c>
      <c r="U24" s="2">
        <f>T24+真實IC!U24</f>
        <v>-1.125228679258635</v>
      </c>
      <c r="V24" s="2">
        <f>U24+真實IC!V24</f>
        <v>-1.0086883625417842</v>
      </c>
      <c r="W24" s="2">
        <f>V24+真實IC!W24</f>
        <v>-0.36575483393612473</v>
      </c>
      <c r="X24" s="2">
        <f>W24+真實IC!X24</f>
        <v>-0.40191273029737673</v>
      </c>
      <c r="Y24" s="2">
        <f>X24+真實IC!Y24</f>
        <v>9.1627257181588484E-2</v>
      </c>
      <c r="Z24" s="2">
        <f>Y24+真實IC!Z24</f>
        <v>0.17105096143084109</v>
      </c>
      <c r="AA24" s="2">
        <f>Z24+真實IC!AA24</f>
        <v>0.4560711288285379</v>
      </c>
      <c r="AB24" s="2">
        <f>AA24+真實IC!AB24</f>
        <v>0.80500848503093825</v>
      </c>
      <c r="AC24" s="2">
        <f>AB24+真實IC!AC24</f>
        <v>1.2791917685622278</v>
      </c>
      <c r="AD24" s="2">
        <f>AC24+真實IC!AD24</f>
        <v>0.81112157804637897</v>
      </c>
      <c r="AE24" s="2">
        <f>AD24+真實IC!AE24</f>
        <v>0.92285285947021434</v>
      </c>
      <c r="AF24" s="2">
        <f>AE24+真實IC!AF24</f>
        <v>0.99768678446888515</v>
      </c>
      <c r="AG24" s="2">
        <f>AF24+真實IC!AG24</f>
        <v>1.4869032444735029</v>
      </c>
      <c r="AH24" s="2">
        <f>AG24+真實IC!AH24</f>
        <v>1.9870126584018168</v>
      </c>
      <c r="AI24" s="2">
        <f>AH24+真實IC!AI24</f>
        <v>2.2015498800426236</v>
      </c>
      <c r="AJ24" s="2">
        <f>AI24+真實IC!AJ24</f>
        <v>2.182724238158273</v>
      </c>
      <c r="AK24" s="2">
        <f>AJ24+真實IC!AK24</f>
        <v>2.2632631006422854</v>
      </c>
      <c r="AL24" s="2">
        <f>AK24+真實IC!AL24</f>
        <v>2.5966012230731041</v>
      </c>
      <c r="AM24" s="2">
        <f>AL24+真實IC!AM24</f>
        <v>2.611567768407228</v>
      </c>
      <c r="AN24" s="2">
        <f>AM24+真實IC!AN24</f>
        <v>2.7222285403427784</v>
      </c>
      <c r="AO24" s="2">
        <f>AN24+真實IC!AO24</f>
        <v>2.8251342429205679</v>
      </c>
      <c r="AP24" s="2">
        <f>AO24+真實IC!AP24</f>
        <v>2.4087257090308571</v>
      </c>
      <c r="AQ24" s="2">
        <f>AP24+真實IC!AQ24</f>
        <v>2.1107223246718894</v>
      </c>
      <c r="AR24" s="2">
        <f>AQ24+真實IC!AR24</f>
        <v>1.8824018316841178</v>
      </c>
      <c r="AS24" s="2">
        <f>AR24+真實IC!AS24</f>
        <v>1.82288770415171</v>
      </c>
      <c r="AT24" s="2">
        <f>AS24+真實IC!AT24</f>
        <v>1.9736566840773908</v>
      </c>
      <c r="AU24" s="2">
        <f>AT24+真實IC!AU24</f>
        <v>2.2034976997568108</v>
      </c>
      <c r="AV24" s="2">
        <f>AU24+真實IC!AV24</f>
        <v>2.4511823599871381</v>
      </c>
      <c r="AW24" s="2">
        <f>AV24+真實IC!AW24</f>
        <v>2.5778134996719029</v>
      </c>
      <c r="AX24" s="2">
        <f>AW24+真實IC!AX24</f>
        <v>2.6893048365881183</v>
      </c>
      <c r="AY24" s="2">
        <f>AX24+真實IC!AY24</f>
        <v>2.5712894577146779</v>
      </c>
      <c r="AZ24" s="2">
        <f>AY24+真實IC!AZ24</f>
        <v>3.1811890178994546</v>
      </c>
      <c r="BA24" s="2">
        <f>AZ24+真實IC!BA24</f>
        <v>3.0794063235895122</v>
      </c>
      <c r="BB24" s="2">
        <f>BA24+真實IC!BB24</f>
        <v>3.9521094726960024</v>
      </c>
      <c r="BC24" s="2">
        <f>BB24+真實IC!BC24</f>
        <v>3.9477426030816192</v>
      </c>
      <c r="BD24" s="2">
        <f>BC24+真實IC!BD24</f>
        <v>3.7751724643682789</v>
      </c>
      <c r="BE24" s="2">
        <f>BD24+真實IC!BE24</f>
        <v>3.7177919263831987</v>
      </c>
      <c r="BF24" s="2">
        <f>BE24+真實IC!BF24</f>
        <v>3.6534215054337351</v>
      </c>
      <c r="BG24" s="2">
        <f>BF24+真實IC!BG24</f>
        <v>3.5624372777262994</v>
      </c>
      <c r="BH24" s="2">
        <f>BG24+真實IC!BH24</f>
        <v>3.7101108429780192</v>
      </c>
      <c r="BI24" s="2">
        <f>BH24+真實IC!BI24</f>
        <v>3.850324771736664</v>
      </c>
      <c r="BJ24" s="2">
        <f>BI24+真實IC!BJ24</f>
        <v>3.785170676556878</v>
      </c>
      <c r="BK24" s="2">
        <f>BJ24+真實IC!BK24</f>
        <v>3.7579324675033732</v>
      </c>
      <c r="BL24" s="2">
        <f>BK24+真實IC!BL24</f>
        <v>3.8640393876545396</v>
      </c>
      <c r="BM24" s="2">
        <f>BL24+真實IC!BM24</f>
        <v>3.9488223274935277</v>
      </c>
      <c r="BN24" s="2">
        <f>BM24+真實IC!BN24</f>
        <v>3.928932169014308</v>
      </c>
      <c r="BO24" s="2">
        <f>BN24+真實IC!BO24</f>
        <v>3.7208558367831857</v>
      </c>
      <c r="BP24" s="2">
        <f>BO24+真實IC!BP24</f>
        <v>3.5518239659574897</v>
      </c>
      <c r="BQ24" s="2">
        <f>BP24+真實IC!BQ24</f>
        <v>3.5656814323816262</v>
      </c>
      <c r="BR24" s="2">
        <f>BQ24+真實IC!BR24</f>
        <v>3.6646023215668677</v>
      </c>
      <c r="BS24" s="2">
        <f>BR24+真實IC!BS24</f>
        <v>3.5242822076047764</v>
      </c>
      <c r="BT24" s="2">
        <f>BS24+真實IC!BT24</f>
        <v>3.8237466509480398</v>
      </c>
      <c r="BU24" s="2">
        <f>BT24+真實IC!BU24</f>
        <v>3.6661947750655615</v>
      </c>
      <c r="BV24" s="2">
        <f>BU24+真實IC!BV24</f>
        <v>3.6199360693248988</v>
      </c>
      <c r="BW24" s="2">
        <f>BV24+真實IC!BW24</f>
        <v>3.7769285220123683</v>
      </c>
      <c r="BX24" s="2">
        <f>BW24+真實IC!BX24</f>
        <v>3.7188851523624531</v>
      </c>
      <c r="BY24" s="2">
        <f>BX24+真實IC!BY24</f>
        <v>3.7443169269546503</v>
      </c>
      <c r="BZ24" s="2">
        <f>BY24+真實IC!BZ24</f>
        <v>3.4239874996970929</v>
      </c>
      <c r="CA24" s="2">
        <f>BZ24+真實IC!CA24</f>
        <v>3.5093396384843261</v>
      </c>
      <c r="CB24" s="2">
        <f>CA24+真實IC!CB24</f>
        <v>3.445212555328284</v>
      </c>
      <c r="CC24" s="2">
        <f>CB24+真實IC!CC24</f>
        <v>3.2253813621270568</v>
      </c>
      <c r="CD24" s="2">
        <f>CC24+真實IC!CD24</f>
        <v>2.9818993021644737</v>
      </c>
      <c r="CE24" s="2">
        <f>CD24+真實IC!CE24</f>
        <v>3.1283310637696617</v>
      </c>
      <c r="CF24" s="2">
        <f>CE24+真實IC!CF24</f>
        <v>3.5311701578027526</v>
      </c>
      <c r="CG24" s="2">
        <f>CF24+真實IC!CG24</f>
        <v>4.1717547916753706</v>
      </c>
      <c r="CH24" s="2">
        <f>CG24+真實IC!CH24</f>
        <v>4.1803320887559439</v>
      </c>
      <c r="CI24" s="2">
        <f>CH24+真實IC!CI24</f>
        <v>4.2274047134609489</v>
      </c>
      <c r="CJ24" s="2">
        <f>CI24+真實IC!CJ24</f>
        <v>3.7899739166934232</v>
      </c>
      <c r="CK24" s="2">
        <f>CJ24+真實IC!CK24</f>
        <v>3.7811865406964205</v>
      </c>
      <c r="CL24" s="2">
        <f>CK24+真實IC!CL24</f>
        <v>2.9934145343443102</v>
      </c>
      <c r="CM24" s="2">
        <f>CL24+真實IC!CM24</f>
        <v>2.6770419694296002</v>
      </c>
      <c r="CN24" s="2">
        <f>CM24+真實IC!CN24</f>
        <v>3.2846016434067673</v>
      </c>
      <c r="CO24" s="2">
        <f>CN24+真實IC!CO24</f>
        <v>4.0003306521321278</v>
      </c>
      <c r="CP24" s="2">
        <f>CO24+真實IC!CP24</f>
        <v>3.7348717164650571</v>
      </c>
      <c r="CQ24" s="2">
        <f>CP24+真實IC!CQ24</f>
        <v>3.8657989146652851</v>
      </c>
      <c r="CR24" s="2">
        <f>CQ24+真實IC!CR24</f>
        <v>3.9033970217466498</v>
      </c>
      <c r="CS24" s="2">
        <f>CR24+真實IC!CS24</f>
        <v>4.0627453810269056</v>
      </c>
      <c r="CT24" s="2">
        <f>CS24+真實IC!CT24</f>
        <v>3.879848793734789</v>
      </c>
      <c r="CU24" s="2">
        <f>CT24+真實IC!CU24</f>
        <v>3.9325778385484438</v>
      </c>
      <c r="CV24" s="2">
        <f>CU24+真實IC!CV24</f>
        <v>4.1946026772325506</v>
      </c>
      <c r="CW24" s="2">
        <f>CV24+真實IC!CW24</f>
        <v>3.898879615752159</v>
      </c>
      <c r="CX24" s="2">
        <f>CW24+真實IC!CX24</f>
        <v>4.0769508144457358</v>
      </c>
      <c r="CY24" s="2">
        <f>CX24+真實IC!CY24</f>
        <v>4.4371788612144734</v>
      </c>
      <c r="CZ24" s="2">
        <f>CY24+真實IC!CZ24</f>
        <v>4.12601152382876</v>
      </c>
      <c r="DA24" s="2">
        <f>CZ24+真實IC!DA24</f>
        <v>4.9390339207357234</v>
      </c>
      <c r="DB24" s="2">
        <f>DA24+真實IC!DB24</f>
        <v>5.8871435101156928</v>
      </c>
      <c r="DC24" s="2">
        <f>DB24+真實IC!DC24</f>
        <v>6.1698732888442107</v>
      </c>
      <c r="DD24" s="2">
        <f>DC24+真實IC!DD24</f>
        <v>5.9740285666617696</v>
      </c>
      <c r="DE24" s="2">
        <f>DD24+真實IC!DE24</f>
        <v>6.1056141579573024</v>
      </c>
      <c r="DF24" s="2">
        <f>DE24+真實IC!DF24</f>
        <v>6.1806811666801451</v>
      </c>
      <c r="DG24" s="2">
        <f>DF24+真實IC!DG24</f>
        <v>6.3697914257544008</v>
      </c>
      <c r="DH24" s="2">
        <f>DG24+真實IC!DH24</f>
        <v>6.1923667719392466</v>
      </c>
      <c r="DI24" s="2">
        <f>DH24+真實IC!DI24</f>
        <v>5.8275916566525812</v>
      </c>
      <c r="DJ24" s="2">
        <f>DI24+真實IC!DJ24</f>
        <v>5.5791669936994701</v>
      </c>
      <c r="DK24" s="2">
        <f>DJ24+真實IC!DK24</f>
        <v>5.6072073610258366</v>
      </c>
      <c r="DL24" s="2">
        <f>DK24+真實IC!DL24</f>
        <v>5.6549764470377148</v>
      </c>
      <c r="DM24" s="2">
        <f>DL24+真實IC!DM24</f>
        <v>5.7363859906712857</v>
      </c>
      <c r="DN24" s="2">
        <f>DM24+真實IC!DN24</f>
        <v>6.4034746662732758</v>
      </c>
      <c r="DO24" s="2">
        <f>DN24+真實IC!DO24</f>
        <v>6.3625803768159352</v>
      </c>
      <c r="DP24" s="2">
        <f>DO24+真實IC!DP24</f>
        <v>6.6982122552359762</v>
      </c>
      <c r="DQ24" s="2">
        <f>DP24+真實IC!DQ24</f>
        <v>7.0452233570094664</v>
      </c>
      <c r="DR24" s="2">
        <f>DQ24+真實IC!DR24</f>
        <v>7.3990970333592614</v>
      </c>
      <c r="DS24" s="2">
        <f>DR24+真實IC!DS24</f>
        <v>7.8225172136458774</v>
      </c>
      <c r="DT24" s="2">
        <f>DS24+真實IC!DT24</f>
        <v>7.8281812442136607</v>
      </c>
      <c r="DU24" s="2">
        <f>DT24+真實IC!DU24</f>
        <v>8.5791196050238625</v>
      </c>
      <c r="DV24" s="2">
        <f>DU24+真實IC!DV24</f>
        <v>8.808744561150089</v>
      </c>
      <c r="DW24" s="2">
        <f>DV24+真實IC!DW24</f>
        <v>9.1921078020952951</v>
      </c>
      <c r="DX24" s="2">
        <f>DW24+真實IC!DX24</f>
        <v>9.0183704716472164</v>
      </c>
      <c r="DY24" s="2">
        <f>DX24+真實IC!DY24</f>
        <v>8.986303935917265</v>
      </c>
      <c r="DZ24" s="2">
        <f>DY24+真實IC!DZ24</f>
        <v>8.9373992716584656</v>
      </c>
      <c r="EA24" s="2">
        <f>DZ24+真實IC!EA24</f>
        <v>8.9101696503174121</v>
      </c>
      <c r="EB24" s="2">
        <f>EA24+真實IC!EB24</f>
        <v>9.5953713245367016</v>
      </c>
      <c r="EC24" s="2">
        <f>EB24+真實IC!EC24</f>
        <v>9.8520227045002287</v>
      </c>
      <c r="ED24" s="2">
        <f>EC24+真實IC!ED24</f>
        <v>9.7674826119329641</v>
      </c>
      <c r="EE24" s="2">
        <f>ED24+真實IC!EE24</f>
        <v>9.8031465948039287</v>
      </c>
      <c r="EF24" s="2">
        <f>EE24+真實IC!EF24</f>
        <v>9.9321043678823671</v>
      </c>
      <c r="EG24" s="2">
        <f>EF24+真實IC!EG24</f>
        <v>9.8616530434974656</v>
      </c>
      <c r="EH24" s="2">
        <f>EG24+真實IC!EH24</f>
        <v>10.06703862218998</v>
      </c>
      <c r="EI24" s="2">
        <f>EH24+真實IC!EI24</f>
        <v>9.9317439790153141</v>
      </c>
      <c r="EJ24" s="2">
        <f>EI24+真實IC!EJ24</f>
        <v>10.101657459637281</v>
      </c>
      <c r="EK24" s="2">
        <f>EJ24+真實IC!EK24</f>
        <v>9.9037317350661347</v>
      </c>
      <c r="EL24" s="2">
        <f>EK24+真實IC!EL24</f>
        <v>9.8968261236255763</v>
      </c>
    </row>
    <row r="25" spans="1:142" x14ac:dyDescent="0.3">
      <c r="A25" s="11"/>
      <c r="B25" s="11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圖表</vt:lpstr>
      </vt:variant>
      <vt:variant>
        <vt:i4>1</vt:i4>
      </vt:variant>
    </vt:vector>
  </HeadingPairs>
  <TitlesOfParts>
    <vt:vector size="5" baseType="lpstr">
      <vt:lpstr>真實IC</vt:lpstr>
      <vt:lpstr>勝率</vt:lpstr>
      <vt:lpstr>累積報酬</vt:lpstr>
      <vt:lpstr>畫圖0</vt:lpstr>
      <vt:lpstr>畫圖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2025-10-11T06:40:42Z</dcterms:modified>
</cp:coreProperties>
</file>