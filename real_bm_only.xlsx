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真實IC" sheetId="1" state="visible" r:id="rId1"/>
    <sheet name="勝率" sheetId="2" state="visible" r:id="rId2"/>
    <sheet name="累積報酬" sheetId="3" state="visible" r:id="rId3"/>
    <sheet name="畫圖0" sheetId="4" state="hidden" r:id="rId4"/>
    <sheet name="畫圖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2" fillId="0" borderId="0"/>
    <xf numFmtId="9" fontId="2" fillId="0" borderId="0" applyAlignment="1">
      <alignment vertical="center"/>
    </xf>
  </cellStyleXfs>
  <cellXfs count="16">
    <xf numFmtId="0" fontId="0" fillId="0" borderId="0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pivotButton="0" quotePrefix="0" xfId="0"/>
    <xf numFmtId="0" fontId="0" fillId="3" borderId="0" pivotButton="0" quotePrefix="0" xfId="0"/>
    <xf numFmtId="0" fontId="0" fillId="3" borderId="1" applyAlignment="1" pivotButton="0" quotePrefix="0" xfId="0">
      <alignment vertical="center"/>
    </xf>
    <xf numFmtId="0" fontId="0" fillId="3" borderId="1" pivotButton="0" quotePrefix="0" xfId="0"/>
    <xf numFmtId="0" fontId="0" fillId="2" borderId="1" applyAlignment="1" pivotButton="0" quotePrefix="0" xfId="0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164" fontId="0" fillId="0" borderId="1" pivotButton="0" quotePrefix="0" xfId="1"/>
  </cellXfs>
  <cellStyles count="2">
    <cellStyle name="一般" xfId="0" builtinId="0"/>
    <cellStyle name="百分比" xfId="1" builtinId="5"/>
  </cellStyles>
  <dxfs count="5"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chartsheet" Target="/xl/chartsheets/sheet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TW" altLang="en-US"/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3205090481769501"/>
          <y val="0.08846471126819648"/>
          <w val="0.9347778005902054"/>
          <h val="0.7817441223756914"/>
        </manualLayout>
      </layout>
      <lineChart>
        <grouping val="standard"/>
        <varyColors val="0"/>
        <ser>
          <idx val="0"/>
          <order val="0"/>
          <tx>
            <strRef>
              <f>畫圖0!$B$12</f>
              <strCache>
                <ptCount val="1"/>
                <pt idx="0">
                  <v>10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畫圖0!$C$12:$EL$12</f>
              <numCache>
                <formatCode>General</formatCode>
                <ptCount val="140"/>
                <pt idx="0">
                  <v>0.09819950192441131</v>
                </pt>
                <pt idx="1">
                  <v>0.1263874452100658</v>
                </pt>
                <pt idx="2">
                  <v>0.1330671791605036</v>
                </pt>
                <pt idx="3">
                  <v>0.1465040410015473</v>
                </pt>
                <pt idx="4">
                  <v>0.1517545984893184</v>
                </pt>
                <pt idx="5">
                  <v>0.1611155091778467</v>
                </pt>
                <pt idx="6">
                  <v>0.1145035450875938</v>
                </pt>
                <pt idx="7">
                  <v>0.05782188549806604</v>
                </pt>
                <pt idx="8">
                  <v>0.05167011968130676</v>
                </pt>
                <pt idx="9">
                  <v>0.0363354742358081</v>
                </pt>
                <pt idx="10">
                  <v>0.01363219734300931</v>
                </pt>
                <pt idx="11">
                  <v>-0.03100519733199436</v>
                </pt>
                <pt idx="12">
                  <v>-0.001556208834805919</v>
                </pt>
                <pt idx="13">
                  <v>-0.01785617316825971</v>
                </pt>
                <pt idx="14">
                  <v>-0.04009541117293951</v>
                </pt>
                <pt idx="15">
                  <v>-0.04182053851379344</v>
                </pt>
                <pt idx="16">
                  <v>-0.1061580450257797</v>
                </pt>
                <pt idx="17">
                  <v>-0.1462630841215889</v>
                </pt>
                <pt idx="18">
                  <v>-0.1566150578318278</v>
                </pt>
                <pt idx="19">
                  <v>-0.111633412391174</v>
                </pt>
                <pt idx="20">
                  <v>-0.1209422765009331</v>
                </pt>
                <pt idx="21">
                  <v>-0.1671525170112178</v>
                </pt>
                <pt idx="22">
                  <v>-0.1996308975974755</v>
                </pt>
                <pt idx="23">
                  <v>-0.2571609936755894</v>
                </pt>
                <pt idx="24">
                  <v>-0.2900692313818219</v>
                </pt>
                <pt idx="25">
                  <v>-0.3211710255342081</v>
                </pt>
                <pt idx="26">
                  <v>-0.358423451478444</v>
                </pt>
                <pt idx="27">
                  <v>-0.3429290903927238</v>
                </pt>
                <pt idx="28">
                  <v>-0.3809326994951076</v>
                </pt>
                <pt idx="29">
                  <v>-0.4153378106044411</v>
                </pt>
                <pt idx="30">
                  <v>-0.4529949632302757</v>
                </pt>
                <pt idx="31">
                  <v>-0.4358447678303289</v>
                </pt>
                <pt idx="32">
                  <v>-0.4196856450570978</v>
                </pt>
                <pt idx="33">
                  <v>-0.4385881324037757</v>
                </pt>
                <pt idx="34">
                  <v>-0.4797028256565646</v>
                </pt>
                <pt idx="35">
                  <v>-0.4893268155313428</v>
                </pt>
                <pt idx="36">
                  <v>-0.4638908201118093</v>
                </pt>
                <pt idx="37">
                  <v>-0.4040386289085594</v>
                </pt>
                <pt idx="38">
                  <v>-0.4056707723103117</v>
                </pt>
                <pt idx="39">
                  <v>-0.4272103205722269</v>
                </pt>
                <pt idx="40">
                  <v>-0.4199496076034928</v>
                </pt>
                <pt idx="41">
                  <v>-0.3986729058702688</v>
                </pt>
                <pt idx="42">
                  <v>-0.3820677573044632</v>
                </pt>
                <pt idx="43">
                  <v>-0.3718915491603746</v>
                </pt>
                <pt idx="44">
                  <v>-0.4035352791961939</v>
                </pt>
                <pt idx="45">
                  <v>-0.4283663067551097</v>
                </pt>
                <pt idx="46">
                  <v>-0.4337758997084616</v>
                </pt>
                <pt idx="47">
                  <v>-0.4842018644517538</v>
                </pt>
                <pt idx="48">
                  <v>-0.4634964748174416</v>
                </pt>
                <pt idx="49">
                  <v>-0.4668549360095187</v>
                </pt>
                <pt idx="50">
                  <v>-0.4717591983675778</v>
                </pt>
                <pt idx="51">
                  <v>-0.4953628282723653</v>
                </pt>
                <pt idx="52">
                  <v>-0.4915795078818186</v>
                </pt>
                <pt idx="53">
                  <v>-0.476731558825345</v>
                </pt>
                <pt idx="54">
                  <v>-0.4926279946306594</v>
                </pt>
                <pt idx="55">
                  <v>-0.5443873454237289</v>
                </pt>
                <pt idx="56">
                  <v>-0.5791445877054996</v>
                </pt>
                <pt idx="57">
                  <v>-0.595771458078645</v>
                </pt>
                <pt idx="58">
                  <v>-0.6454749830029608</v>
                </pt>
                <pt idx="59">
                  <v>-0.6554117714950738</v>
                </pt>
                <pt idx="60">
                  <v>-0.630330457284548</v>
                </pt>
                <pt idx="61">
                  <v>-0.6463645280622035</v>
                </pt>
                <pt idx="62">
                  <v>-0.6485805183800177</v>
                </pt>
                <pt idx="63">
                  <v>-0.6603739418750193</v>
                </pt>
                <pt idx="64">
                  <v>-0.6849617670998629</v>
                </pt>
                <pt idx="65">
                  <v>-0.6974442600105264</v>
                </pt>
                <pt idx="66">
                  <v>-0.703099085970346</v>
                </pt>
                <pt idx="67">
                  <v>-0.7089052541100219</v>
                </pt>
                <pt idx="68">
                  <v>-0.7104805281992344</v>
                </pt>
                <pt idx="69">
                  <v>-0.697194012608968</v>
                </pt>
                <pt idx="70">
                  <v>-0.69171031123742</v>
                </pt>
                <pt idx="71">
                  <v>-0.7143129825579965</v>
                </pt>
                <pt idx="72">
                  <v>-0.7043740553650838</v>
                </pt>
                <pt idx="73">
                  <v>-0.7115706477420968</v>
                </pt>
                <pt idx="74">
                  <v>-0.7310799249719014</v>
                </pt>
                <pt idx="75">
                  <v>-0.690205596758861</v>
                </pt>
                <pt idx="76">
                  <v>-0.7232190077976811</v>
                </pt>
                <pt idx="77">
                  <v>-0.7317560563586505</v>
                </pt>
                <pt idx="78">
                  <v>-0.7450926378459358</v>
                </pt>
                <pt idx="79">
                  <v>-0.8464041571155286</v>
                </pt>
                <pt idx="80">
                  <v>-0.8608416958920191</v>
                </pt>
                <pt idx="81">
                  <v>-0.8930234843476558</v>
                </pt>
                <pt idx="82">
                  <v>-0.9394155198801432</v>
                </pt>
                <pt idx="83">
                  <v>-1.007248192020663</v>
                </pt>
                <pt idx="84">
                  <v>-0.9766599426971015</v>
                </pt>
                <pt idx="85">
                  <v>-0.9661794320317304</v>
                </pt>
                <pt idx="86">
                  <v>-0.9522943349762129</v>
                </pt>
                <pt idx="87">
                  <v>-0.7985772719550296</v>
                </pt>
                <pt idx="88">
                  <v>-0.7665304940622935</v>
                </pt>
                <pt idx="89">
                  <v>-0.7990151390547091</v>
                </pt>
                <pt idx="90">
                  <v>-0.7925961877165775</v>
                </pt>
                <pt idx="91">
                  <v>-0.83864742762787</v>
                </pt>
                <pt idx="92">
                  <v>-0.8815370259487889</v>
                </pt>
                <pt idx="93">
                  <v>-0.8607697798121055</v>
                </pt>
                <pt idx="94">
                  <v>-0.8804671101582052</v>
                </pt>
                <pt idx="95">
                  <v>-0.8894071318699697</v>
                </pt>
                <pt idx="96">
                  <v>-0.9343424201872901</v>
                </pt>
                <pt idx="97">
                  <v>-0.9155980086163331</v>
                </pt>
                <pt idx="98">
                  <v>-0.9055591459353054</v>
                </pt>
                <pt idx="99">
                  <v>-0.9758313022031511</v>
                </pt>
                <pt idx="100">
                  <v>-0.9836829983694877</v>
                </pt>
                <pt idx="101">
                  <v>-1.072044065421474</v>
                </pt>
                <pt idx="102">
                  <v>-1.055846064183135</v>
                </pt>
                <pt idx="103">
                  <v>-1.072035233527017</v>
                </pt>
                <pt idx="104">
                  <v>-1.102537920898486</v>
                </pt>
                <pt idx="105">
                  <v>-1.126359636241706</v>
                </pt>
                <pt idx="106">
                  <v>-1.106695091976192</v>
                </pt>
                <pt idx="107">
                  <v>-1.094765347133401</v>
                </pt>
                <pt idx="108">
                  <v>-1.086547815408905</v>
                </pt>
                <pt idx="109">
                  <v>-1.087303048918371</v>
                </pt>
                <pt idx="110">
                  <v>-1.133072414327247</v>
                </pt>
                <pt idx="111">
                  <v>-1.107794978353584</v>
                </pt>
                <pt idx="112">
                  <v>-1.131483476158668</v>
                </pt>
                <pt idx="113">
                  <v>-1.126711244519282</v>
                </pt>
                <pt idx="114">
                  <v>-1.128306499348498</v>
                </pt>
                <pt idx="115">
                  <v>-1.09804734819102</v>
                </pt>
                <pt idx="116">
                  <v>-1.122389463732037</v>
                </pt>
                <pt idx="117">
                  <v>-1.158305104681734</v>
                </pt>
                <pt idx="118">
                  <v>-1.191943222794327</v>
                </pt>
                <pt idx="119">
                  <v>-1.170332531090241</v>
                </pt>
                <pt idx="120">
                  <v>-1.212853473551131</v>
                </pt>
                <pt idx="121">
                  <v>-1.26126209426332</v>
                </pt>
                <pt idx="122">
                  <v>-1.253660312946843</v>
                </pt>
                <pt idx="123">
                  <v>-1.306107290326639</v>
                </pt>
                <pt idx="124">
                  <v>-1.338361949502509</v>
                </pt>
                <pt idx="125">
                  <v>-1.38403636370857</v>
                </pt>
                <pt idx="126">
                  <v>-1.335747248644059</v>
                </pt>
                <pt idx="127">
                  <v>-1.349346780918059</v>
                </pt>
                <pt idx="128">
                  <v>-1.42309716592036</v>
                </pt>
                <pt idx="129">
                  <v>-1.425071459592294</v>
                </pt>
                <pt idx="130">
                  <v>-1.451266402071081</v>
                </pt>
                <pt idx="131">
                  <v>-1.512693656492418</v>
                </pt>
                <pt idx="132">
                  <v>-1.527873512134747</v>
                </pt>
                <pt idx="133">
                  <v>-1.559794593146339</v>
                </pt>
                <pt idx="134">
                  <v>-1.65762427101974</v>
                </pt>
                <pt idx="135">
                  <v>-1.635365588480966</v>
                </pt>
                <pt idx="136">
                  <v>-1.618192643310701</v>
                </pt>
                <pt idx="137">
                  <v>-1.686203657124603</v>
                </pt>
                <pt idx="138">
                  <v>-1.696176778776475</v>
                </pt>
                <pt idx="139">
                  <v>-1.745194659970052</v>
                </pt>
              </numCache>
            </numRef>
          </val>
          <smooth val="0"/>
        </ser>
        <ser>
          <idx val="1"/>
          <order val="1"/>
          <tx>
            <strRef>
              <f>畫圖0!$B$13</f>
              <strCache>
                <ptCount val="1"/>
                <pt idx="0">
                  <v>20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畫圖0!$C$13:$EL$13</f>
              <numCache>
                <formatCode>General</formatCode>
                <ptCount val="140"/>
                <pt idx="0">
                  <v>0.1210777616647176</v>
                </pt>
                <pt idx="1">
                  <v>0.1668872395893564</v>
                </pt>
                <pt idx="2">
                  <v>0.1989512995717249</v>
                </pt>
                <pt idx="3">
                  <v>0.2426432212527925</v>
                </pt>
                <pt idx="4">
                  <v>0.2289291859845207</v>
                </pt>
                <pt idx="5">
                  <v>0.2462919508648774</v>
                </pt>
                <pt idx="6">
                  <v>0.1968558491833951</v>
                </pt>
                <pt idx="7">
                  <v>0.1368661332692297</v>
                </pt>
                <pt idx="8">
                  <v>0.1048848516972824</v>
                </pt>
                <pt idx="9">
                  <v>0.104161748137822</v>
                </pt>
                <pt idx="10">
                  <v>0.1117483236711128</v>
                </pt>
                <pt idx="11">
                  <v>0.07556635481637319</v>
                </pt>
                <pt idx="12">
                  <v>0.1103392090357991</v>
                </pt>
                <pt idx="13">
                  <v>0.08994334674399038</v>
                </pt>
                <pt idx="14">
                  <v>0.05740281166766069</v>
                </pt>
                <pt idx="15">
                  <v>0.06073321197473808</v>
                </pt>
                <pt idx="16">
                  <v>-0.01211468929563911</v>
                </pt>
                <pt idx="17">
                  <v>-0.07138169347358331</v>
                </pt>
                <pt idx="18">
                  <v>-0.122056278800774</v>
                </pt>
                <pt idx="19">
                  <v>-0.0861310506060803</v>
                </pt>
                <pt idx="20">
                  <v>-0.09596469697962876</v>
                </pt>
                <pt idx="21">
                  <v>-0.1581788681063343</v>
                </pt>
                <pt idx="22">
                  <v>-0.1995567834537586</v>
                </pt>
                <pt idx="23">
                  <v>-0.2701369310864261</v>
                </pt>
                <pt idx="24">
                  <v>-0.2979939361996445</v>
                </pt>
                <pt idx="25">
                  <v>-0.343766348704253</v>
                </pt>
                <pt idx="26">
                  <v>-0.3708265284034384</v>
                </pt>
                <pt idx="27">
                  <v>-0.3608815909267867</v>
                </pt>
                <pt idx="28">
                  <v>-0.4033415525011968</v>
                </pt>
                <pt idx="29">
                  <v>-0.4519955587679835</v>
                </pt>
                <pt idx="30">
                  <v>-0.4957152402489329</v>
                </pt>
                <pt idx="31">
                  <v>-0.4936012913127957</v>
                </pt>
                <pt idx="32">
                  <v>-0.4810883313190993</v>
                </pt>
                <pt idx="33">
                  <v>-0.4710967711664056</v>
                </pt>
                <pt idx="34">
                  <v>-0.5347898957168868</v>
                </pt>
                <pt idx="35">
                  <v>-0.5400150326871727</v>
                </pt>
                <pt idx="36">
                  <v>-0.5113428170473554</v>
                </pt>
                <pt idx="37">
                  <v>-0.4144029751225561</v>
                </pt>
                <pt idx="38">
                  <v>-0.414011860622106</v>
                </pt>
                <pt idx="39">
                  <v>-0.4594103297126467</v>
                </pt>
                <pt idx="40">
                  <v>-0.456420484901071</v>
                </pt>
                <pt idx="41">
                  <v>-0.4248685639713677</v>
                </pt>
                <pt idx="42">
                  <v>-0.3955221240894128</v>
                </pt>
                <pt idx="43">
                  <v>-0.3718364620677432</v>
                </pt>
                <pt idx="44">
                  <v>-0.4200138199815567</v>
                </pt>
                <pt idx="45">
                  <v>-0.4078616780373267</v>
                </pt>
                <pt idx="46">
                  <v>-0.4105493328944461</v>
                </pt>
                <pt idx="47">
                  <v>-0.4845091343017709</v>
                </pt>
                <pt idx="48">
                  <v>-0.475531052083734</v>
                </pt>
                <pt idx="49">
                  <v>-0.4818643262396296</v>
                </pt>
                <pt idx="50">
                  <v>-0.4927407736096097</v>
                </pt>
                <pt idx="51">
                  <v>-0.5415032172366298</v>
                </pt>
                <pt idx="52">
                  <v>-0.5353328159441862</v>
                </pt>
                <pt idx="53">
                  <v>-0.5206300603719145</v>
                </pt>
                <pt idx="54">
                  <v>-0.5345122086121052</v>
                </pt>
                <pt idx="55">
                  <v>-0.5985377593507244</v>
                </pt>
                <pt idx="56">
                  <v>-0.6393315081259837</v>
                </pt>
                <pt idx="57">
                  <v>-0.6561407175470894</v>
                </pt>
                <pt idx="58">
                  <v>-0.7068198747177885</v>
                </pt>
                <pt idx="59">
                  <v>-0.6879560668720429</v>
                </pt>
                <pt idx="60">
                  <v>-0.665519292842455</v>
                </pt>
                <pt idx="61">
                  <v>-0.6956689198013291</v>
                </pt>
                <pt idx="62">
                  <v>-0.6840533882689496</v>
                </pt>
                <pt idx="63">
                  <v>-0.6884409354162235</v>
                </pt>
                <pt idx="64">
                  <v>-0.7295312701900671</v>
                </pt>
                <pt idx="65">
                  <v>-0.7348514850101272</v>
                </pt>
                <pt idx="66">
                  <v>-0.7555231784583504</v>
                </pt>
                <pt idx="67">
                  <v>-0.7614607308341234</v>
                </pt>
                <pt idx="68">
                  <v>-0.7545209456791013</v>
                </pt>
                <pt idx="69">
                  <v>-0.7372107418800167</v>
                </pt>
                <pt idx="70">
                  <v>-0.7316348305227079</v>
                </pt>
                <pt idx="71">
                  <v>-0.7541066665686696</v>
                </pt>
                <pt idx="72">
                  <v>-0.7546712500376614</v>
                </pt>
                <pt idx="73">
                  <v>-0.7704265836037333</v>
                </pt>
                <pt idx="74">
                  <v>-0.779490268358233</v>
                </pt>
                <pt idx="75">
                  <v>-0.7122941371602939</v>
                </pt>
                <pt idx="76">
                  <v>-0.7385977153461171</v>
                </pt>
                <pt idx="77">
                  <v>-0.7665542764931159</v>
                </pt>
                <pt idx="78">
                  <v>-0.7639445861270072</v>
                </pt>
                <pt idx="79">
                  <v>-0.8661973635810531</v>
                </pt>
                <pt idx="80">
                  <v>-0.881932577472425</v>
                </pt>
                <pt idx="81">
                  <v>-0.9294160624478286</v>
                </pt>
                <pt idx="82">
                  <v>-0.9637093689198083</v>
                </pt>
                <pt idx="83">
                  <v>-1.013264111990739</v>
                </pt>
                <pt idx="84">
                  <v>-0.9631708655931636</v>
                </pt>
                <pt idx="85">
                  <v>-0.9652614581243046</v>
                </pt>
                <pt idx="86">
                  <v>-0.9383293007190198</v>
                </pt>
                <pt idx="87">
                  <v>-0.7775332057611651</v>
                </pt>
                <pt idx="88">
                  <v>-0.7425438116514496</v>
                </pt>
                <pt idx="89">
                  <v>-0.7800226581714811</v>
                </pt>
                <pt idx="90">
                  <v>-0.7960870705459206</v>
                </pt>
                <pt idx="91">
                  <v>-0.8628808066063783</v>
                </pt>
                <pt idx="92">
                  <v>-0.9057747133046381</v>
                </pt>
                <pt idx="93">
                  <v>-0.8771729038741585</v>
                </pt>
                <pt idx="94">
                  <v>-0.8868303045179454</v>
                </pt>
                <pt idx="95">
                  <v>-0.9102909067457592</v>
                </pt>
                <pt idx="96">
                  <v>-0.9684005141320262</v>
                </pt>
                <pt idx="97">
                  <v>-0.9513324095246287</v>
                </pt>
                <pt idx="98">
                  <v>-0.9519197624533859</v>
                </pt>
                <pt idx="99">
                  <v>-1.031605204843577</v>
                </pt>
                <pt idx="100">
                  <v>-1.050590103134828</v>
                </pt>
                <pt idx="101">
                  <v>-1.130938992507713</v>
                </pt>
                <pt idx="102">
                  <v>-1.114421022609386</v>
                </pt>
                <pt idx="103">
                  <v>-1.151946857239201</v>
                </pt>
                <pt idx="104">
                  <v>-1.177112249971389</v>
                </pt>
                <pt idx="105">
                  <v>-1.175965925917356</v>
                </pt>
                <pt idx="106">
                  <v>-1.16172581115877</v>
                </pt>
                <pt idx="107">
                  <v>-1.18886390671052</v>
                </pt>
                <pt idx="108">
                  <v>-1.177582885037469</v>
                </pt>
                <pt idx="109">
                  <v>-1.177128249237351</v>
                </pt>
                <pt idx="110">
                  <v>-1.197440222029483</v>
                </pt>
                <pt idx="111">
                  <v>-1.176075845191161</v>
                </pt>
                <pt idx="112">
                  <v>-1.182417960683269</v>
                </pt>
                <pt idx="113">
                  <v>-1.207310659567626</v>
                </pt>
                <pt idx="114">
                  <v>-1.208902824379046</v>
                </pt>
                <pt idx="115">
                  <v>-1.209318161144413</v>
                </pt>
                <pt idx="116">
                  <v>-1.245297205854838</v>
                </pt>
                <pt idx="117">
                  <v>-1.298808693697628</v>
                </pt>
                <pt idx="118">
                  <v>-1.336841448501135</v>
                </pt>
                <pt idx="119">
                  <v>-1.316608131992291</v>
                </pt>
                <pt idx="120">
                  <v>-1.370875561275245</v>
                </pt>
                <pt idx="121">
                  <v>-1.42090147499967</v>
                </pt>
                <pt idx="122">
                  <v>-1.404457358003916</v>
                </pt>
                <pt idx="123">
                  <v>-1.476855073027202</v>
                </pt>
                <pt idx="124">
                  <v>-1.508045298770833</v>
                </pt>
                <pt idx="125">
                  <v>-1.568398281390508</v>
                </pt>
                <pt idx="126">
                  <v>-1.481123127912735</v>
                </pt>
                <pt idx="127">
                  <v>-1.498651794695936</v>
                </pt>
                <pt idx="128">
                  <v>-1.564783929298136</v>
                </pt>
                <pt idx="129">
                  <v>-1.575427674609398</v>
                </pt>
                <pt idx="130">
                  <v>-1.61636795625157</v>
                </pt>
                <pt idx="131">
                  <v>-1.682306409238074</v>
                </pt>
                <pt idx="132">
                  <v>-1.699128916134995</v>
                </pt>
                <pt idx="133">
                  <v>-1.75471627117828</v>
                </pt>
                <pt idx="134">
                  <v>-1.906265457301312</v>
                </pt>
                <pt idx="135">
                  <v>-1.909668532588744</v>
                </pt>
                <pt idx="136">
                  <v>-1.87229729861366</v>
                </pt>
                <pt idx="137">
                  <v>-1.963532258222074</v>
                </pt>
                <pt idx="138">
                  <v>-1.967627241100647</v>
                </pt>
                <pt idx="139">
                  <v>-2.033735959798429</v>
                </pt>
              </numCache>
            </numRef>
          </val>
          <smooth val="0"/>
        </ser>
        <ser>
          <idx val="2"/>
          <order val="2"/>
          <tx>
            <strRef>
              <f>畫圖0!$B$14</f>
              <strCache>
                <ptCount val="1"/>
                <pt idx="0">
                  <v>50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畫圖0!$C$14:$EL$14</f>
              <numCache>
                <formatCode>General</formatCode>
                <ptCount val="140"/>
                <pt idx="0">
                  <v>0.1322051333097304</v>
                </pt>
                <pt idx="1">
                  <v>0.1738397166827028</v>
                </pt>
                <pt idx="2">
                  <v>0.207233465973262</v>
                </pt>
                <pt idx="3">
                  <v>0.2837576352145307</v>
                </pt>
                <pt idx="4">
                  <v>0.2446003346290122</v>
                </pt>
                <pt idx="5">
                  <v>0.2549350284927341</v>
                </pt>
                <pt idx="6">
                  <v>0.1726214377702038</v>
                </pt>
                <pt idx="7">
                  <v>0.1085302897240036</v>
                </pt>
                <pt idx="8">
                  <v>0.003751054592395012</v>
                </pt>
                <pt idx="9">
                  <v>-0.0002183140442239412</v>
                </pt>
                <pt idx="10">
                  <v>-0.01263015916255649</v>
                </pt>
                <pt idx="11">
                  <v>-0.0904252944166278</v>
                </pt>
                <pt idx="12">
                  <v>-0.06686549294123634</v>
                </pt>
                <pt idx="13">
                  <v>-0.1225805279637033</v>
                </pt>
                <pt idx="14">
                  <v>-0.1949669204148982</v>
                </pt>
                <pt idx="15">
                  <v>-0.191675723970545</v>
                </pt>
                <pt idx="16">
                  <v>-0.2742867585806379</v>
                </pt>
                <pt idx="17">
                  <v>-0.322827141219089</v>
                </pt>
                <pt idx="18">
                  <v>-0.4335115753201844</v>
                </pt>
                <pt idx="19">
                  <v>-0.4141548874097899</v>
                </pt>
                <pt idx="20">
                  <v>-0.4506364941825718</v>
                </pt>
                <pt idx="21">
                  <v>-0.5538398016691186</v>
                </pt>
                <pt idx="22">
                  <v>-0.5983842030378823</v>
                </pt>
                <pt idx="23">
                  <v>-0.648921915021011</v>
                </pt>
                <pt idx="24">
                  <v>-0.6933070498381254</v>
                </pt>
                <pt idx="25">
                  <v>-0.7625347641508877</v>
                </pt>
                <pt idx="26">
                  <v>-0.7602839780552518</v>
                </pt>
                <pt idx="27">
                  <v>-0.7799114208018533</v>
                </pt>
                <pt idx="28">
                  <v>-0.8692091101297696</v>
                </pt>
                <pt idx="29">
                  <v>-0.9272210639189695</v>
                </pt>
                <pt idx="30">
                  <v>-0.9558770502507711</v>
                </pt>
                <pt idx="31">
                  <v>-0.9659963802679785</v>
                </pt>
                <pt idx="32">
                  <v>-0.8971994804880477</v>
                </pt>
                <pt idx="33">
                  <v>-0.9049619054134438</v>
                </pt>
                <pt idx="34">
                  <v>-0.9634130280521627</v>
                </pt>
                <pt idx="35">
                  <v>-0.9893578177339588</v>
                </pt>
                <pt idx="36">
                  <v>-0.9386020750130997</v>
                </pt>
                <pt idx="37">
                  <v>-0.8341865017852573</v>
                </pt>
                <pt idx="38">
                  <v>-0.8100713169007117</v>
                </pt>
                <pt idx="39">
                  <v>-0.8645730483354859</v>
                </pt>
                <pt idx="40">
                  <v>-0.8447629646342473</v>
                </pt>
                <pt idx="41">
                  <v>-0.7786027447761446</v>
                </pt>
                <pt idx="42">
                  <v>-0.7300360265968637</v>
                </pt>
                <pt idx="43">
                  <v>-0.7594348274298134</v>
                </pt>
                <pt idx="44">
                  <v>-0.8178134741652696</v>
                </pt>
                <pt idx="45">
                  <v>-0.8086087907551757</v>
                </pt>
                <pt idx="46">
                  <v>-0.8358753720569679</v>
                </pt>
                <pt idx="47">
                  <v>-0.938547151452789</v>
                </pt>
                <pt idx="48">
                  <v>-0.9213541073473509</v>
                </pt>
                <pt idx="49">
                  <v>-0.9098307744496822</v>
                </pt>
                <pt idx="50">
                  <v>-0.9465923905571146</v>
                </pt>
                <pt idx="51">
                  <v>-1.005535480344348</v>
                </pt>
                <pt idx="52">
                  <v>-0.9850122762882427</v>
                </pt>
                <pt idx="53">
                  <v>-0.941503891409665</v>
                </pt>
                <pt idx="54">
                  <v>-0.9757697905803956</v>
                </pt>
                <pt idx="55">
                  <v>-1.033105179084542</v>
                </pt>
                <pt idx="56">
                  <v>-1.115434747152726</v>
                </pt>
                <pt idx="57">
                  <v>-1.148719230058455</v>
                </pt>
                <pt idx="58">
                  <v>-1.206809865054391</v>
                </pt>
                <pt idx="59">
                  <v>-1.176730283779877</v>
                </pt>
                <pt idx="60">
                  <v>-1.17127354867721</v>
                </pt>
                <pt idx="61">
                  <v>-1.220753466242269</v>
                </pt>
                <pt idx="62">
                  <v>-1.186163371602839</v>
                </pt>
                <pt idx="63">
                  <v>-1.212747506982254</v>
                </pt>
                <pt idx="64">
                  <v>-1.236963322932951</v>
                </pt>
                <pt idx="65">
                  <v>-1.22365974136941</v>
                </pt>
                <pt idx="66">
                  <v>-1.231125220360641</v>
                </pt>
                <pt idx="67">
                  <v>-1.274291765116838</v>
                </pt>
                <pt idx="68">
                  <v>-1.231437582711131</v>
                </pt>
                <pt idx="69">
                  <v>-1.19660381016835</v>
                </pt>
                <pt idx="70">
                  <v>-1.215471713922788</v>
                </pt>
                <pt idx="71">
                  <v>-1.243215731006881</v>
                </pt>
                <pt idx="72">
                  <v>-1.235723093829854</v>
                </pt>
                <pt idx="73">
                  <v>-1.293083140364333</v>
                </pt>
                <pt idx="74">
                  <v>-1.342577150941684</v>
                </pt>
                <pt idx="75">
                  <v>-1.261142016781112</v>
                </pt>
                <pt idx="76">
                  <v>-1.245841202382282</v>
                </pt>
                <pt idx="77">
                  <v>-1.239934346063211</v>
                </pt>
                <pt idx="78">
                  <v>-1.219964554112314</v>
                </pt>
                <pt idx="79">
                  <v>-1.307955833672699</v>
                </pt>
                <pt idx="80">
                  <v>-1.278871940869868</v>
                </pt>
                <pt idx="81">
                  <v>-1.356233586407133</v>
                </pt>
                <pt idx="82">
                  <v>-1.39059800054485</v>
                </pt>
                <pt idx="83">
                  <v>-1.449211307416425</v>
                </pt>
                <pt idx="84">
                  <v>-1.335367092944449</v>
                </pt>
                <pt idx="85">
                  <v>-1.341987894482611</v>
                </pt>
                <pt idx="86">
                  <v>-1.35837964731357</v>
                </pt>
                <pt idx="87">
                  <v>-1.151935944302415</v>
                </pt>
                <pt idx="88">
                  <v>-1.115415359741815</v>
                </pt>
                <pt idx="89">
                  <v>-1.161208461850258</v>
                </pt>
                <pt idx="90">
                  <v>-1.185611611149707</v>
                </pt>
                <pt idx="91">
                  <v>-1.246858801707953</v>
                </pt>
                <pt idx="92">
                  <v>-1.277582955885954</v>
                </pt>
                <pt idx="93">
                  <v>-1.264382811090466</v>
                </pt>
                <pt idx="94">
                  <v>-1.259412941187577</v>
                </pt>
                <pt idx="95">
                  <v>-1.310157674385117</v>
                </pt>
                <pt idx="96">
                  <v>-1.315851744374421</v>
                </pt>
                <pt idx="97">
                  <v>-1.282235377300117</v>
                </pt>
                <pt idx="98">
                  <v>-1.266741579122485</v>
                </pt>
                <pt idx="99">
                  <v>-1.345622205742863</v>
                </pt>
                <pt idx="100">
                  <v>-1.37990628617793</v>
                </pt>
                <pt idx="101">
                  <v>-1.446934769762549</v>
                </pt>
                <pt idx="102">
                  <v>-1.445100855338706</v>
                </pt>
                <pt idx="103">
                  <v>-1.456005828356464</v>
                </pt>
                <pt idx="104">
                  <v>-1.468426794750578</v>
                </pt>
                <pt idx="105">
                  <v>-1.446259109330354</v>
                </pt>
                <pt idx="106">
                  <v>-1.418814888235998</v>
                </pt>
                <pt idx="107">
                  <v>-1.461232706938497</v>
                </pt>
                <pt idx="108">
                  <v>-1.447459571516633</v>
                </pt>
                <pt idx="109">
                  <v>-1.4490239904708</v>
                </pt>
                <pt idx="110">
                  <v>-1.460939196982551</v>
                </pt>
                <pt idx="111">
                  <v>-1.430388345501838</v>
                </pt>
                <pt idx="112">
                  <v>-1.437663527239776</v>
                </pt>
                <pt idx="113">
                  <v>-1.449081674915631</v>
                </pt>
                <pt idx="114">
                  <v>-1.414288938575399</v>
                </pt>
                <pt idx="115">
                  <v>-1.372069683463201</v>
                </pt>
                <pt idx="116">
                  <v>-1.40810655891587</v>
                </pt>
                <pt idx="117">
                  <v>-1.443190787900639</v>
                </pt>
                <pt idx="118">
                  <v>-1.539291925764581</v>
                </pt>
                <pt idx="119">
                  <v>-1.485678156915376</v>
                </pt>
                <pt idx="120">
                  <v>-1.540209405807377</v>
                </pt>
                <pt idx="121">
                  <v>-1.610021217676616</v>
                </pt>
                <pt idx="122">
                  <v>-1.661048428154746</v>
                </pt>
                <pt idx="123">
                  <v>-1.766001748788587</v>
                </pt>
                <pt idx="124">
                  <v>-1.827007598985603</v>
                </pt>
                <pt idx="125">
                  <v>-1.898563253226238</v>
                </pt>
                <pt idx="126">
                  <v>-1.750460118889512</v>
                </pt>
                <pt idx="127">
                  <v>-1.76369657380248</v>
                </pt>
                <pt idx="128">
                  <v>-1.818780450057897</v>
                </pt>
                <pt idx="129">
                  <v>-1.852628790172898</v>
                </pt>
                <pt idx="130">
                  <v>-1.870102725668241</v>
                </pt>
                <pt idx="131">
                  <v>-1.96904005166205</v>
                </pt>
                <pt idx="132">
                  <v>-1.987561743783089</v>
                </pt>
                <pt idx="133">
                  <v>-2.038228064330929</v>
                </pt>
                <pt idx="134">
                  <v>-2.254224933648814</v>
                </pt>
                <pt idx="135">
                  <v>-2.248517720840731</v>
                </pt>
                <pt idx="136">
                  <v>-2.21619945875345</v>
                </pt>
                <pt idx="137">
                  <v>-2.291460361809105</v>
                </pt>
                <pt idx="138">
                  <v>-2.289864281970901</v>
                </pt>
                <pt idx="139">
                  <v>-2.390089788552191</v>
                </pt>
              </numCache>
            </numRef>
          </val>
          <smooth val="0"/>
        </ser>
        <ser>
          <idx val="3"/>
          <order val="3"/>
          <tx>
            <strRef>
              <f>畫圖0!$B$15</f>
              <strCache>
                <ptCount val="1"/>
                <pt idx="0">
                  <v>110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畫圖0!$C$15:$EL$15</f>
              <numCache>
                <formatCode>General</formatCode>
                <ptCount val="140"/>
                <pt idx="0">
                  <v>0.2415584226424828</v>
                </pt>
                <pt idx="1">
                  <v>0.2735895022136436</v>
                </pt>
                <pt idx="2">
                  <v>0.216963041338615</v>
                </pt>
                <pt idx="3">
                  <v>0.3931598827390002</v>
                </pt>
                <pt idx="4">
                  <v>0.3294284534681791</v>
                </pt>
                <pt idx="5">
                  <v>0.3819925187808418</v>
                </pt>
                <pt idx="6">
                  <v>0.2536961339684322</v>
                </pt>
                <pt idx="7">
                  <v>0.1183374715252889</v>
                </pt>
                <pt idx="8">
                  <v>-0.13141305005318</v>
                </pt>
                <pt idx="9">
                  <v>-0.1311953302378671</v>
                </pt>
                <pt idx="10">
                  <v>-0.1074045571537763</v>
                </pt>
                <pt idx="11">
                  <v>-0.2090802156106905</v>
                </pt>
                <pt idx="12">
                  <v>-0.1565549501188389</v>
                </pt>
                <pt idx="13">
                  <v>-0.2260493632234197</v>
                </pt>
                <pt idx="14">
                  <v>-0.3431068985472846</v>
                </pt>
                <pt idx="15">
                  <v>-0.2900272210613942</v>
                </pt>
                <pt idx="16">
                  <v>-0.3935429343969373</v>
                </pt>
                <pt idx="17">
                  <v>-0.4181474874926288</v>
                </pt>
                <pt idx="18">
                  <v>-0.5561105438335447</v>
                </pt>
                <pt idx="19">
                  <v>-0.573204206431885</v>
                </pt>
                <pt idx="20">
                  <v>-0.5972457343376461</v>
                </pt>
                <pt idx="21">
                  <v>-0.7016847133793431</v>
                </pt>
                <pt idx="22">
                  <v>-0.7234019814997481</v>
                </pt>
                <pt idx="23">
                  <v>-0.763023331409153</v>
                </pt>
                <pt idx="24">
                  <v>-0.8176027847813133</v>
                </pt>
                <pt idx="25">
                  <v>-0.8919745992399393</v>
                </pt>
                <pt idx="26">
                  <v>-0.9399827454582281</v>
                </pt>
                <pt idx="27">
                  <v>-0.9246013700272445</v>
                </pt>
                <pt idx="28">
                  <v>-1.012147199393255</v>
                </pt>
                <pt idx="29">
                  <v>-1.098288275238944</v>
                </pt>
                <pt idx="30">
                  <v>-1.122336281144929</v>
                </pt>
                <pt idx="31">
                  <v>-1.159440457529243</v>
                </pt>
                <pt idx="32">
                  <v>-1.102414917194475</v>
                </pt>
                <pt idx="33">
                  <v>-1.11218774939735</v>
                </pt>
                <pt idx="34">
                  <v>-1.170151690546778</v>
                </pt>
                <pt idx="35">
                  <v>-1.224860157719433</v>
                </pt>
                <pt idx="36">
                  <v>-1.190326866153069</v>
                </pt>
                <pt idx="37">
                  <v>-1.071622899840621</v>
                </pt>
                <pt idx="38">
                  <v>-1.073195432869811</v>
                </pt>
                <pt idx="39">
                  <v>-1.111029772214624</v>
                </pt>
                <pt idx="40">
                  <v>-1.067279902811273</v>
                </pt>
                <pt idx="41">
                  <v>-0.9580897756932507</v>
                </pt>
                <pt idx="42">
                  <v>-0.9116171221461588</v>
                </pt>
                <pt idx="43">
                  <v>-0.8848911050424517</v>
                </pt>
                <pt idx="44">
                  <v>-0.9376347650079667</v>
                </pt>
                <pt idx="45">
                  <v>-0.9067014458351437</v>
                </pt>
                <pt idx="46">
                  <v>-0.8821410855205918</v>
                </pt>
                <pt idx="47">
                  <v>-0.9386142198812133</v>
                </pt>
                <pt idx="48">
                  <v>-0.908479111402514</v>
                </pt>
                <pt idx="49">
                  <v>-0.8586725186090258</v>
                </pt>
                <pt idx="50">
                  <v>-0.8751304571024905</v>
                </pt>
                <pt idx="51">
                  <v>-1.012663896768768</v>
                </pt>
                <pt idx="52">
                  <v>-0.9451230129685259</v>
                </pt>
                <pt idx="53">
                  <v>-0.860966092239034</v>
                </pt>
                <pt idx="54">
                  <v>-0.8877919460677328</v>
                </pt>
                <pt idx="55">
                  <v>-0.9548263889394216</v>
                </pt>
                <pt idx="56">
                  <v>-0.9979067699826731</v>
                </pt>
                <pt idx="57">
                  <v>-1.048471025176613</v>
                </pt>
                <pt idx="58">
                  <v>-1.11589658385065</v>
                </pt>
                <pt idx="59">
                  <v>-1.077741006748613</v>
                </pt>
                <pt idx="60">
                  <v>-1.072622602123989</v>
                </pt>
                <pt idx="61">
                  <v>-1.138259061747832</v>
                </pt>
                <pt idx="62">
                  <v>-1.088193674951059</v>
                </pt>
                <pt idx="63">
                  <v>-1.134774844851536</v>
                </pt>
                <pt idx="64">
                  <v>-1.16617021832615</v>
                </pt>
                <pt idx="65">
                  <v>-1.141831788949527</v>
                </pt>
                <pt idx="66">
                  <v>-1.157526942096673</v>
                </pt>
                <pt idx="67">
                  <v>-1.232583937909221</v>
                </pt>
                <pt idx="68">
                  <v>-1.212730660094585</v>
                </pt>
                <pt idx="69">
                  <v>-1.139020234640534</v>
                </pt>
                <pt idx="70">
                  <v>-1.141466434244128</v>
                </pt>
                <pt idx="71">
                  <v>-1.232009956062521</v>
                </pt>
                <pt idx="72">
                  <v>-1.202049523510347</v>
                </pt>
                <pt idx="73">
                  <v>-1.194139983012134</v>
                </pt>
                <pt idx="74">
                  <v>-1.29804758091871</v>
                </pt>
                <pt idx="75">
                  <v>-1.221091861249004</v>
                </pt>
                <pt idx="76">
                  <v>-1.227177010817188</v>
                </pt>
                <pt idx="77">
                  <v>-1.174565029169613</v>
                </pt>
                <pt idx="78">
                  <v>-1.20509504571235</v>
                </pt>
                <pt idx="79">
                  <v>-1.324617750134738</v>
                </pt>
                <pt idx="80">
                  <v>-1.219606793644231</v>
                </pt>
                <pt idx="81">
                  <v>-1.298527255339006</v>
                </pt>
                <pt idx="82">
                  <v>-1.367032625783436</v>
                </pt>
                <pt idx="83">
                  <v>-1.434552404931374</v>
                </pt>
                <pt idx="84">
                  <v>-1.397407459611019</v>
                </pt>
                <pt idx="85">
                  <v>-1.441379563514528</v>
                </pt>
                <pt idx="86">
                  <v>-1.411373814110775</v>
                </pt>
                <pt idx="87">
                  <v>-1.120772722126271</v>
                </pt>
                <pt idx="88">
                  <v>-1.094611981616301</v>
                </pt>
                <pt idx="89">
                  <v>-1.180484114464016</v>
                </pt>
                <pt idx="90">
                  <v>-1.117094021647828</v>
                </pt>
                <pt idx="91">
                  <v>-1.220096849680451</v>
                </pt>
                <pt idx="92">
                  <v>-1.222986895791401</v>
                </pt>
                <pt idx="93">
                  <v>-1.200840228080251</v>
                </pt>
                <pt idx="94">
                  <v>-1.201178704238988</v>
                </pt>
                <pt idx="95">
                  <v>-1.278829974996719</v>
                </pt>
                <pt idx="96">
                  <v>-1.254137054110543</v>
                </pt>
                <pt idx="97">
                  <v>-1.225913842617332</v>
                </pt>
                <pt idx="98">
                  <v>-1.231966269261424</v>
                </pt>
                <pt idx="99">
                  <v>-1.294567369655816</v>
                </pt>
                <pt idx="100">
                  <v>-1.337233814655506</v>
                </pt>
                <pt idx="101">
                  <v>-1.428157607449488</v>
                </pt>
                <pt idx="102">
                  <v>-1.450975961492081</v>
                </pt>
                <pt idx="103">
                  <v>-1.479213338928325</v>
                </pt>
                <pt idx="104">
                  <v>-1.49681171534233</v>
                </pt>
                <pt idx="105">
                  <v>-1.648999494027496</v>
                </pt>
                <pt idx="106">
                  <v>-1.623878052615561</v>
                </pt>
                <pt idx="107">
                  <v>-1.633431332098355</v>
                </pt>
                <pt idx="108">
                  <v>-1.600293845503098</v>
                </pt>
                <pt idx="109">
                  <v>-1.666217657782316</v>
                </pt>
                <pt idx="110">
                  <v>-1.66656196963323</v>
                </pt>
                <pt idx="111">
                  <v>-1.648416859048513</v>
                </pt>
                <pt idx="112">
                  <v>-1.552188373402972</v>
                </pt>
                <pt idx="113">
                  <v>-1.518113726265293</v>
                </pt>
                <pt idx="114">
                  <v>-1.527935359058438</v>
                </pt>
                <pt idx="115">
                  <v>-1.515948534844808</v>
                </pt>
                <pt idx="116">
                  <v>-1.537050944575904</v>
                </pt>
                <pt idx="117">
                  <v>-1.524455165992676</v>
                </pt>
                <pt idx="118">
                  <v>-1.658387312827669</v>
                </pt>
                <pt idx="119">
                  <v>-1.632689137772849</v>
                </pt>
                <pt idx="120">
                  <v>-1.729356099386747</v>
                </pt>
                <pt idx="121">
                  <v>-1.829314437710426</v>
                </pt>
                <pt idx="122">
                  <v>-1.869808755156869</v>
                </pt>
                <pt idx="123">
                  <v>-2.018431516423555</v>
                </pt>
                <pt idx="124">
                  <v>-2.058416364136901</v>
                </pt>
                <pt idx="125">
                  <v>-2.143216541224365</v>
                </pt>
                <pt idx="126">
                  <v>-1.904461226012035</v>
                </pt>
                <pt idx="127">
                  <v>-1.938543506847112</v>
                </pt>
                <pt idx="128">
                  <v>-1.932631970456527</v>
                </pt>
                <pt idx="129">
                  <v>-1.963283505745985</v>
                </pt>
                <pt idx="130">
                  <v>-2.046242589830214</v>
                </pt>
                <pt idx="131">
                  <v>-2.188403984135202</v>
                </pt>
                <pt idx="132">
                  <v>-2.179218578796545</v>
                </pt>
                <pt idx="133">
                  <v>-2.214734312399077</v>
                </pt>
                <pt idx="134">
                  <v>-2.559449115765383</v>
                </pt>
                <pt idx="135">
                  <v>-2.574404180960069</v>
                </pt>
                <pt idx="136">
                  <v>-2.479009318138865</v>
                </pt>
                <pt idx="137">
                  <v>-2.562074000642782</v>
                </pt>
                <pt idx="138">
                  <v>-2.664072736699502</v>
                </pt>
                <pt idx="139">
                  <v>-2.76183641751633</v>
                </pt>
              </numCache>
            </numRef>
          </val>
          <smooth val="0"/>
        </ser>
        <ser>
          <idx val="4"/>
          <order val="4"/>
          <tx>
            <strRef>
              <f>畫圖0!$B$16</f>
              <strCache>
                <ptCount val="1"/>
                <pt idx="0">
                  <v>120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畫圖0!$C$16:$EL$16</f>
              <numCache>
                <formatCode>General</formatCode>
                <ptCount val="140"/>
                <pt idx="0">
                  <v>0.2607277098356321</v>
                </pt>
                <pt idx="1">
                  <v>0.2690714414022675</v>
                </pt>
                <pt idx="2">
                  <v>0.1946111969471546</v>
                </pt>
                <pt idx="3">
                  <v>0.3616027467702384</v>
                </pt>
                <pt idx="4">
                  <v>0.2908632192071259</v>
                </pt>
                <pt idx="5">
                  <v>0.3377118792761301</v>
                </pt>
                <pt idx="6">
                  <v>0.1990835312448387</v>
                </pt>
                <pt idx="7">
                  <v>0.0492227543717208</v>
                </pt>
                <pt idx="8">
                  <v>-0.2386548059578015</v>
                </pt>
                <pt idx="9">
                  <v>-0.25442995501323</v>
                </pt>
                <pt idx="10">
                  <v>-0.224927410805021</v>
                </pt>
                <pt idx="11">
                  <v>-0.3338108937559674</v>
                </pt>
                <pt idx="12">
                  <v>-0.258812900671026</v>
                </pt>
                <pt idx="13">
                  <v>-0.33052960876478</v>
                </pt>
                <pt idx="14">
                  <v>-0.4549429803634741</v>
                </pt>
                <pt idx="15">
                  <v>-0.3926490778006678</v>
                </pt>
                <pt idx="16">
                  <v>-0.5012376071530741</v>
                </pt>
                <pt idx="17">
                  <v>-0.5364897363826908</v>
                </pt>
                <pt idx="18">
                  <v>-0.6801503574689596</v>
                </pt>
                <pt idx="19">
                  <v>-0.6806724412009982</v>
                </pt>
                <pt idx="20">
                  <v>-0.7733591886282374</v>
                </pt>
                <pt idx="21">
                  <v>-0.8751994583858265</v>
                </pt>
                <pt idx="22">
                  <v>-0.9020713616175517</v>
                </pt>
                <pt idx="23">
                  <v>-0.9283169141095018</v>
                </pt>
                <pt idx="24">
                  <v>-0.9744498475996324</v>
                </pt>
                <pt idx="25">
                  <v>-1.058129191133094</v>
                </pt>
                <pt idx="26">
                  <v>-1.118045353098105</v>
                </pt>
                <pt idx="27">
                  <v>-1.086542967061966</v>
                </pt>
                <pt idx="28">
                  <v>-1.198250764706539</v>
                </pt>
                <pt idx="29">
                  <v>-1.284637961837104</v>
                </pt>
                <pt idx="30">
                  <v>-1.315622724743863</v>
                </pt>
                <pt idx="31">
                  <v>-1.347388125193304</v>
                </pt>
                <pt idx="32">
                  <v>-1.293455321621307</v>
                </pt>
                <pt idx="33">
                  <v>-1.262966912680577</v>
                </pt>
                <pt idx="34">
                  <v>-1.327388313512949</v>
                </pt>
                <pt idx="35">
                  <v>-1.361096138635958</v>
                </pt>
                <pt idx="36">
                  <v>-1.332504912153688</v>
                </pt>
                <pt idx="37">
                  <v>-1.195101998246205</v>
                </pt>
                <pt idx="38">
                  <v>-1.173739590106953</v>
                </pt>
                <pt idx="39">
                  <v>-1.236695066109895</v>
                </pt>
                <pt idx="40">
                  <v>-1.191299471242001</v>
                </pt>
                <pt idx="41">
                  <v>-1.080646437153927</v>
                </pt>
                <pt idx="42">
                  <v>-1.07190608909474</v>
                </pt>
                <pt idx="43">
                  <v>-1.035412893596238</v>
                </pt>
                <pt idx="44">
                  <v>-1.100170317585204</v>
                </pt>
                <pt idx="45">
                  <v>-1.075577147530732</v>
                </pt>
                <pt idx="46">
                  <v>-1.076040459233439</v>
                </pt>
                <pt idx="47">
                  <v>-1.123505776175756</v>
                </pt>
                <pt idx="48">
                  <v>-1.083198275040534</v>
                </pt>
                <pt idx="49">
                  <v>-1.02435300587789</v>
                </pt>
                <pt idx="50">
                  <v>-1.036449991686032</v>
                </pt>
                <pt idx="51">
                  <v>-1.16942864844574</v>
                </pt>
                <pt idx="52">
                  <v>-1.10403631790944</v>
                </pt>
                <pt idx="53">
                  <v>-1.013248926589764</v>
                </pt>
                <pt idx="54">
                  <v>-1.040058517624985</v>
                </pt>
                <pt idx="55">
                  <v>-1.116404661535259</v>
                </pt>
                <pt idx="56">
                  <v>-1.173334463893288</v>
                </pt>
                <pt idx="57">
                  <v>-1.206244218713235</v>
                </pt>
                <pt idx="58">
                  <v>-1.257289867406664</v>
                </pt>
                <pt idx="59">
                  <v>-1.228277148262036</v>
                </pt>
                <pt idx="60">
                  <v>-1.197737882106373</v>
                </pt>
                <pt idx="61">
                  <v>-1.269821655915905</v>
                </pt>
                <pt idx="62">
                  <v>-1.226334138970905</v>
                </pt>
                <pt idx="63">
                  <v>-1.271175468416272</v>
                </pt>
                <pt idx="64">
                  <v>-1.296876547302528</v>
                </pt>
                <pt idx="65">
                  <v>-1.261956534480386</v>
                </pt>
                <pt idx="66">
                  <v>-1.278482568066111</v>
                </pt>
                <pt idx="67">
                  <v>-1.339071866145186</v>
                </pt>
                <pt idx="68">
                  <v>-1.329798512726992</v>
                </pt>
                <pt idx="69">
                  <v>-1.26998573192943</v>
                </pt>
                <pt idx="70">
                  <v>-1.236579087743948</v>
                </pt>
                <pt idx="71">
                  <v>-1.339575535458552</v>
                </pt>
                <pt idx="72">
                  <v>-1.300828249747136</v>
                </pt>
                <pt idx="73">
                  <v>-1.308927493351605</v>
                </pt>
                <pt idx="74">
                  <v>-1.410129710725015</v>
                </pt>
                <pt idx="75">
                  <v>-1.305126034328093</v>
                </pt>
                <pt idx="76">
                  <v>-1.327268733919502</v>
                </pt>
                <pt idx="77">
                  <v>-1.267802763753557</v>
                </pt>
                <pt idx="78">
                  <v>-1.328952155847335</v>
                </pt>
                <pt idx="79">
                  <v>-1.444661370585715</v>
                </pt>
                <pt idx="80">
                  <v>-1.323779118682636</v>
                </pt>
                <pt idx="81">
                  <v>-1.406719454879387</v>
                </pt>
                <pt idx="82">
                  <v>-1.474546719859012</v>
                </pt>
                <pt idx="83">
                  <v>-1.522601224404721</v>
                </pt>
                <pt idx="84">
                  <v>-1.473511483154688</v>
                </pt>
                <pt idx="85">
                  <v>-1.530254663275821</v>
                </pt>
                <pt idx="86">
                  <v>-1.493975009055318</v>
                </pt>
                <pt idx="87">
                  <v>-1.182432213780883</v>
                </pt>
                <pt idx="88">
                  <v>-1.161168323978277</v>
                </pt>
                <pt idx="89">
                  <v>-1.222548198915602</v>
                </pt>
                <pt idx="90">
                  <v>-1.13371862107844</v>
                </pt>
                <pt idx="91">
                  <v>-1.246458252764164</v>
                </pt>
                <pt idx="92">
                  <v>-1.242931751782433</v>
                </pt>
                <pt idx="93">
                  <v>-1.211324205234634</v>
                </pt>
                <pt idx="94">
                  <v>-1.222747454294336</v>
                </pt>
                <pt idx="95">
                  <v>-1.317067861945374</v>
                </pt>
                <pt idx="96">
                  <v>-1.296395139840395</v>
                </pt>
                <pt idx="97">
                  <v>-1.270914932892308</v>
                </pt>
                <pt idx="98">
                  <v>-1.281381731832881</v>
                </pt>
                <pt idx="99">
                  <v>-1.339465459963629</v>
                </pt>
                <pt idx="100">
                  <v>-1.389103099368459</v>
                </pt>
                <pt idx="101">
                  <v>-1.507814477182092</v>
                </pt>
                <pt idx="102">
                  <v>-1.542233969969458</v>
                </pt>
                <pt idx="103">
                  <v>-1.577675755979993</v>
                </pt>
                <pt idx="104">
                  <v>-1.593270932257426</v>
                </pt>
                <pt idx="105">
                  <v>-1.757273267062212</v>
                </pt>
                <pt idx="106">
                  <v>-1.73105952182529</v>
                </pt>
                <pt idx="107">
                  <v>-1.719586716067558</v>
                </pt>
                <pt idx="108">
                  <v>-1.67829651199285</v>
                </pt>
                <pt idx="109">
                  <v>-1.726360642073447</v>
                </pt>
                <pt idx="110">
                  <v>-1.714686751699498</v>
                </pt>
                <pt idx="111">
                  <v>-1.695874690020982</v>
                </pt>
                <pt idx="112">
                  <v>-1.591316817528573</v>
                </pt>
                <pt idx="113">
                  <v>-1.554722335679027</v>
                </pt>
                <pt idx="114">
                  <v>-1.572395494678919</v>
                </pt>
                <pt idx="115">
                  <v>-1.550161527898744</v>
                </pt>
                <pt idx="116">
                  <v>-1.582745467689483</v>
                </pt>
                <pt idx="117">
                  <v>-1.60066835659079</v>
                </pt>
                <pt idx="118">
                  <v>-1.736910446840795</v>
                </pt>
                <pt idx="119">
                  <v>-1.699078949908181</v>
                </pt>
                <pt idx="120">
                  <v>-1.815525518455825</v>
                </pt>
                <pt idx="121">
                  <v>-1.928233289089937</v>
                </pt>
                <pt idx="122">
                  <v>-1.943608616544922</v>
                </pt>
                <pt idx="123">
                  <v>-2.094996746268638</v>
                </pt>
                <pt idx="124">
                  <v>-2.115707776732263</v>
                </pt>
                <pt idx="125">
                  <v>-2.179992777350866</v>
                </pt>
                <pt idx="126">
                  <v>-1.934893613442386</v>
                </pt>
                <pt idx="127">
                  <v>-1.981072554277344</v>
                </pt>
                <pt idx="128">
                  <v>-1.982215124007285</v>
                </pt>
                <pt idx="129">
                  <v>-2.012904233405088</v>
                </pt>
                <pt idx="130">
                  <v>-2.095188775635527</v>
                </pt>
                <pt idx="131">
                  <v>-2.242610343545199</v>
                </pt>
                <pt idx="132">
                  <v>-2.244858899989653</v>
                </pt>
                <pt idx="133">
                  <v>-2.273768786449109</v>
                </pt>
                <pt idx="134">
                  <v>-2.669555744821594</v>
                </pt>
                <pt idx="135">
                  <v>-2.692831134730357</v>
                </pt>
                <pt idx="136">
                  <v>-2.592343494778012</v>
                </pt>
                <pt idx="137">
                  <v>-2.669954629839919</v>
                </pt>
                <pt idx="138">
                  <v>-2.809136771548031</v>
                </pt>
                <pt idx="139">
                  <v>-2.903664155960599</v>
                </pt>
              </numCache>
            </numRef>
          </val>
          <smooth val="0"/>
        </ser>
        <ser>
          <idx val="5"/>
          <order val="5"/>
          <tx>
            <strRef>
              <f>畫圖0!$B$17</f>
              <strCache>
                <ptCount val="1"/>
                <pt idx="0">
                  <v>130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畫圖0!$C$17:$EL$17</f>
              <numCache>
                <formatCode>General</formatCode>
                <ptCount val="140"/>
                <pt idx="0">
                  <v>0.2378970514581851</v>
                </pt>
                <pt idx="1">
                  <v>0.2383065009371679</v>
                </pt>
                <pt idx="2">
                  <v>0.1807550942427325</v>
                </pt>
                <pt idx="3">
                  <v>0.3696527984485745</v>
                </pt>
                <pt idx="4">
                  <v>0.3302529037468596</v>
                </pt>
                <pt idx="5">
                  <v>0.4185882741532224</v>
                </pt>
                <pt idx="6">
                  <v>0.2648198594310007</v>
                </pt>
                <pt idx="7">
                  <v>0.1051788484475701</v>
                </pt>
                <pt idx="8">
                  <v>-0.176486433612529</v>
                </pt>
                <pt idx="9">
                  <v>-0.1688480327695881</v>
                </pt>
                <pt idx="10">
                  <v>-0.1188692846475438</v>
                </pt>
                <pt idx="11">
                  <v>-0.2359321812845496</v>
                </pt>
                <pt idx="12">
                  <v>-0.1735660518602124</v>
                </pt>
                <pt idx="13">
                  <v>-0.2513974840950849</v>
                </pt>
                <pt idx="14">
                  <v>-0.3796601690410835</v>
                </pt>
                <pt idx="15">
                  <v>-0.3111883928025745</v>
                </pt>
                <pt idx="16">
                  <v>-0.4444146031661743</v>
                </pt>
                <pt idx="17">
                  <v>-0.4869114889598164</v>
                </pt>
                <pt idx="18">
                  <v>-0.6483167475754096</v>
                </pt>
                <pt idx="19">
                  <v>-0.6381179884446682</v>
                </pt>
                <pt idx="20">
                  <v>-0.7361889174948845</v>
                </pt>
                <pt idx="21">
                  <v>-0.8702802220777374</v>
                </pt>
                <pt idx="22">
                  <v>-0.9035530858612726</v>
                </pt>
                <pt idx="23">
                  <v>-0.9384028715837954</v>
                </pt>
                <pt idx="24">
                  <v>-0.9895318992540622</v>
                </pt>
                <pt idx="25">
                  <v>-1.075417130293334</v>
                </pt>
                <pt idx="26">
                  <v>-1.131918391724086</v>
                </pt>
                <pt idx="27">
                  <v>-1.091790401322752</v>
                </pt>
                <pt idx="28">
                  <v>-1.215891337476111</v>
                </pt>
                <pt idx="29">
                  <v>-1.279536865016605</v>
                </pt>
                <pt idx="30">
                  <v>-1.345971964059753</v>
                </pt>
                <pt idx="31">
                  <v>-1.395409506340294</v>
                </pt>
                <pt idx="32">
                  <v>-1.358165776546025</v>
                </pt>
                <pt idx="33">
                  <v>-1.315915749559794</v>
                </pt>
                <pt idx="34">
                  <v>-1.347728235559614</v>
                </pt>
                <pt idx="35">
                  <v>-1.379569706261102</v>
                </pt>
                <pt idx="36">
                  <v>-1.335042062326093</v>
                </pt>
                <pt idx="37">
                  <v>-1.220010354794513</v>
                </pt>
                <pt idx="38">
                  <v>-1.201244034937896</v>
                </pt>
                <pt idx="39">
                  <v>-1.286446805559917</v>
                </pt>
                <pt idx="40">
                  <v>-1.250606417571433</v>
                </pt>
                <pt idx="41">
                  <v>-1.124495971937026</v>
                </pt>
                <pt idx="42">
                  <v>-1.103617727376774</v>
                </pt>
                <pt idx="43">
                  <v>-1.045063022617182</v>
                </pt>
                <pt idx="44">
                  <v>-1.089417485824755</v>
                </pt>
                <pt idx="45">
                  <v>-1.065716928127707</v>
                </pt>
                <pt idx="46">
                  <v>-1.053189261874121</v>
                </pt>
                <pt idx="47">
                  <v>-1.101052604670004</v>
                </pt>
                <pt idx="48">
                  <v>-1.06242675437512</v>
                </pt>
                <pt idx="49">
                  <v>-0.9915254817370494</v>
                </pt>
                <pt idx="50">
                  <v>-1.001221884925758</v>
                </pt>
                <pt idx="51">
                  <v>-1.143539260264932</v>
                </pt>
                <pt idx="52">
                  <v>-1.061621342604935</v>
                </pt>
                <pt idx="53">
                  <v>-0.9834489219772293</v>
                </pt>
                <pt idx="54">
                  <v>-1.019359491094082</v>
                </pt>
                <pt idx="55">
                  <v>-1.091952293555187</v>
                </pt>
                <pt idx="56">
                  <v>-1.105446642815981</v>
                </pt>
                <pt idx="57">
                  <v>-1.171487144134632</v>
                </pt>
                <pt idx="58">
                  <v>-1.245056577933098</v>
                </pt>
                <pt idx="59">
                  <v>-1.205238262759658</v>
                </pt>
                <pt idx="60">
                  <v>-1.149603944602053</v>
                </pt>
                <pt idx="61">
                  <v>-1.227891290096656</v>
                </pt>
                <pt idx="62">
                  <v>-1.157980868388341</v>
                </pt>
                <pt idx="63">
                  <v>-1.214362920136226</v>
                </pt>
                <pt idx="64">
                  <v>-1.224631549915623</v>
                </pt>
                <pt idx="65">
                  <v>-1.188786708460489</v>
                </pt>
                <pt idx="66">
                  <v>-1.228300234321817</v>
                </pt>
                <pt idx="67">
                  <v>-1.260768909795648</v>
                </pt>
                <pt idx="68">
                  <v>-1.250140408817921</v>
                </pt>
                <pt idx="69">
                  <v>-1.198858367699987</v>
                </pt>
                <pt idx="70">
                  <v>-1.16295031764022</v>
                </pt>
                <pt idx="71">
                  <v>-1.275182391387826</v>
                </pt>
                <pt idx="72">
                  <v>-1.196750512315024</v>
                </pt>
                <pt idx="73">
                  <v>-1.199180983778453</v>
                </pt>
                <pt idx="74">
                  <v>-1.30402733168775</v>
                </pt>
                <pt idx="75">
                  <v>-1.185850415910091</v>
                </pt>
                <pt idx="76">
                  <v>-1.205267096833906</v>
                </pt>
                <pt idx="77">
                  <v>-1.14895665304808</v>
                </pt>
                <pt idx="78">
                  <v>-1.213571730461963</v>
                </pt>
                <pt idx="79">
                  <v>-1.359802984567731</v>
                </pt>
                <pt idx="80">
                  <v>-1.201524185320608</v>
                </pt>
                <pt idx="81">
                  <v>-1.276916869404941</v>
                </pt>
                <pt idx="82">
                  <v>-1.30835310202477</v>
                </pt>
                <pt idx="83">
                  <v>-1.391225481824439</v>
                </pt>
                <pt idx="84">
                  <v>-1.335312193018411</v>
                </pt>
                <pt idx="85">
                  <v>-1.416937291891671</v>
                </pt>
                <pt idx="86">
                  <v>-1.372740922282253</v>
                </pt>
                <pt idx="87">
                  <v>-1.032452726960655</v>
                </pt>
                <pt idx="88">
                  <v>-1.00219733855852</v>
                </pt>
                <pt idx="89">
                  <v>-1.073799072428145</v>
                </pt>
                <pt idx="90">
                  <v>-0.9414670102405267</v>
                </pt>
                <pt idx="91">
                  <v>-1.061642822052347</v>
                </pt>
                <pt idx="92">
                  <v>-1.055449018388682</v>
                </pt>
                <pt idx="93">
                  <v>-1.017475650447203</v>
                </pt>
                <pt idx="94">
                  <v>-1.00836422919813</v>
                </pt>
                <pt idx="95">
                  <v>-1.114603753382322</v>
                </pt>
                <pt idx="96">
                  <v>-1.075966009364379</v>
                </pt>
                <pt idx="97">
                  <v>-1.058468437507581</v>
                </pt>
                <pt idx="98">
                  <v>-1.067995781042259</v>
                </pt>
                <pt idx="99">
                  <v>-1.117060786721217</v>
                </pt>
                <pt idx="100">
                  <v>-1.175071469960652</v>
                </pt>
                <pt idx="101">
                  <v>-1.341310249770934</v>
                </pt>
                <pt idx="102">
                  <v>-1.390137878342284</v>
                </pt>
                <pt idx="103">
                  <v>-1.411582946880025</v>
                </pt>
                <pt idx="104">
                  <v>-1.437385279182521</v>
                </pt>
                <pt idx="105">
                  <v>-1.598612052475154</v>
                </pt>
                <pt idx="106">
                  <v>-1.573560400148086</v>
                </pt>
                <pt idx="107">
                  <v>-1.576701942283784</v>
                </pt>
                <pt idx="108">
                  <v>-1.530387277661407</v>
                </pt>
                <pt idx="109">
                  <v>-1.595206238212182</v>
                </pt>
                <pt idx="110">
                  <v>-1.596247197460875</v>
                </pt>
                <pt idx="111">
                  <v>-1.595650129976352</v>
                </pt>
                <pt idx="112">
                  <v>-1.479556284996369</v>
                </pt>
                <pt idx="113">
                  <v>-1.405921236692665</v>
                </pt>
                <pt idx="114">
                  <v>-1.357896040821535</v>
                </pt>
                <pt idx="115">
                  <v>-1.303354832762762</v>
                </pt>
                <pt idx="116">
                  <v>-1.345230238754272</v>
                </pt>
                <pt idx="117">
                  <v>-1.376950363090584</v>
                </pt>
                <pt idx="118">
                  <v>-1.521582555352102</v>
                </pt>
                <pt idx="119">
                  <v>-1.467854434961291</v>
                </pt>
                <pt idx="120">
                  <v>-1.617701911268727</v>
                </pt>
                <pt idx="121">
                  <v>-1.72519837576197</v>
                </pt>
                <pt idx="122">
                  <v>-1.771206266289279</v>
                </pt>
                <pt idx="123">
                  <v>-1.939004311454043</v>
                </pt>
                <pt idx="124">
                  <v>-1.936318813281535</v>
                </pt>
                <pt idx="125">
                  <v>-2.008679334610826</v>
                </pt>
                <pt idx="126">
                  <v>-1.757998774387086</v>
                </pt>
                <pt idx="127">
                  <v>-1.791848507907406</v>
                </pt>
                <pt idx="128">
                  <v>-1.82499620773715</v>
                </pt>
                <pt idx="129">
                  <v>-1.876165522433114</v>
                </pt>
                <pt idx="130">
                  <v>-1.932868971293666</v>
                </pt>
                <pt idx="131">
                  <v>-2.097198838184674</v>
                </pt>
                <pt idx="132">
                  <v>-2.123612980122441</v>
                </pt>
                <pt idx="133">
                  <v>-2.138087996498673</v>
                </pt>
                <pt idx="134">
                  <v>-2.580254709607476</v>
                </pt>
                <pt idx="135">
                  <v>-2.600493516190583</v>
                </pt>
                <pt idx="136">
                  <v>-2.510949748517834</v>
                </pt>
                <pt idx="137">
                  <v>-2.587822153956248</v>
                </pt>
                <pt idx="138">
                  <v>-2.716056471166366</v>
                </pt>
                <pt idx="139">
                  <v>-2.809582673746593</v>
                </pt>
              </numCache>
            </numRef>
          </val>
          <smooth val="0"/>
        </ser>
        <ser>
          <idx val="6"/>
          <order val="6"/>
          <tx>
            <strRef>
              <f>畫圖0!$B$18</f>
              <strCache>
                <ptCount val="1"/>
                <pt idx="0">
                  <v>150</v>
                </pt>
              </strCache>
            </strRef>
          </tx>
          <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畫圖0!$C$18:$EL$18</f>
              <numCache>
                <formatCode>General</formatCode>
                <ptCount val="140"/>
                <pt idx="0">
                  <v>0.2436872854011519</v>
                </pt>
                <pt idx="1">
                  <v>0.2645057811738382</v>
                </pt>
                <pt idx="2">
                  <v>0.1882297185538305</v>
                </pt>
                <pt idx="3">
                  <v>0.4013533965581721</v>
                </pt>
                <pt idx="4">
                  <v>0.3529324999901595</v>
                </pt>
                <pt idx="5">
                  <v>0.4549310910083144</v>
                </pt>
                <pt idx="6">
                  <v>0.3067195205969518</v>
                </pt>
                <pt idx="7">
                  <v>0.113519893470463</v>
                </pt>
                <pt idx="8">
                  <v>-0.2012029185212438</v>
                </pt>
                <pt idx="9">
                  <v>-0.1932486797349177</v>
                </pt>
                <pt idx="10">
                  <v>-0.1217246661873188</v>
                </pt>
                <pt idx="11">
                  <v>-0.2431336244254849</v>
                </pt>
                <pt idx="12">
                  <v>-0.1536046591327398</v>
                </pt>
                <pt idx="13">
                  <v>-0.2185897798266638</v>
                </pt>
                <pt idx="14">
                  <v>-0.3688599047482213</v>
                </pt>
                <pt idx="15">
                  <v>-0.2923224244950937</v>
                </pt>
                <pt idx="16">
                  <v>-0.4507537407109917</v>
                </pt>
                <pt idx="17">
                  <v>-0.4801543518983041</v>
                </pt>
                <pt idx="18">
                  <v>-0.6311989447224551</v>
                </pt>
                <pt idx="19">
                  <v>-0.6140480370262084</v>
                </pt>
                <pt idx="20">
                  <v>-0.7300548572826842</v>
                </pt>
                <pt idx="21">
                  <v>-0.8568851382559515</v>
                </pt>
                <pt idx="22">
                  <v>-0.8981488645931228</v>
                </pt>
                <pt idx="23">
                  <v>-0.977242339256569</v>
                </pt>
                <pt idx="24">
                  <v>-1.0290429695334</v>
                </pt>
                <pt idx="25">
                  <v>-1.12386439091625</v>
                </pt>
                <pt idx="26">
                  <v>-1.192456435105913</v>
                </pt>
                <pt idx="27">
                  <v>-1.143115240522368</v>
                </pt>
                <pt idx="28">
                  <v>-1.286998838128026</v>
                </pt>
                <pt idx="29">
                  <v>-1.364697399799137</v>
                </pt>
                <pt idx="30">
                  <v>-1.419939957158729</v>
                </pt>
                <pt idx="31">
                  <v>-1.460137418127244</v>
                </pt>
                <pt idx="32">
                  <v>-1.414591048311857</v>
                </pt>
                <pt idx="33">
                  <v>-1.371917885515941</v>
                </pt>
                <pt idx="34">
                  <v>-1.369730404547267</v>
                </pt>
                <pt idx="35">
                  <v>-1.395976223114227</v>
                </pt>
                <pt idx="36">
                  <v>-1.36361158523719</v>
                </pt>
                <pt idx="37">
                  <v>-1.236323088935981</v>
                </pt>
                <pt idx="38">
                  <v>-1.203965104961927</v>
                </pt>
                <pt idx="39">
                  <v>-1.290858226294807</v>
                </pt>
                <pt idx="40">
                  <v>-1.248028045262278</v>
                </pt>
                <pt idx="41">
                  <v>-1.136840740701746</v>
                </pt>
                <pt idx="42">
                  <v>-1.108196904007748</v>
                </pt>
                <pt idx="43">
                  <v>-1.057955590285817</v>
                </pt>
                <pt idx="44">
                  <v>-1.109581089055156</v>
                </pt>
                <pt idx="45">
                  <v>-1.095265782868682</v>
                </pt>
                <pt idx="46">
                  <v>-1.085649328717262</v>
                </pt>
                <pt idx="47">
                  <v>-1.11717614556035</v>
                </pt>
                <pt idx="48">
                  <v>-1.02984610420941</v>
                </pt>
                <pt idx="49">
                  <v>-0.9385022086723417</v>
                </pt>
                <pt idx="50">
                  <v>-0.9206411802549676</v>
                </pt>
                <pt idx="51">
                  <v>-1.070925167201945</v>
                </pt>
                <pt idx="52">
                  <v>-0.9886363419044103</v>
                </pt>
                <pt idx="53">
                  <v>-0.9367692700360613</v>
                </pt>
                <pt idx="54">
                  <v>-1.007808147503308</v>
                </pt>
                <pt idx="55">
                  <v>-1.049209739042907</v>
                </pt>
                <pt idx="56">
                  <v>-1.066602719168814</v>
                </pt>
                <pt idx="57">
                  <v>-1.085916038473056</v>
                </pt>
                <pt idx="58">
                  <v>-1.19294725817646</v>
                </pt>
                <pt idx="59">
                  <v>-1.161040402620483</v>
                </pt>
                <pt idx="60">
                  <v>-1.113965871242729</v>
                </pt>
                <pt idx="61">
                  <v>-1.201187357955399</v>
                </pt>
                <pt idx="62">
                  <v>-1.143497827544653</v>
                </pt>
                <pt idx="63">
                  <v>-1.200889381284314</v>
                </pt>
                <pt idx="64">
                  <v>-1.22140584883568</v>
                </pt>
                <pt idx="65">
                  <v>-1.196236595704257</v>
                </pt>
                <pt idx="66">
                  <v>-1.212465979116427</v>
                </pt>
                <pt idx="67">
                  <v>-1.212264920330938</v>
                </pt>
                <pt idx="68">
                  <v>-1.191683520588013</v>
                </pt>
                <pt idx="69">
                  <v>-1.100985125159724</v>
                </pt>
                <pt idx="70">
                  <v>-1.085390026502125</v>
                </pt>
                <pt idx="71">
                  <v>-1.222067932845121</v>
                </pt>
                <pt idx="72">
                  <v>-1.142249523798835</v>
                </pt>
                <pt idx="73">
                  <v>-1.173258424851395</v>
                </pt>
                <pt idx="74">
                  <v>-1.262940244289257</v>
                </pt>
                <pt idx="75">
                  <v>-1.112143150479486</v>
                </pt>
                <pt idx="76">
                  <v>-1.13536713439771</v>
                </pt>
                <pt idx="77">
                  <v>-1.081150806504336</v>
                </pt>
                <pt idx="78">
                  <v>-1.154793566488381</v>
                </pt>
                <pt idx="79">
                  <v>-1.320467760284373</v>
                </pt>
                <pt idx="80">
                  <v>-1.186535153374791</v>
                </pt>
                <pt idx="81">
                  <v>-1.278849576536949</v>
                </pt>
                <pt idx="82">
                  <v>-1.321426148314339</v>
                </pt>
                <pt idx="83">
                  <v>-1.429539559589555</v>
                </pt>
                <pt idx="84">
                  <v>-1.399285149932496</v>
                </pt>
                <pt idx="85">
                  <v>-1.498224656273504</v>
                </pt>
                <pt idx="86">
                  <v>-1.424456127781258</v>
                </pt>
                <pt idx="87">
                  <v>-1.056706011235981</v>
                </pt>
                <pt idx="88">
                  <v>-1.041850384680753</v>
                </pt>
                <pt idx="89">
                  <v>-1.125080349488371</v>
                </pt>
                <pt idx="90">
                  <v>-0.9813366918178271</v>
                </pt>
                <pt idx="91">
                  <v>-1.112194706610953</v>
                </pt>
                <pt idx="92">
                  <v>-1.116612194118217</v>
                </pt>
                <pt idx="93">
                  <v>-1.065068195905053</v>
                </pt>
                <pt idx="94">
                  <v>-1.059931705676094</v>
                </pt>
                <pt idx="95">
                  <v>-1.177099865091316</v>
                </pt>
                <pt idx="96">
                  <v>-1.146331817960848</v>
                </pt>
                <pt idx="97">
                  <v>-1.100363647232235</v>
                </pt>
                <pt idx="98">
                  <v>-1.106095417678543</v>
                </pt>
                <pt idx="99">
                  <v>-1.158743508940686</v>
                </pt>
                <pt idx="100">
                  <v>-1.218328996597053</v>
                </pt>
                <pt idx="101">
                  <v>-1.4183577978342</v>
                </pt>
                <pt idx="102">
                  <v>-1.471671921550204</v>
                </pt>
                <pt idx="103">
                  <v>-1.493665427996069</v>
                </pt>
                <pt idx="104">
                  <v>-1.510004339005858</v>
                </pt>
                <pt idx="105">
                  <v>-1.709097078512486</v>
                </pt>
                <pt idx="106">
                  <v>-1.67523078809895</v>
                </pt>
                <pt idx="107">
                  <v>-1.712120273631856</v>
                </pt>
                <pt idx="108">
                  <v>-1.667872626302848</v>
                </pt>
                <pt idx="109">
                  <v>-1.730417335045161</v>
                </pt>
                <pt idx="110">
                  <v>-1.703836327101978</v>
                </pt>
                <pt idx="111">
                  <v>-1.703929604906463</v>
                </pt>
                <pt idx="112">
                  <v>-1.577681003673348</v>
                </pt>
                <pt idx="113">
                  <v>-1.514780913271182</v>
                </pt>
                <pt idx="114">
                  <v>-1.484394303002654</v>
                </pt>
                <pt idx="115">
                  <v>-1.461724798344482</v>
                </pt>
                <pt idx="116">
                  <v>-1.507949820729869</v>
                </pt>
                <pt idx="117">
                  <v>-1.525817952344197</v>
                </pt>
                <pt idx="118">
                  <v>-1.699997058910204</v>
                </pt>
                <pt idx="119">
                  <v>-1.647898730947758</v>
                </pt>
                <pt idx="120">
                  <v>-1.824799376831063</v>
                </pt>
                <pt idx="121">
                  <v>-1.957225355294145</v>
                </pt>
                <pt idx="122">
                  <v>-2.028731229248506</v>
                </pt>
                <pt idx="123">
                  <v>-2.221394905029767</v>
                </pt>
                <pt idx="124">
                  <v>-2.21018982379557</v>
                </pt>
                <pt idx="125">
                  <v>-2.272784901913634</v>
                </pt>
                <pt idx="126">
                  <v>-1.994186308674541</v>
                </pt>
                <pt idx="127">
                  <v>-1.995357783955474</v>
                </pt>
                <pt idx="128">
                  <v>-2.030600511368277</v>
                </pt>
                <pt idx="129">
                  <v>-2.061691627071566</v>
                </pt>
                <pt idx="130">
                  <v>-2.113556867460209</v>
                </pt>
                <pt idx="131">
                  <v>-2.274783354550373</v>
                </pt>
                <pt idx="132">
                  <v>-2.29274548564706</v>
                </pt>
                <pt idx="133">
                  <v>-2.313544566581207</v>
                </pt>
                <pt idx="134">
                  <v>-2.8052865876558</v>
                </pt>
                <pt idx="135">
                  <v>-2.828761348361116</v>
                </pt>
                <pt idx="136">
                  <v>-2.74726220885003</v>
                </pt>
                <pt idx="137">
                  <v>-2.799879677652242</v>
                </pt>
                <pt idx="138">
                  <v>-2.933549630940573</v>
                </pt>
                <pt idx="139">
                  <v>-2.978272272244241</v>
                </pt>
              </numCache>
            </numRef>
          </val>
          <smooth val="0"/>
        </ser>
        <ser>
          <idx val="7"/>
          <order val="7"/>
          <tx>
            <strRef>
              <f>畫圖0!$B$19</f>
              <strCache>
                <ptCount val="1"/>
                <pt idx="0">
                  <v>180</v>
                </pt>
              </strCache>
            </strRef>
          </tx>
          <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畫圖0!$C$19:$EL$19</f>
              <numCache>
                <formatCode>General</formatCode>
                <ptCount val="140"/>
                <pt idx="0">
                  <v>0.2582503737473393</v>
                </pt>
                <pt idx="1">
                  <v>0.2853542149709731</v>
                </pt>
                <pt idx="2">
                  <v>0.2348708478876176</v>
                </pt>
                <pt idx="3">
                  <v>0.5096995049578537</v>
                </pt>
                <pt idx="4">
                  <v>0.4554043624882663</v>
                </pt>
                <pt idx="5">
                  <v>0.5883405240151083</v>
                </pt>
                <pt idx="6">
                  <v>0.4052075372660443</v>
                </pt>
                <pt idx="7">
                  <v>0.1991522322722937</v>
                </pt>
                <pt idx="8">
                  <v>-0.1896041404365978</v>
                </pt>
                <pt idx="9">
                  <v>-0.1825225771631519</v>
                </pt>
                <pt idx="10">
                  <v>-0.104213253848342</v>
                </pt>
                <pt idx="11">
                  <v>-0.174380425650617</v>
                </pt>
                <pt idx="12">
                  <v>-0.09054594464896962</v>
                </pt>
                <pt idx="13">
                  <v>-0.1714459747497041</v>
                </pt>
                <pt idx="14">
                  <v>-0.3234528869516362</v>
                </pt>
                <pt idx="15">
                  <v>-0.2331537963207799</v>
                </pt>
                <pt idx="16">
                  <v>-0.3997243637498146</v>
                </pt>
                <pt idx="17">
                  <v>-0.4233517614089524</v>
                </pt>
                <pt idx="18">
                  <v>-0.5511427520778305</v>
                </pt>
                <pt idx="19">
                  <v>-0.5456707736006562</v>
                </pt>
                <pt idx="20">
                  <v>-0.6757766138774612</v>
                </pt>
                <pt idx="21">
                  <v>-0.7730242163697191</v>
                </pt>
                <pt idx="22">
                  <v>-0.81413571830056</v>
                </pt>
                <pt idx="23">
                  <v>-0.8939237919699941</v>
                </pt>
                <pt idx="24">
                  <v>-0.9472719257846083</v>
                </pt>
                <pt idx="25">
                  <v>-1.026276512119134</v>
                </pt>
                <pt idx="26">
                  <v>-1.075238496453228</v>
                </pt>
                <pt idx="27">
                  <v>-1.034728277046794</v>
                </pt>
                <pt idx="28">
                  <v>-1.191980189251836</v>
                </pt>
                <pt idx="29">
                  <v>-1.280206952440577</v>
                </pt>
                <pt idx="30">
                  <v>-1.328884186318461</v>
                </pt>
                <pt idx="31">
                  <v>-1.385441901540164</v>
                </pt>
                <pt idx="32">
                  <v>-1.308258054360422</v>
                </pt>
                <pt idx="33">
                  <v>-1.261421967933444</v>
                </pt>
                <pt idx="34">
                  <v>-1.268974010439397</v>
                </pt>
                <pt idx="35">
                  <v>-1.29357151437932</v>
                </pt>
                <pt idx="36">
                  <v>-1.26098649762205</v>
                </pt>
                <pt idx="37">
                  <v>-1.143664159237789</v>
                </pt>
                <pt idx="38">
                  <v>-1.12567758225925</v>
                </pt>
                <pt idx="39">
                  <v>-1.221398232907089</v>
                </pt>
                <pt idx="40">
                  <v>-1.142810187778279</v>
                </pt>
                <pt idx="41">
                  <v>-1.01612082118864</v>
                </pt>
                <pt idx="42">
                  <v>-0.9867533875774201</v>
                </pt>
                <pt idx="43">
                  <v>-0.9408759548486221</v>
                </pt>
                <pt idx="44">
                  <v>-0.9836057058197868</v>
                </pt>
                <pt idx="45">
                  <v>-0.9639628418471189</v>
                </pt>
                <pt idx="46">
                  <v>-0.9720970614661962</v>
                </pt>
                <pt idx="47">
                  <v>-1.00772494064237</v>
                </pt>
                <pt idx="48">
                  <v>-0.916891413754233</v>
                </pt>
                <pt idx="49">
                  <v>-0.7965878469131946</v>
                </pt>
                <pt idx="50">
                  <v>-0.7669886522873367</v>
                </pt>
                <pt idx="51">
                  <v>-0.9467589033334455</v>
                </pt>
                <pt idx="52">
                  <v>-0.8640332821185104</v>
                </pt>
                <pt idx="53">
                  <v>-0.8530069811710737</v>
                </pt>
                <pt idx="54">
                  <v>-0.9388987885287792</v>
                </pt>
                <pt idx="55">
                  <v>-0.9801768982587791</v>
                </pt>
                <pt idx="56">
                  <v>-1.0037323315034</v>
                </pt>
                <pt idx="57">
                  <v>-1.044732760525708</v>
                </pt>
                <pt idx="58">
                  <v>-1.134314730613962</v>
                </pt>
                <pt idx="59">
                  <v>-1.123587223553361</v>
                </pt>
                <pt idx="60">
                  <v>-1.06112660959376</v>
                </pt>
                <pt idx="61">
                  <v>-1.157774215253351</v>
                </pt>
                <pt idx="62">
                  <v>-1.068212355950813</v>
                </pt>
                <pt idx="63">
                  <v>-1.134839307978065</v>
                </pt>
                <pt idx="64">
                  <v>-1.155859157966914</v>
                </pt>
                <pt idx="65">
                  <v>-1.112826449768127</v>
                </pt>
                <pt idx="66">
                  <v>-1.146284064737974</v>
                </pt>
                <pt idx="67">
                  <v>-1.153977805557624</v>
                </pt>
                <pt idx="68">
                  <v>-1.14599261803331</v>
                </pt>
                <pt idx="69">
                  <v>-1.061949816297318</v>
                </pt>
                <pt idx="70">
                  <v>-1.039064046560911</v>
                </pt>
                <pt idx="71">
                  <v>-1.171826702741491</v>
                </pt>
                <pt idx="72">
                  <v>-1.089715600136823</v>
                </pt>
                <pt idx="73">
                  <v>-1.126956514431308</v>
                </pt>
                <pt idx="74">
                  <v>-1.263466220050365</v>
                </pt>
                <pt idx="75">
                  <v>-1.202594202608116</v>
                </pt>
                <pt idx="76">
                  <v>-1.224977111523002</v>
                </pt>
                <pt idx="77">
                  <v>-1.13692297479155</v>
                </pt>
                <pt idx="78">
                  <v>-1.219011523899598</v>
                </pt>
                <pt idx="79">
                  <v>-1.382434921291297</v>
                </pt>
                <pt idx="80">
                  <v>-1.203180673459173</v>
                </pt>
                <pt idx="81">
                  <v>-1.260229946566089</v>
                </pt>
                <pt idx="82">
                  <v>-1.287819116975737</v>
                </pt>
                <pt idx="83">
                  <v>-1.417489929282675</v>
                </pt>
                <pt idx="84">
                  <v>-1.39112679699793</v>
                </pt>
                <pt idx="85">
                  <v>-1.485604564865186</v>
                </pt>
                <pt idx="86">
                  <v>-1.396437439054871</v>
                </pt>
                <pt idx="87">
                  <v>-1.004699895473874</v>
                </pt>
                <pt idx="88">
                  <v>-1.039044752630163</v>
                </pt>
                <pt idx="89">
                  <v>-1.115700055019389</v>
                </pt>
                <pt idx="90">
                  <v>-0.945714241416248</v>
                </pt>
                <pt idx="91">
                  <v>-1.108543484001544</v>
                </pt>
                <pt idx="92">
                  <v>-1.13114130290565</v>
                </pt>
                <pt idx="93">
                  <v>-1.055995487527736</v>
                </pt>
                <pt idx="94">
                  <v>-1.07253615721482</v>
                </pt>
                <pt idx="95">
                  <v>-1.194709671312571</v>
                </pt>
                <pt idx="96">
                  <v>-1.162789732109326</v>
                </pt>
                <pt idx="97">
                  <v>-1.114740472244903</v>
                </pt>
                <pt idx="98">
                  <v>-1.13346391238888</v>
                </pt>
                <pt idx="99">
                  <v>-1.252343709635524</v>
                </pt>
                <pt idx="100">
                  <v>-1.315932696350411</v>
                </pt>
                <pt idx="101">
                  <v>-1.538617854515656</v>
                </pt>
                <pt idx="102">
                  <v>-1.603763779449089</v>
                </pt>
                <pt idx="103">
                  <v>-1.634944589332188</v>
                </pt>
                <pt idx="104">
                  <v>-1.57635034053009</v>
                </pt>
                <pt idx="105">
                  <v>-1.820337908576672</v>
                </pt>
                <pt idx="106">
                  <v>-1.839949682577391</v>
                </pt>
                <pt idx="107">
                  <v>-1.801590483878077</v>
                </pt>
                <pt idx="108">
                  <v>-1.757744478425624</v>
                </pt>
                <pt idx="109">
                  <v>-1.812790263401373</v>
                </pt>
                <pt idx="110">
                  <v>-1.782793369200109</v>
                </pt>
                <pt idx="111">
                  <v>-1.761288889753253</v>
                </pt>
                <pt idx="112">
                  <v>-1.688729756286777</v>
                </pt>
                <pt idx="113">
                  <v>-1.618859481365536</v>
                </pt>
                <pt idx="114">
                  <v>-1.583403297649371</v>
                </pt>
                <pt idx="115">
                  <v>-1.550479579370385</v>
                </pt>
                <pt idx="116">
                  <v>-1.602481600735244</v>
                </pt>
                <pt idx="117">
                  <v>-1.630192831884428</v>
                </pt>
                <pt idx="118">
                  <v>-1.863715301184669</v>
                </pt>
                <pt idx="119">
                  <v>-1.813469055196621</v>
                </pt>
                <pt idx="120">
                  <v>-2.025506357487425</v>
                </pt>
                <pt idx="121">
                  <v>-2.17777821118423</v>
                </pt>
                <pt idx="122">
                  <v>-2.286311821874409</v>
                </pt>
                <pt idx="123">
                  <v>-2.464023795068203</v>
                </pt>
                <pt idx="124">
                  <v>-2.478583822136418</v>
                </pt>
                <pt idx="125">
                  <v>-2.545952482800433</v>
                </pt>
                <pt idx="126">
                  <v>-2.277658626586534</v>
                </pt>
                <pt idx="127">
                  <v>-2.304890861607468</v>
                </pt>
                <pt idx="128">
                  <v>-2.313354056304551</v>
                </pt>
                <pt idx="129">
                  <v>-2.321879799448388</v>
                </pt>
                <pt idx="130">
                  <v>-2.357813791377951</v>
                </pt>
                <pt idx="131">
                  <v>-2.556756338984234</v>
                </pt>
                <pt idx="132">
                  <v>-2.572664811142579</v>
                </pt>
                <pt idx="133">
                  <v>-2.550710619814461</v>
                </pt>
                <pt idx="134">
                  <v>-3.13291923582857</v>
                </pt>
                <pt idx="135">
                  <v>-3.204258499466345</v>
                </pt>
                <pt idx="136">
                  <v>-3.102364076346441</v>
                </pt>
                <pt idx="137">
                  <v>-3.159907851399449</v>
                </pt>
                <pt idx="138">
                  <v>-3.265450789173159</v>
                </pt>
                <pt idx="139">
                  <v>-3.309484130928204</v>
                </pt>
              </numCache>
            </numRef>
          </val>
          <smooth val="0"/>
        </ser>
        <ser>
          <idx val="8"/>
          <order val="8"/>
          <tx>
            <strRef>
              <f>畫圖0!$B$20</f>
              <strCache>
                <ptCount val="1"/>
                <pt idx="0">
                  <v>200</v>
                </pt>
              </strCache>
            </strRef>
          </tx>
          <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畫圖0!$C$20:$EL$20</f>
              <numCache>
                <formatCode>General</formatCode>
                <ptCount val="140"/>
                <pt idx="0">
                  <v>0.241035745977561</v>
                </pt>
                <pt idx="1">
                  <v>0.2841012661955314</v>
                </pt>
                <pt idx="2">
                  <v>0.2274627572011351</v>
                </pt>
                <pt idx="3">
                  <v>0.4775960157521238</v>
                </pt>
                <pt idx="4">
                  <v>0.4315750452786709</v>
                </pt>
                <pt idx="5">
                  <v>0.5959470434073408</v>
                </pt>
                <pt idx="6">
                  <v>0.3817185463442098</v>
                </pt>
                <pt idx="7">
                  <v>0.1527128009797781</v>
                </pt>
                <pt idx="8">
                  <v>-0.3116148552305895</v>
                </pt>
                <pt idx="9">
                  <v>-0.3486210316928205</v>
                </pt>
                <pt idx="10">
                  <v>-0.2489262618684187</v>
                </pt>
                <pt idx="11">
                  <v>-0.3206343342488115</v>
                </pt>
                <pt idx="12">
                  <v>-0.2211453710868989</v>
                </pt>
                <pt idx="13">
                  <v>-0.3159631197028235</v>
                </pt>
                <pt idx="14">
                  <v>-0.4785014474306967</v>
                </pt>
                <pt idx="15">
                  <v>-0.3692483917932279</v>
                </pt>
                <pt idx="16">
                  <v>-0.5244310101209706</v>
                </pt>
                <pt idx="17">
                  <v>-0.5087680996017112</v>
                </pt>
                <pt idx="18">
                  <v>-0.6131416155583624</v>
                </pt>
                <pt idx="19">
                  <v>-0.5801380595927788</v>
                </pt>
                <pt idx="20">
                  <v>-0.7253170613298113</v>
                </pt>
                <pt idx="21">
                  <v>-0.8507445312607422</v>
                </pt>
                <pt idx="22">
                  <v>-0.8933715266945946</v>
                </pt>
                <pt idx="23">
                  <v>-0.9847912428903465</v>
                </pt>
                <pt idx="24">
                  <v>-1.011621615248511</v>
                </pt>
                <pt idx="25">
                  <v>-1.12684246113358</v>
                </pt>
                <pt idx="26">
                  <v>-1.192195125415507</v>
                </pt>
                <pt idx="27">
                  <v>-1.135453785537773</v>
                </pt>
                <pt idx="28">
                  <v>-1.317228104239275</v>
                </pt>
                <pt idx="29">
                  <v>-1.420865559946139</v>
                </pt>
                <pt idx="30">
                  <v>-1.448524778486031</v>
                </pt>
                <pt idx="31">
                  <v>-1.538702979200814</v>
                </pt>
                <pt idx="32">
                  <v>-1.448204015658207</v>
                </pt>
                <pt idx="33">
                  <v>-1.38621398111066</v>
                </pt>
                <pt idx="34">
                  <v>-1.372618865614657</v>
                </pt>
                <pt idx="35">
                  <v>-1.436354406569135</v>
                </pt>
                <pt idx="36">
                  <v>-1.401003169467367</v>
                </pt>
                <pt idx="37">
                  <v>-1.280161702994168</v>
                </pt>
                <pt idx="38">
                  <v>-1.224762544611135</v>
                </pt>
                <pt idx="39">
                  <v>-1.311507782704031</v>
                </pt>
                <pt idx="40">
                  <v>-1.219320459862761</v>
                </pt>
                <pt idx="41">
                  <v>-1.06379996385025</v>
                </pt>
                <pt idx="42">
                  <v>-0.995077561036365</v>
                </pt>
                <pt idx="43">
                  <v>-0.9675498001124221</v>
                </pt>
                <pt idx="44">
                  <v>-1.012223317067746</v>
                </pt>
                <pt idx="45">
                  <v>-0.9993703536916022</v>
                </pt>
                <pt idx="46">
                  <v>-0.9985142238280668</v>
                </pt>
                <pt idx="47">
                  <v>-1.0128349726399</v>
                </pt>
                <pt idx="48">
                  <v>-0.9005948064032823</v>
                </pt>
                <pt idx="49">
                  <v>-0.7666836368187566</v>
                </pt>
                <pt idx="50">
                  <v>-0.718356130002308</v>
                </pt>
                <pt idx="51">
                  <v>-0.9100404157472899</v>
                </pt>
                <pt idx="52">
                  <v>-0.8705180156226445</v>
                </pt>
                <pt idx="53">
                  <v>-0.8349074794306492</v>
                </pt>
                <pt idx="54">
                  <v>-0.9075306106188623</v>
                </pt>
                <pt idx="55">
                  <v>-0.9276254185919676</v>
                </pt>
                <pt idx="56">
                  <v>-0.9148263395052783</v>
                </pt>
                <pt idx="57">
                  <v>-0.9441722227696416</v>
                </pt>
                <pt idx="58">
                  <v>-1.073000408860418</v>
                </pt>
                <pt idx="59">
                  <v>-1.064174106137472</v>
                </pt>
                <pt idx="60">
                  <v>-0.999311555611158</v>
                </pt>
                <pt idx="61">
                  <v>-1.097625528830185</v>
                </pt>
                <pt idx="62">
                  <v>-1.000853028756644</v>
                </pt>
                <pt idx="63">
                  <v>-1.096279714428538</v>
                </pt>
                <pt idx="64">
                  <v>-1.119892277302363</v>
                </pt>
                <pt idx="65">
                  <v>-1.068585529618541</v>
                </pt>
                <pt idx="66">
                  <v>-1.111490476204041</v>
                </pt>
                <pt idx="67">
                  <v>-1.116879634047154</v>
                </pt>
                <pt idx="68">
                  <v>-1.091938771919661</v>
                </pt>
                <pt idx="69">
                  <v>-0.9896625220152273</v>
                </pt>
                <pt idx="70">
                  <v>-0.9810384407418535</v>
                </pt>
                <pt idx="71">
                  <v>-1.143885670337606</v>
                </pt>
                <pt idx="72">
                  <v>-1.022199308679486</v>
                </pt>
                <pt idx="73">
                  <v>-1.044456723801105</v>
                </pt>
                <pt idx="74">
                  <v>-1.1843226530465</v>
                </pt>
                <pt idx="75">
                  <v>-1.097583300376174</v>
                </pt>
                <pt idx="76">
                  <v>-1.114925288307238</v>
                </pt>
                <pt idx="77">
                  <v>-1.066700769428183</v>
                </pt>
                <pt idx="78">
                  <v>-1.161582158821913</v>
                </pt>
                <pt idx="79">
                  <v>-1.33994278632885</v>
                </pt>
                <pt idx="80">
                  <v>-1.137009097385523</v>
                </pt>
                <pt idx="81">
                  <v>-1.202939963440379</v>
                </pt>
                <pt idx="82">
                  <v>-1.18597914252825</v>
                </pt>
                <pt idx="83">
                  <v>-1.3251305432752</v>
                </pt>
                <pt idx="84">
                  <v>-1.329308016581341</v>
                </pt>
                <pt idx="85">
                  <v>-1.47143446161712</v>
                </pt>
                <pt idx="86">
                  <v>-1.380167611900001</v>
                </pt>
                <pt idx="87">
                  <v>-0.989414425100179</v>
                </pt>
                <pt idx="88">
                  <v>-1.018734020091332</v>
                </pt>
                <pt idx="89">
                  <v>-1.097427216056504</v>
                </pt>
                <pt idx="90">
                  <v>-0.8044181901179308</v>
                </pt>
                <pt idx="91">
                  <v>-0.9567874340412135</v>
                </pt>
                <pt idx="92">
                  <v>-0.9932920644406763</v>
                </pt>
                <pt idx="93">
                  <v>-0.9170281312448686</v>
                </pt>
                <pt idx="94">
                  <v>-0.9213536789353546</v>
                </pt>
                <pt idx="95">
                  <v>-0.9908417754292733</v>
                </pt>
                <pt idx="96">
                  <v>-0.9005655157219573</v>
                </pt>
                <pt idx="97">
                  <v>-0.858198637103545</v>
                </pt>
                <pt idx="98">
                  <v>-0.8444315330167569</v>
                </pt>
                <pt idx="99">
                  <v>-0.9651261786691886</v>
                </pt>
                <pt idx="100">
                  <v>-1.054638826919601</v>
                </pt>
                <pt idx="101">
                  <v>-1.256438690066026</v>
                </pt>
                <pt idx="102">
                  <v>-1.312217041097439</v>
                </pt>
                <pt idx="103">
                  <v>-1.325127484951384</v>
                </pt>
                <pt idx="104">
                  <v>-1.290566354291149</v>
                </pt>
                <pt idx="105">
                  <v>-1.560676972887679</v>
                </pt>
                <pt idx="106">
                  <v>-1.517250787178941</v>
                </pt>
                <pt idx="107">
                  <v>-1.483878279593361</v>
                </pt>
                <pt idx="108">
                  <v>-1.461151159545542</v>
                </pt>
                <pt idx="109">
                  <v>-1.536682262555317</v>
                </pt>
                <pt idx="110">
                  <v>-1.513195500792565</v>
                </pt>
                <pt idx="111">
                  <v>-1.488136859366749</v>
                </pt>
                <pt idx="112">
                  <v>-1.45516228694774</v>
                </pt>
                <pt idx="113">
                  <v>-1.362442445047365</v>
                </pt>
                <pt idx="114">
                  <v>-1.324745331458284</v>
                </pt>
                <pt idx="115">
                  <v>-1.279692006715982</v>
                </pt>
                <pt idx="116">
                  <v>-1.347640205711804</v>
                </pt>
                <pt idx="117">
                  <v>-1.384213284406062</v>
                </pt>
                <pt idx="118">
                  <v>-1.640856135379093</v>
                </pt>
                <pt idx="119">
                  <v>-1.582251572419953</v>
                </pt>
                <pt idx="120">
                  <v>-1.829182776402509</v>
                </pt>
                <pt idx="121">
                  <v>-1.985590784717594</v>
                </pt>
                <pt idx="122">
                  <v>-1.973904206612015</v>
                </pt>
                <pt idx="123">
                  <v>-2.17570469288639</v>
                </pt>
                <pt idx="124">
                  <v>-2.211587230482339</v>
                </pt>
                <pt idx="125">
                  <v>-2.280257791799658</v>
                </pt>
                <pt idx="126">
                  <v>-1.948194720730395</v>
                </pt>
                <pt idx="127">
                  <v>-1.977257032808077</v>
                </pt>
                <pt idx="128">
                  <v>-1.964976095099704</v>
                </pt>
                <pt idx="129">
                  <v>-1.935052237873856</v>
                </pt>
                <pt idx="130">
                  <v>-1.986613362140714</v>
                </pt>
                <pt idx="131">
                  <v>-2.193619956344644</v>
                </pt>
                <pt idx="132">
                  <v>-2.218880382637189</v>
                </pt>
                <pt idx="133">
                  <v>-2.191952167793036</v>
                </pt>
                <pt idx="134">
                  <v>-2.834818669167233</v>
                </pt>
                <pt idx="135">
                  <v>-2.920980878866971</v>
                </pt>
                <pt idx="136">
                  <v>-2.822762870647681</v>
                </pt>
                <pt idx="137">
                  <v>-2.860152727300546</v>
                </pt>
                <pt idx="138">
                  <v>-2.981738159402594</v>
                </pt>
                <pt idx="139">
                  <v>-2.965295575457587</v>
                </pt>
              </numCache>
            </numRef>
          </val>
          <smooth val="0"/>
        </ser>
        <ser>
          <idx val="9"/>
          <order val="9"/>
          <tx>
            <strRef>
              <f>畫圖0!$B$21</f>
              <strCache>
                <ptCount val="1"/>
                <pt idx="0">
                  <v>256</v>
                </pt>
              </strCache>
            </strRef>
          </tx>
          <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畫圖0!$C$21:$EL$21</f>
              <numCache>
                <formatCode>General</formatCode>
                <ptCount val="140"/>
                <pt idx="0">
                  <v>0.2490064650579937</v>
                </pt>
                <pt idx="1">
                  <v>0.2864441192540707</v>
                </pt>
                <pt idx="2">
                  <v>0.2288061314262108</v>
                </pt>
                <pt idx="3">
                  <v>0.3577184791437459</v>
                </pt>
                <pt idx="4">
                  <v>0.4061157419079754</v>
                </pt>
                <pt idx="5">
                  <v>0.6047838028877413</v>
                </pt>
                <pt idx="6">
                  <v>0.3874295266827315</v>
                </pt>
                <pt idx="7">
                  <v>0.1023941243613254</v>
                </pt>
                <pt idx="8">
                  <v>0.0512843702963157</v>
                </pt>
                <pt idx="9">
                  <v>-0.03614946023236666</v>
                </pt>
                <pt idx="10">
                  <v>-0.1572032546157267</v>
                </pt>
                <pt idx="11">
                  <v>-0.2431931672737934</v>
                </pt>
                <pt idx="12">
                  <v>-0.1414885111203504</v>
                </pt>
                <pt idx="13">
                  <v>-0.2518834146135857</v>
                </pt>
                <pt idx="14">
                  <v>-0.4262912980045569</v>
                </pt>
                <pt idx="15">
                  <v>-0.3307159868979267</v>
                </pt>
                <pt idx="16">
                  <v>-0.4593062723478837</v>
                </pt>
                <pt idx="17">
                  <v>-0.4733466366880886</v>
                </pt>
                <pt idx="18">
                  <v>-0.5860781238332364</v>
                </pt>
                <pt idx="19">
                  <v>-0.5669726872458</v>
                </pt>
                <pt idx="20">
                  <v>-0.7386906389681567</v>
                </pt>
                <pt idx="21">
                  <v>-0.8725206756992689</v>
                </pt>
                <pt idx="22">
                  <v>-0.9665326715094444</v>
                </pt>
                <pt idx="23">
                  <v>-1.062990103372285</v>
                </pt>
                <pt idx="24">
                  <v>-1.054456706768099</v>
                </pt>
                <pt idx="25">
                  <v>-1.171166678684538</v>
                </pt>
                <pt idx="26">
                  <v>-1.237281538202908</v>
                </pt>
                <pt idx="27">
                  <v>-1.201491350527583</v>
                </pt>
                <pt idx="28">
                  <v>-1.385163567874833</v>
                </pt>
                <pt idx="29">
                  <v>-1.488813973862053</v>
                </pt>
                <pt idx="30">
                  <v>-1.533116751651848</v>
                </pt>
                <pt idx="31">
                  <v>-1.640698114216646</v>
                </pt>
                <pt idx="32">
                  <v>-1.561103904883355</v>
                </pt>
                <pt idx="33">
                  <v>-1.490698562936886</v>
                </pt>
                <pt idx="34">
                  <v>-1.460055129199455</v>
                </pt>
                <pt idx="35">
                  <v>-1.525434951932565</v>
                </pt>
                <pt idx="36">
                  <v>-1.474133012816663</v>
                </pt>
                <pt idx="37">
                  <v>-1.367701874846862</v>
                </pt>
                <pt idx="38">
                  <v>-1.292966945693518</v>
                </pt>
                <pt idx="39">
                  <v>-1.397775118595114</v>
                </pt>
                <pt idx="40">
                  <v>-1.323331273015583</v>
                </pt>
                <pt idx="41">
                  <v>-1.11660894566581</v>
                </pt>
                <pt idx="42">
                  <v>-1.037310679215574</v>
                </pt>
                <pt idx="43">
                  <v>-1.002405437759648</v>
                </pt>
                <pt idx="44">
                  <v>-1.014932192786611</v>
                </pt>
                <pt idx="45">
                  <v>-1.063122573540052</v>
                </pt>
                <pt idx="46">
                  <v>-1.088025671730372</v>
                </pt>
                <pt idx="47">
                  <v>-1.110658610216544</v>
                </pt>
                <pt idx="48">
                  <v>-0.9716804844963698</v>
                </pt>
                <pt idx="49">
                  <v>-0.8166332915899372</v>
                </pt>
                <pt idx="50">
                  <v>-0.7685657331882967</v>
                </pt>
                <pt idx="51">
                  <v>-1.023947946187151</v>
                </pt>
                <pt idx="52">
                  <v>-0.9640517453927522</v>
                </pt>
                <pt idx="53">
                  <v>-0.9768814075152735</v>
                </pt>
                <pt idx="54">
                  <v>-0.983231940912675</v>
                </pt>
                <pt idx="55">
                  <v>-0.9868090410931096</v>
                </pt>
                <pt idx="56">
                  <v>-1.000053352567801</v>
                </pt>
                <pt idx="57">
                  <v>-0.9519996529499941</v>
                </pt>
                <pt idx="58">
                  <v>-1.066728960177394</v>
                </pt>
                <pt idx="59">
                  <v>-1.044397750715166</v>
                </pt>
                <pt idx="60">
                  <v>-0.9672574368161635</v>
                </pt>
                <pt idx="61">
                  <v>-1.081255809335383</v>
                </pt>
                <pt idx="62">
                  <v>-0.9605190079709514</v>
                </pt>
                <pt idx="63">
                  <v>-1.084347944831617</v>
                </pt>
                <pt idx="64">
                  <v>-0.9777309042897333</v>
                </pt>
                <pt idx="65">
                  <v>-0.8951787840943655</v>
                </pt>
                <pt idx="66">
                  <v>-0.9531891290263332</v>
                </pt>
                <pt idx="67">
                  <v>-0.937806098221057</v>
                </pt>
                <pt idx="68">
                  <v>-0.8724696723136377</v>
                </pt>
                <pt idx="69">
                  <v>-0.7595951422316828</v>
                </pt>
                <pt idx="70">
                  <v>-0.7178615799652919</v>
                </pt>
                <pt idx="71">
                  <v>-0.9186657026915956</v>
                </pt>
                <pt idx="72">
                  <v>-0.7739520049548674</v>
                </pt>
                <pt idx="73">
                  <v>-0.8221899086789084</v>
                </pt>
                <pt idx="74">
                  <v>-0.9158597134921387</v>
                </pt>
                <pt idx="75">
                  <v>-0.822118067539688</v>
                </pt>
                <pt idx="76">
                  <v>-0.8864562218553749</v>
                </pt>
                <pt idx="77">
                  <v>-0.8600678392853371</v>
                </pt>
                <pt idx="78">
                  <v>-0.9896479183255894</v>
                </pt>
                <pt idx="79">
                  <v>-1.233724743610759</v>
                </pt>
                <pt idx="80">
                  <v>-0.8935743697299352</v>
                </pt>
                <pt idx="81">
                  <v>-0.9477568150786855</v>
                </pt>
                <pt idx="82">
                  <v>-0.9442809254728568</v>
                </pt>
                <pt idx="83">
                  <v>-0.9445770035412983</v>
                </pt>
                <pt idx="84">
                  <v>-0.9475808068735669</v>
                </pt>
                <pt idx="85">
                  <v>-1.186628513078426</v>
                </pt>
                <pt idx="86">
                  <v>-1.15295435418518</v>
                </pt>
                <pt idx="87">
                  <v>-0.6861727324427184</v>
                </pt>
                <pt idx="88">
                  <v>-0.6949244598295433</v>
                </pt>
                <pt idx="89">
                  <v>-0.8014196802660121</v>
                </pt>
                <pt idx="90">
                  <v>-0.4327581327740115</v>
                </pt>
                <pt idx="91">
                  <v>-0.615827758999746</v>
                </pt>
                <pt idx="92">
                  <v>-0.6571074413128375</v>
                </pt>
                <pt idx="93">
                  <v>-0.5612064971654446</v>
                </pt>
                <pt idx="94">
                  <v>-0.6074223818971072</v>
                </pt>
                <pt idx="95">
                  <v>-0.6540457193939088</v>
                </pt>
                <pt idx="96">
                  <v>-0.5362288681900704</v>
                </pt>
                <pt idx="97">
                  <v>-0.5006834825149508</v>
                </pt>
                <pt idx="98">
                  <v>-0.458233955889327</v>
                </pt>
                <pt idx="99">
                  <v>-0.5983512500275681</v>
                </pt>
                <pt idx="100">
                  <v>-0.637694159036192</v>
                </pt>
                <pt idx="101">
                  <v>-0.9331989419424565</v>
                </pt>
                <pt idx="102">
                  <v>-0.942389757831019</v>
                </pt>
                <pt idx="103">
                  <v>-0.9760748513070444</v>
                </pt>
                <pt idx="104">
                  <v>-0.9236262012904466</v>
                </pt>
                <pt idx="105">
                  <v>-1.221803040730991</v>
                </pt>
                <pt idx="106">
                  <v>-1.168706349450562</v>
                </pt>
                <pt idx="107">
                  <v>-1.106503736186238</v>
                </pt>
                <pt idx="108">
                  <v>-1.091631942096712</v>
                </pt>
                <pt idx="109">
                  <v>-1.107173796280724</v>
                </pt>
                <pt idx="110">
                  <v>-1.092795217634238</v>
                </pt>
                <pt idx="111">
                  <v>-1.077410722193103</v>
                </pt>
                <pt idx="112">
                  <v>-1.043451012546331</v>
                </pt>
                <pt idx="113">
                  <v>-0.9322099132072016</v>
                </pt>
                <pt idx="114">
                  <v>-0.9206310110644771</v>
                </pt>
                <pt idx="115">
                  <v>-0.8912026404303828</v>
                </pt>
                <pt idx="116">
                  <v>-0.9959856727449866</v>
                </pt>
                <pt idx="117">
                  <v>-0.958338909712511</v>
                </pt>
                <pt idx="118">
                  <v>-1.067892061397087</v>
                </pt>
                <pt idx="119">
                  <v>-1.049376631196731</v>
                </pt>
                <pt idx="120">
                  <v>-1.30134324584508</v>
                </pt>
                <pt idx="121">
                  <v>-1.342369406199918</v>
                </pt>
                <pt idx="122">
                  <v>-1.346607344006824</v>
                </pt>
                <pt idx="123">
                  <v>-1.610926194606987</v>
                </pt>
                <pt idx="124">
                  <v>-1.671988251686905</v>
                </pt>
                <pt idx="125">
                  <v>-1.751459755356843</v>
                </pt>
                <pt idx="126">
                  <v>-1.414974392010797</v>
                </pt>
                <pt idx="127">
                  <v>-1.42972256573466</v>
                </pt>
                <pt idx="128">
                  <v>-1.448846991767132</v>
                </pt>
                <pt idx="129">
                  <v>-1.369274393117566</v>
                </pt>
                <pt idx="130">
                  <v>-1.423820600157484</v>
                </pt>
                <pt idx="131">
                  <v>-1.515929122926814</v>
                </pt>
                <pt idx="132">
                  <v>-1.554766482780006</v>
                </pt>
                <pt idx="133">
                  <v>-1.503005132301718</v>
                </pt>
                <pt idx="134">
                  <v>-2.268503386580917</v>
                </pt>
                <pt idx="135">
                  <v>-2.322293180836168</v>
                </pt>
                <pt idx="136">
                  <v>-2.242882898538512</v>
                </pt>
                <pt idx="137">
                  <v>-2.267244793675655</v>
                </pt>
                <pt idx="138">
                  <v>-2.314378553469949</v>
                </pt>
                <pt idx="139">
                  <v>-2.340385085222934</v>
                </pt>
              </numCache>
            </numRef>
          </val>
          <smooth val="0"/>
        </ser>
        <ser>
          <idx val="10"/>
          <order val="10"/>
          <tx>
            <strRef>
              <f>畫圖0!$B$22</f>
              <strCache>
                <ptCount val="1"/>
                <pt idx="0">
                  <v>400</v>
                </pt>
              </strCache>
            </strRef>
          </tx>
          <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畫圖0!$C$22:$EL$22</f>
              <numCache>
                <formatCode>General</formatCode>
                <ptCount val="140"/>
                <pt idx="0">
                  <v>0.2888661911680884</v>
                </pt>
                <pt idx="1">
                  <v>0.2760778246225363</v>
                </pt>
                <pt idx="2">
                  <v>0.2404906605660678</v>
                </pt>
                <pt idx="3">
                  <v>0.3379246561450543</v>
                </pt>
                <pt idx="4">
                  <v>0.3792276996180304</v>
                </pt>
                <pt idx="5">
                  <v>0.5579771631056533</v>
                </pt>
                <pt idx="6">
                  <v>0.3410191029975344</v>
                </pt>
                <pt idx="7">
                  <v>-0.03507436834518557</v>
                </pt>
                <pt idx="8">
                  <v>-0.08400152890343363</v>
                </pt>
                <pt idx="9">
                  <v>-0.1524484679810457</v>
                </pt>
                <pt idx="10">
                  <v>-0.2778514608235578</v>
                </pt>
                <pt idx="11">
                  <v>-0.3930018805603046</v>
                </pt>
                <pt idx="12">
                  <v>-0.2495215345560322</v>
                </pt>
                <pt idx="13">
                  <v>-0.2764674888229163</v>
                </pt>
                <pt idx="14">
                  <v>-0.5532443826559681</v>
                </pt>
                <pt idx="15">
                  <v>-0.5166159483843801</v>
                </pt>
                <pt idx="16">
                  <v>-0.6862625039423207</v>
                </pt>
                <pt idx="17">
                  <v>-0.757914404331962</v>
                </pt>
                <pt idx="18">
                  <v>-0.847265958375239</v>
                </pt>
                <pt idx="19">
                  <v>-0.7954688662290522</v>
                </pt>
                <pt idx="20">
                  <v>-0.9497707158369701</v>
                </pt>
                <pt idx="21">
                  <v>-1.079994574429822</v>
                </pt>
                <pt idx="22">
                  <v>-1.229503021088206</v>
                </pt>
                <pt idx="23">
                  <v>-1.304104592677164</v>
                </pt>
                <pt idx="24">
                  <v>-1.321993464711643</v>
                </pt>
                <pt idx="25">
                  <v>-1.439495040473209</v>
                </pt>
                <pt idx="26">
                  <v>-1.532891419856929</v>
                </pt>
                <pt idx="27">
                  <v>-1.46321060139515</v>
                </pt>
                <pt idx="28">
                  <v>-1.701048611993459</v>
                </pt>
                <pt idx="29">
                  <v>-1.836671010544896</v>
                </pt>
                <pt idx="30">
                  <v>-1.88951255072063</v>
                </pt>
                <pt idx="31">
                  <v>-1.995378510141103</v>
                </pt>
                <pt idx="32">
                  <v>-1.901237249483717</v>
                </pt>
                <pt idx="33">
                  <v>-1.869537400157309</v>
                </pt>
                <pt idx="34">
                  <v>-1.970825960897704</v>
                </pt>
                <pt idx="35">
                  <v>-2.011166927704605</v>
                </pt>
                <pt idx="36">
                  <v>-1.927078024236901</v>
                </pt>
                <pt idx="37">
                  <v>-1.749870820502648</v>
                </pt>
                <pt idx="38">
                  <v>-1.659357239694228</v>
                </pt>
                <pt idx="39">
                  <v>-1.843917829048055</v>
                </pt>
                <pt idx="40">
                  <v>-1.926595715756599</v>
                </pt>
                <pt idx="41">
                  <v>-1.679055993710961</v>
                </pt>
                <pt idx="42">
                  <v>-1.597632405142745</v>
                </pt>
                <pt idx="43">
                  <v>-1.610059979363785</v>
                </pt>
                <pt idx="44">
                  <v>-1.616158935754838</v>
                </pt>
                <pt idx="45">
                  <v>-1.666198246685794</v>
                </pt>
                <pt idx="46">
                  <v>-1.683601631308026</v>
                </pt>
                <pt idx="47">
                  <v>-1.709596906418189</v>
                </pt>
                <pt idx="48">
                  <v>-1.515254408094444</v>
                </pt>
                <pt idx="49">
                  <v>-1.493502732427563</v>
                </pt>
                <pt idx="50">
                  <v>-1.416248187963364</v>
                </pt>
                <pt idx="51">
                  <v>-1.718178132503787</v>
                </pt>
                <pt idx="52">
                  <v>-1.833719858316474</v>
                </pt>
                <pt idx="53">
                  <v>-1.777326240447183</v>
                </pt>
                <pt idx="54">
                  <v>-1.799542423841663</v>
                </pt>
                <pt idx="55">
                  <v>-1.813181241179983</v>
                </pt>
                <pt idx="56">
                  <v>-1.859460753348369</v>
                </pt>
                <pt idx="57">
                  <v>-1.731500211010237</v>
                </pt>
                <pt idx="58">
                  <v>-1.872565379371003</v>
                </pt>
                <pt idx="59">
                  <v>-1.83168766449219</v>
                </pt>
                <pt idx="60">
                  <v>-1.721791587034914</v>
                </pt>
                <pt idx="61">
                  <v>-1.917470349525793</v>
                </pt>
                <pt idx="62">
                  <v>-1.809390113160924</v>
                </pt>
                <pt idx="63">
                  <v>-1.907290442398934</v>
                </pt>
                <pt idx="64">
                  <v>-1.8150127287988</v>
                </pt>
                <pt idx="65">
                  <v>-1.734944944396521</v>
                </pt>
                <pt idx="66">
                  <v>-1.812296922668267</v>
                </pt>
                <pt idx="67">
                  <v>-1.791469902682912</v>
                </pt>
                <pt idx="68">
                  <v>-1.759863700403673</v>
                </pt>
                <pt idx="69">
                  <v>-1.652436926339179</v>
                </pt>
                <pt idx="70">
                  <v>-1.600289173129917</v>
                </pt>
                <pt idx="71">
                  <v>-1.837047975581993</v>
                </pt>
                <pt idx="72">
                  <v>-1.672724252545726</v>
                </pt>
                <pt idx="73">
                  <v>-1.744702270850793</v>
                </pt>
                <pt idx="74">
                  <v>-1.807168995380346</v>
                </pt>
                <pt idx="75">
                  <v>-1.765798012167384</v>
                </pt>
                <pt idx="76">
                  <v>-1.811813874560858</v>
                </pt>
                <pt idx="77">
                  <v>-1.699346953544214</v>
                </pt>
                <pt idx="78">
                  <v>-1.886942686497971</v>
                </pt>
                <pt idx="79">
                  <v>-2.242615783178673</v>
                </pt>
                <pt idx="80">
                  <v>-1.78823586261845</v>
                </pt>
                <pt idx="81">
                  <v>-1.890743965967413</v>
                </pt>
                <pt idx="82">
                  <v>-2.036006674220306</v>
                </pt>
                <pt idx="83">
                  <v>-2.009579511716476</v>
                </pt>
                <pt idx="84">
                  <v>-2.025439929800014</v>
                </pt>
                <pt idx="85">
                  <v>-2.234109220868969</v>
                </pt>
                <pt idx="86">
                  <v>-2.171440274621305</v>
                </pt>
                <pt idx="87">
                  <v>-1.676026389788287</v>
                </pt>
                <pt idx="88">
                  <v>-1.640555230022633</v>
                </pt>
                <pt idx="89">
                  <v>-1.609774646639857</v>
                </pt>
                <pt idx="90">
                  <v>-1.154756446531491</v>
                </pt>
                <pt idx="91">
                  <v>-1.361324423964656</v>
                </pt>
                <pt idx="92">
                  <v>-1.399646098756326</v>
                </pt>
                <pt idx="93">
                  <v>-1.312529557221621</v>
                </pt>
                <pt idx="94">
                  <v>-1.372473961613313</v>
                </pt>
                <pt idx="95">
                  <v>-1.420240060837902</v>
                </pt>
                <pt idx="96">
                  <v>-1.34695703582691</v>
                </pt>
                <pt idx="97">
                  <v>-1.312140098473214</v>
                </pt>
                <pt idx="98">
                  <v>-1.190515252075571</v>
                </pt>
                <pt idx="99">
                  <v>-1.317300778766179</v>
                </pt>
                <pt idx="100">
                  <v>-1.360267658202402</v>
                </pt>
                <pt idx="101">
                  <v>-1.712419228171295</v>
                </pt>
                <pt idx="102">
                  <v>-1.700506380068273</v>
                </pt>
                <pt idx="103">
                  <v>-1.719414566675956</v>
                </pt>
                <pt idx="104">
                  <v>-1.695331106785952</v>
                </pt>
                <pt idx="105">
                  <v>-2.079030743454616</v>
                </pt>
                <pt idx="106">
                  <v>-2.114664262932636</v>
                </pt>
                <pt idx="107">
                  <v>-2.080637302748128</v>
                </pt>
                <pt idx="108">
                  <v>-2.118019883646821</v>
                </pt>
                <pt idx="109">
                  <v>-2.010586273521475</v>
                </pt>
                <pt idx="110">
                  <v>-1.962253866503413</v>
                </pt>
                <pt idx="111">
                  <v>-2.000871237246509</v>
                </pt>
                <pt idx="112">
                  <v>-1.961078181677572</v>
                </pt>
                <pt idx="113">
                  <v>-1.836134574659911</v>
                </pt>
                <pt idx="114">
                  <v>-1.816326774964999</v>
                </pt>
                <pt idx="115">
                  <v>-1.806209174322738</v>
                </pt>
                <pt idx="116">
                  <v>-1.935905306793309</v>
                </pt>
                <pt idx="117">
                  <v>-1.933160562907727</v>
                </pt>
                <pt idx="118">
                  <v>-2.088422434706151</v>
                </pt>
                <pt idx="119">
                  <v>-2.145719467367098</v>
                </pt>
                <pt idx="120">
                  <v>-2.410853899603126</v>
                </pt>
                <pt idx="121">
                  <v>-2.521815905970841</v>
                </pt>
                <pt idx="122">
                  <v>-2.591129501616745</v>
                </pt>
                <pt idx="123">
                  <v>-2.88222511760197</v>
                </pt>
                <pt idx="124">
                  <v>-2.871033759196696</v>
                </pt>
                <pt idx="125">
                  <v>-2.954217999222949</v>
                </pt>
                <pt idx="126">
                  <v>-2.710775165221689</v>
                </pt>
                <pt idx="127">
                  <v>-2.708595443605569</v>
                </pt>
                <pt idx="128">
                  <v>-2.818258971417031</v>
                </pt>
                <pt idx="129">
                  <v>-2.729840525164258</v>
                </pt>
                <pt idx="130">
                  <v>-2.774894303062259</v>
                </pt>
                <pt idx="131">
                  <v>-2.902454092014733</v>
                </pt>
                <pt idx="132">
                  <v>-2.94601414200918</v>
                </pt>
                <pt idx="133">
                  <v>-2.88682832351768</v>
                </pt>
                <pt idx="134">
                  <v>-3.826917762079601</v>
                </pt>
                <pt idx="135">
                  <v>-3.917114089399713</v>
                </pt>
                <pt idx="136">
                  <v>-3.844433097628969</v>
                </pt>
                <pt idx="137">
                  <v>-3.907166969321898</v>
                </pt>
                <pt idx="138">
                  <v>-3.84990503087636</v>
                </pt>
                <pt idx="139">
                  <v>-3.897619977040756</v>
                </pt>
              </numCache>
            </numRef>
          </val>
          <smooth val="0"/>
        </ser>
        <ser>
          <idx val="11"/>
          <order val="11"/>
          <tx>
            <strRef>
              <f>畫圖0!$B$23</f>
              <strCache>
                <ptCount val="1"/>
                <pt idx="0">
                  <v>512</v>
                </pt>
              </strCache>
            </strRef>
          </tx>
          <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畫圖0!$C$23:$EL$23</f>
              <numCache>
                <formatCode>General</formatCode>
                <ptCount val="140"/>
                <pt idx="0">
                  <v>0.2829892656963289</v>
                </pt>
                <pt idx="1">
                  <v>0.3349321688210395</v>
                </pt>
                <pt idx="2">
                  <v>0.311159069468851</v>
                </pt>
                <pt idx="3">
                  <v>0.455042485254635</v>
                </pt>
                <pt idx="4">
                  <v>0.5469560709694278</v>
                </pt>
                <pt idx="5">
                  <v>0.7506743788484029</v>
                </pt>
                <pt idx="6">
                  <v>0.602522350248109</v>
                </pt>
                <pt idx="7">
                  <v>0.4904869992773492</v>
                </pt>
                <pt idx="8">
                  <v>0.3213697830390055</v>
                </pt>
                <pt idx="9">
                  <v>0.1571577589206745</v>
                </pt>
                <pt idx="10">
                  <v>0.03942460724229999</v>
                </pt>
                <pt idx="11">
                  <v>-0.1079183988813311</v>
                </pt>
                <pt idx="12">
                  <v>0.09664597909167097</v>
                </pt>
                <pt idx="13">
                  <v>0.09325705956444429</v>
                </pt>
                <pt idx="14">
                  <v>0.1528250764649648</v>
                </pt>
                <pt idx="15">
                  <v>0.2090362197782198</v>
                </pt>
                <pt idx="16">
                  <v>0.09531168695095775</v>
                </pt>
                <pt idx="17">
                  <v>0.094938317742479</v>
                </pt>
                <pt idx="18">
                  <v>-0.001414500177434497</v>
                </pt>
                <pt idx="19">
                  <v>0.05327796231045567</v>
                </pt>
                <pt idx="20">
                  <v>-0.1831208473224594</v>
                </pt>
                <pt idx="21">
                  <v>-0.3201922585806876</v>
                </pt>
                <pt idx="22">
                  <v>-0.554376222635545</v>
                </pt>
                <pt idx="23">
                  <v>-0.6861672282145106</v>
                </pt>
                <pt idx="24">
                  <v>-0.7410705042863188</v>
                </pt>
                <pt idx="25">
                  <v>-0.8913120522536684</v>
                </pt>
                <pt idx="26">
                  <v>-0.9886111474566064</v>
                </pt>
                <pt idx="27">
                  <v>-0.9049983175476998</v>
                </pt>
                <pt idx="28">
                  <v>-1.200040145455779</v>
                </pt>
                <pt idx="29">
                  <v>-1.26694640554553</v>
                </pt>
                <pt idx="30">
                  <v>-1.35882006319189</v>
                </pt>
                <pt idx="31">
                  <v>-1.442991647715073</v>
                </pt>
                <pt idx="32">
                  <v>-1.419763381092591</v>
                </pt>
                <pt idx="33">
                  <v>-1.46795898128272</v>
                </pt>
                <pt idx="34">
                  <v>-1.582070080629911</v>
                </pt>
                <pt idx="35">
                  <v>-1.713501793822447</v>
                </pt>
                <pt idx="36">
                  <v>-1.705732304817582</v>
                </pt>
                <pt idx="37">
                  <v>-1.463417605460281</v>
                </pt>
                <pt idx="38">
                  <v>-1.343036960684055</v>
                </pt>
                <pt idx="39">
                  <v>-1.435954727201409</v>
                </pt>
                <pt idx="40">
                  <v>-1.525379719461019</v>
                </pt>
                <pt idx="41">
                  <v>-1.188635675615952</v>
                </pt>
                <pt idx="42">
                  <v>-1.196654658223162</v>
                </pt>
                <pt idx="43">
                  <v>-1.200439611476882</v>
                </pt>
                <pt idx="44">
                  <v>-1.163019384641398</v>
                </pt>
                <pt idx="45">
                  <v>-1.175997580221386</v>
                </pt>
                <pt idx="46">
                  <v>-1.228024490059789</v>
                </pt>
                <pt idx="47">
                  <v>-1.297862643886833</v>
                </pt>
                <pt idx="48">
                  <v>-1.127628663046251</v>
                </pt>
                <pt idx="49">
                  <v>-1.06387504564519</v>
                </pt>
                <pt idx="50">
                  <v>-1.073521825725291</v>
                </pt>
                <pt idx="51">
                  <v>-1.022472341622406</v>
                </pt>
                <pt idx="52">
                  <v>-1.323300590795472</v>
                </pt>
                <pt idx="53">
                  <v>-1.228469709449022</v>
                </pt>
                <pt idx="54">
                  <v>-1.157038947051725</v>
                </pt>
                <pt idx="55">
                  <v>-1.134191956447039</v>
                </pt>
                <pt idx="56">
                  <v>-1.208953427643791</v>
                </pt>
                <pt idx="57">
                  <v>-1.005469446288504</v>
                </pt>
                <pt idx="58">
                  <v>-1.098720466100459</v>
                </pt>
                <pt idx="59">
                  <v>-1.035448121768521</v>
                </pt>
                <pt idx="60">
                  <v>-0.9726663329786887</v>
                </pt>
                <pt idx="61">
                  <v>-1.183626364342349</v>
                </pt>
                <pt idx="62">
                  <v>-1.208663826134067</v>
                </pt>
                <pt idx="63">
                  <v>-1.213372194809478</v>
                </pt>
                <pt idx="64">
                  <v>-1.020565763846532</v>
                </pt>
                <pt idx="65">
                  <v>-0.8772762242926838</v>
                </pt>
                <pt idx="66">
                  <v>-0.9815356849764071</v>
                </pt>
                <pt idx="67">
                  <v>-0.9571417226526066</v>
                </pt>
                <pt idx="68">
                  <v>-0.9079339992661224</v>
                </pt>
                <pt idx="69">
                  <v>-0.7928813110814138</v>
                </pt>
                <pt idx="70">
                  <v>-0.6585741889373444</v>
                </pt>
                <pt idx="71">
                  <v>-0.8893640023792337</v>
                </pt>
                <pt idx="72">
                  <v>-0.6742340648048833</v>
                </pt>
                <pt idx="73">
                  <v>-0.5944314742130596</v>
                </pt>
                <pt idx="74">
                  <v>-0.6881427435626036</v>
                </pt>
                <pt idx="75">
                  <v>-0.7604732418006336</v>
                </pt>
                <pt idx="76">
                  <v>-0.8763212152555019</v>
                </pt>
                <pt idx="77">
                  <v>-0.8184523746550109</v>
                </pt>
                <pt idx="78">
                  <v>-1.070596166557737</v>
                </pt>
                <pt idx="79">
                  <v>-1.528810737922928</v>
                </pt>
                <pt idx="80">
                  <v>-0.968741158947211</v>
                </pt>
                <pt idx="81">
                  <v>-1.136355540257537</v>
                </pt>
                <pt idx="82">
                  <v>-1.272691956783834</v>
                </pt>
                <pt idx="83">
                  <v>-1.199645858853459</v>
                </pt>
                <pt idx="84">
                  <v>-1.193967366618621</v>
                </pt>
                <pt idx="85">
                  <v>-1.442576480272906</v>
                </pt>
                <pt idx="86">
                  <v>-1.397939590157021</v>
                </pt>
                <pt idx="87">
                  <v>-1.057408156821848</v>
                </pt>
                <pt idx="88">
                  <v>-1.005835827230847</v>
                </pt>
                <pt idx="89">
                  <v>-1.003233398219098</v>
                </pt>
                <pt idx="90">
                  <v>-0.386717513064662</v>
                </pt>
                <pt idx="91">
                  <v>-0.6188173869230622</v>
                </pt>
                <pt idx="92">
                  <v>-0.6856168235992577</v>
                </pt>
                <pt idx="93">
                  <v>-0.6775107818486972</v>
                </pt>
                <pt idx="94">
                  <v>-0.7868764657518049</v>
                </pt>
                <pt idx="95">
                  <v>-0.829527685591216</v>
                </pt>
                <pt idx="96">
                  <v>-0.6464585624965956</v>
                </pt>
                <pt idx="97">
                  <v>-0.6193333425348442</v>
                </pt>
                <pt idx="98">
                  <v>-0.5282220695901729</v>
                </pt>
                <pt idx="99">
                  <v>-0.4853696881855883</v>
                </pt>
                <pt idx="100">
                  <v>-0.5448394131923576</v>
                </pt>
                <pt idx="101">
                  <v>-0.9925447533928951</v>
                </pt>
                <pt idx="102">
                  <v>-0.9996699866413857</v>
                </pt>
                <pt idx="103">
                  <v>-0.998592385340479</v>
                </pt>
                <pt idx="104">
                  <v>-1.112744858242124</v>
                </pt>
                <pt idx="105">
                  <v>-1.551573959207677</v>
                </pt>
                <pt idx="106">
                  <v>-1.542178733256032</v>
                </pt>
                <pt idx="107">
                  <v>-1.480236606211126</v>
                </pt>
                <pt idx="108">
                  <v>-1.515922891844335</v>
                </pt>
                <pt idx="109">
                  <v>-1.460509444535592</v>
                </pt>
                <pt idx="110">
                  <v>-1.373609838556646</v>
                </pt>
                <pt idx="111">
                  <v>-1.384528155284677</v>
                </pt>
                <pt idx="112">
                  <v>-1.106694938725834</v>
                </pt>
                <pt idx="113">
                  <v>-1.04368456932837</v>
                </pt>
                <pt idx="114">
                  <v>-0.8885163035585852</v>
                </pt>
                <pt idx="115">
                  <v>-0.7125904903881326</v>
                </pt>
                <pt idx="116">
                  <v>-0.8754561286562901</v>
                </pt>
                <pt idx="117">
                  <v>-0.9470846023467978</v>
                </pt>
                <pt idx="118">
                  <v>-1.075529042543683</v>
                </pt>
                <pt idx="119">
                  <v>-1.136025199632417</v>
                </pt>
                <pt idx="120">
                  <v>-1.353761041583835</v>
                </pt>
                <pt idx="121">
                  <v>-1.510824163620776</v>
                </pt>
                <pt idx="122">
                  <v>-1.494264285579376</v>
                </pt>
                <pt idx="123">
                  <v>-2.018621641369386</v>
                </pt>
                <pt idx="124">
                  <v>-2.025478250783818</v>
                </pt>
                <pt idx="125">
                  <v>-2.130083904529722</v>
                </pt>
                <pt idx="126">
                  <v>-1.770452919463534</v>
                </pt>
                <pt idx="127">
                  <v>-1.831008294536075</v>
                </pt>
                <pt idx="128">
                  <v>-1.940339669812511</v>
                </pt>
                <pt idx="129">
                  <v>-1.846556289660602</v>
                </pt>
                <pt idx="130">
                  <v>-1.863402226425174</v>
                </pt>
                <pt idx="131">
                  <v>-1.979674593780815</v>
                </pt>
                <pt idx="132">
                  <v>-2.049435564063216</v>
                </pt>
                <pt idx="133">
                  <v>-2.020392711236325</v>
                </pt>
                <pt idx="134">
                  <v>-3.307343730487393</v>
                </pt>
                <pt idx="135">
                  <v>-3.489294681149224</v>
                </pt>
                <pt idx="136">
                  <v>-3.440704142417478</v>
                </pt>
                <pt idx="137">
                  <v>-3.371252991172609</v>
                </pt>
                <pt idx="138">
                  <v>-3.175940324839249</v>
                </pt>
                <pt idx="139">
                  <v>-3.213807801676717</v>
                </pt>
              </numCache>
            </numRef>
          </val>
          <smooth val="0"/>
        </ser>
        <ser>
          <idx val="12"/>
          <order val="12"/>
          <tx>
            <strRef>
              <f>畫圖0!$B$24</f>
              <strCache>
                <ptCount val="1"/>
                <pt idx="0">
                  <v>1051</v>
                </pt>
              </strCache>
            </strRef>
          </tx>
          <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畫圖0!$C$24:$EL$24</f>
              <numCache>
                <formatCode>General</formatCode>
                <ptCount val="140"/>
                <pt idx="0">
                  <v>0.09911336420688274</v>
                </pt>
                <pt idx="1">
                  <v>0.2153081964605765</v>
                </pt>
                <pt idx="2">
                  <v>0.1439078662912796</v>
                </pt>
                <pt idx="3">
                  <v>0.3710674129280284</v>
                </pt>
                <pt idx="4">
                  <v>0.9399247540514719</v>
                </pt>
                <pt idx="5">
                  <v>1.186611482542042</v>
                </pt>
                <pt idx="6">
                  <v>1.188723415745185</v>
                </pt>
                <pt idx="7">
                  <v>1.243025571822133</v>
                </pt>
                <pt idx="8">
                  <v>0.8833699997452631</v>
                </pt>
                <pt idx="9">
                  <v>0.8550715636228354</v>
                </pt>
                <pt idx="10">
                  <v>0.7031752851665735</v>
                </pt>
                <pt idx="11">
                  <v>0.6425971652450989</v>
                </pt>
                <pt idx="12">
                  <v>0.8779063586505219</v>
                </pt>
                <pt idx="13">
                  <v>0.7736579442415225</v>
                </pt>
                <pt idx="14">
                  <v>0.8346229058882287</v>
                </pt>
                <pt idx="15">
                  <v>1.080320276667488</v>
                </pt>
                <pt idx="16">
                  <v>0.727805815607324</v>
                </pt>
                <pt idx="17">
                  <v>0.8514968596991133</v>
                </pt>
                <pt idx="18">
                  <v>0.8311551246132468</v>
                </pt>
                <pt idx="19">
                  <v>0.6713288323838591</v>
                </pt>
                <pt idx="20">
                  <v>0.2090705854321683</v>
                </pt>
                <pt idx="21">
                  <v>0.09104815292616437</v>
                </pt>
                <pt idx="22">
                  <v>0.1005251678525815</v>
                </pt>
                <pt idx="23">
                  <v>-0.01087101510902273</v>
                </pt>
                <pt idx="24">
                  <v>0.002676753128554537</v>
                </pt>
                <pt idx="25">
                  <v>-0.1926628695466893</v>
                </pt>
                <pt idx="26">
                  <v>-0.1922351813806237</v>
                </pt>
                <pt idx="27">
                  <v>-0.07978350539733373</v>
                </pt>
                <pt idx="28">
                  <v>-0.02816343513854161</v>
                </pt>
                <pt idx="29">
                  <v>-0.05068544517333211</v>
                </pt>
                <pt idx="30">
                  <v>-0.1838196957169308</v>
                </pt>
                <pt idx="31">
                  <v>-0.2405170557847204</v>
                </pt>
                <pt idx="32">
                  <v>-0.2493253868831477</v>
                </pt>
                <pt idx="33">
                  <v>-0.1684341428837723</v>
                </pt>
                <pt idx="34">
                  <v>-0.2533180959519646</v>
                </pt>
                <pt idx="35">
                  <v>-0.1986411604613292</v>
                </pt>
                <pt idx="36">
                  <v>-0.2175604418818559</v>
                </pt>
                <pt idx="37">
                  <v>0.003629023263575393</v>
                </pt>
                <pt idx="38">
                  <v>0.06971913509256542</v>
                </pt>
                <pt idx="39">
                  <v>0.04686741960346902</v>
                </pt>
                <pt idx="40">
                  <v>-0.000209553230776649</v>
                </pt>
                <pt idx="41">
                  <v>0.009429703376830335</v>
                </pt>
                <pt idx="42">
                  <v>-0.01852637388975973</v>
                </pt>
                <pt idx="43">
                  <v>0.01193283359494892</v>
                </pt>
                <pt idx="44">
                  <v>-0.03216248627027542</v>
                </pt>
                <pt idx="45">
                  <v>-0.1193144384571713</v>
                </pt>
                <pt idx="46">
                  <v>-0.1143268969461321</v>
                </pt>
                <pt idx="47">
                  <v>-0.1426330835345566</v>
                </pt>
                <pt idx="48">
                  <v>0.02549421035033275</v>
                </pt>
                <pt idx="49">
                  <v>-0.01237286324933243</v>
                </pt>
                <pt idx="50">
                  <v>0.04142186883530072</v>
                </pt>
                <pt idx="51">
                  <v>0.1275809022306355</v>
                </pt>
                <pt idx="52">
                  <v>-0.6756351108137419</v>
                </pt>
                <pt idx="53">
                  <v>-0.4900398915673068</v>
                </pt>
                <pt idx="54">
                  <v>-0.4439755375356199</v>
                </pt>
                <pt idx="55">
                  <v>-0.5316268735897123</v>
                </pt>
                <pt idx="56">
                  <v>-0.5584628394560232</v>
                </pt>
                <pt idx="57">
                  <v>-0.1722075025424882</v>
                </pt>
                <pt idx="58">
                  <v>-0.3958366086125353</v>
                </pt>
                <pt idx="59">
                  <v>-0.3991849243674199</v>
                </pt>
                <pt idx="60">
                  <v>-0.4032084712617061</v>
                </pt>
                <pt idx="61">
                  <v>-0.7203727651864227</v>
                </pt>
                <pt idx="62">
                  <v>-0.7088997460686856</v>
                </pt>
                <pt idx="63">
                  <v>-0.7157490879142603</v>
                </pt>
                <pt idx="64">
                  <v>-0.5546393968186184</v>
                </pt>
                <pt idx="65">
                  <v>-0.4312882156892965</v>
                </pt>
                <pt idx="66">
                  <v>-0.3671185823591814</v>
                </pt>
                <pt idx="67">
                  <v>-0.3247623590557637</v>
                </pt>
                <pt idx="68">
                  <v>-0.3234776415713068</v>
                </pt>
                <pt idx="69">
                  <v>-0.2072069455171195</v>
                </pt>
                <pt idx="70">
                  <v>0.1028413028200633</v>
                </pt>
                <pt idx="71">
                  <v>-0.004887151067919551</v>
                </pt>
                <pt idx="72">
                  <v>0.203328146435874</v>
                </pt>
                <pt idx="73">
                  <v>0.2707628678198644</v>
                </pt>
                <pt idx="74">
                  <v>0.3892889638575526</v>
                </pt>
                <pt idx="75">
                  <v>0.186708176795727</v>
                </pt>
                <pt idx="76">
                  <v>0.07795508804873871</v>
                </pt>
                <pt idx="77">
                  <v>0.1354322066751438</v>
                </pt>
                <pt idx="78">
                  <v>0.1260189881755202</v>
                </pt>
                <pt idx="79">
                  <v>-0.1130276111118551</v>
                </pt>
                <pt idx="80">
                  <v>-0.03935170913988004</v>
                </pt>
                <pt idx="81">
                  <v>-0.1561671037724729</v>
                </pt>
                <pt idx="82">
                  <v>-0.3495384967530125</v>
                </pt>
                <pt idx="83">
                  <v>-0.2482635689737019</v>
                </pt>
                <pt idx="84">
                  <v>-0.1270859796323683</v>
                </pt>
                <pt idx="85">
                  <v>-0.5358443602594443</v>
                </pt>
                <pt idx="86">
                  <v>-0.840983518904828</v>
                </pt>
                <pt idx="87">
                  <v>-0.1847822082050879</v>
                </pt>
                <pt idx="88">
                  <v>0.05017733165953994</v>
                </pt>
                <pt idx="89">
                  <v>-0.04037132531564337</v>
                </pt>
                <pt idx="90">
                  <v>0.1514670885982197</v>
                </pt>
                <pt idx="91">
                  <v>0.02217305597829633</v>
                </pt>
                <pt idx="92">
                  <v>-0.2444804802370033</v>
                </pt>
                <pt idx="93">
                  <v>-0.01190245946219476</v>
                </pt>
                <pt idx="94">
                  <v>-0.2425806220326588</v>
                </pt>
                <pt idx="95">
                  <v>-0.3329769864363691</v>
                </pt>
                <pt idx="96">
                  <v>-0.2620978500590849</v>
                </pt>
                <pt idx="97">
                  <v>-0.1482930876185955</v>
                </pt>
                <pt idx="98">
                  <v>0.007243960737917221</v>
                </pt>
                <pt idx="99">
                  <v>-0.1396924583546533</v>
                </pt>
                <pt idx="100">
                  <v>-0.101176327292422</v>
                </pt>
                <pt idx="101">
                  <v>-0.4474895414496126</v>
                </pt>
                <pt idx="102">
                  <v>-0.4229783372868577</v>
                </pt>
                <pt idx="103">
                  <v>-0.2233795681788196</v>
                </pt>
                <pt idx="104">
                  <v>-0.4178331664700375</v>
                </pt>
                <pt idx="105">
                  <v>-0.5712145472091434</v>
                </pt>
                <pt idx="106">
                  <v>-0.3951517896996084</v>
                </pt>
                <pt idx="107">
                  <v>-0.4998167657201697</v>
                </pt>
                <pt idx="108">
                  <v>-0.5589225998445138</v>
                </pt>
                <pt idx="109">
                  <v>-0.4595556193445745</v>
                </pt>
                <pt idx="110">
                  <v>-0.317680160406305</v>
                </pt>
                <pt idx="111">
                  <v>-0.4501687709155447</v>
                </pt>
                <pt idx="112">
                  <v>-0.1106595602851009</v>
                </pt>
                <pt idx="113">
                  <v>0.1024448660007803</v>
                </pt>
                <pt idx="114">
                  <v>0.1903552810802741</v>
                </pt>
                <pt idx="115">
                  <v>0.3273157357173528</v>
                </pt>
                <pt idx="116">
                  <v>0.1745885226771459</v>
                </pt>
                <pt idx="117">
                  <v>0.3006982867904545</v>
                </pt>
                <pt idx="118">
                  <v>0.1708758544557126</v>
                </pt>
                <pt idx="119">
                  <v>0.1242385436473818</v>
                </pt>
                <pt idx="120">
                  <v>-0.3955901362102273</v>
                </pt>
                <pt idx="121">
                  <v>-0.5001688000618408</v>
                </pt>
                <pt idx="122">
                  <v>-0.5832620017627934</v>
                </pt>
                <pt idx="123">
                  <v>-1.237658195327749</v>
                </pt>
                <pt idx="124">
                  <v>-1.479934891622364</v>
                </pt>
                <pt idx="125">
                  <v>-1.373752914148743</v>
                </pt>
                <pt idx="126">
                  <v>-1.029948627350534</v>
                </pt>
                <pt idx="127">
                  <v>-1.080417809753651</v>
                </pt>
                <pt idx="128">
                  <v>-1.157768731980987</v>
                </pt>
                <pt idx="129">
                  <v>-1.128186555615693</v>
                </pt>
                <pt idx="130">
                  <v>-1.141870730509695</v>
                </pt>
                <pt idx="131">
                  <v>-1.256619832012297</v>
                </pt>
                <pt idx="132">
                  <v>-1.370049271203516</v>
                </pt>
                <pt idx="133">
                  <v>-1.437325948247484</v>
                </pt>
                <pt idx="134">
                  <v>-3.752687228616169</v>
                </pt>
                <pt idx="135">
                  <v>-4.136917545560318</v>
                </pt>
                <pt idx="136">
                  <v>-4.228471381173917</v>
                </pt>
                <pt idx="137">
                  <v>-4.142529645292619</v>
                </pt>
                <pt idx="138">
                  <v>-4.103296094439046</v>
                </pt>
                <pt idx="139">
                  <v>-4.168373123843154</v>
                </pt>
              </numCache>
            </numRef>
          </val>
          <smooth val="0"/>
        </ser>
        <ser>
          <idx val="13"/>
          <order val="13"/>
          <tx>
            <strRef>
              <f>畫圖0!$B$25</f>
              <strCache>
                <ptCount val="1"/>
                <pt idx="0">
                  <v>大盤</v>
                </pt>
              </strCache>
            </strRef>
          </tx>
          <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畫圖0!$C$11:$EL$11</f>
              <strCache>
                <ptCount val="140"/>
                <pt idx="0">
                  <v>2013/12</v>
                </pt>
                <pt idx="1">
                  <v>2014/01</v>
                </pt>
                <pt idx="2">
                  <v>2014/02</v>
                </pt>
                <pt idx="3">
                  <v>2014/03</v>
                </pt>
                <pt idx="4">
                  <v>2014/04</v>
                </pt>
                <pt idx="5">
                  <v>2014/05</v>
                </pt>
                <pt idx="6">
                  <v>2014/06</v>
                </pt>
                <pt idx="7">
                  <v>2014/07</v>
                </pt>
                <pt idx="8">
                  <v>2014/08</v>
                </pt>
                <pt idx="9">
                  <v>2014/09</v>
                </pt>
                <pt idx="10">
                  <v>2014/10</v>
                </pt>
                <pt idx="11">
                  <v>2014/11</v>
                </pt>
                <pt idx="12">
                  <v>2014/12</v>
                </pt>
                <pt idx="13">
                  <v>2015/01</v>
                </pt>
                <pt idx="14">
                  <v>2015/02</v>
                </pt>
                <pt idx="15">
                  <v>2015/03</v>
                </pt>
                <pt idx="16">
                  <v>2015/04</v>
                </pt>
                <pt idx="17">
                  <v>2015/05</v>
                </pt>
                <pt idx="18">
                  <v>2015/06</v>
                </pt>
                <pt idx="19">
                  <v>2015/07</v>
                </pt>
                <pt idx="20">
                  <v>2015/08</v>
                </pt>
                <pt idx="21">
                  <v>2015/09</v>
                </pt>
                <pt idx="22">
                  <v>2015/10</v>
                </pt>
                <pt idx="23">
                  <v>2015/11</v>
                </pt>
                <pt idx="24">
                  <v>2015/12</v>
                </pt>
                <pt idx="25">
                  <v>2016/01</v>
                </pt>
                <pt idx="26">
                  <v>2016/02</v>
                </pt>
                <pt idx="27">
                  <v>2016/03</v>
                </pt>
                <pt idx="28">
                  <v>2016/04</v>
                </pt>
                <pt idx="29">
                  <v>2016/05</v>
                </pt>
                <pt idx="30">
                  <v>2016/06</v>
                </pt>
                <pt idx="31">
                  <v>2016/07</v>
                </pt>
                <pt idx="32">
                  <v>2016/08</v>
                </pt>
                <pt idx="33">
                  <v>2016/09</v>
                </pt>
                <pt idx="34">
                  <v>2016/10</v>
                </pt>
                <pt idx="35">
                  <v>2016/11</v>
                </pt>
                <pt idx="36">
                  <v>2016/12</v>
                </pt>
                <pt idx="37">
                  <v>2017/01</v>
                </pt>
                <pt idx="38">
                  <v>2017/02</v>
                </pt>
                <pt idx="39">
                  <v>2017/03</v>
                </pt>
                <pt idx="40">
                  <v>2017/04</v>
                </pt>
                <pt idx="41">
                  <v>2017/05</v>
                </pt>
                <pt idx="42">
                  <v>2017/06</v>
                </pt>
                <pt idx="43">
                  <v>2017/07</v>
                </pt>
                <pt idx="44">
                  <v>2017/08</v>
                </pt>
                <pt idx="45">
                  <v>2017/09</v>
                </pt>
                <pt idx="46">
                  <v>2017/10</v>
                </pt>
                <pt idx="47">
                  <v>2017/11</v>
                </pt>
                <pt idx="48">
                  <v>2017/12</v>
                </pt>
                <pt idx="49">
                  <v>2018/01</v>
                </pt>
                <pt idx="50">
                  <v>2018/02</v>
                </pt>
                <pt idx="51">
                  <v>2018/03</v>
                </pt>
                <pt idx="52">
                  <v>2018/04</v>
                </pt>
                <pt idx="53">
                  <v>2018/05</v>
                </pt>
                <pt idx="54">
                  <v>2018/06</v>
                </pt>
                <pt idx="55">
                  <v>2018/07</v>
                </pt>
                <pt idx="56">
                  <v>2018/08</v>
                </pt>
                <pt idx="57">
                  <v>2018/09</v>
                </pt>
                <pt idx="58">
                  <v>2018/10</v>
                </pt>
                <pt idx="59">
                  <v>2018/11</v>
                </pt>
                <pt idx="60">
                  <v>2018/12</v>
                </pt>
                <pt idx="61">
                  <v>2019/01</v>
                </pt>
                <pt idx="62">
                  <v>2019/02</v>
                </pt>
                <pt idx="63">
                  <v>2019/03</v>
                </pt>
                <pt idx="64">
                  <v>2019/04</v>
                </pt>
                <pt idx="65">
                  <v>2019/05</v>
                </pt>
                <pt idx="66">
                  <v>2019/06</v>
                </pt>
                <pt idx="67">
                  <v>2019/07</v>
                </pt>
                <pt idx="68">
                  <v>2019/08</v>
                </pt>
                <pt idx="69">
                  <v>2019/09</v>
                </pt>
                <pt idx="70">
                  <v>2019/10</v>
                </pt>
                <pt idx="71">
                  <v>2019/11</v>
                </pt>
                <pt idx="72">
                  <v>2019/12</v>
                </pt>
                <pt idx="73">
                  <v>2020/01</v>
                </pt>
                <pt idx="74">
                  <v>2020/02</v>
                </pt>
                <pt idx="75">
                  <v>2020/03</v>
                </pt>
                <pt idx="76">
                  <v>2020/04</v>
                </pt>
                <pt idx="77">
                  <v>2020/05</v>
                </pt>
                <pt idx="78">
                  <v>2020/06</v>
                </pt>
                <pt idx="79">
                  <v>2020/07</v>
                </pt>
                <pt idx="80">
                  <v>2020/08</v>
                </pt>
                <pt idx="81">
                  <v>2020/09</v>
                </pt>
                <pt idx="82">
                  <v>2020/10</v>
                </pt>
                <pt idx="83">
                  <v>2020/11</v>
                </pt>
                <pt idx="84">
                  <v>2020/12</v>
                </pt>
                <pt idx="85">
                  <v>2021/01</v>
                </pt>
                <pt idx="86">
                  <v>2021/02</v>
                </pt>
                <pt idx="87">
                  <v>2021/03</v>
                </pt>
                <pt idx="88">
                  <v>2021/04</v>
                </pt>
                <pt idx="89">
                  <v>2021/05</v>
                </pt>
                <pt idx="90">
                  <v>2021/06</v>
                </pt>
                <pt idx="91">
                  <v>2021/07</v>
                </pt>
                <pt idx="92">
                  <v>2021/08</v>
                </pt>
                <pt idx="93">
                  <v>2021/09</v>
                </pt>
                <pt idx="94">
                  <v>2021/10</v>
                </pt>
                <pt idx="95">
                  <v>2021/11</v>
                </pt>
                <pt idx="96">
                  <v>2021/12</v>
                </pt>
                <pt idx="97">
                  <v>2022/01</v>
                </pt>
                <pt idx="98">
                  <v>2022/02</v>
                </pt>
                <pt idx="99">
                  <v>2022/03</v>
                </pt>
                <pt idx="100">
                  <v>2022/04</v>
                </pt>
                <pt idx="101">
                  <v>2022/05</v>
                </pt>
                <pt idx="102">
                  <v>2022/06</v>
                </pt>
                <pt idx="103">
                  <v>2022/07</v>
                </pt>
                <pt idx="104">
                  <v>2022/08</v>
                </pt>
                <pt idx="105">
                  <v>2022/09</v>
                </pt>
                <pt idx="106">
                  <v>2022/10</v>
                </pt>
                <pt idx="107">
                  <v>2022/11</v>
                </pt>
                <pt idx="108">
                  <v>2022/12</v>
                </pt>
                <pt idx="109">
                  <v>2023/01</v>
                </pt>
                <pt idx="110">
                  <v>2023/02</v>
                </pt>
                <pt idx="111">
                  <v>2023/03</v>
                </pt>
                <pt idx="112">
                  <v>2023/04</v>
                </pt>
                <pt idx="113">
                  <v>2023/05</v>
                </pt>
                <pt idx="114">
                  <v>2023/06</v>
                </pt>
                <pt idx="115">
                  <v>2023/07</v>
                </pt>
                <pt idx="116">
                  <v>2023/08</v>
                </pt>
                <pt idx="117">
                  <v>2023/09</v>
                </pt>
                <pt idx="118">
                  <v>2023/10</v>
                </pt>
                <pt idx="119">
                  <v>2023/11</v>
                </pt>
                <pt idx="120">
                  <v>2023/12</v>
                </pt>
                <pt idx="121">
                  <v>2024/01</v>
                </pt>
                <pt idx="122">
                  <v>2024/02</v>
                </pt>
                <pt idx="123">
                  <v>2024/03</v>
                </pt>
                <pt idx="124">
                  <v>2024/04</v>
                </pt>
                <pt idx="125">
                  <v>2024/05</v>
                </pt>
                <pt idx="126">
                  <v>2024/06</v>
                </pt>
                <pt idx="127">
                  <v>2024/07</v>
                </pt>
                <pt idx="128">
                  <v>2024/08</v>
                </pt>
                <pt idx="129">
                  <v>2024/09</v>
                </pt>
                <pt idx="130">
                  <v>2024/10</v>
                </pt>
                <pt idx="131">
                  <v>2024/11</v>
                </pt>
                <pt idx="132">
                  <v>2024/12</v>
                </pt>
                <pt idx="133">
                  <v>2025/01</v>
                </pt>
                <pt idx="134">
                  <v>2025/02</v>
                </pt>
                <pt idx="135">
                  <v>2025/03</v>
                </pt>
                <pt idx="136">
                  <v>2025/04</v>
                </pt>
                <pt idx="137">
                  <v>2025/05</v>
                </pt>
                <pt idx="138">
                  <v>2025/06</v>
                </pt>
                <pt idx="139">
                  <v>2025/07</v>
                </pt>
              </strCache>
            </strRef>
          </cat>
          <val>
            <numRef>
              <f>畫圖0!$C$25:$EL$25</f>
              <numCache>
                <formatCode>General</formatCode>
                <ptCount val="140"/>
                <pt idx="0">
                  <v>-0.01744677053939034</v>
                </pt>
                <pt idx="1">
                  <v>0.003254289992425292</v>
                </pt>
                <pt idx="2">
                  <v>0.027236419247192</v>
                </pt>
                <pt idx="3">
                  <v>0.02067884027436892</v>
                </pt>
                <pt idx="4">
                  <v>0.05252397007488861</v>
                </pt>
                <pt idx="5">
                  <v>0.08687250281187914</v>
                </pt>
                <pt idx="6">
                  <v>0.0786175700305539</v>
                </pt>
                <pt idx="7">
                  <v>0.09146109442460666</v>
                </pt>
                <pt idx="8">
                  <v>0.04044256979781584</v>
                </pt>
                <pt idx="9">
                  <v>0.04131651253885243</v>
                </pt>
                <pt idx="10">
                  <v>0.06470608804434835</v>
                </pt>
                <pt idx="11">
                  <v>0.0776950602446812</v>
                </pt>
                <pt idx="12">
                  <v>0.08354964897031608</v>
                </pt>
                <pt idx="13">
                  <v>0.1109628555421066</v>
                </pt>
                <pt idx="14">
                  <v>0.1072499194244138</v>
                </pt>
                <pt idx="15">
                  <v>0.1313265334722371</v>
                </pt>
                <pt idx="16">
                  <v>0.1191365081731972</v>
                </pt>
                <pt idx="17">
                  <v>0.07938693001360755</v>
                </pt>
                <pt idx="18">
                  <v>0.006231480181958002</v>
                </pt>
                <pt idx="19">
                  <v>-0.05202874972815666</v>
                </pt>
                <pt idx="20">
                  <v>-0.05125595216264828</v>
                </pt>
                <pt idx="21">
                  <v>-0.006664431027429314</v>
                </pt>
                <pt idx="22">
                  <v>-0.03436411107764241</v>
                </pt>
                <pt idx="23">
                  <v>-0.03226910512789876</v>
                </pt>
                <pt idx="24">
                  <v>-0.05566965612046287</v>
                </pt>
                <pt idx="25">
                  <v>-0.02354028502314068</v>
                </pt>
                <pt idx="26">
                  <v>0.01536298807092575</v>
                </pt>
                <pt idx="27">
                  <v>-0.02750239410017852</v>
                </pt>
                <pt idx="28">
                  <v>-0.008855199550026366</v>
                </pt>
                <pt idx="29">
                  <v>0.006374568772502583</v>
                </pt>
                <pt idx="30">
                  <v>0.042391172551395</v>
                </pt>
                <pt idx="31">
                  <v>0.05174578393671117</v>
                </pt>
                <pt idx="32">
                  <v>0.06249403527354931</v>
                </pt>
                <pt idx="33">
                  <v>0.07585178932663028</v>
                </pt>
                <pt idx="34">
                  <v>0.07051904199753489</v>
                </pt>
                <pt idx="35">
                  <v>0.07190217780479657</v>
                </pt>
                <pt idx="36">
                  <v>0.09269810622487104</v>
                </pt>
                <pt idx="37">
                  <v>0.1242158084452617</v>
                </pt>
                <pt idx="38">
                  <v>0.1304575249785911</v>
                </pt>
                <pt idx="39">
                  <v>0.1366027866321625</v>
                </pt>
                <pt idx="40">
                  <v>0.153549144308859</v>
                </pt>
                <pt idx="41">
                  <v>0.1882319747631672</v>
                </pt>
                <pt idx="42">
                  <v>0.1913305633803642</v>
                </pt>
                <pt idx="43">
                  <v>0.2064119105238503</v>
                </pt>
                <pt idx="44">
                  <v>0.1871607012939863</v>
                </pt>
                <pt idx="45">
                  <v>0.2258722146816178</v>
                </pt>
                <pt idx="46">
                  <v>0.2040152635458811</v>
                </pt>
                <pt idx="47">
                  <v>0.2117895642556708</v>
                </pt>
                <pt idx="48">
                  <v>0.2541868109509968</v>
                </pt>
                <pt idx="49">
                  <v>0.227877836089837</v>
                </pt>
                <pt idx="50">
                  <v>0.2374495853985533</v>
                </pt>
                <pt idx="51">
                  <v>0.2131998441322784</v>
                </pt>
                <pt idx="52">
                  <v>0.2333632182761943</v>
                </pt>
                <pt idx="53">
                  <v>0.2298582194940783</v>
                </pt>
                <pt idx="54">
                  <v>0.2500101545926205</v>
                </pt>
                <pt idx="55">
                  <v>0.2505914908233908</v>
                </pt>
                <pt idx="56">
                  <v>0.2453717898701382</v>
                </pt>
                <pt idx="57">
                  <v>0.1295000284680082</v>
                </pt>
                <pt idx="58">
                  <v>0.1382252541604456</v>
                </pt>
                <pt idx="59">
                  <v>0.1218479931826234</v>
                </pt>
                <pt idx="60">
                  <v>0.1426883647828839</v>
                </pt>
                <pt idx="61">
                  <v>0.1876642368849986</v>
                </pt>
                <pt idx="62">
                  <v>0.2116185429668624</v>
                </pt>
                <pt idx="63">
                  <v>0.241857644358305</v>
                </pt>
                <pt idx="64">
                  <v>0.1981317567672175</v>
                </pt>
                <pt idx="65">
                  <v>0.2200212263354162</v>
                </pt>
                <pt idx="66">
                  <v>0.2286486565989246</v>
                </pt>
                <pt idx="67">
                  <v>0.2094557026042658</v>
                </pt>
                <pt idx="68">
                  <v>0.2291908324923988</v>
                </pt>
                <pt idx="69">
                  <v>0.2768851699760982</v>
                </pt>
                <pt idx="70">
                  <v>0.2883399867826816</v>
                </pt>
                <pt idx="71">
                  <v>0.3315686075178949</v>
                </pt>
                <pt idx="72">
                  <v>0.288821177080972</v>
                </pt>
                <pt idx="73">
                  <v>0.2710098846531775</v>
                </pt>
                <pt idx="74">
                  <v>0.1198567877841019</v>
                </pt>
                <pt idx="75">
                  <v>0.2440807914036772</v>
                </pt>
                <pt idx="76">
                  <v>0.2395235375591475</v>
                </pt>
                <pt idx="77">
                  <v>0.2997347777640587</v>
                </pt>
                <pt idx="78">
                  <v>0.385726811246561</v>
                </pt>
                <pt idx="79">
                  <v>0.3799183316641949</v>
                </pt>
                <pt idx="80">
                  <v>0.3738769846752268</v>
                </pt>
                <pt idx="81">
                  <v>0.3763293090474789</v>
                </pt>
                <pt idx="82">
                  <v>0.4659655609845018</v>
                </pt>
                <pt idx="83">
                  <v>0.5369582935112597</v>
                </pt>
                <pt idx="84">
                  <v>0.5641289364130431</v>
                </pt>
                <pt idx="85">
                  <v>0.6165973648383731</v>
                </pt>
                <pt idx="86">
                  <v>0.6460780257814226</v>
                </pt>
                <pt idx="87">
                  <v>0.7129031068416238</v>
                </pt>
                <pt idx="88">
                  <v>0.6841308778218068</v>
                </pt>
                <pt idx="89">
                  <v>0.7235933937234447</v>
                </pt>
                <pt idx="90">
                  <v>0.6945623067460848</v>
                </pt>
                <pt idx="91">
                  <v>0.7085461892655527</v>
                </pt>
                <pt idx="92">
                  <v>0.6762692243062188</v>
                </pt>
                <pt idx="93">
                  <v>0.6793728009191129</v>
                </pt>
                <pt idx="94">
                  <v>0.704964656686196</v>
                </pt>
                <pt idx="95">
                  <v>0.7493565429733893</v>
                </pt>
                <pt idx="96">
                  <v>0.7190175844238118</v>
                </pt>
                <pt idx="97">
                  <v>0.7177596079692401</v>
                </pt>
                <pt idx="98">
                  <v>0.720095964425098</v>
                </pt>
                <pt idx="99">
                  <v>0.655831819499192</v>
                </pt>
                <pt idx="100">
                  <v>0.6687415989581844</v>
                </pt>
                <pt idx="101">
                  <v>0.5432645042873256</v>
                </pt>
                <pt idx="102">
                  <v>0.5549551872271182</v>
                </pt>
                <pt idx="103">
                  <v>0.56129303092786</v>
                </pt>
                <pt idx="104">
                  <v>0.4439876744584745</v>
                </pt>
                <pt idx="105">
                  <v>0.4079768024090279</v>
                </pt>
                <pt idx="106">
                  <v>0.5468881064812958</v>
                </pt>
                <pt idx="107">
                  <v>0.4957446002551901</v>
                </pt>
                <pt idx="108">
                  <v>0.5724760474371591</v>
                </pt>
                <pt idx="109">
                  <v>0.5879848296341672</v>
                </pt>
                <pt idx="110">
                  <v>0.611208603308923</v>
                </pt>
                <pt idx="111">
                  <v>0.5928357269476952</v>
                </pt>
                <pt idx="112">
                  <v>0.6550347410327946</v>
                </pt>
                <pt idx="113">
                  <v>0.6751330455197517</v>
                </pt>
                <pt idx="114">
                  <v>0.6886319852678198</v>
                </pt>
                <pt idx="115">
                  <v>0.6583797725393989</v>
                </pt>
                <pt idx="116">
                  <v>0.6413569368313451</v>
                </pt>
                <pt idx="117">
                  <v>0.6195684135588831</v>
                </pt>
                <pt idx="118">
                  <v>0.7053140381440204</v>
                </pt>
                <pt idx="119">
                  <v>0.7334207817489942</v>
                </pt>
                <pt idx="120">
                  <v>0.7311176219416348</v>
                </pt>
                <pt idx="121">
                  <v>0.7895888200731223</v>
                </pt>
                <pt idx="122">
                  <v>0.8572477691217699</v>
                </pt>
                <pt idx="123">
                  <v>0.8622685397622022</v>
                </pt>
                <pt idx="124">
                  <v>0.8996847234374092</v>
                </pt>
                <pt idx="125">
                  <v>0.9837957271834513</v>
                </pt>
                <pt idx="126">
                  <v>0.9469633286394384</v>
                </pt>
                <pt idx="127">
                  <v>0.9500550314563755</v>
                </pt>
                <pt idx="128">
                  <v>0.9480974032420809</v>
                </pt>
                <pt idx="129">
                  <v>0.9745565068456007</v>
                </pt>
                <pt idx="130">
                  <v>0.9498039680849104</v>
                </pt>
                <pt idx="131">
                  <v>0.9839194590674704</v>
                </pt>
                <pt idx="132">
                  <v>1.004981433056503</v>
                </pt>
                <pt idx="133">
                  <v>0.9847040403504975</v>
                </pt>
                <pt idx="134">
                  <v>0.8768359324896196</v>
                </pt>
                <pt idx="135">
                  <v>0.8543155803755489</v>
                </pt>
                <pt idx="136">
                  <v>0.9078255874463217</v>
                </pt>
                <pt idx="137">
                  <v>0.9495128532838898</v>
                </pt>
                <pt idx="138">
                  <v>1.005708467398301</v>
                </pt>
                <pt idx="139">
                  <v>1.03461978668341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35116656"/>
        <axId val="435117072"/>
      </lineChart>
      <catAx>
        <axId val="435116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435117072"/>
        <crosses val="autoZero"/>
        <auto val="1"/>
        <lblAlgn val="ctr"/>
        <lblOffset val="100"/>
        <noMultiLvlLbl val="0"/>
      </catAx>
      <valAx>
        <axId val="4351170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43511665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64"/>
  <sheetViews>
    <sheetView topLeftCell="DU1" zoomScale="130" zoomScaleNormal="130" workbookViewId="0">
      <selection activeCell="EH27" sqref="EH27"/>
    </sheetView>
  </sheetViews>
  <sheetFormatPr baseColWidth="8" defaultRowHeight="14.5"/>
  <cols>
    <col width="10.19921875" bestFit="1" customWidth="1" min="2" max="2"/>
    <col width="9.5" bestFit="1" customWidth="1" min="143" max="143"/>
    <col width="10.19921875" bestFit="1" customWidth="1" min="145" max="145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  <c r="EM2" s="7" t="inlineStr">
        <is>
          <t>2025/08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  <c r="EM3" s="2" t="e">
        <v>#NUM!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  <c r="EM4" s="2" t="e">
        <v>#NUM!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  <c r="EM5" s="2" t="e">
        <v>#NUM!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  <c r="EM6" s="2">
        <f t="array" ref="EM6">MATCH(MAX(ABS(EM3:EM5)), ABS(EM3:EM5),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  <c r="EM7" s="2">
        <f>IF(EM6=1,"bm",IF(EM6=2,"size",IF(EM6=3,"mom")))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  <c r="EM8" s="2">
        <f>IF(EM6=1,EM3,IF(EM6=2,EM4,IF(EM6=3,EM5)))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  <c r="EM11" s="7" t="inlineStr">
        <is>
          <t>平均值</t>
        </is>
      </c>
      <c r="EN11" s="7" t="inlineStr">
        <is>
          <t>標準差</t>
        </is>
      </c>
      <c r="EO11" s="7" t="inlineStr">
        <is>
          <t>夏普比率</t>
        </is>
      </c>
    </row>
    <row r="12">
      <c r="A12" s="13" t="n">
        <v>10</v>
      </c>
      <c r="B12" s="13">
        <f>ROUND($D$10/A12,0)</f>
        <v/>
      </c>
      <c r="C12" s="3" t="n">
        <v>0.04547082152418088</v>
      </c>
      <c r="D12" s="3" t="n">
        <v>0.02818794328565444</v>
      </c>
      <c r="E12" s="3" t="n">
        <v>0.006679733950437871</v>
      </c>
      <c r="F12" s="3" t="n">
        <v>0.01343686184104372</v>
      </c>
      <c r="G12" s="3" t="n">
        <v>-0.005250557487771035</v>
      </c>
      <c r="H12" s="3" t="n">
        <v>0.009360910688528339</v>
      </c>
      <c r="I12" s="3" t="n">
        <v>0.04661196409025293</v>
      </c>
      <c r="J12" s="3" t="n">
        <v>0.05668165958952776</v>
      </c>
      <c r="K12" s="3" t="n">
        <v>0.006151765816759282</v>
      </c>
      <c r="L12" s="3" t="n">
        <v>0.01533464544549866</v>
      </c>
      <c r="M12" s="3" t="n">
        <v>0.02270327689279879</v>
      </c>
      <c r="N12" s="3" t="n">
        <v>0.04463739467500367</v>
      </c>
      <c r="O12" s="3" t="n">
        <v>0.02944898849718844</v>
      </c>
      <c r="P12" s="3" t="n">
        <v>0.01629996433345379</v>
      </c>
      <c r="Q12" s="3" t="n">
        <v>0.0222392380046798</v>
      </c>
      <c r="R12" s="3" t="n">
        <v>0.001725127340853927</v>
      </c>
      <c r="S12" s="3" t="n">
        <v>0.06433750651198632</v>
      </c>
      <c r="T12" s="3" t="n">
        <v>0.04010503909580915</v>
      </c>
      <c r="U12" s="3" t="n">
        <v>0.01035197371023894</v>
      </c>
      <c r="V12" s="3" t="n">
        <v>0.04498164544065379</v>
      </c>
      <c r="W12" s="3" t="n">
        <v>0.009308864109759091</v>
      </c>
      <c r="X12" s="3" t="n">
        <v>0.0462102405102847</v>
      </c>
      <c r="Y12" s="3" t="n">
        <v>0.03247838058625762</v>
      </c>
      <c r="Z12" s="3" t="n">
        <v>0.05753009607811399</v>
      </c>
      <c r="AA12" s="3" t="n">
        <v>0.03290823770623255</v>
      </c>
      <c r="AB12" s="3" t="n">
        <v>0.03110179415238612</v>
      </c>
      <c r="AC12" s="3" t="n">
        <v>0.0372524259442359</v>
      </c>
      <c r="AD12" s="3" t="n">
        <v>0.01549436108572011</v>
      </c>
      <c r="AE12" s="3" t="n">
        <v>0.03800360910238368</v>
      </c>
      <c r="AF12" s="3" t="n">
        <v>0.03440511110933354</v>
      </c>
      <c r="AG12" s="3" t="n">
        <v>0.03765715262583455</v>
      </c>
      <c r="AH12" s="3" t="n">
        <v>0.01715019539994671</v>
      </c>
      <c r="AI12" s="3" t="n">
        <v>0.01615912277323118</v>
      </c>
      <c r="AJ12" s="3" t="n">
        <v>0.01890248734667792</v>
      </c>
      <c r="AK12" s="3" t="n">
        <v>0.04111469325278892</v>
      </c>
      <c r="AL12" s="3" t="n">
        <v>0.009623989874778117</v>
      </c>
      <c r="AM12" s="3" t="n">
        <v>0.02543599541953343</v>
      </c>
      <c r="AN12" s="3" t="n">
        <v>0.0598521912032499</v>
      </c>
      <c r="AO12" s="3" t="n">
        <v>0.001632143401752353</v>
      </c>
      <c r="AP12" s="3" t="n">
        <v>0.02153954826191519</v>
      </c>
      <c r="AQ12" s="3" t="n">
        <v>0.007260712968734144</v>
      </c>
      <c r="AR12" s="3" t="n">
        <v>0.02127670173322397</v>
      </c>
      <c r="AS12" s="3" t="n">
        <v>0.01660514856580561</v>
      </c>
      <c r="AT12" s="3" t="n">
        <v>0.01017620814408852</v>
      </c>
      <c r="AU12" s="3" t="n">
        <v>0.03164373003581926</v>
      </c>
      <c r="AV12" s="3" t="n">
        <v>0.02483102755891575</v>
      </c>
      <c r="AW12" s="3" t="n">
        <v>-0.005409592953351954</v>
      </c>
      <c r="AX12" s="3" t="n">
        <v>0.05042596474329212</v>
      </c>
      <c r="AY12" s="3" t="n">
        <v>0.02070538963431224</v>
      </c>
      <c r="AZ12" s="3" t="n">
        <v>0.003358461192077122</v>
      </c>
      <c r="BA12" s="3" t="n">
        <v>0.004904262358059203</v>
      </c>
      <c r="BB12" s="3" t="n">
        <v>0.02360362990478747</v>
      </c>
      <c r="BC12" s="3" t="n">
        <v>0.003783320390546713</v>
      </c>
      <c r="BD12" s="3" t="n">
        <v>0.01484794905647357</v>
      </c>
      <c r="BE12" s="3" t="n">
        <v>0.01589643580531441</v>
      </c>
      <c r="BF12" s="3" t="n">
        <v>0.05175935079306949</v>
      </c>
      <c r="BG12" s="3" t="n">
        <v>0.03475724228177064</v>
      </c>
      <c r="BH12" s="3" t="n">
        <v>0.01662687037314534</v>
      </c>
      <c r="BI12" s="3" t="n">
        <v>0.04970352492431582</v>
      </c>
      <c r="BJ12" s="3" t="n">
        <v>-0.009936788492112936</v>
      </c>
      <c r="BK12" s="3" t="n">
        <v>0.02508131421052587</v>
      </c>
      <c r="BL12" s="3" t="n">
        <v>0.01603407077765556</v>
      </c>
      <c r="BM12" s="3" t="n">
        <v>0.002215990317814238</v>
      </c>
      <c r="BN12" s="3" t="n">
        <v>0.01179342349500154</v>
      </c>
      <c r="BO12" s="3" t="n">
        <v>0.02458782522484356</v>
      </c>
      <c r="BP12" s="3" t="n">
        <v>0.01248249291066354</v>
      </c>
      <c r="BQ12" s="3" t="n">
        <v>0.005654825959819592</v>
      </c>
      <c r="BR12" s="3" t="n">
        <v>0.005806168139675992</v>
      </c>
      <c r="BS12" s="3" t="n">
        <v>0.001575274089212392</v>
      </c>
      <c r="BT12" s="3" t="n">
        <v>0.01328651559026642</v>
      </c>
      <c r="BU12" s="3" t="n">
        <v>0.00548370137154795</v>
      </c>
      <c r="BV12" s="3" t="n">
        <v>0.02260267132057649</v>
      </c>
      <c r="BW12" s="3" t="n">
        <v>0.009938927192912644</v>
      </c>
      <c r="BX12" s="3" t="n">
        <v>0.007196592377012947</v>
      </c>
      <c r="BY12" s="3" t="n">
        <v>0.01950927722980472</v>
      </c>
      <c r="BZ12" s="3" t="n">
        <v>0.04087432821304052</v>
      </c>
      <c r="CA12" s="3" t="n">
        <v>0.03301341103882018</v>
      </c>
      <c r="CB12" s="3" t="n">
        <v>-0.008537048560969374</v>
      </c>
      <c r="CC12" s="3" t="n">
        <v>0.01333658148728535</v>
      </c>
      <c r="CD12" s="3" t="n">
        <v>0.1013115192695928</v>
      </c>
      <c r="CE12" s="3" t="n">
        <v>0.01443753877649045</v>
      </c>
      <c r="CF12" s="3" t="n">
        <v>0.03218178845563673</v>
      </c>
      <c r="CG12" s="3" t="n">
        <v>0.04639203553248737</v>
      </c>
      <c r="CH12" s="3" t="n">
        <v>0.06783267214052019</v>
      </c>
      <c r="CI12" s="3" t="n">
        <v>0.03058824932356178</v>
      </c>
      <c r="CJ12" s="3" t="n">
        <v>-0.01048051066537116</v>
      </c>
      <c r="CK12" s="3" t="n">
        <v>0.0138850970555175</v>
      </c>
      <c r="CL12" s="3" t="n">
        <v>0.1537170630211833</v>
      </c>
      <c r="CM12" s="3" t="n">
        <v>0.03204677789273617</v>
      </c>
      <c r="CN12" s="3" t="n">
        <v>0.03248464499241561</v>
      </c>
      <c r="CO12" s="3" t="n">
        <v>-0.00641895133813161</v>
      </c>
      <c r="CP12" s="3" t="n">
        <v>0.04605123991129261</v>
      </c>
      <c r="CQ12" s="3" t="n">
        <v>0.04288959832091892</v>
      </c>
      <c r="CR12" s="3" t="n">
        <v>0.02076724613668349</v>
      </c>
      <c r="CS12" s="3" t="n">
        <v>0.01969733034609979</v>
      </c>
      <c r="CT12" s="3" t="n">
        <v>0.008940021711764445</v>
      </c>
      <c r="CU12" s="3" t="n">
        <v>0.04493528831732037</v>
      </c>
      <c r="CV12" s="3" t="n">
        <v>0.01874441157095691</v>
      </c>
      <c r="CW12" s="3" t="n">
        <v>0.01003886268102768</v>
      </c>
      <c r="CX12" s="3" t="n">
        <v>0.07027215626784564</v>
      </c>
      <c r="CY12" s="3" t="n">
        <v>0.007851696166336623</v>
      </c>
      <c r="CZ12" s="3" t="n">
        <v>0.08836106705198578</v>
      </c>
      <c r="DA12" s="3" t="n">
        <v>-0.0161980012383386</v>
      </c>
      <c r="DB12" s="3" t="n">
        <v>0.01618916934388252</v>
      </c>
      <c r="DC12" s="3" t="n">
        <v>0.03050268737146825</v>
      </c>
      <c r="DD12" s="3" t="n">
        <v>0.02382171534322002</v>
      </c>
      <c r="DE12" s="3" t="n">
        <v>0.01966454426551417</v>
      </c>
      <c r="DF12" s="3" t="n">
        <v>0.01192974484279086</v>
      </c>
      <c r="DG12" s="3" t="n">
        <v>0.008217531724495682</v>
      </c>
      <c r="DH12" s="3" t="n">
        <v>0.0007552335094661369</v>
      </c>
      <c r="DI12" s="3" t="n">
        <v>0.04576936540887566</v>
      </c>
      <c r="DJ12" s="3" t="n">
        <v>0.02527743597366237</v>
      </c>
      <c r="DK12" s="3" t="n">
        <v>0.02368849780508365</v>
      </c>
      <c r="DL12" s="3" t="n">
        <v>-0.004772231639385734</v>
      </c>
      <c r="DM12" s="3" t="n">
        <v>0.001595254829216043</v>
      </c>
      <c r="DN12" s="3" t="n">
        <v>0.0302591511574782</v>
      </c>
      <c r="DO12" s="3" t="n">
        <v>0.02434211554101681</v>
      </c>
      <c r="DP12" s="3" t="n">
        <v>0.03591564094969673</v>
      </c>
      <c r="DQ12" s="3" t="n">
        <v>0.03363811811259319</v>
      </c>
      <c r="DR12" s="3" t="n">
        <v>0.02161069170408621</v>
      </c>
      <c r="DS12" s="3" t="n">
        <v>0.04252094246088985</v>
      </c>
      <c r="DT12" s="3" t="n">
        <v>0.04840862071218908</v>
      </c>
      <c r="DU12" s="3" t="n">
        <v>0.007601781316476273</v>
      </c>
      <c r="DV12" s="3" t="n">
        <v>0.05244697737979562</v>
      </c>
      <c r="DW12" s="3" t="n">
        <v>0.03225465917587016</v>
      </c>
      <c r="DX12" s="3" t="n">
        <v>0.0456744142060606</v>
      </c>
      <c r="DY12" s="3" t="n">
        <v>0.04828911506451053</v>
      </c>
      <c r="DZ12" s="3" t="n">
        <v>0.0135995322740003</v>
      </c>
      <c r="EA12" s="3" t="n">
        <v>0.07375038500230043</v>
      </c>
      <c r="EB12" s="3" t="n">
        <v>0.001974293671933872</v>
      </c>
      <c r="EC12" s="3" t="n">
        <v>0.02619494247878724</v>
      </c>
      <c r="ED12" s="3" t="n">
        <v>0.06142725442133749</v>
      </c>
      <c r="EE12" s="3" t="n">
        <v>0.01517985564232915</v>
      </c>
      <c r="EF12" s="3" t="n">
        <v>0.03192108101159129</v>
      </c>
      <c r="EG12" s="3" t="n">
        <v>0.09782967787340094</v>
      </c>
      <c r="EH12" s="3" t="n">
        <v>0.02225868253877327</v>
      </c>
      <c r="EI12" s="3" t="n">
        <v>0.01717294517026585</v>
      </c>
      <c r="EJ12" s="3" t="n">
        <v>0.068011013813902</v>
      </c>
      <c r="EK12" s="3" t="n">
        <v>0.009973121651872788</v>
      </c>
      <c r="EL12" s="3" t="n">
        <v>0.04901788119357646</v>
      </c>
      <c r="EM12">
        <f>AVERAGE(C12:EL12)</f>
        <v/>
      </c>
      <c r="EN12">
        <f>STDEV(C12:EL12)</f>
        <v/>
      </c>
      <c r="EO12">
        <f>EM12/EN12</f>
        <v/>
      </c>
    </row>
    <row r="13">
      <c r="A13" s="13" t="n">
        <v>20</v>
      </c>
      <c r="B13" s="13">
        <f>ROUND($D$10/A13,0)</f>
        <v/>
      </c>
      <c r="C13" s="3" t="n">
        <v>0.04469439022850612</v>
      </c>
      <c r="D13" s="3" t="n">
        <v>0.04580947792463883</v>
      </c>
      <c r="E13" s="3" t="n">
        <v>0.0320640599823685</v>
      </c>
      <c r="F13" s="3" t="n">
        <v>0.04369192168106755</v>
      </c>
      <c r="G13" s="3" t="n">
        <v>0.01371403526827177</v>
      </c>
      <c r="H13" s="3" t="n">
        <v>0.01736276488035664</v>
      </c>
      <c r="I13" s="3" t="n">
        <v>0.04943610168148227</v>
      </c>
      <c r="J13" s="3" t="n">
        <v>0.05998971591416542</v>
      </c>
      <c r="K13" s="3" t="n">
        <v>0.03198128157194729</v>
      </c>
      <c r="L13" s="3" t="n">
        <v>0.0007231035594604321</v>
      </c>
      <c r="M13" s="3" t="n">
        <v>-0.007586575533290806</v>
      </c>
      <c r="N13" s="3" t="n">
        <v>0.03618196885473959</v>
      </c>
      <c r="O13" s="3" t="n">
        <v>0.03477285421942586</v>
      </c>
      <c r="P13" s="3" t="n">
        <v>0.02039586229180868</v>
      </c>
      <c r="Q13" s="3" t="n">
        <v>0.03254053507632969</v>
      </c>
      <c r="R13" s="3" t="n">
        <v>-0.003330400307077389</v>
      </c>
      <c r="S13" s="3" t="n">
        <v>0.07284790127037719</v>
      </c>
      <c r="T13" s="3" t="n">
        <v>0.0592670041779442</v>
      </c>
      <c r="U13" s="3" t="n">
        <v>0.05067458532719066</v>
      </c>
      <c r="V13" s="3" t="n">
        <v>0.03592522819469367</v>
      </c>
      <c r="W13" s="3" t="n">
        <v>0.009833646373548451</v>
      </c>
      <c r="X13" s="3" t="n">
        <v>0.06221417112670555</v>
      </c>
      <c r="Y13" s="3" t="n">
        <v>0.04137791534742428</v>
      </c>
      <c r="Z13" s="3" t="n">
        <v>0.07058014763266755</v>
      </c>
      <c r="AA13" s="3" t="n">
        <v>0.02785700511321844</v>
      </c>
      <c r="AB13" s="3" t="n">
        <v>0.04577241250460845</v>
      </c>
      <c r="AC13" s="3" t="n">
        <v>0.02706017969918545</v>
      </c>
      <c r="AD13" s="3" t="n">
        <v>0.009944937476651729</v>
      </c>
      <c r="AE13" s="3" t="n">
        <v>0.04245996157441006</v>
      </c>
      <c r="AF13" s="3" t="n">
        <v>0.04865400626678665</v>
      </c>
      <c r="AG13" s="3" t="n">
        <v>0.04371968148094939</v>
      </c>
      <c r="AH13" s="3" t="n">
        <v>0.00211394893613715</v>
      </c>
      <c r="AI13" s="3" t="n">
        <v>0.01251295999369646</v>
      </c>
      <c r="AJ13" s="3" t="n">
        <v>-0.009991560152693721</v>
      </c>
      <c r="AK13" s="3" t="n">
        <v>0.0636931245504813</v>
      </c>
      <c r="AL13" s="3" t="n">
        <v>0.005225136970285859</v>
      </c>
      <c r="AM13" s="3" t="n">
        <v>0.0286722156398173</v>
      </c>
      <c r="AN13" s="3" t="n">
        <v>0.09693984192479933</v>
      </c>
      <c r="AO13" s="3" t="n">
        <v>-0.0003911145004500426</v>
      </c>
      <c r="AP13" s="3" t="n">
        <v>0.0453984690905407</v>
      </c>
      <c r="AQ13" s="3" t="n">
        <v>0.002989844811575759</v>
      </c>
      <c r="AR13" s="3" t="n">
        <v>0.03155192092970324</v>
      </c>
      <c r="AS13" s="3" t="n">
        <v>0.02934643988195496</v>
      </c>
      <c r="AT13" s="3" t="n">
        <v>0.02368566202166956</v>
      </c>
      <c r="AU13" s="3" t="n">
        <v>0.04817735791381351</v>
      </c>
      <c r="AV13" s="3" t="n">
        <v>-0.01215214194423001</v>
      </c>
      <c r="AW13" s="3" t="n">
        <v>-0.002687654857119416</v>
      </c>
      <c r="AX13" s="3" t="n">
        <v>0.07395980140732478</v>
      </c>
      <c r="AY13" s="3" t="n">
        <v>0.008978082218036877</v>
      </c>
      <c r="AZ13" s="3" t="n">
        <v>0.006333274155895548</v>
      </c>
      <c r="BA13" s="3" t="n">
        <v>0.01087644736998009</v>
      </c>
      <c r="BB13" s="3" t="n">
        <v>0.04876244362702006</v>
      </c>
      <c r="BC13" s="3" t="n">
        <v>0.006170401292443464</v>
      </c>
      <c r="BD13" s="3" t="n">
        <v>0.01470275557227172</v>
      </c>
      <c r="BE13" s="3" t="n">
        <v>0.01388214824019074</v>
      </c>
      <c r="BF13" s="3" t="n">
        <v>0.06402555073861912</v>
      </c>
      <c r="BG13" s="3" t="n">
        <v>0.04079374877525929</v>
      </c>
      <c r="BH13" s="3" t="n">
        <v>0.01680920942110567</v>
      </c>
      <c r="BI13" s="3" t="n">
        <v>0.05067915717069912</v>
      </c>
      <c r="BJ13" s="3" t="n">
        <v>0.01886380784574556</v>
      </c>
      <c r="BK13" s="3" t="n">
        <v>0.02243677402958784</v>
      </c>
      <c r="BL13" s="3" t="n">
        <v>0.03014962695887404</v>
      </c>
      <c r="BM13" s="3" t="n">
        <v>-0.01161553153237949</v>
      </c>
      <c r="BN13" s="3" t="n">
        <v>0.004387547147273926</v>
      </c>
      <c r="BO13" s="3" t="n">
        <v>0.04109033477384363</v>
      </c>
      <c r="BP13" s="3" t="n">
        <v>0.005320214820060072</v>
      </c>
      <c r="BQ13" s="3" t="n">
        <v>0.02067169344822321</v>
      </c>
      <c r="BR13" s="3" t="n">
        <v>0.005937552375772939</v>
      </c>
      <c r="BS13" s="3" t="n">
        <v>-0.006939785155022075</v>
      </c>
      <c r="BT13" s="3" t="n">
        <v>0.01731020379908467</v>
      </c>
      <c r="BU13" s="3" t="n">
        <v>0.005575911357308736</v>
      </c>
      <c r="BV13" s="3" t="n">
        <v>0.02247183604596167</v>
      </c>
      <c r="BW13" s="3" t="n">
        <v>-0.0005645834689918111</v>
      </c>
      <c r="BX13" s="3" t="n">
        <v>0.01575533356607189</v>
      </c>
      <c r="BY13" s="3" t="n">
        <v>0.009063684754499757</v>
      </c>
      <c r="BZ13" s="3" t="n">
        <v>0.0671961311979391</v>
      </c>
      <c r="CA13" s="3" t="n">
        <v>0.02630357818582321</v>
      </c>
      <c r="CB13" s="3" t="n">
        <v>-0.0279565611469989</v>
      </c>
      <c r="CC13" s="3" t="n">
        <v>-0.002609690366108672</v>
      </c>
      <c r="CD13" s="3" t="n">
        <v>0.1022527774540459</v>
      </c>
      <c r="CE13" s="3" t="n">
        <v>0.0157352138913719</v>
      </c>
      <c r="CF13" s="3" t="n">
        <v>0.04748348497540352</v>
      </c>
      <c r="CG13" s="3" t="n">
        <v>0.03429330647197972</v>
      </c>
      <c r="CH13" s="3" t="n">
        <v>0.04955474307093065</v>
      </c>
      <c r="CI13" s="3" t="n">
        <v>0.05009324639757531</v>
      </c>
      <c r="CJ13" s="3" t="n">
        <v>0.00209059253114105</v>
      </c>
      <c r="CK13" s="3" t="n">
        <v>0.02693215740528492</v>
      </c>
      <c r="CL13" s="3" t="n">
        <v>0.1607960949578546</v>
      </c>
      <c r="CM13" s="3" t="n">
        <v>0.03498939410971554</v>
      </c>
      <c r="CN13" s="3" t="n">
        <v>0.03747884652003149</v>
      </c>
      <c r="CO13" s="3" t="n">
        <v>0.01606441237443959</v>
      </c>
      <c r="CP13" s="3" t="n">
        <v>0.06679373606045766</v>
      </c>
      <c r="CQ13" s="3" t="n">
        <v>0.04289390669825981</v>
      </c>
      <c r="CR13" s="3" t="n">
        <v>0.02860180943047964</v>
      </c>
      <c r="CS13" s="3" t="n">
        <v>0.009657400643786961</v>
      </c>
      <c r="CT13" s="3" t="n">
        <v>0.02346060222781371</v>
      </c>
      <c r="CU13" s="3" t="n">
        <v>0.05810960738626705</v>
      </c>
      <c r="CV13" s="3" t="n">
        <v>0.01706810460739748</v>
      </c>
      <c r="CW13" s="3" t="n">
        <v>-0.0005873529287572544</v>
      </c>
      <c r="CX13" s="3" t="n">
        <v>0.0796854423901909</v>
      </c>
      <c r="CY13" s="3" t="n">
        <v>0.01898489829125095</v>
      </c>
      <c r="CZ13" s="3" t="n">
        <v>0.08034888937288549</v>
      </c>
      <c r="DA13" s="3" t="n">
        <v>-0.01651796989832694</v>
      </c>
      <c r="DB13" s="3" t="n">
        <v>0.03752583462981449</v>
      </c>
      <c r="DC13" s="3" t="n">
        <v>0.02516539273218844</v>
      </c>
      <c r="DD13" s="3" t="n">
        <v>-0.001146324054032945</v>
      </c>
      <c r="DE13" s="3" t="n">
        <v>0.01424011475858664</v>
      </c>
      <c r="DF13" s="3" t="n">
        <v>-0.02713809555175035</v>
      </c>
      <c r="DG13" s="3" t="n">
        <v>0.01128102167305066</v>
      </c>
      <c r="DH13" s="3" t="n">
        <v>-0.0004546358001186399</v>
      </c>
      <c r="DI13" s="3" t="n">
        <v>0.02031197279213194</v>
      </c>
      <c r="DJ13" s="3" t="n">
        <v>0.02136437683832124</v>
      </c>
      <c r="DK13" s="3" t="n">
        <v>0.006342115492107885</v>
      </c>
      <c r="DL13" s="3" t="n">
        <v>0.02489269888435609</v>
      </c>
      <c r="DM13" s="3" t="n">
        <v>0.001592164811420811</v>
      </c>
      <c r="DN13" s="3" t="n">
        <v>-0.0004153367653665155</v>
      </c>
      <c r="DO13" s="3" t="n">
        <v>0.03597904471042529</v>
      </c>
      <c r="DP13" s="3" t="n">
        <v>0.0535114878427895</v>
      </c>
      <c r="DQ13" s="3" t="n">
        <v>0.03803275480350686</v>
      </c>
      <c r="DR13" s="3" t="n">
        <v>0.02023331650884323</v>
      </c>
      <c r="DS13" s="3" t="n">
        <v>0.05426742928295387</v>
      </c>
      <c r="DT13" s="3" t="n">
        <v>0.05002591372442433</v>
      </c>
      <c r="DU13" s="3" t="n">
        <v>0.01644411699575333</v>
      </c>
      <c r="DV13" s="3" t="n">
        <v>0.07239771502328593</v>
      </c>
      <c r="DW13" s="3" t="n">
        <v>0.03119022574363114</v>
      </c>
      <c r="DX13" s="3" t="n">
        <v>0.06035298261967473</v>
      </c>
      <c r="DY13" s="3" t="n">
        <v>0.08727515347777288</v>
      </c>
      <c r="DZ13" s="3" t="n">
        <v>0.01752866678320101</v>
      </c>
      <c r="EA13" s="3" t="n">
        <v>0.06613213460220044</v>
      </c>
      <c r="EB13" s="3" t="n">
        <v>0.01064374531126155</v>
      </c>
      <c r="EC13" s="3" t="n">
        <v>0.04094028164217176</v>
      </c>
      <c r="ED13" s="3" t="n">
        <v>0.06593845298650368</v>
      </c>
      <c r="EE13" s="3" t="n">
        <v>0.0168225068969215</v>
      </c>
      <c r="EF13" s="3" t="n">
        <v>0.05558735504328541</v>
      </c>
      <c r="EG13" s="3" t="n">
        <v>0.1515491861230315</v>
      </c>
      <c r="EH13" s="3" t="n">
        <v>-0.00340307528743216</v>
      </c>
      <c r="EI13" s="3" t="n">
        <v>0.03737123397508454</v>
      </c>
      <c r="EJ13" s="3" t="n">
        <v>0.09123495960841387</v>
      </c>
      <c r="EK13" s="3" t="n">
        <v>0.004094982878573801</v>
      </c>
      <c r="EL13" s="3" t="n">
        <v>0.06610871869778115</v>
      </c>
      <c r="EM13">
        <f>AVERAGE(C13:EL13)</f>
        <v/>
      </c>
      <c r="EN13">
        <f>STDEV(C13:EL13)</f>
        <v/>
      </c>
      <c r="EO13">
        <f>EM13/EN13</f>
        <v/>
      </c>
    </row>
    <row r="14">
      <c r="A14" s="13" t="n">
        <v>50</v>
      </c>
      <c r="B14" s="13">
        <f>ROUND($D$10/A14,0)</f>
        <v/>
      </c>
      <c r="C14" s="3" t="n">
        <v>-0.04571717270925565</v>
      </c>
      <c r="D14" s="3" t="n">
        <v>0.04163458337297236</v>
      </c>
      <c r="E14" s="3" t="n">
        <v>0.03339374929055927</v>
      </c>
      <c r="F14" s="3" t="n">
        <v>0.07652416924126867</v>
      </c>
      <c r="G14" s="3" t="n">
        <v>0.0391573005855185</v>
      </c>
      <c r="H14" s="3" t="n">
        <v>0.01033469386372188</v>
      </c>
      <c r="I14" s="3" t="n">
        <v>0.08231359072253028</v>
      </c>
      <c r="J14" s="3" t="n">
        <v>0.0640911480462002</v>
      </c>
      <c r="K14" s="3" t="n">
        <v>0.1047792351316086</v>
      </c>
      <c r="L14" s="3" t="n">
        <v>0.003969368636618953</v>
      </c>
      <c r="M14" s="3" t="n">
        <v>0.01241184511833255</v>
      </c>
      <c r="N14" s="3" t="n">
        <v>0.07779513525407131</v>
      </c>
      <c r="O14" s="3" t="n">
        <v>0.02355980147539146</v>
      </c>
      <c r="P14" s="3" t="n">
        <v>0.05571503502246696</v>
      </c>
      <c r="Q14" s="3" t="n">
        <v>0.07238639245119487</v>
      </c>
      <c r="R14" s="3" t="n">
        <v>-0.003291196444353196</v>
      </c>
      <c r="S14" s="3" t="n">
        <v>0.08261103461009289</v>
      </c>
      <c r="T14" s="3" t="n">
        <v>0.04854038263845105</v>
      </c>
      <c r="U14" s="3" t="n">
        <v>0.1106844341010954</v>
      </c>
      <c r="V14" s="3" t="n">
        <v>0.01935668791039447</v>
      </c>
      <c r="W14" s="3" t="n">
        <v>0.03648160677278191</v>
      </c>
      <c r="X14" s="3" t="n">
        <v>0.1032033074865468</v>
      </c>
      <c r="Y14" s="3" t="n">
        <v>0.04454440136876375</v>
      </c>
      <c r="Z14" s="3" t="n">
        <v>0.05053771198312872</v>
      </c>
      <c r="AA14" s="3" t="n">
        <v>0.04438513481711442</v>
      </c>
      <c r="AB14" s="3" t="n">
        <v>0.06922771431276226</v>
      </c>
      <c r="AC14" s="3" t="n">
        <v>-0.002250786095635868</v>
      </c>
      <c r="AD14" s="3" t="n">
        <v>-0.01962744274660147</v>
      </c>
      <c r="AE14" s="3" t="n">
        <v>0.08929768932791632</v>
      </c>
      <c r="AF14" s="3" t="n">
        <v>0.05801195378919991</v>
      </c>
      <c r="AG14" s="3" t="n">
        <v>0.02865598633180159</v>
      </c>
      <c r="AH14" s="3" t="n">
        <v>-0.01011933001720745</v>
      </c>
      <c r="AI14" s="3" t="n">
        <v>0.06879689977993092</v>
      </c>
      <c r="AJ14" s="3" t="n">
        <v>0.007762424925396173</v>
      </c>
      <c r="AK14" s="3" t="n">
        <v>0.05845112263871893</v>
      </c>
      <c r="AL14" s="3" t="n">
        <v>0.0259447896817962</v>
      </c>
      <c r="AM14" s="3" t="n">
        <v>0.05075574272085917</v>
      </c>
      <c r="AN14" s="3" t="n">
        <v>0.1044155732278423</v>
      </c>
      <c r="AO14" s="3" t="n">
        <v>-0.02411518488454563</v>
      </c>
      <c r="AP14" s="3" t="n">
        <v>0.05450173143477417</v>
      </c>
      <c r="AQ14" s="3" t="n">
        <v>0.01981008370123865</v>
      </c>
      <c r="AR14" s="3" t="n">
        <v>0.06616021985810278</v>
      </c>
      <c r="AS14" s="3" t="n">
        <v>0.04856671817928078</v>
      </c>
      <c r="AT14" s="3" t="n">
        <v>-0.02939880083294962</v>
      </c>
      <c r="AU14" s="3" t="n">
        <v>0.05837864673545623</v>
      </c>
      <c r="AV14" s="3" t="n">
        <v>-0.009204683410093902</v>
      </c>
      <c r="AW14" s="3" t="n">
        <v>-0.02726658130179229</v>
      </c>
      <c r="AX14" s="3" t="n">
        <v>0.1026717793958211</v>
      </c>
      <c r="AY14" s="3" t="n">
        <v>0.0171930441054381</v>
      </c>
      <c r="AZ14" s="3" t="n">
        <v>-0.01152333289766873</v>
      </c>
      <c r="BA14" s="3" t="n">
        <v>0.03676161610743246</v>
      </c>
      <c r="BB14" s="3" t="n">
        <v>0.0589430897872336</v>
      </c>
      <c r="BC14" s="3" t="n">
        <v>0.02052320405610537</v>
      </c>
      <c r="BD14" s="3" t="n">
        <v>0.0435083848785778</v>
      </c>
      <c r="BE14" s="3" t="n">
        <v>0.03426589917073063</v>
      </c>
      <c r="BF14" s="3" t="n">
        <v>0.05733538850414609</v>
      </c>
      <c r="BG14" s="3" t="n">
        <v>0.0823295680681847</v>
      </c>
      <c r="BH14" s="3" t="n">
        <v>0.0332844829057288</v>
      </c>
      <c r="BI14" s="3" t="n">
        <v>0.05809063499593568</v>
      </c>
      <c r="BJ14" s="3" t="n">
        <v>0.03007958127451392</v>
      </c>
      <c r="BK14" s="3" t="n">
        <v>0.005456735102667063</v>
      </c>
      <c r="BL14" s="3" t="n">
        <v>0.04947991756505916</v>
      </c>
      <c r="BM14" s="3" t="n">
        <v>-0.03459009463942983</v>
      </c>
      <c r="BN14" s="3" t="n">
        <v>0.02658413537941517</v>
      </c>
      <c r="BO14" s="3" t="n">
        <v>0.0242158159506964</v>
      </c>
      <c r="BP14" s="3" t="n">
        <v>-0.01330358156354105</v>
      </c>
      <c r="BQ14" s="3" t="n">
        <v>0.007465478991231428</v>
      </c>
      <c r="BR14" s="3" t="n">
        <v>0.04316654475619621</v>
      </c>
      <c r="BS14" s="3" t="n">
        <v>-0.04285418240570629</v>
      </c>
      <c r="BT14" s="3" t="n">
        <v>0.03483377254278086</v>
      </c>
      <c r="BU14" s="3" t="n">
        <v>-0.01886790375443716</v>
      </c>
      <c r="BV14" s="3" t="n">
        <v>0.02774401708409292</v>
      </c>
      <c r="BW14" s="3" t="n">
        <v>0.007492637177026668</v>
      </c>
      <c r="BX14" s="3" t="n">
        <v>0.05736004653447976</v>
      </c>
      <c r="BY14" s="3" t="n">
        <v>0.04949401057735056</v>
      </c>
      <c r="BZ14" s="3" t="n">
        <v>0.0814351341605717</v>
      </c>
      <c r="CA14" s="3" t="n">
        <v>-0.01530081439883035</v>
      </c>
      <c r="CB14" s="3" t="n">
        <v>0.005906856319071119</v>
      </c>
      <c r="CC14" s="3" t="n">
        <v>-0.01996979195089672</v>
      </c>
      <c r="CD14" s="3" t="n">
        <v>0.08799127956038522</v>
      </c>
      <c r="CE14" s="3" t="n">
        <v>-0.02908389280283138</v>
      </c>
      <c r="CF14" s="3" t="n">
        <v>0.07736164553726507</v>
      </c>
      <c r="CG14" s="3" t="n">
        <v>0.03436441413771711</v>
      </c>
      <c r="CH14" s="3" t="n">
        <v>0.05861330687157466</v>
      </c>
      <c r="CI14" s="3" t="n">
        <v>0.113844214471976</v>
      </c>
      <c r="CJ14" s="3" t="n">
        <v>0.006620801538162607</v>
      </c>
      <c r="CK14" s="3" t="n">
        <v>-0.01639175283095869</v>
      </c>
      <c r="CL14" s="3" t="n">
        <v>0.2064437030111553</v>
      </c>
      <c r="CM14" s="3" t="n">
        <v>0.0365205845605999</v>
      </c>
      <c r="CN14" s="3" t="n">
        <v>0.04579310210844333</v>
      </c>
      <c r="CO14" s="3" t="n">
        <v>0.02440314929944858</v>
      </c>
      <c r="CP14" s="3" t="n">
        <v>0.06124719055824608</v>
      </c>
      <c r="CQ14" s="3" t="n">
        <v>0.03072415417800102</v>
      </c>
      <c r="CR14" s="3" t="n">
        <v>0.01320014479548746</v>
      </c>
      <c r="CS14" s="3" t="n">
        <v>-0.004969869902888784</v>
      </c>
      <c r="CT14" s="3" t="n">
        <v>0.05074473319753982</v>
      </c>
      <c r="CU14" s="3" t="n">
        <v>0.005694069989304038</v>
      </c>
      <c r="CV14" s="3" t="n">
        <v>0.03361636707430428</v>
      </c>
      <c r="CW14" s="3" t="n">
        <v>0.01549379817763193</v>
      </c>
      <c r="CX14" s="3" t="n">
        <v>0.0788806266203783</v>
      </c>
      <c r="CY14" s="3" t="n">
        <v>0.03428408043506647</v>
      </c>
      <c r="CZ14" s="3" t="n">
        <v>0.06702848358461977</v>
      </c>
      <c r="DA14" s="3" t="n">
        <v>-0.001833914423843224</v>
      </c>
      <c r="DB14" s="3" t="n">
        <v>0.01090497301775741</v>
      </c>
      <c r="DC14" s="3" t="n">
        <v>0.01242096639411452</v>
      </c>
      <c r="DD14" s="3" t="n">
        <v>-0.02216768542022386</v>
      </c>
      <c r="DE14" s="3" t="n">
        <v>0.02744422109435615</v>
      </c>
      <c r="DF14" s="3" t="n">
        <v>-0.04241781870249926</v>
      </c>
      <c r="DG14" s="3" t="n">
        <v>0.01377313542186431</v>
      </c>
      <c r="DH14" s="3" t="n">
        <v>0.001564418954166383</v>
      </c>
      <c r="DI14" s="3" t="n">
        <v>0.01191520651175115</v>
      </c>
      <c r="DJ14" s="3" t="n">
        <v>0.03055085148071297</v>
      </c>
      <c r="DK14" s="3" t="n">
        <v>0.007275181737938043</v>
      </c>
      <c r="DL14" s="3" t="n">
        <v>0.011418147675855</v>
      </c>
      <c r="DM14" s="3" t="n">
        <v>-0.03479273634023228</v>
      </c>
      <c r="DN14" s="3" t="n">
        <v>0.04221925511219779</v>
      </c>
      <c r="DO14" s="3" t="n">
        <v>0.03603687545266934</v>
      </c>
      <c r="DP14" s="3" t="n">
        <v>0.03508422898476926</v>
      </c>
      <c r="DQ14" s="3" t="n">
        <v>0.09610113786394185</v>
      </c>
      <c r="DR14" s="3" t="n">
        <v>0.05361376884920527</v>
      </c>
      <c r="DS14" s="3" t="n">
        <v>0.05453124889200062</v>
      </c>
      <c r="DT14" s="3" t="n">
        <v>0.06981181186923924</v>
      </c>
      <c r="DU14" s="3" t="n">
        <v>-0.05102721047812994</v>
      </c>
      <c r="DV14" s="3" t="n">
        <v>0.1049533206338409</v>
      </c>
      <c r="DW14" s="3" t="n">
        <v>0.06100585019701603</v>
      </c>
      <c r="DX14" s="3" t="n">
        <v>0.07155565424063519</v>
      </c>
      <c r="DY14" s="3" t="n">
        <v>0.1481031343367261</v>
      </c>
      <c r="DZ14" s="3" t="n">
        <v>0.01323645491296854</v>
      </c>
      <c r="EA14" s="3" t="n">
        <v>0.05508387625541642</v>
      </c>
      <c r="EB14" s="3" t="n">
        <v>0.03384834011500154</v>
      </c>
      <c r="EC14" s="3" t="n">
        <v>0.01747393549534236</v>
      </c>
      <c r="ED14" s="3" t="n">
        <v>0.09893732599380904</v>
      </c>
      <c r="EE14" s="3" t="n">
        <v>0.01852169212103865</v>
      </c>
      <c r="EF14" s="3" t="n">
        <v>0.05066632054784041</v>
      </c>
      <c r="EG14" s="3" t="n">
        <v>0.2159968693178843</v>
      </c>
      <c r="EH14" s="3" t="n">
        <v>0.005707212808083041</v>
      </c>
      <c r="EI14" s="3" t="n">
        <v>0.03231826208728106</v>
      </c>
      <c r="EJ14" s="3" t="n">
        <v>0.07526090305565475</v>
      </c>
      <c r="EK14" s="3" t="n">
        <v>-0.001596079838203854</v>
      </c>
      <c r="EL14" s="3" t="n">
        <v>0.1002255065812902</v>
      </c>
      <c r="EM14">
        <f>AVERAGE(C14:EL14)</f>
        <v/>
      </c>
      <c r="EN14">
        <f>STDEV(C14:EL14)</f>
        <v/>
      </c>
      <c r="EO14">
        <f>EM14/EN14</f>
        <v/>
      </c>
    </row>
    <row r="15">
      <c r="A15" s="13" t="n">
        <v>110</v>
      </c>
      <c r="B15" s="13">
        <f>ROUND($D$10/A15,0)</f>
        <v/>
      </c>
      <c r="C15" s="3" t="n">
        <v>-0.1135310321318275</v>
      </c>
      <c r="D15" s="3" t="n">
        <v>0.03203107957116082</v>
      </c>
      <c r="E15" s="3" t="n">
        <v>-0.05662646087502861</v>
      </c>
      <c r="F15" s="3" t="n">
        <v>0.1761968414003851</v>
      </c>
      <c r="G15" s="3" t="n">
        <v>0.06373142927082107</v>
      </c>
      <c r="H15" s="3" t="n">
        <v>0.05256406531266278</v>
      </c>
      <c r="I15" s="3" t="n">
        <v>0.1282963848124097</v>
      </c>
      <c r="J15" s="3" t="n">
        <v>0.1353586624431433</v>
      </c>
      <c r="K15" s="3" t="n">
        <v>0.2497505215784689</v>
      </c>
      <c r="L15" s="3" t="n">
        <v>-0.0002177198153128918</v>
      </c>
      <c r="M15" s="3" t="n">
        <v>-0.02379077308409078</v>
      </c>
      <c r="N15" s="3" t="n">
        <v>0.1016756584569141</v>
      </c>
      <c r="O15" s="3" t="n">
        <v>0.05252526549185153</v>
      </c>
      <c r="P15" s="3" t="n">
        <v>0.06949441310458078</v>
      </c>
      <c r="Q15" s="3" t="n">
        <v>0.1170575353238649</v>
      </c>
      <c r="R15" s="3" t="n">
        <v>-0.05307967748589041</v>
      </c>
      <c r="S15" s="3" t="n">
        <v>0.1035157133355431</v>
      </c>
      <c r="T15" s="3" t="n">
        <v>0.02460455309569153</v>
      </c>
      <c r="U15" s="3" t="n">
        <v>0.1379630563409159</v>
      </c>
      <c r="V15" s="3" t="n">
        <v>-0.01709366259834023</v>
      </c>
      <c r="W15" s="3" t="n">
        <v>0.0240415279057611</v>
      </c>
      <c r="X15" s="3" t="n">
        <v>0.1044389790416971</v>
      </c>
      <c r="Y15" s="3" t="n">
        <v>0.02171726812040498</v>
      </c>
      <c r="Z15" s="3" t="n">
        <v>0.03962134990940496</v>
      </c>
      <c r="AA15" s="3" t="n">
        <v>0.05457945337216028</v>
      </c>
      <c r="AB15" s="3" t="n">
        <v>0.07437181445862595</v>
      </c>
      <c r="AC15" s="3" t="n">
        <v>0.04800814621828883</v>
      </c>
      <c r="AD15" s="3" t="n">
        <v>0.01538137543098366</v>
      </c>
      <c r="AE15" s="3" t="n">
        <v>0.08754582936601037</v>
      </c>
      <c r="AF15" s="3" t="n">
        <v>0.08614107584568932</v>
      </c>
      <c r="AG15" s="3" t="n">
        <v>0.02404800590598498</v>
      </c>
      <c r="AH15" s="3" t="n">
        <v>-0.0371041763843134</v>
      </c>
      <c r="AI15" s="3" t="n">
        <v>0.05702554033476723</v>
      </c>
      <c r="AJ15" s="3" t="n">
        <v>0.009772832202875031</v>
      </c>
      <c r="AK15" s="3" t="n">
        <v>0.05796394114942793</v>
      </c>
      <c r="AL15" s="3" t="n">
        <v>0.05470846717265478</v>
      </c>
      <c r="AM15" s="3" t="n">
        <v>0.03453329156636441</v>
      </c>
      <c r="AN15" s="3" t="n">
        <v>0.1187039663124473</v>
      </c>
      <c r="AO15" s="3" t="n">
        <v>0.00157253302919012</v>
      </c>
      <c r="AP15" s="3" t="n">
        <v>0.03783433934481287</v>
      </c>
      <c r="AQ15" s="3" t="n">
        <v>0.04374986940335102</v>
      </c>
      <c r="AR15" s="3" t="n">
        <v>0.1091901271180222</v>
      </c>
      <c r="AS15" s="3" t="n">
        <v>0.04647265354709199</v>
      </c>
      <c r="AT15" s="3" t="n">
        <v>0.02672601710370708</v>
      </c>
      <c r="AU15" s="3" t="n">
        <v>0.052743659965515</v>
      </c>
      <c r="AV15" s="3" t="n">
        <v>-0.030933319172823</v>
      </c>
      <c r="AW15" s="3" t="n">
        <v>0.02456036031455194</v>
      </c>
      <c r="AX15" s="3" t="n">
        <v>0.05647313436062154</v>
      </c>
      <c r="AY15" s="3" t="n">
        <v>0.03013510847869931</v>
      </c>
      <c r="AZ15" s="3" t="n">
        <v>-0.04980659279348823</v>
      </c>
      <c r="BA15" s="3" t="n">
        <v>0.01645793849346472</v>
      </c>
      <c r="BB15" s="3" t="n">
        <v>0.1375334396662775</v>
      </c>
      <c r="BC15" s="3" t="n">
        <v>0.06754088380024213</v>
      </c>
      <c r="BD15" s="3" t="n">
        <v>0.08415692072949185</v>
      </c>
      <c r="BE15" s="3" t="n">
        <v>0.02682585382869886</v>
      </c>
      <c r="BF15" s="3" t="n">
        <v>0.06703444287168878</v>
      </c>
      <c r="BG15" s="3" t="n">
        <v>0.0430803810432515</v>
      </c>
      <c r="BH15" s="3" t="n">
        <v>0.05056425519393942</v>
      </c>
      <c r="BI15" s="3" t="n">
        <v>0.06742555867403711</v>
      </c>
      <c r="BJ15" s="3" t="n">
        <v>0.03815557710203649</v>
      </c>
      <c r="BK15" s="3" t="n">
        <v>0.005118404624624151</v>
      </c>
      <c r="BL15" s="3" t="n">
        <v>0.06563645962384317</v>
      </c>
      <c r="BM15" s="3" t="n">
        <v>-0.05006538679677305</v>
      </c>
      <c r="BN15" s="3" t="n">
        <v>0.04658116990047729</v>
      </c>
      <c r="BO15" s="3" t="n">
        <v>0.03139537347461429</v>
      </c>
      <c r="BP15" s="3" t="n">
        <v>-0.02433842937662337</v>
      </c>
      <c r="BQ15" s="3" t="n">
        <v>0.0156951531471455</v>
      </c>
      <c r="BR15" s="3" t="n">
        <v>0.07505699581254824</v>
      </c>
      <c r="BS15" s="3" t="n">
        <v>-0.01985327781463536</v>
      </c>
      <c r="BT15" s="3" t="n">
        <v>0.07371042545405088</v>
      </c>
      <c r="BU15" s="3" t="n">
        <v>-0.002446199603593855</v>
      </c>
      <c r="BV15" s="3" t="n">
        <v>0.09054352181839292</v>
      </c>
      <c r="BW15" s="3" t="n">
        <v>0.0299604325521746</v>
      </c>
      <c r="BX15" s="3" t="n">
        <v>-0.007909540498213125</v>
      </c>
      <c r="BY15" s="3" t="n">
        <v>0.1039075979065757</v>
      </c>
      <c r="BZ15" s="3" t="n">
        <v>0.07695571966970574</v>
      </c>
      <c r="CA15" s="3" t="n">
        <v>0.006085149568184584</v>
      </c>
      <c r="CB15" s="3" t="n">
        <v>0.05261198164757537</v>
      </c>
      <c r="CC15" s="3" t="n">
        <v>0.03053001654273714</v>
      </c>
      <c r="CD15" s="3" t="n">
        <v>0.1195227044223882</v>
      </c>
      <c r="CE15" s="3" t="n">
        <v>-0.1050109564905078</v>
      </c>
      <c r="CF15" s="3" t="n">
        <v>0.07892046169477518</v>
      </c>
      <c r="CG15" s="3" t="n">
        <v>0.06850537044443017</v>
      </c>
      <c r="CH15" s="3" t="n">
        <v>0.06751977914793833</v>
      </c>
      <c r="CI15" s="3" t="n">
        <v>0.03714494532035501</v>
      </c>
      <c r="CJ15" s="3" t="n">
        <v>0.04397210390350852</v>
      </c>
      <c r="CK15" s="3" t="n">
        <v>0.03000574940375309</v>
      </c>
      <c r="CL15" s="3" t="n">
        <v>0.2906010919845037</v>
      </c>
      <c r="CM15" s="3" t="n">
        <v>0.02616074050996969</v>
      </c>
      <c r="CN15" s="3" t="n">
        <v>0.0858721328477148</v>
      </c>
      <c r="CO15" s="3" t="n">
        <v>-0.06339009281618836</v>
      </c>
      <c r="CP15" s="3" t="n">
        <v>0.1030028280326234</v>
      </c>
      <c r="CQ15" s="3" t="n">
        <v>0.002890046110949932</v>
      </c>
      <c r="CR15" s="3" t="n">
        <v>0.02214666771115045</v>
      </c>
      <c r="CS15" s="3" t="n">
        <v>0.0003384761587373159</v>
      </c>
      <c r="CT15" s="3" t="n">
        <v>0.07765127075773137</v>
      </c>
      <c r="CU15" s="3" t="n">
        <v>-0.02469292088617691</v>
      </c>
      <c r="CV15" s="3" t="n">
        <v>0.02822321149321023</v>
      </c>
      <c r="CW15" s="3" t="n">
        <v>-0.006052426644091832</v>
      </c>
      <c r="CX15" s="3" t="n">
        <v>0.06260110039439144</v>
      </c>
      <c r="CY15" s="3" t="n">
        <v>0.04266644499969009</v>
      </c>
      <c r="CZ15" s="3" t="n">
        <v>0.09092379279398248</v>
      </c>
      <c r="DA15" s="3" t="n">
        <v>0.02281835404259312</v>
      </c>
      <c r="DB15" s="3" t="n">
        <v>0.02823737743624351</v>
      </c>
      <c r="DC15" s="3" t="n">
        <v>0.01759837641400529</v>
      </c>
      <c r="DD15" s="3" t="n">
        <v>0.1521877786851659</v>
      </c>
      <c r="DE15" s="3" t="n">
        <v>0.02512144141193495</v>
      </c>
      <c r="DF15" s="3" t="n">
        <v>-0.009553279482794271</v>
      </c>
      <c r="DG15" s="3" t="n">
        <v>0.03313748659525665</v>
      </c>
      <c r="DH15" s="3" t="n">
        <v>0.06592381227921759</v>
      </c>
      <c r="DI15" s="3" t="n">
        <v>0.0003443118509138428</v>
      </c>
      <c r="DJ15" s="3" t="n">
        <v>0.0181451105847169</v>
      </c>
      <c r="DK15" s="3" t="n">
        <v>-0.09622848564554058</v>
      </c>
      <c r="DL15" s="3" t="n">
        <v>-0.03407464713767923</v>
      </c>
      <c r="DM15" s="3" t="n">
        <v>0.009821632793144342</v>
      </c>
      <c r="DN15" s="3" t="n">
        <v>0.01198682421362971</v>
      </c>
      <c r="DO15" s="3" t="n">
        <v>0.02110240973109589</v>
      </c>
      <c r="DP15" s="3" t="n">
        <v>-0.01259577858322749</v>
      </c>
      <c r="DQ15" s="3" t="n">
        <v>0.1339321468349925</v>
      </c>
      <c r="DR15" s="3" t="n">
        <v>0.02569817505481996</v>
      </c>
      <c r="DS15" s="3" t="n">
        <v>0.09666696161389768</v>
      </c>
      <c r="DT15" s="3" t="n">
        <v>0.09995833832367951</v>
      </c>
      <c r="DU15" s="3" t="n">
        <v>-0.04049431744644238</v>
      </c>
      <c r="DV15" s="3" t="n">
        <v>0.1486227612666861</v>
      </c>
      <c r="DW15" s="3" t="n">
        <v>0.03998484771334673</v>
      </c>
      <c r="DX15" s="3" t="n">
        <v>0.08480017708746369</v>
      </c>
      <c r="DY15" s="3" t="n">
        <v>0.2387553152123301</v>
      </c>
      <c r="DZ15" s="3" t="n">
        <v>0.03408228083507687</v>
      </c>
      <c r="EA15" s="3" t="n">
        <v>-0.005911536390584685</v>
      </c>
      <c r="EB15" s="3" t="n">
        <v>0.03065153528945783</v>
      </c>
      <c r="EC15" s="3" t="n">
        <v>0.08295908408422906</v>
      </c>
      <c r="ED15" s="3" t="n">
        <v>0.1421613943049873</v>
      </c>
      <c r="EE15" s="3" t="n">
        <v>-0.009185405338656714</v>
      </c>
      <c r="EF15" s="3" t="n">
        <v>0.03551573360253197</v>
      </c>
      <c r="EG15" s="3" t="n">
        <v>0.3447148033663066</v>
      </c>
      <c r="EH15" s="3" t="n">
        <v>-0.01495506519468544</v>
      </c>
      <c r="EI15" s="3" t="n">
        <v>0.09539486282120375</v>
      </c>
      <c r="EJ15" s="3" t="n">
        <v>0.08306468250391696</v>
      </c>
      <c r="EK15" s="3" t="n">
        <v>0.1019987360567204</v>
      </c>
      <c r="EL15" s="3" t="n">
        <v>0.09776368081682778</v>
      </c>
      <c r="EM15">
        <f>AVERAGE(C15:EL15)</f>
        <v/>
      </c>
      <c r="EN15">
        <f>STDEV(C15:EL15)</f>
        <v/>
      </c>
      <c r="EO15">
        <f>EM15/EN15</f>
        <v/>
      </c>
    </row>
    <row r="16">
      <c r="A16" s="13" t="n">
        <v>120</v>
      </c>
      <c r="B16" s="13">
        <f>ROUND($D$10/A16,0)</f>
        <v/>
      </c>
      <c r="C16" s="3" t="n">
        <v>-0.1300458332549735</v>
      </c>
      <c r="D16" s="3" t="n">
        <v>0.008343731566635398</v>
      </c>
      <c r="E16" s="3" t="n">
        <v>-0.07446024445511289</v>
      </c>
      <c r="F16" s="3" t="n">
        <v>0.1669915498230838</v>
      </c>
      <c r="G16" s="3" t="n">
        <v>0.07073952756311255</v>
      </c>
      <c r="H16" s="3" t="n">
        <v>0.04684866006900421</v>
      </c>
      <c r="I16" s="3" t="n">
        <v>0.1386283480312914</v>
      </c>
      <c r="J16" s="3" t="n">
        <v>0.1498607768731179</v>
      </c>
      <c r="K16" s="3" t="n">
        <v>0.2878775603295223</v>
      </c>
      <c r="L16" s="3" t="n">
        <v>0.01577514905542854</v>
      </c>
      <c r="M16" s="3" t="n">
        <v>-0.02950254420820903</v>
      </c>
      <c r="N16" s="3" t="n">
        <v>0.1088834829509464</v>
      </c>
      <c r="O16" s="3" t="n">
        <v>0.07499799308494144</v>
      </c>
      <c r="P16" s="3" t="n">
        <v>0.07171670809375404</v>
      </c>
      <c r="Q16" s="3" t="n">
        <v>0.1244133715986941</v>
      </c>
      <c r="R16" s="3" t="n">
        <v>-0.06229390256280629</v>
      </c>
      <c r="S16" s="3" t="n">
        <v>0.1085885293524063</v>
      </c>
      <c r="T16" s="3" t="n">
        <v>0.03525212922961678</v>
      </c>
      <c r="U16" s="3" t="n">
        <v>0.1436606210862688</v>
      </c>
      <c r="V16" s="3" t="n">
        <v>-0.0005220837320386654</v>
      </c>
      <c r="W16" s="3" t="n">
        <v>0.09268674742723912</v>
      </c>
      <c r="X16" s="3" t="n">
        <v>0.1018402697575891</v>
      </c>
      <c r="Y16" s="3" t="n">
        <v>0.02687190323172533</v>
      </c>
      <c r="Z16" s="3" t="n">
        <v>0.02624555249195001</v>
      </c>
      <c r="AA16" s="3" t="n">
        <v>0.04613293349013054</v>
      </c>
      <c r="AB16" s="3" t="n">
        <v>0.08367934353346192</v>
      </c>
      <c r="AC16" s="3" t="n">
        <v>0.05991616196501087</v>
      </c>
      <c r="AD16" s="3" t="n">
        <v>0.03150238603613881</v>
      </c>
      <c r="AE16" s="3" t="n">
        <v>0.1117077976445722</v>
      </c>
      <c r="AF16" s="3" t="n">
        <v>0.08638719713056546</v>
      </c>
      <c r="AG16" s="3" t="n">
        <v>0.03098476290675946</v>
      </c>
      <c r="AH16" s="3" t="n">
        <v>-0.03176540044944055</v>
      </c>
      <c r="AI16" s="3" t="n">
        <v>0.0539328035719967</v>
      </c>
      <c r="AJ16" s="3" t="n">
        <v>-0.03048840894072999</v>
      </c>
      <c r="AK16" s="3" t="n">
        <v>0.06442140083237208</v>
      </c>
      <c r="AL16" s="3" t="n">
        <v>0.03370782512300929</v>
      </c>
      <c r="AM16" s="3" t="n">
        <v>0.0285912264822701</v>
      </c>
      <c r="AN16" s="3" t="n">
        <v>0.1374029139074828</v>
      </c>
      <c r="AO16" s="3" t="n">
        <v>-0.02136240813925292</v>
      </c>
      <c r="AP16" s="3" t="n">
        <v>0.06295547600294235</v>
      </c>
      <c r="AQ16" s="3" t="n">
        <v>0.04539559486789394</v>
      </c>
      <c r="AR16" s="3" t="n">
        <v>0.1106530340880735</v>
      </c>
      <c r="AS16" s="3" t="n">
        <v>0.008740348059187431</v>
      </c>
      <c r="AT16" s="3" t="n">
        <v>0.0364931954985017</v>
      </c>
      <c r="AU16" s="3" t="n">
        <v>0.06475742398896586</v>
      </c>
      <c r="AV16" s="3" t="n">
        <v>-0.02459317005447238</v>
      </c>
      <c r="AW16" s="3" t="n">
        <v>-0.0004633117027070676</v>
      </c>
      <c r="AX16" s="3" t="n">
        <v>0.04746531694231683</v>
      </c>
      <c r="AY16" s="3" t="n">
        <v>0.04030750113522119</v>
      </c>
      <c r="AZ16" s="3" t="n">
        <v>-0.05884526916264432</v>
      </c>
      <c r="BA16" s="3" t="n">
        <v>0.01209698580814179</v>
      </c>
      <c r="BB16" s="3" t="n">
        <v>0.132978656759708</v>
      </c>
      <c r="BC16" s="3" t="n">
        <v>0.06539233053629982</v>
      </c>
      <c r="BD16" s="3" t="n">
        <v>0.0907873913196767</v>
      </c>
      <c r="BE16" s="3" t="n">
        <v>0.02680959103522081</v>
      </c>
      <c r="BF16" s="3" t="n">
        <v>0.0763461439102741</v>
      </c>
      <c r="BG16" s="3" t="n">
        <v>0.05692980235802888</v>
      </c>
      <c r="BH16" s="3" t="n">
        <v>0.03290975481994768</v>
      </c>
      <c r="BI16" s="3" t="n">
        <v>0.05104564869342849</v>
      </c>
      <c r="BJ16" s="3" t="n">
        <v>0.02901271914462749</v>
      </c>
      <c r="BK16" s="3" t="n">
        <v>0.03053926615566369</v>
      </c>
      <c r="BL16" s="3" t="n">
        <v>0.07208377380953265</v>
      </c>
      <c r="BM16" s="3" t="n">
        <v>-0.04348751694500007</v>
      </c>
      <c r="BN16" s="3" t="n">
        <v>0.04484132944536699</v>
      </c>
      <c r="BO16" s="3" t="n">
        <v>0.02570107888625536</v>
      </c>
      <c r="BP16" s="3" t="n">
        <v>-0.03492001282214125</v>
      </c>
      <c r="BQ16" s="3" t="n">
        <v>0.01652603358572455</v>
      </c>
      <c r="BR16" s="3" t="n">
        <v>0.06058929807907491</v>
      </c>
      <c r="BS16" s="3" t="n">
        <v>-0.009273353418193696</v>
      </c>
      <c r="BT16" s="3" t="n">
        <v>0.05981278079756257</v>
      </c>
      <c r="BU16" s="3" t="n">
        <v>0.03340664418548117</v>
      </c>
      <c r="BV16" s="3" t="n">
        <v>0.1029964477146033</v>
      </c>
      <c r="BW16" s="3" t="n">
        <v>0.03874728571141617</v>
      </c>
      <c r="BX16" s="3" t="n">
        <v>0.008099243604469474</v>
      </c>
      <c r="BY16" s="3" t="n">
        <v>0.1012022173734102</v>
      </c>
      <c r="BZ16" s="3" t="n">
        <v>0.1050036763969217</v>
      </c>
      <c r="CA16" s="3" t="n">
        <v>0.02214269959140825</v>
      </c>
      <c r="CB16" s="3" t="n">
        <v>0.05946597016594459</v>
      </c>
      <c r="CC16" s="3" t="n">
        <v>0.06114939209377817</v>
      </c>
      <c r="CD16" s="3" t="n">
        <v>0.1157092147383794</v>
      </c>
      <c r="CE16" s="3" t="n">
        <v>-0.1208822519030792</v>
      </c>
      <c r="CF16" s="3" t="n">
        <v>0.08294033619675151</v>
      </c>
      <c r="CG16" s="3" t="n">
        <v>0.067827264979625</v>
      </c>
      <c r="CH16" s="3" t="n">
        <v>0.04805450454570915</v>
      </c>
      <c r="CI16" s="3" t="n">
        <v>0.04908974125003373</v>
      </c>
      <c r="CJ16" s="3" t="n">
        <v>0.05674318012113301</v>
      </c>
      <c r="CK16" s="3" t="n">
        <v>0.03627965422050249</v>
      </c>
      <c r="CL16" s="3" t="n">
        <v>0.3115427952744355</v>
      </c>
      <c r="CM16" s="3" t="n">
        <v>0.02126388980260604</v>
      </c>
      <c r="CN16" s="3" t="n">
        <v>0.06137987493732537</v>
      </c>
      <c r="CO16" s="3" t="n">
        <v>-0.08882957783716194</v>
      </c>
      <c r="CP16" s="3" t="n">
        <v>0.1127396316857244</v>
      </c>
      <c r="CQ16" s="3" t="n">
        <v>-0.003526500981731231</v>
      </c>
      <c r="CR16" s="3" t="n">
        <v>0.03160754654779881</v>
      </c>
      <c r="CS16" s="3" t="n">
        <v>0.01142324905970141</v>
      </c>
      <c r="CT16" s="3" t="n">
        <v>0.09432040765103822</v>
      </c>
      <c r="CU16" s="3" t="n">
        <v>-0.02067272210497934</v>
      </c>
      <c r="CV16" s="3" t="n">
        <v>0.0254802069480867</v>
      </c>
      <c r="CW16" s="3" t="n">
        <v>-0.01046679894057314</v>
      </c>
      <c r="CX16" s="3" t="n">
        <v>0.05808372813074774</v>
      </c>
      <c r="CY16" s="3" t="n">
        <v>0.04963763940482981</v>
      </c>
      <c r="CZ16" s="3" t="n">
        <v>0.1187113778136329</v>
      </c>
      <c r="DA16" s="3" t="n">
        <v>0.03441949278736632</v>
      </c>
      <c r="DB16" s="3" t="n">
        <v>0.03544178601053439</v>
      </c>
      <c r="DC16" s="3" t="n">
        <v>0.01559517627743354</v>
      </c>
      <c r="DD16" s="3" t="n">
        <v>0.1640023348047854</v>
      </c>
      <c r="DE16" s="3" t="n">
        <v>0.02621374523692135</v>
      </c>
      <c r="DF16" s="3" t="n">
        <v>0.01147280575773244</v>
      </c>
      <c r="DG16" s="3" t="n">
        <v>0.04129020407470748</v>
      </c>
      <c r="DH16" s="3" t="n">
        <v>0.04806413008059693</v>
      </c>
      <c r="DI16" s="3" t="n">
        <v>-0.01167389037394919</v>
      </c>
      <c r="DJ16" s="3" t="n">
        <v>0.01881206167851631</v>
      </c>
      <c r="DK16" s="3" t="n">
        <v>-0.1045578724924081</v>
      </c>
      <c r="DL16" s="3" t="n">
        <v>-0.03659448184954696</v>
      </c>
      <c r="DM16" s="3" t="n">
        <v>0.01767315899989251</v>
      </c>
      <c r="DN16" s="3" t="n">
        <v>0.02223396678017552</v>
      </c>
      <c r="DO16" s="3" t="n">
        <v>0.03258393979073983</v>
      </c>
      <c r="DP16" s="3" t="n">
        <v>0.01792288890130656</v>
      </c>
      <c r="DQ16" s="3" t="n">
        <v>0.1362420902500049</v>
      </c>
      <c r="DR16" s="3" t="n">
        <v>0.03783149693261409</v>
      </c>
      <c r="DS16" s="3" t="n">
        <v>0.1164465685476438</v>
      </c>
      <c r="DT16" s="3" t="n">
        <v>0.1127077706341119</v>
      </c>
      <c r="DU16" s="3" t="n">
        <v>-0.01537532745498487</v>
      </c>
      <c r="DV16" s="3" t="n">
        <v>0.1513881297237159</v>
      </c>
      <c r="DW16" s="3" t="n">
        <v>0.0207110304636248</v>
      </c>
      <c r="DX16" s="3" t="n">
        <v>0.06428500061860311</v>
      </c>
      <c r="DY16" s="3" t="n">
        <v>0.2450991639084793</v>
      </c>
      <c r="DZ16" s="3" t="n">
        <v>0.04617894083495802</v>
      </c>
      <c r="EA16" s="3" t="n">
        <v>0.001142569729940307</v>
      </c>
      <c r="EB16" s="3" t="n">
        <v>0.03068910939780294</v>
      </c>
      <c r="EC16" s="3" t="n">
        <v>0.08228454223043929</v>
      </c>
      <c r="ED16" s="3" t="n">
        <v>0.1474215679096721</v>
      </c>
      <c r="EE16" s="3" t="n">
        <v>0.002248556444454003</v>
      </c>
      <c r="EF16" s="3" t="n">
        <v>0.02890988645945639</v>
      </c>
      <c r="EG16" s="3" t="n">
        <v>0.3957869583724847</v>
      </c>
      <c r="EH16" s="3" t="n">
        <v>-0.02327538990876241</v>
      </c>
      <c r="EI16" s="3" t="n">
        <v>0.1004876399523453</v>
      </c>
      <c r="EJ16" s="3" t="n">
        <v>0.0776111350619077</v>
      </c>
      <c r="EK16" s="3" t="n">
        <v>0.1391821417081118</v>
      </c>
      <c r="EL16" s="3" t="n">
        <v>0.0945273844125676</v>
      </c>
      <c r="EM16">
        <f>AVERAGE(C16:EL16)</f>
        <v/>
      </c>
      <c r="EN16">
        <f>STDEV(C16:EL16)</f>
        <v/>
      </c>
      <c r="EO16">
        <f>EM16/EN16</f>
        <v/>
      </c>
    </row>
    <row r="17">
      <c r="A17" s="13" t="n">
        <v>130</v>
      </c>
      <c r="B17" s="13">
        <f>ROUND($D$10/A17,0)</f>
        <v/>
      </c>
      <c r="C17" s="3" t="n">
        <v>-0.1491046448362087</v>
      </c>
      <c r="D17" s="3" t="n">
        <v>0.0004094494789827902</v>
      </c>
      <c r="E17" s="3" t="n">
        <v>-0.05755140669443543</v>
      </c>
      <c r="F17" s="3" t="n">
        <v>0.188897704205842</v>
      </c>
      <c r="G17" s="3" t="n">
        <v>0.03939989470171483</v>
      </c>
      <c r="H17" s="3" t="n">
        <v>0.08833537040636277</v>
      </c>
      <c r="I17" s="3" t="n">
        <v>0.1537684147222217</v>
      </c>
      <c r="J17" s="3" t="n">
        <v>0.1596410109834306</v>
      </c>
      <c r="K17" s="3" t="n">
        <v>0.2816652820600991</v>
      </c>
      <c r="L17" s="3" t="n">
        <v>-0.007638400842940873</v>
      </c>
      <c r="M17" s="3" t="n">
        <v>-0.04997874812204431</v>
      </c>
      <c r="N17" s="3" t="n">
        <v>0.1170628966370058</v>
      </c>
      <c r="O17" s="3" t="n">
        <v>0.06236612942433716</v>
      </c>
      <c r="P17" s="3" t="n">
        <v>0.07783143223487253</v>
      </c>
      <c r="Q17" s="3" t="n">
        <v>0.1282626849459985</v>
      </c>
      <c r="R17" s="3" t="n">
        <v>-0.06847177623850897</v>
      </c>
      <c r="S17" s="3" t="n">
        <v>0.1332262103635998</v>
      </c>
      <c r="T17" s="3" t="n">
        <v>0.04249688579364207</v>
      </c>
      <c r="U17" s="3" t="n">
        <v>0.1614052586155932</v>
      </c>
      <c r="V17" s="3" t="n">
        <v>0.0101987591307414</v>
      </c>
      <c r="W17" s="3" t="n">
        <v>0.09807092905021635</v>
      </c>
      <c r="X17" s="3" t="n">
        <v>0.1340913045828529</v>
      </c>
      <c r="Y17" s="3" t="n">
        <v>0.03327286378353524</v>
      </c>
      <c r="Z17" s="3" t="n">
        <v>0.03484978572252284</v>
      </c>
      <c r="AA17" s="3" t="n">
        <v>0.05112902767026672</v>
      </c>
      <c r="AB17" s="3" t="n">
        <v>0.08588523103927222</v>
      </c>
      <c r="AC17" s="3" t="n">
        <v>0.05650126143075195</v>
      </c>
      <c r="AD17" s="3" t="n">
        <v>0.04012799040133384</v>
      </c>
      <c r="AE17" s="3" t="n">
        <v>0.1241009361533588</v>
      </c>
      <c r="AF17" s="3" t="n">
        <v>0.06364552754049339</v>
      </c>
      <c r="AG17" s="3" t="n">
        <v>0.06643509904314816</v>
      </c>
      <c r="AH17" s="3" t="n">
        <v>-0.04943754228054096</v>
      </c>
      <c r="AI17" s="3" t="n">
        <v>0.03724372979426828</v>
      </c>
      <c r="AJ17" s="3" t="n">
        <v>-0.04225002698623133</v>
      </c>
      <c r="AK17" s="3" t="n">
        <v>0.03181248599981987</v>
      </c>
      <c r="AL17" s="3" t="n">
        <v>0.03184147070148817</v>
      </c>
      <c r="AM17" s="3" t="n">
        <v>0.04452764393500949</v>
      </c>
      <c r="AN17" s="3" t="n">
        <v>0.1150317075315794</v>
      </c>
      <c r="AO17" s="3" t="n">
        <v>-0.01876631985661742</v>
      </c>
      <c r="AP17" s="3" t="n">
        <v>0.08520277062202081</v>
      </c>
      <c r="AQ17" s="3" t="n">
        <v>0.0358403879884833</v>
      </c>
      <c r="AR17" s="3" t="n">
        <v>0.1261104456344071</v>
      </c>
      <c r="AS17" s="3" t="n">
        <v>0.02087824456025179</v>
      </c>
      <c r="AT17" s="3" t="n">
        <v>0.05855470475959285</v>
      </c>
      <c r="AU17" s="3" t="n">
        <v>0.04435446320757309</v>
      </c>
      <c r="AV17" s="3" t="n">
        <v>-0.02370055769704725</v>
      </c>
      <c r="AW17" s="3" t="n">
        <v>0.01252766625358679</v>
      </c>
      <c r="AX17" s="3" t="n">
        <v>0.04786334279588378</v>
      </c>
      <c r="AY17" s="3" t="n">
        <v>0.03862585029488454</v>
      </c>
      <c r="AZ17" s="3" t="n">
        <v>-0.07090127263807049</v>
      </c>
      <c r="BA17" s="3" t="n">
        <v>0.009696403188708604</v>
      </c>
      <c r="BB17" s="3" t="n">
        <v>0.1423173753391745</v>
      </c>
      <c r="BC17" s="3" t="n">
        <v>0.08191791765999762</v>
      </c>
      <c r="BD17" s="3" t="n">
        <v>0.07817242062770551</v>
      </c>
      <c r="BE17" s="3" t="n">
        <v>0.03591056911685241</v>
      </c>
      <c r="BF17" s="3" t="n">
        <v>0.07259280246110483</v>
      </c>
      <c r="BG17" s="3" t="n">
        <v>0.01349434926079399</v>
      </c>
      <c r="BH17" s="3" t="n">
        <v>0.06604050131865127</v>
      </c>
      <c r="BI17" s="3" t="n">
        <v>0.07356943379846631</v>
      </c>
      <c r="BJ17" s="3" t="n">
        <v>0.03981831517344035</v>
      </c>
      <c r="BK17" s="3" t="n">
        <v>0.05563431815760507</v>
      </c>
      <c r="BL17" s="3" t="n">
        <v>0.07828734549460312</v>
      </c>
      <c r="BM17" s="3" t="n">
        <v>-0.06991042170831464</v>
      </c>
      <c r="BN17" s="3" t="n">
        <v>0.05638205174788475</v>
      </c>
      <c r="BO17" s="3" t="n">
        <v>0.0102686297793969</v>
      </c>
      <c r="BP17" s="3" t="n">
        <v>-0.0358448414551342</v>
      </c>
      <c r="BQ17" s="3" t="n">
        <v>0.03951352586132808</v>
      </c>
      <c r="BR17" s="3" t="n">
        <v>0.032468675473831</v>
      </c>
      <c r="BS17" s="3" t="n">
        <v>-0.01062850097772654</v>
      </c>
      <c r="BT17" s="3" t="n">
        <v>0.05128204111793445</v>
      </c>
      <c r="BU17" s="3" t="n">
        <v>0.03590805005976658</v>
      </c>
      <c r="BV17" s="3" t="n">
        <v>0.1122320737476056</v>
      </c>
      <c r="BW17" s="3" t="n">
        <v>0.07843187907280158</v>
      </c>
      <c r="BX17" s="3" t="n">
        <v>0.002430471463428575</v>
      </c>
      <c r="BY17" s="3" t="n">
        <v>0.1048463479092974</v>
      </c>
      <c r="BZ17" s="3" t="n">
        <v>0.1181769157776595</v>
      </c>
      <c r="CA17" s="3" t="n">
        <v>0.01941668092381523</v>
      </c>
      <c r="CB17" s="3" t="n">
        <v>0.05631044378582574</v>
      </c>
      <c r="CC17" s="3" t="n">
        <v>0.06461507741388232</v>
      </c>
      <c r="CD17" s="3" t="n">
        <v>0.1462312541057679</v>
      </c>
      <c r="CE17" s="3" t="n">
        <v>-0.1582787992471222</v>
      </c>
      <c r="CF17" s="3" t="n">
        <v>0.07539268408433231</v>
      </c>
      <c r="CG17" s="3" t="n">
        <v>0.03143623261982879</v>
      </c>
      <c r="CH17" s="3" t="n">
        <v>0.08287237979966898</v>
      </c>
      <c r="CI17" s="3" t="n">
        <v>0.05591328880602754</v>
      </c>
      <c r="CJ17" s="3" t="n">
        <v>0.0816250988732598</v>
      </c>
      <c r="CK17" s="3" t="n">
        <v>0.04419636960941806</v>
      </c>
      <c r="CL17" s="3" t="n">
        <v>0.3402881953215972</v>
      </c>
      <c r="CM17" s="3" t="n">
        <v>0.03025538840213581</v>
      </c>
      <c r="CN17" s="3" t="n">
        <v>0.07160173386962518</v>
      </c>
      <c r="CO17" s="3" t="n">
        <v>-0.132332062187618</v>
      </c>
      <c r="CP17" s="3" t="n">
        <v>0.1201758118118198</v>
      </c>
      <c r="CQ17" s="3" t="n">
        <v>-0.006193803663664905</v>
      </c>
      <c r="CR17" s="3" t="n">
        <v>0.03797336794147881</v>
      </c>
      <c r="CS17" s="3" t="n">
        <v>-0.009111421249072622</v>
      </c>
      <c r="CT17" s="3" t="n">
        <v>0.1062395241841916</v>
      </c>
      <c r="CU17" s="3" t="n">
        <v>-0.0386377440179426</v>
      </c>
      <c r="CV17" s="3" t="n">
        <v>0.01749757185679768</v>
      </c>
      <c r="CW17" s="3" t="n">
        <v>-0.009527343534677121</v>
      </c>
      <c r="CX17" s="3" t="n">
        <v>0.04906500567895871</v>
      </c>
      <c r="CY17" s="3" t="n">
        <v>0.0580106832394342</v>
      </c>
      <c r="CZ17" s="3" t="n">
        <v>0.1662387798102823</v>
      </c>
      <c r="DA17" s="3" t="n">
        <v>0.04882762857135029</v>
      </c>
      <c r="DB17" s="3" t="n">
        <v>0.02144506853774092</v>
      </c>
      <c r="DC17" s="3" t="n">
        <v>0.02580233230249625</v>
      </c>
      <c r="DD17" s="3" t="n">
        <v>0.1612267732926329</v>
      </c>
      <c r="DE17" s="3" t="n">
        <v>0.02505165232706846</v>
      </c>
      <c r="DF17" s="3" t="n">
        <v>-0.003141542135698576</v>
      </c>
      <c r="DG17" s="3" t="n">
        <v>0.04631466462237718</v>
      </c>
      <c r="DH17" s="3" t="n">
        <v>0.06481896055077446</v>
      </c>
      <c r="DI17" s="3" t="n">
        <v>0.00104095924869347</v>
      </c>
      <c r="DJ17" s="3" t="n">
        <v>0.0005970674845238062</v>
      </c>
      <c r="DK17" s="3" t="n">
        <v>-0.1160938449799824</v>
      </c>
      <c r="DL17" s="3" t="n">
        <v>-0.07363504830370403</v>
      </c>
      <c r="DM17" s="3" t="n">
        <v>-0.04802519587112981</v>
      </c>
      <c r="DN17" s="3" t="n">
        <v>0.05454120805877301</v>
      </c>
      <c r="DO17" s="3" t="n">
        <v>0.04187540599150988</v>
      </c>
      <c r="DP17" s="3" t="n">
        <v>0.03172012433631204</v>
      </c>
      <c r="DQ17" s="3" t="n">
        <v>0.1446321922615176</v>
      </c>
      <c r="DR17" s="3" t="n">
        <v>0.05372812039081153</v>
      </c>
      <c r="DS17" s="3" t="n">
        <v>0.1498474763074365</v>
      </c>
      <c r="DT17" s="3" t="n">
        <v>0.1074964644932431</v>
      </c>
      <c r="DU17" s="3" t="n">
        <v>-0.04600789052730918</v>
      </c>
      <c r="DV17" s="3" t="n">
        <v>0.1677980451647639</v>
      </c>
      <c r="DW17" s="3" t="n">
        <v>-0.002685498172508108</v>
      </c>
      <c r="DX17" s="3" t="n">
        <v>0.07236052132929119</v>
      </c>
      <c r="DY17" s="3" t="n">
        <v>0.2506805602237405</v>
      </c>
      <c r="DZ17" s="3" t="n">
        <v>0.03384973352032036</v>
      </c>
      <c r="EA17" s="3" t="n">
        <v>0.03314769982974453</v>
      </c>
      <c r="EB17" s="3" t="n">
        <v>0.05116931469596392</v>
      </c>
      <c r="EC17" s="3" t="n">
        <v>0.05670344886055172</v>
      </c>
      <c r="ED17" s="3" t="n">
        <v>0.1643298668910075</v>
      </c>
      <c r="EE17" s="3" t="n">
        <v>0.0264141419377675</v>
      </c>
      <c r="EF17" s="3" t="n">
        <v>0.01447501637623212</v>
      </c>
      <c r="EG17" s="3" t="n">
        <v>0.4421667131088031</v>
      </c>
      <c r="EH17" s="3" t="n">
        <v>-0.02023880658310682</v>
      </c>
      <c r="EI17" s="3" t="n">
        <v>0.08954376767274863</v>
      </c>
      <c r="EJ17" s="3" t="n">
        <v>0.0768724054384135</v>
      </c>
      <c r="EK17" s="3" t="n">
        <v>0.1282343172101185</v>
      </c>
      <c r="EL17" s="3" t="n">
        <v>0.09352620258022706</v>
      </c>
      <c r="EM17">
        <f>AVERAGE(C17:EL17)</f>
        <v/>
      </c>
      <c r="EN17">
        <f>STDEV(C17:EL17)</f>
        <v/>
      </c>
      <c r="EO17">
        <f>EM17/EN17</f>
        <v/>
      </c>
    </row>
    <row r="18">
      <c r="A18" s="13" t="n">
        <v>150</v>
      </c>
      <c r="B18" s="13">
        <f>ROUND($D$10/A18,0)</f>
        <v/>
      </c>
      <c r="C18" s="3" t="n">
        <v>-0.0780878307124715</v>
      </c>
      <c r="D18" s="3" t="n">
        <v>0.02081849577268631</v>
      </c>
      <c r="E18" s="3" t="n">
        <v>-0.07627606262000768</v>
      </c>
      <c r="F18" s="3" t="n">
        <v>0.2131236780043416</v>
      </c>
      <c r="G18" s="3" t="n">
        <v>0.04842089656801266</v>
      </c>
      <c r="H18" s="3" t="n">
        <v>0.1019985910181549</v>
      </c>
      <c r="I18" s="3" t="n">
        <v>0.1482115704113625</v>
      </c>
      <c r="J18" s="3" t="n">
        <v>0.1931996271264889</v>
      </c>
      <c r="K18" s="3" t="n">
        <v>0.3147228119917067</v>
      </c>
      <c r="L18" s="3" t="n">
        <v>-0.007954238786326097</v>
      </c>
      <c r="M18" s="3" t="n">
        <v>-0.07152401354759889</v>
      </c>
      <c r="N18" s="3" t="n">
        <v>0.1214089582381661</v>
      </c>
      <c r="O18" s="3" t="n">
        <v>0.08952896529274507</v>
      </c>
      <c r="P18" s="3" t="n">
        <v>0.06498512069392398</v>
      </c>
      <c r="Q18" s="3" t="n">
        <v>0.1502701249215575</v>
      </c>
      <c r="R18" s="3" t="n">
        <v>-0.07653748025312757</v>
      </c>
      <c r="S18" s="3" t="n">
        <v>0.158431316215898</v>
      </c>
      <c r="T18" s="3" t="n">
        <v>0.02940061118731233</v>
      </c>
      <c r="U18" s="3" t="n">
        <v>0.151044592824151</v>
      </c>
      <c r="V18" s="3" t="n">
        <v>0.01715090769624674</v>
      </c>
      <c r="W18" s="3" t="n">
        <v>0.1160068202564758</v>
      </c>
      <c r="X18" s="3" t="n">
        <v>0.1268302809732673</v>
      </c>
      <c r="Y18" s="3" t="n">
        <v>0.04126372633717135</v>
      </c>
      <c r="Z18" s="3" t="n">
        <v>0.07909347466344613</v>
      </c>
      <c r="AA18" s="3" t="n">
        <v>0.05180063027683139</v>
      </c>
      <c r="AB18" s="3" t="n">
        <v>0.09482142138284913</v>
      </c>
      <c r="AC18" s="3" t="n">
        <v>0.06859204418966326</v>
      </c>
      <c r="AD18" s="3" t="n">
        <v>0.04934119458354449</v>
      </c>
      <c r="AE18" s="3" t="n">
        <v>0.1438835976056574</v>
      </c>
      <c r="AF18" s="3" t="n">
        <v>0.07769856167111099</v>
      </c>
      <c r="AG18" s="3" t="n">
        <v>0.05524255735959271</v>
      </c>
      <c r="AH18" s="3" t="n">
        <v>-0.0401974609685147</v>
      </c>
      <c r="AI18" s="3" t="n">
        <v>0.04554636981538741</v>
      </c>
      <c r="AJ18" s="3" t="n">
        <v>-0.04267316279591569</v>
      </c>
      <c r="AK18" s="3" t="n">
        <v>-0.002187480968674093</v>
      </c>
      <c r="AL18" s="3" t="n">
        <v>0.02624581856695953</v>
      </c>
      <c r="AM18" s="3" t="n">
        <v>0.03236463787703683</v>
      </c>
      <c r="AN18" s="3" t="n">
        <v>0.1272884963012086</v>
      </c>
      <c r="AO18" s="3" t="n">
        <v>-0.03235798397405421</v>
      </c>
      <c r="AP18" s="3" t="n">
        <v>0.08689312133288027</v>
      </c>
      <c r="AQ18" s="3" t="n">
        <v>0.04283018103252879</v>
      </c>
      <c r="AR18" s="3" t="n">
        <v>0.1111873045605321</v>
      </c>
      <c r="AS18" s="3" t="n">
        <v>0.0286438366939986</v>
      </c>
      <c r="AT18" s="3" t="n">
        <v>0.05024131372193039</v>
      </c>
      <c r="AU18" s="3" t="n">
        <v>0.0516254987693384</v>
      </c>
      <c r="AV18" s="3" t="n">
        <v>-0.01431530618647409</v>
      </c>
      <c r="AW18" s="3" t="n">
        <v>0.009616454151419823</v>
      </c>
      <c r="AX18" s="3" t="n">
        <v>0.03152681684308814</v>
      </c>
      <c r="AY18" s="3" t="n">
        <v>0.08733004135094001</v>
      </c>
      <c r="AZ18" s="3" t="n">
        <v>-0.09134389553706833</v>
      </c>
      <c r="BA18" s="3" t="n">
        <v>-0.01786102841737409</v>
      </c>
      <c r="BB18" s="3" t="n">
        <v>0.1502839869469775</v>
      </c>
      <c r="BC18" s="3" t="n">
        <v>0.08228882529753474</v>
      </c>
      <c r="BD18" s="3" t="n">
        <v>0.05186707186834907</v>
      </c>
      <c r="BE18" s="3" t="n">
        <v>0.07103887746724653</v>
      </c>
      <c r="BF18" s="3" t="n">
        <v>0.04140159153959887</v>
      </c>
      <c r="BG18" s="3" t="n">
        <v>0.01739298012590685</v>
      </c>
      <c r="BH18" s="3" t="n">
        <v>0.01931331930424282</v>
      </c>
      <c r="BI18" s="3" t="n">
        <v>0.1070312197034036</v>
      </c>
      <c r="BJ18" s="3" t="n">
        <v>0.03190685555597737</v>
      </c>
      <c r="BK18" s="3" t="n">
        <v>0.04707453137775328</v>
      </c>
      <c r="BL18" s="3" t="n">
        <v>0.08722148671266938</v>
      </c>
      <c r="BM18" s="3" t="n">
        <v>-0.05768953041074567</v>
      </c>
      <c r="BN18" s="3" t="n">
        <v>0.05739155373966059</v>
      </c>
      <c r="BO18" s="3" t="n">
        <v>0.02051646755136657</v>
      </c>
      <c r="BP18" s="3" t="n">
        <v>-0.02516925313142294</v>
      </c>
      <c r="BQ18" s="3" t="n">
        <v>0.01622938341217012</v>
      </c>
      <c r="BR18" s="3" t="n">
        <v>-0.0002010587854894344</v>
      </c>
      <c r="BS18" s="3" t="n">
        <v>-0.02058139974292459</v>
      </c>
      <c r="BT18" s="3" t="n">
        <v>0.09069839542828874</v>
      </c>
      <c r="BU18" s="3" t="n">
        <v>0.01559509865759897</v>
      </c>
      <c r="BV18" s="3" t="n">
        <v>0.1366779063429957</v>
      </c>
      <c r="BW18" s="3" t="n">
        <v>0.07981840904628654</v>
      </c>
      <c r="BX18" s="3" t="n">
        <v>0.03100890105256008</v>
      </c>
      <c r="BY18" s="3" t="n">
        <v>0.0896818194378621</v>
      </c>
      <c r="BZ18" s="3" t="n">
        <v>0.1507970938097709</v>
      </c>
      <c r="CA18" s="3" t="n">
        <v>0.02322398391822439</v>
      </c>
      <c r="CB18" s="3" t="n">
        <v>0.05421632789337454</v>
      </c>
      <c r="CC18" s="3" t="n">
        <v>0.07364275998404536</v>
      </c>
      <c r="CD18" s="3" t="n">
        <v>0.1656741937959915</v>
      </c>
      <c r="CE18" s="3" t="n">
        <v>-0.1339326069095821</v>
      </c>
      <c r="CF18" s="3" t="n">
        <v>0.09231442316215792</v>
      </c>
      <c r="CG18" s="3" t="n">
        <v>0.0425765717773908</v>
      </c>
      <c r="CH18" s="3" t="n">
        <v>0.1081134112752155</v>
      </c>
      <c r="CI18" s="3" t="n">
        <v>0.03025440965705931</v>
      </c>
      <c r="CJ18" s="3" t="n">
        <v>0.09893950634100816</v>
      </c>
      <c r="CK18" s="3" t="n">
        <v>0.07376852849224534</v>
      </c>
      <c r="CL18" s="3" t="n">
        <v>0.3677501165452779</v>
      </c>
      <c r="CM18" s="3" t="n">
        <v>0.01485562655522701</v>
      </c>
      <c r="CN18" s="3" t="n">
        <v>0.08322996480761775</v>
      </c>
      <c r="CO18" s="3" t="n">
        <v>-0.1437436576705441</v>
      </c>
      <c r="CP18" s="3" t="n">
        <v>0.1308580147931263</v>
      </c>
      <c r="CQ18" s="3" t="n">
        <v>0.004417487507263134</v>
      </c>
      <c r="CR18" s="3" t="n">
        <v>0.05154399821316374</v>
      </c>
      <c r="CS18" s="3" t="n">
        <v>-0.005136490228958752</v>
      </c>
      <c r="CT18" s="3" t="n">
        <v>0.1171681594152225</v>
      </c>
      <c r="CU18" s="3" t="n">
        <v>-0.0307680471304685</v>
      </c>
      <c r="CV18" s="3" t="n">
        <v>0.04596817072861269</v>
      </c>
      <c r="CW18" s="3" t="n">
        <v>-0.005731770446307568</v>
      </c>
      <c r="CX18" s="3" t="n">
        <v>0.05264809126214325</v>
      </c>
      <c r="CY18" s="3" t="n">
        <v>0.05958548765636647</v>
      </c>
      <c r="CZ18" s="3" t="n">
        <v>0.2000288012371472</v>
      </c>
      <c r="DA18" s="3" t="n">
        <v>0.05331412371600456</v>
      </c>
      <c r="DB18" s="3" t="n">
        <v>0.02199350644586486</v>
      </c>
      <c r="DC18" s="3" t="n">
        <v>0.01633891100978843</v>
      </c>
      <c r="DD18" s="3" t="n">
        <v>0.1990927395066279</v>
      </c>
      <c r="DE18" s="3" t="n">
        <v>0.03386629041353584</v>
      </c>
      <c r="DF18" s="3" t="n">
        <v>-0.03688948553290637</v>
      </c>
      <c r="DG18" s="3" t="n">
        <v>0.04424764732900767</v>
      </c>
      <c r="DH18" s="3" t="n">
        <v>0.06254470874231302</v>
      </c>
      <c r="DI18" s="3" t="n">
        <v>-0.02658100794318386</v>
      </c>
      <c r="DJ18" s="3" t="n">
        <v>-9.327780448515049e-05</v>
      </c>
      <c r="DK18" s="3" t="n">
        <v>-0.1262486012331148</v>
      </c>
      <c r="DL18" s="3" t="n">
        <v>-0.0629000904021659</v>
      </c>
      <c r="DM18" s="3" t="n">
        <v>-0.03038661026852806</v>
      </c>
      <c r="DN18" s="3" t="n">
        <v>0.02266950465817242</v>
      </c>
      <c r="DO18" s="3" t="n">
        <v>0.04622502238538745</v>
      </c>
      <c r="DP18" s="3" t="n">
        <v>0.01786813161432836</v>
      </c>
      <c r="DQ18" s="3" t="n">
        <v>0.1741791065660067</v>
      </c>
      <c r="DR18" s="3" t="n">
        <v>0.05209832796244636</v>
      </c>
      <c r="DS18" s="3" t="n">
        <v>0.1769006458833048</v>
      </c>
      <c r="DT18" s="3" t="n">
        <v>0.1324259784630817</v>
      </c>
      <c r="DU18" s="3" t="n">
        <v>-0.0715058739543618</v>
      </c>
      <c r="DV18" s="3" t="n">
        <v>0.1926636757812601</v>
      </c>
      <c r="DW18" s="3" t="n">
        <v>-0.01120508123419641</v>
      </c>
      <c r="DX18" s="3" t="n">
        <v>0.06259507811806414</v>
      </c>
      <c r="DY18" s="3" t="n">
        <v>0.2785985932390926</v>
      </c>
      <c r="DZ18" s="3" t="n">
        <v>0.00117147528093297</v>
      </c>
      <c r="EA18" s="3" t="n">
        <v>0.03524272741280234</v>
      </c>
      <c r="EB18" s="3" t="n">
        <v>0.03109111570328932</v>
      </c>
      <c r="EC18" s="3" t="n">
        <v>0.05186524038864354</v>
      </c>
      <c r="ED18" s="3" t="n">
        <v>0.1612264870901632</v>
      </c>
      <c r="EE18" s="3" t="n">
        <v>0.01796213109668695</v>
      </c>
      <c r="EF18" s="3" t="n">
        <v>0.02079908093414653</v>
      </c>
      <c r="EG18" s="3" t="n">
        <v>0.4917420210745935</v>
      </c>
      <c r="EH18" s="3" t="n">
        <v>-0.02347476070531628</v>
      </c>
      <c r="EI18" s="3" t="n">
        <v>0.08149913951108616</v>
      </c>
      <c r="EJ18" s="3" t="n">
        <v>0.05261746880221125</v>
      </c>
      <c r="EK18" s="3" t="n">
        <v>0.1336699532883318</v>
      </c>
      <c r="EL18" s="3" t="n">
        <v>0.04472264130366818</v>
      </c>
      <c r="EM18">
        <f>AVERAGE(C18:EL18)</f>
        <v/>
      </c>
      <c r="EN18">
        <f>STDEV(C18:EL18)</f>
        <v/>
      </c>
      <c r="EO18">
        <f>EM18/EN18</f>
        <v/>
      </c>
    </row>
    <row r="19">
      <c r="A19" s="13" t="n">
        <v>180</v>
      </c>
      <c r="B19" s="13">
        <f>ROUND($D$10/A19,0)</f>
        <v/>
      </c>
      <c r="C19" s="3" t="n">
        <v>-0.1092862861274565</v>
      </c>
      <c r="D19" s="3" t="n">
        <v>0.02710384122363381</v>
      </c>
      <c r="E19" s="3" t="n">
        <v>-0.0504833670833555</v>
      </c>
      <c r="F19" s="3" t="n">
        <v>0.274828657070236</v>
      </c>
      <c r="G19" s="3" t="n">
        <v>0.05429514246958737</v>
      </c>
      <c r="H19" s="3" t="n">
        <v>0.132936161526842</v>
      </c>
      <c r="I19" s="3" t="n">
        <v>0.183132986749064</v>
      </c>
      <c r="J19" s="3" t="n">
        <v>0.2060553049937506</v>
      </c>
      <c r="K19" s="3" t="n">
        <v>0.3887563727088915</v>
      </c>
      <c r="L19" s="3" t="n">
        <v>-0.007081563273445904</v>
      </c>
      <c r="M19" s="3" t="n">
        <v>-0.07830932331480987</v>
      </c>
      <c r="N19" s="3" t="n">
        <v>0.07016717180227501</v>
      </c>
      <c r="O19" s="3" t="n">
        <v>0.08383448100164742</v>
      </c>
      <c r="P19" s="3" t="n">
        <v>0.08090003010073446</v>
      </c>
      <c r="Q19" s="3" t="n">
        <v>0.1520069122019321</v>
      </c>
      <c r="R19" s="3" t="n">
        <v>-0.09029909063085628</v>
      </c>
      <c r="S19" s="3" t="n">
        <v>0.1665705674290347</v>
      </c>
      <c r="T19" s="3" t="n">
        <v>0.02362739765913777</v>
      </c>
      <c r="U19" s="3" t="n">
        <v>0.127790990668878</v>
      </c>
      <c r="V19" s="3" t="n">
        <v>0.005471978477174302</v>
      </c>
      <c r="W19" s="3" t="n">
        <v>0.130105840276805</v>
      </c>
      <c r="X19" s="3" t="n">
        <v>0.09724760249225781</v>
      </c>
      <c r="Y19" s="3" t="n">
        <v>0.0411115019308409</v>
      </c>
      <c r="Z19" s="3" t="n">
        <v>0.07978807366943405</v>
      </c>
      <c r="AA19" s="3" t="n">
        <v>0.05334813381461428</v>
      </c>
      <c r="AB19" s="3" t="n">
        <v>0.07900458633452562</v>
      </c>
      <c r="AC19" s="3" t="n">
        <v>0.04896198433409456</v>
      </c>
      <c r="AD19" s="3" t="n">
        <v>0.04051021940643412</v>
      </c>
      <c r="AE19" s="3" t="n">
        <v>0.1572519122050417</v>
      </c>
      <c r="AF19" s="3" t="n">
        <v>0.08822676318874097</v>
      </c>
      <c r="AG19" s="3" t="n">
        <v>0.0486772338778839</v>
      </c>
      <c r="AH19" s="3" t="n">
        <v>-0.05655771522170355</v>
      </c>
      <c r="AI19" s="3" t="n">
        <v>0.07718384717974273</v>
      </c>
      <c r="AJ19" s="3" t="n">
        <v>-0.0468360864269778</v>
      </c>
      <c r="AK19" s="3" t="n">
        <v>0.00755204250595271</v>
      </c>
      <c r="AL19" s="3" t="n">
        <v>0.02459750393992337</v>
      </c>
      <c r="AM19" s="3" t="n">
        <v>0.03258501675727029</v>
      </c>
      <c r="AN19" s="3" t="n">
        <v>0.1173223383842611</v>
      </c>
      <c r="AO19" s="3" t="n">
        <v>-0.01798657697853844</v>
      </c>
      <c r="AP19" s="3" t="n">
        <v>0.09572065064783856</v>
      </c>
      <c r="AQ19" s="3" t="n">
        <v>0.07858804512880987</v>
      </c>
      <c r="AR19" s="3" t="n">
        <v>0.1266893665896385</v>
      </c>
      <c r="AS19" s="3" t="n">
        <v>0.02936743361122017</v>
      </c>
      <c r="AT19" s="3" t="n">
        <v>0.04587743272879804</v>
      </c>
      <c r="AU19" s="3" t="n">
        <v>0.04272975097116473</v>
      </c>
      <c r="AV19" s="3" t="n">
        <v>-0.01964286397266788</v>
      </c>
      <c r="AW19" s="3" t="n">
        <v>-0.008134219619077352</v>
      </c>
      <c r="AX19" s="3" t="n">
        <v>0.03562787917617387</v>
      </c>
      <c r="AY19" s="3" t="n">
        <v>0.09083352688813709</v>
      </c>
      <c r="AZ19" s="3" t="n">
        <v>-0.1203035668410384</v>
      </c>
      <c r="BA19" s="3" t="n">
        <v>-0.0295991946258579</v>
      </c>
      <c r="BB19" s="3" t="n">
        <v>0.1797702510461088</v>
      </c>
      <c r="BC19" s="3" t="n">
        <v>0.08272562121493514</v>
      </c>
      <c r="BD19" s="3" t="n">
        <v>0.01102630094743672</v>
      </c>
      <c r="BE19" s="3" t="n">
        <v>0.08589180735770557</v>
      </c>
      <c r="BF19" s="3" t="n">
        <v>0.04127810972999993</v>
      </c>
      <c r="BG19" s="3" t="n">
        <v>0.02355543324462069</v>
      </c>
      <c r="BH19" s="3" t="n">
        <v>0.04100042902230827</v>
      </c>
      <c r="BI19" s="3" t="n">
        <v>0.08958197008825353</v>
      </c>
      <c r="BJ19" s="3" t="n">
        <v>0.01072750706060003</v>
      </c>
      <c r="BK19" s="3" t="n">
        <v>0.06246061395960129</v>
      </c>
      <c r="BL19" s="3" t="n">
        <v>0.09664760565959124</v>
      </c>
      <c r="BM19" s="3" t="n">
        <v>-0.089561859302539</v>
      </c>
      <c r="BN19" s="3" t="n">
        <v>0.06662695202725272</v>
      </c>
      <c r="BO19" s="3" t="n">
        <v>0.02101984998884879</v>
      </c>
      <c r="BP19" s="3" t="n">
        <v>-0.04303270819878695</v>
      </c>
      <c r="BQ19" s="3" t="n">
        <v>0.03345761496984716</v>
      </c>
      <c r="BR19" s="3" t="n">
        <v>0.007693740819649329</v>
      </c>
      <c r="BS19" s="3" t="n">
        <v>-0.007985187524313105</v>
      </c>
      <c r="BT19" s="3" t="n">
        <v>0.08404280173599292</v>
      </c>
      <c r="BU19" s="3" t="n">
        <v>0.02288576973640629</v>
      </c>
      <c r="BV19" s="3" t="n">
        <v>0.13276265618058</v>
      </c>
      <c r="BW19" s="3" t="n">
        <v>0.0821111026046682</v>
      </c>
      <c r="BX19" s="3" t="n">
        <v>0.03724091429448478</v>
      </c>
      <c r="BY19" s="3" t="n">
        <v>0.1365097056190575</v>
      </c>
      <c r="BZ19" s="3" t="n">
        <v>0.06087201744224871</v>
      </c>
      <c r="CA19" s="3" t="n">
        <v>0.02238290891488591</v>
      </c>
      <c r="CB19" s="3" t="n">
        <v>0.0880541367314519</v>
      </c>
      <c r="CC19" s="3" t="n">
        <v>0.08208854910804771</v>
      </c>
      <c r="CD19" s="3" t="n">
        <v>0.1634233973916995</v>
      </c>
      <c r="CE19" s="3" t="n">
        <v>-0.1792542478321245</v>
      </c>
      <c r="CF19" s="3" t="n">
        <v>0.0570492731069162</v>
      </c>
      <c r="CG19" s="3" t="n">
        <v>0.02758917040964754</v>
      </c>
      <c r="CH19" s="3" t="n">
        <v>0.1296708123069379</v>
      </c>
      <c r="CI19" s="3" t="n">
        <v>0.0263631322847448</v>
      </c>
      <c r="CJ19" s="3" t="n">
        <v>0.09447776786725595</v>
      </c>
      <c r="CK19" s="3" t="n">
        <v>0.08916712581031469</v>
      </c>
      <c r="CL19" s="3" t="n">
        <v>0.3917375435809967</v>
      </c>
      <c r="CM19" s="3" t="n">
        <v>-0.03434485715628886</v>
      </c>
      <c r="CN19" s="3" t="n">
        <v>0.0766553023892253</v>
      </c>
      <c r="CO19" s="3" t="n">
        <v>-0.1699858136031404</v>
      </c>
      <c r="CP19" s="3" t="n">
        <v>0.1628292425852964</v>
      </c>
      <c r="CQ19" s="3" t="n">
        <v>0.02259781890410521</v>
      </c>
      <c r="CR19" s="3" t="n">
        <v>0.07514581537791418</v>
      </c>
      <c r="CS19" s="3" t="n">
        <v>0.01654066968708476</v>
      </c>
      <c r="CT19" s="3" t="n">
        <v>0.1221735140977507</v>
      </c>
      <c r="CU19" s="3" t="n">
        <v>-0.03191993920324525</v>
      </c>
      <c r="CV19" s="3" t="n">
        <v>0.04804925986442313</v>
      </c>
      <c r="CW19" s="3" t="n">
        <v>-0.01872344014397731</v>
      </c>
      <c r="CX19" s="3" t="n">
        <v>0.1188797972466445</v>
      </c>
      <c r="CY19" s="3" t="n">
        <v>0.06358898671488677</v>
      </c>
      <c r="CZ19" s="3" t="n">
        <v>0.2226851581652444</v>
      </c>
      <c r="DA19" s="3" t="n">
        <v>0.06514592493343294</v>
      </c>
      <c r="DB19" s="3" t="n">
        <v>0.03118080988309958</v>
      </c>
      <c r="DC19" s="3" t="n">
        <v>-0.05859424880209813</v>
      </c>
      <c r="DD19" s="3" t="n">
        <v>0.2439875680465819</v>
      </c>
      <c r="DE19" s="3" t="n">
        <v>-0.01961177400071876</v>
      </c>
      <c r="DF19" s="3" t="n">
        <v>0.03835919869931373</v>
      </c>
      <c r="DG19" s="3" t="n">
        <v>0.04384600545245362</v>
      </c>
      <c r="DH19" s="3" t="n">
        <v>0.05504578497574937</v>
      </c>
      <c r="DI19" s="3" t="n">
        <v>-0.02999689420126426</v>
      </c>
      <c r="DJ19" s="3" t="n">
        <v>0.02150447944685508</v>
      </c>
      <c r="DK19" s="3" t="n">
        <v>-0.07255913346647654</v>
      </c>
      <c r="DL19" s="3" t="n">
        <v>-0.06987027492124093</v>
      </c>
      <c r="DM19" s="3" t="n">
        <v>-0.03545618371616476</v>
      </c>
      <c r="DN19" s="3" t="n">
        <v>0.03292371827898659</v>
      </c>
      <c r="DO19" s="3" t="n">
        <v>0.05200202136485897</v>
      </c>
      <c r="DP19" s="3" t="n">
        <v>0.02771123114918412</v>
      </c>
      <c r="DQ19" s="3" t="n">
        <v>0.2335224693002409</v>
      </c>
      <c r="DR19" s="3" t="n">
        <v>0.05024624598804796</v>
      </c>
      <c r="DS19" s="3" t="n">
        <v>0.2120373022908045</v>
      </c>
      <c r="DT19" s="3" t="n">
        <v>0.1522718536968047</v>
      </c>
      <c r="DU19" s="3" t="n">
        <v>-0.1085336106901788</v>
      </c>
      <c r="DV19" s="3" t="n">
        <v>0.1777119731937944</v>
      </c>
      <c r="DW19" s="3" t="n">
        <v>0.01456002706821544</v>
      </c>
      <c r="DX19" s="3" t="n">
        <v>0.06736866066401453</v>
      </c>
      <c r="DY19" s="3" t="n">
        <v>0.2682938562138994</v>
      </c>
      <c r="DZ19" s="3" t="n">
        <v>0.02723223502093412</v>
      </c>
      <c r="EA19" s="3" t="n">
        <v>0.008463194697083433</v>
      </c>
      <c r="EB19" s="3" t="n">
        <v>0.008525743143837181</v>
      </c>
      <c r="EC19" s="3" t="n">
        <v>0.03593399192956234</v>
      </c>
      <c r="ED19" s="3" t="n">
        <v>0.1989425476062834</v>
      </c>
      <c r="EE19" s="3" t="n">
        <v>0.01590847215834386</v>
      </c>
      <c r="EF19" s="3" t="n">
        <v>-0.02195419132811794</v>
      </c>
      <c r="EG19" s="3" t="n">
        <v>0.5822086160141092</v>
      </c>
      <c r="EH19" s="3" t="n">
        <v>-0.07133926363777537</v>
      </c>
      <c r="EI19" s="3" t="n">
        <v>0.1018944231199035</v>
      </c>
      <c r="EJ19" s="3" t="n">
        <v>0.05754377505300765</v>
      </c>
      <c r="EK19" s="3" t="n">
        <v>0.1055429377737104</v>
      </c>
      <c r="EL19" s="3" t="n">
        <v>0.04403334175504449</v>
      </c>
      <c r="EM19">
        <f>AVERAGE(C19:EL19)</f>
        <v/>
      </c>
      <c r="EN19">
        <f>STDEV(C19:EL19)</f>
        <v/>
      </c>
      <c r="EO19">
        <f>EM19/EN19</f>
        <v/>
      </c>
    </row>
    <row r="20">
      <c r="A20" s="13" t="n">
        <v>200</v>
      </c>
      <c r="B20" s="13">
        <f>ROUND($D$10/A20,0)</f>
        <v/>
      </c>
      <c r="C20" s="3" t="n">
        <v>-0.1373535136296533</v>
      </c>
      <c r="D20" s="3" t="n">
        <v>0.04306552021797043</v>
      </c>
      <c r="E20" s="3" t="n">
        <v>-0.05663850899439639</v>
      </c>
      <c r="F20" s="3" t="n">
        <v>0.2501332585509888</v>
      </c>
      <c r="G20" s="3" t="n">
        <v>0.04602097047345294</v>
      </c>
      <c r="H20" s="3" t="n">
        <v>0.1643719981286699</v>
      </c>
      <c r="I20" s="3" t="n">
        <v>0.2142284970631311</v>
      </c>
      <c r="J20" s="3" t="n">
        <v>0.2290057453644317</v>
      </c>
      <c r="K20" s="3" t="n">
        <v>0.4643276562103676</v>
      </c>
      <c r="L20" s="3" t="n">
        <v>0.03700617646223098</v>
      </c>
      <c r="M20" s="3" t="n">
        <v>-0.09969476982440183</v>
      </c>
      <c r="N20" s="3" t="n">
        <v>0.07170807238039284</v>
      </c>
      <c r="O20" s="3" t="n">
        <v>0.09948896316191261</v>
      </c>
      <c r="P20" s="3" t="n">
        <v>0.09481774861592462</v>
      </c>
      <c r="Q20" s="3" t="n">
        <v>0.1625383277278732</v>
      </c>
      <c r="R20" s="3" t="n">
        <v>-0.1092530556374688</v>
      </c>
      <c r="S20" s="3" t="n">
        <v>0.1551826183277426</v>
      </c>
      <c r="T20" s="3" t="n">
        <v>-0.01566291051925937</v>
      </c>
      <c r="U20" s="3" t="n">
        <v>0.1043735159566512</v>
      </c>
      <c r="V20" s="3" t="n">
        <v>0.03300355596558371</v>
      </c>
      <c r="W20" s="3" t="n">
        <v>0.1451790017370326</v>
      </c>
      <c r="X20" s="3" t="n">
        <v>0.1254274699309309</v>
      </c>
      <c r="Y20" s="3" t="n">
        <v>0.0426269954338524</v>
      </c>
      <c r="Z20" s="3" t="n">
        <v>0.09141971619575187</v>
      </c>
      <c r="AA20" s="3" t="n">
        <v>0.02683037235816487</v>
      </c>
      <c r="AB20" s="3" t="n">
        <v>0.1152208458850684</v>
      </c>
      <c r="AC20" s="3" t="n">
        <v>0.06535266428192679</v>
      </c>
      <c r="AD20" s="3" t="n">
        <v>0.05674133987773331</v>
      </c>
      <c r="AE20" s="3" t="n">
        <v>0.1817743187015015</v>
      </c>
      <c r="AF20" s="3" t="n">
        <v>0.1036374557068641</v>
      </c>
      <c r="AG20" s="3" t="n">
        <v>0.02765921853989226</v>
      </c>
      <c r="AH20" s="3" t="n">
        <v>-0.09017820071478264</v>
      </c>
      <c r="AI20" s="3" t="n">
        <v>0.09049896354260631</v>
      </c>
      <c r="AJ20" s="3" t="n">
        <v>-0.06199003454754764</v>
      </c>
      <c r="AK20" s="3" t="n">
        <v>-0.01359511549600285</v>
      </c>
      <c r="AL20" s="3" t="n">
        <v>0.06373554095447824</v>
      </c>
      <c r="AM20" s="3" t="n">
        <v>0.03535123710176763</v>
      </c>
      <c r="AN20" s="3" t="n">
        <v>0.1208414664731992</v>
      </c>
      <c r="AO20" s="3" t="n">
        <v>-0.05539915838303291</v>
      </c>
      <c r="AP20" s="3" t="n">
        <v>0.0867452380928953</v>
      </c>
      <c r="AQ20" s="3" t="n">
        <v>0.09218732284126985</v>
      </c>
      <c r="AR20" s="3" t="n">
        <v>0.1555204960125112</v>
      </c>
      <c r="AS20" s="3" t="n">
        <v>0.06872240281388479</v>
      </c>
      <c r="AT20" s="3" t="n">
        <v>0.02752776092394297</v>
      </c>
      <c r="AU20" s="3" t="n">
        <v>0.04467351695532407</v>
      </c>
      <c r="AV20" s="3" t="n">
        <v>-0.01285296337614389</v>
      </c>
      <c r="AW20" s="3" t="n">
        <v>0.0008561298635354278</v>
      </c>
      <c r="AX20" s="3" t="n">
        <v>0.01432074881183375</v>
      </c>
      <c r="AY20" s="3" t="n">
        <v>0.1122401662366181</v>
      </c>
      <c r="AZ20" s="3" t="n">
        <v>-0.1339111695845256</v>
      </c>
      <c r="BA20" s="3" t="n">
        <v>-0.04832750681644855</v>
      </c>
      <c r="BB20" s="3" t="n">
        <v>0.1916842857449819</v>
      </c>
      <c r="BC20" s="3" t="n">
        <v>0.03952240012464532</v>
      </c>
      <c r="BD20" s="3" t="n">
        <v>0.03561053619199529</v>
      </c>
      <c r="BE20" s="3" t="n">
        <v>0.07262313118821301</v>
      </c>
      <c r="BF20" s="3" t="n">
        <v>0.02009480797310523</v>
      </c>
      <c r="BG20" s="3" t="n">
        <v>-0.01279907908668934</v>
      </c>
      <c r="BH20" s="3" t="n">
        <v>0.02934588326436338</v>
      </c>
      <c r="BI20" s="3" t="n">
        <v>0.1288281860907762</v>
      </c>
      <c r="BJ20" s="3" t="n">
        <v>0.00882630272294619</v>
      </c>
      <c r="BK20" s="3" t="n">
        <v>0.06486255052631366</v>
      </c>
      <c r="BL20" s="3" t="n">
        <v>0.09831397321902749</v>
      </c>
      <c r="BM20" s="3" t="n">
        <v>-0.09677250007354199</v>
      </c>
      <c r="BN20" s="3" t="n">
        <v>0.09542668567189473</v>
      </c>
      <c r="BO20" s="3" t="n">
        <v>0.02361256287382453</v>
      </c>
      <c r="BP20" s="3" t="n">
        <v>-0.05130674768382165</v>
      </c>
      <c r="BQ20" s="3" t="n">
        <v>0.04290494658549909</v>
      </c>
      <c r="BR20" s="3" t="n">
        <v>0.005389157843113886</v>
      </c>
      <c r="BS20" s="3" t="n">
        <v>-0.02494086212749338</v>
      </c>
      <c r="BT20" s="3" t="n">
        <v>0.1022762499044336</v>
      </c>
      <c r="BU20" s="3" t="n">
        <v>0.00862408127337376</v>
      </c>
      <c r="BV20" s="3" t="n">
        <v>0.1628472295957524</v>
      </c>
      <c r="BW20" s="3" t="n">
        <v>0.1216863616581198</v>
      </c>
      <c r="BX20" s="3" t="n">
        <v>0.0222574151216192</v>
      </c>
      <c r="BY20" s="3" t="n">
        <v>0.1398659292453944</v>
      </c>
      <c r="BZ20" s="3" t="n">
        <v>0.08673935267032548</v>
      </c>
      <c r="CA20" s="3" t="n">
        <v>0.01734198793106398</v>
      </c>
      <c r="CB20" s="3" t="n">
        <v>0.04822451887905477</v>
      </c>
      <c r="CC20" s="3" t="n">
        <v>0.09488138939372934</v>
      </c>
      <c r="CD20" s="3" t="n">
        <v>0.1783606275069374</v>
      </c>
      <c r="CE20" s="3" t="n">
        <v>-0.2029336889433269</v>
      </c>
      <c r="CF20" s="3" t="n">
        <v>0.06593086605485567</v>
      </c>
      <c r="CG20" s="3" t="n">
        <v>-0.01696082091212919</v>
      </c>
      <c r="CH20" s="3" t="n">
        <v>0.1391514007469502</v>
      </c>
      <c r="CI20" s="3" t="n">
        <v>-0.004177473306140989</v>
      </c>
      <c r="CJ20" s="3" t="n">
        <v>0.1421264450357798</v>
      </c>
      <c r="CK20" s="3" t="n">
        <v>0.09126684971711899</v>
      </c>
      <c r="CL20" s="3" t="n">
        <v>0.3907531867998225</v>
      </c>
      <c r="CM20" s="3" t="n">
        <v>-0.02931959499115245</v>
      </c>
      <c r="CN20" s="3" t="n">
        <v>0.07869319596517216</v>
      </c>
      <c r="CO20" s="3" t="n">
        <v>-0.293009025938573</v>
      </c>
      <c r="CP20" s="3" t="n">
        <v>0.1523692439232827</v>
      </c>
      <c r="CQ20" s="3" t="n">
        <v>0.0365046303994628</v>
      </c>
      <c r="CR20" s="3" t="n">
        <v>0.0762639331958077</v>
      </c>
      <c r="CS20" s="3" t="n">
        <v>0.004325547690486001</v>
      </c>
      <c r="CT20" s="3" t="n">
        <v>0.0694880964939187</v>
      </c>
      <c r="CU20" s="3" t="n">
        <v>-0.09027625970731601</v>
      </c>
      <c r="CV20" s="3" t="n">
        <v>0.04236687861841232</v>
      </c>
      <c r="CW20" s="3" t="n">
        <v>0.01376710408678817</v>
      </c>
      <c r="CX20" s="3" t="n">
        <v>0.1206946456524317</v>
      </c>
      <c r="CY20" s="3" t="n">
        <v>0.08951264825041243</v>
      </c>
      <c r="CZ20" s="3" t="n">
        <v>0.2017998631464254</v>
      </c>
      <c r="DA20" s="3" t="n">
        <v>0.05577835103141297</v>
      </c>
      <c r="DB20" s="3" t="n">
        <v>0.01291044385394501</v>
      </c>
      <c r="DC20" s="3" t="n">
        <v>-0.03456113066023539</v>
      </c>
      <c r="DD20" s="3" t="n">
        <v>0.2701106185965307</v>
      </c>
      <c r="DE20" s="3" t="n">
        <v>0.04342618570873874</v>
      </c>
      <c r="DF20" s="3" t="n">
        <v>0.03337250758557988</v>
      </c>
      <c r="DG20" s="3" t="n">
        <v>0.02272712004781819</v>
      </c>
      <c r="DH20" s="3" t="n">
        <v>0.07553110300977449</v>
      </c>
      <c r="DI20" s="3" t="n">
        <v>-0.02348676176275143</v>
      </c>
      <c r="DJ20" s="3" t="n">
        <v>0.02505864142581632</v>
      </c>
      <c r="DK20" s="3" t="n">
        <v>-0.03297457241900906</v>
      </c>
      <c r="DL20" s="3" t="n">
        <v>-0.09271984190037495</v>
      </c>
      <c r="DM20" s="3" t="n">
        <v>-0.0376971135890808</v>
      </c>
      <c r="DN20" s="3" t="n">
        <v>0.04505332474230164</v>
      </c>
      <c r="DO20" s="3" t="n">
        <v>0.0679481989958218</v>
      </c>
      <c r="DP20" s="3" t="n">
        <v>0.03657307869425729</v>
      </c>
      <c r="DQ20" s="3" t="n">
        <v>0.2566428509730311</v>
      </c>
      <c r="DR20" s="3" t="n">
        <v>0.0586045629591397</v>
      </c>
      <c r="DS20" s="3" t="n">
        <v>0.2469312039825557</v>
      </c>
      <c r="DT20" s="3" t="n">
        <v>0.1564080083150848</v>
      </c>
      <c r="DU20" s="3" t="n">
        <v>0.01168657810557869</v>
      </c>
      <c r="DV20" s="3" t="n">
        <v>0.2018004862743749</v>
      </c>
      <c r="DW20" s="3" t="n">
        <v>0.03588253759594938</v>
      </c>
      <c r="DX20" s="3" t="n">
        <v>0.06867056131731891</v>
      </c>
      <c r="DY20" s="3" t="n">
        <v>0.332063071069263</v>
      </c>
      <c r="DZ20" s="3" t="n">
        <v>0.02906231207768161</v>
      </c>
      <c r="EA20" s="3" t="n">
        <v>-0.01228093770837262</v>
      </c>
      <c r="EB20" s="3" t="n">
        <v>-0.02992385722584795</v>
      </c>
      <c r="EC20" s="3" t="n">
        <v>0.05156112426685805</v>
      </c>
      <c r="ED20" s="3" t="n">
        <v>0.2070065942039302</v>
      </c>
      <c r="EE20" s="3" t="n">
        <v>0.0252604262925443</v>
      </c>
      <c r="EF20" s="3" t="n">
        <v>-0.02692821484415259</v>
      </c>
      <c r="EG20" s="3" t="n">
        <v>0.6428665013741975</v>
      </c>
      <c r="EH20" s="3" t="n">
        <v>-0.08616220969973762</v>
      </c>
      <c r="EI20" s="3" t="n">
        <v>0.0982180082192893</v>
      </c>
      <c r="EJ20" s="3" t="n">
        <v>0.03738985665286456</v>
      </c>
      <c r="EK20" s="3" t="n">
        <v>0.1215854321020478</v>
      </c>
      <c r="EL20" s="3" t="n">
        <v>-0.0164425839450076</v>
      </c>
      <c r="EM20">
        <f>AVERAGE(C20:EL20)</f>
        <v/>
      </c>
      <c r="EN20">
        <f>STDEV(C20:EL20)</f>
        <v/>
      </c>
      <c r="EO20">
        <f>EM20/EN20</f>
        <v/>
      </c>
    </row>
    <row r="21">
      <c r="A21" s="13" t="n">
        <v>256</v>
      </c>
      <c r="B21" s="13">
        <f>ROUND($D$10/A21,0)</f>
        <v/>
      </c>
      <c r="C21" s="3" t="n">
        <v>-0.2090129225921236</v>
      </c>
      <c r="D21" s="3" t="n">
        <v>0.03743765419607695</v>
      </c>
      <c r="E21" s="3" t="n">
        <v>-0.05763798782785983</v>
      </c>
      <c r="F21" s="3" t="n">
        <v>0.1289123477175351</v>
      </c>
      <c r="G21" s="3" t="n">
        <v>-0.04839726276422956</v>
      </c>
      <c r="H21" s="3" t="n">
        <v>0.1986680609797658</v>
      </c>
      <c r="I21" s="3" t="n">
        <v>0.2173542762050098</v>
      </c>
      <c r="J21" s="3" t="n">
        <v>0.285035402321406</v>
      </c>
      <c r="K21" s="3" t="n">
        <v>0.05110975406500974</v>
      </c>
      <c r="L21" s="3" t="n">
        <v>0.08743383052868237</v>
      </c>
      <c r="M21" s="3" t="n">
        <v>0.12105379438336</v>
      </c>
      <c r="N21" s="3" t="n">
        <v>0.08598991265806677</v>
      </c>
      <c r="O21" s="3" t="n">
        <v>0.101704656153443</v>
      </c>
      <c r="P21" s="3" t="n">
        <v>0.1103949034932352</v>
      </c>
      <c r="Q21" s="3" t="n">
        <v>0.1744078833909712</v>
      </c>
      <c r="R21" s="3" t="n">
        <v>-0.09557531110663021</v>
      </c>
      <c r="S21" s="3" t="n">
        <v>0.128590285449957</v>
      </c>
      <c r="T21" s="3" t="n">
        <v>0.01404036434020492</v>
      </c>
      <c r="U21" s="3" t="n">
        <v>0.1127314871451478</v>
      </c>
      <c r="V21" s="3" t="n">
        <v>0.01910543658743648</v>
      </c>
      <c r="W21" s="3" t="n">
        <v>0.1717179517223567</v>
      </c>
      <c r="X21" s="3" t="n">
        <v>0.1338300367311122</v>
      </c>
      <c r="Y21" s="3" t="n">
        <v>0.09401199581017555</v>
      </c>
      <c r="Z21" s="3" t="n">
        <v>0.09645743186284017</v>
      </c>
      <c r="AA21" s="3" t="n">
        <v>-0.008533396604185858</v>
      </c>
      <c r="AB21" s="3" t="n">
        <v>0.1167099719164395</v>
      </c>
      <c r="AC21" s="3" t="n">
        <v>0.06611485951836979</v>
      </c>
      <c r="AD21" s="3" t="n">
        <v>0.03579018767532482</v>
      </c>
      <c r="AE21" s="3" t="n">
        <v>0.1836722173472499</v>
      </c>
      <c r="AF21" s="3" t="n">
        <v>0.1036504059872203</v>
      </c>
      <c r="AG21" s="3" t="n">
        <v>0.04430277778979408</v>
      </c>
      <c r="AH21" s="3" t="n">
        <v>-0.1075813625647983</v>
      </c>
      <c r="AI21" s="3" t="n">
        <v>0.07959420933329106</v>
      </c>
      <c r="AJ21" s="3" t="n">
        <v>-0.07040534194646869</v>
      </c>
      <c r="AK21" s="3" t="n">
        <v>-0.03064343373743127</v>
      </c>
      <c r="AL21" s="3" t="n">
        <v>0.06537982273311063</v>
      </c>
      <c r="AM21" s="3" t="n">
        <v>0.0513019391159019</v>
      </c>
      <c r="AN21" s="3" t="n">
        <v>0.1064311379698018</v>
      </c>
      <c r="AO21" s="3" t="n">
        <v>-0.07473492915334369</v>
      </c>
      <c r="AP21" s="3" t="n">
        <v>0.1048081729015958</v>
      </c>
      <c r="AQ21" s="3" t="n">
        <v>0.07444384557953108</v>
      </c>
      <c r="AR21" s="3" t="n">
        <v>0.2067223273497727</v>
      </c>
      <c r="AS21" s="3" t="n">
        <v>0.07929826645023547</v>
      </c>
      <c r="AT21" s="3" t="n">
        <v>0.03490524145592653</v>
      </c>
      <c r="AU21" s="3" t="n">
        <v>0.012526755026963</v>
      </c>
      <c r="AV21" s="3" t="n">
        <v>0.04819038075344075</v>
      </c>
      <c r="AW21" s="3" t="n">
        <v>-0.02490309819032019</v>
      </c>
      <c r="AX21" s="3" t="n">
        <v>0.02263293848617189</v>
      </c>
      <c r="AY21" s="3" t="n">
        <v>0.1389781257201739</v>
      </c>
      <c r="AZ21" s="3" t="n">
        <v>-0.1550471929064325</v>
      </c>
      <c r="BA21" s="3" t="n">
        <v>-0.04806755840164058</v>
      </c>
      <c r="BB21" s="3" t="n">
        <v>0.255382212998854</v>
      </c>
      <c r="BC21" s="3" t="n">
        <v>0.0598962007943984</v>
      </c>
      <c r="BD21" s="3" t="n">
        <v>-0.0128296621225213</v>
      </c>
      <c r="BE21" s="3" t="n">
        <v>0.006350533397401473</v>
      </c>
      <c r="BF21" s="3" t="n">
        <v>0.003577100180434684</v>
      </c>
      <c r="BG21" s="3" t="n">
        <v>0.01324431147469142</v>
      </c>
      <c r="BH21" s="3" t="n">
        <v>-0.04805369961780691</v>
      </c>
      <c r="BI21" s="3" t="n">
        <v>0.1147293072274003</v>
      </c>
      <c r="BJ21" s="3" t="n">
        <v>0.02233120946222797</v>
      </c>
      <c r="BK21" s="3" t="n">
        <v>0.07714031389900297</v>
      </c>
      <c r="BL21" s="3" t="n">
        <v>0.1139983725192197</v>
      </c>
      <c r="BM21" s="3" t="n">
        <v>-0.1207368013644319</v>
      </c>
      <c r="BN21" s="3" t="n">
        <v>0.123828936860666</v>
      </c>
      <c r="BO21" s="3" t="n">
        <v>-0.106617040541884</v>
      </c>
      <c r="BP21" s="3" t="n">
        <v>-0.08255212019536784</v>
      </c>
      <c r="BQ21" s="3" t="n">
        <v>0.05801034493196783</v>
      </c>
      <c r="BR21" s="3" t="n">
        <v>-0.0153830308052763</v>
      </c>
      <c r="BS21" s="3" t="n">
        <v>-0.06533642590741927</v>
      </c>
      <c r="BT21" s="3" t="n">
        <v>0.1128745300819549</v>
      </c>
      <c r="BU21" s="3" t="n">
        <v>0.04173356226639086</v>
      </c>
      <c r="BV21" s="3" t="n">
        <v>0.2008041227263038</v>
      </c>
      <c r="BW21" s="3" t="n">
        <v>0.1447136977367282</v>
      </c>
      <c r="BX21" s="3" t="n">
        <v>0.04823790372404099</v>
      </c>
      <c r="BY21" s="3" t="n">
        <v>0.09366980481323034</v>
      </c>
      <c r="BZ21" s="3" t="n">
        <v>0.09374164595245077</v>
      </c>
      <c r="CA21" s="3" t="n">
        <v>0.06433815431568694</v>
      </c>
      <c r="CB21" s="3" t="n">
        <v>0.02638838257003778</v>
      </c>
      <c r="CC21" s="3" t="n">
        <v>0.1295800790402523</v>
      </c>
      <c r="CD21" s="3" t="n">
        <v>0.2440768252851699</v>
      </c>
      <c r="CE21" s="3" t="n">
        <v>-0.340150373880824</v>
      </c>
      <c r="CF21" s="3" t="n">
        <v>0.05418244534875031</v>
      </c>
      <c r="CG21" s="3" t="n">
        <v>-0.003475889605828654</v>
      </c>
      <c r="CH21" s="3" t="n">
        <v>0.0002960780684414244</v>
      </c>
      <c r="CI21" s="3" t="n">
        <v>-0.003003803332268698</v>
      </c>
      <c r="CJ21" s="3" t="n">
        <v>0.2390477062048592</v>
      </c>
      <c r="CK21" s="3" t="n">
        <v>0.03367415889324657</v>
      </c>
      <c r="CL21" s="3" t="n">
        <v>0.4667816217424613</v>
      </c>
      <c r="CM21" s="3" t="n">
        <v>-0.008751727386824962</v>
      </c>
      <c r="CN21" s="3" t="n">
        <v>0.1064952204364688</v>
      </c>
      <c r="CO21" s="3" t="n">
        <v>-0.3686615474920006</v>
      </c>
      <c r="CP21" s="3" t="n">
        <v>0.1830696262257345</v>
      </c>
      <c r="CQ21" s="3" t="n">
        <v>0.04127968231309149</v>
      </c>
      <c r="CR21" s="3" t="n">
        <v>0.09590094414739289</v>
      </c>
      <c r="CS21" s="3" t="n">
        <v>0.04621588473166259</v>
      </c>
      <c r="CT21" s="3" t="n">
        <v>0.04662333749680163</v>
      </c>
      <c r="CU21" s="3" t="n">
        <v>-0.1178168512038383</v>
      </c>
      <c r="CV21" s="3" t="n">
        <v>0.03554538567511966</v>
      </c>
      <c r="CW21" s="3" t="n">
        <v>0.04244952662562371</v>
      </c>
      <c r="CX21" s="3" t="n">
        <v>0.1401172941382411</v>
      </c>
      <c r="CY21" s="3" t="n">
        <v>0.03934290900862387</v>
      </c>
      <c r="CZ21" s="3" t="n">
        <v>0.2955047829062644</v>
      </c>
      <c r="DA21" s="3" t="n">
        <v>0.009190815888562503</v>
      </c>
      <c r="DB21" s="3" t="n">
        <v>0.03368509347602539</v>
      </c>
      <c r="DC21" s="3" t="n">
        <v>-0.05244865001659786</v>
      </c>
      <c r="DD21" s="3" t="n">
        <v>0.2981768394405446</v>
      </c>
      <c r="DE21" s="3" t="n">
        <v>0.05309669128042892</v>
      </c>
      <c r="DF21" s="3" t="n">
        <v>0.06220261326432385</v>
      </c>
      <c r="DG21" s="3" t="n">
        <v>0.01487179408952664</v>
      </c>
      <c r="DH21" s="3" t="n">
        <v>0.01554185418401226</v>
      </c>
      <c r="DI21" s="3" t="n">
        <v>-0.01437857864648638</v>
      </c>
      <c r="DJ21" s="3" t="n">
        <v>0.015384495441135</v>
      </c>
      <c r="DK21" s="3" t="n">
        <v>-0.03395970964677154</v>
      </c>
      <c r="DL21" s="3" t="n">
        <v>-0.1112410993391294</v>
      </c>
      <c r="DM21" s="3" t="n">
        <v>-0.01157890214272447</v>
      </c>
      <c r="DN21" s="3" t="n">
        <v>0.02942837063409433</v>
      </c>
      <c r="DO21" s="3" t="n">
        <v>0.1047830323146038</v>
      </c>
      <c r="DP21" s="3" t="n">
        <v>-0.03764676303247562</v>
      </c>
      <c r="DQ21" s="3" t="n">
        <v>0.1095531516845756</v>
      </c>
      <c r="DR21" s="3" t="n">
        <v>0.01851543020035536</v>
      </c>
      <c r="DS21" s="3" t="n">
        <v>0.2519666146483491</v>
      </c>
      <c r="DT21" s="3" t="n">
        <v>0.04102616035483735</v>
      </c>
      <c r="DU21" s="3" t="n">
        <v>-0.004237937806905939</v>
      </c>
      <c r="DV21" s="3" t="n">
        <v>0.2643188506001632</v>
      </c>
      <c r="DW21" s="3" t="n">
        <v>0.06106205707991787</v>
      </c>
      <c r="DX21" s="3" t="n">
        <v>0.07947150366993863</v>
      </c>
      <c r="DY21" s="3" t="n">
        <v>0.3364853633460464</v>
      </c>
      <c r="DZ21" s="3" t="n">
        <v>0.01474817372386233</v>
      </c>
      <c r="EA21" s="3" t="n">
        <v>0.01912442603247248</v>
      </c>
      <c r="EB21" s="3" t="n">
        <v>-0.0795725986495659</v>
      </c>
      <c r="EC21" s="3" t="n">
        <v>0.05454620703991732</v>
      </c>
      <c r="ED21" s="3" t="n">
        <v>0.09210852276933071</v>
      </c>
      <c r="EE21" s="3" t="n">
        <v>0.0388373598531919</v>
      </c>
      <c r="EF21" s="3" t="n">
        <v>-0.05176135047828808</v>
      </c>
      <c r="EG21" s="3" t="n">
        <v>0.7654982542791985</v>
      </c>
      <c r="EH21" s="3" t="n">
        <v>-0.05378979425525084</v>
      </c>
      <c r="EI21" s="3" t="n">
        <v>0.07941028229765512</v>
      </c>
      <c r="EJ21" s="3" t="n">
        <v>0.02436189513714294</v>
      </c>
      <c r="EK21" s="3" t="n">
        <v>0.04713375979429438</v>
      </c>
      <c r="EL21" s="3" t="n">
        <v>0.02600653175298404</v>
      </c>
      <c r="EM21">
        <f>AVERAGE(C21:EL21)</f>
        <v/>
      </c>
      <c r="EN21">
        <f>STDEV(C21:EL21)</f>
        <v/>
      </c>
      <c r="EO21">
        <f>EM21/EN21</f>
        <v/>
      </c>
    </row>
    <row r="22">
      <c r="A22" s="13" t="n">
        <v>400</v>
      </c>
      <c r="B22" s="13">
        <f>ROUND($D$10/A22,0)</f>
        <v/>
      </c>
      <c r="C22" s="3" t="n">
        <v>-0.3186669381042471</v>
      </c>
      <c r="D22" s="3" t="n">
        <v>-0.01278836654555218</v>
      </c>
      <c r="E22" s="3" t="n">
        <v>-0.03558716405646846</v>
      </c>
      <c r="F22" s="3" t="n">
        <v>0.09743399557898645</v>
      </c>
      <c r="G22" s="3" t="n">
        <v>-0.04130304347297609</v>
      </c>
      <c r="H22" s="3" t="n">
        <v>0.1787494634876229</v>
      </c>
      <c r="I22" s="3" t="n">
        <v>0.2169580601081189</v>
      </c>
      <c r="J22" s="3" t="n">
        <v>0.3760934713427199</v>
      </c>
      <c r="K22" s="3" t="n">
        <v>0.04892716055824806</v>
      </c>
      <c r="L22" s="3" t="n">
        <v>0.06844693907761203</v>
      </c>
      <c r="M22" s="3" t="n">
        <v>0.1254029928425121</v>
      </c>
      <c r="N22" s="3" t="n">
        <v>0.1151504197367468</v>
      </c>
      <c r="O22" s="3" t="n">
        <v>0.1434803460042724</v>
      </c>
      <c r="P22" s="3" t="n">
        <v>0.02694595426688414</v>
      </c>
      <c r="Q22" s="3" t="n">
        <v>0.2767768938330518</v>
      </c>
      <c r="R22" s="3" t="n">
        <v>-0.03662843427158805</v>
      </c>
      <c r="S22" s="3" t="n">
        <v>0.1696465555579406</v>
      </c>
      <c r="T22" s="3" t="n">
        <v>0.0716519003896413</v>
      </c>
      <c r="U22" s="3" t="n">
        <v>0.08935155404327699</v>
      </c>
      <c r="V22" s="3" t="n">
        <v>0.05179709214618677</v>
      </c>
      <c r="W22" s="3" t="n">
        <v>0.1543018496079179</v>
      </c>
      <c r="X22" s="3" t="n">
        <v>0.1302238585928522</v>
      </c>
      <c r="Y22" s="3" t="n">
        <v>0.1495084466583838</v>
      </c>
      <c r="Z22" s="3" t="n">
        <v>0.07460157158895828</v>
      </c>
      <c r="AA22" s="3" t="n">
        <v>0.01788887203447898</v>
      </c>
      <c r="AB22" s="3" t="n">
        <v>0.1175015757615653</v>
      </c>
      <c r="AC22" s="3" t="n">
        <v>0.09339637938372067</v>
      </c>
      <c r="AD22" s="3" t="n">
        <v>0.06968081846177936</v>
      </c>
      <c r="AE22" s="3" t="n">
        <v>0.2378380105983093</v>
      </c>
      <c r="AF22" s="3" t="n">
        <v>0.1356223985514371</v>
      </c>
      <c r="AG22" s="3" t="n">
        <v>0.05284154017573389</v>
      </c>
      <c r="AH22" s="3" t="n">
        <v>-0.1058659594204727</v>
      </c>
      <c r="AI22" s="3" t="n">
        <v>0.09414126065738604</v>
      </c>
      <c r="AJ22" s="3" t="n">
        <v>-0.03169984932640827</v>
      </c>
      <c r="AK22" s="3" t="n">
        <v>0.1012885607403957</v>
      </c>
      <c r="AL22" s="3" t="n">
        <v>0.04034096680690041</v>
      </c>
      <c r="AM22" s="3" t="n">
        <v>0.08408890346770356</v>
      </c>
      <c r="AN22" s="3" t="n">
        <v>0.1772072037342537</v>
      </c>
      <c r="AO22" s="3" t="n">
        <v>-0.09051358080842013</v>
      </c>
      <c r="AP22" s="3" t="n">
        <v>0.1845605893538272</v>
      </c>
      <c r="AQ22" s="3" t="n">
        <v>-0.08267788670854412</v>
      </c>
      <c r="AR22" s="3" t="n">
        <v>0.2475397220456377</v>
      </c>
      <c r="AS22" s="3" t="n">
        <v>0.08142358856821583</v>
      </c>
      <c r="AT22" s="3" t="n">
        <v>-0.01242757422103967</v>
      </c>
      <c r="AU22" s="3" t="n">
        <v>0.00609895639105288</v>
      </c>
      <c r="AV22" s="3" t="n">
        <v>0.05003931093095599</v>
      </c>
      <c r="AW22" s="3" t="n">
        <v>-0.01740338462223227</v>
      </c>
      <c r="AX22" s="3" t="n">
        <v>0.02599527511016274</v>
      </c>
      <c r="AY22" s="3" t="n">
        <v>0.1943424983237451</v>
      </c>
      <c r="AZ22" s="3" t="n">
        <v>-0.02175167566688025</v>
      </c>
      <c r="BA22" s="3" t="n">
        <v>-0.07725454446419933</v>
      </c>
      <c r="BB22" s="3" t="n">
        <v>0.301929944540423</v>
      </c>
      <c r="BC22" s="3" t="n">
        <v>-0.1155417258126869</v>
      </c>
      <c r="BD22" s="3" t="n">
        <v>0.05639361786929117</v>
      </c>
      <c r="BE22" s="3" t="n">
        <v>0.02221618339448047</v>
      </c>
      <c r="BF22" s="3" t="n">
        <v>0.01363881733831962</v>
      </c>
      <c r="BG22" s="3" t="n">
        <v>0.04627951216838603</v>
      </c>
      <c r="BH22" s="3" t="n">
        <v>-0.1279605423381319</v>
      </c>
      <c r="BI22" s="3" t="n">
        <v>0.1410651683607662</v>
      </c>
      <c r="BJ22" s="3" t="n">
        <v>0.04087771487881316</v>
      </c>
      <c r="BK22" s="3" t="n">
        <v>0.1098960774572762</v>
      </c>
      <c r="BL22" s="3" t="n">
        <v>0.1956787624908788</v>
      </c>
      <c r="BM22" s="3" t="n">
        <v>-0.1080802363648694</v>
      </c>
      <c r="BN22" s="3" t="n">
        <v>0.09790032923801015</v>
      </c>
      <c r="BO22" s="3" t="n">
        <v>-0.09227771360013322</v>
      </c>
      <c r="BP22" s="3" t="n">
        <v>-0.08006778440227988</v>
      </c>
      <c r="BQ22" s="3" t="n">
        <v>0.07735197827174618</v>
      </c>
      <c r="BR22" s="3" t="n">
        <v>-0.02082701998535433</v>
      </c>
      <c r="BS22" s="3" t="n">
        <v>-0.03160620227923917</v>
      </c>
      <c r="BT22" s="3" t="n">
        <v>0.1074267740644941</v>
      </c>
      <c r="BU22" s="3" t="n">
        <v>0.05214775320926196</v>
      </c>
      <c r="BV22" s="3" t="n">
        <v>0.2367588024520761</v>
      </c>
      <c r="BW22" s="3" t="n">
        <v>0.1643237230362677</v>
      </c>
      <c r="BX22" s="3" t="n">
        <v>0.07197801830506768</v>
      </c>
      <c r="BY22" s="3" t="n">
        <v>0.06246672452955304</v>
      </c>
      <c r="BZ22" s="3" t="n">
        <v>0.04137098321296201</v>
      </c>
      <c r="CA22" s="3" t="n">
        <v>0.04601586239347383</v>
      </c>
      <c r="CB22" s="3" t="n">
        <v>0.1124669210166443</v>
      </c>
      <c r="CC22" s="3" t="n">
        <v>0.1875957329537572</v>
      </c>
      <c r="CD22" s="3" t="n">
        <v>0.3556730966807015</v>
      </c>
      <c r="CE22" s="3" t="n">
        <v>-0.4543799205602223</v>
      </c>
      <c r="CF22" s="3" t="n">
        <v>0.102508103348962</v>
      </c>
      <c r="CG22" s="3" t="n">
        <v>0.1452627082528932</v>
      </c>
      <c r="CH22" s="3" t="n">
        <v>-0.02642716250382961</v>
      </c>
      <c r="CI22" s="3" t="n">
        <v>-0.01586041808353771</v>
      </c>
      <c r="CJ22" s="3" t="n">
        <v>0.2086692910689549</v>
      </c>
      <c r="CK22" s="3" t="n">
        <v>0.06266894624766321</v>
      </c>
      <c r="CL22" s="3" t="n">
        <v>0.4954138848330186</v>
      </c>
      <c r="CM22" s="3" t="n">
        <v>0.0354711597656538</v>
      </c>
      <c r="CN22" s="3" t="n">
        <v>-0.03078058338277545</v>
      </c>
      <c r="CO22" s="3" t="n">
        <v>-0.4550182001083664</v>
      </c>
      <c r="CP22" s="3" t="n">
        <v>0.2065679774331649</v>
      </c>
      <c r="CQ22" s="3" t="n">
        <v>0.03832167479166966</v>
      </c>
      <c r="CR22" s="3" t="n">
        <v>0.08711654153470474</v>
      </c>
      <c r="CS22" s="3" t="n">
        <v>0.05994440439169195</v>
      </c>
      <c r="CT22" s="3" t="n">
        <v>0.04776609922458967</v>
      </c>
      <c r="CU22" s="3" t="n">
        <v>-0.07328302501099232</v>
      </c>
      <c r="CV22" s="3" t="n">
        <v>0.03481693735369562</v>
      </c>
      <c r="CW22" s="3" t="n">
        <v>0.1216248463976431</v>
      </c>
      <c r="CX22" s="3" t="n">
        <v>0.1267855266906081</v>
      </c>
      <c r="CY22" s="3" t="n">
        <v>0.04296687943622299</v>
      </c>
      <c r="CZ22" s="3" t="n">
        <v>0.3521515699688929</v>
      </c>
      <c r="DA22" s="3" t="n">
        <v>-0.0119128481030224</v>
      </c>
      <c r="DB22" s="3" t="n">
        <v>0.01890818660768311</v>
      </c>
      <c r="DC22" s="3" t="n">
        <v>-0.02408345989000373</v>
      </c>
      <c r="DD22" s="3" t="n">
        <v>0.3836996366686642</v>
      </c>
      <c r="DE22" s="3" t="n">
        <v>-0.03563351947801995</v>
      </c>
      <c r="DF22" s="3" t="n">
        <v>0.03402696018450889</v>
      </c>
      <c r="DG22" s="3" t="n">
        <v>-0.03738258089869331</v>
      </c>
      <c r="DH22" s="3" t="n">
        <v>-0.1074336101253462</v>
      </c>
      <c r="DI22" s="3" t="n">
        <v>-0.04833240701806199</v>
      </c>
      <c r="DJ22" s="3" t="n">
        <v>-0.03861737074309608</v>
      </c>
      <c r="DK22" s="3" t="n">
        <v>-0.03979305556893672</v>
      </c>
      <c r="DL22" s="3" t="n">
        <v>-0.1249436070176611</v>
      </c>
      <c r="DM22" s="3" t="n">
        <v>-0.01980779969491191</v>
      </c>
      <c r="DN22" s="3" t="n">
        <v>0.01011760064226144</v>
      </c>
      <c r="DO22" s="3" t="n">
        <v>0.1296961324705714</v>
      </c>
      <c r="DP22" s="3" t="n">
        <v>-0.002744743885582383</v>
      </c>
      <c r="DQ22" s="3" t="n">
        <v>0.1552618717984244</v>
      </c>
      <c r="DR22" s="3" t="n">
        <v>-0.05729703266094719</v>
      </c>
      <c r="DS22" s="3" t="n">
        <v>0.2651344322360277</v>
      </c>
      <c r="DT22" s="3" t="n">
        <v>0.1109620063677149</v>
      </c>
      <c r="DU22" s="3" t="n">
        <v>-0.06931359564590403</v>
      </c>
      <c r="DV22" s="3" t="n">
        <v>0.291095615985225</v>
      </c>
      <c r="DW22" s="3" t="n">
        <v>-0.01119135840527373</v>
      </c>
      <c r="DX22" s="3" t="n">
        <v>0.08318424002625287</v>
      </c>
      <c r="DY22" s="3" t="n">
        <v>0.2434428340012602</v>
      </c>
      <c r="DZ22" s="3" t="n">
        <v>-0.002179721616120317</v>
      </c>
      <c r="EA22" s="3" t="n">
        <v>0.1096635278114628</v>
      </c>
      <c r="EB22" s="3" t="n">
        <v>-0.0884184462527739</v>
      </c>
      <c r="EC22" s="3" t="n">
        <v>0.04505377789800093</v>
      </c>
      <c r="ED22" s="3" t="n">
        <v>0.1275597889524742</v>
      </c>
      <c r="EE22" s="3" t="n">
        <v>0.0435600499944469</v>
      </c>
      <c r="EF22" s="3" t="n">
        <v>-0.05918581849149978</v>
      </c>
      <c r="EG22" s="3" t="n">
        <v>0.940089438561921</v>
      </c>
      <c r="EH22" s="3" t="n">
        <v>-0.09019632732011143</v>
      </c>
      <c r="EI22" s="3" t="n">
        <v>0.07268099177074386</v>
      </c>
      <c r="EJ22" s="3" t="n">
        <v>0.06273387169292914</v>
      </c>
      <c r="EK22" s="3" t="n">
        <v>-0.05726193844553823</v>
      </c>
      <c r="EL22" s="3" t="n">
        <v>0.04771494616439616</v>
      </c>
      <c r="EM22">
        <f>AVERAGE(C22:EL22)</f>
        <v/>
      </c>
      <c r="EN22">
        <f>STDEV(C22:EL22)</f>
        <v/>
      </c>
      <c r="EO22">
        <f>EM22/EN22</f>
        <v/>
      </c>
    </row>
    <row r="23">
      <c r="A23" s="13" t="n">
        <v>512</v>
      </c>
      <c r="B23" s="13">
        <f>ROUND($D$10/A23,0)</f>
        <v/>
      </c>
      <c r="C23" s="3" t="n">
        <v>0.0285838949887589</v>
      </c>
      <c r="D23" s="3" t="n">
        <v>0.05194290312471067</v>
      </c>
      <c r="E23" s="3" t="n">
        <v>-0.02377309935218858</v>
      </c>
      <c r="F23" s="3" t="n">
        <v>0.143883415785784</v>
      </c>
      <c r="G23" s="3" t="n">
        <v>-0.09191358571479283</v>
      </c>
      <c r="H23" s="3" t="n">
        <v>0.2037183078789751</v>
      </c>
      <c r="I23" s="3" t="n">
        <v>0.148152028600294</v>
      </c>
      <c r="J23" s="3" t="n">
        <v>0.1120353509707598</v>
      </c>
      <c r="K23" s="3" t="n">
        <v>0.1691172162383437</v>
      </c>
      <c r="L23" s="3" t="n">
        <v>0.164212024118331</v>
      </c>
      <c r="M23" s="3" t="n">
        <v>0.1177331516783745</v>
      </c>
      <c r="N23" s="3" t="n">
        <v>0.1473430061236311</v>
      </c>
      <c r="O23" s="3" t="n">
        <v>0.2045643779730021</v>
      </c>
      <c r="P23" s="3" t="n">
        <v>0.003388919527226683</v>
      </c>
      <c r="Q23" s="3" t="n">
        <v>-0.0595680169005205</v>
      </c>
      <c r="R23" s="3" t="n">
        <v>-0.05621114331325505</v>
      </c>
      <c r="S23" s="3" t="n">
        <v>0.1137245328272621</v>
      </c>
      <c r="T23" s="3" t="n">
        <v>0.0003733692084787466</v>
      </c>
      <c r="U23" s="3" t="n">
        <v>0.0963528179199135</v>
      </c>
      <c r="V23" s="3" t="n">
        <v>0.05469246248789016</v>
      </c>
      <c r="W23" s="3" t="n">
        <v>0.2363988096329151</v>
      </c>
      <c r="X23" s="3" t="n">
        <v>0.1370714112582282</v>
      </c>
      <c r="Y23" s="3" t="n">
        <v>0.2341839640548574</v>
      </c>
      <c r="Z23" s="3" t="n">
        <v>0.1317910055789656</v>
      </c>
      <c r="AA23" s="3" t="n">
        <v>0.05490327607180828</v>
      </c>
      <c r="AB23" s="3" t="n">
        <v>0.1502415479673496</v>
      </c>
      <c r="AC23" s="3" t="n">
        <v>0.09729909520293795</v>
      </c>
      <c r="AD23" s="3" t="n">
        <v>0.08361282990890662</v>
      </c>
      <c r="AE23" s="3" t="n">
        <v>0.295041827908079</v>
      </c>
      <c r="AF23" s="3" t="n">
        <v>0.06690626008975128</v>
      </c>
      <c r="AG23" s="3" t="n">
        <v>0.0918736576463602</v>
      </c>
      <c r="AH23" s="3" t="n">
        <v>-0.08417158452318324</v>
      </c>
      <c r="AI23" s="3" t="n">
        <v>0.02322826662248195</v>
      </c>
      <c r="AJ23" s="3" t="n">
        <v>0.0481956001901289</v>
      </c>
      <c r="AK23" s="3" t="n">
        <v>0.114111099347191</v>
      </c>
      <c r="AL23" s="3" t="n">
        <v>0.1314317131925356</v>
      </c>
      <c r="AM23" s="3" t="n">
        <v>0.007769489004865255</v>
      </c>
      <c r="AN23" s="3" t="n">
        <v>0.2423146993573007</v>
      </c>
      <c r="AO23" s="3" t="n">
        <v>-0.1203806447762263</v>
      </c>
      <c r="AP23" s="3" t="n">
        <v>0.09291776651735389</v>
      </c>
      <c r="AQ23" s="3" t="n">
        <v>-0.08942499225961063</v>
      </c>
      <c r="AR23" s="3" t="n">
        <v>0.3367440438450677</v>
      </c>
      <c r="AS23" s="3" t="n">
        <v>-0.00801898260721009</v>
      </c>
      <c r="AT23" s="3" t="n">
        <v>-0.003784953253720063</v>
      </c>
      <c r="AU23" s="3" t="n">
        <v>-0.03742022683548375</v>
      </c>
      <c r="AV23" s="3" t="n">
        <v>0.0129781955799881</v>
      </c>
      <c r="AW23" s="3" t="n">
        <v>-0.05202690983840276</v>
      </c>
      <c r="AX23" s="3" t="n">
        <v>0.06983815382704406</v>
      </c>
      <c r="AY23" s="3" t="n">
        <v>0.1702339808405821</v>
      </c>
      <c r="AZ23" s="3" t="n">
        <v>-0.06375361740106021</v>
      </c>
      <c r="BA23" s="3" t="n">
        <v>0.009646780080100781</v>
      </c>
      <c r="BB23" s="3" t="n">
        <v>-0.05104948410288512</v>
      </c>
      <c r="BC23" s="3" t="n">
        <v>-0.3008282491730658</v>
      </c>
      <c r="BD23" s="3" t="n">
        <v>0.09483088134645033</v>
      </c>
      <c r="BE23" s="3" t="n">
        <v>-0.07143076239729658</v>
      </c>
      <c r="BF23" s="3" t="n">
        <v>-0.02284699060468626</v>
      </c>
      <c r="BG23" s="3" t="n">
        <v>0.07476147119675254</v>
      </c>
      <c r="BH23" s="3" t="n">
        <v>-0.2034839813552872</v>
      </c>
      <c r="BI23" s="3" t="n">
        <v>0.09325101981195477</v>
      </c>
      <c r="BJ23" s="3" t="n">
        <v>0.06327234433193839</v>
      </c>
      <c r="BK23" s="3" t="n">
        <v>0.06278178878983208</v>
      </c>
      <c r="BL23" s="3" t="n">
        <v>0.2109600313636607</v>
      </c>
      <c r="BM23" s="3" t="n">
        <v>0.02503746179171804</v>
      </c>
      <c r="BN23" s="3" t="n">
        <v>0.004708368675410369</v>
      </c>
      <c r="BO23" s="3" t="n">
        <v>-0.1928064309629456</v>
      </c>
      <c r="BP23" s="3" t="n">
        <v>-0.1432895395538484</v>
      </c>
      <c r="BQ23" s="3" t="n">
        <v>0.1042594606837233</v>
      </c>
      <c r="BR23" s="3" t="n">
        <v>-0.02439396232380051</v>
      </c>
      <c r="BS23" s="3" t="n">
        <v>-0.04920772338648421</v>
      </c>
      <c r="BT23" s="3" t="n">
        <v>0.1150526881847086</v>
      </c>
      <c r="BU23" s="3" t="n">
        <v>0.1343071221440694</v>
      </c>
      <c r="BV23" s="3" t="n">
        <v>0.2307898134418893</v>
      </c>
      <c r="BW23" s="3" t="n">
        <v>0.2151299375743504</v>
      </c>
      <c r="BX23" s="3" t="n">
        <v>-0.07980259059182374</v>
      </c>
      <c r="BY23" s="3" t="n">
        <v>0.09371126934954396</v>
      </c>
      <c r="BZ23" s="3" t="n">
        <v>-0.07233049823802995</v>
      </c>
      <c r="CA23" s="3" t="n">
        <v>0.1158479734548683</v>
      </c>
      <c r="CB23" s="3" t="n">
        <v>0.05786884060049101</v>
      </c>
      <c r="CC23" s="3" t="n">
        <v>0.2521437919027265</v>
      </c>
      <c r="CD23" s="3" t="n">
        <v>0.4582145713651903</v>
      </c>
      <c r="CE23" s="3" t="n">
        <v>-0.5600695789757166</v>
      </c>
      <c r="CF23" s="3" t="n">
        <v>0.1676143813103263</v>
      </c>
      <c r="CG23" s="3" t="n">
        <v>0.1363364165262965</v>
      </c>
      <c r="CH23" s="3" t="n">
        <v>-0.07304609793037461</v>
      </c>
      <c r="CI23" s="3" t="n">
        <v>0.005678492234838073</v>
      </c>
      <c r="CJ23" s="3" t="n">
        <v>0.248609113654285</v>
      </c>
      <c r="CK23" s="3" t="n">
        <v>0.04463689011588549</v>
      </c>
      <c r="CL23" s="3" t="n">
        <v>0.3405314333351731</v>
      </c>
      <c r="CM23" s="3" t="n">
        <v>0.05157232959100057</v>
      </c>
      <c r="CN23" s="3" t="n">
        <v>-0.002602429011749285</v>
      </c>
      <c r="CO23" s="3" t="n">
        <v>-0.6165158851544358</v>
      </c>
      <c r="CP23" s="3" t="n">
        <v>0.2320998738584003</v>
      </c>
      <c r="CQ23" s="3" t="n">
        <v>0.06679943667619553</v>
      </c>
      <c r="CR23" s="3" t="n">
        <v>0.008106041750560469</v>
      </c>
      <c r="CS23" s="3" t="n">
        <v>0.1093656839031077</v>
      </c>
      <c r="CT23" s="3" t="n">
        <v>0.04265121983941112</v>
      </c>
      <c r="CU23" s="3" t="n">
        <v>-0.1830691230946204</v>
      </c>
      <c r="CV23" s="3" t="n">
        <v>0.02712521996175139</v>
      </c>
      <c r="CW23" s="3" t="n">
        <v>0.09111127294467124</v>
      </c>
      <c r="CX23" s="3" t="n">
        <v>-0.0428523814045846</v>
      </c>
      <c r="CY23" s="3" t="n">
        <v>0.05946972500676925</v>
      </c>
      <c r="CZ23" s="3" t="n">
        <v>0.4477053402005375</v>
      </c>
      <c r="DA23" s="3" t="n">
        <v>0.007125233248490632</v>
      </c>
      <c r="DB23" s="3" t="n">
        <v>-0.001077601300906769</v>
      </c>
      <c r="DC23" s="3" t="n">
        <v>0.114152472901645</v>
      </c>
      <c r="DD23" s="3" t="n">
        <v>0.4388291009655527</v>
      </c>
      <c r="DE23" s="3" t="n">
        <v>0.009395225951644881</v>
      </c>
      <c r="DF23" s="3" t="n">
        <v>0.06194212704490535</v>
      </c>
      <c r="DG23" s="3" t="n">
        <v>-0.03568628563320835</v>
      </c>
      <c r="DH23" s="3" t="n">
        <v>-0.05541344730874245</v>
      </c>
      <c r="DI23" s="3" t="n">
        <v>-0.08689960597894603</v>
      </c>
      <c r="DJ23" s="3" t="n">
        <v>-0.01091831672803092</v>
      </c>
      <c r="DK23" s="3" t="n">
        <v>-0.2778332165588431</v>
      </c>
      <c r="DL23" s="3" t="n">
        <v>-0.06301036939746374</v>
      </c>
      <c r="DM23" s="3" t="n">
        <v>-0.1551682657697851</v>
      </c>
      <c r="DN23" s="3" t="n">
        <v>0.1759258131704527</v>
      </c>
      <c r="DO23" s="3" t="n">
        <v>0.1628656382681575</v>
      </c>
      <c r="DP23" s="3" t="n">
        <v>0.07162847369050769</v>
      </c>
      <c r="DQ23" s="3" t="n">
        <v>0.1284444401968855</v>
      </c>
      <c r="DR23" s="3" t="n">
        <v>-0.06049615708873368</v>
      </c>
      <c r="DS23" s="3" t="n">
        <v>0.2177358419514179</v>
      </c>
      <c r="DT23" s="3" t="n">
        <v>0.1570631220369408</v>
      </c>
      <c r="DU23" s="3" t="n">
        <v>0.01655987804139988</v>
      </c>
      <c r="DV23" s="3" t="n">
        <v>0.5243573557900102</v>
      </c>
      <c r="DW23" s="3" t="n">
        <v>0.006856609414432252</v>
      </c>
      <c r="DX23" s="3" t="n">
        <v>0.1046056537459035</v>
      </c>
      <c r="DY23" s="3" t="n">
        <v>0.3596309850661876</v>
      </c>
      <c r="DZ23" s="3" t="n">
        <v>0.06055537507254137</v>
      </c>
      <c r="EA23" s="3" t="n">
        <v>0.1093313752764352</v>
      </c>
      <c r="EB23" s="3" t="n">
        <v>-0.09378338015190819</v>
      </c>
      <c r="EC23" s="3" t="n">
        <v>0.01684593676457162</v>
      </c>
      <c r="ED23" s="3" t="n">
        <v>0.1162723673556409</v>
      </c>
      <c r="EE23" s="3" t="n">
        <v>0.06976097028240086</v>
      </c>
      <c r="EF23" s="3" t="n">
        <v>-0.02904285282689112</v>
      </c>
      <c r="EG23" s="3" t="n">
        <v>1.286951019251068</v>
      </c>
      <c r="EH23" s="3" t="n">
        <v>-0.1819509506618306</v>
      </c>
      <c r="EI23" s="3" t="n">
        <v>0.04859053873174621</v>
      </c>
      <c r="EJ23" s="3" t="n">
        <v>-0.06945115124486839</v>
      </c>
      <c r="EK23" s="3" t="n">
        <v>-0.1953126663333604</v>
      </c>
      <c r="EL23" s="3" t="n">
        <v>0.03786747683746838</v>
      </c>
      <c r="EM23">
        <f>AVERAGE(C23:EL23)</f>
        <v/>
      </c>
      <c r="EN23">
        <f>STDEV(C23:EL23)</f>
        <v/>
      </c>
      <c r="EO23">
        <f>EM23/EN23</f>
        <v/>
      </c>
    </row>
    <row r="24">
      <c r="A24" s="13" t="n">
        <v>1051</v>
      </c>
      <c r="B24" s="13">
        <f>ROUND($D$10/A24,0)</f>
        <v/>
      </c>
      <c r="C24" s="3" t="n">
        <v>0.2113247198243074</v>
      </c>
      <c r="D24" s="3" t="n">
        <v>0.1161948322536938</v>
      </c>
      <c r="E24" s="3" t="n">
        <v>-0.07140033016929691</v>
      </c>
      <c r="F24" s="3" t="n">
        <v>0.2271595466367488</v>
      </c>
      <c r="G24" s="3" t="n">
        <v>-0.5688573411234434</v>
      </c>
      <c r="H24" s="3" t="n">
        <v>0.2466867284905698</v>
      </c>
      <c r="I24" s="3" t="n">
        <v>-0.002111933203143501</v>
      </c>
      <c r="J24" s="3" t="n">
        <v>-0.05430215607694783</v>
      </c>
      <c r="K24" s="3" t="n">
        <v>0.35965557207687</v>
      </c>
      <c r="L24" s="3" t="n">
        <v>0.02829843612242763</v>
      </c>
      <c r="M24" s="3" t="n">
        <v>0.151896278456262</v>
      </c>
      <c r="N24" s="3" t="n">
        <v>0.06057811992147451</v>
      </c>
      <c r="O24" s="3" t="n">
        <v>0.235309193405423</v>
      </c>
      <c r="P24" s="3" t="n">
        <v>0.1042484144089995</v>
      </c>
      <c r="Q24" s="3" t="n">
        <v>-0.06096496164670627</v>
      </c>
      <c r="R24" s="3" t="n">
        <v>-0.2456973707792597</v>
      </c>
      <c r="S24" s="3" t="n">
        <v>0.3525144610601644</v>
      </c>
      <c r="T24" s="3" t="n">
        <v>-0.1236910440917892</v>
      </c>
      <c r="U24" s="3" t="n">
        <v>0.02034173508586648</v>
      </c>
      <c r="V24" s="3" t="n">
        <v>-0.1598262922293877</v>
      </c>
      <c r="W24" s="3" t="n">
        <v>0.4622582469516908</v>
      </c>
      <c r="X24" s="3" t="n">
        <v>0.1180224325060039</v>
      </c>
      <c r="Y24" s="3" t="n">
        <v>-0.009477014926417088</v>
      </c>
      <c r="Z24" s="3" t="n">
        <v>0.1113961829616042</v>
      </c>
      <c r="AA24" s="3" t="n">
        <v>-0.01354776823757727</v>
      </c>
      <c r="AB24" s="3" t="n">
        <v>0.1953396226752438</v>
      </c>
      <c r="AC24" s="3" t="n">
        <v>-0.0004276881660655318</v>
      </c>
      <c r="AD24" s="3" t="n">
        <v>0.11245167598329</v>
      </c>
      <c r="AE24" s="3" t="n">
        <v>-0.05162007025879212</v>
      </c>
      <c r="AF24" s="3" t="n">
        <v>0.0225220100347905</v>
      </c>
      <c r="AG24" s="3" t="n">
        <v>0.1331342505435987</v>
      </c>
      <c r="AH24" s="3" t="n">
        <v>-0.05669736006778959</v>
      </c>
      <c r="AI24" s="3" t="n">
        <v>-0.008808331098427297</v>
      </c>
      <c r="AJ24" s="3" t="n">
        <v>-0.08089124399937539</v>
      </c>
      <c r="AK24" s="3" t="n">
        <v>0.0848839530681923</v>
      </c>
      <c r="AL24" s="3" t="n">
        <v>-0.05467693549063538</v>
      </c>
      <c r="AM24" s="3" t="n">
        <v>-0.0189192814205267</v>
      </c>
      <c r="AN24" s="3" t="n">
        <v>0.2211894651454313</v>
      </c>
      <c r="AO24" s="3" t="n">
        <v>-0.06609011182899002</v>
      </c>
      <c r="AP24" s="3" t="n">
        <v>0.0228517154890964</v>
      </c>
      <c r="AQ24" s="3" t="n">
        <v>-0.04707697283424567</v>
      </c>
      <c r="AR24" s="3" t="n">
        <v>0.009639256607606984</v>
      </c>
      <c r="AS24" s="3" t="n">
        <v>-0.02795607726659007</v>
      </c>
      <c r="AT24" s="3" t="n">
        <v>0.03045920748470865</v>
      </c>
      <c r="AU24" s="3" t="n">
        <v>0.04409531986522433</v>
      </c>
      <c r="AV24" s="3" t="n">
        <v>0.08715195218689589</v>
      </c>
      <c r="AW24" s="3" t="n">
        <v>0.004987541511039188</v>
      </c>
      <c r="AX24" s="3" t="n">
        <v>0.02830618658842452</v>
      </c>
      <c r="AY24" s="3" t="n">
        <v>0.1681272938848894</v>
      </c>
      <c r="AZ24" s="3" t="n">
        <v>0.03786707359966519</v>
      </c>
      <c r="BA24" s="3" t="n">
        <v>-0.05379473208463315</v>
      </c>
      <c r="BB24" s="3" t="n">
        <v>-0.0861590333953348</v>
      </c>
      <c r="BC24" s="3" t="n">
        <v>-0.8032160130443774</v>
      </c>
      <c r="BD24" s="3" t="n">
        <v>0.1855952192464352</v>
      </c>
      <c r="BE24" s="3" t="n">
        <v>-0.04606435403168687</v>
      </c>
      <c r="BF24" s="3" t="n">
        <v>0.08765133605409231</v>
      </c>
      <c r="BG24" s="3" t="n">
        <v>0.02683596586631092</v>
      </c>
      <c r="BH24" s="3" t="n">
        <v>-0.386255336913535</v>
      </c>
      <c r="BI24" s="3" t="n">
        <v>0.2236291060700471</v>
      </c>
      <c r="BJ24" s="3" t="n">
        <v>-0.003348315754884583</v>
      </c>
      <c r="BK24" s="3" t="n">
        <v>-0.004023546894286228</v>
      </c>
      <c r="BL24" s="3" t="n">
        <v>0.3171642939247166</v>
      </c>
      <c r="BM24" s="3" t="n">
        <v>-0.01147301911773715</v>
      </c>
      <c r="BN24" s="3" t="n">
        <v>0.006849341845574783</v>
      </c>
      <c r="BO24" s="3" t="n">
        <v>-0.1611096910956419</v>
      </c>
      <c r="BP24" s="3" t="n">
        <v>-0.1233511811293219</v>
      </c>
      <c r="BQ24" s="3" t="n">
        <v>-0.06416963333011504</v>
      </c>
      <c r="BR24" s="3" t="n">
        <v>-0.04235622330341771</v>
      </c>
      <c r="BS24" s="3" t="n">
        <v>-0.001284717484456964</v>
      </c>
      <c r="BT24" s="3" t="n">
        <v>0.1162706960541873</v>
      </c>
      <c r="BU24" s="3" t="n">
        <v>0.3100482483371828</v>
      </c>
      <c r="BV24" s="3" t="n">
        <v>0.1077284538879829</v>
      </c>
      <c r="BW24" s="3" t="n">
        <v>0.2082152975037936</v>
      </c>
      <c r="BX24" s="3" t="n">
        <v>-0.06743472138399036</v>
      </c>
      <c r="BY24" s="3" t="n">
        <v>-0.1185260960376882</v>
      </c>
      <c r="BZ24" s="3" t="n">
        <v>-0.2025807870618256</v>
      </c>
      <c r="CA24" s="3" t="n">
        <v>0.1087530887469883</v>
      </c>
      <c r="CB24" s="3" t="n">
        <v>0.05747711862640509</v>
      </c>
      <c r="CC24" s="3" t="n">
        <v>0.009413218499623635</v>
      </c>
      <c r="CD24" s="3" t="n">
        <v>0.2390465992873752</v>
      </c>
      <c r="CE24" s="3" t="n">
        <v>-0.07367590197197502</v>
      </c>
      <c r="CF24" s="3" t="n">
        <v>0.1168153946325929</v>
      </c>
      <c r="CG24" s="3" t="n">
        <v>0.1933713929805395</v>
      </c>
      <c r="CH24" s="3" t="n">
        <v>-0.1012749277793105</v>
      </c>
      <c r="CI24" s="3" t="n">
        <v>0.1211775893413336</v>
      </c>
      <c r="CJ24" s="3" t="n">
        <v>0.4087583806270759</v>
      </c>
      <c r="CK24" s="3" t="n">
        <v>-0.3051391586453837</v>
      </c>
      <c r="CL24" s="3" t="n">
        <v>0.6562013106997401</v>
      </c>
      <c r="CM24" s="3" t="n">
        <v>0.2349595398646279</v>
      </c>
      <c r="CN24" s="3" t="n">
        <v>0.09054865697518331</v>
      </c>
      <c r="CO24" s="3" t="n">
        <v>-0.1918384139138631</v>
      </c>
      <c r="CP24" s="3" t="n">
        <v>0.1292940326199234</v>
      </c>
      <c r="CQ24" s="3" t="n">
        <v>0.2666535362152996</v>
      </c>
      <c r="CR24" s="3" t="n">
        <v>0.2325780207748085</v>
      </c>
      <c r="CS24" s="3" t="n">
        <v>0.230678162570464</v>
      </c>
      <c r="CT24" s="3" t="n">
        <v>0.09039636440371035</v>
      </c>
      <c r="CU24" s="3" t="n">
        <v>-0.07087913637728423</v>
      </c>
      <c r="CV24" s="3" t="n">
        <v>0.1138047624404894</v>
      </c>
      <c r="CW24" s="3" t="n">
        <v>0.1555370483565127</v>
      </c>
      <c r="CX24" s="3" t="n">
        <v>0.1469364190925705</v>
      </c>
      <c r="CY24" s="3" t="n">
        <v>-0.03851613106223128</v>
      </c>
      <c r="CZ24" s="3" t="n">
        <v>0.3463132141571906</v>
      </c>
      <c r="DA24" s="3" t="n">
        <v>-0.02451120416275485</v>
      </c>
      <c r="DB24" s="3" t="n">
        <v>-0.1995987691080381</v>
      </c>
      <c r="DC24" s="3" t="n">
        <v>0.1944535982912179</v>
      </c>
      <c r="DD24" s="3" t="n">
        <v>0.153381380739106</v>
      </c>
      <c r="DE24" s="3" t="n">
        <v>0.176062757509535</v>
      </c>
      <c r="DF24" s="3" t="n">
        <v>-0.1046649760205613</v>
      </c>
      <c r="DG24" s="3" t="n">
        <v>-0.05910583412434409</v>
      </c>
      <c r="DH24" s="3" t="n">
        <v>-0.09936698049993925</v>
      </c>
      <c r="DI24" s="3" t="n">
        <v>-0.1418754589382695</v>
      </c>
      <c r="DJ24" s="3" t="n">
        <v>-0.1324886105092397</v>
      </c>
      <c r="DK24" s="3" t="n">
        <v>-0.3395092106304438</v>
      </c>
      <c r="DL24" s="3" t="n">
        <v>-0.2131044262858812</v>
      </c>
      <c r="DM24" s="3" t="n">
        <v>-0.08791041507949382</v>
      </c>
      <c r="DN24" s="3" t="n">
        <v>0.1369604546370787</v>
      </c>
      <c r="DO24" s="3" t="n">
        <v>0.1527272130402069</v>
      </c>
      <c r="DP24" s="3" t="n">
        <v>-0.1261097641133086</v>
      </c>
      <c r="DQ24" s="3" t="n">
        <v>0.1298224323347419</v>
      </c>
      <c r="DR24" s="3" t="n">
        <v>-0.04663731080833081</v>
      </c>
      <c r="DS24" s="3" t="n">
        <v>0.5198286798576092</v>
      </c>
      <c r="DT24" s="3" t="n">
        <v>0.1045786638516135</v>
      </c>
      <c r="DU24" s="3" t="n">
        <v>-0.08309320170095262</v>
      </c>
      <c r="DV24" s="3" t="n">
        <v>0.6543961935649555</v>
      </c>
      <c r="DW24" s="3" t="n">
        <v>0.2422766962946151</v>
      </c>
      <c r="DX24" s="3" t="n">
        <v>-0.1061819774736213</v>
      </c>
      <c r="DY24" s="3" t="n">
        <v>0.3438042867982085</v>
      </c>
      <c r="DZ24" s="3" t="n">
        <v>0.05046918240311665</v>
      </c>
      <c r="EA24" s="3" t="n">
        <v>0.07735092222733579</v>
      </c>
      <c r="EB24" s="3" t="n">
        <v>-0.02958217636529403</v>
      </c>
      <c r="EC24" s="3" t="n">
        <v>0.01368417489400252</v>
      </c>
      <c r="ED24" s="3" t="n">
        <v>0.1147491015026024</v>
      </c>
      <c r="EE24" s="3" t="n">
        <v>0.1134294391912188</v>
      </c>
      <c r="EF24" s="3" t="n">
        <v>0.06727667704396836</v>
      </c>
      <c r="EG24" s="3" t="n">
        <v>2.315361280368685</v>
      </c>
      <c r="EH24" s="3" t="n">
        <v>-0.3842303169441489</v>
      </c>
      <c r="EI24" s="3" t="n">
        <v>-0.09155383561359903</v>
      </c>
      <c r="EJ24" s="3" t="n">
        <v>-0.08594173588129782</v>
      </c>
      <c r="EK24" s="3" t="n">
        <v>-0.03923355085357258</v>
      </c>
      <c r="EL24" s="3" t="n">
        <v>0.06507702940410813</v>
      </c>
      <c r="EM24">
        <f>AVERAGE(C24:EL24)</f>
        <v/>
      </c>
      <c r="EN24">
        <f>STDEV(C24:EL24)</f>
        <v/>
      </c>
      <c r="EO24">
        <f>EM24/EN24</f>
        <v/>
      </c>
    </row>
    <row r="25">
      <c r="A25" s="13" t="inlineStr">
        <is>
          <t>大盤</t>
        </is>
      </c>
      <c r="B25" s="13" t="inlineStr">
        <is>
          <t>TWII</t>
        </is>
      </c>
      <c r="C25" s="6" t="n">
        <v>-0.01744677053939034</v>
      </c>
      <c r="D25" s="6" t="n">
        <v>0.02070106053181563</v>
      </c>
      <c r="E25" s="6" t="n">
        <v>0.02398212925476671</v>
      </c>
      <c r="F25" s="6" t="n">
        <v>-0.006557578972823077</v>
      </c>
      <c r="G25" s="6" t="n">
        <v>0.03184512980051969</v>
      </c>
      <c r="H25" s="6" t="n">
        <v>0.03434853273699052</v>
      </c>
      <c r="I25" s="6" t="n">
        <v>-0.008254932781325237</v>
      </c>
      <c r="J25" s="6" t="n">
        <v>0.01284352439405276</v>
      </c>
      <c r="K25" s="6" t="n">
        <v>-0.05101852462679082</v>
      </c>
      <c r="L25" s="6" t="n">
        <v>0.0008739427410365883</v>
      </c>
      <c r="M25" s="6" t="n">
        <v>0.02338957550549592</v>
      </c>
      <c r="N25" s="6" t="n">
        <v>0.01298897220033285</v>
      </c>
      <c r="O25" s="6" t="n">
        <v>0.005854588725634881</v>
      </c>
      <c r="P25" s="6" t="n">
        <v>0.02741320657179056</v>
      </c>
      <c r="Q25" s="6" t="n">
        <v>-0.003712936117692854</v>
      </c>
      <c r="R25" s="6" t="n">
        <v>0.02407661404782333</v>
      </c>
      <c r="S25" s="6" t="n">
        <v>-0.01219002529903996</v>
      </c>
      <c r="T25" s="6" t="n">
        <v>-0.03974957815958959</v>
      </c>
      <c r="U25" s="6" t="n">
        <v>-0.07315544983164955</v>
      </c>
      <c r="V25" s="6" t="n">
        <v>-0.05826022991011466</v>
      </c>
      <c r="W25" s="6" t="n">
        <v>0.0007727975655083722</v>
      </c>
      <c r="X25" s="6" t="n">
        <v>0.04459152113521897</v>
      </c>
      <c r="Y25" s="6" t="n">
        <v>-0.02769968005021309</v>
      </c>
      <c r="Z25" s="6" t="n">
        <v>0.002095005949743646</v>
      </c>
      <c r="AA25" s="6" t="n">
        <v>-0.02340055099256411</v>
      </c>
      <c r="AB25" s="6" t="n">
        <v>0.03212937109732219</v>
      </c>
      <c r="AC25" s="6" t="n">
        <v>0.03890327309406643</v>
      </c>
      <c r="AD25" s="6" t="n">
        <v>-0.04286538217110427</v>
      </c>
      <c r="AE25" s="6" t="n">
        <v>0.01864719455015216</v>
      </c>
      <c r="AF25" s="6" t="n">
        <v>0.01522976832252895</v>
      </c>
      <c r="AG25" s="6" t="n">
        <v>0.03601660377889242</v>
      </c>
      <c r="AH25" s="6" t="n">
        <v>0.00935461138531617</v>
      </c>
      <c r="AI25" s="6" t="n">
        <v>0.01074825133683814</v>
      </c>
      <c r="AJ25" s="6" t="n">
        <v>0.01335775405308097</v>
      </c>
      <c r="AK25" s="6" t="n">
        <v>-0.005332747329095392</v>
      </c>
      <c r="AL25" s="6" t="n">
        <v>0.001383135807261675</v>
      </c>
      <c r="AM25" s="6" t="n">
        <v>0.02079592842007446</v>
      </c>
      <c r="AN25" s="6" t="n">
        <v>0.03151770222039064</v>
      </c>
      <c r="AO25" s="6" t="n">
        <v>0.006241716533329442</v>
      </c>
      <c r="AP25" s="6" t="n">
        <v>0.00614526165357139</v>
      </c>
      <c r="AQ25" s="6" t="n">
        <v>0.01694635767669651</v>
      </c>
      <c r="AR25" s="6" t="n">
        <v>0.03468283045430823</v>
      </c>
      <c r="AS25" s="6" t="n">
        <v>0.003098588617196968</v>
      </c>
      <c r="AT25" s="6" t="n">
        <v>0.01508134714348611</v>
      </c>
      <c r="AU25" s="6" t="n">
        <v>-0.01925120922986399</v>
      </c>
      <c r="AV25" s="6" t="n">
        <v>0.03871151338763144</v>
      </c>
      <c r="AW25" s="6" t="n">
        <v>-0.0218569511357366</v>
      </c>
      <c r="AX25" s="6" t="n">
        <v>0.00777430070978968</v>
      </c>
      <c r="AY25" s="6" t="n">
        <v>0.04239724669532594</v>
      </c>
      <c r="AZ25" s="6" t="n">
        <v>-0.02630897486115975</v>
      </c>
      <c r="BA25" s="6" t="n">
        <v>0.009571749308716232</v>
      </c>
      <c r="BB25" s="6" t="n">
        <v>-0.02424974126627483</v>
      </c>
      <c r="BC25" s="6" t="n">
        <v>0.02016337414391582</v>
      </c>
      <c r="BD25" s="6" t="n">
        <v>-0.003504998782116024</v>
      </c>
      <c r="BE25" s="6" t="n">
        <v>0.02015193509854227</v>
      </c>
      <c r="BF25" s="6" t="n">
        <v>0.0005813362307702713</v>
      </c>
      <c r="BG25" s="6" t="n">
        <v>-0.005219700953252604</v>
      </c>
      <c r="BH25" s="6" t="n">
        <v>-0.11587176140213</v>
      </c>
      <c r="BI25" s="6" t="n">
        <v>0.008725225692437354</v>
      </c>
      <c r="BJ25" s="6" t="n">
        <v>-0.01637726097782215</v>
      </c>
      <c r="BK25" s="6" t="n">
        <v>0.02084037160026042</v>
      </c>
      <c r="BL25" s="6" t="n">
        <v>0.04497587210211471</v>
      </c>
      <c r="BM25" s="6" t="n">
        <v>0.02395430608186387</v>
      </c>
      <c r="BN25" s="6" t="n">
        <v>0.0302391013914426</v>
      </c>
      <c r="BO25" s="6" t="n">
        <v>-0.04372588759108751</v>
      </c>
      <c r="BP25" s="6" t="n">
        <v>0.02188946956819862</v>
      </c>
      <c r="BQ25" s="6" t="n">
        <v>0.008627430263508403</v>
      </c>
      <c r="BR25" s="6" t="n">
        <v>-0.01919295399465878</v>
      </c>
      <c r="BS25" s="6" t="n">
        <v>0.01973512988813305</v>
      </c>
      <c r="BT25" s="6" t="n">
        <v>0.04769433748369944</v>
      </c>
      <c r="BU25" s="6" t="n">
        <v>0.01145481680658339</v>
      </c>
      <c r="BV25" s="6" t="n">
        <v>0.04322862073521319</v>
      </c>
      <c r="BW25" s="6" t="n">
        <v>-0.04274743043692279</v>
      </c>
      <c r="BX25" s="6" t="n">
        <v>-0.01781129242779457</v>
      </c>
      <c r="BY25" s="6" t="n">
        <v>-0.1511530968690756</v>
      </c>
      <c r="BZ25" s="6" t="n">
        <v>0.1242240036195753</v>
      </c>
      <c r="CA25" s="6" t="n">
        <v>-0.004557253844529643</v>
      </c>
      <c r="CB25" s="6" t="n">
        <v>0.06021124020491118</v>
      </c>
      <c r="CC25" s="6" t="n">
        <v>0.08599203348250228</v>
      </c>
      <c r="CD25" s="6" t="n">
        <v>-0.005808479582366063</v>
      </c>
      <c r="CE25" s="6" t="n">
        <v>-0.006041346988968074</v>
      </c>
      <c r="CF25" s="6" t="n">
        <v>0.002452324372252074</v>
      </c>
      <c r="CG25" s="6" t="n">
        <v>0.08963625193702289</v>
      </c>
      <c r="CH25" s="6" t="n">
        <v>0.07099273252675789</v>
      </c>
      <c r="CI25" s="6" t="n">
        <v>0.02717064290178345</v>
      </c>
      <c r="CJ25" s="6" t="n">
        <v>0.05246842842533003</v>
      </c>
      <c r="CK25" s="6" t="n">
        <v>0.02948066094304951</v>
      </c>
      <c r="CL25" s="6" t="n">
        <v>0.06682508106020128</v>
      </c>
      <c r="CM25" s="6" t="n">
        <v>-0.02877222901981697</v>
      </c>
      <c r="CN25" s="6" t="n">
        <v>0.03946251590163785</v>
      </c>
      <c r="CO25" s="6" t="n">
        <v>-0.02903108697735991</v>
      </c>
      <c r="CP25" s="6" t="n">
        <v>0.0139838825194679</v>
      </c>
      <c r="CQ25" s="6" t="n">
        <v>-0.03227696495933383</v>
      </c>
      <c r="CR25" s="6" t="n">
        <v>0.003103576612894023</v>
      </c>
      <c r="CS25" s="6" t="n">
        <v>0.02559185576708317</v>
      </c>
      <c r="CT25" s="6" t="n">
        <v>0.0443918862871933</v>
      </c>
      <c r="CU25" s="6" t="n">
        <v>-0.03033895854957744</v>
      </c>
      <c r="CV25" s="6" t="n">
        <v>-0.001257976454571707</v>
      </c>
      <c r="CW25" s="6" t="n">
        <v>0.002336356455857952</v>
      </c>
      <c r="CX25" s="6" t="n">
        <v>-0.06426414492590607</v>
      </c>
      <c r="CY25" s="6" t="n">
        <v>0.01290977945899244</v>
      </c>
      <c r="CZ25" s="6" t="n">
        <v>-0.1254770946708587</v>
      </c>
      <c r="DA25" s="6" t="n">
        <v>0.01169068293979257</v>
      </c>
      <c r="DB25" s="6" t="n">
        <v>0.006337843700741751</v>
      </c>
      <c r="DC25" s="6" t="n">
        <v>-0.1173053564693855</v>
      </c>
      <c r="DD25" s="6" t="n">
        <v>-0.03601087204944661</v>
      </c>
      <c r="DE25" s="6" t="n">
        <v>0.1389113040722679</v>
      </c>
      <c r="DF25" s="6" t="n">
        <v>-0.05114350622610574</v>
      </c>
      <c r="DG25" s="6" t="n">
        <v>0.07673144718196906</v>
      </c>
      <c r="DH25" s="6" t="n">
        <v>0.01550878219700816</v>
      </c>
      <c r="DI25" s="6" t="n">
        <v>0.02322377367475583</v>
      </c>
      <c r="DJ25" s="6" t="n">
        <v>-0.01837287636122789</v>
      </c>
      <c r="DK25" s="6" t="n">
        <v>0.06219901408509943</v>
      </c>
      <c r="DL25" s="6" t="n">
        <v>0.02009830448695719</v>
      </c>
      <c r="DM25" s="6" t="n">
        <v>0.01349893974806809</v>
      </c>
      <c r="DN25" s="6" t="n">
        <v>-0.03025221272842088</v>
      </c>
      <c r="DO25" s="6" t="n">
        <v>-0.01702283570805384</v>
      </c>
      <c r="DP25" s="6" t="n">
        <v>-0.02178852327246198</v>
      </c>
      <c r="DQ25" s="6" t="n">
        <v>0.08574562458513722</v>
      </c>
      <c r="DR25" s="6" t="n">
        <v>0.02810674360497375</v>
      </c>
      <c r="DS25" s="6" t="n">
        <v>-0.00230315980735945</v>
      </c>
      <c r="DT25" s="6" t="n">
        <v>0.0584711981314875</v>
      </c>
      <c r="DU25" s="6" t="n">
        <v>0.06765894904864765</v>
      </c>
      <c r="DV25" s="6" t="n">
        <v>0.005020770640432264</v>
      </c>
      <c r="DW25" s="6" t="n">
        <v>0.03741618367520706</v>
      </c>
      <c r="DX25" s="6" t="n">
        <v>0.08411100374604212</v>
      </c>
      <c r="DY25" s="6" t="n">
        <v>-0.03683239854401284</v>
      </c>
      <c r="DZ25" s="6" t="n">
        <v>0.003091702816936994</v>
      </c>
      <c r="EA25" s="6" t="n">
        <v>-0.001957628214294549</v>
      </c>
      <c r="EB25" s="6" t="n">
        <v>0.02645910360351974</v>
      </c>
      <c r="EC25" s="6" t="n">
        <v>-0.02475253876069027</v>
      </c>
      <c r="ED25" s="6" t="n">
        <v>0.03411549098255994</v>
      </c>
      <c r="EE25" s="6" t="n">
        <v>0.02106197398903298</v>
      </c>
      <c r="EF25" s="6" t="n">
        <v>-0.02027739270600592</v>
      </c>
      <c r="EG25" s="6" t="n">
        <v>-0.107868107860878</v>
      </c>
      <c r="EH25" s="6" t="n">
        <v>-0.02252035211407068</v>
      </c>
      <c r="EI25" s="6" t="n">
        <v>0.05351000707077281</v>
      </c>
      <c r="EJ25" s="6" t="n">
        <v>0.04168726583756812</v>
      </c>
      <c r="EK25" s="6" t="n">
        <v>0.05619561411441117</v>
      </c>
      <c r="EL25" s="6" t="n">
        <v>0.0289113192851087</v>
      </c>
      <c r="EM25" s="8">
        <f>AVERAGE(C25:EL25)</f>
        <v/>
      </c>
      <c r="EN25" s="8">
        <f>STDEV(C25:EL25)</f>
        <v/>
      </c>
      <c r="EO25" s="8">
        <f>EM25/EN25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conditionalFormatting sqref="EM12:EM24">
    <cfRule type="expression" priority="3" dxfId="0">
      <formula>EM12&gt;$EM$25</formula>
    </cfRule>
  </conditionalFormatting>
  <conditionalFormatting sqref="EN12:EN24">
    <cfRule type="expression" priority="2" dxfId="0">
      <formula>EN12&lt;$EN$25</formula>
    </cfRule>
  </conditionalFormatting>
  <conditionalFormatting sqref="EO12:EO24">
    <cfRule type="expression" priority="1" dxfId="0">
      <formula>EO12&gt;$EO$25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N163"/>
  <sheetViews>
    <sheetView tabSelected="1" topLeftCell="ED10" zoomScale="130" zoomScaleNormal="130" workbookViewId="0">
      <selection activeCell="EP19" sqref="EP19"/>
    </sheetView>
  </sheetViews>
  <sheetFormatPr baseColWidth="8" defaultRowHeight="14.5"/>
  <cols>
    <col width="10.19921875" bestFit="1" customWidth="1" min="2" max="2"/>
    <col width="9.5" bestFit="1" customWidth="1" min="143" max="143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  <c r="EM2" s="7" t="inlineStr">
        <is>
          <t>2025/08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  <c r="EM3" s="2" t="e">
        <v>#NUM!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  <c r="EM4" s="2" t="e">
        <v>#NUM!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  <c r="EM5" s="2" t="e">
        <v>#NUM!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  <c r="EM6" s="2">
        <f t="array" ref="EM6">MATCH(MAX(ABS(EM3:EM5)), ABS(EM3:EM5),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  <c r="EM7" s="2">
        <f>IF(EM6=1,"bm",IF(EM6=2,"size",IF(EM6=3,"mom")))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  <c r="EM8" s="2">
        <f>IF(EM6=1,EM3,IF(EM6=2,EM4,IF(EM6=3,EM5)))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  <c r="EM11" s="7" t="inlineStr">
        <is>
          <t>sum</t>
        </is>
      </c>
      <c r="EN11" s="7" t="inlineStr">
        <is>
          <t>勝率</t>
        </is>
      </c>
    </row>
    <row r="12">
      <c r="A12" s="13" t="n">
        <v>10</v>
      </c>
      <c r="B12" s="13">
        <f>ROUND($D$10/A12,0)</f>
        <v/>
      </c>
      <c r="C12" s="11">
        <f>IF(真實IC!C12&gt;真實IC!C$25,1,0)</f>
        <v/>
      </c>
      <c r="D12" s="11">
        <f>IF(真實IC!D12&gt;真實IC!D$25,1,0)</f>
        <v/>
      </c>
      <c r="E12" s="11">
        <f>IF(真實IC!E12&gt;真實IC!E$25,1,0)</f>
        <v/>
      </c>
      <c r="F12" s="11">
        <f>IF(真實IC!F12&gt;真實IC!F$25,1,0)</f>
        <v/>
      </c>
      <c r="G12" s="11">
        <f>IF(真實IC!G12&gt;真實IC!G$25,1,0)</f>
        <v/>
      </c>
      <c r="H12" s="11">
        <f>IF(真實IC!H12&gt;真實IC!H$25,1,0)</f>
        <v/>
      </c>
      <c r="I12" s="11">
        <f>IF(真實IC!I12&gt;真實IC!I$25,1,0)</f>
        <v/>
      </c>
      <c r="J12" s="11">
        <f>IF(真實IC!J12&gt;真實IC!J$25,1,0)</f>
        <v/>
      </c>
      <c r="K12" s="11">
        <f>IF(真實IC!K12&gt;真實IC!K$25,1,0)</f>
        <v/>
      </c>
      <c r="L12" s="11">
        <f>IF(真實IC!L12&gt;真實IC!L$25,1,0)</f>
        <v/>
      </c>
      <c r="M12" s="11">
        <f>IF(真實IC!M12&gt;真實IC!M$25,1,0)</f>
        <v/>
      </c>
      <c r="N12" s="11">
        <f>IF(真實IC!N12&gt;真實IC!N$25,1,0)</f>
        <v/>
      </c>
      <c r="O12" s="11">
        <f>IF(真實IC!O12&gt;真實IC!O$25,1,0)</f>
        <v/>
      </c>
      <c r="P12" s="11">
        <f>IF(真實IC!P12&gt;真實IC!P$25,1,0)</f>
        <v/>
      </c>
      <c r="Q12" s="11">
        <f>IF(真實IC!Q12&gt;真實IC!Q$25,1,0)</f>
        <v/>
      </c>
      <c r="R12" s="11">
        <f>IF(真實IC!R12&gt;真實IC!R$25,1,0)</f>
        <v/>
      </c>
      <c r="S12" s="11">
        <f>IF(真實IC!S12&gt;真實IC!S$25,1,0)</f>
        <v/>
      </c>
      <c r="T12" s="11">
        <f>IF(真實IC!T12&gt;真實IC!T$25,1,0)</f>
        <v/>
      </c>
      <c r="U12" s="11">
        <f>IF(真實IC!U12&gt;真實IC!U$25,1,0)</f>
        <v/>
      </c>
      <c r="V12" s="11">
        <f>IF(真實IC!V12&gt;真實IC!V$25,1,0)</f>
        <v/>
      </c>
      <c r="W12" s="11">
        <f>IF(真實IC!W12&gt;真實IC!W$25,1,0)</f>
        <v/>
      </c>
      <c r="X12" s="11">
        <f>IF(真實IC!X12&gt;真實IC!X$25,1,0)</f>
        <v/>
      </c>
      <c r="Y12" s="11">
        <f>IF(真實IC!Y12&gt;真實IC!Y$25,1,0)</f>
        <v/>
      </c>
      <c r="Z12" s="11">
        <f>IF(真實IC!Z12&gt;真實IC!Z$25,1,0)</f>
        <v/>
      </c>
      <c r="AA12" s="11">
        <f>IF(真實IC!AA12&gt;真實IC!AA$25,1,0)</f>
        <v/>
      </c>
      <c r="AB12" s="11">
        <f>IF(真實IC!AB12&gt;真實IC!AB$25,1,0)</f>
        <v/>
      </c>
      <c r="AC12" s="11">
        <f>IF(真實IC!AC12&gt;真實IC!AC$25,1,0)</f>
        <v/>
      </c>
      <c r="AD12" s="11">
        <f>IF(真實IC!AD12&gt;真實IC!AD$25,1,0)</f>
        <v/>
      </c>
      <c r="AE12" s="11">
        <f>IF(真實IC!AE12&gt;真實IC!AE$25,1,0)</f>
        <v/>
      </c>
      <c r="AF12" s="11">
        <f>IF(真實IC!AF12&gt;真實IC!AF$25,1,0)</f>
        <v/>
      </c>
      <c r="AG12" s="11">
        <f>IF(真實IC!AG12&gt;真實IC!AG$25,1,0)</f>
        <v/>
      </c>
      <c r="AH12" s="11">
        <f>IF(真實IC!AH12&gt;真實IC!AH$25,1,0)</f>
        <v/>
      </c>
      <c r="AI12" s="11">
        <f>IF(真實IC!AI12&gt;真實IC!AI$25,1,0)</f>
        <v/>
      </c>
      <c r="AJ12" s="11">
        <f>IF(真實IC!AJ12&gt;真實IC!AJ$25,1,0)</f>
        <v/>
      </c>
      <c r="AK12" s="11">
        <f>IF(真實IC!AK12&gt;真實IC!AK$25,1,0)</f>
        <v/>
      </c>
      <c r="AL12" s="11">
        <f>IF(真實IC!AL12&gt;真實IC!AL$25,1,0)</f>
        <v/>
      </c>
      <c r="AM12" s="11">
        <f>IF(真實IC!AM12&gt;真實IC!AM$25,1,0)</f>
        <v/>
      </c>
      <c r="AN12" s="11">
        <f>IF(真實IC!AN12&gt;真實IC!AN$25,1,0)</f>
        <v/>
      </c>
      <c r="AO12" s="11">
        <f>IF(真實IC!AO12&gt;真實IC!AO$25,1,0)</f>
        <v/>
      </c>
      <c r="AP12" s="11">
        <f>IF(真實IC!AP12&gt;真實IC!AP$25,1,0)</f>
        <v/>
      </c>
      <c r="AQ12" s="11">
        <f>IF(真實IC!AQ12&gt;真實IC!AQ$25,1,0)</f>
        <v/>
      </c>
      <c r="AR12" s="11">
        <f>IF(真實IC!AR12&gt;真實IC!AR$25,1,0)</f>
        <v/>
      </c>
      <c r="AS12" s="11">
        <f>IF(真實IC!AS12&gt;真實IC!AS$25,1,0)</f>
        <v/>
      </c>
      <c r="AT12" s="11">
        <f>IF(真實IC!AT12&gt;真實IC!AT$25,1,0)</f>
        <v/>
      </c>
      <c r="AU12" s="11">
        <f>IF(真實IC!AU12&gt;真實IC!AU$25,1,0)</f>
        <v/>
      </c>
      <c r="AV12" s="11">
        <f>IF(真實IC!AV12&gt;真實IC!AV$25,1,0)</f>
        <v/>
      </c>
      <c r="AW12" s="11">
        <f>IF(真實IC!AW12&gt;真實IC!AW$25,1,0)</f>
        <v/>
      </c>
      <c r="AX12" s="11">
        <f>IF(真實IC!AX12&gt;真實IC!AX$25,1,0)</f>
        <v/>
      </c>
      <c r="AY12" s="11">
        <f>IF(真實IC!AY12&gt;真實IC!AY$25,1,0)</f>
        <v/>
      </c>
      <c r="AZ12" s="11">
        <f>IF(真實IC!AZ12&gt;真實IC!AZ$25,1,0)</f>
        <v/>
      </c>
      <c r="BA12" s="11">
        <f>IF(真實IC!BA12&gt;真實IC!BA$25,1,0)</f>
        <v/>
      </c>
      <c r="BB12" s="11">
        <f>IF(真實IC!BB12&gt;真實IC!BB$25,1,0)</f>
        <v/>
      </c>
      <c r="BC12" s="11">
        <f>IF(真實IC!BC12&gt;真實IC!BC$25,1,0)</f>
        <v/>
      </c>
      <c r="BD12" s="11">
        <f>IF(真實IC!BD12&gt;真實IC!BD$25,1,0)</f>
        <v/>
      </c>
      <c r="BE12" s="11">
        <f>IF(真實IC!BE12&gt;真實IC!BE$25,1,0)</f>
        <v/>
      </c>
      <c r="BF12" s="11">
        <f>IF(真實IC!BF12&gt;真實IC!BF$25,1,0)</f>
        <v/>
      </c>
      <c r="BG12" s="11">
        <f>IF(真實IC!BG12&gt;真實IC!BG$25,1,0)</f>
        <v/>
      </c>
      <c r="BH12" s="11">
        <f>IF(真實IC!BH12&gt;真實IC!BH$25,1,0)</f>
        <v/>
      </c>
      <c r="BI12" s="11">
        <f>IF(真實IC!BI12&gt;真實IC!BI$25,1,0)</f>
        <v/>
      </c>
      <c r="BJ12" s="11">
        <f>IF(真實IC!BJ12&gt;真實IC!BJ$25,1,0)</f>
        <v/>
      </c>
      <c r="BK12" s="11">
        <f>IF(真實IC!BK12&gt;真實IC!BK$25,1,0)</f>
        <v/>
      </c>
      <c r="BL12" s="11">
        <f>IF(真實IC!BL12&gt;真實IC!BL$25,1,0)</f>
        <v/>
      </c>
      <c r="BM12" s="11">
        <f>IF(真實IC!BM12&gt;真實IC!BM$25,1,0)</f>
        <v/>
      </c>
      <c r="BN12" s="11">
        <f>IF(真實IC!BN12&gt;真實IC!BN$25,1,0)</f>
        <v/>
      </c>
      <c r="BO12" s="11">
        <f>IF(真實IC!BO12&gt;真實IC!BO$25,1,0)</f>
        <v/>
      </c>
      <c r="BP12" s="11">
        <f>IF(真實IC!BP12&gt;真實IC!BP$25,1,0)</f>
        <v/>
      </c>
      <c r="BQ12" s="11">
        <f>IF(真實IC!BQ12&gt;真實IC!BQ$25,1,0)</f>
        <v/>
      </c>
      <c r="BR12" s="11">
        <f>IF(真實IC!BR12&gt;真實IC!BR$25,1,0)</f>
        <v/>
      </c>
      <c r="BS12" s="11">
        <f>IF(真實IC!BS12&gt;真實IC!BS$25,1,0)</f>
        <v/>
      </c>
      <c r="BT12" s="11">
        <f>IF(真實IC!BT12&gt;真實IC!BT$25,1,0)</f>
        <v/>
      </c>
      <c r="BU12" s="11">
        <f>IF(真實IC!BU12&gt;真實IC!BU$25,1,0)</f>
        <v/>
      </c>
      <c r="BV12" s="11">
        <f>IF(真實IC!BV12&gt;真實IC!BV$25,1,0)</f>
        <v/>
      </c>
      <c r="BW12" s="11">
        <f>IF(真實IC!BW12&gt;真實IC!BW$25,1,0)</f>
        <v/>
      </c>
      <c r="BX12" s="11">
        <f>IF(真實IC!BX12&gt;真實IC!BX$25,1,0)</f>
        <v/>
      </c>
      <c r="BY12" s="11">
        <f>IF(真實IC!BY12&gt;真實IC!BY$25,1,0)</f>
        <v/>
      </c>
      <c r="BZ12" s="11">
        <f>IF(真實IC!BZ12&gt;真實IC!BZ$25,1,0)</f>
        <v/>
      </c>
      <c r="CA12" s="11">
        <f>IF(真實IC!CA12&gt;真實IC!CA$25,1,0)</f>
        <v/>
      </c>
      <c r="CB12" s="11">
        <f>IF(真實IC!CB12&gt;真實IC!CB$25,1,0)</f>
        <v/>
      </c>
      <c r="CC12" s="11">
        <f>IF(真實IC!CC12&gt;真實IC!CC$25,1,0)</f>
        <v/>
      </c>
      <c r="CD12" s="11">
        <f>IF(真實IC!CD12&gt;真實IC!CD$25,1,0)</f>
        <v/>
      </c>
      <c r="CE12" s="11">
        <f>IF(真實IC!CE12&gt;真實IC!CE$25,1,0)</f>
        <v/>
      </c>
      <c r="CF12" s="11">
        <f>IF(真實IC!CF12&gt;真實IC!CF$25,1,0)</f>
        <v/>
      </c>
      <c r="CG12" s="11">
        <f>IF(真實IC!CG12&gt;真實IC!CG$25,1,0)</f>
        <v/>
      </c>
      <c r="CH12" s="11">
        <f>IF(真實IC!CH12&gt;真實IC!CH$25,1,0)</f>
        <v/>
      </c>
      <c r="CI12" s="11">
        <f>IF(真實IC!CI12&gt;真實IC!CI$25,1,0)</f>
        <v/>
      </c>
      <c r="CJ12" s="11">
        <f>IF(真實IC!CJ12&gt;真實IC!CJ$25,1,0)</f>
        <v/>
      </c>
      <c r="CK12" s="11">
        <f>IF(真實IC!CK12&gt;真實IC!CK$25,1,0)</f>
        <v/>
      </c>
      <c r="CL12" s="11">
        <f>IF(真實IC!CL12&gt;真實IC!CL$25,1,0)</f>
        <v/>
      </c>
      <c r="CM12" s="11">
        <f>IF(真實IC!CM12&gt;真實IC!CM$25,1,0)</f>
        <v/>
      </c>
      <c r="CN12" s="11">
        <f>IF(真實IC!CN12&gt;真實IC!CN$25,1,0)</f>
        <v/>
      </c>
      <c r="CO12" s="11">
        <f>IF(真實IC!CO12&gt;真實IC!CO$25,1,0)</f>
        <v/>
      </c>
      <c r="CP12" s="11">
        <f>IF(真實IC!CP12&gt;真實IC!CP$25,1,0)</f>
        <v/>
      </c>
      <c r="CQ12" s="11">
        <f>IF(真實IC!CQ12&gt;真實IC!CQ$25,1,0)</f>
        <v/>
      </c>
      <c r="CR12" s="11">
        <f>IF(真實IC!CR12&gt;真實IC!CR$25,1,0)</f>
        <v/>
      </c>
      <c r="CS12" s="11">
        <f>IF(真實IC!CS12&gt;真實IC!CS$25,1,0)</f>
        <v/>
      </c>
      <c r="CT12" s="11">
        <f>IF(真實IC!CT12&gt;真實IC!CT$25,1,0)</f>
        <v/>
      </c>
      <c r="CU12" s="11">
        <f>IF(真實IC!CU12&gt;真實IC!CU$25,1,0)</f>
        <v/>
      </c>
      <c r="CV12" s="11">
        <f>IF(真實IC!CV12&gt;真實IC!CV$25,1,0)</f>
        <v/>
      </c>
      <c r="CW12" s="11">
        <f>IF(真實IC!CW12&gt;真實IC!CW$25,1,0)</f>
        <v/>
      </c>
      <c r="CX12" s="11">
        <f>IF(真實IC!CX12&gt;真實IC!CX$25,1,0)</f>
        <v/>
      </c>
      <c r="CY12" s="11">
        <f>IF(真實IC!CY12&gt;真實IC!CY$25,1,0)</f>
        <v/>
      </c>
      <c r="CZ12" s="11">
        <f>IF(真實IC!CZ12&gt;真實IC!CZ$25,1,0)</f>
        <v/>
      </c>
      <c r="DA12" s="11">
        <f>IF(真實IC!DA12&gt;真實IC!DA$25,1,0)</f>
        <v/>
      </c>
      <c r="DB12" s="11">
        <f>IF(真實IC!DB12&gt;真實IC!DB$25,1,0)</f>
        <v/>
      </c>
      <c r="DC12" s="11">
        <f>IF(真實IC!DC12&gt;真實IC!DC$25,1,0)</f>
        <v/>
      </c>
      <c r="DD12" s="11">
        <f>IF(真實IC!DD12&gt;真實IC!DD$25,1,0)</f>
        <v/>
      </c>
      <c r="DE12" s="11">
        <f>IF(真實IC!DE12&gt;真實IC!DE$25,1,0)</f>
        <v/>
      </c>
      <c r="DF12" s="11">
        <f>IF(真實IC!DF12&gt;真實IC!DF$25,1,0)</f>
        <v/>
      </c>
      <c r="DG12" s="11">
        <f>IF(真實IC!DG12&gt;真實IC!DG$25,1,0)</f>
        <v/>
      </c>
      <c r="DH12" s="11">
        <f>IF(真實IC!DH12&gt;真實IC!DH$25,1,0)</f>
        <v/>
      </c>
      <c r="DI12" s="11">
        <f>IF(真實IC!DI12&gt;真實IC!DI$25,1,0)</f>
        <v/>
      </c>
      <c r="DJ12" s="11">
        <f>IF(真實IC!DJ12&gt;真實IC!DJ$25,1,0)</f>
        <v/>
      </c>
      <c r="DK12" s="11">
        <f>IF(真實IC!DK12&gt;真實IC!DK$25,1,0)</f>
        <v/>
      </c>
      <c r="DL12" s="11">
        <f>IF(真實IC!DL12&gt;真實IC!DL$25,1,0)</f>
        <v/>
      </c>
      <c r="DM12" s="11">
        <f>IF(真實IC!DM12&gt;真實IC!DM$25,1,0)</f>
        <v/>
      </c>
      <c r="DN12" s="11">
        <f>IF(真實IC!DN12&gt;真實IC!DN$25,1,0)</f>
        <v/>
      </c>
      <c r="DO12" s="11">
        <f>IF(真實IC!DO12&gt;真實IC!DO$25,1,0)</f>
        <v/>
      </c>
      <c r="DP12" s="11">
        <f>IF(真實IC!DP12&gt;真實IC!DP$25,1,0)</f>
        <v/>
      </c>
      <c r="DQ12" s="11">
        <f>IF(真實IC!DQ12&gt;真實IC!DQ$25,1,0)</f>
        <v/>
      </c>
      <c r="DR12" s="11">
        <f>IF(真實IC!DR12&gt;真實IC!DR$25,1,0)</f>
        <v/>
      </c>
      <c r="DS12" s="11">
        <f>IF(真實IC!DS12&gt;真實IC!DS$25,1,0)</f>
        <v/>
      </c>
      <c r="DT12" s="11">
        <f>IF(真實IC!DT12&gt;真實IC!DT$25,1,0)</f>
        <v/>
      </c>
      <c r="DU12" s="11">
        <f>IF(真實IC!DU12&gt;真實IC!DU$25,1,0)</f>
        <v/>
      </c>
      <c r="DV12" s="11">
        <f>IF(真實IC!DV12&gt;真實IC!DV$25,1,0)</f>
        <v/>
      </c>
      <c r="DW12" s="11">
        <f>IF(真實IC!DW12&gt;真實IC!DW$25,1,0)</f>
        <v/>
      </c>
      <c r="DX12" s="11">
        <f>IF(真實IC!DX12&gt;真實IC!DX$25,1,0)</f>
        <v/>
      </c>
      <c r="DY12" s="11">
        <f>IF(真實IC!DY12&gt;真實IC!DY$25,1,0)</f>
        <v/>
      </c>
      <c r="DZ12" s="11">
        <f>IF(真實IC!DZ12&gt;真實IC!DZ$25,1,0)</f>
        <v/>
      </c>
      <c r="EA12" s="11">
        <f>IF(真實IC!EA12&gt;真實IC!EA$25,1,0)</f>
        <v/>
      </c>
      <c r="EB12" s="11">
        <f>IF(真實IC!EB12&gt;真實IC!EB$25,1,0)</f>
        <v/>
      </c>
      <c r="EC12" s="11">
        <f>IF(真實IC!EC12&gt;真實IC!EC$25,1,0)</f>
        <v/>
      </c>
      <c r="ED12" s="11">
        <f>IF(真實IC!ED12&gt;真實IC!ED$25,1,0)</f>
        <v/>
      </c>
      <c r="EE12" s="11">
        <f>IF(真實IC!EE12&gt;真實IC!EE$25,1,0)</f>
        <v/>
      </c>
      <c r="EF12" s="11">
        <f>IF(真實IC!EF12&gt;真實IC!EF$25,1,0)</f>
        <v/>
      </c>
      <c r="EG12" s="11">
        <f>IF(真實IC!EG12&gt;真實IC!EG$25,1,0)</f>
        <v/>
      </c>
      <c r="EH12" s="11">
        <f>IF(真實IC!EH12&gt;真實IC!EH$25,1,0)</f>
        <v/>
      </c>
      <c r="EI12" s="11">
        <f>IF(真實IC!EI12&gt;真實IC!EI$25,1,0)</f>
        <v/>
      </c>
      <c r="EJ12" s="11">
        <f>IF(真實IC!EJ12&gt;真實IC!EJ$25,1,0)</f>
        <v/>
      </c>
      <c r="EK12" s="11">
        <f>IF(真實IC!EK12&gt;真實IC!EK$25,1,0)</f>
        <v/>
      </c>
      <c r="EL12" s="11">
        <f>IF(真實IC!EL12&gt;真實IC!EL$25,1,0)</f>
        <v/>
      </c>
      <c r="EM12" s="7">
        <f>SUM(C12:EL12)</f>
        <v/>
      </c>
      <c r="EN12" s="15">
        <f>EM12/140</f>
        <v/>
      </c>
    </row>
    <row r="13">
      <c r="A13" s="13" t="n">
        <v>20</v>
      </c>
      <c r="B13" s="13">
        <f>ROUND($D$10/A13,0)</f>
        <v/>
      </c>
      <c r="C13" s="11">
        <f>IF(真實IC!C13&gt;真實IC!C$25,1,0)</f>
        <v/>
      </c>
      <c r="D13" s="11">
        <f>IF(真實IC!D13&gt;真實IC!D$25,1,0)</f>
        <v/>
      </c>
      <c r="E13" s="11">
        <f>IF(真實IC!E13&gt;真實IC!E$25,1,0)</f>
        <v/>
      </c>
      <c r="F13" s="11">
        <f>IF(真實IC!F13&gt;真實IC!F$25,1,0)</f>
        <v/>
      </c>
      <c r="G13" s="11">
        <f>IF(真實IC!G13&gt;真實IC!G$25,1,0)</f>
        <v/>
      </c>
      <c r="H13" s="11">
        <f>IF(真實IC!H13&gt;真實IC!H$25,1,0)</f>
        <v/>
      </c>
      <c r="I13" s="11">
        <f>IF(真實IC!I13&gt;真實IC!I$25,1,0)</f>
        <v/>
      </c>
      <c r="J13" s="11">
        <f>IF(真實IC!J13&gt;真實IC!J$25,1,0)</f>
        <v/>
      </c>
      <c r="K13" s="11">
        <f>IF(真實IC!K13&gt;真實IC!K$25,1,0)</f>
        <v/>
      </c>
      <c r="L13" s="11">
        <f>IF(真實IC!L13&gt;真實IC!L$25,1,0)</f>
        <v/>
      </c>
      <c r="M13" s="11">
        <f>IF(真實IC!M13&gt;真實IC!M$25,1,0)</f>
        <v/>
      </c>
      <c r="N13" s="11">
        <f>IF(真實IC!N13&gt;真實IC!N$25,1,0)</f>
        <v/>
      </c>
      <c r="O13" s="11">
        <f>IF(真實IC!O13&gt;真實IC!O$25,1,0)</f>
        <v/>
      </c>
      <c r="P13" s="11">
        <f>IF(真實IC!P13&gt;真實IC!P$25,1,0)</f>
        <v/>
      </c>
      <c r="Q13" s="11">
        <f>IF(真實IC!Q13&gt;真實IC!Q$25,1,0)</f>
        <v/>
      </c>
      <c r="R13" s="11">
        <f>IF(真實IC!R13&gt;真實IC!R$25,1,0)</f>
        <v/>
      </c>
      <c r="S13" s="11">
        <f>IF(真實IC!S13&gt;真實IC!S$25,1,0)</f>
        <v/>
      </c>
      <c r="T13" s="11">
        <f>IF(真實IC!T13&gt;真實IC!T$25,1,0)</f>
        <v/>
      </c>
      <c r="U13" s="11">
        <f>IF(真實IC!U13&gt;真實IC!U$25,1,0)</f>
        <v/>
      </c>
      <c r="V13" s="11">
        <f>IF(真實IC!V13&gt;真實IC!V$25,1,0)</f>
        <v/>
      </c>
      <c r="W13" s="11">
        <f>IF(真實IC!W13&gt;真實IC!W$25,1,0)</f>
        <v/>
      </c>
      <c r="X13" s="11">
        <f>IF(真實IC!X13&gt;真實IC!X$25,1,0)</f>
        <v/>
      </c>
      <c r="Y13" s="11">
        <f>IF(真實IC!Y13&gt;真實IC!Y$25,1,0)</f>
        <v/>
      </c>
      <c r="Z13" s="11">
        <f>IF(真實IC!Z13&gt;真實IC!Z$25,1,0)</f>
        <v/>
      </c>
      <c r="AA13" s="11">
        <f>IF(真實IC!AA13&gt;真實IC!AA$25,1,0)</f>
        <v/>
      </c>
      <c r="AB13" s="11">
        <f>IF(真實IC!AB13&gt;真實IC!AB$25,1,0)</f>
        <v/>
      </c>
      <c r="AC13" s="11">
        <f>IF(真實IC!AC13&gt;真實IC!AC$25,1,0)</f>
        <v/>
      </c>
      <c r="AD13" s="11">
        <f>IF(真實IC!AD13&gt;真實IC!AD$25,1,0)</f>
        <v/>
      </c>
      <c r="AE13" s="11">
        <f>IF(真實IC!AE13&gt;真實IC!AE$25,1,0)</f>
        <v/>
      </c>
      <c r="AF13" s="11">
        <f>IF(真實IC!AF13&gt;真實IC!AF$25,1,0)</f>
        <v/>
      </c>
      <c r="AG13" s="11">
        <f>IF(真實IC!AG13&gt;真實IC!AG$25,1,0)</f>
        <v/>
      </c>
      <c r="AH13" s="11">
        <f>IF(真實IC!AH13&gt;真實IC!AH$25,1,0)</f>
        <v/>
      </c>
      <c r="AI13" s="11">
        <f>IF(真實IC!AI13&gt;真實IC!AI$25,1,0)</f>
        <v/>
      </c>
      <c r="AJ13" s="11">
        <f>IF(真實IC!AJ13&gt;真實IC!AJ$25,1,0)</f>
        <v/>
      </c>
      <c r="AK13" s="11">
        <f>IF(真實IC!AK13&gt;真實IC!AK$25,1,0)</f>
        <v/>
      </c>
      <c r="AL13" s="11">
        <f>IF(真實IC!AL13&gt;真實IC!AL$25,1,0)</f>
        <v/>
      </c>
      <c r="AM13" s="11">
        <f>IF(真實IC!AM13&gt;真實IC!AM$25,1,0)</f>
        <v/>
      </c>
      <c r="AN13" s="11">
        <f>IF(真實IC!AN13&gt;真實IC!AN$25,1,0)</f>
        <v/>
      </c>
      <c r="AO13" s="11">
        <f>IF(真實IC!AO13&gt;真實IC!AO$25,1,0)</f>
        <v/>
      </c>
      <c r="AP13" s="11">
        <f>IF(真實IC!AP13&gt;真實IC!AP$25,1,0)</f>
        <v/>
      </c>
      <c r="AQ13" s="11">
        <f>IF(真實IC!AQ13&gt;真實IC!AQ$25,1,0)</f>
        <v/>
      </c>
      <c r="AR13" s="11">
        <f>IF(真實IC!AR13&gt;真實IC!AR$25,1,0)</f>
        <v/>
      </c>
      <c r="AS13" s="11">
        <f>IF(真實IC!AS13&gt;真實IC!AS$25,1,0)</f>
        <v/>
      </c>
      <c r="AT13" s="11">
        <f>IF(真實IC!AT13&gt;真實IC!AT$25,1,0)</f>
        <v/>
      </c>
      <c r="AU13" s="11">
        <f>IF(真實IC!AU13&gt;真實IC!AU$25,1,0)</f>
        <v/>
      </c>
      <c r="AV13" s="11">
        <f>IF(真實IC!AV13&gt;真實IC!AV$25,1,0)</f>
        <v/>
      </c>
      <c r="AW13" s="11">
        <f>IF(真實IC!AW13&gt;真實IC!AW$25,1,0)</f>
        <v/>
      </c>
      <c r="AX13" s="11">
        <f>IF(真實IC!AX13&gt;真實IC!AX$25,1,0)</f>
        <v/>
      </c>
      <c r="AY13" s="11">
        <f>IF(真實IC!AY13&gt;真實IC!AY$25,1,0)</f>
        <v/>
      </c>
      <c r="AZ13" s="11">
        <f>IF(真實IC!AZ13&gt;真實IC!AZ$25,1,0)</f>
        <v/>
      </c>
      <c r="BA13" s="11">
        <f>IF(真實IC!BA13&gt;真實IC!BA$25,1,0)</f>
        <v/>
      </c>
      <c r="BB13" s="11">
        <f>IF(真實IC!BB13&gt;真實IC!BB$25,1,0)</f>
        <v/>
      </c>
      <c r="BC13" s="11">
        <f>IF(真實IC!BC13&gt;真實IC!BC$25,1,0)</f>
        <v/>
      </c>
      <c r="BD13" s="11">
        <f>IF(真實IC!BD13&gt;真實IC!BD$25,1,0)</f>
        <v/>
      </c>
      <c r="BE13" s="11">
        <f>IF(真實IC!BE13&gt;真實IC!BE$25,1,0)</f>
        <v/>
      </c>
      <c r="BF13" s="11">
        <f>IF(真實IC!BF13&gt;真實IC!BF$25,1,0)</f>
        <v/>
      </c>
      <c r="BG13" s="11">
        <f>IF(真實IC!BG13&gt;真實IC!BG$25,1,0)</f>
        <v/>
      </c>
      <c r="BH13" s="11">
        <f>IF(真實IC!BH13&gt;真實IC!BH$25,1,0)</f>
        <v/>
      </c>
      <c r="BI13" s="11">
        <f>IF(真實IC!BI13&gt;真實IC!BI$25,1,0)</f>
        <v/>
      </c>
      <c r="BJ13" s="11">
        <f>IF(真實IC!BJ13&gt;真實IC!BJ$25,1,0)</f>
        <v/>
      </c>
      <c r="BK13" s="11">
        <f>IF(真實IC!BK13&gt;真實IC!BK$25,1,0)</f>
        <v/>
      </c>
      <c r="BL13" s="11">
        <f>IF(真實IC!BL13&gt;真實IC!BL$25,1,0)</f>
        <v/>
      </c>
      <c r="BM13" s="11">
        <f>IF(真實IC!BM13&gt;真實IC!BM$25,1,0)</f>
        <v/>
      </c>
      <c r="BN13" s="11">
        <f>IF(真實IC!BN13&gt;真實IC!BN$25,1,0)</f>
        <v/>
      </c>
      <c r="BO13" s="11">
        <f>IF(真實IC!BO13&gt;真實IC!BO$25,1,0)</f>
        <v/>
      </c>
      <c r="BP13" s="11">
        <f>IF(真實IC!BP13&gt;真實IC!BP$25,1,0)</f>
        <v/>
      </c>
      <c r="BQ13" s="11">
        <f>IF(真實IC!BQ13&gt;真實IC!BQ$25,1,0)</f>
        <v/>
      </c>
      <c r="BR13" s="11">
        <f>IF(真實IC!BR13&gt;真實IC!BR$25,1,0)</f>
        <v/>
      </c>
      <c r="BS13" s="11">
        <f>IF(真實IC!BS13&gt;真實IC!BS$25,1,0)</f>
        <v/>
      </c>
      <c r="BT13" s="11">
        <f>IF(真實IC!BT13&gt;真實IC!BT$25,1,0)</f>
        <v/>
      </c>
      <c r="BU13" s="11">
        <f>IF(真實IC!BU13&gt;真實IC!BU$25,1,0)</f>
        <v/>
      </c>
      <c r="BV13" s="11">
        <f>IF(真實IC!BV13&gt;真實IC!BV$25,1,0)</f>
        <v/>
      </c>
      <c r="BW13" s="11">
        <f>IF(真實IC!BW13&gt;真實IC!BW$25,1,0)</f>
        <v/>
      </c>
      <c r="BX13" s="11">
        <f>IF(真實IC!BX13&gt;真實IC!BX$25,1,0)</f>
        <v/>
      </c>
      <c r="BY13" s="11">
        <f>IF(真實IC!BY13&gt;真實IC!BY$25,1,0)</f>
        <v/>
      </c>
      <c r="BZ13" s="11">
        <f>IF(真實IC!BZ13&gt;真實IC!BZ$25,1,0)</f>
        <v/>
      </c>
      <c r="CA13" s="11">
        <f>IF(真實IC!CA13&gt;真實IC!CA$25,1,0)</f>
        <v/>
      </c>
      <c r="CB13" s="11">
        <f>IF(真實IC!CB13&gt;真實IC!CB$25,1,0)</f>
        <v/>
      </c>
      <c r="CC13" s="11">
        <f>IF(真實IC!CC13&gt;真實IC!CC$25,1,0)</f>
        <v/>
      </c>
      <c r="CD13" s="11">
        <f>IF(真實IC!CD13&gt;真實IC!CD$25,1,0)</f>
        <v/>
      </c>
      <c r="CE13" s="11">
        <f>IF(真實IC!CE13&gt;真實IC!CE$25,1,0)</f>
        <v/>
      </c>
      <c r="CF13" s="11">
        <f>IF(真實IC!CF13&gt;真實IC!CF$25,1,0)</f>
        <v/>
      </c>
      <c r="CG13" s="11">
        <f>IF(真實IC!CG13&gt;真實IC!CG$25,1,0)</f>
        <v/>
      </c>
      <c r="CH13" s="11">
        <f>IF(真實IC!CH13&gt;真實IC!CH$25,1,0)</f>
        <v/>
      </c>
      <c r="CI13" s="11">
        <f>IF(真實IC!CI13&gt;真實IC!CI$25,1,0)</f>
        <v/>
      </c>
      <c r="CJ13" s="11">
        <f>IF(真實IC!CJ13&gt;真實IC!CJ$25,1,0)</f>
        <v/>
      </c>
      <c r="CK13" s="11">
        <f>IF(真實IC!CK13&gt;真實IC!CK$25,1,0)</f>
        <v/>
      </c>
      <c r="CL13" s="11">
        <f>IF(真實IC!CL13&gt;真實IC!CL$25,1,0)</f>
        <v/>
      </c>
      <c r="CM13" s="11">
        <f>IF(真實IC!CM13&gt;真實IC!CM$25,1,0)</f>
        <v/>
      </c>
      <c r="CN13" s="11">
        <f>IF(真實IC!CN13&gt;真實IC!CN$25,1,0)</f>
        <v/>
      </c>
      <c r="CO13" s="11">
        <f>IF(真實IC!CO13&gt;真實IC!CO$25,1,0)</f>
        <v/>
      </c>
      <c r="CP13" s="11">
        <f>IF(真實IC!CP13&gt;真實IC!CP$25,1,0)</f>
        <v/>
      </c>
      <c r="CQ13" s="11">
        <f>IF(真實IC!CQ13&gt;真實IC!CQ$25,1,0)</f>
        <v/>
      </c>
      <c r="CR13" s="11">
        <f>IF(真實IC!CR13&gt;真實IC!CR$25,1,0)</f>
        <v/>
      </c>
      <c r="CS13" s="11">
        <f>IF(真實IC!CS13&gt;真實IC!CS$25,1,0)</f>
        <v/>
      </c>
      <c r="CT13" s="11">
        <f>IF(真實IC!CT13&gt;真實IC!CT$25,1,0)</f>
        <v/>
      </c>
      <c r="CU13" s="11">
        <f>IF(真實IC!CU13&gt;真實IC!CU$25,1,0)</f>
        <v/>
      </c>
      <c r="CV13" s="11">
        <f>IF(真實IC!CV13&gt;真實IC!CV$25,1,0)</f>
        <v/>
      </c>
      <c r="CW13" s="11">
        <f>IF(真實IC!CW13&gt;真實IC!CW$25,1,0)</f>
        <v/>
      </c>
      <c r="CX13" s="11">
        <f>IF(真實IC!CX13&gt;真實IC!CX$25,1,0)</f>
        <v/>
      </c>
      <c r="CY13" s="11">
        <f>IF(真實IC!CY13&gt;真實IC!CY$25,1,0)</f>
        <v/>
      </c>
      <c r="CZ13" s="11">
        <f>IF(真實IC!CZ13&gt;真實IC!CZ$25,1,0)</f>
        <v/>
      </c>
      <c r="DA13" s="11">
        <f>IF(真實IC!DA13&gt;真實IC!DA$25,1,0)</f>
        <v/>
      </c>
      <c r="DB13" s="11">
        <f>IF(真實IC!DB13&gt;真實IC!DB$25,1,0)</f>
        <v/>
      </c>
      <c r="DC13" s="11">
        <f>IF(真實IC!DC13&gt;真實IC!DC$25,1,0)</f>
        <v/>
      </c>
      <c r="DD13" s="11">
        <f>IF(真實IC!DD13&gt;真實IC!DD$25,1,0)</f>
        <v/>
      </c>
      <c r="DE13" s="11">
        <f>IF(真實IC!DE13&gt;真實IC!DE$25,1,0)</f>
        <v/>
      </c>
      <c r="DF13" s="11">
        <f>IF(真實IC!DF13&gt;真實IC!DF$25,1,0)</f>
        <v/>
      </c>
      <c r="DG13" s="11">
        <f>IF(真實IC!DG13&gt;真實IC!DG$25,1,0)</f>
        <v/>
      </c>
      <c r="DH13" s="11">
        <f>IF(真實IC!DH13&gt;真實IC!DH$25,1,0)</f>
        <v/>
      </c>
      <c r="DI13" s="11">
        <f>IF(真實IC!DI13&gt;真實IC!DI$25,1,0)</f>
        <v/>
      </c>
      <c r="DJ13" s="11">
        <f>IF(真實IC!DJ13&gt;真實IC!DJ$25,1,0)</f>
        <v/>
      </c>
      <c r="DK13" s="11">
        <f>IF(真實IC!DK13&gt;真實IC!DK$25,1,0)</f>
        <v/>
      </c>
      <c r="DL13" s="11">
        <f>IF(真實IC!DL13&gt;真實IC!DL$25,1,0)</f>
        <v/>
      </c>
      <c r="DM13" s="11">
        <f>IF(真實IC!DM13&gt;真實IC!DM$25,1,0)</f>
        <v/>
      </c>
      <c r="DN13" s="11">
        <f>IF(真實IC!DN13&gt;真實IC!DN$25,1,0)</f>
        <v/>
      </c>
      <c r="DO13" s="11">
        <f>IF(真實IC!DO13&gt;真實IC!DO$25,1,0)</f>
        <v/>
      </c>
      <c r="DP13" s="11">
        <f>IF(真實IC!DP13&gt;真實IC!DP$25,1,0)</f>
        <v/>
      </c>
      <c r="DQ13" s="11">
        <f>IF(真實IC!DQ13&gt;真實IC!DQ$25,1,0)</f>
        <v/>
      </c>
      <c r="DR13" s="11">
        <f>IF(真實IC!DR13&gt;真實IC!DR$25,1,0)</f>
        <v/>
      </c>
      <c r="DS13" s="11">
        <f>IF(真實IC!DS13&gt;真實IC!DS$25,1,0)</f>
        <v/>
      </c>
      <c r="DT13" s="11">
        <f>IF(真實IC!DT13&gt;真實IC!DT$25,1,0)</f>
        <v/>
      </c>
      <c r="DU13" s="11">
        <f>IF(真實IC!DU13&gt;真實IC!DU$25,1,0)</f>
        <v/>
      </c>
      <c r="DV13" s="11">
        <f>IF(真實IC!DV13&gt;真實IC!DV$25,1,0)</f>
        <v/>
      </c>
      <c r="DW13" s="11">
        <f>IF(真實IC!DW13&gt;真實IC!DW$25,1,0)</f>
        <v/>
      </c>
      <c r="DX13" s="11">
        <f>IF(真實IC!DX13&gt;真實IC!DX$25,1,0)</f>
        <v/>
      </c>
      <c r="DY13" s="11">
        <f>IF(真實IC!DY13&gt;真實IC!DY$25,1,0)</f>
        <v/>
      </c>
      <c r="DZ13" s="11">
        <f>IF(真實IC!DZ13&gt;真實IC!DZ$25,1,0)</f>
        <v/>
      </c>
      <c r="EA13" s="11">
        <f>IF(真實IC!EA13&gt;真實IC!EA$25,1,0)</f>
        <v/>
      </c>
      <c r="EB13" s="11">
        <f>IF(真實IC!EB13&gt;真實IC!EB$25,1,0)</f>
        <v/>
      </c>
      <c r="EC13" s="11">
        <f>IF(真實IC!EC13&gt;真實IC!EC$25,1,0)</f>
        <v/>
      </c>
      <c r="ED13" s="11">
        <f>IF(真實IC!ED13&gt;真實IC!ED$25,1,0)</f>
        <v/>
      </c>
      <c r="EE13" s="11">
        <f>IF(真實IC!EE13&gt;真實IC!EE$25,1,0)</f>
        <v/>
      </c>
      <c r="EF13" s="11">
        <f>IF(真實IC!EF13&gt;真實IC!EF$25,1,0)</f>
        <v/>
      </c>
      <c r="EG13" s="11">
        <f>IF(真實IC!EG13&gt;真實IC!EG$25,1,0)</f>
        <v/>
      </c>
      <c r="EH13" s="11">
        <f>IF(真實IC!EH13&gt;真實IC!EH$25,1,0)</f>
        <v/>
      </c>
      <c r="EI13" s="11">
        <f>IF(真實IC!EI13&gt;真實IC!EI$25,1,0)</f>
        <v/>
      </c>
      <c r="EJ13" s="11">
        <f>IF(真實IC!EJ13&gt;真實IC!EJ$25,1,0)</f>
        <v/>
      </c>
      <c r="EK13" s="11">
        <f>IF(真實IC!EK13&gt;真實IC!EK$25,1,0)</f>
        <v/>
      </c>
      <c r="EL13" s="11">
        <f>IF(真實IC!EL13&gt;真實IC!EL$25,1,0)</f>
        <v/>
      </c>
      <c r="EM13" s="7">
        <f>SUM(C13:EL13)</f>
        <v/>
      </c>
      <c r="EN13" s="15">
        <f>EM13/140</f>
        <v/>
      </c>
    </row>
    <row r="14">
      <c r="A14" s="13" t="n">
        <v>50</v>
      </c>
      <c r="B14" s="13">
        <f>ROUND($D$10/A14,0)</f>
        <v/>
      </c>
      <c r="C14" s="11">
        <f>IF(真實IC!C14&gt;真實IC!C$25,1,0)</f>
        <v/>
      </c>
      <c r="D14" s="11">
        <f>IF(真實IC!D14&gt;真實IC!D$25,1,0)</f>
        <v/>
      </c>
      <c r="E14" s="11">
        <f>IF(真實IC!E14&gt;真實IC!E$25,1,0)</f>
        <v/>
      </c>
      <c r="F14" s="11">
        <f>IF(真實IC!F14&gt;真實IC!F$25,1,0)</f>
        <v/>
      </c>
      <c r="G14" s="11">
        <f>IF(真實IC!G14&gt;真實IC!G$25,1,0)</f>
        <v/>
      </c>
      <c r="H14" s="11">
        <f>IF(真實IC!H14&gt;真實IC!H$25,1,0)</f>
        <v/>
      </c>
      <c r="I14" s="11">
        <f>IF(真實IC!I14&gt;真實IC!I$25,1,0)</f>
        <v/>
      </c>
      <c r="J14" s="11">
        <f>IF(真實IC!J14&gt;真實IC!J$25,1,0)</f>
        <v/>
      </c>
      <c r="K14" s="11">
        <f>IF(真實IC!K14&gt;真實IC!K$25,1,0)</f>
        <v/>
      </c>
      <c r="L14" s="11">
        <f>IF(真實IC!L14&gt;真實IC!L$25,1,0)</f>
        <v/>
      </c>
      <c r="M14" s="11">
        <f>IF(真實IC!M14&gt;真實IC!M$25,1,0)</f>
        <v/>
      </c>
      <c r="N14" s="11">
        <f>IF(真實IC!N14&gt;真實IC!N$25,1,0)</f>
        <v/>
      </c>
      <c r="O14" s="11">
        <f>IF(真實IC!O14&gt;真實IC!O$25,1,0)</f>
        <v/>
      </c>
      <c r="P14" s="11">
        <f>IF(真實IC!P14&gt;真實IC!P$25,1,0)</f>
        <v/>
      </c>
      <c r="Q14" s="11">
        <f>IF(真實IC!Q14&gt;真實IC!Q$25,1,0)</f>
        <v/>
      </c>
      <c r="R14" s="11">
        <f>IF(真實IC!R14&gt;真實IC!R$25,1,0)</f>
        <v/>
      </c>
      <c r="S14" s="11">
        <f>IF(真實IC!S14&gt;真實IC!S$25,1,0)</f>
        <v/>
      </c>
      <c r="T14" s="11">
        <f>IF(真實IC!T14&gt;真實IC!T$25,1,0)</f>
        <v/>
      </c>
      <c r="U14" s="11">
        <f>IF(真實IC!U14&gt;真實IC!U$25,1,0)</f>
        <v/>
      </c>
      <c r="V14" s="11">
        <f>IF(真實IC!V14&gt;真實IC!V$25,1,0)</f>
        <v/>
      </c>
      <c r="W14" s="11">
        <f>IF(真實IC!W14&gt;真實IC!W$25,1,0)</f>
        <v/>
      </c>
      <c r="X14" s="11">
        <f>IF(真實IC!X14&gt;真實IC!X$25,1,0)</f>
        <v/>
      </c>
      <c r="Y14" s="11">
        <f>IF(真實IC!Y14&gt;真實IC!Y$25,1,0)</f>
        <v/>
      </c>
      <c r="Z14" s="11">
        <f>IF(真實IC!Z14&gt;真實IC!Z$25,1,0)</f>
        <v/>
      </c>
      <c r="AA14" s="11">
        <f>IF(真實IC!AA14&gt;真實IC!AA$25,1,0)</f>
        <v/>
      </c>
      <c r="AB14" s="11">
        <f>IF(真實IC!AB14&gt;真實IC!AB$25,1,0)</f>
        <v/>
      </c>
      <c r="AC14" s="11">
        <f>IF(真實IC!AC14&gt;真實IC!AC$25,1,0)</f>
        <v/>
      </c>
      <c r="AD14" s="11">
        <f>IF(真實IC!AD14&gt;真實IC!AD$25,1,0)</f>
        <v/>
      </c>
      <c r="AE14" s="11">
        <f>IF(真實IC!AE14&gt;真實IC!AE$25,1,0)</f>
        <v/>
      </c>
      <c r="AF14" s="11">
        <f>IF(真實IC!AF14&gt;真實IC!AF$25,1,0)</f>
        <v/>
      </c>
      <c r="AG14" s="11">
        <f>IF(真實IC!AG14&gt;真實IC!AG$25,1,0)</f>
        <v/>
      </c>
      <c r="AH14" s="11">
        <f>IF(真實IC!AH14&gt;真實IC!AH$25,1,0)</f>
        <v/>
      </c>
      <c r="AI14" s="11">
        <f>IF(真實IC!AI14&gt;真實IC!AI$25,1,0)</f>
        <v/>
      </c>
      <c r="AJ14" s="11">
        <f>IF(真實IC!AJ14&gt;真實IC!AJ$25,1,0)</f>
        <v/>
      </c>
      <c r="AK14" s="11">
        <f>IF(真實IC!AK14&gt;真實IC!AK$25,1,0)</f>
        <v/>
      </c>
      <c r="AL14" s="11">
        <f>IF(真實IC!AL14&gt;真實IC!AL$25,1,0)</f>
        <v/>
      </c>
      <c r="AM14" s="11">
        <f>IF(真實IC!AM14&gt;真實IC!AM$25,1,0)</f>
        <v/>
      </c>
      <c r="AN14" s="11">
        <f>IF(真實IC!AN14&gt;真實IC!AN$25,1,0)</f>
        <v/>
      </c>
      <c r="AO14" s="11">
        <f>IF(真實IC!AO14&gt;真實IC!AO$25,1,0)</f>
        <v/>
      </c>
      <c r="AP14" s="11">
        <f>IF(真實IC!AP14&gt;真實IC!AP$25,1,0)</f>
        <v/>
      </c>
      <c r="AQ14" s="11">
        <f>IF(真實IC!AQ14&gt;真實IC!AQ$25,1,0)</f>
        <v/>
      </c>
      <c r="AR14" s="11">
        <f>IF(真實IC!AR14&gt;真實IC!AR$25,1,0)</f>
        <v/>
      </c>
      <c r="AS14" s="11">
        <f>IF(真實IC!AS14&gt;真實IC!AS$25,1,0)</f>
        <v/>
      </c>
      <c r="AT14" s="11">
        <f>IF(真實IC!AT14&gt;真實IC!AT$25,1,0)</f>
        <v/>
      </c>
      <c r="AU14" s="11">
        <f>IF(真實IC!AU14&gt;真實IC!AU$25,1,0)</f>
        <v/>
      </c>
      <c r="AV14" s="11">
        <f>IF(真實IC!AV14&gt;真實IC!AV$25,1,0)</f>
        <v/>
      </c>
      <c r="AW14" s="11">
        <f>IF(真實IC!AW14&gt;真實IC!AW$25,1,0)</f>
        <v/>
      </c>
      <c r="AX14" s="11">
        <f>IF(真實IC!AX14&gt;真實IC!AX$25,1,0)</f>
        <v/>
      </c>
      <c r="AY14" s="11">
        <f>IF(真實IC!AY14&gt;真實IC!AY$25,1,0)</f>
        <v/>
      </c>
      <c r="AZ14" s="11">
        <f>IF(真實IC!AZ14&gt;真實IC!AZ$25,1,0)</f>
        <v/>
      </c>
      <c r="BA14" s="11">
        <f>IF(真實IC!BA14&gt;真實IC!BA$25,1,0)</f>
        <v/>
      </c>
      <c r="BB14" s="11">
        <f>IF(真實IC!BB14&gt;真實IC!BB$25,1,0)</f>
        <v/>
      </c>
      <c r="BC14" s="11">
        <f>IF(真實IC!BC14&gt;真實IC!BC$25,1,0)</f>
        <v/>
      </c>
      <c r="BD14" s="11">
        <f>IF(真實IC!BD14&gt;真實IC!BD$25,1,0)</f>
        <v/>
      </c>
      <c r="BE14" s="11">
        <f>IF(真實IC!BE14&gt;真實IC!BE$25,1,0)</f>
        <v/>
      </c>
      <c r="BF14" s="11">
        <f>IF(真實IC!BF14&gt;真實IC!BF$25,1,0)</f>
        <v/>
      </c>
      <c r="BG14" s="11">
        <f>IF(真實IC!BG14&gt;真實IC!BG$25,1,0)</f>
        <v/>
      </c>
      <c r="BH14" s="11">
        <f>IF(真實IC!BH14&gt;真實IC!BH$25,1,0)</f>
        <v/>
      </c>
      <c r="BI14" s="11">
        <f>IF(真實IC!BI14&gt;真實IC!BI$25,1,0)</f>
        <v/>
      </c>
      <c r="BJ14" s="11">
        <f>IF(真實IC!BJ14&gt;真實IC!BJ$25,1,0)</f>
        <v/>
      </c>
      <c r="BK14" s="11">
        <f>IF(真實IC!BK14&gt;真實IC!BK$25,1,0)</f>
        <v/>
      </c>
      <c r="BL14" s="11">
        <f>IF(真實IC!BL14&gt;真實IC!BL$25,1,0)</f>
        <v/>
      </c>
      <c r="BM14" s="11">
        <f>IF(真實IC!BM14&gt;真實IC!BM$25,1,0)</f>
        <v/>
      </c>
      <c r="BN14" s="11">
        <f>IF(真實IC!BN14&gt;真實IC!BN$25,1,0)</f>
        <v/>
      </c>
      <c r="BO14" s="11">
        <f>IF(真實IC!BO14&gt;真實IC!BO$25,1,0)</f>
        <v/>
      </c>
      <c r="BP14" s="11">
        <f>IF(真實IC!BP14&gt;真實IC!BP$25,1,0)</f>
        <v/>
      </c>
      <c r="BQ14" s="11">
        <f>IF(真實IC!BQ14&gt;真實IC!BQ$25,1,0)</f>
        <v/>
      </c>
      <c r="BR14" s="11">
        <f>IF(真實IC!BR14&gt;真實IC!BR$25,1,0)</f>
        <v/>
      </c>
      <c r="BS14" s="11">
        <f>IF(真實IC!BS14&gt;真實IC!BS$25,1,0)</f>
        <v/>
      </c>
      <c r="BT14" s="11">
        <f>IF(真實IC!BT14&gt;真實IC!BT$25,1,0)</f>
        <v/>
      </c>
      <c r="BU14" s="11">
        <f>IF(真實IC!BU14&gt;真實IC!BU$25,1,0)</f>
        <v/>
      </c>
      <c r="BV14" s="11">
        <f>IF(真實IC!BV14&gt;真實IC!BV$25,1,0)</f>
        <v/>
      </c>
      <c r="BW14" s="11">
        <f>IF(真實IC!BW14&gt;真實IC!BW$25,1,0)</f>
        <v/>
      </c>
      <c r="BX14" s="11">
        <f>IF(真實IC!BX14&gt;真實IC!BX$25,1,0)</f>
        <v/>
      </c>
      <c r="BY14" s="11">
        <f>IF(真實IC!BY14&gt;真實IC!BY$25,1,0)</f>
        <v/>
      </c>
      <c r="BZ14" s="11">
        <f>IF(真實IC!BZ14&gt;真實IC!BZ$25,1,0)</f>
        <v/>
      </c>
      <c r="CA14" s="11">
        <f>IF(真實IC!CA14&gt;真實IC!CA$25,1,0)</f>
        <v/>
      </c>
      <c r="CB14" s="11">
        <f>IF(真實IC!CB14&gt;真實IC!CB$25,1,0)</f>
        <v/>
      </c>
      <c r="CC14" s="11">
        <f>IF(真實IC!CC14&gt;真實IC!CC$25,1,0)</f>
        <v/>
      </c>
      <c r="CD14" s="11">
        <f>IF(真實IC!CD14&gt;真實IC!CD$25,1,0)</f>
        <v/>
      </c>
      <c r="CE14" s="11">
        <f>IF(真實IC!CE14&gt;真實IC!CE$25,1,0)</f>
        <v/>
      </c>
      <c r="CF14" s="11">
        <f>IF(真實IC!CF14&gt;真實IC!CF$25,1,0)</f>
        <v/>
      </c>
      <c r="CG14" s="11">
        <f>IF(真實IC!CG14&gt;真實IC!CG$25,1,0)</f>
        <v/>
      </c>
      <c r="CH14" s="11">
        <f>IF(真實IC!CH14&gt;真實IC!CH$25,1,0)</f>
        <v/>
      </c>
      <c r="CI14" s="11">
        <f>IF(真實IC!CI14&gt;真實IC!CI$25,1,0)</f>
        <v/>
      </c>
      <c r="CJ14" s="11">
        <f>IF(真實IC!CJ14&gt;真實IC!CJ$25,1,0)</f>
        <v/>
      </c>
      <c r="CK14" s="11">
        <f>IF(真實IC!CK14&gt;真實IC!CK$25,1,0)</f>
        <v/>
      </c>
      <c r="CL14" s="11">
        <f>IF(真實IC!CL14&gt;真實IC!CL$25,1,0)</f>
        <v/>
      </c>
      <c r="CM14" s="11">
        <f>IF(真實IC!CM14&gt;真實IC!CM$25,1,0)</f>
        <v/>
      </c>
      <c r="CN14" s="11">
        <f>IF(真實IC!CN14&gt;真實IC!CN$25,1,0)</f>
        <v/>
      </c>
      <c r="CO14" s="11">
        <f>IF(真實IC!CO14&gt;真實IC!CO$25,1,0)</f>
        <v/>
      </c>
      <c r="CP14" s="11">
        <f>IF(真實IC!CP14&gt;真實IC!CP$25,1,0)</f>
        <v/>
      </c>
      <c r="CQ14" s="11">
        <f>IF(真實IC!CQ14&gt;真實IC!CQ$25,1,0)</f>
        <v/>
      </c>
      <c r="CR14" s="11">
        <f>IF(真實IC!CR14&gt;真實IC!CR$25,1,0)</f>
        <v/>
      </c>
      <c r="CS14" s="11">
        <f>IF(真實IC!CS14&gt;真實IC!CS$25,1,0)</f>
        <v/>
      </c>
      <c r="CT14" s="11">
        <f>IF(真實IC!CT14&gt;真實IC!CT$25,1,0)</f>
        <v/>
      </c>
      <c r="CU14" s="11">
        <f>IF(真實IC!CU14&gt;真實IC!CU$25,1,0)</f>
        <v/>
      </c>
      <c r="CV14" s="11">
        <f>IF(真實IC!CV14&gt;真實IC!CV$25,1,0)</f>
        <v/>
      </c>
      <c r="CW14" s="11">
        <f>IF(真實IC!CW14&gt;真實IC!CW$25,1,0)</f>
        <v/>
      </c>
      <c r="CX14" s="11">
        <f>IF(真實IC!CX14&gt;真實IC!CX$25,1,0)</f>
        <v/>
      </c>
      <c r="CY14" s="11">
        <f>IF(真實IC!CY14&gt;真實IC!CY$25,1,0)</f>
        <v/>
      </c>
      <c r="CZ14" s="11">
        <f>IF(真實IC!CZ14&gt;真實IC!CZ$25,1,0)</f>
        <v/>
      </c>
      <c r="DA14" s="11">
        <f>IF(真實IC!DA14&gt;真實IC!DA$25,1,0)</f>
        <v/>
      </c>
      <c r="DB14" s="11">
        <f>IF(真實IC!DB14&gt;真實IC!DB$25,1,0)</f>
        <v/>
      </c>
      <c r="DC14" s="11">
        <f>IF(真實IC!DC14&gt;真實IC!DC$25,1,0)</f>
        <v/>
      </c>
      <c r="DD14" s="11">
        <f>IF(真實IC!DD14&gt;真實IC!DD$25,1,0)</f>
        <v/>
      </c>
      <c r="DE14" s="11">
        <f>IF(真實IC!DE14&gt;真實IC!DE$25,1,0)</f>
        <v/>
      </c>
      <c r="DF14" s="11">
        <f>IF(真實IC!DF14&gt;真實IC!DF$25,1,0)</f>
        <v/>
      </c>
      <c r="DG14" s="11">
        <f>IF(真實IC!DG14&gt;真實IC!DG$25,1,0)</f>
        <v/>
      </c>
      <c r="DH14" s="11">
        <f>IF(真實IC!DH14&gt;真實IC!DH$25,1,0)</f>
        <v/>
      </c>
      <c r="DI14" s="11">
        <f>IF(真實IC!DI14&gt;真實IC!DI$25,1,0)</f>
        <v/>
      </c>
      <c r="DJ14" s="11">
        <f>IF(真實IC!DJ14&gt;真實IC!DJ$25,1,0)</f>
        <v/>
      </c>
      <c r="DK14" s="11">
        <f>IF(真實IC!DK14&gt;真實IC!DK$25,1,0)</f>
        <v/>
      </c>
      <c r="DL14" s="11">
        <f>IF(真實IC!DL14&gt;真實IC!DL$25,1,0)</f>
        <v/>
      </c>
      <c r="DM14" s="11">
        <f>IF(真實IC!DM14&gt;真實IC!DM$25,1,0)</f>
        <v/>
      </c>
      <c r="DN14" s="11">
        <f>IF(真實IC!DN14&gt;真實IC!DN$25,1,0)</f>
        <v/>
      </c>
      <c r="DO14" s="11">
        <f>IF(真實IC!DO14&gt;真實IC!DO$25,1,0)</f>
        <v/>
      </c>
      <c r="DP14" s="11">
        <f>IF(真實IC!DP14&gt;真實IC!DP$25,1,0)</f>
        <v/>
      </c>
      <c r="DQ14" s="11">
        <f>IF(真實IC!DQ14&gt;真實IC!DQ$25,1,0)</f>
        <v/>
      </c>
      <c r="DR14" s="11">
        <f>IF(真實IC!DR14&gt;真實IC!DR$25,1,0)</f>
        <v/>
      </c>
      <c r="DS14" s="11">
        <f>IF(真實IC!DS14&gt;真實IC!DS$25,1,0)</f>
        <v/>
      </c>
      <c r="DT14" s="11">
        <f>IF(真實IC!DT14&gt;真實IC!DT$25,1,0)</f>
        <v/>
      </c>
      <c r="DU14" s="11">
        <f>IF(真實IC!DU14&gt;真實IC!DU$25,1,0)</f>
        <v/>
      </c>
      <c r="DV14" s="11">
        <f>IF(真實IC!DV14&gt;真實IC!DV$25,1,0)</f>
        <v/>
      </c>
      <c r="DW14" s="11">
        <f>IF(真實IC!DW14&gt;真實IC!DW$25,1,0)</f>
        <v/>
      </c>
      <c r="DX14" s="11">
        <f>IF(真實IC!DX14&gt;真實IC!DX$25,1,0)</f>
        <v/>
      </c>
      <c r="DY14" s="11">
        <f>IF(真實IC!DY14&gt;真實IC!DY$25,1,0)</f>
        <v/>
      </c>
      <c r="DZ14" s="11">
        <f>IF(真實IC!DZ14&gt;真實IC!DZ$25,1,0)</f>
        <v/>
      </c>
      <c r="EA14" s="11">
        <f>IF(真實IC!EA14&gt;真實IC!EA$25,1,0)</f>
        <v/>
      </c>
      <c r="EB14" s="11">
        <f>IF(真實IC!EB14&gt;真實IC!EB$25,1,0)</f>
        <v/>
      </c>
      <c r="EC14" s="11">
        <f>IF(真實IC!EC14&gt;真實IC!EC$25,1,0)</f>
        <v/>
      </c>
      <c r="ED14" s="11">
        <f>IF(真實IC!ED14&gt;真實IC!ED$25,1,0)</f>
        <v/>
      </c>
      <c r="EE14" s="11">
        <f>IF(真實IC!EE14&gt;真實IC!EE$25,1,0)</f>
        <v/>
      </c>
      <c r="EF14" s="11">
        <f>IF(真實IC!EF14&gt;真實IC!EF$25,1,0)</f>
        <v/>
      </c>
      <c r="EG14" s="11">
        <f>IF(真實IC!EG14&gt;真實IC!EG$25,1,0)</f>
        <v/>
      </c>
      <c r="EH14" s="11">
        <f>IF(真實IC!EH14&gt;真實IC!EH$25,1,0)</f>
        <v/>
      </c>
      <c r="EI14" s="11">
        <f>IF(真實IC!EI14&gt;真實IC!EI$25,1,0)</f>
        <v/>
      </c>
      <c r="EJ14" s="11">
        <f>IF(真實IC!EJ14&gt;真實IC!EJ$25,1,0)</f>
        <v/>
      </c>
      <c r="EK14" s="11">
        <f>IF(真實IC!EK14&gt;真實IC!EK$25,1,0)</f>
        <v/>
      </c>
      <c r="EL14" s="11">
        <f>IF(真實IC!EL14&gt;真實IC!EL$25,1,0)</f>
        <v/>
      </c>
      <c r="EM14" s="7">
        <f>SUM(C14:EL14)</f>
        <v/>
      </c>
      <c r="EN14" s="15">
        <f>EM14/140</f>
        <v/>
      </c>
    </row>
    <row r="15">
      <c r="A15" s="13" t="n">
        <v>110</v>
      </c>
      <c r="B15" s="13">
        <f>ROUND($D$10/A15,0)</f>
        <v/>
      </c>
      <c r="C15" s="11">
        <f>IF(真實IC!C15&gt;真實IC!C$25,1,0)</f>
        <v/>
      </c>
      <c r="D15" s="11">
        <f>IF(真實IC!D15&gt;真實IC!D$25,1,0)</f>
        <v/>
      </c>
      <c r="E15" s="11">
        <f>IF(真實IC!E15&gt;真實IC!E$25,1,0)</f>
        <v/>
      </c>
      <c r="F15" s="11">
        <f>IF(真實IC!F15&gt;真實IC!F$25,1,0)</f>
        <v/>
      </c>
      <c r="G15" s="11">
        <f>IF(真實IC!G15&gt;真實IC!G$25,1,0)</f>
        <v/>
      </c>
      <c r="H15" s="11">
        <f>IF(真實IC!H15&gt;真實IC!H$25,1,0)</f>
        <v/>
      </c>
      <c r="I15" s="11">
        <f>IF(真實IC!I15&gt;真實IC!I$25,1,0)</f>
        <v/>
      </c>
      <c r="J15" s="11">
        <f>IF(真實IC!J15&gt;真實IC!J$25,1,0)</f>
        <v/>
      </c>
      <c r="K15" s="11">
        <f>IF(真實IC!K15&gt;真實IC!K$25,1,0)</f>
        <v/>
      </c>
      <c r="L15" s="11">
        <f>IF(真實IC!L15&gt;真實IC!L$25,1,0)</f>
        <v/>
      </c>
      <c r="M15" s="11">
        <f>IF(真實IC!M15&gt;真實IC!M$25,1,0)</f>
        <v/>
      </c>
      <c r="N15" s="11">
        <f>IF(真實IC!N15&gt;真實IC!N$25,1,0)</f>
        <v/>
      </c>
      <c r="O15" s="11">
        <f>IF(真實IC!O15&gt;真實IC!O$25,1,0)</f>
        <v/>
      </c>
      <c r="P15" s="11">
        <f>IF(真實IC!P15&gt;真實IC!P$25,1,0)</f>
        <v/>
      </c>
      <c r="Q15" s="11">
        <f>IF(真實IC!Q15&gt;真實IC!Q$25,1,0)</f>
        <v/>
      </c>
      <c r="R15" s="11">
        <f>IF(真實IC!R15&gt;真實IC!R$25,1,0)</f>
        <v/>
      </c>
      <c r="S15" s="11">
        <f>IF(真實IC!S15&gt;真實IC!S$25,1,0)</f>
        <v/>
      </c>
      <c r="T15" s="11">
        <f>IF(真實IC!T15&gt;真實IC!T$25,1,0)</f>
        <v/>
      </c>
      <c r="U15" s="11">
        <f>IF(真實IC!U15&gt;真實IC!U$25,1,0)</f>
        <v/>
      </c>
      <c r="V15" s="11">
        <f>IF(真實IC!V15&gt;真實IC!V$25,1,0)</f>
        <v/>
      </c>
      <c r="W15" s="11">
        <f>IF(真實IC!W15&gt;真實IC!W$25,1,0)</f>
        <v/>
      </c>
      <c r="X15" s="11">
        <f>IF(真實IC!X15&gt;真實IC!X$25,1,0)</f>
        <v/>
      </c>
      <c r="Y15" s="11">
        <f>IF(真實IC!Y15&gt;真實IC!Y$25,1,0)</f>
        <v/>
      </c>
      <c r="Z15" s="11">
        <f>IF(真實IC!Z15&gt;真實IC!Z$25,1,0)</f>
        <v/>
      </c>
      <c r="AA15" s="11">
        <f>IF(真實IC!AA15&gt;真實IC!AA$25,1,0)</f>
        <v/>
      </c>
      <c r="AB15" s="11">
        <f>IF(真實IC!AB15&gt;真實IC!AB$25,1,0)</f>
        <v/>
      </c>
      <c r="AC15" s="11">
        <f>IF(真實IC!AC15&gt;真實IC!AC$25,1,0)</f>
        <v/>
      </c>
      <c r="AD15" s="11">
        <f>IF(真實IC!AD15&gt;真實IC!AD$25,1,0)</f>
        <v/>
      </c>
      <c r="AE15" s="11">
        <f>IF(真實IC!AE15&gt;真實IC!AE$25,1,0)</f>
        <v/>
      </c>
      <c r="AF15" s="11">
        <f>IF(真實IC!AF15&gt;真實IC!AF$25,1,0)</f>
        <v/>
      </c>
      <c r="AG15" s="11">
        <f>IF(真實IC!AG15&gt;真實IC!AG$25,1,0)</f>
        <v/>
      </c>
      <c r="AH15" s="11">
        <f>IF(真實IC!AH15&gt;真實IC!AH$25,1,0)</f>
        <v/>
      </c>
      <c r="AI15" s="11">
        <f>IF(真實IC!AI15&gt;真實IC!AI$25,1,0)</f>
        <v/>
      </c>
      <c r="AJ15" s="11">
        <f>IF(真實IC!AJ15&gt;真實IC!AJ$25,1,0)</f>
        <v/>
      </c>
      <c r="AK15" s="11">
        <f>IF(真實IC!AK15&gt;真實IC!AK$25,1,0)</f>
        <v/>
      </c>
      <c r="AL15" s="11">
        <f>IF(真實IC!AL15&gt;真實IC!AL$25,1,0)</f>
        <v/>
      </c>
      <c r="AM15" s="11">
        <f>IF(真實IC!AM15&gt;真實IC!AM$25,1,0)</f>
        <v/>
      </c>
      <c r="AN15" s="11">
        <f>IF(真實IC!AN15&gt;真實IC!AN$25,1,0)</f>
        <v/>
      </c>
      <c r="AO15" s="11">
        <f>IF(真實IC!AO15&gt;真實IC!AO$25,1,0)</f>
        <v/>
      </c>
      <c r="AP15" s="11">
        <f>IF(真實IC!AP15&gt;真實IC!AP$25,1,0)</f>
        <v/>
      </c>
      <c r="AQ15" s="11">
        <f>IF(真實IC!AQ15&gt;真實IC!AQ$25,1,0)</f>
        <v/>
      </c>
      <c r="AR15" s="11">
        <f>IF(真實IC!AR15&gt;真實IC!AR$25,1,0)</f>
        <v/>
      </c>
      <c r="AS15" s="11">
        <f>IF(真實IC!AS15&gt;真實IC!AS$25,1,0)</f>
        <v/>
      </c>
      <c r="AT15" s="11">
        <f>IF(真實IC!AT15&gt;真實IC!AT$25,1,0)</f>
        <v/>
      </c>
      <c r="AU15" s="11">
        <f>IF(真實IC!AU15&gt;真實IC!AU$25,1,0)</f>
        <v/>
      </c>
      <c r="AV15" s="11">
        <f>IF(真實IC!AV15&gt;真實IC!AV$25,1,0)</f>
        <v/>
      </c>
      <c r="AW15" s="11">
        <f>IF(真實IC!AW15&gt;真實IC!AW$25,1,0)</f>
        <v/>
      </c>
      <c r="AX15" s="11">
        <f>IF(真實IC!AX15&gt;真實IC!AX$25,1,0)</f>
        <v/>
      </c>
      <c r="AY15" s="11">
        <f>IF(真實IC!AY15&gt;真實IC!AY$25,1,0)</f>
        <v/>
      </c>
      <c r="AZ15" s="11">
        <f>IF(真實IC!AZ15&gt;真實IC!AZ$25,1,0)</f>
        <v/>
      </c>
      <c r="BA15" s="11">
        <f>IF(真實IC!BA15&gt;真實IC!BA$25,1,0)</f>
        <v/>
      </c>
      <c r="BB15" s="11">
        <f>IF(真實IC!BB15&gt;真實IC!BB$25,1,0)</f>
        <v/>
      </c>
      <c r="BC15" s="11">
        <f>IF(真實IC!BC15&gt;真實IC!BC$25,1,0)</f>
        <v/>
      </c>
      <c r="BD15" s="11">
        <f>IF(真實IC!BD15&gt;真實IC!BD$25,1,0)</f>
        <v/>
      </c>
      <c r="BE15" s="11">
        <f>IF(真實IC!BE15&gt;真實IC!BE$25,1,0)</f>
        <v/>
      </c>
      <c r="BF15" s="11">
        <f>IF(真實IC!BF15&gt;真實IC!BF$25,1,0)</f>
        <v/>
      </c>
      <c r="BG15" s="11">
        <f>IF(真實IC!BG15&gt;真實IC!BG$25,1,0)</f>
        <v/>
      </c>
      <c r="BH15" s="11">
        <f>IF(真實IC!BH15&gt;真實IC!BH$25,1,0)</f>
        <v/>
      </c>
      <c r="BI15" s="11">
        <f>IF(真實IC!BI15&gt;真實IC!BI$25,1,0)</f>
        <v/>
      </c>
      <c r="BJ15" s="11">
        <f>IF(真實IC!BJ15&gt;真實IC!BJ$25,1,0)</f>
        <v/>
      </c>
      <c r="BK15" s="11">
        <f>IF(真實IC!BK15&gt;真實IC!BK$25,1,0)</f>
        <v/>
      </c>
      <c r="BL15" s="11">
        <f>IF(真實IC!BL15&gt;真實IC!BL$25,1,0)</f>
        <v/>
      </c>
      <c r="BM15" s="11">
        <f>IF(真實IC!BM15&gt;真實IC!BM$25,1,0)</f>
        <v/>
      </c>
      <c r="BN15" s="11">
        <f>IF(真實IC!BN15&gt;真實IC!BN$25,1,0)</f>
        <v/>
      </c>
      <c r="BO15" s="11">
        <f>IF(真實IC!BO15&gt;真實IC!BO$25,1,0)</f>
        <v/>
      </c>
      <c r="BP15" s="11">
        <f>IF(真實IC!BP15&gt;真實IC!BP$25,1,0)</f>
        <v/>
      </c>
      <c r="BQ15" s="11">
        <f>IF(真實IC!BQ15&gt;真實IC!BQ$25,1,0)</f>
        <v/>
      </c>
      <c r="BR15" s="11">
        <f>IF(真實IC!BR15&gt;真實IC!BR$25,1,0)</f>
        <v/>
      </c>
      <c r="BS15" s="11">
        <f>IF(真實IC!BS15&gt;真實IC!BS$25,1,0)</f>
        <v/>
      </c>
      <c r="BT15" s="11">
        <f>IF(真實IC!BT15&gt;真實IC!BT$25,1,0)</f>
        <v/>
      </c>
      <c r="BU15" s="11">
        <f>IF(真實IC!BU15&gt;真實IC!BU$25,1,0)</f>
        <v/>
      </c>
      <c r="BV15" s="11">
        <f>IF(真實IC!BV15&gt;真實IC!BV$25,1,0)</f>
        <v/>
      </c>
      <c r="BW15" s="11">
        <f>IF(真實IC!BW15&gt;真實IC!BW$25,1,0)</f>
        <v/>
      </c>
      <c r="BX15" s="11">
        <f>IF(真實IC!BX15&gt;真實IC!BX$25,1,0)</f>
        <v/>
      </c>
      <c r="BY15" s="11">
        <f>IF(真實IC!BY15&gt;真實IC!BY$25,1,0)</f>
        <v/>
      </c>
      <c r="BZ15" s="11">
        <f>IF(真實IC!BZ15&gt;真實IC!BZ$25,1,0)</f>
        <v/>
      </c>
      <c r="CA15" s="11">
        <f>IF(真實IC!CA15&gt;真實IC!CA$25,1,0)</f>
        <v/>
      </c>
      <c r="CB15" s="11">
        <f>IF(真實IC!CB15&gt;真實IC!CB$25,1,0)</f>
        <v/>
      </c>
      <c r="CC15" s="11">
        <f>IF(真實IC!CC15&gt;真實IC!CC$25,1,0)</f>
        <v/>
      </c>
      <c r="CD15" s="11">
        <f>IF(真實IC!CD15&gt;真實IC!CD$25,1,0)</f>
        <v/>
      </c>
      <c r="CE15" s="11">
        <f>IF(真實IC!CE15&gt;真實IC!CE$25,1,0)</f>
        <v/>
      </c>
      <c r="CF15" s="11">
        <f>IF(真實IC!CF15&gt;真實IC!CF$25,1,0)</f>
        <v/>
      </c>
      <c r="CG15" s="11">
        <f>IF(真實IC!CG15&gt;真實IC!CG$25,1,0)</f>
        <v/>
      </c>
      <c r="CH15" s="11">
        <f>IF(真實IC!CH15&gt;真實IC!CH$25,1,0)</f>
        <v/>
      </c>
      <c r="CI15" s="11">
        <f>IF(真實IC!CI15&gt;真實IC!CI$25,1,0)</f>
        <v/>
      </c>
      <c r="CJ15" s="11">
        <f>IF(真實IC!CJ15&gt;真實IC!CJ$25,1,0)</f>
        <v/>
      </c>
      <c r="CK15" s="11">
        <f>IF(真實IC!CK15&gt;真實IC!CK$25,1,0)</f>
        <v/>
      </c>
      <c r="CL15" s="11">
        <f>IF(真實IC!CL15&gt;真實IC!CL$25,1,0)</f>
        <v/>
      </c>
      <c r="CM15" s="11">
        <f>IF(真實IC!CM15&gt;真實IC!CM$25,1,0)</f>
        <v/>
      </c>
      <c r="CN15" s="11">
        <f>IF(真實IC!CN15&gt;真實IC!CN$25,1,0)</f>
        <v/>
      </c>
      <c r="CO15" s="11">
        <f>IF(真實IC!CO15&gt;真實IC!CO$25,1,0)</f>
        <v/>
      </c>
      <c r="CP15" s="11">
        <f>IF(真實IC!CP15&gt;真實IC!CP$25,1,0)</f>
        <v/>
      </c>
      <c r="CQ15" s="11">
        <f>IF(真實IC!CQ15&gt;真實IC!CQ$25,1,0)</f>
        <v/>
      </c>
      <c r="CR15" s="11">
        <f>IF(真實IC!CR15&gt;真實IC!CR$25,1,0)</f>
        <v/>
      </c>
      <c r="CS15" s="11">
        <f>IF(真實IC!CS15&gt;真實IC!CS$25,1,0)</f>
        <v/>
      </c>
      <c r="CT15" s="11">
        <f>IF(真實IC!CT15&gt;真實IC!CT$25,1,0)</f>
        <v/>
      </c>
      <c r="CU15" s="11">
        <f>IF(真實IC!CU15&gt;真實IC!CU$25,1,0)</f>
        <v/>
      </c>
      <c r="CV15" s="11">
        <f>IF(真實IC!CV15&gt;真實IC!CV$25,1,0)</f>
        <v/>
      </c>
      <c r="CW15" s="11">
        <f>IF(真實IC!CW15&gt;真實IC!CW$25,1,0)</f>
        <v/>
      </c>
      <c r="CX15" s="11">
        <f>IF(真實IC!CX15&gt;真實IC!CX$25,1,0)</f>
        <v/>
      </c>
      <c r="CY15" s="11">
        <f>IF(真實IC!CY15&gt;真實IC!CY$25,1,0)</f>
        <v/>
      </c>
      <c r="CZ15" s="11">
        <f>IF(真實IC!CZ15&gt;真實IC!CZ$25,1,0)</f>
        <v/>
      </c>
      <c r="DA15" s="11">
        <f>IF(真實IC!DA15&gt;真實IC!DA$25,1,0)</f>
        <v/>
      </c>
      <c r="DB15" s="11">
        <f>IF(真實IC!DB15&gt;真實IC!DB$25,1,0)</f>
        <v/>
      </c>
      <c r="DC15" s="11">
        <f>IF(真實IC!DC15&gt;真實IC!DC$25,1,0)</f>
        <v/>
      </c>
      <c r="DD15" s="11">
        <f>IF(真實IC!DD15&gt;真實IC!DD$25,1,0)</f>
        <v/>
      </c>
      <c r="DE15" s="11">
        <f>IF(真實IC!DE15&gt;真實IC!DE$25,1,0)</f>
        <v/>
      </c>
      <c r="DF15" s="11">
        <f>IF(真實IC!DF15&gt;真實IC!DF$25,1,0)</f>
        <v/>
      </c>
      <c r="DG15" s="11">
        <f>IF(真實IC!DG15&gt;真實IC!DG$25,1,0)</f>
        <v/>
      </c>
      <c r="DH15" s="11">
        <f>IF(真實IC!DH15&gt;真實IC!DH$25,1,0)</f>
        <v/>
      </c>
      <c r="DI15" s="11">
        <f>IF(真實IC!DI15&gt;真實IC!DI$25,1,0)</f>
        <v/>
      </c>
      <c r="DJ15" s="11">
        <f>IF(真實IC!DJ15&gt;真實IC!DJ$25,1,0)</f>
        <v/>
      </c>
      <c r="DK15" s="11">
        <f>IF(真實IC!DK15&gt;真實IC!DK$25,1,0)</f>
        <v/>
      </c>
      <c r="DL15" s="11">
        <f>IF(真實IC!DL15&gt;真實IC!DL$25,1,0)</f>
        <v/>
      </c>
      <c r="DM15" s="11">
        <f>IF(真實IC!DM15&gt;真實IC!DM$25,1,0)</f>
        <v/>
      </c>
      <c r="DN15" s="11">
        <f>IF(真實IC!DN15&gt;真實IC!DN$25,1,0)</f>
        <v/>
      </c>
      <c r="DO15" s="11">
        <f>IF(真實IC!DO15&gt;真實IC!DO$25,1,0)</f>
        <v/>
      </c>
      <c r="DP15" s="11">
        <f>IF(真實IC!DP15&gt;真實IC!DP$25,1,0)</f>
        <v/>
      </c>
      <c r="DQ15" s="11">
        <f>IF(真實IC!DQ15&gt;真實IC!DQ$25,1,0)</f>
        <v/>
      </c>
      <c r="DR15" s="11">
        <f>IF(真實IC!DR15&gt;真實IC!DR$25,1,0)</f>
        <v/>
      </c>
      <c r="DS15" s="11">
        <f>IF(真實IC!DS15&gt;真實IC!DS$25,1,0)</f>
        <v/>
      </c>
      <c r="DT15" s="11">
        <f>IF(真實IC!DT15&gt;真實IC!DT$25,1,0)</f>
        <v/>
      </c>
      <c r="DU15" s="11">
        <f>IF(真實IC!DU15&gt;真實IC!DU$25,1,0)</f>
        <v/>
      </c>
      <c r="DV15" s="11">
        <f>IF(真實IC!DV15&gt;真實IC!DV$25,1,0)</f>
        <v/>
      </c>
      <c r="DW15" s="11">
        <f>IF(真實IC!DW15&gt;真實IC!DW$25,1,0)</f>
        <v/>
      </c>
      <c r="DX15" s="11">
        <f>IF(真實IC!DX15&gt;真實IC!DX$25,1,0)</f>
        <v/>
      </c>
      <c r="DY15" s="11">
        <f>IF(真實IC!DY15&gt;真實IC!DY$25,1,0)</f>
        <v/>
      </c>
      <c r="DZ15" s="11">
        <f>IF(真實IC!DZ15&gt;真實IC!DZ$25,1,0)</f>
        <v/>
      </c>
      <c r="EA15" s="11">
        <f>IF(真實IC!EA15&gt;真實IC!EA$25,1,0)</f>
        <v/>
      </c>
      <c r="EB15" s="11">
        <f>IF(真實IC!EB15&gt;真實IC!EB$25,1,0)</f>
        <v/>
      </c>
      <c r="EC15" s="11">
        <f>IF(真實IC!EC15&gt;真實IC!EC$25,1,0)</f>
        <v/>
      </c>
      <c r="ED15" s="11">
        <f>IF(真實IC!ED15&gt;真實IC!ED$25,1,0)</f>
        <v/>
      </c>
      <c r="EE15" s="11">
        <f>IF(真實IC!EE15&gt;真實IC!EE$25,1,0)</f>
        <v/>
      </c>
      <c r="EF15" s="11">
        <f>IF(真實IC!EF15&gt;真實IC!EF$25,1,0)</f>
        <v/>
      </c>
      <c r="EG15" s="11">
        <f>IF(真實IC!EG15&gt;真實IC!EG$25,1,0)</f>
        <v/>
      </c>
      <c r="EH15" s="11">
        <f>IF(真實IC!EH15&gt;真實IC!EH$25,1,0)</f>
        <v/>
      </c>
      <c r="EI15" s="11">
        <f>IF(真實IC!EI15&gt;真實IC!EI$25,1,0)</f>
        <v/>
      </c>
      <c r="EJ15" s="11">
        <f>IF(真實IC!EJ15&gt;真實IC!EJ$25,1,0)</f>
        <v/>
      </c>
      <c r="EK15" s="11">
        <f>IF(真實IC!EK15&gt;真實IC!EK$25,1,0)</f>
        <v/>
      </c>
      <c r="EL15" s="11">
        <f>IF(真實IC!EL15&gt;真實IC!EL$25,1,0)</f>
        <v/>
      </c>
      <c r="EM15" s="7">
        <f>SUM(C15:EL15)</f>
        <v/>
      </c>
      <c r="EN15" s="15">
        <f>EM15/140</f>
        <v/>
      </c>
    </row>
    <row r="16">
      <c r="A16" s="13" t="n">
        <v>120</v>
      </c>
      <c r="B16" s="13">
        <f>ROUND($D$10/A16,0)</f>
        <v/>
      </c>
      <c r="C16" s="11">
        <f>IF(真實IC!C16&gt;真實IC!C$25,1,0)</f>
        <v/>
      </c>
      <c r="D16" s="11">
        <f>IF(真實IC!D16&gt;真實IC!D$25,1,0)</f>
        <v/>
      </c>
      <c r="E16" s="11">
        <f>IF(真實IC!E16&gt;真實IC!E$25,1,0)</f>
        <v/>
      </c>
      <c r="F16" s="11">
        <f>IF(真實IC!F16&gt;真實IC!F$25,1,0)</f>
        <v/>
      </c>
      <c r="G16" s="11">
        <f>IF(真實IC!G16&gt;真實IC!G$25,1,0)</f>
        <v/>
      </c>
      <c r="H16" s="11">
        <f>IF(真實IC!H16&gt;真實IC!H$25,1,0)</f>
        <v/>
      </c>
      <c r="I16" s="11">
        <f>IF(真實IC!I16&gt;真實IC!I$25,1,0)</f>
        <v/>
      </c>
      <c r="J16" s="11">
        <f>IF(真實IC!J16&gt;真實IC!J$25,1,0)</f>
        <v/>
      </c>
      <c r="K16" s="11">
        <f>IF(真實IC!K16&gt;真實IC!K$25,1,0)</f>
        <v/>
      </c>
      <c r="L16" s="11">
        <f>IF(真實IC!L16&gt;真實IC!L$25,1,0)</f>
        <v/>
      </c>
      <c r="M16" s="11">
        <f>IF(真實IC!M16&gt;真實IC!M$25,1,0)</f>
        <v/>
      </c>
      <c r="N16" s="11">
        <f>IF(真實IC!N16&gt;真實IC!N$25,1,0)</f>
        <v/>
      </c>
      <c r="O16" s="11">
        <f>IF(真實IC!O16&gt;真實IC!O$25,1,0)</f>
        <v/>
      </c>
      <c r="P16" s="11">
        <f>IF(真實IC!P16&gt;真實IC!P$25,1,0)</f>
        <v/>
      </c>
      <c r="Q16" s="11">
        <f>IF(真實IC!Q16&gt;真實IC!Q$25,1,0)</f>
        <v/>
      </c>
      <c r="R16" s="11">
        <f>IF(真實IC!R16&gt;真實IC!R$25,1,0)</f>
        <v/>
      </c>
      <c r="S16" s="11">
        <f>IF(真實IC!S16&gt;真實IC!S$25,1,0)</f>
        <v/>
      </c>
      <c r="T16" s="11">
        <f>IF(真實IC!T16&gt;真實IC!T$25,1,0)</f>
        <v/>
      </c>
      <c r="U16" s="11">
        <f>IF(真實IC!U16&gt;真實IC!U$25,1,0)</f>
        <v/>
      </c>
      <c r="V16" s="11">
        <f>IF(真實IC!V16&gt;真實IC!V$25,1,0)</f>
        <v/>
      </c>
      <c r="W16" s="11">
        <f>IF(真實IC!W16&gt;真實IC!W$25,1,0)</f>
        <v/>
      </c>
      <c r="X16" s="11">
        <f>IF(真實IC!X16&gt;真實IC!X$25,1,0)</f>
        <v/>
      </c>
      <c r="Y16" s="11">
        <f>IF(真實IC!Y16&gt;真實IC!Y$25,1,0)</f>
        <v/>
      </c>
      <c r="Z16" s="11">
        <f>IF(真實IC!Z16&gt;真實IC!Z$25,1,0)</f>
        <v/>
      </c>
      <c r="AA16" s="11">
        <f>IF(真實IC!AA16&gt;真實IC!AA$25,1,0)</f>
        <v/>
      </c>
      <c r="AB16" s="11">
        <f>IF(真實IC!AB16&gt;真實IC!AB$25,1,0)</f>
        <v/>
      </c>
      <c r="AC16" s="11">
        <f>IF(真實IC!AC16&gt;真實IC!AC$25,1,0)</f>
        <v/>
      </c>
      <c r="AD16" s="11">
        <f>IF(真實IC!AD16&gt;真實IC!AD$25,1,0)</f>
        <v/>
      </c>
      <c r="AE16" s="11">
        <f>IF(真實IC!AE16&gt;真實IC!AE$25,1,0)</f>
        <v/>
      </c>
      <c r="AF16" s="11">
        <f>IF(真實IC!AF16&gt;真實IC!AF$25,1,0)</f>
        <v/>
      </c>
      <c r="AG16" s="11">
        <f>IF(真實IC!AG16&gt;真實IC!AG$25,1,0)</f>
        <v/>
      </c>
      <c r="AH16" s="11">
        <f>IF(真實IC!AH16&gt;真實IC!AH$25,1,0)</f>
        <v/>
      </c>
      <c r="AI16" s="11">
        <f>IF(真實IC!AI16&gt;真實IC!AI$25,1,0)</f>
        <v/>
      </c>
      <c r="AJ16" s="11">
        <f>IF(真實IC!AJ16&gt;真實IC!AJ$25,1,0)</f>
        <v/>
      </c>
      <c r="AK16" s="11">
        <f>IF(真實IC!AK16&gt;真實IC!AK$25,1,0)</f>
        <v/>
      </c>
      <c r="AL16" s="11">
        <f>IF(真實IC!AL16&gt;真實IC!AL$25,1,0)</f>
        <v/>
      </c>
      <c r="AM16" s="11">
        <f>IF(真實IC!AM16&gt;真實IC!AM$25,1,0)</f>
        <v/>
      </c>
      <c r="AN16" s="11">
        <f>IF(真實IC!AN16&gt;真實IC!AN$25,1,0)</f>
        <v/>
      </c>
      <c r="AO16" s="11">
        <f>IF(真實IC!AO16&gt;真實IC!AO$25,1,0)</f>
        <v/>
      </c>
      <c r="AP16" s="11">
        <f>IF(真實IC!AP16&gt;真實IC!AP$25,1,0)</f>
        <v/>
      </c>
      <c r="AQ16" s="11">
        <f>IF(真實IC!AQ16&gt;真實IC!AQ$25,1,0)</f>
        <v/>
      </c>
      <c r="AR16" s="11">
        <f>IF(真實IC!AR16&gt;真實IC!AR$25,1,0)</f>
        <v/>
      </c>
      <c r="AS16" s="11">
        <f>IF(真實IC!AS16&gt;真實IC!AS$25,1,0)</f>
        <v/>
      </c>
      <c r="AT16" s="11">
        <f>IF(真實IC!AT16&gt;真實IC!AT$25,1,0)</f>
        <v/>
      </c>
      <c r="AU16" s="11">
        <f>IF(真實IC!AU16&gt;真實IC!AU$25,1,0)</f>
        <v/>
      </c>
      <c r="AV16" s="11">
        <f>IF(真實IC!AV16&gt;真實IC!AV$25,1,0)</f>
        <v/>
      </c>
      <c r="AW16" s="11">
        <f>IF(真實IC!AW16&gt;真實IC!AW$25,1,0)</f>
        <v/>
      </c>
      <c r="AX16" s="11">
        <f>IF(真實IC!AX16&gt;真實IC!AX$25,1,0)</f>
        <v/>
      </c>
      <c r="AY16" s="11">
        <f>IF(真實IC!AY16&gt;真實IC!AY$25,1,0)</f>
        <v/>
      </c>
      <c r="AZ16" s="11">
        <f>IF(真實IC!AZ16&gt;真實IC!AZ$25,1,0)</f>
        <v/>
      </c>
      <c r="BA16" s="11">
        <f>IF(真實IC!BA16&gt;真實IC!BA$25,1,0)</f>
        <v/>
      </c>
      <c r="BB16" s="11">
        <f>IF(真實IC!BB16&gt;真實IC!BB$25,1,0)</f>
        <v/>
      </c>
      <c r="BC16" s="11">
        <f>IF(真實IC!BC16&gt;真實IC!BC$25,1,0)</f>
        <v/>
      </c>
      <c r="BD16" s="11">
        <f>IF(真實IC!BD16&gt;真實IC!BD$25,1,0)</f>
        <v/>
      </c>
      <c r="BE16" s="11">
        <f>IF(真實IC!BE16&gt;真實IC!BE$25,1,0)</f>
        <v/>
      </c>
      <c r="BF16" s="11">
        <f>IF(真實IC!BF16&gt;真實IC!BF$25,1,0)</f>
        <v/>
      </c>
      <c r="BG16" s="11">
        <f>IF(真實IC!BG16&gt;真實IC!BG$25,1,0)</f>
        <v/>
      </c>
      <c r="BH16" s="11">
        <f>IF(真實IC!BH16&gt;真實IC!BH$25,1,0)</f>
        <v/>
      </c>
      <c r="BI16" s="11">
        <f>IF(真實IC!BI16&gt;真實IC!BI$25,1,0)</f>
        <v/>
      </c>
      <c r="BJ16" s="11">
        <f>IF(真實IC!BJ16&gt;真實IC!BJ$25,1,0)</f>
        <v/>
      </c>
      <c r="BK16" s="11">
        <f>IF(真實IC!BK16&gt;真實IC!BK$25,1,0)</f>
        <v/>
      </c>
      <c r="BL16" s="11">
        <f>IF(真實IC!BL16&gt;真實IC!BL$25,1,0)</f>
        <v/>
      </c>
      <c r="BM16" s="11">
        <f>IF(真實IC!BM16&gt;真實IC!BM$25,1,0)</f>
        <v/>
      </c>
      <c r="BN16" s="11">
        <f>IF(真實IC!BN16&gt;真實IC!BN$25,1,0)</f>
        <v/>
      </c>
      <c r="BO16" s="11">
        <f>IF(真實IC!BO16&gt;真實IC!BO$25,1,0)</f>
        <v/>
      </c>
      <c r="BP16" s="11">
        <f>IF(真實IC!BP16&gt;真實IC!BP$25,1,0)</f>
        <v/>
      </c>
      <c r="BQ16" s="11">
        <f>IF(真實IC!BQ16&gt;真實IC!BQ$25,1,0)</f>
        <v/>
      </c>
      <c r="BR16" s="11">
        <f>IF(真實IC!BR16&gt;真實IC!BR$25,1,0)</f>
        <v/>
      </c>
      <c r="BS16" s="11">
        <f>IF(真實IC!BS16&gt;真實IC!BS$25,1,0)</f>
        <v/>
      </c>
      <c r="BT16" s="11">
        <f>IF(真實IC!BT16&gt;真實IC!BT$25,1,0)</f>
        <v/>
      </c>
      <c r="BU16" s="11">
        <f>IF(真實IC!BU16&gt;真實IC!BU$25,1,0)</f>
        <v/>
      </c>
      <c r="BV16" s="11">
        <f>IF(真實IC!BV16&gt;真實IC!BV$25,1,0)</f>
        <v/>
      </c>
      <c r="BW16" s="11">
        <f>IF(真實IC!BW16&gt;真實IC!BW$25,1,0)</f>
        <v/>
      </c>
      <c r="BX16" s="11">
        <f>IF(真實IC!BX16&gt;真實IC!BX$25,1,0)</f>
        <v/>
      </c>
      <c r="BY16" s="11">
        <f>IF(真實IC!BY16&gt;真實IC!BY$25,1,0)</f>
        <v/>
      </c>
      <c r="BZ16" s="11">
        <f>IF(真實IC!BZ16&gt;真實IC!BZ$25,1,0)</f>
        <v/>
      </c>
      <c r="CA16" s="11">
        <f>IF(真實IC!CA16&gt;真實IC!CA$25,1,0)</f>
        <v/>
      </c>
      <c r="CB16" s="11">
        <f>IF(真實IC!CB16&gt;真實IC!CB$25,1,0)</f>
        <v/>
      </c>
      <c r="CC16" s="11">
        <f>IF(真實IC!CC16&gt;真實IC!CC$25,1,0)</f>
        <v/>
      </c>
      <c r="CD16" s="11">
        <f>IF(真實IC!CD16&gt;真實IC!CD$25,1,0)</f>
        <v/>
      </c>
      <c r="CE16" s="11">
        <f>IF(真實IC!CE16&gt;真實IC!CE$25,1,0)</f>
        <v/>
      </c>
      <c r="CF16" s="11">
        <f>IF(真實IC!CF16&gt;真實IC!CF$25,1,0)</f>
        <v/>
      </c>
      <c r="CG16" s="11">
        <f>IF(真實IC!CG16&gt;真實IC!CG$25,1,0)</f>
        <v/>
      </c>
      <c r="CH16" s="11">
        <f>IF(真實IC!CH16&gt;真實IC!CH$25,1,0)</f>
        <v/>
      </c>
      <c r="CI16" s="11">
        <f>IF(真實IC!CI16&gt;真實IC!CI$25,1,0)</f>
        <v/>
      </c>
      <c r="CJ16" s="11">
        <f>IF(真實IC!CJ16&gt;真實IC!CJ$25,1,0)</f>
        <v/>
      </c>
      <c r="CK16" s="11">
        <f>IF(真實IC!CK16&gt;真實IC!CK$25,1,0)</f>
        <v/>
      </c>
      <c r="CL16" s="11">
        <f>IF(真實IC!CL16&gt;真實IC!CL$25,1,0)</f>
        <v/>
      </c>
      <c r="CM16" s="11">
        <f>IF(真實IC!CM16&gt;真實IC!CM$25,1,0)</f>
        <v/>
      </c>
      <c r="CN16" s="11">
        <f>IF(真實IC!CN16&gt;真實IC!CN$25,1,0)</f>
        <v/>
      </c>
      <c r="CO16" s="11">
        <f>IF(真實IC!CO16&gt;真實IC!CO$25,1,0)</f>
        <v/>
      </c>
      <c r="CP16" s="11">
        <f>IF(真實IC!CP16&gt;真實IC!CP$25,1,0)</f>
        <v/>
      </c>
      <c r="CQ16" s="11">
        <f>IF(真實IC!CQ16&gt;真實IC!CQ$25,1,0)</f>
        <v/>
      </c>
      <c r="CR16" s="11">
        <f>IF(真實IC!CR16&gt;真實IC!CR$25,1,0)</f>
        <v/>
      </c>
      <c r="CS16" s="11">
        <f>IF(真實IC!CS16&gt;真實IC!CS$25,1,0)</f>
        <v/>
      </c>
      <c r="CT16" s="11">
        <f>IF(真實IC!CT16&gt;真實IC!CT$25,1,0)</f>
        <v/>
      </c>
      <c r="CU16" s="11">
        <f>IF(真實IC!CU16&gt;真實IC!CU$25,1,0)</f>
        <v/>
      </c>
      <c r="CV16" s="11">
        <f>IF(真實IC!CV16&gt;真實IC!CV$25,1,0)</f>
        <v/>
      </c>
      <c r="CW16" s="11">
        <f>IF(真實IC!CW16&gt;真實IC!CW$25,1,0)</f>
        <v/>
      </c>
      <c r="CX16" s="11">
        <f>IF(真實IC!CX16&gt;真實IC!CX$25,1,0)</f>
        <v/>
      </c>
      <c r="CY16" s="11">
        <f>IF(真實IC!CY16&gt;真實IC!CY$25,1,0)</f>
        <v/>
      </c>
      <c r="CZ16" s="11">
        <f>IF(真實IC!CZ16&gt;真實IC!CZ$25,1,0)</f>
        <v/>
      </c>
      <c r="DA16" s="11">
        <f>IF(真實IC!DA16&gt;真實IC!DA$25,1,0)</f>
        <v/>
      </c>
      <c r="DB16" s="11">
        <f>IF(真實IC!DB16&gt;真實IC!DB$25,1,0)</f>
        <v/>
      </c>
      <c r="DC16" s="11">
        <f>IF(真實IC!DC16&gt;真實IC!DC$25,1,0)</f>
        <v/>
      </c>
      <c r="DD16" s="11">
        <f>IF(真實IC!DD16&gt;真實IC!DD$25,1,0)</f>
        <v/>
      </c>
      <c r="DE16" s="11">
        <f>IF(真實IC!DE16&gt;真實IC!DE$25,1,0)</f>
        <v/>
      </c>
      <c r="DF16" s="11">
        <f>IF(真實IC!DF16&gt;真實IC!DF$25,1,0)</f>
        <v/>
      </c>
      <c r="DG16" s="11">
        <f>IF(真實IC!DG16&gt;真實IC!DG$25,1,0)</f>
        <v/>
      </c>
      <c r="DH16" s="11">
        <f>IF(真實IC!DH16&gt;真實IC!DH$25,1,0)</f>
        <v/>
      </c>
      <c r="DI16" s="11">
        <f>IF(真實IC!DI16&gt;真實IC!DI$25,1,0)</f>
        <v/>
      </c>
      <c r="DJ16" s="11">
        <f>IF(真實IC!DJ16&gt;真實IC!DJ$25,1,0)</f>
        <v/>
      </c>
      <c r="DK16" s="11">
        <f>IF(真實IC!DK16&gt;真實IC!DK$25,1,0)</f>
        <v/>
      </c>
      <c r="DL16" s="11">
        <f>IF(真實IC!DL16&gt;真實IC!DL$25,1,0)</f>
        <v/>
      </c>
      <c r="DM16" s="11">
        <f>IF(真實IC!DM16&gt;真實IC!DM$25,1,0)</f>
        <v/>
      </c>
      <c r="DN16" s="11">
        <f>IF(真實IC!DN16&gt;真實IC!DN$25,1,0)</f>
        <v/>
      </c>
      <c r="DO16" s="11">
        <f>IF(真實IC!DO16&gt;真實IC!DO$25,1,0)</f>
        <v/>
      </c>
      <c r="DP16" s="11">
        <f>IF(真實IC!DP16&gt;真實IC!DP$25,1,0)</f>
        <v/>
      </c>
      <c r="DQ16" s="11">
        <f>IF(真實IC!DQ16&gt;真實IC!DQ$25,1,0)</f>
        <v/>
      </c>
      <c r="DR16" s="11">
        <f>IF(真實IC!DR16&gt;真實IC!DR$25,1,0)</f>
        <v/>
      </c>
      <c r="DS16" s="11">
        <f>IF(真實IC!DS16&gt;真實IC!DS$25,1,0)</f>
        <v/>
      </c>
      <c r="DT16" s="11">
        <f>IF(真實IC!DT16&gt;真實IC!DT$25,1,0)</f>
        <v/>
      </c>
      <c r="DU16" s="11">
        <f>IF(真實IC!DU16&gt;真實IC!DU$25,1,0)</f>
        <v/>
      </c>
      <c r="DV16" s="11">
        <f>IF(真實IC!DV16&gt;真實IC!DV$25,1,0)</f>
        <v/>
      </c>
      <c r="DW16" s="11">
        <f>IF(真實IC!DW16&gt;真實IC!DW$25,1,0)</f>
        <v/>
      </c>
      <c r="DX16" s="11">
        <f>IF(真實IC!DX16&gt;真實IC!DX$25,1,0)</f>
        <v/>
      </c>
      <c r="DY16" s="11">
        <f>IF(真實IC!DY16&gt;真實IC!DY$25,1,0)</f>
        <v/>
      </c>
      <c r="DZ16" s="11">
        <f>IF(真實IC!DZ16&gt;真實IC!DZ$25,1,0)</f>
        <v/>
      </c>
      <c r="EA16" s="11">
        <f>IF(真實IC!EA16&gt;真實IC!EA$25,1,0)</f>
        <v/>
      </c>
      <c r="EB16" s="11">
        <f>IF(真實IC!EB16&gt;真實IC!EB$25,1,0)</f>
        <v/>
      </c>
      <c r="EC16" s="11">
        <f>IF(真實IC!EC16&gt;真實IC!EC$25,1,0)</f>
        <v/>
      </c>
      <c r="ED16" s="11">
        <f>IF(真實IC!ED16&gt;真實IC!ED$25,1,0)</f>
        <v/>
      </c>
      <c r="EE16" s="11">
        <f>IF(真實IC!EE16&gt;真實IC!EE$25,1,0)</f>
        <v/>
      </c>
      <c r="EF16" s="11">
        <f>IF(真實IC!EF16&gt;真實IC!EF$25,1,0)</f>
        <v/>
      </c>
      <c r="EG16" s="11">
        <f>IF(真實IC!EG16&gt;真實IC!EG$25,1,0)</f>
        <v/>
      </c>
      <c r="EH16" s="11">
        <f>IF(真實IC!EH16&gt;真實IC!EH$25,1,0)</f>
        <v/>
      </c>
      <c r="EI16" s="11">
        <f>IF(真實IC!EI16&gt;真實IC!EI$25,1,0)</f>
        <v/>
      </c>
      <c r="EJ16" s="11">
        <f>IF(真實IC!EJ16&gt;真實IC!EJ$25,1,0)</f>
        <v/>
      </c>
      <c r="EK16" s="11">
        <f>IF(真實IC!EK16&gt;真實IC!EK$25,1,0)</f>
        <v/>
      </c>
      <c r="EL16" s="11">
        <f>IF(真實IC!EL16&gt;真實IC!EL$25,1,0)</f>
        <v/>
      </c>
      <c r="EM16" s="7">
        <f>SUM(C16:EL16)</f>
        <v/>
      </c>
      <c r="EN16" s="15">
        <f>EM16/140</f>
        <v/>
      </c>
    </row>
    <row r="17">
      <c r="A17" s="13" t="n">
        <v>130</v>
      </c>
      <c r="B17" s="13">
        <f>ROUND($D$10/A17,0)</f>
        <v/>
      </c>
      <c r="C17" s="11">
        <f>IF(真實IC!C17&gt;真實IC!C$25,1,0)</f>
        <v/>
      </c>
      <c r="D17" s="11">
        <f>IF(真實IC!D17&gt;真實IC!D$25,1,0)</f>
        <v/>
      </c>
      <c r="E17" s="11">
        <f>IF(真實IC!E17&gt;真實IC!E$25,1,0)</f>
        <v/>
      </c>
      <c r="F17" s="11">
        <f>IF(真實IC!F17&gt;真實IC!F$25,1,0)</f>
        <v/>
      </c>
      <c r="G17" s="11">
        <f>IF(真實IC!G17&gt;真實IC!G$25,1,0)</f>
        <v/>
      </c>
      <c r="H17" s="11">
        <f>IF(真實IC!H17&gt;真實IC!H$25,1,0)</f>
        <v/>
      </c>
      <c r="I17" s="11">
        <f>IF(真實IC!I17&gt;真實IC!I$25,1,0)</f>
        <v/>
      </c>
      <c r="J17" s="11">
        <f>IF(真實IC!J17&gt;真實IC!J$25,1,0)</f>
        <v/>
      </c>
      <c r="K17" s="11">
        <f>IF(真實IC!K17&gt;真實IC!K$25,1,0)</f>
        <v/>
      </c>
      <c r="L17" s="11">
        <f>IF(真實IC!L17&gt;真實IC!L$25,1,0)</f>
        <v/>
      </c>
      <c r="M17" s="11">
        <f>IF(真實IC!M17&gt;真實IC!M$25,1,0)</f>
        <v/>
      </c>
      <c r="N17" s="11">
        <f>IF(真實IC!N17&gt;真實IC!N$25,1,0)</f>
        <v/>
      </c>
      <c r="O17" s="11">
        <f>IF(真實IC!O17&gt;真實IC!O$25,1,0)</f>
        <v/>
      </c>
      <c r="P17" s="11">
        <f>IF(真實IC!P17&gt;真實IC!P$25,1,0)</f>
        <v/>
      </c>
      <c r="Q17" s="11">
        <f>IF(真實IC!Q17&gt;真實IC!Q$25,1,0)</f>
        <v/>
      </c>
      <c r="R17" s="11">
        <f>IF(真實IC!R17&gt;真實IC!R$25,1,0)</f>
        <v/>
      </c>
      <c r="S17" s="11">
        <f>IF(真實IC!S17&gt;真實IC!S$25,1,0)</f>
        <v/>
      </c>
      <c r="T17" s="11">
        <f>IF(真實IC!T17&gt;真實IC!T$25,1,0)</f>
        <v/>
      </c>
      <c r="U17" s="11">
        <f>IF(真實IC!U17&gt;真實IC!U$25,1,0)</f>
        <v/>
      </c>
      <c r="V17" s="11">
        <f>IF(真實IC!V17&gt;真實IC!V$25,1,0)</f>
        <v/>
      </c>
      <c r="W17" s="11">
        <f>IF(真實IC!W17&gt;真實IC!W$25,1,0)</f>
        <v/>
      </c>
      <c r="X17" s="11">
        <f>IF(真實IC!X17&gt;真實IC!X$25,1,0)</f>
        <v/>
      </c>
      <c r="Y17" s="11">
        <f>IF(真實IC!Y17&gt;真實IC!Y$25,1,0)</f>
        <v/>
      </c>
      <c r="Z17" s="11">
        <f>IF(真實IC!Z17&gt;真實IC!Z$25,1,0)</f>
        <v/>
      </c>
      <c r="AA17" s="11">
        <f>IF(真實IC!AA17&gt;真實IC!AA$25,1,0)</f>
        <v/>
      </c>
      <c r="AB17" s="11">
        <f>IF(真實IC!AB17&gt;真實IC!AB$25,1,0)</f>
        <v/>
      </c>
      <c r="AC17" s="11">
        <f>IF(真實IC!AC17&gt;真實IC!AC$25,1,0)</f>
        <v/>
      </c>
      <c r="AD17" s="11">
        <f>IF(真實IC!AD17&gt;真實IC!AD$25,1,0)</f>
        <v/>
      </c>
      <c r="AE17" s="11">
        <f>IF(真實IC!AE17&gt;真實IC!AE$25,1,0)</f>
        <v/>
      </c>
      <c r="AF17" s="11">
        <f>IF(真實IC!AF17&gt;真實IC!AF$25,1,0)</f>
        <v/>
      </c>
      <c r="AG17" s="11">
        <f>IF(真實IC!AG17&gt;真實IC!AG$25,1,0)</f>
        <v/>
      </c>
      <c r="AH17" s="11">
        <f>IF(真實IC!AH17&gt;真實IC!AH$25,1,0)</f>
        <v/>
      </c>
      <c r="AI17" s="11">
        <f>IF(真實IC!AI17&gt;真實IC!AI$25,1,0)</f>
        <v/>
      </c>
      <c r="AJ17" s="11">
        <f>IF(真實IC!AJ17&gt;真實IC!AJ$25,1,0)</f>
        <v/>
      </c>
      <c r="AK17" s="11">
        <f>IF(真實IC!AK17&gt;真實IC!AK$25,1,0)</f>
        <v/>
      </c>
      <c r="AL17" s="11">
        <f>IF(真實IC!AL17&gt;真實IC!AL$25,1,0)</f>
        <v/>
      </c>
      <c r="AM17" s="11">
        <f>IF(真實IC!AM17&gt;真實IC!AM$25,1,0)</f>
        <v/>
      </c>
      <c r="AN17" s="11">
        <f>IF(真實IC!AN17&gt;真實IC!AN$25,1,0)</f>
        <v/>
      </c>
      <c r="AO17" s="11">
        <f>IF(真實IC!AO17&gt;真實IC!AO$25,1,0)</f>
        <v/>
      </c>
      <c r="AP17" s="11">
        <f>IF(真實IC!AP17&gt;真實IC!AP$25,1,0)</f>
        <v/>
      </c>
      <c r="AQ17" s="11">
        <f>IF(真實IC!AQ17&gt;真實IC!AQ$25,1,0)</f>
        <v/>
      </c>
      <c r="AR17" s="11">
        <f>IF(真實IC!AR17&gt;真實IC!AR$25,1,0)</f>
        <v/>
      </c>
      <c r="AS17" s="11">
        <f>IF(真實IC!AS17&gt;真實IC!AS$25,1,0)</f>
        <v/>
      </c>
      <c r="AT17" s="11">
        <f>IF(真實IC!AT17&gt;真實IC!AT$25,1,0)</f>
        <v/>
      </c>
      <c r="AU17" s="11">
        <f>IF(真實IC!AU17&gt;真實IC!AU$25,1,0)</f>
        <v/>
      </c>
      <c r="AV17" s="11">
        <f>IF(真實IC!AV17&gt;真實IC!AV$25,1,0)</f>
        <v/>
      </c>
      <c r="AW17" s="11">
        <f>IF(真實IC!AW17&gt;真實IC!AW$25,1,0)</f>
        <v/>
      </c>
      <c r="AX17" s="11">
        <f>IF(真實IC!AX17&gt;真實IC!AX$25,1,0)</f>
        <v/>
      </c>
      <c r="AY17" s="11">
        <f>IF(真實IC!AY17&gt;真實IC!AY$25,1,0)</f>
        <v/>
      </c>
      <c r="AZ17" s="11">
        <f>IF(真實IC!AZ17&gt;真實IC!AZ$25,1,0)</f>
        <v/>
      </c>
      <c r="BA17" s="11">
        <f>IF(真實IC!BA17&gt;真實IC!BA$25,1,0)</f>
        <v/>
      </c>
      <c r="BB17" s="11">
        <f>IF(真實IC!BB17&gt;真實IC!BB$25,1,0)</f>
        <v/>
      </c>
      <c r="BC17" s="11">
        <f>IF(真實IC!BC17&gt;真實IC!BC$25,1,0)</f>
        <v/>
      </c>
      <c r="BD17" s="11">
        <f>IF(真實IC!BD17&gt;真實IC!BD$25,1,0)</f>
        <v/>
      </c>
      <c r="BE17" s="11">
        <f>IF(真實IC!BE17&gt;真實IC!BE$25,1,0)</f>
        <v/>
      </c>
      <c r="BF17" s="11">
        <f>IF(真實IC!BF17&gt;真實IC!BF$25,1,0)</f>
        <v/>
      </c>
      <c r="BG17" s="11">
        <f>IF(真實IC!BG17&gt;真實IC!BG$25,1,0)</f>
        <v/>
      </c>
      <c r="BH17" s="11">
        <f>IF(真實IC!BH17&gt;真實IC!BH$25,1,0)</f>
        <v/>
      </c>
      <c r="BI17" s="11">
        <f>IF(真實IC!BI17&gt;真實IC!BI$25,1,0)</f>
        <v/>
      </c>
      <c r="BJ17" s="11">
        <f>IF(真實IC!BJ17&gt;真實IC!BJ$25,1,0)</f>
        <v/>
      </c>
      <c r="BK17" s="11">
        <f>IF(真實IC!BK17&gt;真實IC!BK$25,1,0)</f>
        <v/>
      </c>
      <c r="BL17" s="11">
        <f>IF(真實IC!BL17&gt;真實IC!BL$25,1,0)</f>
        <v/>
      </c>
      <c r="BM17" s="11">
        <f>IF(真實IC!BM17&gt;真實IC!BM$25,1,0)</f>
        <v/>
      </c>
      <c r="BN17" s="11">
        <f>IF(真實IC!BN17&gt;真實IC!BN$25,1,0)</f>
        <v/>
      </c>
      <c r="BO17" s="11">
        <f>IF(真實IC!BO17&gt;真實IC!BO$25,1,0)</f>
        <v/>
      </c>
      <c r="BP17" s="11">
        <f>IF(真實IC!BP17&gt;真實IC!BP$25,1,0)</f>
        <v/>
      </c>
      <c r="BQ17" s="11">
        <f>IF(真實IC!BQ17&gt;真實IC!BQ$25,1,0)</f>
        <v/>
      </c>
      <c r="BR17" s="11">
        <f>IF(真實IC!BR17&gt;真實IC!BR$25,1,0)</f>
        <v/>
      </c>
      <c r="BS17" s="11">
        <f>IF(真實IC!BS17&gt;真實IC!BS$25,1,0)</f>
        <v/>
      </c>
      <c r="BT17" s="11">
        <f>IF(真實IC!BT17&gt;真實IC!BT$25,1,0)</f>
        <v/>
      </c>
      <c r="BU17" s="11">
        <f>IF(真實IC!BU17&gt;真實IC!BU$25,1,0)</f>
        <v/>
      </c>
      <c r="BV17" s="11">
        <f>IF(真實IC!BV17&gt;真實IC!BV$25,1,0)</f>
        <v/>
      </c>
      <c r="BW17" s="11">
        <f>IF(真實IC!BW17&gt;真實IC!BW$25,1,0)</f>
        <v/>
      </c>
      <c r="BX17" s="11">
        <f>IF(真實IC!BX17&gt;真實IC!BX$25,1,0)</f>
        <v/>
      </c>
      <c r="BY17" s="11">
        <f>IF(真實IC!BY17&gt;真實IC!BY$25,1,0)</f>
        <v/>
      </c>
      <c r="BZ17" s="11">
        <f>IF(真實IC!BZ17&gt;真實IC!BZ$25,1,0)</f>
        <v/>
      </c>
      <c r="CA17" s="11">
        <f>IF(真實IC!CA17&gt;真實IC!CA$25,1,0)</f>
        <v/>
      </c>
      <c r="CB17" s="11">
        <f>IF(真實IC!CB17&gt;真實IC!CB$25,1,0)</f>
        <v/>
      </c>
      <c r="CC17" s="11">
        <f>IF(真實IC!CC17&gt;真實IC!CC$25,1,0)</f>
        <v/>
      </c>
      <c r="CD17" s="11">
        <f>IF(真實IC!CD17&gt;真實IC!CD$25,1,0)</f>
        <v/>
      </c>
      <c r="CE17" s="11">
        <f>IF(真實IC!CE17&gt;真實IC!CE$25,1,0)</f>
        <v/>
      </c>
      <c r="CF17" s="11">
        <f>IF(真實IC!CF17&gt;真實IC!CF$25,1,0)</f>
        <v/>
      </c>
      <c r="CG17" s="11">
        <f>IF(真實IC!CG17&gt;真實IC!CG$25,1,0)</f>
        <v/>
      </c>
      <c r="CH17" s="11">
        <f>IF(真實IC!CH17&gt;真實IC!CH$25,1,0)</f>
        <v/>
      </c>
      <c r="CI17" s="11">
        <f>IF(真實IC!CI17&gt;真實IC!CI$25,1,0)</f>
        <v/>
      </c>
      <c r="CJ17" s="11">
        <f>IF(真實IC!CJ17&gt;真實IC!CJ$25,1,0)</f>
        <v/>
      </c>
      <c r="CK17" s="11">
        <f>IF(真實IC!CK17&gt;真實IC!CK$25,1,0)</f>
        <v/>
      </c>
      <c r="CL17" s="11">
        <f>IF(真實IC!CL17&gt;真實IC!CL$25,1,0)</f>
        <v/>
      </c>
      <c r="CM17" s="11">
        <f>IF(真實IC!CM17&gt;真實IC!CM$25,1,0)</f>
        <v/>
      </c>
      <c r="CN17" s="11">
        <f>IF(真實IC!CN17&gt;真實IC!CN$25,1,0)</f>
        <v/>
      </c>
      <c r="CO17" s="11">
        <f>IF(真實IC!CO17&gt;真實IC!CO$25,1,0)</f>
        <v/>
      </c>
      <c r="CP17" s="11">
        <f>IF(真實IC!CP17&gt;真實IC!CP$25,1,0)</f>
        <v/>
      </c>
      <c r="CQ17" s="11">
        <f>IF(真實IC!CQ17&gt;真實IC!CQ$25,1,0)</f>
        <v/>
      </c>
      <c r="CR17" s="11">
        <f>IF(真實IC!CR17&gt;真實IC!CR$25,1,0)</f>
        <v/>
      </c>
      <c r="CS17" s="11">
        <f>IF(真實IC!CS17&gt;真實IC!CS$25,1,0)</f>
        <v/>
      </c>
      <c r="CT17" s="11">
        <f>IF(真實IC!CT17&gt;真實IC!CT$25,1,0)</f>
        <v/>
      </c>
      <c r="CU17" s="11">
        <f>IF(真實IC!CU17&gt;真實IC!CU$25,1,0)</f>
        <v/>
      </c>
      <c r="CV17" s="11">
        <f>IF(真實IC!CV17&gt;真實IC!CV$25,1,0)</f>
        <v/>
      </c>
      <c r="CW17" s="11">
        <f>IF(真實IC!CW17&gt;真實IC!CW$25,1,0)</f>
        <v/>
      </c>
      <c r="CX17" s="11">
        <f>IF(真實IC!CX17&gt;真實IC!CX$25,1,0)</f>
        <v/>
      </c>
      <c r="CY17" s="11">
        <f>IF(真實IC!CY17&gt;真實IC!CY$25,1,0)</f>
        <v/>
      </c>
      <c r="CZ17" s="11">
        <f>IF(真實IC!CZ17&gt;真實IC!CZ$25,1,0)</f>
        <v/>
      </c>
      <c r="DA17" s="11">
        <f>IF(真實IC!DA17&gt;真實IC!DA$25,1,0)</f>
        <v/>
      </c>
      <c r="DB17" s="11">
        <f>IF(真實IC!DB17&gt;真實IC!DB$25,1,0)</f>
        <v/>
      </c>
      <c r="DC17" s="11">
        <f>IF(真實IC!DC17&gt;真實IC!DC$25,1,0)</f>
        <v/>
      </c>
      <c r="DD17" s="11">
        <f>IF(真實IC!DD17&gt;真實IC!DD$25,1,0)</f>
        <v/>
      </c>
      <c r="DE17" s="11">
        <f>IF(真實IC!DE17&gt;真實IC!DE$25,1,0)</f>
        <v/>
      </c>
      <c r="DF17" s="11">
        <f>IF(真實IC!DF17&gt;真實IC!DF$25,1,0)</f>
        <v/>
      </c>
      <c r="DG17" s="11">
        <f>IF(真實IC!DG17&gt;真實IC!DG$25,1,0)</f>
        <v/>
      </c>
      <c r="DH17" s="11">
        <f>IF(真實IC!DH17&gt;真實IC!DH$25,1,0)</f>
        <v/>
      </c>
      <c r="DI17" s="11">
        <f>IF(真實IC!DI17&gt;真實IC!DI$25,1,0)</f>
        <v/>
      </c>
      <c r="DJ17" s="11">
        <f>IF(真實IC!DJ17&gt;真實IC!DJ$25,1,0)</f>
        <v/>
      </c>
      <c r="DK17" s="11">
        <f>IF(真實IC!DK17&gt;真實IC!DK$25,1,0)</f>
        <v/>
      </c>
      <c r="DL17" s="11">
        <f>IF(真實IC!DL17&gt;真實IC!DL$25,1,0)</f>
        <v/>
      </c>
      <c r="DM17" s="11">
        <f>IF(真實IC!DM17&gt;真實IC!DM$25,1,0)</f>
        <v/>
      </c>
      <c r="DN17" s="11">
        <f>IF(真實IC!DN17&gt;真實IC!DN$25,1,0)</f>
        <v/>
      </c>
      <c r="DO17" s="11">
        <f>IF(真實IC!DO17&gt;真實IC!DO$25,1,0)</f>
        <v/>
      </c>
      <c r="DP17" s="11">
        <f>IF(真實IC!DP17&gt;真實IC!DP$25,1,0)</f>
        <v/>
      </c>
      <c r="DQ17" s="11">
        <f>IF(真實IC!DQ17&gt;真實IC!DQ$25,1,0)</f>
        <v/>
      </c>
      <c r="DR17" s="11">
        <f>IF(真實IC!DR17&gt;真實IC!DR$25,1,0)</f>
        <v/>
      </c>
      <c r="DS17" s="11">
        <f>IF(真實IC!DS17&gt;真實IC!DS$25,1,0)</f>
        <v/>
      </c>
      <c r="DT17" s="11">
        <f>IF(真實IC!DT17&gt;真實IC!DT$25,1,0)</f>
        <v/>
      </c>
      <c r="DU17" s="11">
        <f>IF(真實IC!DU17&gt;真實IC!DU$25,1,0)</f>
        <v/>
      </c>
      <c r="DV17" s="11">
        <f>IF(真實IC!DV17&gt;真實IC!DV$25,1,0)</f>
        <v/>
      </c>
      <c r="DW17" s="11">
        <f>IF(真實IC!DW17&gt;真實IC!DW$25,1,0)</f>
        <v/>
      </c>
      <c r="DX17" s="11">
        <f>IF(真實IC!DX17&gt;真實IC!DX$25,1,0)</f>
        <v/>
      </c>
      <c r="DY17" s="11">
        <f>IF(真實IC!DY17&gt;真實IC!DY$25,1,0)</f>
        <v/>
      </c>
      <c r="DZ17" s="11">
        <f>IF(真實IC!DZ17&gt;真實IC!DZ$25,1,0)</f>
        <v/>
      </c>
      <c r="EA17" s="11">
        <f>IF(真實IC!EA17&gt;真實IC!EA$25,1,0)</f>
        <v/>
      </c>
      <c r="EB17" s="11">
        <f>IF(真實IC!EB17&gt;真實IC!EB$25,1,0)</f>
        <v/>
      </c>
      <c r="EC17" s="11">
        <f>IF(真實IC!EC17&gt;真實IC!EC$25,1,0)</f>
        <v/>
      </c>
      <c r="ED17" s="11">
        <f>IF(真實IC!ED17&gt;真實IC!ED$25,1,0)</f>
        <v/>
      </c>
      <c r="EE17" s="11">
        <f>IF(真實IC!EE17&gt;真實IC!EE$25,1,0)</f>
        <v/>
      </c>
      <c r="EF17" s="11">
        <f>IF(真實IC!EF17&gt;真實IC!EF$25,1,0)</f>
        <v/>
      </c>
      <c r="EG17" s="11">
        <f>IF(真實IC!EG17&gt;真實IC!EG$25,1,0)</f>
        <v/>
      </c>
      <c r="EH17" s="11">
        <f>IF(真實IC!EH17&gt;真實IC!EH$25,1,0)</f>
        <v/>
      </c>
      <c r="EI17" s="11">
        <f>IF(真實IC!EI17&gt;真實IC!EI$25,1,0)</f>
        <v/>
      </c>
      <c r="EJ17" s="11">
        <f>IF(真實IC!EJ17&gt;真實IC!EJ$25,1,0)</f>
        <v/>
      </c>
      <c r="EK17" s="11">
        <f>IF(真實IC!EK17&gt;真實IC!EK$25,1,0)</f>
        <v/>
      </c>
      <c r="EL17" s="11">
        <f>IF(真實IC!EL17&gt;真實IC!EL$25,1,0)</f>
        <v/>
      </c>
      <c r="EM17" s="7">
        <f>SUM(C17:EL17)</f>
        <v/>
      </c>
      <c r="EN17" s="15">
        <f>EM17/140</f>
        <v/>
      </c>
    </row>
    <row r="18">
      <c r="A18" s="13" t="n">
        <v>150</v>
      </c>
      <c r="B18" s="13">
        <f>ROUND($D$10/A18,0)</f>
        <v/>
      </c>
      <c r="C18" s="11">
        <f>IF(真實IC!C18&gt;真實IC!C$25,1,0)</f>
        <v/>
      </c>
      <c r="D18" s="11">
        <f>IF(真實IC!D18&gt;真實IC!D$25,1,0)</f>
        <v/>
      </c>
      <c r="E18" s="11">
        <f>IF(真實IC!E18&gt;真實IC!E$25,1,0)</f>
        <v/>
      </c>
      <c r="F18" s="11">
        <f>IF(真實IC!F18&gt;真實IC!F$25,1,0)</f>
        <v/>
      </c>
      <c r="G18" s="11">
        <f>IF(真實IC!G18&gt;真實IC!G$25,1,0)</f>
        <v/>
      </c>
      <c r="H18" s="11">
        <f>IF(真實IC!H18&gt;真實IC!H$25,1,0)</f>
        <v/>
      </c>
      <c r="I18" s="11">
        <f>IF(真實IC!I18&gt;真實IC!I$25,1,0)</f>
        <v/>
      </c>
      <c r="J18" s="11">
        <f>IF(真實IC!J18&gt;真實IC!J$25,1,0)</f>
        <v/>
      </c>
      <c r="K18" s="11">
        <f>IF(真實IC!K18&gt;真實IC!K$25,1,0)</f>
        <v/>
      </c>
      <c r="L18" s="11">
        <f>IF(真實IC!L18&gt;真實IC!L$25,1,0)</f>
        <v/>
      </c>
      <c r="M18" s="11">
        <f>IF(真實IC!M18&gt;真實IC!M$25,1,0)</f>
        <v/>
      </c>
      <c r="N18" s="11">
        <f>IF(真實IC!N18&gt;真實IC!N$25,1,0)</f>
        <v/>
      </c>
      <c r="O18" s="11">
        <f>IF(真實IC!O18&gt;真實IC!O$25,1,0)</f>
        <v/>
      </c>
      <c r="P18" s="11">
        <f>IF(真實IC!P18&gt;真實IC!P$25,1,0)</f>
        <v/>
      </c>
      <c r="Q18" s="11">
        <f>IF(真實IC!Q18&gt;真實IC!Q$25,1,0)</f>
        <v/>
      </c>
      <c r="R18" s="11">
        <f>IF(真實IC!R18&gt;真實IC!R$25,1,0)</f>
        <v/>
      </c>
      <c r="S18" s="11">
        <f>IF(真實IC!S18&gt;真實IC!S$25,1,0)</f>
        <v/>
      </c>
      <c r="T18" s="11">
        <f>IF(真實IC!T18&gt;真實IC!T$25,1,0)</f>
        <v/>
      </c>
      <c r="U18" s="11">
        <f>IF(真實IC!U18&gt;真實IC!U$25,1,0)</f>
        <v/>
      </c>
      <c r="V18" s="11">
        <f>IF(真實IC!V18&gt;真實IC!V$25,1,0)</f>
        <v/>
      </c>
      <c r="W18" s="11">
        <f>IF(真實IC!W18&gt;真實IC!W$25,1,0)</f>
        <v/>
      </c>
      <c r="X18" s="11">
        <f>IF(真實IC!X18&gt;真實IC!X$25,1,0)</f>
        <v/>
      </c>
      <c r="Y18" s="11">
        <f>IF(真實IC!Y18&gt;真實IC!Y$25,1,0)</f>
        <v/>
      </c>
      <c r="Z18" s="11">
        <f>IF(真實IC!Z18&gt;真實IC!Z$25,1,0)</f>
        <v/>
      </c>
      <c r="AA18" s="11">
        <f>IF(真實IC!AA18&gt;真實IC!AA$25,1,0)</f>
        <v/>
      </c>
      <c r="AB18" s="11">
        <f>IF(真實IC!AB18&gt;真實IC!AB$25,1,0)</f>
        <v/>
      </c>
      <c r="AC18" s="11">
        <f>IF(真實IC!AC18&gt;真實IC!AC$25,1,0)</f>
        <v/>
      </c>
      <c r="AD18" s="11">
        <f>IF(真實IC!AD18&gt;真實IC!AD$25,1,0)</f>
        <v/>
      </c>
      <c r="AE18" s="11">
        <f>IF(真實IC!AE18&gt;真實IC!AE$25,1,0)</f>
        <v/>
      </c>
      <c r="AF18" s="11">
        <f>IF(真實IC!AF18&gt;真實IC!AF$25,1,0)</f>
        <v/>
      </c>
      <c r="AG18" s="11">
        <f>IF(真實IC!AG18&gt;真實IC!AG$25,1,0)</f>
        <v/>
      </c>
      <c r="AH18" s="11">
        <f>IF(真實IC!AH18&gt;真實IC!AH$25,1,0)</f>
        <v/>
      </c>
      <c r="AI18" s="11">
        <f>IF(真實IC!AI18&gt;真實IC!AI$25,1,0)</f>
        <v/>
      </c>
      <c r="AJ18" s="11">
        <f>IF(真實IC!AJ18&gt;真實IC!AJ$25,1,0)</f>
        <v/>
      </c>
      <c r="AK18" s="11">
        <f>IF(真實IC!AK18&gt;真實IC!AK$25,1,0)</f>
        <v/>
      </c>
      <c r="AL18" s="11">
        <f>IF(真實IC!AL18&gt;真實IC!AL$25,1,0)</f>
        <v/>
      </c>
      <c r="AM18" s="11">
        <f>IF(真實IC!AM18&gt;真實IC!AM$25,1,0)</f>
        <v/>
      </c>
      <c r="AN18" s="11">
        <f>IF(真實IC!AN18&gt;真實IC!AN$25,1,0)</f>
        <v/>
      </c>
      <c r="AO18" s="11">
        <f>IF(真實IC!AO18&gt;真實IC!AO$25,1,0)</f>
        <v/>
      </c>
      <c r="AP18" s="11">
        <f>IF(真實IC!AP18&gt;真實IC!AP$25,1,0)</f>
        <v/>
      </c>
      <c r="AQ18" s="11">
        <f>IF(真實IC!AQ18&gt;真實IC!AQ$25,1,0)</f>
        <v/>
      </c>
      <c r="AR18" s="11">
        <f>IF(真實IC!AR18&gt;真實IC!AR$25,1,0)</f>
        <v/>
      </c>
      <c r="AS18" s="11">
        <f>IF(真實IC!AS18&gt;真實IC!AS$25,1,0)</f>
        <v/>
      </c>
      <c r="AT18" s="11">
        <f>IF(真實IC!AT18&gt;真實IC!AT$25,1,0)</f>
        <v/>
      </c>
      <c r="AU18" s="11">
        <f>IF(真實IC!AU18&gt;真實IC!AU$25,1,0)</f>
        <v/>
      </c>
      <c r="AV18" s="11">
        <f>IF(真實IC!AV18&gt;真實IC!AV$25,1,0)</f>
        <v/>
      </c>
      <c r="AW18" s="11">
        <f>IF(真實IC!AW18&gt;真實IC!AW$25,1,0)</f>
        <v/>
      </c>
      <c r="AX18" s="11">
        <f>IF(真實IC!AX18&gt;真實IC!AX$25,1,0)</f>
        <v/>
      </c>
      <c r="AY18" s="11">
        <f>IF(真實IC!AY18&gt;真實IC!AY$25,1,0)</f>
        <v/>
      </c>
      <c r="AZ18" s="11">
        <f>IF(真實IC!AZ18&gt;真實IC!AZ$25,1,0)</f>
        <v/>
      </c>
      <c r="BA18" s="11">
        <f>IF(真實IC!BA18&gt;真實IC!BA$25,1,0)</f>
        <v/>
      </c>
      <c r="BB18" s="11">
        <f>IF(真實IC!BB18&gt;真實IC!BB$25,1,0)</f>
        <v/>
      </c>
      <c r="BC18" s="11">
        <f>IF(真實IC!BC18&gt;真實IC!BC$25,1,0)</f>
        <v/>
      </c>
      <c r="BD18" s="11">
        <f>IF(真實IC!BD18&gt;真實IC!BD$25,1,0)</f>
        <v/>
      </c>
      <c r="BE18" s="11">
        <f>IF(真實IC!BE18&gt;真實IC!BE$25,1,0)</f>
        <v/>
      </c>
      <c r="BF18" s="11">
        <f>IF(真實IC!BF18&gt;真實IC!BF$25,1,0)</f>
        <v/>
      </c>
      <c r="BG18" s="11">
        <f>IF(真實IC!BG18&gt;真實IC!BG$25,1,0)</f>
        <v/>
      </c>
      <c r="BH18" s="11">
        <f>IF(真實IC!BH18&gt;真實IC!BH$25,1,0)</f>
        <v/>
      </c>
      <c r="BI18" s="11">
        <f>IF(真實IC!BI18&gt;真實IC!BI$25,1,0)</f>
        <v/>
      </c>
      <c r="BJ18" s="11">
        <f>IF(真實IC!BJ18&gt;真實IC!BJ$25,1,0)</f>
        <v/>
      </c>
      <c r="BK18" s="11">
        <f>IF(真實IC!BK18&gt;真實IC!BK$25,1,0)</f>
        <v/>
      </c>
      <c r="BL18" s="11">
        <f>IF(真實IC!BL18&gt;真實IC!BL$25,1,0)</f>
        <v/>
      </c>
      <c r="BM18" s="11">
        <f>IF(真實IC!BM18&gt;真實IC!BM$25,1,0)</f>
        <v/>
      </c>
      <c r="BN18" s="11">
        <f>IF(真實IC!BN18&gt;真實IC!BN$25,1,0)</f>
        <v/>
      </c>
      <c r="BO18" s="11">
        <f>IF(真實IC!BO18&gt;真實IC!BO$25,1,0)</f>
        <v/>
      </c>
      <c r="BP18" s="11">
        <f>IF(真實IC!BP18&gt;真實IC!BP$25,1,0)</f>
        <v/>
      </c>
      <c r="BQ18" s="11">
        <f>IF(真實IC!BQ18&gt;真實IC!BQ$25,1,0)</f>
        <v/>
      </c>
      <c r="BR18" s="11">
        <f>IF(真實IC!BR18&gt;真實IC!BR$25,1,0)</f>
        <v/>
      </c>
      <c r="BS18" s="11">
        <f>IF(真實IC!BS18&gt;真實IC!BS$25,1,0)</f>
        <v/>
      </c>
      <c r="BT18" s="11">
        <f>IF(真實IC!BT18&gt;真實IC!BT$25,1,0)</f>
        <v/>
      </c>
      <c r="BU18" s="11">
        <f>IF(真實IC!BU18&gt;真實IC!BU$25,1,0)</f>
        <v/>
      </c>
      <c r="BV18" s="11">
        <f>IF(真實IC!BV18&gt;真實IC!BV$25,1,0)</f>
        <v/>
      </c>
      <c r="BW18" s="11">
        <f>IF(真實IC!BW18&gt;真實IC!BW$25,1,0)</f>
        <v/>
      </c>
      <c r="BX18" s="11">
        <f>IF(真實IC!BX18&gt;真實IC!BX$25,1,0)</f>
        <v/>
      </c>
      <c r="BY18" s="11">
        <f>IF(真實IC!BY18&gt;真實IC!BY$25,1,0)</f>
        <v/>
      </c>
      <c r="BZ18" s="11">
        <f>IF(真實IC!BZ18&gt;真實IC!BZ$25,1,0)</f>
        <v/>
      </c>
      <c r="CA18" s="11">
        <f>IF(真實IC!CA18&gt;真實IC!CA$25,1,0)</f>
        <v/>
      </c>
      <c r="CB18" s="11">
        <f>IF(真實IC!CB18&gt;真實IC!CB$25,1,0)</f>
        <v/>
      </c>
      <c r="CC18" s="11">
        <f>IF(真實IC!CC18&gt;真實IC!CC$25,1,0)</f>
        <v/>
      </c>
      <c r="CD18" s="11">
        <f>IF(真實IC!CD18&gt;真實IC!CD$25,1,0)</f>
        <v/>
      </c>
      <c r="CE18" s="11">
        <f>IF(真實IC!CE18&gt;真實IC!CE$25,1,0)</f>
        <v/>
      </c>
      <c r="CF18" s="11">
        <f>IF(真實IC!CF18&gt;真實IC!CF$25,1,0)</f>
        <v/>
      </c>
      <c r="CG18" s="11">
        <f>IF(真實IC!CG18&gt;真實IC!CG$25,1,0)</f>
        <v/>
      </c>
      <c r="CH18" s="11">
        <f>IF(真實IC!CH18&gt;真實IC!CH$25,1,0)</f>
        <v/>
      </c>
      <c r="CI18" s="11">
        <f>IF(真實IC!CI18&gt;真實IC!CI$25,1,0)</f>
        <v/>
      </c>
      <c r="CJ18" s="11">
        <f>IF(真實IC!CJ18&gt;真實IC!CJ$25,1,0)</f>
        <v/>
      </c>
      <c r="CK18" s="11">
        <f>IF(真實IC!CK18&gt;真實IC!CK$25,1,0)</f>
        <v/>
      </c>
      <c r="CL18" s="11">
        <f>IF(真實IC!CL18&gt;真實IC!CL$25,1,0)</f>
        <v/>
      </c>
      <c r="CM18" s="11">
        <f>IF(真實IC!CM18&gt;真實IC!CM$25,1,0)</f>
        <v/>
      </c>
      <c r="CN18" s="11">
        <f>IF(真實IC!CN18&gt;真實IC!CN$25,1,0)</f>
        <v/>
      </c>
      <c r="CO18" s="11">
        <f>IF(真實IC!CO18&gt;真實IC!CO$25,1,0)</f>
        <v/>
      </c>
      <c r="CP18" s="11">
        <f>IF(真實IC!CP18&gt;真實IC!CP$25,1,0)</f>
        <v/>
      </c>
      <c r="CQ18" s="11">
        <f>IF(真實IC!CQ18&gt;真實IC!CQ$25,1,0)</f>
        <v/>
      </c>
      <c r="CR18" s="11">
        <f>IF(真實IC!CR18&gt;真實IC!CR$25,1,0)</f>
        <v/>
      </c>
      <c r="CS18" s="11">
        <f>IF(真實IC!CS18&gt;真實IC!CS$25,1,0)</f>
        <v/>
      </c>
      <c r="CT18" s="11">
        <f>IF(真實IC!CT18&gt;真實IC!CT$25,1,0)</f>
        <v/>
      </c>
      <c r="CU18" s="11">
        <f>IF(真實IC!CU18&gt;真實IC!CU$25,1,0)</f>
        <v/>
      </c>
      <c r="CV18" s="11">
        <f>IF(真實IC!CV18&gt;真實IC!CV$25,1,0)</f>
        <v/>
      </c>
      <c r="CW18" s="11">
        <f>IF(真實IC!CW18&gt;真實IC!CW$25,1,0)</f>
        <v/>
      </c>
      <c r="CX18" s="11">
        <f>IF(真實IC!CX18&gt;真實IC!CX$25,1,0)</f>
        <v/>
      </c>
      <c r="CY18" s="11">
        <f>IF(真實IC!CY18&gt;真實IC!CY$25,1,0)</f>
        <v/>
      </c>
      <c r="CZ18" s="11">
        <f>IF(真實IC!CZ18&gt;真實IC!CZ$25,1,0)</f>
        <v/>
      </c>
      <c r="DA18" s="11">
        <f>IF(真實IC!DA18&gt;真實IC!DA$25,1,0)</f>
        <v/>
      </c>
      <c r="DB18" s="11">
        <f>IF(真實IC!DB18&gt;真實IC!DB$25,1,0)</f>
        <v/>
      </c>
      <c r="DC18" s="11">
        <f>IF(真實IC!DC18&gt;真實IC!DC$25,1,0)</f>
        <v/>
      </c>
      <c r="DD18" s="11">
        <f>IF(真實IC!DD18&gt;真實IC!DD$25,1,0)</f>
        <v/>
      </c>
      <c r="DE18" s="11">
        <f>IF(真實IC!DE18&gt;真實IC!DE$25,1,0)</f>
        <v/>
      </c>
      <c r="DF18" s="11">
        <f>IF(真實IC!DF18&gt;真實IC!DF$25,1,0)</f>
        <v/>
      </c>
      <c r="DG18" s="11">
        <f>IF(真實IC!DG18&gt;真實IC!DG$25,1,0)</f>
        <v/>
      </c>
      <c r="DH18" s="11">
        <f>IF(真實IC!DH18&gt;真實IC!DH$25,1,0)</f>
        <v/>
      </c>
      <c r="DI18" s="11">
        <f>IF(真實IC!DI18&gt;真實IC!DI$25,1,0)</f>
        <v/>
      </c>
      <c r="DJ18" s="11">
        <f>IF(真實IC!DJ18&gt;真實IC!DJ$25,1,0)</f>
        <v/>
      </c>
      <c r="DK18" s="11">
        <f>IF(真實IC!DK18&gt;真實IC!DK$25,1,0)</f>
        <v/>
      </c>
      <c r="DL18" s="11">
        <f>IF(真實IC!DL18&gt;真實IC!DL$25,1,0)</f>
        <v/>
      </c>
      <c r="DM18" s="11">
        <f>IF(真實IC!DM18&gt;真實IC!DM$25,1,0)</f>
        <v/>
      </c>
      <c r="DN18" s="11">
        <f>IF(真實IC!DN18&gt;真實IC!DN$25,1,0)</f>
        <v/>
      </c>
      <c r="DO18" s="11">
        <f>IF(真實IC!DO18&gt;真實IC!DO$25,1,0)</f>
        <v/>
      </c>
      <c r="DP18" s="11">
        <f>IF(真實IC!DP18&gt;真實IC!DP$25,1,0)</f>
        <v/>
      </c>
      <c r="DQ18" s="11">
        <f>IF(真實IC!DQ18&gt;真實IC!DQ$25,1,0)</f>
        <v/>
      </c>
      <c r="DR18" s="11">
        <f>IF(真實IC!DR18&gt;真實IC!DR$25,1,0)</f>
        <v/>
      </c>
      <c r="DS18" s="11">
        <f>IF(真實IC!DS18&gt;真實IC!DS$25,1,0)</f>
        <v/>
      </c>
      <c r="DT18" s="11">
        <f>IF(真實IC!DT18&gt;真實IC!DT$25,1,0)</f>
        <v/>
      </c>
      <c r="DU18" s="11">
        <f>IF(真實IC!DU18&gt;真實IC!DU$25,1,0)</f>
        <v/>
      </c>
      <c r="DV18" s="11">
        <f>IF(真實IC!DV18&gt;真實IC!DV$25,1,0)</f>
        <v/>
      </c>
      <c r="DW18" s="11">
        <f>IF(真實IC!DW18&gt;真實IC!DW$25,1,0)</f>
        <v/>
      </c>
      <c r="DX18" s="11">
        <f>IF(真實IC!DX18&gt;真實IC!DX$25,1,0)</f>
        <v/>
      </c>
      <c r="DY18" s="11">
        <f>IF(真實IC!DY18&gt;真實IC!DY$25,1,0)</f>
        <v/>
      </c>
      <c r="DZ18" s="11">
        <f>IF(真實IC!DZ18&gt;真實IC!DZ$25,1,0)</f>
        <v/>
      </c>
      <c r="EA18" s="11">
        <f>IF(真實IC!EA18&gt;真實IC!EA$25,1,0)</f>
        <v/>
      </c>
      <c r="EB18" s="11">
        <f>IF(真實IC!EB18&gt;真實IC!EB$25,1,0)</f>
        <v/>
      </c>
      <c r="EC18" s="11">
        <f>IF(真實IC!EC18&gt;真實IC!EC$25,1,0)</f>
        <v/>
      </c>
      <c r="ED18" s="11">
        <f>IF(真實IC!ED18&gt;真實IC!ED$25,1,0)</f>
        <v/>
      </c>
      <c r="EE18" s="11">
        <f>IF(真實IC!EE18&gt;真實IC!EE$25,1,0)</f>
        <v/>
      </c>
      <c r="EF18" s="11">
        <f>IF(真實IC!EF18&gt;真實IC!EF$25,1,0)</f>
        <v/>
      </c>
      <c r="EG18" s="11">
        <f>IF(真實IC!EG18&gt;真實IC!EG$25,1,0)</f>
        <v/>
      </c>
      <c r="EH18" s="11">
        <f>IF(真實IC!EH18&gt;真實IC!EH$25,1,0)</f>
        <v/>
      </c>
      <c r="EI18" s="11">
        <f>IF(真實IC!EI18&gt;真實IC!EI$25,1,0)</f>
        <v/>
      </c>
      <c r="EJ18" s="11">
        <f>IF(真實IC!EJ18&gt;真實IC!EJ$25,1,0)</f>
        <v/>
      </c>
      <c r="EK18" s="11">
        <f>IF(真實IC!EK18&gt;真實IC!EK$25,1,0)</f>
        <v/>
      </c>
      <c r="EL18" s="11">
        <f>IF(真實IC!EL18&gt;真實IC!EL$25,1,0)</f>
        <v/>
      </c>
      <c r="EM18" s="7">
        <f>SUM(C18:EL18)</f>
        <v/>
      </c>
      <c r="EN18" s="15">
        <f>EM18/140</f>
        <v/>
      </c>
    </row>
    <row r="19">
      <c r="A19" s="13" t="n">
        <v>180</v>
      </c>
      <c r="B19" s="13">
        <f>ROUND($D$10/A19,0)</f>
        <v/>
      </c>
      <c r="C19" s="11">
        <f>IF(真實IC!C19&gt;真實IC!C$25,1,0)</f>
        <v/>
      </c>
      <c r="D19" s="11">
        <f>IF(真實IC!D19&gt;真實IC!D$25,1,0)</f>
        <v/>
      </c>
      <c r="E19" s="11">
        <f>IF(真實IC!E19&gt;真實IC!E$25,1,0)</f>
        <v/>
      </c>
      <c r="F19" s="11">
        <f>IF(真實IC!F19&gt;真實IC!F$25,1,0)</f>
        <v/>
      </c>
      <c r="G19" s="11">
        <f>IF(真實IC!G19&gt;真實IC!G$25,1,0)</f>
        <v/>
      </c>
      <c r="H19" s="11">
        <f>IF(真實IC!H19&gt;真實IC!H$25,1,0)</f>
        <v/>
      </c>
      <c r="I19" s="11">
        <f>IF(真實IC!I19&gt;真實IC!I$25,1,0)</f>
        <v/>
      </c>
      <c r="J19" s="11">
        <f>IF(真實IC!J19&gt;真實IC!J$25,1,0)</f>
        <v/>
      </c>
      <c r="K19" s="11">
        <f>IF(真實IC!K19&gt;真實IC!K$25,1,0)</f>
        <v/>
      </c>
      <c r="L19" s="11">
        <f>IF(真實IC!L19&gt;真實IC!L$25,1,0)</f>
        <v/>
      </c>
      <c r="M19" s="11">
        <f>IF(真實IC!M19&gt;真實IC!M$25,1,0)</f>
        <v/>
      </c>
      <c r="N19" s="11">
        <f>IF(真實IC!N19&gt;真實IC!N$25,1,0)</f>
        <v/>
      </c>
      <c r="O19" s="11">
        <f>IF(真實IC!O19&gt;真實IC!O$25,1,0)</f>
        <v/>
      </c>
      <c r="P19" s="11">
        <f>IF(真實IC!P19&gt;真實IC!P$25,1,0)</f>
        <v/>
      </c>
      <c r="Q19" s="11">
        <f>IF(真實IC!Q19&gt;真實IC!Q$25,1,0)</f>
        <v/>
      </c>
      <c r="R19" s="11">
        <f>IF(真實IC!R19&gt;真實IC!R$25,1,0)</f>
        <v/>
      </c>
      <c r="S19" s="11">
        <f>IF(真實IC!S19&gt;真實IC!S$25,1,0)</f>
        <v/>
      </c>
      <c r="T19" s="11">
        <f>IF(真實IC!T19&gt;真實IC!T$25,1,0)</f>
        <v/>
      </c>
      <c r="U19" s="11">
        <f>IF(真實IC!U19&gt;真實IC!U$25,1,0)</f>
        <v/>
      </c>
      <c r="V19" s="11">
        <f>IF(真實IC!V19&gt;真實IC!V$25,1,0)</f>
        <v/>
      </c>
      <c r="W19" s="11">
        <f>IF(真實IC!W19&gt;真實IC!W$25,1,0)</f>
        <v/>
      </c>
      <c r="X19" s="11">
        <f>IF(真實IC!X19&gt;真實IC!X$25,1,0)</f>
        <v/>
      </c>
      <c r="Y19" s="11">
        <f>IF(真實IC!Y19&gt;真實IC!Y$25,1,0)</f>
        <v/>
      </c>
      <c r="Z19" s="11">
        <f>IF(真實IC!Z19&gt;真實IC!Z$25,1,0)</f>
        <v/>
      </c>
      <c r="AA19" s="11">
        <f>IF(真實IC!AA19&gt;真實IC!AA$25,1,0)</f>
        <v/>
      </c>
      <c r="AB19" s="11">
        <f>IF(真實IC!AB19&gt;真實IC!AB$25,1,0)</f>
        <v/>
      </c>
      <c r="AC19" s="11">
        <f>IF(真實IC!AC19&gt;真實IC!AC$25,1,0)</f>
        <v/>
      </c>
      <c r="AD19" s="11">
        <f>IF(真實IC!AD19&gt;真實IC!AD$25,1,0)</f>
        <v/>
      </c>
      <c r="AE19" s="11">
        <f>IF(真實IC!AE19&gt;真實IC!AE$25,1,0)</f>
        <v/>
      </c>
      <c r="AF19" s="11">
        <f>IF(真實IC!AF19&gt;真實IC!AF$25,1,0)</f>
        <v/>
      </c>
      <c r="AG19" s="11">
        <f>IF(真實IC!AG19&gt;真實IC!AG$25,1,0)</f>
        <v/>
      </c>
      <c r="AH19" s="11">
        <f>IF(真實IC!AH19&gt;真實IC!AH$25,1,0)</f>
        <v/>
      </c>
      <c r="AI19" s="11">
        <f>IF(真實IC!AI19&gt;真實IC!AI$25,1,0)</f>
        <v/>
      </c>
      <c r="AJ19" s="11">
        <f>IF(真實IC!AJ19&gt;真實IC!AJ$25,1,0)</f>
        <v/>
      </c>
      <c r="AK19" s="11">
        <f>IF(真實IC!AK19&gt;真實IC!AK$25,1,0)</f>
        <v/>
      </c>
      <c r="AL19" s="11">
        <f>IF(真實IC!AL19&gt;真實IC!AL$25,1,0)</f>
        <v/>
      </c>
      <c r="AM19" s="11">
        <f>IF(真實IC!AM19&gt;真實IC!AM$25,1,0)</f>
        <v/>
      </c>
      <c r="AN19" s="11">
        <f>IF(真實IC!AN19&gt;真實IC!AN$25,1,0)</f>
        <v/>
      </c>
      <c r="AO19" s="11">
        <f>IF(真實IC!AO19&gt;真實IC!AO$25,1,0)</f>
        <v/>
      </c>
      <c r="AP19" s="11">
        <f>IF(真實IC!AP19&gt;真實IC!AP$25,1,0)</f>
        <v/>
      </c>
      <c r="AQ19" s="11">
        <f>IF(真實IC!AQ19&gt;真實IC!AQ$25,1,0)</f>
        <v/>
      </c>
      <c r="AR19" s="11">
        <f>IF(真實IC!AR19&gt;真實IC!AR$25,1,0)</f>
        <v/>
      </c>
      <c r="AS19" s="11">
        <f>IF(真實IC!AS19&gt;真實IC!AS$25,1,0)</f>
        <v/>
      </c>
      <c r="AT19" s="11">
        <f>IF(真實IC!AT19&gt;真實IC!AT$25,1,0)</f>
        <v/>
      </c>
      <c r="AU19" s="11">
        <f>IF(真實IC!AU19&gt;真實IC!AU$25,1,0)</f>
        <v/>
      </c>
      <c r="AV19" s="11">
        <f>IF(真實IC!AV19&gt;真實IC!AV$25,1,0)</f>
        <v/>
      </c>
      <c r="AW19" s="11">
        <f>IF(真實IC!AW19&gt;真實IC!AW$25,1,0)</f>
        <v/>
      </c>
      <c r="AX19" s="11">
        <f>IF(真實IC!AX19&gt;真實IC!AX$25,1,0)</f>
        <v/>
      </c>
      <c r="AY19" s="11">
        <f>IF(真實IC!AY19&gt;真實IC!AY$25,1,0)</f>
        <v/>
      </c>
      <c r="AZ19" s="11">
        <f>IF(真實IC!AZ19&gt;真實IC!AZ$25,1,0)</f>
        <v/>
      </c>
      <c r="BA19" s="11">
        <f>IF(真實IC!BA19&gt;真實IC!BA$25,1,0)</f>
        <v/>
      </c>
      <c r="BB19" s="11">
        <f>IF(真實IC!BB19&gt;真實IC!BB$25,1,0)</f>
        <v/>
      </c>
      <c r="BC19" s="11">
        <f>IF(真實IC!BC19&gt;真實IC!BC$25,1,0)</f>
        <v/>
      </c>
      <c r="BD19" s="11">
        <f>IF(真實IC!BD19&gt;真實IC!BD$25,1,0)</f>
        <v/>
      </c>
      <c r="BE19" s="11">
        <f>IF(真實IC!BE19&gt;真實IC!BE$25,1,0)</f>
        <v/>
      </c>
      <c r="BF19" s="11">
        <f>IF(真實IC!BF19&gt;真實IC!BF$25,1,0)</f>
        <v/>
      </c>
      <c r="BG19" s="11">
        <f>IF(真實IC!BG19&gt;真實IC!BG$25,1,0)</f>
        <v/>
      </c>
      <c r="BH19" s="11">
        <f>IF(真實IC!BH19&gt;真實IC!BH$25,1,0)</f>
        <v/>
      </c>
      <c r="BI19" s="11">
        <f>IF(真實IC!BI19&gt;真實IC!BI$25,1,0)</f>
        <v/>
      </c>
      <c r="BJ19" s="11">
        <f>IF(真實IC!BJ19&gt;真實IC!BJ$25,1,0)</f>
        <v/>
      </c>
      <c r="BK19" s="11">
        <f>IF(真實IC!BK19&gt;真實IC!BK$25,1,0)</f>
        <v/>
      </c>
      <c r="BL19" s="11">
        <f>IF(真實IC!BL19&gt;真實IC!BL$25,1,0)</f>
        <v/>
      </c>
      <c r="BM19" s="11">
        <f>IF(真實IC!BM19&gt;真實IC!BM$25,1,0)</f>
        <v/>
      </c>
      <c r="BN19" s="11">
        <f>IF(真實IC!BN19&gt;真實IC!BN$25,1,0)</f>
        <v/>
      </c>
      <c r="BO19" s="11">
        <f>IF(真實IC!BO19&gt;真實IC!BO$25,1,0)</f>
        <v/>
      </c>
      <c r="BP19" s="11">
        <f>IF(真實IC!BP19&gt;真實IC!BP$25,1,0)</f>
        <v/>
      </c>
      <c r="BQ19" s="11">
        <f>IF(真實IC!BQ19&gt;真實IC!BQ$25,1,0)</f>
        <v/>
      </c>
      <c r="BR19" s="11">
        <f>IF(真實IC!BR19&gt;真實IC!BR$25,1,0)</f>
        <v/>
      </c>
      <c r="BS19" s="11">
        <f>IF(真實IC!BS19&gt;真實IC!BS$25,1,0)</f>
        <v/>
      </c>
      <c r="BT19" s="11">
        <f>IF(真實IC!BT19&gt;真實IC!BT$25,1,0)</f>
        <v/>
      </c>
      <c r="BU19" s="11">
        <f>IF(真實IC!BU19&gt;真實IC!BU$25,1,0)</f>
        <v/>
      </c>
      <c r="BV19" s="11">
        <f>IF(真實IC!BV19&gt;真實IC!BV$25,1,0)</f>
        <v/>
      </c>
      <c r="BW19" s="11">
        <f>IF(真實IC!BW19&gt;真實IC!BW$25,1,0)</f>
        <v/>
      </c>
      <c r="BX19" s="11">
        <f>IF(真實IC!BX19&gt;真實IC!BX$25,1,0)</f>
        <v/>
      </c>
      <c r="BY19" s="11">
        <f>IF(真實IC!BY19&gt;真實IC!BY$25,1,0)</f>
        <v/>
      </c>
      <c r="BZ19" s="11">
        <f>IF(真實IC!BZ19&gt;真實IC!BZ$25,1,0)</f>
        <v/>
      </c>
      <c r="CA19" s="11">
        <f>IF(真實IC!CA19&gt;真實IC!CA$25,1,0)</f>
        <v/>
      </c>
      <c r="CB19" s="11">
        <f>IF(真實IC!CB19&gt;真實IC!CB$25,1,0)</f>
        <v/>
      </c>
      <c r="CC19" s="11">
        <f>IF(真實IC!CC19&gt;真實IC!CC$25,1,0)</f>
        <v/>
      </c>
      <c r="CD19" s="11">
        <f>IF(真實IC!CD19&gt;真實IC!CD$25,1,0)</f>
        <v/>
      </c>
      <c r="CE19" s="11">
        <f>IF(真實IC!CE19&gt;真實IC!CE$25,1,0)</f>
        <v/>
      </c>
      <c r="CF19" s="11">
        <f>IF(真實IC!CF19&gt;真實IC!CF$25,1,0)</f>
        <v/>
      </c>
      <c r="CG19" s="11">
        <f>IF(真實IC!CG19&gt;真實IC!CG$25,1,0)</f>
        <v/>
      </c>
      <c r="CH19" s="11">
        <f>IF(真實IC!CH19&gt;真實IC!CH$25,1,0)</f>
        <v/>
      </c>
      <c r="CI19" s="11">
        <f>IF(真實IC!CI19&gt;真實IC!CI$25,1,0)</f>
        <v/>
      </c>
      <c r="CJ19" s="11">
        <f>IF(真實IC!CJ19&gt;真實IC!CJ$25,1,0)</f>
        <v/>
      </c>
      <c r="CK19" s="11">
        <f>IF(真實IC!CK19&gt;真實IC!CK$25,1,0)</f>
        <v/>
      </c>
      <c r="CL19" s="11">
        <f>IF(真實IC!CL19&gt;真實IC!CL$25,1,0)</f>
        <v/>
      </c>
      <c r="CM19" s="11">
        <f>IF(真實IC!CM19&gt;真實IC!CM$25,1,0)</f>
        <v/>
      </c>
      <c r="CN19" s="11">
        <f>IF(真實IC!CN19&gt;真實IC!CN$25,1,0)</f>
        <v/>
      </c>
      <c r="CO19" s="11">
        <f>IF(真實IC!CO19&gt;真實IC!CO$25,1,0)</f>
        <v/>
      </c>
      <c r="CP19" s="11">
        <f>IF(真實IC!CP19&gt;真實IC!CP$25,1,0)</f>
        <v/>
      </c>
      <c r="CQ19" s="11">
        <f>IF(真實IC!CQ19&gt;真實IC!CQ$25,1,0)</f>
        <v/>
      </c>
      <c r="CR19" s="11">
        <f>IF(真實IC!CR19&gt;真實IC!CR$25,1,0)</f>
        <v/>
      </c>
      <c r="CS19" s="11">
        <f>IF(真實IC!CS19&gt;真實IC!CS$25,1,0)</f>
        <v/>
      </c>
      <c r="CT19" s="11">
        <f>IF(真實IC!CT19&gt;真實IC!CT$25,1,0)</f>
        <v/>
      </c>
      <c r="CU19" s="11">
        <f>IF(真實IC!CU19&gt;真實IC!CU$25,1,0)</f>
        <v/>
      </c>
      <c r="CV19" s="11">
        <f>IF(真實IC!CV19&gt;真實IC!CV$25,1,0)</f>
        <v/>
      </c>
      <c r="CW19" s="11">
        <f>IF(真實IC!CW19&gt;真實IC!CW$25,1,0)</f>
        <v/>
      </c>
      <c r="CX19" s="11">
        <f>IF(真實IC!CX19&gt;真實IC!CX$25,1,0)</f>
        <v/>
      </c>
      <c r="CY19" s="11">
        <f>IF(真實IC!CY19&gt;真實IC!CY$25,1,0)</f>
        <v/>
      </c>
      <c r="CZ19" s="11">
        <f>IF(真實IC!CZ19&gt;真實IC!CZ$25,1,0)</f>
        <v/>
      </c>
      <c r="DA19" s="11">
        <f>IF(真實IC!DA19&gt;真實IC!DA$25,1,0)</f>
        <v/>
      </c>
      <c r="DB19" s="11">
        <f>IF(真實IC!DB19&gt;真實IC!DB$25,1,0)</f>
        <v/>
      </c>
      <c r="DC19" s="11">
        <f>IF(真實IC!DC19&gt;真實IC!DC$25,1,0)</f>
        <v/>
      </c>
      <c r="DD19" s="11">
        <f>IF(真實IC!DD19&gt;真實IC!DD$25,1,0)</f>
        <v/>
      </c>
      <c r="DE19" s="11">
        <f>IF(真實IC!DE19&gt;真實IC!DE$25,1,0)</f>
        <v/>
      </c>
      <c r="DF19" s="11">
        <f>IF(真實IC!DF19&gt;真實IC!DF$25,1,0)</f>
        <v/>
      </c>
      <c r="DG19" s="11">
        <f>IF(真實IC!DG19&gt;真實IC!DG$25,1,0)</f>
        <v/>
      </c>
      <c r="DH19" s="11">
        <f>IF(真實IC!DH19&gt;真實IC!DH$25,1,0)</f>
        <v/>
      </c>
      <c r="DI19" s="11">
        <f>IF(真實IC!DI19&gt;真實IC!DI$25,1,0)</f>
        <v/>
      </c>
      <c r="DJ19" s="11">
        <f>IF(真實IC!DJ19&gt;真實IC!DJ$25,1,0)</f>
        <v/>
      </c>
      <c r="DK19" s="11">
        <f>IF(真實IC!DK19&gt;真實IC!DK$25,1,0)</f>
        <v/>
      </c>
      <c r="DL19" s="11">
        <f>IF(真實IC!DL19&gt;真實IC!DL$25,1,0)</f>
        <v/>
      </c>
      <c r="DM19" s="11">
        <f>IF(真實IC!DM19&gt;真實IC!DM$25,1,0)</f>
        <v/>
      </c>
      <c r="DN19" s="11">
        <f>IF(真實IC!DN19&gt;真實IC!DN$25,1,0)</f>
        <v/>
      </c>
      <c r="DO19" s="11">
        <f>IF(真實IC!DO19&gt;真實IC!DO$25,1,0)</f>
        <v/>
      </c>
      <c r="DP19" s="11">
        <f>IF(真實IC!DP19&gt;真實IC!DP$25,1,0)</f>
        <v/>
      </c>
      <c r="DQ19" s="11">
        <f>IF(真實IC!DQ19&gt;真實IC!DQ$25,1,0)</f>
        <v/>
      </c>
      <c r="DR19" s="11">
        <f>IF(真實IC!DR19&gt;真實IC!DR$25,1,0)</f>
        <v/>
      </c>
      <c r="DS19" s="11">
        <f>IF(真實IC!DS19&gt;真實IC!DS$25,1,0)</f>
        <v/>
      </c>
      <c r="DT19" s="11">
        <f>IF(真實IC!DT19&gt;真實IC!DT$25,1,0)</f>
        <v/>
      </c>
      <c r="DU19" s="11">
        <f>IF(真實IC!DU19&gt;真實IC!DU$25,1,0)</f>
        <v/>
      </c>
      <c r="DV19" s="11">
        <f>IF(真實IC!DV19&gt;真實IC!DV$25,1,0)</f>
        <v/>
      </c>
      <c r="DW19" s="11">
        <f>IF(真實IC!DW19&gt;真實IC!DW$25,1,0)</f>
        <v/>
      </c>
      <c r="DX19" s="11">
        <f>IF(真實IC!DX19&gt;真實IC!DX$25,1,0)</f>
        <v/>
      </c>
      <c r="DY19" s="11">
        <f>IF(真實IC!DY19&gt;真實IC!DY$25,1,0)</f>
        <v/>
      </c>
      <c r="DZ19" s="11">
        <f>IF(真實IC!DZ19&gt;真實IC!DZ$25,1,0)</f>
        <v/>
      </c>
      <c r="EA19" s="11">
        <f>IF(真實IC!EA19&gt;真實IC!EA$25,1,0)</f>
        <v/>
      </c>
      <c r="EB19" s="11">
        <f>IF(真實IC!EB19&gt;真實IC!EB$25,1,0)</f>
        <v/>
      </c>
      <c r="EC19" s="11">
        <f>IF(真實IC!EC19&gt;真實IC!EC$25,1,0)</f>
        <v/>
      </c>
      <c r="ED19" s="11">
        <f>IF(真實IC!ED19&gt;真實IC!ED$25,1,0)</f>
        <v/>
      </c>
      <c r="EE19" s="11">
        <f>IF(真實IC!EE19&gt;真實IC!EE$25,1,0)</f>
        <v/>
      </c>
      <c r="EF19" s="11">
        <f>IF(真實IC!EF19&gt;真實IC!EF$25,1,0)</f>
        <v/>
      </c>
      <c r="EG19" s="11">
        <f>IF(真實IC!EG19&gt;真實IC!EG$25,1,0)</f>
        <v/>
      </c>
      <c r="EH19" s="11">
        <f>IF(真實IC!EH19&gt;真實IC!EH$25,1,0)</f>
        <v/>
      </c>
      <c r="EI19" s="11">
        <f>IF(真實IC!EI19&gt;真實IC!EI$25,1,0)</f>
        <v/>
      </c>
      <c r="EJ19" s="11">
        <f>IF(真實IC!EJ19&gt;真實IC!EJ$25,1,0)</f>
        <v/>
      </c>
      <c r="EK19" s="11">
        <f>IF(真實IC!EK19&gt;真實IC!EK$25,1,0)</f>
        <v/>
      </c>
      <c r="EL19" s="11">
        <f>IF(真實IC!EL19&gt;真實IC!EL$25,1,0)</f>
        <v/>
      </c>
      <c r="EM19" s="7">
        <f>SUM(C19:EL19)</f>
        <v/>
      </c>
      <c r="EN19" s="15">
        <f>EM19/140</f>
        <v/>
      </c>
    </row>
    <row r="20">
      <c r="A20" s="13" t="n">
        <v>200</v>
      </c>
      <c r="B20" s="13">
        <f>ROUND($D$10/A20,0)</f>
        <v/>
      </c>
      <c r="C20" s="11">
        <f>IF(真實IC!C20&gt;真實IC!C$25,1,0)</f>
        <v/>
      </c>
      <c r="D20" s="11">
        <f>IF(真實IC!D20&gt;真實IC!D$25,1,0)</f>
        <v/>
      </c>
      <c r="E20" s="11">
        <f>IF(真實IC!E20&gt;真實IC!E$25,1,0)</f>
        <v/>
      </c>
      <c r="F20" s="11">
        <f>IF(真實IC!F20&gt;真實IC!F$25,1,0)</f>
        <v/>
      </c>
      <c r="G20" s="11">
        <f>IF(真實IC!G20&gt;真實IC!G$25,1,0)</f>
        <v/>
      </c>
      <c r="H20" s="11">
        <f>IF(真實IC!H20&gt;真實IC!H$25,1,0)</f>
        <v/>
      </c>
      <c r="I20" s="11">
        <f>IF(真實IC!I20&gt;真實IC!I$25,1,0)</f>
        <v/>
      </c>
      <c r="J20" s="11">
        <f>IF(真實IC!J20&gt;真實IC!J$25,1,0)</f>
        <v/>
      </c>
      <c r="K20" s="11">
        <f>IF(真實IC!K20&gt;真實IC!K$25,1,0)</f>
        <v/>
      </c>
      <c r="L20" s="11">
        <f>IF(真實IC!L20&gt;真實IC!L$25,1,0)</f>
        <v/>
      </c>
      <c r="M20" s="11">
        <f>IF(真實IC!M20&gt;真實IC!M$25,1,0)</f>
        <v/>
      </c>
      <c r="N20" s="11">
        <f>IF(真實IC!N20&gt;真實IC!N$25,1,0)</f>
        <v/>
      </c>
      <c r="O20" s="11">
        <f>IF(真實IC!O20&gt;真實IC!O$25,1,0)</f>
        <v/>
      </c>
      <c r="P20" s="11">
        <f>IF(真實IC!P20&gt;真實IC!P$25,1,0)</f>
        <v/>
      </c>
      <c r="Q20" s="11">
        <f>IF(真實IC!Q20&gt;真實IC!Q$25,1,0)</f>
        <v/>
      </c>
      <c r="R20" s="11">
        <f>IF(真實IC!R20&gt;真實IC!R$25,1,0)</f>
        <v/>
      </c>
      <c r="S20" s="11">
        <f>IF(真實IC!S20&gt;真實IC!S$25,1,0)</f>
        <v/>
      </c>
      <c r="T20" s="11">
        <f>IF(真實IC!T20&gt;真實IC!T$25,1,0)</f>
        <v/>
      </c>
      <c r="U20" s="11">
        <f>IF(真實IC!U20&gt;真實IC!U$25,1,0)</f>
        <v/>
      </c>
      <c r="V20" s="11">
        <f>IF(真實IC!V20&gt;真實IC!V$25,1,0)</f>
        <v/>
      </c>
      <c r="W20" s="11">
        <f>IF(真實IC!W20&gt;真實IC!W$25,1,0)</f>
        <v/>
      </c>
      <c r="X20" s="11">
        <f>IF(真實IC!X20&gt;真實IC!X$25,1,0)</f>
        <v/>
      </c>
      <c r="Y20" s="11">
        <f>IF(真實IC!Y20&gt;真實IC!Y$25,1,0)</f>
        <v/>
      </c>
      <c r="Z20" s="11">
        <f>IF(真實IC!Z20&gt;真實IC!Z$25,1,0)</f>
        <v/>
      </c>
      <c r="AA20" s="11">
        <f>IF(真實IC!AA20&gt;真實IC!AA$25,1,0)</f>
        <v/>
      </c>
      <c r="AB20" s="11">
        <f>IF(真實IC!AB20&gt;真實IC!AB$25,1,0)</f>
        <v/>
      </c>
      <c r="AC20" s="11">
        <f>IF(真實IC!AC20&gt;真實IC!AC$25,1,0)</f>
        <v/>
      </c>
      <c r="AD20" s="11">
        <f>IF(真實IC!AD20&gt;真實IC!AD$25,1,0)</f>
        <v/>
      </c>
      <c r="AE20" s="11">
        <f>IF(真實IC!AE20&gt;真實IC!AE$25,1,0)</f>
        <v/>
      </c>
      <c r="AF20" s="11">
        <f>IF(真實IC!AF20&gt;真實IC!AF$25,1,0)</f>
        <v/>
      </c>
      <c r="AG20" s="11">
        <f>IF(真實IC!AG20&gt;真實IC!AG$25,1,0)</f>
        <v/>
      </c>
      <c r="AH20" s="11">
        <f>IF(真實IC!AH20&gt;真實IC!AH$25,1,0)</f>
        <v/>
      </c>
      <c r="AI20" s="11">
        <f>IF(真實IC!AI20&gt;真實IC!AI$25,1,0)</f>
        <v/>
      </c>
      <c r="AJ20" s="11">
        <f>IF(真實IC!AJ20&gt;真實IC!AJ$25,1,0)</f>
        <v/>
      </c>
      <c r="AK20" s="11">
        <f>IF(真實IC!AK20&gt;真實IC!AK$25,1,0)</f>
        <v/>
      </c>
      <c r="AL20" s="11">
        <f>IF(真實IC!AL20&gt;真實IC!AL$25,1,0)</f>
        <v/>
      </c>
      <c r="AM20" s="11">
        <f>IF(真實IC!AM20&gt;真實IC!AM$25,1,0)</f>
        <v/>
      </c>
      <c r="AN20" s="11">
        <f>IF(真實IC!AN20&gt;真實IC!AN$25,1,0)</f>
        <v/>
      </c>
      <c r="AO20" s="11">
        <f>IF(真實IC!AO20&gt;真實IC!AO$25,1,0)</f>
        <v/>
      </c>
      <c r="AP20" s="11">
        <f>IF(真實IC!AP20&gt;真實IC!AP$25,1,0)</f>
        <v/>
      </c>
      <c r="AQ20" s="11">
        <f>IF(真實IC!AQ20&gt;真實IC!AQ$25,1,0)</f>
        <v/>
      </c>
      <c r="AR20" s="11">
        <f>IF(真實IC!AR20&gt;真實IC!AR$25,1,0)</f>
        <v/>
      </c>
      <c r="AS20" s="11">
        <f>IF(真實IC!AS20&gt;真實IC!AS$25,1,0)</f>
        <v/>
      </c>
      <c r="AT20" s="11">
        <f>IF(真實IC!AT20&gt;真實IC!AT$25,1,0)</f>
        <v/>
      </c>
      <c r="AU20" s="11">
        <f>IF(真實IC!AU20&gt;真實IC!AU$25,1,0)</f>
        <v/>
      </c>
      <c r="AV20" s="11">
        <f>IF(真實IC!AV20&gt;真實IC!AV$25,1,0)</f>
        <v/>
      </c>
      <c r="AW20" s="11">
        <f>IF(真實IC!AW20&gt;真實IC!AW$25,1,0)</f>
        <v/>
      </c>
      <c r="AX20" s="11">
        <f>IF(真實IC!AX20&gt;真實IC!AX$25,1,0)</f>
        <v/>
      </c>
      <c r="AY20" s="11">
        <f>IF(真實IC!AY20&gt;真實IC!AY$25,1,0)</f>
        <v/>
      </c>
      <c r="AZ20" s="11">
        <f>IF(真實IC!AZ20&gt;真實IC!AZ$25,1,0)</f>
        <v/>
      </c>
      <c r="BA20" s="11">
        <f>IF(真實IC!BA20&gt;真實IC!BA$25,1,0)</f>
        <v/>
      </c>
      <c r="BB20" s="11">
        <f>IF(真實IC!BB20&gt;真實IC!BB$25,1,0)</f>
        <v/>
      </c>
      <c r="BC20" s="11">
        <f>IF(真實IC!BC20&gt;真實IC!BC$25,1,0)</f>
        <v/>
      </c>
      <c r="BD20" s="11">
        <f>IF(真實IC!BD20&gt;真實IC!BD$25,1,0)</f>
        <v/>
      </c>
      <c r="BE20" s="11">
        <f>IF(真實IC!BE20&gt;真實IC!BE$25,1,0)</f>
        <v/>
      </c>
      <c r="BF20" s="11">
        <f>IF(真實IC!BF20&gt;真實IC!BF$25,1,0)</f>
        <v/>
      </c>
      <c r="BG20" s="11">
        <f>IF(真實IC!BG20&gt;真實IC!BG$25,1,0)</f>
        <v/>
      </c>
      <c r="BH20" s="11">
        <f>IF(真實IC!BH20&gt;真實IC!BH$25,1,0)</f>
        <v/>
      </c>
      <c r="BI20" s="11">
        <f>IF(真實IC!BI20&gt;真實IC!BI$25,1,0)</f>
        <v/>
      </c>
      <c r="BJ20" s="11">
        <f>IF(真實IC!BJ20&gt;真實IC!BJ$25,1,0)</f>
        <v/>
      </c>
      <c r="BK20" s="11">
        <f>IF(真實IC!BK20&gt;真實IC!BK$25,1,0)</f>
        <v/>
      </c>
      <c r="BL20" s="11">
        <f>IF(真實IC!BL20&gt;真實IC!BL$25,1,0)</f>
        <v/>
      </c>
      <c r="BM20" s="11">
        <f>IF(真實IC!BM20&gt;真實IC!BM$25,1,0)</f>
        <v/>
      </c>
      <c r="BN20" s="11">
        <f>IF(真實IC!BN20&gt;真實IC!BN$25,1,0)</f>
        <v/>
      </c>
      <c r="BO20" s="11">
        <f>IF(真實IC!BO20&gt;真實IC!BO$25,1,0)</f>
        <v/>
      </c>
      <c r="BP20" s="11">
        <f>IF(真實IC!BP20&gt;真實IC!BP$25,1,0)</f>
        <v/>
      </c>
      <c r="BQ20" s="11">
        <f>IF(真實IC!BQ20&gt;真實IC!BQ$25,1,0)</f>
        <v/>
      </c>
      <c r="BR20" s="11">
        <f>IF(真實IC!BR20&gt;真實IC!BR$25,1,0)</f>
        <v/>
      </c>
      <c r="BS20" s="11">
        <f>IF(真實IC!BS20&gt;真實IC!BS$25,1,0)</f>
        <v/>
      </c>
      <c r="BT20" s="11">
        <f>IF(真實IC!BT20&gt;真實IC!BT$25,1,0)</f>
        <v/>
      </c>
      <c r="BU20" s="11">
        <f>IF(真實IC!BU20&gt;真實IC!BU$25,1,0)</f>
        <v/>
      </c>
      <c r="BV20" s="11">
        <f>IF(真實IC!BV20&gt;真實IC!BV$25,1,0)</f>
        <v/>
      </c>
      <c r="BW20" s="11">
        <f>IF(真實IC!BW20&gt;真實IC!BW$25,1,0)</f>
        <v/>
      </c>
      <c r="BX20" s="11">
        <f>IF(真實IC!BX20&gt;真實IC!BX$25,1,0)</f>
        <v/>
      </c>
      <c r="BY20" s="11">
        <f>IF(真實IC!BY20&gt;真實IC!BY$25,1,0)</f>
        <v/>
      </c>
      <c r="BZ20" s="11">
        <f>IF(真實IC!BZ20&gt;真實IC!BZ$25,1,0)</f>
        <v/>
      </c>
      <c r="CA20" s="11">
        <f>IF(真實IC!CA20&gt;真實IC!CA$25,1,0)</f>
        <v/>
      </c>
      <c r="CB20" s="11">
        <f>IF(真實IC!CB20&gt;真實IC!CB$25,1,0)</f>
        <v/>
      </c>
      <c r="CC20" s="11">
        <f>IF(真實IC!CC20&gt;真實IC!CC$25,1,0)</f>
        <v/>
      </c>
      <c r="CD20" s="11">
        <f>IF(真實IC!CD20&gt;真實IC!CD$25,1,0)</f>
        <v/>
      </c>
      <c r="CE20" s="11">
        <f>IF(真實IC!CE20&gt;真實IC!CE$25,1,0)</f>
        <v/>
      </c>
      <c r="CF20" s="11">
        <f>IF(真實IC!CF20&gt;真實IC!CF$25,1,0)</f>
        <v/>
      </c>
      <c r="CG20" s="11">
        <f>IF(真實IC!CG20&gt;真實IC!CG$25,1,0)</f>
        <v/>
      </c>
      <c r="CH20" s="11">
        <f>IF(真實IC!CH20&gt;真實IC!CH$25,1,0)</f>
        <v/>
      </c>
      <c r="CI20" s="11">
        <f>IF(真實IC!CI20&gt;真實IC!CI$25,1,0)</f>
        <v/>
      </c>
      <c r="CJ20" s="11">
        <f>IF(真實IC!CJ20&gt;真實IC!CJ$25,1,0)</f>
        <v/>
      </c>
      <c r="CK20" s="11">
        <f>IF(真實IC!CK20&gt;真實IC!CK$25,1,0)</f>
        <v/>
      </c>
      <c r="CL20" s="11">
        <f>IF(真實IC!CL20&gt;真實IC!CL$25,1,0)</f>
        <v/>
      </c>
      <c r="CM20" s="11">
        <f>IF(真實IC!CM20&gt;真實IC!CM$25,1,0)</f>
        <v/>
      </c>
      <c r="CN20" s="11">
        <f>IF(真實IC!CN20&gt;真實IC!CN$25,1,0)</f>
        <v/>
      </c>
      <c r="CO20" s="11">
        <f>IF(真實IC!CO20&gt;真實IC!CO$25,1,0)</f>
        <v/>
      </c>
      <c r="CP20" s="11">
        <f>IF(真實IC!CP20&gt;真實IC!CP$25,1,0)</f>
        <v/>
      </c>
      <c r="CQ20" s="11">
        <f>IF(真實IC!CQ20&gt;真實IC!CQ$25,1,0)</f>
        <v/>
      </c>
      <c r="CR20" s="11">
        <f>IF(真實IC!CR20&gt;真實IC!CR$25,1,0)</f>
        <v/>
      </c>
      <c r="CS20" s="11">
        <f>IF(真實IC!CS20&gt;真實IC!CS$25,1,0)</f>
        <v/>
      </c>
      <c r="CT20" s="11">
        <f>IF(真實IC!CT20&gt;真實IC!CT$25,1,0)</f>
        <v/>
      </c>
      <c r="CU20" s="11">
        <f>IF(真實IC!CU20&gt;真實IC!CU$25,1,0)</f>
        <v/>
      </c>
      <c r="CV20" s="11">
        <f>IF(真實IC!CV20&gt;真實IC!CV$25,1,0)</f>
        <v/>
      </c>
      <c r="CW20" s="11">
        <f>IF(真實IC!CW20&gt;真實IC!CW$25,1,0)</f>
        <v/>
      </c>
      <c r="CX20" s="11">
        <f>IF(真實IC!CX20&gt;真實IC!CX$25,1,0)</f>
        <v/>
      </c>
      <c r="CY20" s="11">
        <f>IF(真實IC!CY20&gt;真實IC!CY$25,1,0)</f>
        <v/>
      </c>
      <c r="CZ20" s="11">
        <f>IF(真實IC!CZ20&gt;真實IC!CZ$25,1,0)</f>
        <v/>
      </c>
      <c r="DA20" s="11">
        <f>IF(真實IC!DA20&gt;真實IC!DA$25,1,0)</f>
        <v/>
      </c>
      <c r="DB20" s="11">
        <f>IF(真實IC!DB20&gt;真實IC!DB$25,1,0)</f>
        <v/>
      </c>
      <c r="DC20" s="11">
        <f>IF(真實IC!DC20&gt;真實IC!DC$25,1,0)</f>
        <v/>
      </c>
      <c r="DD20" s="11">
        <f>IF(真實IC!DD20&gt;真實IC!DD$25,1,0)</f>
        <v/>
      </c>
      <c r="DE20" s="11">
        <f>IF(真實IC!DE20&gt;真實IC!DE$25,1,0)</f>
        <v/>
      </c>
      <c r="DF20" s="11">
        <f>IF(真實IC!DF20&gt;真實IC!DF$25,1,0)</f>
        <v/>
      </c>
      <c r="DG20" s="11">
        <f>IF(真實IC!DG20&gt;真實IC!DG$25,1,0)</f>
        <v/>
      </c>
      <c r="DH20" s="11">
        <f>IF(真實IC!DH20&gt;真實IC!DH$25,1,0)</f>
        <v/>
      </c>
      <c r="DI20" s="11">
        <f>IF(真實IC!DI20&gt;真實IC!DI$25,1,0)</f>
        <v/>
      </c>
      <c r="DJ20" s="11">
        <f>IF(真實IC!DJ20&gt;真實IC!DJ$25,1,0)</f>
        <v/>
      </c>
      <c r="DK20" s="11">
        <f>IF(真實IC!DK20&gt;真實IC!DK$25,1,0)</f>
        <v/>
      </c>
      <c r="DL20" s="11">
        <f>IF(真實IC!DL20&gt;真實IC!DL$25,1,0)</f>
        <v/>
      </c>
      <c r="DM20" s="11">
        <f>IF(真實IC!DM20&gt;真實IC!DM$25,1,0)</f>
        <v/>
      </c>
      <c r="DN20" s="11">
        <f>IF(真實IC!DN20&gt;真實IC!DN$25,1,0)</f>
        <v/>
      </c>
      <c r="DO20" s="11">
        <f>IF(真實IC!DO20&gt;真實IC!DO$25,1,0)</f>
        <v/>
      </c>
      <c r="DP20" s="11">
        <f>IF(真實IC!DP20&gt;真實IC!DP$25,1,0)</f>
        <v/>
      </c>
      <c r="DQ20" s="11">
        <f>IF(真實IC!DQ20&gt;真實IC!DQ$25,1,0)</f>
        <v/>
      </c>
      <c r="DR20" s="11">
        <f>IF(真實IC!DR20&gt;真實IC!DR$25,1,0)</f>
        <v/>
      </c>
      <c r="DS20" s="11">
        <f>IF(真實IC!DS20&gt;真實IC!DS$25,1,0)</f>
        <v/>
      </c>
      <c r="DT20" s="11">
        <f>IF(真實IC!DT20&gt;真實IC!DT$25,1,0)</f>
        <v/>
      </c>
      <c r="DU20" s="11">
        <f>IF(真實IC!DU20&gt;真實IC!DU$25,1,0)</f>
        <v/>
      </c>
      <c r="DV20" s="11">
        <f>IF(真實IC!DV20&gt;真實IC!DV$25,1,0)</f>
        <v/>
      </c>
      <c r="DW20" s="11">
        <f>IF(真實IC!DW20&gt;真實IC!DW$25,1,0)</f>
        <v/>
      </c>
      <c r="DX20" s="11">
        <f>IF(真實IC!DX20&gt;真實IC!DX$25,1,0)</f>
        <v/>
      </c>
      <c r="DY20" s="11">
        <f>IF(真實IC!DY20&gt;真實IC!DY$25,1,0)</f>
        <v/>
      </c>
      <c r="DZ20" s="11">
        <f>IF(真實IC!DZ20&gt;真實IC!DZ$25,1,0)</f>
        <v/>
      </c>
      <c r="EA20" s="11">
        <f>IF(真實IC!EA20&gt;真實IC!EA$25,1,0)</f>
        <v/>
      </c>
      <c r="EB20" s="11">
        <f>IF(真實IC!EB20&gt;真實IC!EB$25,1,0)</f>
        <v/>
      </c>
      <c r="EC20" s="11">
        <f>IF(真實IC!EC20&gt;真實IC!EC$25,1,0)</f>
        <v/>
      </c>
      <c r="ED20" s="11">
        <f>IF(真實IC!ED20&gt;真實IC!ED$25,1,0)</f>
        <v/>
      </c>
      <c r="EE20" s="11">
        <f>IF(真實IC!EE20&gt;真實IC!EE$25,1,0)</f>
        <v/>
      </c>
      <c r="EF20" s="11">
        <f>IF(真實IC!EF20&gt;真實IC!EF$25,1,0)</f>
        <v/>
      </c>
      <c r="EG20" s="11">
        <f>IF(真實IC!EG20&gt;真實IC!EG$25,1,0)</f>
        <v/>
      </c>
      <c r="EH20" s="11">
        <f>IF(真實IC!EH20&gt;真實IC!EH$25,1,0)</f>
        <v/>
      </c>
      <c r="EI20" s="11">
        <f>IF(真實IC!EI20&gt;真實IC!EI$25,1,0)</f>
        <v/>
      </c>
      <c r="EJ20" s="11">
        <f>IF(真實IC!EJ20&gt;真實IC!EJ$25,1,0)</f>
        <v/>
      </c>
      <c r="EK20" s="11">
        <f>IF(真實IC!EK20&gt;真實IC!EK$25,1,0)</f>
        <v/>
      </c>
      <c r="EL20" s="11">
        <f>IF(真實IC!EL20&gt;真實IC!EL$25,1,0)</f>
        <v/>
      </c>
      <c r="EM20" s="7">
        <f>SUM(C20:EL20)</f>
        <v/>
      </c>
      <c r="EN20" s="15">
        <f>EM20/140</f>
        <v/>
      </c>
    </row>
    <row r="21">
      <c r="A21" s="13" t="n">
        <v>256</v>
      </c>
      <c r="B21" s="13">
        <f>ROUND($D$10/A21,0)</f>
        <v/>
      </c>
      <c r="C21" s="11">
        <f>IF(真實IC!C21&gt;真實IC!C$25,1,0)</f>
        <v/>
      </c>
      <c r="D21" s="11">
        <f>IF(真實IC!D21&gt;真實IC!D$25,1,0)</f>
        <v/>
      </c>
      <c r="E21" s="11">
        <f>IF(真實IC!E21&gt;真實IC!E$25,1,0)</f>
        <v/>
      </c>
      <c r="F21" s="11">
        <f>IF(真實IC!F21&gt;真實IC!F$25,1,0)</f>
        <v/>
      </c>
      <c r="G21" s="11">
        <f>IF(真實IC!G21&gt;真實IC!G$25,1,0)</f>
        <v/>
      </c>
      <c r="H21" s="11">
        <f>IF(真實IC!H21&gt;真實IC!H$25,1,0)</f>
        <v/>
      </c>
      <c r="I21" s="11">
        <f>IF(真實IC!I21&gt;真實IC!I$25,1,0)</f>
        <v/>
      </c>
      <c r="J21" s="11">
        <f>IF(真實IC!J21&gt;真實IC!J$25,1,0)</f>
        <v/>
      </c>
      <c r="K21" s="11">
        <f>IF(真實IC!K21&gt;真實IC!K$25,1,0)</f>
        <v/>
      </c>
      <c r="L21" s="11">
        <f>IF(真實IC!L21&gt;真實IC!L$25,1,0)</f>
        <v/>
      </c>
      <c r="M21" s="11">
        <f>IF(真實IC!M21&gt;真實IC!M$25,1,0)</f>
        <v/>
      </c>
      <c r="N21" s="11">
        <f>IF(真實IC!N21&gt;真實IC!N$25,1,0)</f>
        <v/>
      </c>
      <c r="O21" s="11">
        <f>IF(真實IC!O21&gt;真實IC!O$25,1,0)</f>
        <v/>
      </c>
      <c r="P21" s="11">
        <f>IF(真實IC!P21&gt;真實IC!P$25,1,0)</f>
        <v/>
      </c>
      <c r="Q21" s="11">
        <f>IF(真實IC!Q21&gt;真實IC!Q$25,1,0)</f>
        <v/>
      </c>
      <c r="R21" s="11">
        <f>IF(真實IC!R21&gt;真實IC!R$25,1,0)</f>
        <v/>
      </c>
      <c r="S21" s="11">
        <f>IF(真實IC!S21&gt;真實IC!S$25,1,0)</f>
        <v/>
      </c>
      <c r="T21" s="11">
        <f>IF(真實IC!T21&gt;真實IC!T$25,1,0)</f>
        <v/>
      </c>
      <c r="U21" s="11">
        <f>IF(真實IC!U21&gt;真實IC!U$25,1,0)</f>
        <v/>
      </c>
      <c r="V21" s="11">
        <f>IF(真實IC!V21&gt;真實IC!V$25,1,0)</f>
        <v/>
      </c>
      <c r="W21" s="11">
        <f>IF(真實IC!W21&gt;真實IC!W$25,1,0)</f>
        <v/>
      </c>
      <c r="X21" s="11">
        <f>IF(真實IC!X21&gt;真實IC!X$25,1,0)</f>
        <v/>
      </c>
      <c r="Y21" s="11">
        <f>IF(真實IC!Y21&gt;真實IC!Y$25,1,0)</f>
        <v/>
      </c>
      <c r="Z21" s="11">
        <f>IF(真實IC!Z21&gt;真實IC!Z$25,1,0)</f>
        <v/>
      </c>
      <c r="AA21" s="11">
        <f>IF(真實IC!AA21&gt;真實IC!AA$25,1,0)</f>
        <v/>
      </c>
      <c r="AB21" s="11">
        <f>IF(真實IC!AB21&gt;真實IC!AB$25,1,0)</f>
        <v/>
      </c>
      <c r="AC21" s="11">
        <f>IF(真實IC!AC21&gt;真實IC!AC$25,1,0)</f>
        <v/>
      </c>
      <c r="AD21" s="11">
        <f>IF(真實IC!AD21&gt;真實IC!AD$25,1,0)</f>
        <v/>
      </c>
      <c r="AE21" s="11">
        <f>IF(真實IC!AE21&gt;真實IC!AE$25,1,0)</f>
        <v/>
      </c>
      <c r="AF21" s="11">
        <f>IF(真實IC!AF21&gt;真實IC!AF$25,1,0)</f>
        <v/>
      </c>
      <c r="AG21" s="11">
        <f>IF(真實IC!AG21&gt;真實IC!AG$25,1,0)</f>
        <v/>
      </c>
      <c r="AH21" s="11">
        <f>IF(真實IC!AH21&gt;真實IC!AH$25,1,0)</f>
        <v/>
      </c>
      <c r="AI21" s="11">
        <f>IF(真實IC!AI21&gt;真實IC!AI$25,1,0)</f>
        <v/>
      </c>
      <c r="AJ21" s="11">
        <f>IF(真實IC!AJ21&gt;真實IC!AJ$25,1,0)</f>
        <v/>
      </c>
      <c r="AK21" s="11">
        <f>IF(真實IC!AK21&gt;真實IC!AK$25,1,0)</f>
        <v/>
      </c>
      <c r="AL21" s="11">
        <f>IF(真實IC!AL21&gt;真實IC!AL$25,1,0)</f>
        <v/>
      </c>
      <c r="AM21" s="11">
        <f>IF(真實IC!AM21&gt;真實IC!AM$25,1,0)</f>
        <v/>
      </c>
      <c r="AN21" s="11">
        <f>IF(真實IC!AN21&gt;真實IC!AN$25,1,0)</f>
        <v/>
      </c>
      <c r="AO21" s="11">
        <f>IF(真實IC!AO21&gt;真實IC!AO$25,1,0)</f>
        <v/>
      </c>
      <c r="AP21" s="11">
        <f>IF(真實IC!AP21&gt;真實IC!AP$25,1,0)</f>
        <v/>
      </c>
      <c r="AQ21" s="11">
        <f>IF(真實IC!AQ21&gt;真實IC!AQ$25,1,0)</f>
        <v/>
      </c>
      <c r="AR21" s="11">
        <f>IF(真實IC!AR21&gt;真實IC!AR$25,1,0)</f>
        <v/>
      </c>
      <c r="AS21" s="11">
        <f>IF(真實IC!AS21&gt;真實IC!AS$25,1,0)</f>
        <v/>
      </c>
      <c r="AT21" s="11">
        <f>IF(真實IC!AT21&gt;真實IC!AT$25,1,0)</f>
        <v/>
      </c>
      <c r="AU21" s="11">
        <f>IF(真實IC!AU21&gt;真實IC!AU$25,1,0)</f>
        <v/>
      </c>
      <c r="AV21" s="11">
        <f>IF(真實IC!AV21&gt;真實IC!AV$25,1,0)</f>
        <v/>
      </c>
      <c r="AW21" s="11">
        <f>IF(真實IC!AW21&gt;真實IC!AW$25,1,0)</f>
        <v/>
      </c>
      <c r="AX21" s="11">
        <f>IF(真實IC!AX21&gt;真實IC!AX$25,1,0)</f>
        <v/>
      </c>
      <c r="AY21" s="11">
        <f>IF(真實IC!AY21&gt;真實IC!AY$25,1,0)</f>
        <v/>
      </c>
      <c r="AZ21" s="11">
        <f>IF(真實IC!AZ21&gt;真實IC!AZ$25,1,0)</f>
        <v/>
      </c>
      <c r="BA21" s="11">
        <f>IF(真實IC!BA21&gt;真實IC!BA$25,1,0)</f>
        <v/>
      </c>
      <c r="BB21" s="11">
        <f>IF(真實IC!BB21&gt;真實IC!BB$25,1,0)</f>
        <v/>
      </c>
      <c r="BC21" s="11">
        <f>IF(真實IC!BC21&gt;真實IC!BC$25,1,0)</f>
        <v/>
      </c>
      <c r="BD21" s="11">
        <f>IF(真實IC!BD21&gt;真實IC!BD$25,1,0)</f>
        <v/>
      </c>
      <c r="BE21" s="11">
        <f>IF(真實IC!BE21&gt;真實IC!BE$25,1,0)</f>
        <v/>
      </c>
      <c r="BF21" s="11">
        <f>IF(真實IC!BF21&gt;真實IC!BF$25,1,0)</f>
        <v/>
      </c>
      <c r="BG21" s="11">
        <f>IF(真實IC!BG21&gt;真實IC!BG$25,1,0)</f>
        <v/>
      </c>
      <c r="BH21" s="11">
        <f>IF(真實IC!BH21&gt;真實IC!BH$25,1,0)</f>
        <v/>
      </c>
      <c r="BI21" s="11">
        <f>IF(真實IC!BI21&gt;真實IC!BI$25,1,0)</f>
        <v/>
      </c>
      <c r="BJ21" s="11">
        <f>IF(真實IC!BJ21&gt;真實IC!BJ$25,1,0)</f>
        <v/>
      </c>
      <c r="BK21" s="11">
        <f>IF(真實IC!BK21&gt;真實IC!BK$25,1,0)</f>
        <v/>
      </c>
      <c r="BL21" s="11">
        <f>IF(真實IC!BL21&gt;真實IC!BL$25,1,0)</f>
        <v/>
      </c>
      <c r="BM21" s="11">
        <f>IF(真實IC!BM21&gt;真實IC!BM$25,1,0)</f>
        <v/>
      </c>
      <c r="BN21" s="11">
        <f>IF(真實IC!BN21&gt;真實IC!BN$25,1,0)</f>
        <v/>
      </c>
      <c r="BO21" s="11">
        <f>IF(真實IC!BO21&gt;真實IC!BO$25,1,0)</f>
        <v/>
      </c>
      <c r="BP21" s="11">
        <f>IF(真實IC!BP21&gt;真實IC!BP$25,1,0)</f>
        <v/>
      </c>
      <c r="BQ21" s="11">
        <f>IF(真實IC!BQ21&gt;真實IC!BQ$25,1,0)</f>
        <v/>
      </c>
      <c r="BR21" s="11">
        <f>IF(真實IC!BR21&gt;真實IC!BR$25,1,0)</f>
        <v/>
      </c>
      <c r="BS21" s="11">
        <f>IF(真實IC!BS21&gt;真實IC!BS$25,1,0)</f>
        <v/>
      </c>
      <c r="BT21" s="11">
        <f>IF(真實IC!BT21&gt;真實IC!BT$25,1,0)</f>
        <v/>
      </c>
      <c r="BU21" s="11">
        <f>IF(真實IC!BU21&gt;真實IC!BU$25,1,0)</f>
        <v/>
      </c>
      <c r="BV21" s="11">
        <f>IF(真實IC!BV21&gt;真實IC!BV$25,1,0)</f>
        <v/>
      </c>
      <c r="BW21" s="11">
        <f>IF(真實IC!BW21&gt;真實IC!BW$25,1,0)</f>
        <v/>
      </c>
      <c r="BX21" s="11">
        <f>IF(真實IC!BX21&gt;真實IC!BX$25,1,0)</f>
        <v/>
      </c>
      <c r="BY21" s="11">
        <f>IF(真實IC!BY21&gt;真實IC!BY$25,1,0)</f>
        <v/>
      </c>
      <c r="BZ21" s="11">
        <f>IF(真實IC!BZ21&gt;真實IC!BZ$25,1,0)</f>
        <v/>
      </c>
      <c r="CA21" s="11">
        <f>IF(真實IC!CA21&gt;真實IC!CA$25,1,0)</f>
        <v/>
      </c>
      <c r="CB21" s="11">
        <f>IF(真實IC!CB21&gt;真實IC!CB$25,1,0)</f>
        <v/>
      </c>
      <c r="CC21" s="11">
        <f>IF(真實IC!CC21&gt;真實IC!CC$25,1,0)</f>
        <v/>
      </c>
      <c r="CD21" s="11">
        <f>IF(真實IC!CD21&gt;真實IC!CD$25,1,0)</f>
        <v/>
      </c>
      <c r="CE21" s="11">
        <f>IF(真實IC!CE21&gt;真實IC!CE$25,1,0)</f>
        <v/>
      </c>
      <c r="CF21" s="11">
        <f>IF(真實IC!CF21&gt;真實IC!CF$25,1,0)</f>
        <v/>
      </c>
      <c r="CG21" s="11">
        <f>IF(真實IC!CG21&gt;真實IC!CG$25,1,0)</f>
        <v/>
      </c>
      <c r="CH21" s="11">
        <f>IF(真實IC!CH21&gt;真實IC!CH$25,1,0)</f>
        <v/>
      </c>
      <c r="CI21" s="11">
        <f>IF(真實IC!CI21&gt;真實IC!CI$25,1,0)</f>
        <v/>
      </c>
      <c r="CJ21" s="11">
        <f>IF(真實IC!CJ21&gt;真實IC!CJ$25,1,0)</f>
        <v/>
      </c>
      <c r="CK21" s="11">
        <f>IF(真實IC!CK21&gt;真實IC!CK$25,1,0)</f>
        <v/>
      </c>
      <c r="CL21" s="11">
        <f>IF(真實IC!CL21&gt;真實IC!CL$25,1,0)</f>
        <v/>
      </c>
      <c r="CM21" s="11">
        <f>IF(真實IC!CM21&gt;真實IC!CM$25,1,0)</f>
        <v/>
      </c>
      <c r="CN21" s="11">
        <f>IF(真實IC!CN21&gt;真實IC!CN$25,1,0)</f>
        <v/>
      </c>
      <c r="CO21" s="11">
        <f>IF(真實IC!CO21&gt;真實IC!CO$25,1,0)</f>
        <v/>
      </c>
      <c r="CP21" s="11">
        <f>IF(真實IC!CP21&gt;真實IC!CP$25,1,0)</f>
        <v/>
      </c>
      <c r="CQ21" s="11">
        <f>IF(真實IC!CQ21&gt;真實IC!CQ$25,1,0)</f>
        <v/>
      </c>
      <c r="CR21" s="11">
        <f>IF(真實IC!CR21&gt;真實IC!CR$25,1,0)</f>
        <v/>
      </c>
      <c r="CS21" s="11">
        <f>IF(真實IC!CS21&gt;真實IC!CS$25,1,0)</f>
        <v/>
      </c>
      <c r="CT21" s="11">
        <f>IF(真實IC!CT21&gt;真實IC!CT$25,1,0)</f>
        <v/>
      </c>
      <c r="CU21" s="11">
        <f>IF(真實IC!CU21&gt;真實IC!CU$25,1,0)</f>
        <v/>
      </c>
      <c r="CV21" s="11">
        <f>IF(真實IC!CV21&gt;真實IC!CV$25,1,0)</f>
        <v/>
      </c>
      <c r="CW21" s="11">
        <f>IF(真實IC!CW21&gt;真實IC!CW$25,1,0)</f>
        <v/>
      </c>
      <c r="CX21" s="11">
        <f>IF(真實IC!CX21&gt;真實IC!CX$25,1,0)</f>
        <v/>
      </c>
      <c r="CY21" s="11">
        <f>IF(真實IC!CY21&gt;真實IC!CY$25,1,0)</f>
        <v/>
      </c>
      <c r="CZ21" s="11">
        <f>IF(真實IC!CZ21&gt;真實IC!CZ$25,1,0)</f>
        <v/>
      </c>
      <c r="DA21" s="11">
        <f>IF(真實IC!DA21&gt;真實IC!DA$25,1,0)</f>
        <v/>
      </c>
      <c r="DB21" s="11">
        <f>IF(真實IC!DB21&gt;真實IC!DB$25,1,0)</f>
        <v/>
      </c>
      <c r="DC21" s="11">
        <f>IF(真實IC!DC21&gt;真實IC!DC$25,1,0)</f>
        <v/>
      </c>
      <c r="DD21" s="11">
        <f>IF(真實IC!DD21&gt;真實IC!DD$25,1,0)</f>
        <v/>
      </c>
      <c r="DE21" s="11">
        <f>IF(真實IC!DE21&gt;真實IC!DE$25,1,0)</f>
        <v/>
      </c>
      <c r="DF21" s="11">
        <f>IF(真實IC!DF21&gt;真實IC!DF$25,1,0)</f>
        <v/>
      </c>
      <c r="DG21" s="11">
        <f>IF(真實IC!DG21&gt;真實IC!DG$25,1,0)</f>
        <v/>
      </c>
      <c r="DH21" s="11">
        <f>IF(真實IC!DH21&gt;真實IC!DH$25,1,0)</f>
        <v/>
      </c>
      <c r="DI21" s="11">
        <f>IF(真實IC!DI21&gt;真實IC!DI$25,1,0)</f>
        <v/>
      </c>
      <c r="DJ21" s="11">
        <f>IF(真實IC!DJ21&gt;真實IC!DJ$25,1,0)</f>
        <v/>
      </c>
      <c r="DK21" s="11">
        <f>IF(真實IC!DK21&gt;真實IC!DK$25,1,0)</f>
        <v/>
      </c>
      <c r="DL21" s="11">
        <f>IF(真實IC!DL21&gt;真實IC!DL$25,1,0)</f>
        <v/>
      </c>
      <c r="DM21" s="11">
        <f>IF(真實IC!DM21&gt;真實IC!DM$25,1,0)</f>
        <v/>
      </c>
      <c r="DN21" s="11">
        <f>IF(真實IC!DN21&gt;真實IC!DN$25,1,0)</f>
        <v/>
      </c>
      <c r="DO21" s="11">
        <f>IF(真實IC!DO21&gt;真實IC!DO$25,1,0)</f>
        <v/>
      </c>
      <c r="DP21" s="11">
        <f>IF(真實IC!DP21&gt;真實IC!DP$25,1,0)</f>
        <v/>
      </c>
      <c r="DQ21" s="11">
        <f>IF(真實IC!DQ21&gt;真實IC!DQ$25,1,0)</f>
        <v/>
      </c>
      <c r="DR21" s="11">
        <f>IF(真實IC!DR21&gt;真實IC!DR$25,1,0)</f>
        <v/>
      </c>
      <c r="DS21" s="11">
        <f>IF(真實IC!DS21&gt;真實IC!DS$25,1,0)</f>
        <v/>
      </c>
      <c r="DT21" s="11">
        <f>IF(真實IC!DT21&gt;真實IC!DT$25,1,0)</f>
        <v/>
      </c>
      <c r="DU21" s="11">
        <f>IF(真實IC!DU21&gt;真實IC!DU$25,1,0)</f>
        <v/>
      </c>
      <c r="DV21" s="11">
        <f>IF(真實IC!DV21&gt;真實IC!DV$25,1,0)</f>
        <v/>
      </c>
      <c r="DW21" s="11">
        <f>IF(真實IC!DW21&gt;真實IC!DW$25,1,0)</f>
        <v/>
      </c>
      <c r="DX21" s="11">
        <f>IF(真實IC!DX21&gt;真實IC!DX$25,1,0)</f>
        <v/>
      </c>
      <c r="DY21" s="11">
        <f>IF(真實IC!DY21&gt;真實IC!DY$25,1,0)</f>
        <v/>
      </c>
      <c r="DZ21" s="11">
        <f>IF(真實IC!DZ21&gt;真實IC!DZ$25,1,0)</f>
        <v/>
      </c>
      <c r="EA21" s="11">
        <f>IF(真實IC!EA21&gt;真實IC!EA$25,1,0)</f>
        <v/>
      </c>
      <c r="EB21" s="11">
        <f>IF(真實IC!EB21&gt;真實IC!EB$25,1,0)</f>
        <v/>
      </c>
      <c r="EC21" s="11">
        <f>IF(真實IC!EC21&gt;真實IC!EC$25,1,0)</f>
        <v/>
      </c>
      <c r="ED21" s="11">
        <f>IF(真實IC!ED21&gt;真實IC!ED$25,1,0)</f>
        <v/>
      </c>
      <c r="EE21" s="11">
        <f>IF(真實IC!EE21&gt;真實IC!EE$25,1,0)</f>
        <v/>
      </c>
      <c r="EF21" s="11">
        <f>IF(真實IC!EF21&gt;真實IC!EF$25,1,0)</f>
        <v/>
      </c>
      <c r="EG21" s="11">
        <f>IF(真實IC!EG21&gt;真實IC!EG$25,1,0)</f>
        <v/>
      </c>
      <c r="EH21" s="11">
        <f>IF(真實IC!EH21&gt;真實IC!EH$25,1,0)</f>
        <v/>
      </c>
      <c r="EI21" s="11">
        <f>IF(真實IC!EI21&gt;真實IC!EI$25,1,0)</f>
        <v/>
      </c>
      <c r="EJ21" s="11">
        <f>IF(真實IC!EJ21&gt;真實IC!EJ$25,1,0)</f>
        <v/>
      </c>
      <c r="EK21" s="11">
        <f>IF(真實IC!EK21&gt;真實IC!EK$25,1,0)</f>
        <v/>
      </c>
      <c r="EL21" s="11">
        <f>IF(真實IC!EL21&gt;真實IC!EL$25,1,0)</f>
        <v/>
      </c>
      <c r="EM21" s="7">
        <f>SUM(C21:EL21)</f>
        <v/>
      </c>
      <c r="EN21" s="15">
        <f>EM21/140</f>
        <v/>
      </c>
    </row>
    <row r="22">
      <c r="A22" s="13" t="n">
        <v>400</v>
      </c>
      <c r="B22" s="13">
        <f>ROUND($D$10/A22,0)</f>
        <v/>
      </c>
      <c r="C22" s="11">
        <f>IF(真實IC!C22&gt;真實IC!C$25,1,0)</f>
        <v/>
      </c>
      <c r="D22" s="11">
        <f>IF(真實IC!D22&gt;真實IC!D$25,1,0)</f>
        <v/>
      </c>
      <c r="E22" s="11">
        <f>IF(真實IC!E22&gt;真實IC!E$25,1,0)</f>
        <v/>
      </c>
      <c r="F22" s="11">
        <f>IF(真實IC!F22&gt;真實IC!F$25,1,0)</f>
        <v/>
      </c>
      <c r="G22" s="11">
        <f>IF(真實IC!G22&gt;真實IC!G$25,1,0)</f>
        <v/>
      </c>
      <c r="H22" s="11">
        <f>IF(真實IC!H22&gt;真實IC!H$25,1,0)</f>
        <v/>
      </c>
      <c r="I22" s="11">
        <f>IF(真實IC!I22&gt;真實IC!I$25,1,0)</f>
        <v/>
      </c>
      <c r="J22" s="11">
        <f>IF(真實IC!J22&gt;真實IC!J$25,1,0)</f>
        <v/>
      </c>
      <c r="K22" s="11">
        <f>IF(真實IC!K22&gt;真實IC!K$25,1,0)</f>
        <v/>
      </c>
      <c r="L22" s="11">
        <f>IF(真實IC!L22&gt;真實IC!L$25,1,0)</f>
        <v/>
      </c>
      <c r="M22" s="11">
        <f>IF(真實IC!M22&gt;真實IC!M$25,1,0)</f>
        <v/>
      </c>
      <c r="N22" s="11">
        <f>IF(真實IC!N22&gt;真實IC!N$25,1,0)</f>
        <v/>
      </c>
      <c r="O22" s="11">
        <f>IF(真實IC!O22&gt;真實IC!O$25,1,0)</f>
        <v/>
      </c>
      <c r="P22" s="11">
        <f>IF(真實IC!P22&gt;真實IC!P$25,1,0)</f>
        <v/>
      </c>
      <c r="Q22" s="11">
        <f>IF(真實IC!Q22&gt;真實IC!Q$25,1,0)</f>
        <v/>
      </c>
      <c r="R22" s="11">
        <f>IF(真實IC!R22&gt;真實IC!R$25,1,0)</f>
        <v/>
      </c>
      <c r="S22" s="11">
        <f>IF(真實IC!S22&gt;真實IC!S$25,1,0)</f>
        <v/>
      </c>
      <c r="T22" s="11">
        <f>IF(真實IC!T22&gt;真實IC!T$25,1,0)</f>
        <v/>
      </c>
      <c r="U22" s="11">
        <f>IF(真實IC!U22&gt;真實IC!U$25,1,0)</f>
        <v/>
      </c>
      <c r="V22" s="11">
        <f>IF(真實IC!V22&gt;真實IC!V$25,1,0)</f>
        <v/>
      </c>
      <c r="W22" s="11">
        <f>IF(真實IC!W22&gt;真實IC!W$25,1,0)</f>
        <v/>
      </c>
      <c r="X22" s="11">
        <f>IF(真實IC!X22&gt;真實IC!X$25,1,0)</f>
        <v/>
      </c>
      <c r="Y22" s="11">
        <f>IF(真實IC!Y22&gt;真實IC!Y$25,1,0)</f>
        <v/>
      </c>
      <c r="Z22" s="11">
        <f>IF(真實IC!Z22&gt;真實IC!Z$25,1,0)</f>
        <v/>
      </c>
      <c r="AA22" s="11">
        <f>IF(真實IC!AA22&gt;真實IC!AA$25,1,0)</f>
        <v/>
      </c>
      <c r="AB22" s="11">
        <f>IF(真實IC!AB22&gt;真實IC!AB$25,1,0)</f>
        <v/>
      </c>
      <c r="AC22" s="11">
        <f>IF(真實IC!AC22&gt;真實IC!AC$25,1,0)</f>
        <v/>
      </c>
      <c r="AD22" s="11">
        <f>IF(真實IC!AD22&gt;真實IC!AD$25,1,0)</f>
        <v/>
      </c>
      <c r="AE22" s="11">
        <f>IF(真實IC!AE22&gt;真實IC!AE$25,1,0)</f>
        <v/>
      </c>
      <c r="AF22" s="11">
        <f>IF(真實IC!AF22&gt;真實IC!AF$25,1,0)</f>
        <v/>
      </c>
      <c r="AG22" s="11">
        <f>IF(真實IC!AG22&gt;真實IC!AG$25,1,0)</f>
        <v/>
      </c>
      <c r="AH22" s="11">
        <f>IF(真實IC!AH22&gt;真實IC!AH$25,1,0)</f>
        <v/>
      </c>
      <c r="AI22" s="11">
        <f>IF(真實IC!AI22&gt;真實IC!AI$25,1,0)</f>
        <v/>
      </c>
      <c r="AJ22" s="11">
        <f>IF(真實IC!AJ22&gt;真實IC!AJ$25,1,0)</f>
        <v/>
      </c>
      <c r="AK22" s="11">
        <f>IF(真實IC!AK22&gt;真實IC!AK$25,1,0)</f>
        <v/>
      </c>
      <c r="AL22" s="11">
        <f>IF(真實IC!AL22&gt;真實IC!AL$25,1,0)</f>
        <v/>
      </c>
      <c r="AM22" s="11">
        <f>IF(真實IC!AM22&gt;真實IC!AM$25,1,0)</f>
        <v/>
      </c>
      <c r="AN22" s="11">
        <f>IF(真實IC!AN22&gt;真實IC!AN$25,1,0)</f>
        <v/>
      </c>
      <c r="AO22" s="11">
        <f>IF(真實IC!AO22&gt;真實IC!AO$25,1,0)</f>
        <v/>
      </c>
      <c r="AP22" s="11">
        <f>IF(真實IC!AP22&gt;真實IC!AP$25,1,0)</f>
        <v/>
      </c>
      <c r="AQ22" s="11">
        <f>IF(真實IC!AQ22&gt;真實IC!AQ$25,1,0)</f>
        <v/>
      </c>
      <c r="AR22" s="11">
        <f>IF(真實IC!AR22&gt;真實IC!AR$25,1,0)</f>
        <v/>
      </c>
      <c r="AS22" s="11">
        <f>IF(真實IC!AS22&gt;真實IC!AS$25,1,0)</f>
        <v/>
      </c>
      <c r="AT22" s="11">
        <f>IF(真實IC!AT22&gt;真實IC!AT$25,1,0)</f>
        <v/>
      </c>
      <c r="AU22" s="11">
        <f>IF(真實IC!AU22&gt;真實IC!AU$25,1,0)</f>
        <v/>
      </c>
      <c r="AV22" s="11">
        <f>IF(真實IC!AV22&gt;真實IC!AV$25,1,0)</f>
        <v/>
      </c>
      <c r="AW22" s="11">
        <f>IF(真實IC!AW22&gt;真實IC!AW$25,1,0)</f>
        <v/>
      </c>
      <c r="AX22" s="11">
        <f>IF(真實IC!AX22&gt;真實IC!AX$25,1,0)</f>
        <v/>
      </c>
      <c r="AY22" s="11">
        <f>IF(真實IC!AY22&gt;真實IC!AY$25,1,0)</f>
        <v/>
      </c>
      <c r="AZ22" s="11">
        <f>IF(真實IC!AZ22&gt;真實IC!AZ$25,1,0)</f>
        <v/>
      </c>
      <c r="BA22" s="11">
        <f>IF(真實IC!BA22&gt;真實IC!BA$25,1,0)</f>
        <v/>
      </c>
      <c r="BB22" s="11">
        <f>IF(真實IC!BB22&gt;真實IC!BB$25,1,0)</f>
        <v/>
      </c>
      <c r="BC22" s="11">
        <f>IF(真實IC!BC22&gt;真實IC!BC$25,1,0)</f>
        <v/>
      </c>
      <c r="BD22" s="11">
        <f>IF(真實IC!BD22&gt;真實IC!BD$25,1,0)</f>
        <v/>
      </c>
      <c r="BE22" s="11">
        <f>IF(真實IC!BE22&gt;真實IC!BE$25,1,0)</f>
        <v/>
      </c>
      <c r="BF22" s="11">
        <f>IF(真實IC!BF22&gt;真實IC!BF$25,1,0)</f>
        <v/>
      </c>
      <c r="BG22" s="11">
        <f>IF(真實IC!BG22&gt;真實IC!BG$25,1,0)</f>
        <v/>
      </c>
      <c r="BH22" s="11">
        <f>IF(真實IC!BH22&gt;真實IC!BH$25,1,0)</f>
        <v/>
      </c>
      <c r="BI22" s="11">
        <f>IF(真實IC!BI22&gt;真實IC!BI$25,1,0)</f>
        <v/>
      </c>
      <c r="BJ22" s="11">
        <f>IF(真實IC!BJ22&gt;真實IC!BJ$25,1,0)</f>
        <v/>
      </c>
      <c r="BK22" s="11">
        <f>IF(真實IC!BK22&gt;真實IC!BK$25,1,0)</f>
        <v/>
      </c>
      <c r="BL22" s="11">
        <f>IF(真實IC!BL22&gt;真實IC!BL$25,1,0)</f>
        <v/>
      </c>
      <c r="BM22" s="11">
        <f>IF(真實IC!BM22&gt;真實IC!BM$25,1,0)</f>
        <v/>
      </c>
      <c r="BN22" s="11">
        <f>IF(真實IC!BN22&gt;真實IC!BN$25,1,0)</f>
        <v/>
      </c>
      <c r="BO22" s="11">
        <f>IF(真實IC!BO22&gt;真實IC!BO$25,1,0)</f>
        <v/>
      </c>
      <c r="BP22" s="11">
        <f>IF(真實IC!BP22&gt;真實IC!BP$25,1,0)</f>
        <v/>
      </c>
      <c r="BQ22" s="11">
        <f>IF(真實IC!BQ22&gt;真實IC!BQ$25,1,0)</f>
        <v/>
      </c>
      <c r="BR22" s="11">
        <f>IF(真實IC!BR22&gt;真實IC!BR$25,1,0)</f>
        <v/>
      </c>
      <c r="BS22" s="11">
        <f>IF(真實IC!BS22&gt;真實IC!BS$25,1,0)</f>
        <v/>
      </c>
      <c r="BT22" s="11">
        <f>IF(真實IC!BT22&gt;真實IC!BT$25,1,0)</f>
        <v/>
      </c>
      <c r="BU22" s="11">
        <f>IF(真實IC!BU22&gt;真實IC!BU$25,1,0)</f>
        <v/>
      </c>
      <c r="BV22" s="11">
        <f>IF(真實IC!BV22&gt;真實IC!BV$25,1,0)</f>
        <v/>
      </c>
      <c r="BW22" s="11">
        <f>IF(真實IC!BW22&gt;真實IC!BW$25,1,0)</f>
        <v/>
      </c>
      <c r="BX22" s="11">
        <f>IF(真實IC!BX22&gt;真實IC!BX$25,1,0)</f>
        <v/>
      </c>
      <c r="BY22" s="11">
        <f>IF(真實IC!BY22&gt;真實IC!BY$25,1,0)</f>
        <v/>
      </c>
      <c r="BZ22" s="11">
        <f>IF(真實IC!BZ22&gt;真實IC!BZ$25,1,0)</f>
        <v/>
      </c>
      <c r="CA22" s="11">
        <f>IF(真實IC!CA22&gt;真實IC!CA$25,1,0)</f>
        <v/>
      </c>
      <c r="CB22" s="11">
        <f>IF(真實IC!CB22&gt;真實IC!CB$25,1,0)</f>
        <v/>
      </c>
      <c r="CC22" s="11">
        <f>IF(真實IC!CC22&gt;真實IC!CC$25,1,0)</f>
        <v/>
      </c>
      <c r="CD22" s="11">
        <f>IF(真實IC!CD22&gt;真實IC!CD$25,1,0)</f>
        <v/>
      </c>
      <c r="CE22" s="11">
        <f>IF(真實IC!CE22&gt;真實IC!CE$25,1,0)</f>
        <v/>
      </c>
      <c r="CF22" s="11">
        <f>IF(真實IC!CF22&gt;真實IC!CF$25,1,0)</f>
        <v/>
      </c>
      <c r="CG22" s="11">
        <f>IF(真實IC!CG22&gt;真實IC!CG$25,1,0)</f>
        <v/>
      </c>
      <c r="CH22" s="11">
        <f>IF(真實IC!CH22&gt;真實IC!CH$25,1,0)</f>
        <v/>
      </c>
      <c r="CI22" s="11">
        <f>IF(真實IC!CI22&gt;真實IC!CI$25,1,0)</f>
        <v/>
      </c>
      <c r="CJ22" s="11">
        <f>IF(真實IC!CJ22&gt;真實IC!CJ$25,1,0)</f>
        <v/>
      </c>
      <c r="CK22" s="11">
        <f>IF(真實IC!CK22&gt;真實IC!CK$25,1,0)</f>
        <v/>
      </c>
      <c r="CL22" s="11">
        <f>IF(真實IC!CL22&gt;真實IC!CL$25,1,0)</f>
        <v/>
      </c>
      <c r="CM22" s="11">
        <f>IF(真實IC!CM22&gt;真實IC!CM$25,1,0)</f>
        <v/>
      </c>
      <c r="CN22" s="11">
        <f>IF(真實IC!CN22&gt;真實IC!CN$25,1,0)</f>
        <v/>
      </c>
      <c r="CO22" s="11">
        <f>IF(真實IC!CO22&gt;真實IC!CO$25,1,0)</f>
        <v/>
      </c>
      <c r="CP22" s="11">
        <f>IF(真實IC!CP22&gt;真實IC!CP$25,1,0)</f>
        <v/>
      </c>
      <c r="CQ22" s="11">
        <f>IF(真實IC!CQ22&gt;真實IC!CQ$25,1,0)</f>
        <v/>
      </c>
      <c r="CR22" s="11">
        <f>IF(真實IC!CR22&gt;真實IC!CR$25,1,0)</f>
        <v/>
      </c>
      <c r="CS22" s="11">
        <f>IF(真實IC!CS22&gt;真實IC!CS$25,1,0)</f>
        <v/>
      </c>
      <c r="CT22" s="11">
        <f>IF(真實IC!CT22&gt;真實IC!CT$25,1,0)</f>
        <v/>
      </c>
      <c r="CU22" s="11">
        <f>IF(真實IC!CU22&gt;真實IC!CU$25,1,0)</f>
        <v/>
      </c>
      <c r="CV22" s="11">
        <f>IF(真實IC!CV22&gt;真實IC!CV$25,1,0)</f>
        <v/>
      </c>
      <c r="CW22" s="11">
        <f>IF(真實IC!CW22&gt;真實IC!CW$25,1,0)</f>
        <v/>
      </c>
      <c r="CX22" s="11">
        <f>IF(真實IC!CX22&gt;真實IC!CX$25,1,0)</f>
        <v/>
      </c>
      <c r="CY22" s="11">
        <f>IF(真實IC!CY22&gt;真實IC!CY$25,1,0)</f>
        <v/>
      </c>
      <c r="CZ22" s="11">
        <f>IF(真實IC!CZ22&gt;真實IC!CZ$25,1,0)</f>
        <v/>
      </c>
      <c r="DA22" s="11">
        <f>IF(真實IC!DA22&gt;真實IC!DA$25,1,0)</f>
        <v/>
      </c>
      <c r="DB22" s="11">
        <f>IF(真實IC!DB22&gt;真實IC!DB$25,1,0)</f>
        <v/>
      </c>
      <c r="DC22" s="11">
        <f>IF(真實IC!DC22&gt;真實IC!DC$25,1,0)</f>
        <v/>
      </c>
      <c r="DD22" s="11">
        <f>IF(真實IC!DD22&gt;真實IC!DD$25,1,0)</f>
        <v/>
      </c>
      <c r="DE22" s="11">
        <f>IF(真實IC!DE22&gt;真實IC!DE$25,1,0)</f>
        <v/>
      </c>
      <c r="DF22" s="11">
        <f>IF(真實IC!DF22&gt;真實IC!DF$25,1,0)</f>
        <v/>
      </c>
      <c r="DG22" s="11">
        <f>IF(真實IC!DG22&gt;真實IC!DG$25,1,0)</f>
        <v/>
      </c>
      <c r="DH22" s="11">
        <f>IF(真實IC!DH22&gt;真實IC!DH$25,1,0)</f>
        <v/>
      </c>
      <c r="DI22" s="11">
        <f>IF(真實IC!DI22&gt;真實IC!DI$25,1,0)</f>
        <v/>
      </c>
      <c r="DJ22" s="11">
        <f>IF(真實IC!DJ22&gt;真實IC!DJ$25,1,0)</f>
        <v/>
      </c>
      <c r="DK22" s="11">
        <f>IF(真實IC!DK22&gt;真實IC!DK$25,1,0)</f>
        <v/>
      </c>
      <c r="DL22" s="11">
        <f>IF(真實IC!DL22&gt;真實IC!DL$25,1,0)</f>
        <v/>
      </c>
      <c r="DM22" s="11">
        <f>IF(真實IC!DM22&gt;真實IC!DM$25,1,0)</f>
        <v/>
      </c>
      <c r="DN22" s="11">
        <f>IF(真實IC!DN22&gt;真實IC!DN$25,1,0)</f>
        <v/>
      </c>
      <c r="DO22" s="11">
        <f>IF(真實IC!DO22&gt;真實IC!DO$25,1,0)</f>
        <v/>
      </c>
      <c r="DP22" s="11">
        <f>IF(真實IC!DP22&gt;真實IC!DP$25,1,0)</f>
        <v/>
      </c>
      <c r="DQ22" s="11">
        <f>IF(真實IC!DQ22&gt;真實IC!DQ$25,1,0)</f>
        <v/>
      </c>
      <c r="DR22" s="11">
        <f>IF(真實IC!DR22&gt;真實IC!DR$25,1,0)</f>
        <v/>
      </c>
      <c r="DS22" s="11">
        <f>IF(真實IC!DS22&gt;真實IC!DS$25,1,0)</f>
        <v/>
      </c>
      <c r="DT22" s="11">
        <f>IF(真實IC!DT22&gt;真實IC!DT$25,1,0)</f>
        <v/>
      </c>
      <c r="DU22" s="11">
        <f>IF(真實IC!DU22&gt;真實IC!DU$25,1,0)</f>
        <v/>
      </c>
      <c r="DV22" s="11">
        <f>IF(真實IC!DV22&gt;真實IC!DV$25,1,0)</f>
        <v/>
      </c>
      <c r="DW22" s="11">
        <f>IF(真實IC!DW22&gt;真實IC!DW$25,1,0)</f>
        <v/>
      </c>
      <c r="DX22" s="11">
        <f>IF(真實IC!DX22&gt;真實IC!DX$25,1,0)</f>
        <v/>
      </c>
      <c r="DY22" s="11">
        <f>IF(真實IC!DY22&gt;真實IC!DY$25,1,0)</f>
        <v/>
      </c>
      <c r="DZ22" s="11">
        <f>IF(真實IC!DZ22&gt;真實IC!DZ$25,1,0)</f>
        <v/>
      </c>
      <c r="EA22" s="11">
        <f>IF(真實IC!EA22&gt;真實IC!EA$25,1,0)</f>
        <v/>
      </c>
      <c r="EB22" s="11">
        <f>IF(真實IC!EB22&gt;真實IC!EB$25,1,0)</f>
        <v/>
      </c>
      <c r="EC22" s="11">
        <f>IF(真實IC!EC22&gt;真實IC!EC$25,1,0)</f>
        <v/>
      </c>
      <c r="ED22" s="11">
        <f>IF(真實IC!ED22&gt;真實IC!ED$25,1,0)</f>
        <v/>
      </c>
      <c r="EE22" s="11">
        <f>IF(真實IC!EE22&gt;真實IC!EE$25,1,0)</f>
        <v/>
      </c>
      <c r="EF22" s="11">
        <f>IF(真實IC!EF22&gt;真實IC!EF$25,1,0)</f>
        <v/>
      </c>
      <c r="EG22" s="11">
        <f>IF(真實IC!EG22&gt;真實IC!EG$25,1,0)</f>
        <v/>
      </c>
      <c r="EH22" s="11">
        <f>IF(真實IC!EH22&gt;真實IC!EH$25,1,0)</f>
        <v/>
      </c>
      <c r="EI22" s="11">
        <f>IF(真實IC!EI22&gt;真實IC!EI$25,1,0)</f>
        <v/>
      </c>
      <c r="EJ22" s="11">
        <f>IF(真實IC!EJ22&gt;真實IC!EJ$25,1,0)</f>
        <v/>
      </c>
      <c r="EK22" s="11">
        <f>IF(真實IC!EK22&gt;真實IC!EK$25,1,0)</f>
        <v/>
      </c>
      <c r="EL22" s="11">
        <f>IF(真實IC!EL22&gt;真實IC!EL$25,1,0)</f>
        <v/>
      </c>
      <c r="EM22" s="7">
        <f>SUM(C22:EL22)</f>
        <v/>
      </c>
      <c r="EN22" s="15">
        <f>EM22/140</f>
        <v/>
      </c>
    </row>
    <row r="23">
      <c r="A23" s="13" t="n">
        <v>512</v>
      </c>
      <c r="B23" s="13">
        <f>ROUND($D$10/A23,0)</f>
        <v/>
      </c>
      <c r="C23" s="11">
        <f>IF(真實IC!C23&gt;真實IC!C$25,1,0)</f>
        <v/>
      </c>
      <c r="D23" s="11">
        <f>IF(真實IC!D23&gt;真實IC!D$25,1,0)</f>
        <v/>
      </c>
      <c r="E23" s="11">
        <f>IF(真實IC!E23&gt;真實IC!E$25,1,0)</f>
        <v/>
      </c>
      <c r="F23" s="11">
        <f>IF(真實IC!F23&gt;真實IC!F$25,1,0)</f>
        <v/>
      </c>
      <c r="G23" s="11">
        <f>IF(真實IC!G23&gt;真實IC!G$25,1,0)</f>
        <v/>
      </c>
      <c r="H23" s="11">
        <f>IF(真實IC!H23&gt;真實IC!H$25,1,0)</f>
        <v/>
      </c>
      <c r="I23" s="11">
        <f>IF(真實IC!I23&gt;真實IC!I$25,1,0)</f>
        <v/>
      </c>
      <c r="J23" s="11">
        <f>IF(真實IC!J23&gt;真實IC!J$25,1,0)</f>
        <v/>
      </c>
      <c r="K23" s="11">
        <f>IF(真實IC!K23&gt;真實IC!K$25,1,0)</f>
        <v/>
      </c>
      <c r="L23" s="11">
        <f>IF(真實IC!L23&gt;真實IC!L$25,1,0)</f>
        <v/>
      </c>
      <c r="M23" s="11">
        <f>IF(真實IC!M23&gt;真實IC!M$25,1,0)</f>
        <v/>
      </c>
      <c r="N23" s="11">
        <f>IF(真實IC!N23&gt;真實IC!N$25,1,0)</f>
        <v/>
      </c>
      <c r="O23" s="11">
        <f>IF(真實IC!O23&gt;真實IC!O$25,1,0)</f>
        <v/>
      </c>
      <c r="P23" s="11">
        <f>IF(真實IC!P23&gt;真實IC!P$25,1,0)</f>
        <v/>
      </c>
      <c r="Q23" s="11">
        <f>IF(真實IC!Q23&gt;真實IC!Q$25,1,0)</f>
        <v/>
      </c>
      <c r="R23" s="11">
        <f>IF(真實IC!R23&gt;真實IC!R$25,1,0)</f>
        <v/>
      </c>
      <c r="S23" s="11">
        <f>IF(真實IC!S23&gt;真實IC!S$25,1,0)</f>
        <v/>
      </c>
      <c r="T23" s="11">
        <f>IF(真實IC!T23&gt;真實IC!T$25,1,0)</f>
        <v/>
      </c>
      <c r="U23" s="11">
        <f>IF(真實IC!U23&gt;真實IC!U$25,1,0)</f>
        <v/>
      </c>
      <c r="V23" s="11">
        <f>IF(真實IC!V23&gt;真實IC!V$25,1,0)</f>
        <v/>
      </c>
      <c r="W23" s="11">
        <f>IF(真實IC!W23&gt;真實IC!W$25,1,0)</f>
        <v/>
      </c>
      <c r="X23" s="11">
        <f>IF(真實IC!X23&gt;真實IC!X$25,1,0)</f>
        <v/>
      </c>
      <c r="Y23" s="11">
        <f>IF(真實IC!Y23&gt;真實IC!Y$25,1,0)</f>
        <v/>
      </c>
      <c r="Z23" s="11">
        <f>IF(真實IC!Z23&gt;真實IC!Z$25,1,0)</f>
        <v/>
      </c>
      <c r="AA23" s="11">
        <f>IF(真實IC!AA23&gt;真實IC!AA$25,1,0)</f>
        <v/>
      </c>
      <c r="AB23" s="11">
        <f>IF(真實IC!AB23&gt;真實IC!AB$25,1,0)</f>
        <v/>
      </c>
      <c r="AC23" s="11">
        <f>IF(真實IC!AC23&gt;真實IC!AC$25,1,0)</f>
        <v/>
      </c>
      <c r="AD23" s="11">
        <f>IF(真實IC!AD23&gt;真實IC!AD$25,1,0)</f>
        <v/>
      </c>
      <c r="AE23" s="11">
        <f>IF(真實IC!AE23&gt;真實IC!AE$25,1,0)</f>
        <v/>
      </c>
      <c r="AF23" s="11">
        <f>IF(真實IC!AF23&gt;真實IC!AF$25,1,0)</f>
        <v/>
      </c>
      <c r="AG23" s="11">
        <f>IF(真實IC!AG23&gt;真實IC!AG$25,1,0)</f>
        <v/>
      </c>
      <c r="AH23" s="11">
        <f>IF(真實IC!AH23&gt;真實IC!AH$25,1,0)</f>
        <v/>
      </c>
      <c r="AI23" s="11">
        <f>IF(真實IC!AI23&gt;真實IC!AI$25,1,0)</f>
        <v/>
      </c>
      <c r="AJ23" s="11">
        <f>IF(真實IC!AJ23&gt;真實IC!AJ$25,1,0)</f>
        <v/>
      </c>
      <c r="AK23" s="11">
        <f>IF(真實IC!AK23&gt;真實IC!AK$25,1,0)</f>
        <v/>
      </c>
      <c r="AL23" s="11">
        <f>IF(真實IC!AL23&gt;真實IC!AL$25,1,0)</f>
        <v/>
      </c>
      <c r="AM23" s="11">
        <f>IF(真實IC!AM23&gt;真實IC!AM$25,1,0)</f>
        <v/>
      </c>
      <c r="AN23" s="11">
        <f>IF(真實IC!AN23&gt;真實IC!AN$25,1,0)</f>
        <v/>
      </c>
      <c r="AO23" s="11">
        <f>IF(真實IC!AO23&gt;真實IC!AO$25,1,0)</f>
        <v/>
      </c>
      <c r="AP23" s="11">
        <f>IF(真實IC!AP23&gt;真實IC!AP$25,1,0)</f>
        <v/>
      </c>
      <c r="AQ23" s="11">
        <f>IF(真實IC!AQ23&gt;真實IC!AQ$25,1,0)</f>
        <v/>
      </c>
      <c r="AR23" s="11">
        <f>IF(真實IC!AR23&gt;真實IC!AR$25,1,0)</f>
        <v/>
      </c>
      <c r="AS23" s="11">
        <f>IF(真實IC!AS23&gt;真實IC!AS$25,1,0)</f>
        <v/>
      </c>
      <c r="AT23" s="11">
        <f>IF(真實IC!AT23&gt;真實IC!AT$25,1,0)</f>
        <v/>
      </c>
      <c r="AU23" s="11">
        <f>IF(真實IC!AU23&gt;真實IC!AU$25,1,0)</f>
        <v/>
      </c>
      <c r="AV23" s="11">
        <f>IF(真實IC!AV23&gt;真實IC!AV$25,1,0)</f>
        <v/>
      </c>
      <c r="AW23" s="11">
        <f>IF(真實IC!AW23&gt;真實IC!AW$25,1,0)</f>
        <v/>
      </c>
      <c r="AX23" s="11">
        <f>IF(真實IC!AX23&gt;真實IC!AX$25,1,0)</f>
        <v/>
      </c>
      <c r="AY23" s="11">
        <f>IF(真實IC!AY23&gt;真實IC!AY$25,1,0)</f>
        <v/>
      </c>
      <c r="AZ23" s="11">
        <f>IF(真實IC!AZ23&gt;真實IC!AZ$25,1,0)</f>
        <v/>
      </c>
      <c r="BA23" s="11">
        <f>IF(真實IC!BA23&gt;真實IC!BA$25,1,0)</f>
        <v/>
      </c>
      <c r="BB23" s="11">
        <f>IF(真實IC!BB23&gt;真實IC!BB$25,1,0)</f>
        <v/>
      </c>
      <c r="BC23" s="11">
        <f>IF(真實IC!BC23&gt;真實IC!BC$25,1,0)</f>
        <v/>
      </c>
      <c r="BD23" s="11">
        <f>IF(真實IC!BD23&gt;真實IC!BD$25,1,0)</f>
        <v/>
      </c>
      <c r="BE23" s="11">
        <f>IF(真實IC!BE23&gt;真實IC!BE$25,1,0)</f>
        <v/>
      </c>
      <c r="BF23" s="11">
        <f>IF(真實IC!BF23&gt;真實IC!BF$25,1,0)</f>
        <v/>
      </c>
      <c r="BG23" s="11">
        <f>IF(真實IC!BG23&gt;真實IC!BG$25,1,0)</f>
        <v/>
      </c>
      <c r="BH23" s="11">
        <f>IF(真實IC!BH23&gt;真實IC!BH$25,1,0)</f>
        <v/>
      </c>
      <c r="BI23" s="11">
        <f>IF(真實IC!BI23&gt;真實IC!BI$25,1,0)</f>
        <v/>
      </c>
      <c r="BJ23" s="11">
        <f>IF(真實IC!BJ23&gt;真實IC!BJ$25,1,0)</f>
        <v/>
      </c>
      <c r="BK23" s="11">
        <f>IF(真實IC!BK23&gt;真實IC!BK$25,1,0)</f>
        <v/>
      </c>
      <c r="BL23" s="11">
        <f>IF(真實IC!BL23&gt;真實IC!BL$25,1,0)</f>
        <v/>
      </c>
      <c r="BM23" s="11">
        <f>IF(真實IC!BM23&gt;真實IC!BM$25,1,0)</f>
        <v/>
      </c>
      <c r="BN23" s="11">
        <f>IF(真實IC!BN23&gt;真實IC!BN$25,1,0)</f>
        <v/>
      </c>
      <c r="BO23" s="11">
        <f>IF(真實IC!BO23&gt;真實IC!BO$25,1,0)</f>
        <v/>
      </c>
      <c r="BP23" s="11">
        <f>IF(真實IC!BP23&gt;真實IC!BP$25,1,0)</f>
        <v/>
      </c>
      <c r="BQ23" s="11">
        <f>IF(真實IC!BQ23&gt;真實IC!BQ$25,1,0)</f>
        <v/>
      </c>
      <c r="BR23" s="11">
        <f>IF(真實IC!BR23&gt;真實IC!BR$25,1,0)</f>
        <v/>
      </c>
      <c r="BS23" s="11">
        <f>IF(真實IC!BS23&gt;真實IC!BS$25,1,0)</f>
        <v/>
      </c>
      <c r="BT23" s="11">
        <f>IF(真實IC!BT23&gt;真實IC!BT$25,1,0)</f>
        <v/>
      </c>
      <c r="BU23" s="11">
        <f>IF(真實IC!BU23&gt;真實IC!BU$25,1,0)</f>
        <v/>
      </c>
      <c r="BV23" s="11">
        <f>IF(真實IC!BV23&gt;真實IC!BV$25,1,0)</f>
        <v/>
      </c>
      <c r="BW23" s="11">
        <f>IF(真實IC!BW23&gt;真實IC!BW$25,1,0)</f>
        <v/>
      </c>
      <c r="BX23" s="11">
        <f>IF(真實IC!BX23&gt;真實IC!BX$25,1,0)</f>
        <v/>
      </c>
      <c r="BY23" s="11">
        <f>IF(真實IC!BY23&gt;真實IC!BY$25,1,0)</f>
        <v/>
      </c>
      <c r="BZ23" s="11">
        <f>IF(真實IC!BZ23&gt;真實IC!BZ$25,1,0)</f>
        <v/>
      </c>
      <c r="CA23" s="11">
        <f>IF(真實IC!CA23&gt;真實IC!CA$25,1,0)</f>
        <v/>
      </c>
      <c r="CB23" s="11">
        <f>IF(真實IC!CB23&gt;真實IC!CB$25,1,0)</f>
        <v/>
      </c>
      <c r="CC23" s="11">
        <f>IF(真實IC!CC23&gt;真實IC!CC$25,1,0)</f>
        <v/>
      </c>
      <c r="CD23" s="11">
        <f>IF(真實IC!CD23&gt;真實IC!CD$25,1,0)</f>
        <v/>
      </c>
      <c r="CE23" s="11">
        <f>IF(真實IC!CE23&gt;真實IC!CE$25,1,0)</f>
        <v/>
      </c>
      <c r="CF23" s="11">
        <f>IF(真實IC!CF23&gt;真實IC!CF$25,1,0)</f>
        <v/>
      </c>
      <c r="CG23" s="11">
        <f>IF(真實IC!CG23&gt;真實IC!CG$25,1,0)</f>
        <v/>
      </c>
      <c r="CH23" s="11">
        <f>IF(真實IC!CH23&gt;真實IC!CH$25,1,0)</f>
        <v/>
      </c>
      <c r="CI23" s="11">
        <f>IF(真實IC!CI23&gt;真實IC!CI$25,1,0)</f>
        <v/>
      </c>
      <c r="CJ23" s="11">
        <f>IF(真實IC!CJ23&gt;真實IC!CJ$25,1,0)</f>
        <v/>
      </c>
      <c r="CK23" s="11">
        <f>IF(真實IC!CK23&gt;真實IC!CK$25,1,0)</f>
        <v/>
      </c>
      <c r="CL23" s="11">
        <f>IF(真實IC!CL23&gt;真實IC!CL$25,1,0)</f>
        <v/>
      </c>
      <c r="CM23" s="11">
        <f>IF(真實IC!CM23&gt;真實IC!CM$25,1,0)</f>
        <v/>
      </c>
      <c r="CN23" s="11">
        <f>IF(真實IC!CN23&gt;真實IC!CN$25,1,0)</f>
        <v/>
      </c>
      <c r="CO23" s="11">
        <f>IF(真實IC!CO23&gt;真實IC!CO$25,1,0)</f>
        <v/>
      </c>
      <c r="CP23" s="11">
        <f>IF(真實IC!CP23&gt;真實IC!CP$25,1,0)</f>
        <v/>
      </c>
      <c r="CQ23" s="11">
        <f>IF(真實IC!CQ23&gt;真實IC!CQ$25,1,0)</f>
        <v/>
      </c>
      <c r="CR23" s="11">
        <f>IF(真實IC!CR23&gt;真實IC!CR$25,1,0)</f>
        <v/>
      </c>
      <c r="CS23" s="11">
        <f>IF(真實IC!CS23&gt;真實IC!CS$25,1,0)</f>
        <v/>
      </c>
      <c r="CT23" s="11">
        <f>IF(真實IC!CT23&gt;真實IC!CT$25,1,0)</f>
        <v/>
      </c>
      <c r="CU23" s="11">
        <f>IF(真實IC!CU23&gt;真實IC!CU$25,1,0)</f>
        <v/>
      </c>
      <c r="CV23" s="11">
        <f>IF(真實IC!CV23&gt;真實IC!CV$25,1,0)</f>
        <v/>
      </c>
      <c r="CW23" s="11">
        <f>IF(真實IC!CW23&gt;真實IC!CW$25,1,0)</f>
        <v/>
      </c>
      <c r="CX23" s="11">
        <f>IF(真實IC!CX23&gt;真實IC!CX$25,1,0)</f>
        <v/>
      </c>
      <c r="CY23" s="11">
        <f>IF(真實IC!CY23&gt;真實IC!CY$25,1,0)</f>
        <v/>
      </c>
      <c r="CZ23" s="11">
        <f>IF(真實IC!CZ23&gt;真實IC!CZ$25,1,0)</f>
        <v/>
      </c>
      <c r="DA23" s="11">
        <f>IF(真實IC!DA23&gt;真實IC!DA$25,1,0)</f>
        <v/>
      </c>
      <c r="DB23" s="11">
        <f>IF(真實IC!DB23&gt;真實IC!DB$25,1,0)</f>
        <v/>
      </c>
      <c r="DC23" s="11">
        <f>IF(真實IC!DC23&gt;真實IC!DC$25,1,0)</f>
        <v/>
      </c>
      <c r="DD23" s="11">
        <f>IF(真實IC!DD23&gt;真實IC!DD$25,1,0)</f>
        <v/>
      </c>
      <c r="DE23" s="11">
        <f>IF(真實IC!DE23&gt;真實IC!DE$25,1,0)</f>
        <v/>
      </c>
      <c r="DF23" s="11">
        <f>IF(真實IC!DF23&gt;真實IC!DF$25,1,0)</f>
        <v/>
      </c>
      <c r="DG23" s="11">
        <f>IF(真實IC!DG23&gt;真實IC!DG$25,1,0)</f>
        <v/>
      </c>
      <c r="DH23" s="11">
        <f>IF(真實IC!DH23&gt;真實IC!DH$25,1,0)</f>
        <v/>
      </c>
      <c r="DI23" s="11">
        <f>IF(真實IC!DI23&gt;真實IC!DI$25,1,0)</f>
        <v/>
      </c>
      <c r="DJ23" s="11">
        <f>IF(真實IC!DJ23&gt;真實IC!DJ$25,1,0)</f>
        <v/>
      </c>
      <c r="DK23" s="11">
        <f>IF(真實IC!DK23&gt;真實IC!DK$25,1,0)</f>
        <v/>
      </c>
      <c r="DL23" s="11">
        <f>IF(真實IC!DL23&gt;真實IC!DL$25,1,0)</f>
        <v/>
      </c>
      <c r="DM23" s="11">
        <f>IF(真實IC!DM23&gt;真實IC!DM$25,1,0)</f>
        <v/>
      </c>
      <c r="DN23" s="11">
        <f>IF(真實IC!DN23&gt;真實IC!DN$25,1,0)</f>
        <v/>
      </c>
      <c r="DO23" s="11">
        <f>IF(真實IC!DO23&gt;真實IC!DO$25,1,0)</f>
        <v/>
      </c>
      <c r="DP23" s="11">
        <f>IF(真實IC!DP23&gt;真實IC!DP$25,1,0)</f>
        <v/>
      </c>
      <c r="DQ23" s="11">
        <f>IF(真實IC!DQ23&gt;真實IC!DQ$25,1,0)</f>
        <v/>
      </c>
      <c r="DR23" s="11">
        <f>IF(真實IC!DR23&gt;真實IC!DR$25,1,0)</f>
        <v/>
      </c>
      <c r="DS23" s="11">
        <f>IF(真實IC!DS23&gt;真實IC!DS$25,1,0)</f>
        <v/>
      </c>
      <c r="DT23" s="11">
        <f>IF(真實IC!DT23&gt;真實IC!DT$25,1,0)</f>
        <v/>
      </c>
      <c r="DU23" s="11">
        <f>IF(真實IC!DU23&gt;真實IC!DU$25,1,0)</f>
        <v/>
      </c>
      <c r="DV23" s="11">
        <f>IF(真實IC!DV23&gt;真實IC!DV$25,1,0)</f>
        <v/>
      </c>
      <c r="DW23" s="11">
        <f>IF(真實IC!DW23&gt;真實IC!DW$25,1,0)</f>
        <v/>
      </c>
      <c r="DX23" s="11">
        <f>IF(真實IC!DX23&gt;真實IC!DX$25,1,0)</f>
        <v/>
      </c>
      <c r="DY23" s="11">
        <f>IF(真實IC!DY23&gt;真實IC!DY$25,1,0)</f>
        <v/>
      </c>
      <c r="DZ23" s="11">
        <f>IF(真實IC!DZ23&gt;真實IC!DZ$25,1,0)</f>
        <v/>
      </c>
      <c r="EA23" s="11">
        <f>IF(真實IC!EA23&gt;真實IC!EA$25,1,0)</f>
        <v/>
      </c>
      <c r="EB23" s="11">
        <f>IF(真實IC!EB23&gt;真實IC!EB$25,1,0)</f>
        <v/>
      </c>
      <c r="EC23" s="11">
        <f>IF(真實IC!EC23&gt;真實IC!EC$25,1,0)</f>
        <v/>
      </c>
      <c r="ED23" s="11">
        <f>IF(真實IC!ED23&gt;真實IC!ED$25,1,0)</f>
        <v/>
      </c>
      <c r="EE23" s="11">
        <f>IF(真實IC!EE23&gt;真實IC!EE$25,1,0)</f>
        <v/>
      </c>
      <c r="EF23" s="11">
        <f>IF(真實IC!EF23&gt;真實IC!EF$25,1,0)</f>
        <v/>
      </c>
      <c r="EG23" s="11">
        <f>IF(真實IC!EG23&gt;真實IC!EG$25,1,0)</f>
        <v/>
      </c>
      <c r="EH23" s="11">
        <f>IF(真實IC!EH23&gt;真實IC!EH$25,1,0)</f>
        <v/>
      </c>
      <c r="EI23" s="11">
        <f>IF(真實IC!EI23&gt;真實IC!EI$25,1,0)</f>
        <v/>
      </c>
      <c r="EJ23" s="11">
        <f>IF(真實IC!EJ23&gt;真實IC!EJ$25,1,0)</f>
        <v/>
      </c>
      <c r="EK23" s="11">
        <f>IF(真實IC!EK23&gt;真實IC!EK$25,1,0)</f>
        <v/>
      </c>
      <c r="EL23" s="11">
        <f>IF(真實IC!EL23&gt;真實IC!EL$25,1,0)</f>
        <v/>
      </c>
      <c r="EM23" s="7">
        <f>SUM(C23:EL23)</f>
        <v/>
      </c>
      <c r="EN23" s="15">
        <f>EM23/140</f>
        <v/>
      </c>
    </row>
    <row r="24">
      <c r="A24" s="13" t="n">
        <v>1051</v>
      </c>
      <c r="B24" s="13">
        <f>ROUND($D$10/A24,0)</f>
        <v/>
      </c>
      <c r="C24" s="11">
        <f>IF(真實IC!C24&gt;真實IC!C$25,1,0)</f>
        <v/>
      </c>
      <c r="D24" s="11">
        <f>IF(真實IC!D24&gt;真實IC!D$25,1,0)</f>
        <v/>
      </c>
      <c r="E24" s="11">
        <f>IF(真實IC!E24&gt;真實IC!E$25,1,0)</f>
        <v/>
      </c>
      <c r="F24" s="11">
        <f>IF(真實IC!F24&gt;真實IC!F$25,1,0)</f>
        <v/>
      </c>
      <c r="G24" s="11">
        <f>IF(真實IC!G24&gt;真實IC!G$25,1,0)</f>
        <v/>
      </c>
      <c r="H24" s="11">
        <f>IF(真實IC!H24&gt;真實IC!H$25,1,0)</f>
        <v/>
      </c>
      <c r="I24" s="11">
        <f>IF(真實IC!I24&gt;真實IC!I$25,1,0)</f>
        <v/>
      </c>
      <c r="J24" s="11">
        <f>IF(真實IC!J24&gt;真實IC!J$25,1,0)</f>
        <v/>
      </c>
      <c r="K24" s="11">
        <f>IF(真實IC!K24&gt;真實IC!K$25,1,0)</f>
        <v/>
      </c>
      <c r="L24" s="11">
        <f>IF(真實IC!L24&gt;真實IC!L$25,1,0)</f>
        <v/>
      </c>
      <c r="M24" s="11">
        <f>IF(真實IC!M24&gt;真實IC!M$25,1,0)</f>
        <v/>
      </c>
      <c r="N24" s="11">
        <f>IF(真實IC!N24&gt;真實IC!N$25,1,0)</f>
        <v/>
      </c>
      <c r="O24" s="11">
        <f>IF(真實IC!O24&gt;真實IC!O$25,1,0)</f>
        <v/>
      </c>
      <c r="P24" s="11">
        <f>IF(真實IC!P24&gt;真實IC!P$25,1,0)</f>
        <v/>
      </c>
      <c r="Q24" s="11">
        <f>IF(真實IC!Q24&gt;真實IC!Q$25,1,0)</f>
        <v/>
      </c>
      <c r="R24" s="11">
        <f>IF(真實IC!R24&gt;真實IC!R$25,1,0)</f>
        <v/>
      </c>
      <c r="S24" s="11">
        <f>IF(真實IC!S24&gt;真實IC!S$25,1,0)</f>
        <v/>
      </c>
      <c r="T24" s="11">
        <f>IF(真實IC!T24&gt;真實IC!T$25,1,0)</f>
        <v/>
      </c>
      <c r="U24" s="11">
        <f>IF(真實IC!U24&gt;真實IC!U$25,1,0)</f>
        <v/>
      </c>
      <c r="V24" s="11">
        <f>IF(真實IC!V24&gt;真實IC!V$25,1,0)</f>
        <v/>
      </c>
      <c r="W24" s="11">
        <f>IF(真實IC!W24&gt;真實IC!W$25,1,0)</f>
        <v/>
      </c>
      <c r="X24" s="11">
        <f>IF(真實IC!X24&gt;真實IC!X$25,1,0)</f>
        <v/>
      </c>
      <c r="Y24" s="11">
        <f>IF(真實IC!Y24&gt;真實IC!Y$25,1,0)</f>
        <v/>
      </c>
      <c r="Z24" s="11">
        <f>IF(真實IC!Z24&gt;真實IC!Z$25,1,0)</f>
        <v/>
      </c>
      <c r="AA24" s="11">
        <f>IF(真實IC!AA24&gt;真實IC!AA$25,1,0)</f>
        <v/>
      </c>
      <c r="AB24" s="11">
        <f>IF(真實IC!AB24&gt;真實IC!AB$25,1,0)</f>
        <v/>
      </c>
      <c r="AC24" s="11">
        <f>IF(真實IC!AC24&gt;真實IC!AC$25,1,0)</f>
        <v/>
      </c>
      <c r="AD24" s="11">
        <f>IF(真實IC!AD24&gt;真實IC!AD$25,1,0)</f>
        <v/>
      </c>
      <c r="AE24" s="11">
        <f>IF(真實IC!AE24&gt;真實IC!AE$25,1,0)</f>
        <v/>
      </c>
      <c r="AF24" s="11">
        <f>IF(真實IC!AF24&gt;真實IC!AF$25,1,0)</f>
        <v/>
      </c>
      <c r="AG24" s="11">
        <f>IF(真實IC!AG24&gt;真實IC!AG$25,1,0)</f>
        <v/>
      </c>
      <c r="AH24" s="11">
        <f>IF(真實IC!AH24&gt;真實IC!AH$25,1,0)</f>
        <v/>
      </c>
      <c r="AI24" s="11">
        <f>IF(真實IC!AI24&gt;真實IC!AI$25,1,0)</f>
        <v/>
      </c>
      <c r="AJ24" s="11">
        <f>IF(真實IC!AJ24&gt;真實IC!AJ$25,1,0)</f>
        <v/>
      </c>
      <c r="AK24" s="11">
        <f>IF(真實IC!AK24&gt;真實IC!AK$25,1,0)</f>
        <v/>
      </c>
      <c r="AL24" s="11">
        <f>IF(真實IC!AL24&gt;真實IC!AL$25,1,0)</f>
        <v/>
      </c>
      <c r="AM24" s="11">
        <f>IF(真實IC!AM24&gt;真實IC!AM$25,1,0)</f>
        <v/>
      </c>
      <c r="AN24" s="11">
        <f>IF(真實IC!AN24&gt;真實IC!AN$25,1,0)</f>
        <v/>
      </c>
      <c r="AO24" s="11">
        <f>IF(真實IC!AO24&gt;真實IC!AO$25,1,0)</f>
        <v/>
      </c>
      <c r="AP24" s="11">
        <f>IF(真實IC!AP24&gt;真實IC!AP$25,1,0)</f>
        <v/>
      </c>
      <c r="AQ24" s="11">
        <f>IF(真實IC!AQ24&gt;真實IC!AQ$25,1,0)</f>
        <v/>
      </c>
      <c r="AR24" s="11">
        <f>IF(真實IC!AR24&gt;真實IC!AR$25,1,0)</f>
        <v/>
      </c>
      <c r="AS24" s="11">
        <f>IF(真實IC!AS24&gt;真實IC!AS$25,1,0)</f>
        <v/>
      </c>
      <c r="AT24" s="11">
        <f>IF(真實IC!AT24&gt;真實IC!AT$25,1,0)</f>
        <v/>
      </c>
      <c r="AU24" s="11">
        <f>IF(真實IC!AU24&gt;真實IC!AU$25,1,0)</f>
        <v/>
      </c>
      <c r="AV24" s="11">
        <f>IF(真實IC!AV24&gt;真實IC!AV$25,1,0)</f>
        <v/>
      </c>
      <c r="AW24" s="11">
        <f>IF(真實IC!AW24&gt;真實IC!AW$25,1,0)</f>
        <v/>
      </c>
      <c r="AX24" s="11">
        <f>IF(真實IC!AX24&gt;真實IC!AX$25,1,0)</f>
        <v/>
      </c>
      <c r="AY24" s="11">
        <f>IF(真實IC!AY24&gt;真實IC!AY$25,1,0)</f>
        <v/>
      </c>
      <c r="AZ24" s="11">
        <f>IF(真實IC!AZ24&gt;真實IC!AZ$25,1,0)</f>
        <v/>
      </c>
      <c r="BA24" s="11">
        <f>IF(真實IC!BA24&gt;真實IC!BA$25,1,0)</f>
        <v/>
      </c>
      <c r="BB24" s="11">
        <f>IF(真實IC!BB24&gt;真實IC!BB$25,1,0)</f>
        <v/>
      </c>
      <c r="BC24" s="11">
        <f>IF(真實IC!BC24&gt;真實IC!BC$25,1,0)</f>
        <v/>
      </c>
      <c r="BD24" s="11">
        <f>IF(真實IC!BD24&gt;真實IC!BD$25,1,0)</f>
        <v/>
      </c>
      <c r="BE24" s="11">
        <f>IF(真實IC!BE24&gt;真實IC!BE$25,1,0)</f>
        <v/>
      </c>
      <c r="BF24" s="11">
        <f>IF(真實IC!BF24&gt;真實IC!BF$25,1,0)</f>
        <v/>
      </c>
      <c r="BG24" s="11">
        <f>IF(真實IC!BG24&gt;真實IC!BG$25,1,0)</f>
        <v/>
      </c>
      <c r="BH24" s="11">
        <f>IF(真實IC!BH24&gt;真實IC!BH$25,1,0)</f>
        <v/>
      </c>
      <c r="BI24" s="11">
        <f>IF(真實IC!BI24&gt;真實IC!BI$25,1,0)</f>
        <v/>
      </c>
      <c r="BJ24" s="11">
        <f>IF(真實IC!BJ24&gt;真實IC!BJ$25,1,0)</f>
        <v/>
      </c>
      <c r="BK24" s="11">
        <f>IF(真實IC!BK24&gt;真實IC!BK$25,1,0)</f>
        <v/>
      </c>
      <c r="BL24" s="11">
        <f>IF(真實IC!BL24&gt;真實IC!BL$25,1,0)</f>
        <v/>
      </c>
      <c r="BM24" s="11">
        <f>IF(真實IC!BM24&gt;真實IC!BM$25,1,0)</f>
        <v/>
      </c>
      <c r="BN24" s="11">
        <f>IF(真實IC!BN24&gt;真實IC!BN$25,1,0)</f>
        <v/>
      </c>
      <c r="BO24" s="11">
        <f>IF(真實IC!BO24&gt;真實IC!BO$25,1,0)</f>
        <v/>
      </c>
      <c r="BP24" s="11">
        <f>IF(真實IC!BP24&gt;真實IC!BP$25,1,0)</f>
        <v/>
      </c>
      <c r="BQ24" s="11">
        <f>IF(真實IC!BQ24&gt;真實IC!BQ$25,1,0)</f>
        <v/>
      </c>
      <c r="BR24" s="11">
        <f>IF(真實IC!BR24&gt;真實IC!BR$25,1,0)</f>
        <v/>
      </c>
      <c r="BS24" s="11">
        <f>IF(真實IC!BS24&gt;真實IC!BS$25,1,0)</f>
        <v/>
      </c>
      <c r="BT24" s="11">
        <f>IF(真實IC!BT24&gt;真實IC!BT$25,1,0)</f>
        <v/>
      </c>
      <c r="BU24" s="11">
        <f>IF(真實IC!BU24&gt;真實IC!BU$25,1,0)</f>
        <v/>
      </c>
      <c r="BV24" s="11">
        <f>IF(真實IC!BV24&gt;真實IC!BV$25,1,0)</f>
        <v/>
      </c>
      <c r="BW24" s="11">
        <f>IF(真實IC!BW24&gt;真實IC!BW$25,1,0)</f>
        <v/>
      </c>
      <c r="BX24" s="11">
        <f>IF(真實IC!BX24&gt;真實IC!BX$25,1,0)</f>
        <v/>
      </c>
      <c r="BY24" s="11">
        <f>IF(真實IC!BY24&gt;真實IC!BY$25,1,0)</f>
        <v/>
      </c>
      <c r="BZ24" s="11">
        <f>IF(真實IC!BZ24&gt;真實IC!BZ$25,1,0)</f>
        <v/>
      </c>
      <c r="CA24" s="11">
        <f>IF(真實IC!CA24&gt;真實IC!CA$25,1,0)</f>
        <v/>
      </c>
      <c r="CB24" s="11">
        <f>IF(真實IC!CB24&gt;真實IC!CB$25,1,0)</f>
        <v/>
      </c>
      <c r="CC24" s="11">
        <f>IF(真實IC!CC24&gt;真實IC!CC$25,1,0)</f>
        <v/>
      </c>
      <c r="CD24" s="11">
        <f>IF(真實IC!CD24&gt;真實IC!CD$25,1,0)</f>
        <v/>
      </c>
      <c r="CE24" s="11">
        <f>IF(真實IC!CE24&gt;真實IC!CE$25,1,0)</f>
        <v/>
      </c>
      <c r="CF24" s="11">
        <f>IF(真實IC!CF24&gt;真實IC!CF$25,1,0)</f>
        <v/>
      </c>
      <c r="CG24" s="11">
        <f>IF(真實IC!CG24&gt;真實IC!CG$25,1,0)</f>
        <v/>
      </c>
      <c r="CH24" s="11">
        <f>IF(真實IC!CH24&gt;真實IC!CH$25,1,0)</f>
        <v/>
      </c>
      <c r="CI24" s="11">
        <f>IF(真實IC!CI24&gt;真實IC!CI$25,1,0)</f>
        <v/>
      </c>
      <c r="CJ24" s="11">
        <f>IF(真實IC!CJ24&gt;真實IC!CJ$25,1,0)</f>
        <v/>
      </c>
      <c r="CK24" s="11">
        <f>IF(真實IC!CK24&gt;真實IC!CK$25,1,0)</f>
        <v/>
      </c>
      <c r="CL24" s="11">
        <f>IF(真實IC!CL24&gt;真實IC!CL$25,1,0)</f>
        <v/>
      </c>
      <c r="CM24" s="11">
        <f>IF(真實IC!CM24&gt;真實IC!CM$25,1,0)</f>
        <v/>
      </c>
      <c r="CN24" s="11">
        <f>IF(真實IC!CN24&gt;真實IC!CN$25,1,0)</f>
        <v/>
      </c>
      <c r="CO24" s="11">
        <f>IF(真實IC!CO24&gt;真實IC!CO$25,1,0)</f>
        <v/>
      </c>
      <c r="CP24" s="11">
        <f>IF(真實IC!CP24&gt;真實IC!CP$25,1,0)</f>
        <v/>
      </c>
      <c r="CQ24" s="11">
        <f>IF(真實IC!CQ24&gt;真實IC!CQ$25,1,0)</f>
        <v/>
      </c>
      <c r="CR24" s="11">
        <f>IF(真實IC!CR24&gt;真實IC!CR$25,1,0)</f>
        <v/>
      </c>
      <c r="CS24" s="11">
        <f>IF(真實IC!CS24&gt;真實IC!CS$25,1,0)</f>
        <v/>
      </c>
      <c r="CT24" s="11">
        <f>IF(真實IC!CT24&gt;真實IC!CT$25,1,0)</f>
        <v/>
      </c>
      <c r="CU24" s="11">
        <f>IF(真實IC!CU24&gt;真實IC!CU$25,1,0)</f>
        <v/>
      </c>
      <c r="CV24" s="11">
        <f>IF(真實IC!CV24&gt;真實IC!CV$25,1,0)</f>
        <v/>
      </c>
      <c r="CW24" s="11">
        <f>IF(真實IC!CW24&gt;真實IC!CW$25,1,0)</f>
        <v/>
      </c>
      <c r="CX24" s="11">
        <f>IF(真實IC!CX24&gt;真實IC!CX$25,1,0)</f>
        <v/>
      </c>
      <c r="CY24" s="11">
        <f>IF(真實IC!CY24&gt;真實IC!CY$25,1,0)</f>
        <v/>
      </c>
      <c r="CZ24" s="11">
        <f>IF(真實IC!CZ24&gt;真實IC!CZ$25,1,0)</f>
        <v/>
      </c>
      <c r="DA24" s="11">
        <f>IF(真實IC!DA24&gt;真實IC!DA$25,1,0)</f>
        <v/>
      </c>
      <c r="DB24" s="11">
        <f>IF(真實IC!DB24&gt;真實IC!DB$25,1,0)</f>
        <v/>
      </c>
      <c r="DC24" s="11">
        <f>IF(真實IC!DC24&gt;真實IC!DC$25,1,0)</f>
        <v/>
      </c>
      <c r="DD24" s="11">
        <f>IF(真實IC!DD24&gt;真實IC!DD$25,1,0)</f>
        <v/>
      </c>
      <c r="DE24" s="11">
        <f>IF(真實IC!DE24&gt;真實IC!DE$25,1,0)</f>
        <v/>
      </c>
      <c r="DF24" s="11">
        <f>IF(真實IC!DF24&gt;真實IC!DF$25,1,0)</f>
        <v/>
      </c>
      <c r="DG24" s="11">
        <f>IF(真實IC!DG24&gt;真實IC!DG$25,1,0)</f>
        <v/>
      </c>
      <c r="DH24" s="11">
        <f>IF(真實IC!DH24&gt;真實IC!DH$25,1,0)</f>
        <v/>
      </c>
      <c r="DI24" s="11">
        <f>IF(真實IC!DI24&gt;真實IC!DI$25,1,0)</f>
        <v/>
      </c>
      <c r="DJ24" s="11">
        <f>IF(真實IC!DJ24&gt;真實IC!DJ$25,1,0)</f>
        <v/>
      </c>
      <c r="DK24" s="11">
        <f>IF(真實IC!DK24&gt;真實IC!DK$25,1,0)</f>
        <v/>
      </c>
      <c r="DL24" s="11">
        <f>IF(真實IC!DL24&gt;真實IC!DL$25,1,0)</f>
        <v/>
      </c>
      <c r="DM24" s="11">
        <f>IF(真實IC!DM24&gt;真實IC!DM$25,1,0)</f>
        <v/>
      </c>
      <c r="DN24" s="11">
        <f>IF(真實IC!DN24&gt;真實IC!DN$25,1,0)</f>
        <v/>
      </c>
      <c r="DO24" s="11">
        <f>IF(真實IC!DO24&gt;真實IC!DO$25,1,0)</f>
        <v/>
      </c>
      <c r="DP24" s="11">
        <f>IF(真實IC!DP24&gt;真實IC!DP$25,1,0)</f>
        <v/>
      </c>
      <c r="DQ24" s="11">
        <f>IF(真實IC!DQ24&gt;真實IC!DQ$25,1,0)</f>
        <v/>
      </c>
      <c r="DR24" s="11">
        <f>IF(真實IC!DR24&gt;真實IC!DR$25,1,0)</f>
        <v/>
      </c>
      <c r="DS24" s="11">
        <f>IF(真實IC!DS24&gt;真實IC!DS$25,1,0)</f>
        <v/>
      </c>
      <c r="DT24" s="11">
        <f>IF(真實IC!DT24&gt;真實IC!DT$25,1,0)</f>
        <v/>
      </c>
      <c r="DU24" s="11">
        <f>IF(真實IC!DU24&gt;真實IC!DU$25,1,0)</f>
        <v/>
      </c>
      <c r="DV24" s="11">
        <f>IF(真實IC!DV24&gt;真實IC!DV$25,1,0)</f>
        <v/>
      </c>
      <c r="DW24" s="11">
        <f>IF(真實IC!DW24&gt;真實IC!DW$25,1,0)</f>
        <v/>
      </c>
      <c r="DX24" s="11">
        <f>IF(真實IC!DX24&gt;真實IC!DX$25,1,0)</f>
        <v/>
      </c>
      <c r="DY24" s="11">
        <f>IF(真實IC!DY24&gt;真實IC!DY$25,1,0)</f>
        <v/>
      </c>
      <c r="DZ24" s="11">
        <f>IF(真實IC!DZ24&gt;真實IC!DZ$25,1,0)</f>
        <v/>
      </c>
      <c r="EA24" s="11">
        <f>IF(真實IC!EA24&gt;真實IC!EA$25,1,0)</f>
        <v/>
      </c>
      <c r="EB24" s="11">
        <f>IF(真實IC!EB24&gt;真實IC!EB$25,1,0)</f>
        <v/>
      </c>
      <c r="EC24" s="11">
        <f>IF(真實IC!EC24&gt;真實IC!EC$25,1,0)</f>
        <v/>
      </c>
      <c r="ED24" s="11">
        <f>IF(真實IC!ED24&gt;真實IC!ED$25,1,0)</f>
        <v/>
      </c>
      <c r="EE24" s="11">
        <f>IF(真實IC!EE24&gt;真實IC!EE$25,1,0)</f>
        <v/>
      </c>
      <c r="EF24" s="11">
        <f>IF(真實IC!EF24&gt;真實IC!EF$25,1,0)</f>
        <v/>
      </c>
      <c r="EG24" s="11">
        <f>IF(真實IC!EG24&gt;真實IC!EG$25,1,0)</f>
        <v/>
      </c>
      <c r="EH24" s="11">
        <f>IF(真實IC!EH24&gt;真實IC!EH$25,1,0)</f>
        <v/>
      </c>
      <c r="EI24" s="11">
        <f>IF(真實IC!EI24&gt;真實IC!EI$25,1,0)</f>
        <v/>
      </c>
      <c r="EJ24" s="11">
        <f>IF(真實IC!EJ24&gt;真實IC!EJ$25,1,0)</f>
        <v/>
      </c>
      <c r="EK24" s="11">
        <f>IF(真實IC!EK24&gt;真實IC!EK$25,1,0)</f>
        <v/>
      </c>
      <c r="EL24" s="11">
        <f>IF(真實IC!EL24&gt;真實IC!EL$25,1,0)</f>
        <v/>
      </c>
      <c r="EM24" s="7">
        <f>SUM(C24:EL24)</f>
        <v/>
      </c>
      <c r="EN24" s="15">
        <f>EM24/140</f>
        <v/>
      </c>
    </row>
    <row r="25"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5" t="n"/>
      <c r="DL25" s="5" t="n"/>
      <c r="DM25" s="5" t="n"/>
      <c r="DN25" s="5" t="n"/>
      <c r="DO25" s="5" t="n"/>
      <c r="DP25" s="5" t="n"/>
      <c r="DQ25" s="5" t="n"/>
      <c r="DR25" s="5" t="n"/>
      <c r="DS25" s="5" t="n"/>
      <c r="DT25" s="5" t="n"/>
      <c r="DU25" s="5" t="n"/>
      <c r="DV25" s="5" t="n"/>
      <c r="DW25" s="5" t="n"/>
      <c r="DX25" s="5" t="n"/>
      <c r="DY25" s="5" t="n"/>
      <c r="DZ25" s="5" t="n"/>
      <c r="EA25" s="5" t="n"/>
      <c r="EB25" s="5" t="n"/>
      <c r="EC25" s="5" t="n"/>
      <c r="ED25" s="5" t="n"/>
      <c r="EE25" s="5" t="n"/>
      <c r="EF25" s="5" t="n"/>
      <c r="EG25" s="5" t="n"/>
      <c r="EH25" s="5" t="n"/>
      <c r="EI25" s="5" t="n"/>
      <c r="EJ25" s="5" t="n"/>
      <c r="EK25" s="5" t="n"/>
      <c r="EL25" s="5" t="n"/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</sheetData>
  <mergeCells count="2">
    <mergeCell ref="A6:B6"/>
    <mergeCell ref="A10:B10"/>
  </mergeCells>
  <conditionalFormatting sqref="EM12:EM24">
    <cfRule type="expression" priority="5" dxfId="0">
      <formula>EM12&gt;#REF!</formula>
    </cfRule>
  </conditionalFormatting>
  <conditionalFormatting sqref="EN12:EN24">
    <cfRule type="colorScale" priority="1">
      <colorScale>
        <cfvo type="min"/>
        <cfvo type="max"/>
        <color theme="7" tint="0.7999816888943144"/>
        <color theme="9" tint="0.3999755851924192"/>
      </colorScale>
    </cfRule>
    <cfRule type="expression" priority="6" dxfId="0">
      <formula>EN12&lt;#REF!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L164"/>
  <sheetViews>
    <sheetView topLeftCell="DU8" zoomScale="130" zoomScaleNormal="130" workbookViewId="0">
      <selection activeCell="EN22" sqref="EN22"/>
    </sheetView>
  </sheetViews>
  <sheetFormatPr baseColWidth="8" defaultRowHeight="14.5"/>
  <cols>
    <col width="10.19921875" bestFit="1" customWidth="1" min="2" max="2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inlineStr">
        <is>
          <t>等分</t>
        </is>
      </c>
      <c r="B11" s="7" t="inlineStr">
        <is>
          <t>家數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</row>
    <row r="12">
      <c r="A12" s="13" t="n">
        <v>10</v>
      </c>
      <c r="B12" s="13">
        <f>ROUND($D$10/A12,0)</f>
        <v/>
      </c>
      <c r="C12" s="2" t="n">
        <v>0.09819950192441131</v>
      </c>
      <c r="D12" s="2">
        <f>C12+真實IC!D12</f>
        <v/>
      </c>
      <c r="E12" s="2">
        <f>D12+真實IC!E12</f>
        <v/>
      </c>
      <c r="F12" s="2">
        <f>E12+真實IC!F12</f>
        <v/>
      </c>
      <c r="G12" s="2">
        <f>F12+真實IC!G12</f>
        <v/>
      </c>
      <c r="H12" s="2">
        <f>G12+真實IC!H12</f>
        <v/>
      </c>
      <c r="I12" s="2">
        <f>H12+真實IC!I12</f>
        <v/>
      </c>
      <c r="J12" s="2">
        <f>I12+真實IC!J12</f>
        <v/>
      </c>
      <c r="K12" s="2">
        <f>J12+真實IC!K12</f>
        <v/>
      </c>
      <c r="L12" s="2">
        <f>K12+真實IC!L12</f>
        <v/>
      </c>
      <c r="M12" s="2">
        <f>L12+真實IC!M12</f>
        <v/>
      </c>
      <c r="N12" s="2">
        <f>M12+真實IC!N12</f>
        <v/>
      </c>
      <c r="O12" s="2">
        <f>N12+真實IC!O12</f>
        <v/>
      </c>
      <c r="P12" s="2">
        <f>O12+真實IC!P12</f>
        <v/>
      </c>
      <c r="Q12" s="2">
        <f>P12+真實IC!Q12</f>
        <v/>
      </c>
      <c r="R12" s="2">
        <f>Q12+真實IC!R12</f>
        <v/>
      </c>
      <c r="S12" s="2">
        <f>R12+真實IC!S12</f>
        <v/>
      </c>
      <c r="T12" s="2">
        <f>S12+真實IC!T12</f>
        <v/>
      </c>
      <c r="U12" s="2">
        <f>T12+真實IC!U12</f>
        <v/>
      </c>
      <c r="V12" s="2">
        <f>U12+真實IC!V12</f>
        <v/>
      </c>
      <c r="W12" s="2">
        <f>V12+真實IC!W12</f>
        <v/>
      </c>
      <c r="X12" s="2">
        <f>W12+真實IC!X12</f>
        <v/>
      </c>
      <c r="Y12" s="2">
        <f>X12+真實IC!Y12</f>
        <v/>
      </c>
      <c r="Z12" s="2">
        <f>Y12+真實IC!Z12</f>
        <v/>
      </c>
      <c r="AA12" s="2">
        <f>Z12+真實IC!AA12</f>
        <v/>
      </c>
      <c r="AB12" s="2">
        <f>AA12+真實IC!AB12</f>
        <v/>
      </c>
      <c r="AC12" s="2">
        <f>AB12+真實IC!AC12</f>
        <v/>
      </c>
      <c r="AD12" s="2">
        <f>AC12+真實IC!AD12</f>
        <v/>
      </c>
      <c r="AE12" s="2">
        <f>AD12+真實IC!AE12</f>
        <v/>
      </c>
      <c r="AF12" s="2">
        <f>AE12+真實IC!AF12</f>
        <v/>
      </c>
      <c r="AG12" s="2">
        <f>AF12+真實IC!AG12</f>
        <v/>
      </c>
      <c r="AH12" s="2">
        <f>AG12+真實IC!AH12</f>
        <v/>
      </c>
      <c r="AI12" s="2">
        <f>AH12+真實IC!AI12</f>
        <v/>
      </c>
      <c r="AJ12" s="2">
        <f>AI12+真實IC!AJ12</f>
        <v/>
      </c>
      <c r="AK12" s="2">
        <f>AJ12+真實IC!AK12</f>
        <v/>
      </c>
      <c r="AL12" s="2">
        <f>AK12+真實IC!AL12</f>
        <v/>
      </c>
      <c r="AM12" s="2">
        <f>AL12+真實IC!AM12</f>
        <v/>
      </c>
      <c r="AN12" s="2">
        <f>AM12+真實IC!AN12</f>
        <v/>
      </c>
      <c r="AO12" s="2">
        <f>AN12+真實IC!AO12</f>
        <v/>
      </c>
      <c r="AP12" s="2">
        <f>AO12+真實IC!AP12</f>
        <v/>
      </c>
      <c r="AQ12" s="2">
        <f>AP12+真實IC!AQ12</f>
        <v/>
      </c>
      <c r="AR12" s="2">
        <f>AQ12+真實IC!AR12</f>
        <v/>
      </c>
      <c r="AS12" s="2">
        <f>AR12+真實IC!AS12</f>
        <v/>
      </c>
      <c r="AT12" s="2">
        <f>AS12+真實IC!AT12</f>
        <v/>
      </c>
      <c r="AU12" s="2">
        <f>AT12+真實IC!AU12</f>
        <v/>
      </c>
      <c r="AV12" s="2">
        <f>AU12+真實IC!AV12</f>
        <v/>
      </c>
      <c r="AW12" s="2">
        <f>AV12+真實IC!AW12</f>
        <v/>
      </c>
      <c r="AX12" s="2">
        <f>AW12+真實IC!AX12</f>
        <v/>
      </c>
      <c r="AY12" s="2">
        <f>AX12+真實IC!AY12</f>
        <v/>
      </c>
      <c r="AZ12" s="2">
        <f>AY12+真實IC!AZ12</f>
        <v/>
      </c>
      <c r="BA12" s="2">
        <f>AZ12+真實IC!BA12</f>
        <v/>
      </c>
      <c r="BB12" s="2">
        <f>BA12+真實IC!BB12</f>
        <v/>
      </c>
      <c r="BC12" s="2">
        <f>BB12+真實IC!BC12</f>
        <v/>
      </c>
      <c r="BD12" s="2">
        <f>BC12+真實IC!BD12</f>
        <v/>
      </c>
      <c r="BE12" s="2">
        <f>BD12+真實IC!BE12</f>
        <v/>
      </c>
      <c r="BF12" s="2">
        <f>BE12+真實IC!BF12</f>
        <v/>
      </c>
      <c r="BG12" s="2">
        <f>BF12+真實IC!BG12</f>
        <v/>
      </c>
      <c r="BH12" s="2">
        <f>BG12+真實IC!BH12</f>
        <v/>
      </c>
      <c r="BI12" s="2">
        <f>BH12+真實IC!BI12</f>
        <v/>
      </c>
      <c r="BJ12" s="2">
        <f>BI12+真實IC!BJ12</f>
        <v/>
      </c>
      <c r="BK12" s="2">
        <f>BJ12+真實IC!BK12</f>
        <v/>
      </c>
      <c r="BL12" s="2">
        <f>BK12+真實IC!BL12</f>
        <v/>
      </c>
      <c r="BM12" s="2">
        <f>BL12+真實IC!BM12</f>
        <v/>
      </c>
      <c r="BN12" s="2">
        <f>BM12+真實IC!BN12</f>
        <v/>
      </c>
      <c r="BO12" s="2">
        <f>BN12+真實IC!BO12</f>
        <v/>
      </c>
      <c r="BP12" s="2">
        <f>BO12+真實IC!BP12</f>
        <v/>
      </c>
      <c r="BQ12" s="2">
        <f>BP12+真實IC!BQ12</f>
        <v/>
      </c>
      <c r="BR12" s="2">
        <f>BQ12+真實IC!BR12</f>
        <v/>
      </c>
      <c r="BS12" s="2">
        <f>BR12+真實IC!BS12</f>
        <v/>
      </c>
      <c r="BT12" s="2">
        <f>BS12+真實IC!BT12</f>
        <v/>
      </c>
      <c r="BU12" s="2">
        <f>BT12+真實IC!BU12</f>
        <v/>
      </c>
      <c r="BV12" s="2">
        <f>BU12+真實IC!BV12</f>
        <v/>
      </c>
      <c r="BW12" s="2">
        <f>BV12+真實IC!BW12</f>
        <v/>
      </c>
      <c r="BX12" s="2">
        <f>BW12+真實IC!BX12</f>
        <v/>
      </c>
      <c r="BY12" s="2">
        <f>BX12+真實IC!BY12</f>
        <v/>
      </c>
      <c r="BZ12" s="2">
        <f>BY12+真實IC!BZ12</f>
        <v/>
      </c>
      <c r="CA12" s="2">
        <f>BZ12+真實IC!CA12</f>
        <v/>
      </c>
      <c r="CB12" s="2">
        <f>CA12+真實IC!CB12</f>
        <v/>
      </c>
      <c r="CC12" s="2">
        <f>CB12+真實IC!CC12</f>
        <v/>
      </c>
      <c r="CD12" s="2">
        <f>CC12+真實IC!CD12</f>
        <v/>
      </c>
      <c r="CE12" s="2">
        <f>CD12+真實IC!CE12</f>
        <v/>
      </c>
      <c r="CF12" s="2">
        <f>CE12+真實IC!CF12</f>
        <v/>
      </c>
      <c r="CG12" s="2">
        <f>CF12+真實IC!CG12</f>
        <v/>
      </c>
      <c r="CH12" s="2">
        <f>CG12+真實IC!CH12</f>
        <v/>
      </c>
      <c r="CI12" s="2">
        <f>CH12+真實IC!CI12</f>
        <v/>
      </c>
      <c r="CJ12" s="2">
        <f>CI12+真實IC!CJ12</f>
        <v/>
      </c>
      <c r="CK12" s="2">
        <f>CJ12+真實IC!CK12</f>
        <v/>
      </c>
      <c r="CL12" s="2">
        <f>CK12+真實IC!CL12</f>
        <v/>
      </c>
      <c r="CM12" s="2">
        <f>CL12+真實IC!CM12</f>
        <v/>
      </c>
      <c r="CN12" s="2">
        <f>CM12+真實IC!CN12</f>
        <v/>
      </c>
      <c r="CO12" s="2">
        <f>CN12+真實IC!CO12</f>
        <v/>
      </c>
      <c r="CP12" s="2">
        <f>CO12+真實IC!CP12</f>
        <v/>
      </c>
      <c r="CQ12" s="2">
        <f>CP12+真實IC!CQ12</f>
        <v/>
      </c>
      <c r="CR12" s="2">
        <f>CQ12+真實IC!CR12</f>
        <v/>
      </c>
      <c r="CS12" s="2">
        <f>CR12+真實IC!CS12</f>
        <v/>
      </c>
      <c r="CT12" s="2">
        <f>CS12+真實IC!CT12</f>
        <v/>
      </c>
      <c r="CU12" s="2">
        <f>CT12+真實IC!CU12</f>
        <v/>
      </c>
      <c r="CV12" s="2">
        <f>CU12+真實IC!CV12</f>
        <v/>
      </c>
      <c r="CW12" s="2">
        <f>CV12+真實IC!CW12</f>
        <v/>
      </c>
      <c r="CX12" s="2">
        <f>CW12+真實IC!CX12</f>
        <v/>
      </c>
      <c r="CY12" s="2">
        <f>CX12+真實IC!CY12</f>
        <v/>
      </c>
      <c r="CZ12" s="2">
        <f>CY12+真實IC!CZ12</f>
        <v/>
      </c>
      <c r="DA12" s="2">
        <f>CZ12+真實IC!DA12</f>
        <v/>
      </c>
      <c r="DB12" s="2">
        <f>DA12+真實IC!DB12</f>
        <v/>
      </c>
      <c r="DC12" s="2">
        <f>DB12+真實IC!DC12</f>
        <v/>
      </c>
      <c r="DD12" s="2">
        <f>DC12+真實IC!DD12</f>
        <v/>
      </c>
      <c r="DE12" s="2">
        <f>DD12+真實IC!DE12</f>
        <v/>
      </c>
      <c r="DF12" s="2">
        <f>DE12+真實IC!DF12</f>
        <v/>
      </c>
      <c r="DG12" s="2">
        <f>DF12+真實IC!DG12</f>
        <v/>
      </c>
      <c r="DH12" s="2">
        <f>DG12+真實IC!DH12</f>
        <v/>
      </c>
      <c r="DI12" s="2">
        <f>DH12+真實IC!DI12</f>
        <v/>
      </c>
      <c r="DJ12" s="2">
        <f>DI12+真實IC!DJ12</f>
        <v/>
      </c>
      <c r="DK12" s="2">
        <f>DJ12+真實IC!DK12</f>
        <v/>
      </c>
      <c r="DL12" s="2">
        <f>DK12+真實IC!DL12</f>
        <v/>
      </c>
      <c r="DM12" s="2">
        <f>DL12+真實IC!DM12</f>
        <v/>
      </c>
      <c r="DN12" s="2">
        <f>DM12+真實IC!DN12</f>
        <v/>
      </c>
      <c r="DO12" s="2">
        <f>DN12+真實IC!DO12</f>
        <v/>
      </c>
      <c r="DP12" s="2">
        <f>DO12+真實IC!DP12</f>
        <v/>
      </c>
      <c r="DQ12" s="2">
        <f>DP12+真實IC!DQ12</f>
        <v/>
      </c>
      <c r="DR12" s="2">
        <f>DQ12+真實IC!DR12</f>
        <v/>
      </c>
      <c r="DS12" s="2">
        <f>DR12+真實IC!DS12</f>
        <v/>
      </c>
      <c r="DT12" s="2">
        <f>DS12+真實IC!DT12</f>
        <v/>
      </c>
      <c r="DU12" s="2">
        <f>DT12+真實IC!DU12</f>
        <v/>
      </c>
      <c r="DV12" s="2">
        <f>DU12+真實IC!DV12</f>
        <v/>
      </c>
      <c r="DW12" s="2">
        <f>DV12+真實IC!DW12</f>
        <v/>
      </c>
      <c r="DX12" s="2">
        <f>DW12+真實IC!DX12</f>
        <v/>
      </c>
      <c r="DY12" s="2">
        <f>DX12+真實IC!DY12</f>
        <v/>
      </c>
      <c r="DZ12" s="2">
        <f>DY12+真實IC!DZ12</f>
        <v/>
      </c>
      <c r="EA12" s="2">
        <f>DZ12+真實IC!EA12</f>
        <v/>
      </c>
      <c r="EB12" s="2">
        <f>EA12+真實IC!EB12</f>
        <v/>
      </c>
      <c r="EC12" s="2">
        <f>EB12+真實IC!EC12</f>
        <v/>
      </c>
      <c r="ED12" s="2">
        <f>EC12+真實IC!ED12</f>
        <v/>
      </c>
      <c r="EE12" s="2">
        <f>ED12+真實IC!EE12</f>
        <v/>
      </c>
      <c r="EF12" s="2">
        <f>EE12+真實IC!EF12</f>
        <v/>
      </c>
      <c r="EG12" s="2">
        <f>EF12+真實IC!EG12</f>
        <v/>
      </c>
      <c r="EH12" s="2">
        <f>EG12+真實IC!EH12</f>
        <v/>
      </c>
      <c r="EI12" s="2">
        <f>EH12+真實IC!EI12</f>
        <v/>
      </c>
      <c r="EJ12" s="2">
        <f>EI12+真實IC!EJ12</f>
        <v/>
      </c>
      <c r="EK12" s="2">
        <f>EJ12+真實IC!EK12</f>
        <v/>
      </c>
      <c r="EL12" s="2">
        <f>EK12+真實IC!EL12</f>
        <v/>
      </c>
    </row>
    <row r="13">
      <c r="A13" s="13" t="n">
        <v>20</v>
      </c>
      <c r="B13" s="13">
        <f>ROUND($D$10/A13,0)</f>
        <v/>
      </c>
      <c r="C13" s="2" t="n">
        <v>0.1210777616647176</v>
      </c>
      <c r="D13" s="2">
        <f>C13+真實IC!D13</f>
        <v/>
      </c>
      <c r="E13" s="2">
        <f>D13+真實IC!E13</f>
        <v/>
      </c>
      <c r="F13" s="2">
        <f>E13+真實IC!F13</f>
        <v/>
      </c>
      <c r="G13" s="2">
        <f>F13+真實IC!G13</f>
        <v/>
      </c>
      <c r="H13" s="2">
        <f>G13+真實IC!H13</f>
        <v/>
      </c>
      <c r="I13" s="2">
        <f>H13+真實IC!I13</f>
        <v/>
      </c>
      <c r="J13" s="2">
        <f>I13+真實IC!J13</f>
        <v/>
      </c>
      <c r="K13" s="2">
        <f>J13+真實IC!K13</f>
        <v/>
      </c>
      <c r="L13" s="2">
        <f>K13+真實IC!L13</f>
        <v/>
      </c>
      <c r="M13" s="2">
        <f>L13+真實IC!M13</f>
        <v/>
      </c>
      <c r="N13" s="2">
        <f>M13+真實IC!N13</f>
        <v/>
      </c>
      <c r="O13" s="2">
        <f>N13+真實IC!O13</f>
        <v/>
      </c>
      <c r="P13" s="2">
        <f>O13+真實IC!P13</f>
        <v/>
      </c>
      <c r="Q13" s="2">
        <f>P13+真實IC!Q13</f>
        <v/>
      </c>
      <c r="R13" s="2">
        <f>Q13+真實IC!R13</f>
        <v/>
      </c>
      <c r="S13" s="2">
        <f>R13+真實IC!S13</f>
        <v/>
      </c>
      <c r="T13" s="2">
        <f>S13+真實IC!T13</f>
        <v/>
      </c>
      <c r="U13" s="2">
        <f>T13+真實IC!U13</f>
        <v/>
      </c>
      <c r="V13" s="2">
        <f>U13+真實IC!V13</f>
        <v/>
      </c>
      <c r="W13" s="2">
        <f>V13+真實IC!W13</f>
        <v/>
      </c>
      <c r="X13" s="2">
        <f>W13+真實IC!X13</f>
        <v/>
      </c>
      <c r="Y13" s="2">
        <f>X13+真實IC!Y13</f>
        <v/>
      </c>
      <c r="Z13" s="2">
        <f>Y13+真實IC!Z13</f>
        <v/>
      </c>
      <c r="AA13" s="2">
        <f>Z13+真實IC!AA13</f>
        <v/>
      </c>
      <c r="AB13" s="2">
        <f>AA13+真實IC!AB13</f>
        <v/>
      </c>
      <c r="AC13" s="2">
        <f>AB13+真實IC!AC13</f>
        <v/>
      </c>
      <c r="AD13" s="2">
        <f>AC13+真實IC!AD13</f>
        <v/>
      </c>
      <c r="AE13" s="2">
        <f>AD13+真實IC!AE13</f>
        <v/>
      </c>
      <c r="AF13" s="2">
        <f>AE13+真實IC!AF13</f>
        <v/>
      </c>
      <c r="AG13" s="2">
        <f>AF13+真實IC!AG13</f>
        <v/>
      </c>
      <c r="AH13" s="2">
        <f>AG13+真實IC!AH13</f>
        <v/>
      </c>
      <c r="AI13" s="2">
        <f>AH13+真實IC!AI13</f>
        <v/>
      </c>
      <c r="AJ13" s="2">
        <f>AI13+真實IC!AJ13</f>
        <v/>
      </c>
      <c r="AK13" s="2">
        <f>AJ13+真實IC!AK13</f>
        <v/>
      </c>
      <c r="AL13" s="2">
        <f>AK13+真實IC!AL13</f>
        <v/>
      </c>
      <c r="AM13" s="2">
        <f>AL13+真實IC!AM13</f>
        <v/>
      </c>
      <c r="AN13" s="2">
        <f>AM13+真實IC!AN13</f>
        <v/>
      </c>
      <c r="AO13" s="2">
        <f>AN13+真實IC!AO13</f>
        <v/>
      </c>
      <c r="AP13" s="2">
        <f>AO13+真實IC!AP13</f>
        <v/>
      </c>
      <c r="AQ13" s="2">
        <f>AP13+真實IC!AQ13</f>
        <v/>
      </c>
      <c r="AR13" s="2">
        <f>AQ13+真實IC!AR13</f>
        <v/>
      </c>
      <c r="AS13" s="2">
        <f>AR13+真實IC!AS13</f>
        <v/>
      </c>
      <c r="AT13" s="2">
        <f>AS13+真實IC!AT13</f>
        <v/>
      </c>
      <c r="AU13" s="2">
        <f>AT13+真實IC!AU13</f>
        <v/>
      </c>
      <c r="AV13" s="2">
        <f>AU13+真實IC!AV13</f>
        <v/>
      </c>
      <c r="AW13" s="2">
        <f>AV13+真實IC!AW13</f>
        <v/>
      </c>
      <c r="AX13" s="2">
        <f>AW13+真實IC!AX13</f>
        <v/>
      </c>
      <c r="AY13" s="2">
        <f>AX13+真實IC!AY13</f>
        <v/>
      </c>
      <c r="AZ13" s="2">
        <f>AY13+真實IC!AZ13</f>
        <v/>
      </c>
      <c r="BA13" s="2">
        <f>AZ13+真實IC!BA13</f>
        <v/>
      </c>
      <c r="BB13" s="2">
        <f>BA13+真實IC!BB13</f>
        <v/>
      </c>
      <c r="BC13" s="2">
        <f>BB13+真實IC!BC13</f>
        <v/>
      </c>
      <c r="BD13" s="2">
        <f>BC13+真實IC!BD13</f>
        <v/>
      </c>
      <c r="BE13" s="2">
        <f>BD13+真實IC!BE13</f>
        <v/>
      </c>
      <c r="BF13" s="2">
        <f>BE13+真實IC!BF13</f>
        <v/>
      </c>
      <c r="BG13" s="2">
        <f>BF13+真實IC!BG13</f>
        <v/>
      </c>
      <c r="BH13" s="2">
        <f>BG13+真實IC!BH13</f>
        <v/>
      </c>
      <c r="BI13" s="2">
        <f>BH13+真實IC!BI13</f>
        <v/>
      </c>
      <c r="BJ13" s="2">
        <f>BI13+真實IC!BJ13</f>
        <v/>
      </c>
      <c r="BK13" s="2">
        <f>BJ13+真實IC!BK13</f>
        <v/>
      </c>
      <c r="BL13" s="2">
        <f>BK13+真實IC!BL13</f>
        <v/>
      </c>
      <c r="BM13" s="2">
        <f>BL13+真實IC!BM13</f>
        <v/>
      </c>
      <c r="BN13" s="2">
        <f>BM13+真實IC!BN13</f>
        <v/>
      </c>
      <c r="BO13" s="2">
        <f>BN13+真實IC!BO13</f>
        <v/>
      </c>
      <c r="BP13" s="2">
        <f>BO13+真實IC!BP13</f>
        <v/>
      </c>
      <c r="BQ13" s="2">
        <f>BP13+真實IC!BQ13</f>
        <v/>
      </c>
      <c r="BR13" s="2">
        <f>BQ13+真實IC!BR13</f>
        <v/>
      </c>
      <c r="BS13" s="2">
        <f>BR13+真實IC!BS13</f>
        <v/>
      </c>
      <c r="BT13" s="2">
        <f>BS13+真實IC!BT13</f>
        <v/>
      </c>
      <c r="BU13" s="2">
        <f>BT13+真實IC!BU13</f>
        <v/>
      </c>
      <c r="BV13" s="2">
        <f>BU13+真實IC!BV13</f>
        <v/>
      </c>
      <c r="BW13" s="2">
        <f>BV13+真實IC!BW13</f>
        <v/>
      </c>
      <c r="BX13" s="2">
        <f>BW13+真實IC!BX13</f>
        <v/>
      </c>
      <c r="BY13" s="2">
        <f>BX13+真實IC!BY13</f>
        <v/>
      </c>
      <c r="BZ13" s="2">
        <f>BY13+真實IC!BZ13</f>
        <v/>
      </c>
      <c r="CA13" s="2">
        <f>BZ13+真實IC!CA13</f>
        <v/>
      </c>
      <c r="CB13" s="2">
        <f>CA13+真實IC!CB13</f>
        <v/>
      </c>
      <c r="CC13" s="2">
        <f>CB13+真實IC!CC13</f>
        <v/>
      </c>
      <c r="CD13" s="2">
        <f>CC13+真實IC!CD13</f>
        <v/>
      </c>
      <c r="CE13" s="2">
        <f>CD13+真實IC!CE13</f>
        <v/>
      </c>
      <c r="CF13" s="2">
        <f>CE13+真實IC!CF13</f>
        <v/>
      </c>
      <c r="CG13" s="2">
        <f>CF13+真實IC!CG13</f>
        <v/>
      </c>
      <c r="CH13" s="2">
        <f>CG13+真實IC!CH13</f>
        <v/>
      </c>
      <c r="CI13" s="2">
        <f>CH13+真實IC!CI13</f>
        <v/>
      </c>
      <c r="CJ13" s="2">
        <f>CI13+真實IC!CJ13</f>
        <v/>
      </c>
      <c r="CK13" s="2">
        <f>CJ13+真實IC!CK13</f>
        <v/>
      </c>
      <c r="CL13" s="2">
        <f>CK13+真實IC!CL13</f>
        <v/>
      </c>
      <c r="CM13" s="2">
        <f>CL13+真實IC!CM13</f>
        <v/>
      </c>
      <c r="CN13" s="2">
        <f>CM13+真實IC!CN13</f>
        <v/>
      </c>
      <c r="CO13" s="2">
        <f>CN13+真實IC!CO13</f>
        <v/>
      </c>
      <c r="CP13" s="2">
        <f>CO13+真實IC!CP13</f>
        <v/>
      </c>
      <c r="CQ13" s="2">
        <f>CP13+真實IC!CQ13</f>
        <v/>
      </c>
      <c r="CR13" s="2">
        <f>CQ13+真實IC!CR13</f>
        <v/>
      </c>
      <c r="CS13" s="2">
        <f>CR13+真實IC!CS13</f>
        <v/>
      </c>
      <c r="CT13" s="2">
        <f>CS13+真實IC!CT13</f>
        <v/>
      </c>
      <c r="CU13" s="2">
        <f>CT13+真實IC!CU13</f>
        <v/>
      </c>
      <c r="CV13" s="2">
        <f>CU13+真實IC!CV13</f>
        <v/>
      </c>
      <c r="CW13" s="2">
        <f>CV13+真實IC!CW13</f>
        <v/>
      </c>
      <c r="CX13" s="2">
        <f>CW13+真實IC!CX13</f>
        <v/>
      </c>
      <c r="CY13" s="2">
        <f>CX13+真實IC!CY13</f>
        <v/>
      </c>
      <c r="CZ13" s="2">
        <f>CY13+真實IC!CZ13</f>
        <v/>
      </c>
      <c r="DA13" s="2">
        <f>CZ13+真實IC!DA13</f>
        <v/>
      </c>
      <c r="DB13" s="2">
        <f>DA13+真實IC!DB13</f>
        <v/>
      </c>
      <c r="DC13" s="2">
        <f>DB13+真實IC!DC13</f>
        <v/>
      </c>
      <c r="DD13" s="2">
        <f>DC13+真實IC!DD13</f>
        <v/>
      </c>
      <c r="DE13" s="2">
        <f>DD13+真實IC!DE13</f>
        <v/>
      </c>
      <c r="DF13" s="2">
        <f>DE13+真實IC!DF13</f>
        <v/>
      </c>
      <c r="DG13" s="2">
        <f>DF13+真實IC!DG13</f>
        <v/>
      </c>
      <c r="DH13" s="2">
        <f>DG13+真實IC!DH13</f>
        <v/>
      </c>
      <c r="DI13" s="2">
        <f>DH13+真實IC!DI13</f>
        <v/>
      </c>
      <c r="DJ13" s="2">
        <f>DI13+真實IC!DJ13</f>
        <v/>
      </c>
      <c r="DK13" s="2">
        <f>DJ13+真實IC!DK13</f>
        <v/>
      </c>
      <c r="DL13" s="2">
        <f>DK13+真實IC!DL13</f>
        <v/>
      </c>
      <c r="DM13" s="2">
        <f>DL13+真實IC!DM13</f>
        <v/>
      </c>
      <c r="DN13" s="2">
        <f>DM13+真實IC!DN13</f>
        <v/>
      </c>
      <c r="DO13" s="2">
        <f>DN13+真實IC!DO13</f>
        <v/>
      </c>
      <c r="DP13" s="2">
        <f>DO13+真實IC!DP13</f>
        <v/>
      </c>
      <c r="DQ13" s="2">
        <f>DP13+真實IC!DQ13</f>
        <v/>
      </c>
      <c r="DR13" s="2">
        <f>DQ13+真實IC!DR13</f>
        <v/>
      </c>
      <c r="DS13" s="2">
        <f>DR13+真實IC!DS13</f>
        <v/>
      </c>
      <c r="DT13" s="2">
        <f>DS13+真實IC!DT13</f>
        <v/>
      </c>
      <c r="DU13" s="2">
        <f>DT13+真實IC!DU13</f>
        <v/>
      </c>
      <c r="DV13" s="2">
        <f>DU13+真實IC!DV13</f>
        <v/>
      </c>
      <c r="DW13" s="2">
        <f>DV13+真實IC!DW13</f>
        <v/>
      </c>
      <c r="DX13" s="2">
        <f>DW13+真實IC!DX13</f>
        <v/>
      </c>
      <c r="DY13" s="2">
        <f>DX13+真實IC!DY13</f>
        <v/>
      </c>
      <c r="DZ13" s="2">
        <f>DY13+真實IC!DZ13</f>
        <v/>
      </c>
      <c r="EA13" s="2">
        <f>DZ13+真實IC!EA13</f>
        <v/>
      </c>
      <c r="EB13" s="2">
        <f>EA13+真實IC!EB13</f>
        <v/>
      </c>
      <c r="EC13" s="2">
        <f>EB13+真實IC!EC13</f>
        <v/>
      </c>
      <c r="ED13" s="2">
        <f>EC13+真實IC!ED13</f>
        <v/>
      </c>
      <c r="EE13" s="2">
        <f>ED13+真實IC!EE13</f>
        <v/>
      </c>
      <c r="EF13" s="2">
        <f>EE13+真實IC!EF13</f>
        <v/>
      </c>
      <c r="EG13" s="2">
        <f>EF13+真實IC!EG13</f>
        <v/>
      </c>
      <c r="EH13" s="2">
        <f>EG13+真實IC!EH13</f>
        <v/>
      </c>
      <c r="EI13" s="2">
        <f>EH13+真實IC!EI13</f>
        <v/>
      </c>
      <c r="EJ13" s="2">
        <f>EI13+真實IC!EJ13</f>
        <v/>
      </c>
      <c r="EK13" s="2">
        <f>EJ13+真實IC!EK13</f>
        <v/>
      </c>
      <c r="EL13" s="2">
        <f>EK13+真實IC!EL13</f>
        <v/>
      </c>
    </row>
    <row r="14">
      <c r="A14" s="13" t="n">
        <v>50</v>
      </c>
      <c r="B14" s="13">
        <f>ROUND($D$10/A14,0)</f>
        <v/>
      </c>
      <c r="C14" s="2" t="n">
        <v>0.1322051333097304</v>
      </c>
      <c r="D14" s="2">
        <f>C14+真實IC!D14</f>
        <v/>
      </c>
      <c r="E14" s="2">
        <f>D14+真實IC!E14</f>
        <v/>
      </c>
      <c r="F14" s="2">
        <f>E14+真實IC!F14</f>
        <v/>
      </c>
      <c r="G14" s="2">
        <f>F14+真實IC!G14</f>
        <v/>
      </c>
      <c r="H14" s="2">
        <f>G14+真實IC!H14</f>
        <v/>
      </c>
      <c r="I14" s="2">
        <f>H14+真實IC!I14</f>
        <v/>
      </c>
      <c r="J14" s="2">
        <f>I14+真實IC!J14</f>
        <v/>
      </c>
      <c r="K14" s="2">
        <f>J14+真實IC!K14</f>
        <v/>
      </c>
      <c r="L14" s="2">
        <f>K14+真實IC!L14</f>
        <v/>
      </c>
      <c r="M14" s="2">
        <f>L14+真實IC!M14</f>
        <v/>
      </c>
      <c r="N14" s="2">
        <f>M14+真實IC!N14</f>
        <v/>
      </c>
      <c r="O14" s="2">
        <f>N14+真實IC!O14</f>
        <v/>
      </c>
      <c r="P14" s="2">
        <f>O14+真實IC!P14</f>
        <v/>
      </c>
      <c r="Q14" s="2">
        <f>P14+真實IC!Q14</f>
        <v/>
      </c>
      <c r="R14" s="2">
        <f>Q14+真實IC!R14</f>
        <v/>
      </c>
      <c r="S14" s="2">
        <f>R14+真實IC!S14</f>
        <v/>
      </c>
      <c r="T14" s="2">
        <f>S14+真實IC!T14</f>
        <v/>
      </c>
      <c r="U14" s="2">
        <f>T14+真實IC!U14</f>
        <v/>
      </c>
      <c r="V14" s="2">
        <f>U14+真實IC!V14</f>
        <v/>
      </c>
      <c r="W14" s="2">
        <f>V14+真實IC!W14</f>
        <v/>
      </c>
      <c r="X14" s="2">
        <f>W14+真實IC!X14</f>
        <v/>
      </c>
      <c r="Y14" s="2">
        <f>X14+真實IC!Y14</f>
        <v/>
      </c>
      <c r="Z14" s="2">
        <f>Y14+真實IC!Z14</f>
        <v/>
      </c>
      <c r="AA14" s="2">
        <f>Z14+真實IC!AA14</f>
        <v/>
      </c>
      <c r="AB14" s="2">
        <f>AA14+真實IC!AB14</f>
        <v/>
      </c>
      <c r="AC14" s="2">
        <f>AB14+真實IC!AC14</f>
        <v/>
      </c>
      <c r="AD14" s="2">
        <f>AC14+真實IC!AD14</f>
        <v/>
      </c>
      <c r="AE14" s="2">
        <f>AD14+真實IC!AE14</f>
        <v/>
      </c>
      <c r="AF14" s="2">
        <f>AE14+真實IC!AF14</f>
        <v/>
      </c>
      <c r="AG14" s="2">
        <f>AF14+真實IC!AG14</f>
        <v/>
      </c>
      <c r="AH14" s="2">
        <f>AG14+真實IC!AH14</f>
        <v/>
      </c>
      <c r="AI14" s="2">
        <f>AH14+真實IC!AI14</f>
        <v/>
      </c>
      <c r="AJ14" s="2">
        <f>AI14+真實IC!AJ14</f>
        <v/>
      </c>
      <c r="AK14" s="2">
        <f>AJ14+真實IC!AK14</f>
        <v/>
      </c>
      <c r="AL14" s="2">
        <f>AK14+真實IC!AL14</f>
        <v/>
      </c>
      <c r="AM14" s="2">
        <f>AL14+真實IC!AM14</f>
        <v/>
      </c>
      <c r="AN14" s="2">
        <f>AM14+真實IC!AN14</f>
        <v/>
      </c>
      <c r="AO14" s="2">
        <f>AN14+真實IC!AO14</f>
        <v/>
      </c>
      <c r="AP14" s="2">
        <f>AO14+真實IC!AP14</f>
        <v/>
      </c>
      <c r="AQ14" s="2">
        <f>AP14+真實IC!AQ14</f>
        <v/>
      </c>
      <c r="AR14" s="2">
        <f>AQ14+真實IC!AR14</f>
        <v/>
      </c>
      <c r="AS14" s="2">
        <f>AR14+真實IC!AS14</f>
        <v/>
      </c>
      <c r="AT14" s="2">
        <f>AS14+真實IC!AT14</f>
        <v/>
      </c>
      <c r="AU14" s="2">
        <f>AT14+真實IC!AU14</f>
        <v/>
      </c>
      <c r="AV14" s="2">
        <f>AU14+真實IC!AV14</f>
        <v/>
      </c>
      <c r="AW14" s="2">
        <f>AV14+真實IC!AW14</f>
        <v/>
      </c>
      <c r="AX14" s="2">
        <f>AW14+真實IC!AX14</f>
        <v/>
      </c>
      <c r="AY14" s="2">
        <f>AX14+真實IC!AY14</f>
        <v/>
      </c>
      <c r="AZ14" s="2">
        <f>AY14+真實IC!AZ14</f>
        <v/>
      </c>
      <c r="BA14" s="2">
        <f>AZ14+真實IC!BA14</f>
        <v/>
      </c>
      <c r="BB14" s="2">
        <f>BA14+真實IC!BB14</f>
        <v/>
      </c>
      <c r="BC14" s="2">
        <f>BB14+真實IC!BC14</f>
        <v/>
      </c>
      <c r="BD14" s="2">
        <f>BC14+真實IC!BD14</f>
        <v/>
      </c>
      <c r="BE14" s="2">
        <f>BD14+真實IC!BE14</f>
        <v/>
      </c>
      <c r="BF14" s="2">
        <f>BE14+真實IC!BF14</f>
        <v/>
      </c>
      <c r="BG14" s="2">
        <f>BF14+真實IC!BG14</f>
        <v/>
      </c>
      <c r="BH14" s="2">
        <f>BG14+真實IC!BH14</f>
        <v/>
      </c>
      <c r="BI14" s="2">
        <f>BH14+真實IC!BI14</f>
        <v/>
      </c>
      <c r="BJ14" s="2">
        <f>BI14+真實IC!BJ14</f>
        <v/>
      </c>
      <c r="BK14" s="2">
        <f>BJ14+真實IC!BK14</f>
        <v/>
      </c>
      <c r="BL14" s="2">
        <f>BK14+真實IC!BL14</f>
        <v/>
      </c>
      <c r="BM14" s="2">
        <f>BL14+真實IC!BM14</f>
        <v/>
      </c>
      <c r="BN14" s="2">
        <f>BM14+真實IC!BN14</f>
        <v/>
      </c>
      <c r="BO14" s="2">
        <f>BN14+真實IC!BO14</f>
        <v/>
      </c>
      <c r="BP14" s="2">
        <f>BO14+真實IC!BP14</f>
        <v/>
      </c>
      <c r="BQ14" s="2">
        <f>BP14+真實IC!BQ14</f>
        <v/>
      </c>
      <c r="BR14" s="2">
        <f>BQ14+真實IC!BR14</f>
        <v/>
      </c>
      <c r="BS14" s="2">
        <f>BR14+真實IC!BS14</f>
        <v/>
      </c>
      <c r="BT14" s="2">
        <f>BS14+真實IC!BT14</f>
        <v/>
      </c>
      <c r="BU14" s="2">
        <f>BT14+真實IC!BU14</f>
        <v/>
      </c>
      <c r="BV14" s="2">
        <f>BU14+真實IC!BV14</f>
        <v/>
      </c>
      <c r="BW14" s="2">
        <f>BV14+真實IC!BW14</f>
        <v/>
      </c>
      <c r="BX14" s="2">
        <f>BW14+真實IC!BX14</f>
        <v/>
      </c>
      <c r="BY14" s="2">
        <f>BX14+真實IC!BY14</f>
        <v/>
      </c>
      <c r="BZ14" s="2">
        <f>BY14+真實IC!BZ14</f>
        <v/>
      </c>
      <c r="CA14" s="2">
        <f>BZ14+真實IC!CA14</f>
        <v/>
      </c>
      <c r="CB14" s="2">
        <f>CA14+真實IC!CB14</f>
        <v/>
      </c>
      <c r="CC14" s="2">
        <f>CB14+真實IC!CC14</f>
        <v/>
      </c>
      <c r="CD14" s="2">
        <f>CC14+真實IC!CD14</f>
        <v/>
      </c>
      <c r="CE14" s="2">
        <f>CD14+真實IC!CE14</f>
        <v/>
      </c>
      <c r="CF14" s="2">
        <f>CE14+真實IC!CF14</f>
        <v/>
      </c>
      <c r="CG14" s="2">
        <f>CF14+真實IC!CG14</f>
        <v/>
      </c>
      <c r="CH14" s="2">
        <f>CG14+真實IC!CH14</f>
        <v/>
      </c>
      <c r="CI14" s="2">
        <f>CH14+真實IC!CI14</f>
        <v/>
      </c>
      <c r="CJ14" s="2">
        <f>CI14+真實IC!CJ14</f>
        <v/>
      </c>
      <c r="CK14" s="2">
        <f>CJ14+真實IC!CK14</f>
        <v/>
      </c>
      <c r="CL14" s="2">
        <f>CK14+真實IC!CL14</f>
        <v/>
      </c>
      <c r="CM14" s="2">
        <f>CL14+真實IC!CM14</f>
        <v/>
      </c>
      <c r="CN14" s="2">
        <f>CM14+真實IC!CN14</f>
        <v/>
      </c>
      <c r="CO14" s="2">
        <f>CN14+真實IC!CO14</f>
        <v/>
      </c>
      <c r="CP14" s="2">
        <f>CO14+真實IC!CP14</f>
        <v/>
      </c>
      <c r="CQ14" s="2">
        <f>CP14+真實IC!CQ14</f>
        <v/>
      </c>
      <c r="CR14" s="2">
        <f>CQ14+真實IC!CR14</f>
        <v/>
      </c>
      <c r="CS14" s="2">
        <f>CR14+真實IC!CS14</f>
        <v/>
      </c>
      <c r="CT14" s="2">
        <f>CS14+真實IC!CT14</f>
        <v/>
      </c>
      <c r="CU14" s="2">
        <f>CT14+真實IC!CU14</f>
        <v/>
      </c>
      <c r="CV14" s="2">
        <f>CU14+真實IC!CV14</f>
        <v/>
      </c>
      <c r="CW14" s="2">
        <f>CV14+真實IC!CW14</f>
        <v/>
      </c>
      <c r="CX14" s="2">
        <f>CW14+真實IC!CX14</f>
        <v/>
      </c>
      <c r="CY14" s="2">
        <f>CX14+真實IC!CY14</f>
        <v/>
      </c>
      <c r="CZ14" s="2">
        <f>CY14+真實IC!CZ14</f>
        <v/>
      </c>
      <c r="DA14" s="2">
        <f>CZ14+真實IC!DA14</f>
        <v/>
      </c>
      <c r="DB14" s="2">
        <f>DA14+真實IC!DB14</f>
        <v/>
      </c>
      <c r="DC14" s="2">
        <f>DB14+真實IC!DC14</f>
        <v/>
      </c>
      <c r="DD14" s="2">
        <f>DC14+真實IC!DD14</f>
        <v/>
      </c>
      <c r="DE14" s="2">
        <f>DD14+真實IC!DE14</f>
        <v/>
      </c>
      <c r="DF14" s="2">
        <f>DE14+真實IC!DF14</f>
        <v/>
      </c>
      <c r="DG14" s="2">
        <f>DF14+真實IC!DG14</f>
        <v/>
      </c>
      <c r="DH14" s="2">
        <f>DG14+真實IC!DH14</f>
        <v/>
      </c>
      <c r="DI14" s="2">
        <f>DH14+真實IC!DI14</f>
        <v/>
      </c>
      <c r="DJ14" s="2">
        <f>DI14+真實IC!DJ14</f>
        <v/>
      </c>
      <c r="DK14" s="2">
        <f>DJ14+真實IC!DK14</f>
        <v/>
      </c>
      <c r="DL14" s="2">
        <f>DK14+真實IC!DL14</f>
        <v/>
      </c>
      <c r="DM14" s="2">
        <f>DL14+真實IC!DM14</f>
        <v/>
      </c>
      <c r="DN14" s="2">
        <f>DM14+真實IC!DN14</f>
        <v/>
      </c>
      <c r="DO14" s="2">
        <f>DN14+真實IC!DO14</f>
        <v/>
      </c>
      <c r="DP14" s="2">
        <f>DO14+真實IC!DP14</f>
        <v/>
      </c>
      <c r="DQ14" s="2">
        <f>DP14+真實IC!DQ14</f>
        <v/>
      </c>
      <c r="DR14" s="2">
        <f>DQ14+真實IC!DR14</f>
        <v/>
      </c>
      <c r="DS14" s="2">
        <f>DR14+真實IC!DS14</f>
        <v/>
      </c>
      <c r="DT14" s="2">
        <f>DS14+真實IC!DT14</f>
        <v/>
      </c>
      <c r="DU14" s="2">
        <f>DT14+真實IC!DU14</f>
        <v/>
      </c>
      <c r="DV14" s="2">
        <f>DU14+真實IC!DV14</f>
        <v/>
      </c>
      <c r="DW14" s="2">
        <f>DV14+真實IC!DW14</f>
        <v/>
      </c>
      <c r="DX14" s="2">
        <f>DW14+真實IC!DX14</f>
        <v/>
      </c>
      <c r="DY14" s="2">
        <f>DX14+真實IC!DY14</f>
        <v/>
      </c>
      <c r="DZ14" s="2">
        <f>DY14+真實IC!DZ14</f>
        <v/>
      </c>
      <c r="EA14" s="2">
        <f>DZ14+真實IC!EA14</f>
        <v/>
      </c>
      <c r="EB14" s="2">
        <f>EA14+真實IC!EB14</f>
        <v/>
      </c>
      <c r="EC14" s="2">
        <f>EB14+真實IC!EC14</f>
        <v/>
      </c>
      <c r="ED14" s="2">
        <f>EC14+真實IC!ED14</f>
        <v/>
      </c>
      <c r="EE14" s="2">
        <f>ED14+真實IC!EE14</f>
        <v/>
      </c>
      <c r="EF14" s="2">
        <f>EE14+真實IC!EF14</f>
        <v/>
      </c>
      <c r="EG14" s="2">
        <f>EF14+真實IC!EG14</f>
        <v/>
      </c>
      <c r="EH14" s="2">
        <f>EG14+真實IC!EH14</f>
        <v/>
      </c>
      <c r="EI14" s="2">
        <f>EH14+真實IC!EI14</f>
        <v/>
      </c>
      <c r="EJ14" s="2">
        <f>EI14+真實IC!EJ14</f>
        <v/>
      </c>
      <c r="EK14" s="2">
        <f>EJ14+真實IC!EK14</f>
        <v/>
      </c>
      <c r="EL14" s="2">
        <f>EK14+真實IC!EL14</f>
        <v/>
      </c>
    </row>
    <row r="15">
      <c r="A15" s="13" t="n">
        <v>110</v>
      </c>
      <c r="B15" s="13">
        <f>ROUND($D$10/A15,0)</f>
        <v/>
      </c>
      <c r="C15" s="2" t="n">
        <v>0.2415584226424828</v>
      </c>
      <c r="D15" s="2">
        <f>C15+真實IC!D15</f>
        <v/>
      </c>
      <c r="E15" s="2">
        <f>D15+真實IC!E15</f>
        <v/>
      </c>
      <c r="F15" s="2">
        <f>E15+真實IC!F15</f>
        <v/>
      </c>
      <c r="G15" s="2">
        <f>F15+真實IC!G15</f>
        <v/>
      </c>
      <c r="H15" s="2">
        <f>G15+真實IC!H15</f>
        <v/>
      </c>
      <c r="I15" s="2">
        <f>H15+真實IC!I15</f>
        <v/>
      </c>
      <c r="J15" s="2">
        <f>I15+真實IC!J15</f>
        <v/>
      </c>
      <c r="K15" s="2">
        <f>J15+真實IC!K15</f>
        <v/>
      </c>
      <c r="L15" s="2">
        <f>K15+真實IC!L15</f>
        <v/>
      </c>
      <c r="M15" s="2">
        <f>L15+真實IC!M15</f>
        <v/>
      </c>
      <c r="N15" s="2">
        <f>M15+真實IC!N15</f>
        <v/>
      </c>
      <c r="O15" s="2">
        <f>N15+真實IC!O15</f>
        <v/>
      </c>
      <c r="P15" s="2">
        <f>O15+真實IC!P15</f>
        <v/>
      </c>
      <c r="Q15" s="2">
        <f>P15+真實IC!Q15</f>
        <v/>
      </c>
      <c r="R15" s="2">
        <f>Q15+真實IC!R15</f>
        <v/>
      </c>
      <c r="S15" s="2">
        <f>R15+真實IC!S15</f>
        <v/>
      </c>
      <c r="T15" s="2">
        <f>S15+真實IC!T15</f>
        <v/>
      </c>
      <c r="U15" s="2">
        <f>T15+真實IC!U15</f>
        <v/>
      </c>
      <c r="V15" s="2">
        <f>U15+真實IC!V15</f>
        <v/>
      </c>
      <c r="W15" s="2">
        <f>V15+真實IC!W15</f>
        <v/>
      </c>
      <c r="X15" s="2">
        <f>W15+真實IC!X15</f>
        <v/>
      </c>
      <c r="Y15" s="2">
        <f>X15+真實IC!Y15</f>
        <v/>
      </c>
      <c r="Z15" s="2">
        <f>Y15+真實IC!Z15</f>
        <v/>
      </c>
      <c r="AA15" s="2">
        <f>Z15+真實IC!AA15</f>
        <v/>
      </c>
      <c r="AB15" s="2">
        <f>AA15+真實IC!AB15</f>
        <v/>
      </c>
      <c r="AC15" s="2">
        <f>AB15+真實IC!AC15</f>
        <v/>
      </c>
      <c r="AD15" s="2">
        <f>AC15+真實IC!AD15</f>
        <v/>
      </c>
      <c r="AE15" s="2">
        <f>AD15+真實IC!AE15</f>
        <v/>
      </c>
      <c r="AF15" s="2">
        <f>AE15+真實IC!AF15</f>
        <v/>
      </c>
      <c r="AG15" s="2">
        <f>AF15+真實IC!AG15</f>
        <v/>
      </c>
      <c r="AH15" s="2">
        <f>AG15+真實IC!AH15</f>
        <v/>
      </c>
      <c r="AI15" s="2">
        <f>AH15+真實IC!AI15</f>
        <v/>
      </c>
      <c r="AJ15" s="2">
        <f>AI15+真實IC!AJ15</f>
        <v/>
      </c>
      <c r="AK15" s="2">
        <f>AJ15+真實IC!AK15</f>
        <v/>
      </c>
      <c r="AL15" s="2">
        <f>AK15+真實IC!AL15</f>
        <v/>
      </c>
      <c r="AM15" s="2">
        <f>AL15+真實IC!AM15</f>
        <v/>
      </c>
      <c r="AN15" s="2">
        <f>AM15+真實IC!AN15</f>
        <v/>
      </c>
      <c r="AO15" s="2">
        <f>AN15+真實IC!AO15</f>
        <v/>
      </c>
      <c r="AP15" s="2">
        <f>AO15+真實IC!AP15</f>
        <v/>
      </c>
      <c r="AQ15" s="2">
        <f>AP15+真實IC!AQ15</f>
        <v/>
      </c>
      <c r="AR15" s="2">
        <f>AQ15+真實IC!AR15</f>
        <v/>
      </c>
      <c r="AS15" s="2">
        <f>AR15+真實IC!AS15</f>
        <v/>
      </c>
      <c r="AT15" s="2">
        <f>AS15+真實IC!AT15</f>
        <v/>
      </c>
      <c r="AU15" s="2">
        <f>AT15+真實IC!AU15</f>
        <v/>
      </c>
      <c r="AV15" s="2">
        <f>AU15+真實IC!AV15</f>
        <v/>
      </c>
      <c r="AW15" s="2">
        <f>AV15+真實IC!AW15</f>
        <v/>
      </c>
      <c r="AX15" s="2">
        <f>AW15+真實IC!AX15</f>
        <v/>
      </c>
      <c r="AY15" s="2">
        <f>AX15+真實IC!AY15</f>
        <v/>
      </c>
      <c r="AZ15" s="2">
        <f>AY15+真實IC!AZ15</f>
        <v/>
      </c>
      <c r="BA15" s="2">
        <f>AZ15+真實IC!BA15</f>
        <v/>
      </c>
      <c r="BB15" s="2">
        <f>BA15+真實IC!BB15</f>
        <v/>
      </c>
      <c r="BC15" s="2">
        <f>BB15+真實IC!BC15</f>
        <v/>
      </c>
      <c r="BD15" s="2">
        <f>BC15+真實IC!BD15</f>
        <v/>
      </c>
      <c r="BE15" s="2">
        <f>BD15+真實IC!BE15</f>
        <v/>
      </c>
      <c r="BF15" s="2">
        <f>BE15+真實IC!BF15</f>
        <v/>
      </c>
      <c r="BG15" s="2">
        <f>BF15+真實IC!BG15</f>
        <v/>
      </c>
      <c r="BH15" s="2">
        <f>BG15+真實IC!BH15</f>
        <v/>
      </c>
      <c r="BI15" s="2">
        <f>BH15+真實IC!BI15</f>
        <v/>
      </c>
      <c r="BJ15" s="2">
        <f>BI15+真實IC!BJ15</f>
        <v/>
      </c>
      <c r="BK15" s="2">
        <f>BJ15+真實IC!BK15</f>
        <v/>
      </c>
      <c r="BL15" s="2">
        <f>BK15+真實IC!BL15</f>
        <v/>
      </c>
      <c r="BM15" s="2">
        <f>BL15+真實IC!BM15</f>
        <v/>
      </c>
      <c r="BN15" s="2">
        <f>BM15+真實IC!BN15</f>
        <v/>
      </c>
      <c r="BO15" s="2">
        <f>BN15+真實IC!BO15</f>
        <v/>
      </c>
      <c r="BP15" s="2">
        <f>BO15+真實IC!BP15</f>
        <v/>
      </c>
      <c r="BQ15" s="2">
        <f>BP15+真實IC!BQ15</f>
        <v/>
      </c>
      <c r="BR15" s="2">
        <f>BQ15+真實IC!BR15</f>
        <v/>
      </c>
      <c r="BS15" s="2">
        <f>BR15+真實IC!BS15</f>
        <v/>
      </c>
      <c r="BT15" s="2">
        <f>BS15+真實IC!BT15</f>
        <v/>
      </c>
      <c r="BU15" s="2">
        <f>BT15+真實IC!BU15</f>
        <v/>
      </c>
      <c r="BV15" s="2">
        <f>BU15+真實IC!BV15</f>
        <v/>
      </c>
      <c r="BW15" s="2">
        <f>BV15+真實IC!BW15</f>
        <v/>
      </c>
      <c r="BX15" s="2">
        <f>BW15+真實IC!BX15</f>
        <v/>
      </c>
      <c r="BY15" s="2">
        <f>BX15+真實IC!BY15</f>
        <v/>
      </c>
      <c r="BZ15" s="2">
        <f>BY15+真實IC!BZ15</f>
        <v/>
      </c>
      <c r="CA15" s="2">
        <f>BZ15+真實IC!CA15</f>
        <v/>
      </c>
      <c r="CB15" s="2">
        <f>CA15+真實IC!CB15</f>
        <v/>
      </c>
      <c r="CC15" s="2">
        <f>CB15+真實IC!CC15</f>
        <v/>
      </c>
      <c r="CD15" s="2">
        <f>CC15+真實IC!CD15</f>
        <v/>
      </c>
      <c r="CE15" s="2">
        <f>CD15+真實IC!CE15</f>
        <v/>
      </c>
      <c r="CF15" s="2">
        <f>CE15+真實IC!CF15</f>
        <v/>
      </c>
      <c r="CG15" s="2">
        <f>CF15+真實IC!CG15</f>
        <v/>
      </c>
      <c r="CH15" s="2">
        <f>CG15+真實IC!CH15</f>
        <v/>
      </c>
      <c r="CI15" s="2">
        <f>CH15+真實IC!CI15</f>
        <v/>
      </c>
      <c r="CJ15" s="2">
        <f>CI15+真實IC!CJ15</f>
        <v/>
      </c>
      <c r="CK15" s="2">
        <f>CJ15+真實IC!CK15</f>
        <v/>
      </c>
      <c r="CL15" s="2">
        <f>CK15+真實IC!CL15</f>
        <v/>
      </c>
      <c r="CM15" s="2">
        <f>CL15+真實IC!CM15</f>
        <v/>
      </c>
      <c r="CN15" s="2">
        <f>CM15+真實IC!CN15</f>
        <v/>
      </c>
      <c r="CO15" s="2">
        <f>CN15+真實IC!CO15</f>
        <v/>
      </c>
      <c r="CP15" s="2">
        <f>CO15+真實IC!CP15</f>
        <v/>
      </c>
      <c r="CQ15" s="2">
        <f>CP15+真實IC!CQ15</f>
        <v/>
      </c>
      <c r="CR15" s="2">
        <f>CQ15+真實IC!CR15</f>
        <v/>
      </c>
      <c r="CS15" s="2">
        <f>CR15+真實IC!CS15</f>
        <v/>
      </c>
      <c r="CT15" s="2">
        <f>CS15+真實IC!CT15</f>
        <v/>
      </c>
      <c r="CU15" s="2">
        <f>CT15+真實IC!CU15</f>
        <v/>
      </c>
      <c r="CV15" s="2">
        <f>CU15+真實IC!CV15</f>
        <v/>
      </c>
      <c r="CW15" s="2">
        <f>CV15+真實IC!CW15</f>
        <v/>
      </c>
      <c r="CX15" s="2">
        <f>CW15+真實IC!CX15</f>
        <v/>
      </c>
      <c r="CY15" s="2">
        <f>CX15+真實IC!CY15</f>
        <v/>
      </c>
      <c r="CZ15" s="2">
        <f>CY15+真實IC!CZ15</f>
        <v/>
      </c>
      <c r="DA15" s="2">
        <f>CZ15+真實IC!DA15</f>
        <v/>
      </c>
      <c r="DB15" s="2">
        <f>DA15+真實IC!DB15</f>
        <v/>
      </c>
      <c r="DC15" s="2">
        <f>DB15+真實IC!DC15</f>
        <v/>
      </c>
      <c r="DD15" s="2">
        <f>DC15+真實IC!DD15</f>
        <v/>
      </c>
      <c r="DE15" s="2">
        <f>DD15+真實IC!DE15</f>
        <v/>
      </c>
      <c r="DF15" s="2">
        <f>DE15+真實IC!DF15</f>
        <v/>
      </c>
      <c r="DG15" s="2">
        <f>DF15+真實IC!DG15</f>
        <v/>
      </c>
      <c r="DH15" s="2">
        <f>DG15+真實IC!DH15</f>
        <v/>
      </c>
      <c r="DI15" s="2">
        <f>DH15+真實IC!DI15</f>
        <v/>
      </c>
      <c r="DJ15" s="2">
        <f>DI15+真實IC!DJ15</f>
        <v/>
      </c>
      <c r="DK15" s="2">
        <f>DJ15+真實IC!DK15</f>
        <v/>
      </c>
      <c r="DL15" s="2">
        <f>DK15+真實IC!DL15</f>
        <v/>
      </c>
      <c r="DM15" s="2">
        <f>DL15+真實IC!DM15</f>
        <v/>
      </c>
      <c r="DN15" s="2">
        <f>DM15+真實IC!DN15</f>
        <v/>
      </c>
      <c r="DO15" s="2">
        <f>DN15+真實IC!DO15</f>
        <v/>
      </c>
      <c r="DP15" s="2">
        <f>DO15+真實IC!DP15</f>
        <v/>
      </c>
      <c r="DQ15" s="2">
        <f>DP15+真實IC!DQ15</f>
        <v/>
      </c>
      <c r="DR15" s="2">
        <f>DQ15+真實IC!DR15</f>
        <v/>
      </c>
      <c r="DS15" s="2">
        <f>DR15+真實IC!DS15</f>
        <v/>
      </c>
      <c r="DT15" s="2">
        <f>DS15+真實IC!DT15</f>
        <v/>
      </c>
      <c r="DU15" s="2">
        <f>DT15+真實IC!DU15</f>
        <v/>
      </c>
      <c r="DV15" s="2">
        <f>DU15+真實IC!DV15</f>
        <v/>
      </c>
      <c r="DW15" s="2">
        <f>DV15+真實IC!DW15</f>
        <v/>
      </c>
      <c r="DX15" s="2">
        <f>DW15+真實IC!DX15</f>
        <v/>
      </c>
      <c r="DY15" s="2">
        <f>DX15+真實IC!DY15</f>
        <v/>
      </c>
      <c r="DZ15" s="2">
        <f>DY15+真實IC!DZ15</f>
        <v/>
      </c>
      <c r="EA15" s="2">
        <f>DZ15+真實IC!EA15</f>
        <v/>
      </c>
      <c r="EB15" s="2">
        <f>EA15+真實IC!EB15</f>
        <v/>
      </c>
      <c r="EC15" s="2">
        <f>EB15+真實IC!EC15</f>
        <v/>
      </c>
      <c r="ED15" s="2">
        <f>EC15+真實IC!ED15</f>
        <v/>
      </c>
      <c r="EE15" s="2">
        <f>ED15+真實IC!EE15</f>
        <v/>
      </c>
      <c r="EF15" s="2">
        <f>EE15+真實IC!EF15</f>
        <v/>
      </c>
      <c r="EG15" s="2">
        <f>EF15+真實IC!EG15</f>
        <v/>
      </c>
      <c r="EH15" s="2">
        <f>EG15+真實IC!EH15</f>
        <v/>
      </c>
      <c r="EI15" s="2">
        <f>EH15+真實IC!EI15</f>
        <v/>
      </c>
      <c r="EJ15" s="2">
        <f>EI15+真實IC!EJ15</f>
        <v/>
      </c>
      <c r="EK15" s="2">
        <f>EJ15+真實IC!EK15</f>
        <v/>
      </c>
      <c r="EL15" s="2">
        <f>EK15+真實IC!EL15</f>
        <v/>
      </c>
    </row>
    <row r="16">
      <c r="A16" s="13" t="n">
        <v>120</v>
      </c>
      <c r="B16" s="13">
        <f>ROUND($D$10/A16,0)</f>
        <v/>
      </c>
      <c r="C16" s="2" t="n">
        <v>0.2607277098356321</v>
      </c>
      <c r="D16" s="2">
        <f>C16+真實IC!D16</f>
        <v/>
      </c>
      <c r="E16" s="2">
        <f>D16+真實IC!E16</f>
        <v/>
      </c>
      <c r="F16" s="2">
        <f>E16+真實IC!F16</f>
        <v/>
      </c>
      <c r="G16" s="2">
        <f>F16+真實IC!G16</f>
        <v/>
      </c>
      <c r="H16" s="2">
        <f>G16+真實IC!H16</f>
        <v/>
      </c>
      <c r="I16" s="2">
        <f>H16+真實IC!I16</f>
        <v/>
      </c>
      <c r="J16" s="2">
        <f>I16+真實IC!J16</f>
        <v/>
      </c>
      <c r="K16" s="2">
        <f>J16+真實IC!K16</f>
        <v/>
      </c>
      <c r="L16" s="2">
        <f>K16+真實IC!L16</f>
        <v/>
      </c>
      <c r="M16" s="2">
        <f>L16+真實IC!M16</f>
        <v/>
      </c>
      <c r="N16" s="2">
        <f>M16+真實IC!N16</f>
        <v/>
      </c>
      <c r="O16" s="2">
        <f>N16+真實IC!O16</f>
        <v/>
      </c>
      <c r="P16" s="2">
        <f>O16+真實IC!P16</f>
        <v/>
      </c>
      <c r="Q16" s="2">
        <f>P16+真實IC!Q16</f>
        <v/>
      </c>
      <c r="R16" s="2">
        <f>Q16+真實IC!R16</f>
        <v/>
      </c>
      <c r="S16" s="2">
        <f>R16+真實IC!S16</f>
        <v/>
      </c>
      <c r="T16" s="2">
        <f>S16+真實IC!T16</f>
        <v/>
      </c>
      <c r="U16" s="2">
        <f>T16+真實IC!U16</f>
        <v/>
      </c>
      <c r="V16" s="2">
        <f>U16+真實IC!V16</f>
        <v/>
      </c>
      <c r="W16" s="2">
        <f>V16+真實IC!W16</f>
        <v/>
      </c>
      <c r="X16" s="2">
        <f>W16+真實IC!X16</f>
        <v/>
      </c>
      <c r="Y16" s="2">
        <f>X16+真實IC!Y16</f>
        <v/>
      </c>
      <c r="Z16" s="2">
        <f>Y16+真實IC!Z16</f>
        <v/>
      </c>
      <c r="AA16" s="2">
        <f>Z16+真實IC!AA16</f>
        <v/>
      </c>
      <c r="AB16" s="2">
        <f>AA16+真實IC!AB16</f>
        <v/>
      </c>
      <c r="AC16" s="2">
        <f>AB16+真實IC!AC16</f>
        <v/>
      </c>
      <c r="AD16" s="2">
        <f>AC16+真實IC!AD16</f>
        <v/>
      </c>
      <c r="AE16" s="2">
        <f>AD16+真實IC!AE16</f>
        <v/>
      </c>
      <c r="AF16" s="2">
        <f>AE16+真實IC!AF16</f>
        <v/>
      </c>
      <c r="AG16" s="2">
        <f>AF16+真實IC!AG16</f>
        <v/>
      </c>
      <c r="AH16" s="2">
        <f>AG16+真實IC!AH16</f>
        <v/>
      </c>
      <c r="AI16" s="2">
        <f>AH16+真實IC!AI16</f>
        <v/>
      </c>
      <c r="AJ16" s="2">
        <f>AI16+真實IC!AJ16</f>
        <v/>
      </c>
      <c r="AK16" s="2">
        <f>AJ16+真實IC!AK16</f>
        <v/>
      </c>
      <c r="AL16" s="2">
        <f>AK16+真實IC!AL16</f>
        <v/>
      </c>
      <c r="AM16" s="2">
        <f>AL16+真實IC!AM16</f>
        <v/>
      </c>
      <c r="AN16" s="2">
        <f>AM16+真實IC!AN16</f>
        <v/>
      </c>
      <c r="AO16" s="2">
        <f>AN16+真實IC!AO16</f>
        <v/>
      </c>
      <c r="AP16" s="2">
        <f>AO16+真實IC!AP16</f>
        <v/>
      </c>
      <c r="AQ16" s="2">
        <f>AP16+真實IC!AQ16</f>
        <v/>
      </c>
      <c r="AR16" s="2">
        <f>AQ16+真實IC!AR16</f>
        <v/>
      </c>
      <c r="AS16" s="2">
        <f>AR16+真實IC!AS16</f>
        <v/>
      </c>
      <c r="AT16" s="2">
        <f>AS16+真實IC!AT16</f>
        <v/>
      </c>
      <c r="AU16" s="2">
        <f>AT16+真實IC!AU16</f>
        <v/>
      </c>
      <c r="AV16" s="2">
        <f>AU16+真實IC!AV16</f>
        <v/>
      </c>
      <c r="AW16" s="2">
        <f>AV16+真實IC!AW16</f>
        <v/>
      </c>
      <c r="AX16" s="2">
        <f>AW16+真實IC!AX16</f>
        <v/>
      </c>
      <c r="AY16" s="2">
        <f>AX16+真實IC!AY16</f>
        <v/>
      </c>
      <c r="AZ16" s="2">
        <f>AY16+真實IC!AZ16</f>
        <v/>
      </c>
      <c r="BA16" s="2">
        <f>AZ16+真實IC!BA16</f>
        <v/>
      </c>
      <c r="BB16" s="2">
        <f>BA16+真實IC!BB16</f>
        <v/>
      </c>
      <c r="BC16" s="2">
        <f>BB16+真實IC!BC16</f>
        <v/>
      </c>
      <c r="BD16" s="2">
        <f>BC16+真實IC!BD16</f>
        <v/>
      </c>
      <c r="BE16" s="2">
        <f>BD16+真實IC!BE16</f>
        <v/>
      </c>
      <c r="BF16" s="2">
        <f>BE16+真實IC!BF16</f>
        <v/>
      </c>
      <c r="BG16" s="2">
        <f>BF16+真實IC!BG16</f>
        <v/>
      </c>
      <c r="BH16" s="2">
        <f>BG16+真實IC!BH16</f>
        <v/>
      </c>
      <c r="BI16" s="2">
        <f>BH16+真實IC!BI16</f>
        <v/>
      </c>
      <c r="BJ16" s="2">
        <f>BI16+真實IC!BJ16</f>
        <v/>
      </c>
      <c r="BK16" s="2">
        <f>BJ16+真實IC!BK16</f>
        <v/>
      </c>
      <c r="BL16" s="2">
        <f>BK16+真實IC!BL16</f>
        <v/>
      </c>
      <c r="BM16" s="2">
        <f>BL16+真實IC!BM16</f>
        <v/>
      </c>
      <c r="BN16" s="2">
        <f>BM16+真實IC!BN16</f>
        <v/>
      </c>
      <c r="BO16" s="2">
        <f>BN16+真實IC!BO16</f>
        <v/>
      </c>
      <c r="BP16" s="2">
        <f>BO16+真實IC!BP16</f>
        <v/>
      </c>
      <c r="BQ16" s="2">
        <f>BP16+真實IC!BQ16</f>
        <v/>
      </c>
      <c r="BR16" s="2">
        <f>BQ16+真實IC!BR16</f>
        <v/>
      </c>
      <c r="BS16" s="2">
        <f>BR16+真實IC!BS16</f>
        <v/>
      </c>
      <c r="BT16" s="2">
        <f>BS16+真實IC!BT16</f>
        <v/>
      </c>
      <c r="BU16" s="2">
        <f>BT16+真實IC!BU16</f>
        <v/>
      </c>
      <c r="BV16" s="2">
        <f>BU16+真實IC!BV16</f>
        <v/>
      </c>
      <c r="BW16" s="2">
        <f>BV16+真實IC!BW16</f>
        <v/>
      </c>
      <c r="BX16" s="2">
        <f>BW16+真實IC!BX16</f>
        <v/>
      </c>
      <c r="BY16" s="2">
        <f>BX16+真實IC!BY16</f>
        <v/>
      </c>
      <c r="BZ16" s="2">
        <f>BY16+真實IC!BZ16</f>
        <v/>
      </c>
      <c r="CA16" s="2">
        <f>BZ16+真實IC!CA16</f>
        <v/>
      </c>
      <c r="CB16" s="2">
        <f>CA16+真實IC!CB16</f>
        <v/>
      </c>
      <c r="CC16" s="2">
        <f>CB16+真實IC!CC16</f>
        <v/>
      </c>
      <c r="CD16" s="2">
        <f>CC16+真實IC!CD16</f>
        <v/>
      </c>
      <c r="CE16" s="2">
        <f>CD16+真實IC!CE16</f>
        <v/>
      </c>
      <c r="CF16" s="2">
        <f>CE16+真實IC!CF16</f>
        <v/>
      </c>
      <c r="CG16" s="2">
        <f>CF16+真實IC!CG16</f>
        <v/>
      </c>
      <c r="CH16" s="2">
        <f>CG16+真實IC!CH16</f>
        <v/>
      </c>
      <c r="CI16" s="2">
        <f>CH16+真實IC!CI16</f>
        <v/>
      </c>
      <c r="CJ16" s="2">
        <f>CI16+真實IC!CJ16</f>
        <v/>
      </c>
      <c r="CK16" s="2">
        <f>CJ16+真實IC!CK16</f>
        <v/>
      </c>
      <c r="CL16" s="2">
        <f>CK16+真實IC!CL16</f>
        <v/>
      </c>
      <c r="CM16" s="2">
        <f>CL16+真實IC!CM16</f>
        <v/>
      </c>
      <c r="CN16" s="2">
        <f>CM16+真實IC!CN16</f>
        <v/>
      </c>
      <c r="CO16" s="2">
        <f>CN16+真實IC!CO16</f>
        <v/>
      </c>
      <c r="CP16" s="2">
        <f>CO16+真實IC!CP16</f>
        <v/>
      </c>
      <c r="CQ16" s="2">
        <f>CP16+真實IC!CQ16</f>
        <v/>
      </c>
      <c r="CR16" s="2">
        <f>CQ16+真實IC!CR16</f>
        <v/>
      </c>
      <c r="CS16" s="2">
        <f>CR16+真實IC!CS16</f>
        <v/>
      </c>
      <c r="CT16" s="2">
        <f>CS16+真實IC!CT16</f>
        <v/>
      </c>
      <c r="CU16" s="2">
        <f>CT16+真實IC!CU16</f>
        <v/>
      </c>
      <c r="CV16" s="2">
        <f>CU16+真實IC!CV16</f>
        <v/>
      </c>
      <c r="CW16" s="2">
        <f>CV16+真實IC!CW16</f>
        <v/>
      </c>
      <c r="CX16" s="2">
        <f>CW16+真實IC!CX16</f>
        <v/>
      </c>
      <c r="CY16" s="2">
        <f>CX16+真實IC!CY16</f>
        <v/>
      </c>
      <c r="CZ16" s="2">
        <f>CY16+真實IC!CZ16</f>
        <v/>
      </c>
      <c r="DA16" s="2">
        <f>CZ16+真實IC!DA16</f>
        <v/>
      </c>
      <c r="DB16" s="2">
        <f>DA16+真實IC!DB16</f>
        <v/>
      </c>
      <c r="DC16" s="2">
        <f>DB16+真實IC!DC16</f>
        <v/>
      </c>
      <c r="DD16" s="2">
        <f>DC16+真實IC!DD16</f>
        <v/>
      </c>
      <c r="DE16" s="2">
        <f>DD16+真實IC!DE16</f>
        <v/>
      </c>
      <c r="DF16" s="2">
        <f>DE16+真實IC!DF16</f>
        <v/>
      </c>
      <c r="DG16" s="2">
        <f>DF16+真實IC!DG16</f>
        <v/>
      </c>
      <c r="DH16" s="2">
        <f>DG16+真實IC!DH16</f>
        <v/>
      </c>
      <c r="DI16" s="2">
        <f>DH16+真實IC!DI16</f>
        <v/>
      </c>
      <c r="DJ16" s="2">
        <f>DI16+真實IC!DJ16</f>
        <v/>
      </c>
      <c r="DK16" s="2">
        <f>DJ16+真實IC!DK16</f>
        <v/>
      </c>
      <c r="DL16" s="2">
        <f>DK16+真實IC!DL16</f>
        <v/>
      </c>
      <c r="DM16" s="2">
        <f>DL16+真實IC!DM16</f>
        <v/>
      </c>
      <c r="DN16" s="2">
        <f>DM16+真實IC!DN16</f>
        <v/>
      </c>
      <c r="DO16" s="2">
        <f>DN16+真實IC!DO16</f>
        <v/>
      </c>
      <c r="DP16" s="2">
        <f>DO16+真實IC!DP16</f>
        <v/>
      </c>
      <c r="DQ16" s="2">
        <f>DP16+真實IC!DQ16</f>
        <v/>
      </c>
      <c r="DR16" s="2">
        <f>DQ16+真實IC!DR16</f>
        <v/>
      </c>
      <c r="DS16" s="2">
        <f>DR16+真實IC!DS16</f>
        <v/>
      </c>
      <c r="DT16" s="2">
        <f>DS16+真實IC!DT16</f>
        <v/>
      </c>
      <c r="DU16" s="2">
        <f>DT16+真實IC!DU16</f>
        <v/>
      </c>
      <c r="DV16" s="2">
        <f>DU16+真實IC!DV16</f>
        <v/>
      </c>
      <c r="DW16" s="2">
        <f>DV16+真實IC!DW16</f>
        <v/>
      </c>
      <c r="DX16" s="2">
        <f>DW16+真實IC!DX16</f>
        <v/>
      </c>
      <c r="DY16" s="2">
        <f>DX16+真實IC!DY16</f>
        <v/>
      </c>
      <c r="DZ16" s="2">
        <f>DY16+真實IC!DZ16</f>
        <v/>
      </c>
      <c r="EA16" s="2">
        <f>DZ16+真實IC!EA16</f>
        <v/>
      </c>
      <c r="EB16" s="2">
        <f>EA16+真實IC!EB16</f>
        <v/>
      </c>
      <c r="EC16" s="2">
        <f>EB16+真實IC!EC16</f>
        <v/>
      </c>
      <c r="ED16" s="2">
        <f>EC16+真實IC!ED16</f>
        <v/>
      </c>
      <c r="EE16" s="2">
        <f>ED16+真實IC!EE16</f>
        <v/>
      </c>
      <c r="EF16" s="2">
        <f>EE16+真實IC!EF16</f>
        <v/>
      </c>
      <c r="EG16" s="2">
        <f>EF16+真實IC!EG16</f>
        <v/>
      </c>
      <c r="EH16" s="2">
        <f>EG16+真實IC!EH16</f>
        <v/>
      </c>
      <c r="EI16" s="2">
        <f>EH16+真實IC!EI16</f>
        <v/>
      </c>
      <c r="EJ16" s="2">
        <f>EI16+真實IC!EJ16</f>
        <v/>
      </c>
      <c r="EK16" s="2">
        <f>EJ16+真實IC!EK16</f>
        <v/>
      </c>
      <c r="EL16" s="2">
        <f>EK16+真實IC!EL16</f>
        <v/>
      </c>
    </row>
    <row r="17">
      <c r="A17" s="13" t="n">
        <v>130</v>
      </c>
      <c r="B17" s="13">
        <f>ROUND($D$10/A17,0)</f>
        <v/>
      </c>
      <c r="C17" s="2" t="n">
        <v>0.2378970514581851</v>
      </c>
      <c r="D17" s="2">
        <f>C17+真實IC!D17</f>
        <v/>
      </c>
      <c r="E17" s="2">
        <f>D17+真實IC!E17</f>
        <v/>
      </c>
      <c r="F17" s="2">
        <f>E17+真實IC!F17</f>
        <v/>
      </c>
      <c r="G17" s="2">
        <f>F17+真實IC!G17</f>
        <v/>
      </c>
      <c r="H17" s="2">
        <f>G17+真實IC!H17</f>
        <v/>
      </c>
      <c r="I17" s="2">
        <f>H17+真實IC!I17</f>
        <v/>
      </c>
      <c r="J17" s="2">
        <f>I17+真實IC!J17</f>
        <v/>
      </c>
      <c r="K17" s="2">
        <f>J17+真實IC!K17</f>
        <v/>
      </c>
      <c r="L17" s="2">
        <f>K17+真實IC!L17</f>
        <v/>
      </c>
      <c r="M17" s="2">
        <f>L17+真實IC!M17</f>
        <v/>
      </c>
      <c r="N17" s="2">
        <f>M17+真實IC!N17</f>
        <v/>
      </c>
      <c r="O17" s="2">
        <f>N17+真實IC!O17</f>
        <v/>
      </c>
      <c r="P17" s="2">
        <f>O17+真實IC!P17</f>
        <v/>
      </c>
      <c r="Q17" s="2">
        <f>P17+真實IC!Q17</f>
        <v/>
      </c>
      <c r="R17" s="2">
        <f>Q17+真實IC!R17</f>
        <v/>
      </c>
      <c r="S17" s="2">
        <f>R17+真實IC!S17</f>
        <v/>
      </c>
      <c r="T17" s="2">
        <f>S17+真實IC!T17</f>
        <v/>
      </c>
      <c r="U17" s="2">
        <f>T17+真實IC!U17</f>
        <v/>
      </c>
      <c r="V17" s="2">
        <f>U17+真實IC!V17</f>
        <v/>
      </c>
      <c r="W17" s="2">
        <f>V17+真實IC!W17</f>
        <v/>
      </c>
      <c r="X17" s="2">
        <f>W17+真實IC!X17</f>
        <v/>
      </c>
      <c r="Y17" s="2">
        <f>X17+真實IC!Y17</f>
        <v/>
      </c>
      <c r="Z17" s="2">
        <f>Y17+真實IC!Z17</f>
        <v/>
      </c>
      <c r="AA17" s="2">
        <f>Z17+真實IC!AA17</f>
        <v/>
      </c>
      <c r="AB17" s="2">
        <f>AA17+真實IC!AB17</f>
        <v/>
      </c>
      <c r="AC17" s="2">
        <f>AB17+真實IC!AC17</f>
        <v/>
      </c>
      <c r="AD17" s="2">
        <f>AC17+真實IC!AD17</f>
        <v/>
      </c>
      <c r="AE17" s="2">
        <f>AD17+真實IC!AE17</f>
        <v/>
      </c>
      <c r="AF17" s="2">
        <f>AE17+真實IC!AF17</f>
        <v/>
      </c>
      <c r="AG17" s="2">
        <f>AF17+真實IC!AG17</f>
        <v/>
      </c>
      <c r="AH17" s="2">
        <f>AG17+真實IC!AH17</f>
        <v/>
      </c>
      <c r="AI17" s="2">
        <f>AH17+真實IC!AI17</f>
        <v/>
      </c>
      <c r="AJ17" s="2">
        <f>AI17+真實IC!AJ17</f>
        <v/>
      </c>
      <c r="AK17" s="2">
        <f>AJ17+真實IC!AK17</f>
        <v/>
      </c>
      <c r="AL17" s="2">
        <f>AK17+真實IC!AL17</f>
        <v/>
      </c>
      <c r="AM17" s="2">
        <f>AL17+真實IC!AM17</f>
        <v/>
      </c>
      <c r="AN17" s="2">
        <f>AM17+真實IC!AN17</f>
        <v/>
      </c>
      <c r="AO17" s="2">
        <f>AN17+真實IC!AO17</f>
        <v/>
      </c>
      <c r="AP17" s="2">
        <f>AO17+真實IC!AP17</f>
        <v/>
      </c>
      <c r="AQ17" s="2">
        <f>AP17+真實IC!AQ17</f>
        <v/>
      </c>
      <c r="AR17" s="2">
        <f>AQ17+真實IC!AR17</f>
        <v/>
      </c>
      <c r="AS17" s="2">
        <f>AR17+真實IC!AS17</f>
        <v/>
      </c>
      <c r="AT17" s="2">
        <f>AS17+真實IC!AT17</f>
        <v/>
      </c>
      <c r="AU17" s="2">
        <f>AT17+真實IC!AU17</f>
        <v/>
      </c>
      <c r="AV17" s="2">
        <f>AU17+真實IC!AV17</f>
        <v/>
      </c>
      <c r="AW17" s="2">
        <f>AV17+真實IC!AW17</f>
        <v/>
      </c>
      <c r="AX17" s="2">
        <f>AW17+真實IC!AX17</f>
        <v/>
      </c>
      <c r="AY17" s="2">
        <f>AX17+真實IC!AY17</f>
        <v/>
      </c>
      <c r="AZ17" s="2">
        <f>AY17+真實IC!AZ17</f>
        <v/>
      </c>
      <c r="BA17" s="2">
        <f>AZ17+真實IC!BA17</f>
        <v/>
      </c>
      <c r="BB17" s="2">
        <f>BA17+真實IC!BB17</f>
        <v/>
      </c>
      <c r="BC17" s="2">
        <f>BB17+真實IC!BC17</f>
        <v/>
      </c>
      <c r="BD17" s="2">
        <f>BC17+真實IC!BD17</f>
        <v/>
      </c>
      <c r="BE17" s="2">
        <f>BD17+真實IC!BE17</f>
        <v/>
      </c>
      <c r="BF17" s="2">
        <f>BE17+真實IC!BF17</f>
        <v/>
      </c>
      <c r="BG17" s="2">
        <f>BF17+真實IC!BG17</f>
        <v/>
      </c>
      <c r="BH17" s="2">
        <f>BG17+真實IC!BH17</f>
        <v/>
      </c>
      <c r="BI17" s="2">
        <f>BH17+真實IC!BI17</f>
        <v/>
      </c>
      <c r="BJ17" s="2">
        <f>BI17+真實IC!BJ17</f>
        <v/>
      </c>
      <c r="BK17" s="2">
        <f>BJ17+真實IC!BK17</f>
        <v/>
      </c>
      <c r="BL17" s="2">
        <f>BK17+真實IC!BL17</f>
        <v/>
      </c>
      <c r="BM17" s="2">
        <f>BL17+真實IC!BM17</f>
        <v/>
      </c>
      <c r="BN17" s="2">
        <f>BM17+真實IC!BN17</f>
        <v/>
      </c>
      <c r="BO17" s="2">
        <f>BN17+真實IC!BO17</f>
        <v/>
      </c>
      <c r="BP17" s="2">
        <f>BO17+真實IC!BP17</f>
        <v/>
      </c>
      <c r="BQ17" s="2">
        <f>BP17+真實IC!BQ17</f>
        <v/>
      </c>
      <c r="BR17" s="2">
        <f>BQ17+真實IC!BR17</f>
        <v/>
      </c>
      <c r="BS17" s="2">
        <f>BR17+真實IC!BS17</f>
        <v/>
      </c>
      <c r="BT17" s="2">
        <f>BS17+真實IC!BT17</f>
        <v/>
      </c>
      <c r="BU17" s="2">
        <f>BT17+真實IC!BU17</f>
        <v/>
      </c>
      <c r="BV17" s="2">
        <f>BU17+真實IC!BV17</f>
        <v/>
      </c>
      <c r="BW17" s="2">
        <f>BV17+真實IC!BW17</f>
        <v/>
      </c>
      <c r="BX17" s="2">
        <f>BW17+真實IC!BX17</f>
        <v/>
      </c>
      <c r="BY17" s="2">
        <f>BX17+真實IC!BY17</f>
        <v/>
      </c>
      <c r="BZ17" s="2">
        <f>BY17+真實IC!BZ17</f>
        <v/>
      </c>
      <c r="CA17" s="2">
        <f>BZ17+真實IC!CA17</f>
        <v/>
      </c>
      <c r="CB17" s="2">
        <f>CA17+真實IC!CB17</f>
        <v/>
      </c>
      <c r="CC17" s="2">
        <f>CB17+真實IC!CC17</f>
        <v/>
      </c>
      <c r="CD17" s="2">
        <f>CC17+真實IC!CD17</f>
        <v/>
      </c>
      <c r="CE17" s="2">
        <f>CD17+真實IC!CE17</f>
        <v/>
      </c>
      <c r="CF17" s="2">
        <f>CE17+真實IC!CF17</f>
        <v/>
      </c>
      <c r="CG17" s="2">
        <f>CF17+真實IC!CG17</f>
        <v/>
      </c>
      <c r="CH17" s="2">
        <f>CG17+真實IC!CH17</f>
        <v/>
      </c>
      <c r="CI17" s="2">
        <f>CH17+真實IC!CI17</f>
        <v/>
      </c>
      <c r="CJ17" s="2">
        <f>CI17+真實IC!CJ17</f>
        <v/>
      </c>
      <c r="CK17" s="2">
        <f>CJ17+真實IC!CK17</f>
        <v/>
      </c>
      <c r="CL17" s="2">
        <f>CK17+真實IC!CL17</f>
        <v/>
      </c>
      <c r="CM17" s="2">
        <f>CL17+真實IC!CM17</f>
        <v/>
      </c>
      <c r="CN17" s="2">
        <f>CM17+真實IC!CN17</f>
        <v/>
      </c>
      <c r="CO17" s="2">
        <f>CN17+真實IC!CO17</f>
        <v/>
      </c>
      <c r="CP17" s="2">
        <f>CO17+真實IC!CP17</f>
        <v/>
      </c>
      <c r="CQ17" s="2">
        <f>CP17+真實IC!CQ17</f>
        <v/>
      </c>
      <c r="CR17" s="2">
        <f>CQ17+真實IC!CR17</f>
        <v/>
      </c>
      <c r="CS17" s="2">
        <f>CR17+真實IC!CS17</f>
        <v/>
      </c>
      <c r="CT17" s="2">
        <f>CS17+真實IC!CT17</f>
        <v/>
      </c>
      <c r="CU17" s="2">
        <f>CT17+真實IC!CU17</f>
        <v/>
      </c>
      <c r="CV17" s="2">
        <f>CU17+真實IC!CV17</f>
        <v/>
      </c>
      <c r="CW17" s="2">
        <f>CV17+真實IC!CW17</f>
        <v/>
      </c>
      <c r="CX17" s="2">
        <f>CW17+真實IC!CX17</f>
        <v/>
      </c>
      <c r="CY17" s="2">
        <f>CX17+真實IC!CY17</f>
        <v/>
      </c>
      <c r="CZ17" s="2">
        <f>CY17+真實IC!CZ17</f>
        <v/>
      </c>
      <c r="DA17" s="2">
        <f>CZ17+真實IC!DA17</f>
        <v/>
      </c>
      <c r="DB17" s="2">
        <f>DA17+真實IC!DB17</f>
        <v/>
      </c>
      <c r="DC17" s="2">
        <f>DB17+真實IC!DC17</f>
        <v/>
      </c>
      <c r="DD17" s="2">
        <f>DC17+真實IC!DD17</f>
        <v/>
      </c>
      <c r="DE17" s="2">
        <f>DD17+真實IC!DE17</f>
        <v/>
      </c>
      <c r="DF17" s="2">
        <f>DE17+真實IC!DF17</f>
        <v/>
      </c>
      <c r="DG17" s="2">
        <f>DF17+真實IC!DG17</f>
        <v/>
      </c>
      <c r="DH17" s="2">
        <f>DG17+真實IC!DH17</f>
        <v/>
      </c>
      <c r="DI17" s="2">
        <f>DH17+真實IC!DI17</f>
        <v/>
      </c>
      <c r="DJ17" s="2">
        <f>DI17+真實IC!DJ17</f>
        <v/>
      </c>
      <c r="DK17" s="2">
        <f>DJ17+真實IC!DK17</f>
        <v/>
      </c>
      <c r="DL17" s="2">
        <f>DK17+真實IC!DL17</f>
        <v/>
      </c>
      <c r="DM17" s="2">
        <f>DL17+真實IC!DM17</f>
        <v/>
      </c>
      <c r="DN17" s="2">
        <f>DM17+真實IC!DN17</f>
        <v/>
      </c>
      <c r="DO17" s="2">
        <f>DN17+真實IC!DO17</f>
        <v/>
      </c>
      <c r="DP17" s="2">
        <f>DO17+真實IC!DP17</f>
        <v/>
      </c>
      <c r="DQ17" s="2">
        <f>DP17+真實IC!DQ17</f>
        <v/>
      </c>
      <c r="DR17" s="2">
        <f>DQ17+真實IC!DR17</f>
        <v/>
      </c>
      <c r="DS17" s="2">
        <f>DR17+真實IC!DS17</f>
        <v/>
      </c>
      <c r="DT17" s="2">
        <f>DS17+真實IC!DT17</f>
        <v/>
      </c>
      <c r="DU17" s="2">
        <f>DT17+真實IC!DU17</f>
        <v/>
      </c>
      <c r="DV17" s="2">
        <f>DU17+真實IC!DV17</f>
        <v/>
      </c>
      <c r="DW17" s="2">
        <f>DV17+真實IC!DW17</f>
        <v/>
      </c>
      <c r="DX17" s="2">
        <f>DW17+真實IC!DX17</f>
        <v/>
      </c>
      <c r="DY17" s="2">
        <f>DX17+真實IC!DY17</f>
        <v/>
      </c>
      <c r="DZ17" s="2">
        <f>DY17+真實IC!DZ17</f>
        <v/>
      </c>
      <c r="EA17" s="2">
        <f>DZ17+真實IC!EA17</f>
        <v/>
      </c>
      <c r="EB17" s="2">
        <f>EA17+真實IC!EB17</f>
        <v/>
      </c>
      <c r="EC17" s="2">
        <f>EB17+真實IC!EC17</f>
        <v/>
      </c>
      <c r="ED17" s="2">
        <f>EC17+真實IC!ED17</f>
        <v/>
      </c>
      <c r="EE17" s="2">
        <f>ED17+真實IC!EE17</f>
        <v/>
      </c>
      <c r="EF17" s="2">
        <f>EE17+真實IC!EF17</f>
        <v/>
      </c>
      <c r="EG17" s="2">
        <f>EF17+真實IC!EG17</f>
        <v/>
      </c>
      <c r="EH17" s="2">
        <f>EG17+真實IC!EH17</f>
        <v/>
      </c>
      <c r="EI17" s="2">
        <f>EH17+真實IC!EI17</f>
        <v/>
      </c>
      <c r="EJ17" s="2">
        <f>EI17+真實IC!EJ17</f>
        <v/>
      </c>
      <c r="EK17" s="2">
        <f>EJ17+真實IC!EK17</f>
        <v/>
      </c>
      <c r="EL17" s="2">
        <f>EK17+真實IC!EL17</f>
        <v/>
      </c>
    </row>
    <row r="18">
      <c r="A18" s="13" t="n">
        <v>150</v>
      </c>
      <c r="B18" s="13">
        <f>ROUND($D$10/A18,0)</f>
        <v/>
      </c>
      <c r="C18" s="2" t="n">
        <v>0.2436872854011519</v>
      </c>
      <c r="D18" s="2">
        <f>C18+真實IC!D18</f>
        <v/>
      </c>
      <c r="E18" s="2">
        <f>D18+真實IC!E18</f>
        <v/>
      </c>
      <c r="F18" s="2">
        <f>E18+真實IC!F18</f>
        <v/>
      </c>
      <c r="G18" s="2">
        <f>F18+真實IC!G18</f>
        <v/>
      </c>
      <c r="H18" s="2">
        <f>G18+真實IC!H18</f>
        <v/>
      </c>
      <c r="I18" s="2">
        <f>H18+真實IC!I18</f>
        <v/>
      </c>
      <c r="J18" s="2">
        <f>I18+真實IC!J18</f>
        <v/>
      </c>
      <c r="K18" s="2">
        <f>J18+真實IC!K18</f>
        <v/>
      </c>
      <c r="L18" s="2">
        <f>K18+真實IC!L18</f>
        <v/>
      </c>
      <c r="M18" s="2">
        <f>L18+真實IC!M18</f>
        <v/>
      </c>
      <c r="N18" s="2">
        <f>M18+真實IC!N18</f>
        <v/>
      </c>
      <c r="O18" s="2">
        <f>N18+真實IC!O18</f>
        <v/>
      </c>
      <c r="P18" s="2">
        <f>O18+真實IC!P18</f>
        <v/>
      </c>
      <c r="Q18" s="2">
        <f>P18+真實IC!Q18</f>
        <v/>
      </c>
      <c r="R18" s="2">
        <f>Q18+真實IC!R18</f>
        <v/>
      </c>
      <c r="S18" s="2">
        <f>R18+真實IC!S18</f>
        <v/>
      </c>
      <c r="T18" s="2">
        <f>S18+真實IC!T18</f>
        <v/>
      </c>
      <c r="U18" s="2">
        <f>T18+真實IC!U18</f>
        <v/>
      </c>
      <c r="V18" s="2">
        <f>U18+真實IC!V18</f>
        <v/>
      </c>
      <c r="W18" s="2">
        <f>V18+真實IC!W18</f>
        <v/>
      </c>
      <c r="X18" s="2">
        <f>W18+真實IC!X18</f>
        <v/>
      </c>
      <c r="Y18" s="2">
        <f>X18+真實IC!Y18</f>
        <v/>
      </c>
      <c r="Z18" s="2">
        <f>Y18+真實IC!Z18</f>
        <v/>
      </c>
      <c r="AA18" s="2">
        <f>Z18+真實IC!AA18</f>
        <v/>
      </c>
      <c r="AB18" s="2">
        <f>AA18+真實IC!AB18</f>
        <v/>
      </c>
      <c r="AC18" s="2">
        <f>AB18+真實IC!AC18</f>
        <v/>
      </c>
      <c r="AD18" s="2">
        <f>AC18+真實IC!AD18</f>
        <v/>
      </c>
      <c r="AE18" s="2">
        <f>AD18+真實IC!AE18</f>
        <v/>
      </c>
      <c r="AF18" s="2">
        <f>AE18+真實IC!AF18</f>
        <v/>
      </c>
      <c r="AG18" s="2">
        <f>AF18+真實IC!AG18</f>
        <v/>
      </c>
      <c r="AH18" s="2">
        <f>AG18+真實IC!AH18</f>
        <v/>
      </c>
      <c r="AI18" s="2">
        <f>AH18+真實IC!AI18</f>
        <v/>
      </c>
      <c r="AJ18" s="2">
        <f>AI18+真實IC!AJ18</f>
        <v/>
      </c>
      <c r="AK18" s="2">
        <f>AJ18+真實IC!AK18</f>
        <v/>
      </c>
      <c r="AL18" s="2">
        <f>AK18+真實IC!AL18</f>
        <v/>
      </c>
      <c r="AM18" s="2">
        <f>AL18+真實IC!AM18</f>
        <v/>
      </c>
      <c r="AN18" s="2">
        <f>AM18+真實IC!AN18</f>
        <v/>
      </c>
      <c r="AO18" s="2">
        <f>AN18+真實IC!AO18</f>
        <v/>
      </c>
      <c r="AP18" s="2">
        <f>AO18+真實IC!AP18</f>
        <v/>
      </c>
      <c r="AQ18" s="2">
        <f>AP18+真實IC!AQ18</f>
        <v/>
      </c>
      <c r="AR18" s="2">
        <f>AQ18+真實IC!AR18</f>
        <v/>
      </c>
      <c r="AS18" s="2">
        <f>AR18+真實IC!AS18</f>
        <v/>
      </c>
      <c r="AT18" s="2">
        <f>AS18+真實IC!AT18</f>
        <v/>
      </c>
      <c r="AU18" s="2">
        <f>AT18+真實IC!AU18</f>
        <v/>
      </c>
      <c r="AV18" s="2">
        <f>AU18+真實IC!AV18</f>
        <v/>
      </c>
      <c r="AW18" s="2">
        <f>AV18+真實IC!AW18</f>
        <v/>
      </c>
      <c r="AX18" s="2">
        <f>AW18+真實IC!AX18</f>
        <v/>
      </c>
      <c r="AY18" s="2">
        <f>AX18+真實IC!AY18</f>
        <v/>
      </c>
      <c r="AZ18" s="2">
        <f>AY18+真實IC!AZ18</f>
        <v/>
      </c>
      <c r="BA18" s="2">
        <f>AZ18+真實IC!BA18</f>
        <v/>
      </c>
      <c r="BB18" s="2">
        <f>BA18+真實IC!BB18</f>
        <v/>
      </c>
      <c r="BC18" s="2">
        <f>BB18+真實IC!BC18</f>
        <v/>
      </c>
      <c r="BD18" s="2">
        <f>BC18+真實IC!BD18</f>
        <v/>
      </c>
      <c r="BE18" s="2">
        <f>BD18+真實IC!BE18</f>
        <v/>
      </c>
      <c r="BF18" s="2">
        <f>BE18+真實IC!BF18</f>
        <v/>
      </c>
      <c r="BG18" s="2">
        <f>BF18+真實IC!BG18</f>
        <v/>
      </c>
      <c r="BH18" s="2">
        <f>BG18+真實IC!BH18</f>
        <v/>
      </c>
      <c r="BI18" s="2">
        <f>BH18+真實IC!BI18</f>
        <v/>
      </c>
      <c r="BJ18" s="2">
        <f>BI18+真實IC!BJ18</f>
        <v/>
      </c>
      <c r="BK18" s="2">
        <f>BJ18+真實IC!BK18</f>
        <v/>
      </c>
      <c r="BL18" s="2">
        <f>BK18+真實IC!BL18</f>
        <v/>
      </c>
      <c r="BM18" s="2">
        <f>BL18+真實IC!BM18</f>
        <v/>
      </c>
      <c r="BN18" s="2">
        <f>BM18+真實IC!BN18</f>
        <v/>
      </c>
      <c r="BO18" s="2">
        <f>BN18+真實IC!BO18</f>
        <v/>
      </c>
      <c r="BP18" s="2">
        <f>BO18+真實IC!BP18</f>
        <v/>
      </c>
      <c r="BQ18" s="2">
        <f>BP18+真實IC!BQ18</f>
        <v/>
      </c>
      <c r="BR18" s="2">
        <f>BQ18+真實IC!BR18</f>
        <v/>
      </c>
      <c r="BS18" s="2">
        <f>BR18+真實IC!BS18</f>
        <v/>
      </c>
      <c r="BT18" s="2">
        <f>BS18+真實IC!BT18</f>
        <v/>
      </c>
      <c r="BU18" s="2">
        <f>BT18+真實IC!BU18</f>
        <v/>
      </c>
      <c r="BV18" s="2">
        <f>BU18+真實IC!BV18</f>
        <v/>
      </c>
      <c r="BW18" s="2">
        <f>BV18+真實IC!BW18</f>
        <v/>
      </c>
      <c r="BX18" s="2">
        <f>BW18+真實IC!BX18</f>
        <v/>
      </c>
      <c r="BY18" s="2">
        <f>BX18+真實IC!BY18</f>
        <v/>
      </c>
      <c r="BZ18" s="2">
        <f>BY18+真實IC!BZ18</f>
        <v/>
      </c>
      <c r="CA18" s="2">
        <f>BZ18+真實IC!CA18</f>
        <v/>
      </c>
      <c r="CB18" s="2">
        <f>CA18+真實IC!CB18</f>
        <v/>
      </c>
      <c r="CC18" s="2">
        <f>CB18+真實IC!CC18</f>
        <v/>
      </c>
      <c r="CD18" s="2">
        <f>CC18+真實IC!CD18</f>
        <v/>
      </c>
      <c r="CE18" s="2">
        <f>CD18+真實IC!CE18</f>
        <v/>
      </c>
      <c r="CF18" s="2">
        <f>CE18+真實IC!CF18</f>
        <v/>
      </c>
      <c r="CG18" s="2">
        <f>CF18+真實IC!CG18</f>
        <v/>
      </c>
      <c r="CH18" s="2">
        <f>CG18+真實IC!CH18</f>
        <v/>
      </c>
      <c r="CI18" s="2">
        <f>CH18+真實IC!CI18</f>
        <v/>
      </c>
      <c r="CJ18" s="2">
        <f>CI18+真實IC!CJ18</f>
        <v/>
      </c>
      <c r="CK18" s="2">
        <f>CJ18+真實IC!CK18</f>
        <v/>
      </c>
      <c r="CL18" s="2">
        <f>CK18+真實IC!CL18</f>
        <v/>
      </c>
      <c r="CM18" s="2">
        <f>CL18+真實IC!CM18</f>
        <v/>
      </c>
      <c r="CN18" s="2">
        <f>CM18+真實IC!CN18</f>
        <v/>
      </c>
      <c r="CO18" s="2">
        <f>CN18+真實IC!CO18</f>
        <v/>
      </c>
      <c r="CP18" s="2">
        <f>CO18+真實IC!CP18</f>
        <v/>
      </c>
      <c r="CQ18" s="2">
        <f>CP18+真實IC!CQ18</f>
        <v/>
      </c>
      <c r="CR18" s="2">
        <f>CQ18+真實IC!CR18</f>
        <v/>
      </c>
      <c r="CS18" s="2">
        <f>CR18+真實IC!CS18</f>
        <v/>
      </c>
      <c r="CT18" s="2">
        <f>CS18+真實IC!CT18</f>
        <v/>
      </c>
      <c r="CU18" s="2">
        <f>CT18+真實IC!CU18</f>
        <v/>
      </c>
      <c r="CV18" s="2">
        <f>CU18+真實IC!CV18</f>
        <v/>
      </c>
      <c r="CW18" s="2">
        <f>CV18+真實IC!CW18</f>
        <v/>
      </c>
      <c r="CX18" s="2">
        <f>CW18+真實IC!CX18</f>
        <v/>
      </c>
      <c r="CY18" s="2">
        <f>CX18+真實IC!CY18</f>
        <v/>
      </c>
      <c r="CZ18" s="2">
        <f>CY18+真實IC!CZ18</f>
        <v/>
      </c>
      <c r="DA18" s="2">
        <f>CZ18+真實IC!DA18</f>
        <v/>
      </c>
      <c r="DB18" s="2">
        <f>DA18+真實IC!DB18</f>
        <v/>
      </c>
      <c r="DC18" s="2">
        <f>DB18+真實IC!DC18</f>
        <v/>
      </c>
      <c r="DD18" s="2">
        <f>DC18+真實IC!DD18</f>
        <v/>
      </c>
      <c r="DE18" s="2">
        <f>DD18+真實IC!DE18</f>
        <v/>
      </c>
      <c r="DF18" s="2">
        <f>DE18+真實IC!DF18</f>
        <v/>
      </c>
      <c r="DG18" s="2">
        <f>DF18+真實IC!DG18</f>
        <v/>
      </c>
      <c r="DH18" s="2">
        <f>DG18+真實IC!DH18</f>
        <v/>
      </c>
      <c r="DI18" s="2">
        <f>DH18+真實IC!DI18</f>
        <v/>
      </c>
      <c r="DJ18" s="2">
        <f>DI18+真實IC!DJ18</f>
        <v/>
      </c>
      <c r="DK18" s="2">
        <f>DJ18+真實IC!DK18</f>
        <v/>
      </c>
      <c r="DL18" s="2">
        <f>DK18+真實IC!DL18</f>
        <v/>
      </c>
      <c r="DM18" s="2">
        <f>DL18+真實IC!DM18</f>
        <v/>
      </c>
      <c r="DN18" s="2">
        <f>DM18+真實IC!DN18</f>
        <v/>
      </c>
      <c r="DO18" s="2">
        <f>DN18+真實IC!DO18</f>
        <v/>
      </c>
      <c r="DP18" s="2">
        <f>DO18+真實IC!DP18</f>
        <v/>
      </c>
      <c r="DQ18" s="2">
        <f>DP18+真實IC!DQ18</f>
        <v/>
      </c>
      <c r="DR18" s="2">
        <f>DQ18+真實IC!DR18</f>
        <v/>
      </c>
      <c r="DS18" s="2">
        <f>DR18+真實IC!DS18</f>
        <v/>
      </c>
      <c r="DT18" s="2">
        <f>DS18+真實IC!DT18</f>
        <v/>
      </c>
      <c r="DU18" s="2">
        <f>DT18+真實IC!DU18</f>
        <v/>
      </c>
      <c r="DV18" s="2">
        <f>DU18+真實IC!DV18</f>
        <v/>
      </c>
      <c r="DW18" s="2">
        <f>DV18+真實IC!DW18</f>
        <v/>
      </c>
      <c r="DX18" s="2">
        <f>DW18+真實IC!DX18</f>
        <v/>
      </c>
      <c r="DY18" s="2">
        <f>DX18+真實IC!DY18</f>
        <v/>
      </c>
      <c r="DZ18" s="2">
        <f>DY18+真實IC!DZ18</f>
        <v/>
      </c>
      <c r="EA18" s="2">
        <f>DZ18+真實IC!EA18</f>
        <v/>
      </c>
      <c r="EB18" s="2">
        <f>EA18+真實IC!EB18</f>
        <v/>
      </c>
      <c r="EC18" s="2">
        <f>EB18+真實IC!EC18</f>
        <v/>
      </c>
      <c r="ED18" s="2">
        <f>EC18+真實IC!ED18</f>
        <v/>
      </c>
      <c r="EE18" s="2">
        <f>ED18+真實IC!EE18</f>
        <v/>
      </c>
      <c r="EF18" s="2">
        <f>EE18+真實IC!EF18</f>
        <v/>
      </c>
      <c r="EG18" s="2">
        <f>EF18+真實IC!EG18</f>
        <v/>
      </c>
      <c r="EH18" s="2">
        <f>EG18+真實IC!EH18</f>
        <v/>
      </c>
      <c r="EI18" s="2">
        <f>EH18+真實IC!EI18</f>
        <v/>
      </c>
      <c r="EJ18" s="2">
        <f>EI18+真實IC!EJ18</f>
        <v/>
      </c>
      <c r="EK18" s="2">
        <f>EJ18+真實IC!EK18</f>
        <v/>
      </c>
      <c r="EL18" s="2">
        <f>EK18+真實IC!EL18</f>
        <v/>
      </c>
    </row>
    <row r="19">
      <c r="A19" s="13" t="n">
        <v>180</v>
      </c>
      <c r="B19" s="13">
        <f>ROUND($D$10/A19,0)</f>
        <v/>
      </c>
      <c r="C19" s="2" t="n">
        <v>0.2582503737473393</v>
      </c>
      <c r="D19" s="2">
        <f>C19+真實IC!D19</f>
        <v/>
      </c>
      <c r="E19" s="2">
        <f>D19+真實IC!E19</f>
        <v/>
      </c>
      <c r="F19" s="2">
        <f>E19+真實IC!F19</f>
        <v/>
      </c>
      <c r="G19" s="2">
        <f>F19+真實IC!G19</f>
        <v/>
      </c>
      <c r="H19" s="2">
        <f>G19+真實IC!H19</f>
        <v/>
      </c>
      <c r="I19" s="2">
        <f>H19+真實IC!I19</f>
        <v/>
      </c>
      <c r="J19" s="2">
        <f>I19+真實IC!J19</f>
        <v/>
      </c>
      <c r="K19" s="2">
        <f>J19+真實IC!K19</f>
        <v/>
      </c>
      <c r="L19" s="2">
        <f>K19+真實IC!L19</f>
        <v/>
      </c>
      <c r="M19" s="2">
        <f>L19+真實IC!M19</f>
        <v/>
      </c>
      <c r="N19" s="2">
        <f>M19+真實IC!N19</f>
        <v/>
      </c>
      <c r="O19" s="2">
        <f>N19+真實IC!O19</f>
        <v/>
      </c>
      <c r="P19" s="2">
        <f>O19+真實IC!P19</f>
        <v/>
      </c>
      <c r="Q19" s="2">
        <f>P19+真實IC!Q19</f>
        <v/>
      </c>
      <c r="R19" s="2">
        <f>Q19+真實IC!R19</f>
        <v/>
      </c>
      <c r="S19" s="2">
        <f>R19+真實IC!S19</f>
        <v/>
      </c>
      <c r="T19" s="2">
        <f>S19+真實IC!T19</f>
        <v/>
      </c>
      <c r="U19" s="2">
        <f>T19+真實IC!U19</f>
        <v/>
      </c>
      <c r="V19" s="2">
        <f>U19+真實IC!V19</f>
        <v/>
      </c>
      <c r="W19" s="2">
        <f>V19+真實IC!W19</f>
        <v/>
      </c>
      <c r="X19" s="2">
        <f>W19+真實IC!X19</f>
        <v/>
      </c>
      <c r="Y19" s="2">
        <f>X19+真實IC!Y19</f>
        <v/>
      </c>
      <c r="Z19" s="2">
        <f>Y19+真實IC!Z19</f>
        <v/>
      </c>
      <c r="AA19" s="2">
        <f>Z19+真實IC!AA19</f>
        <v/>
      </c>
      <c r="AB19" s="2">
        <f>AA19+真實IC!AB19</f>
        <v/>
      </c>
      <c r="AC19" s="2">
        <f>AB19+真實IC!AC19</f>
        <v/>
      </c>
      <c r="AD19" s="2">
        <f>AC19+真實IC!AD19</f>
        <v/>
      </c>
      <c r="AE19" s="2">
        <f>AD19+真實IC!AE19</f>
        <v/>
      </c>
      <c r="AF19" s="2">
        <f>AE19+真實IC!AF19</f>
        <v/>
      </c>
      <c r="AG19" s="2">
        <f>AF19+真實IC!AG19</f>
        <v/>
      </c>
      <c r="AH19" s="2">
        <f>AG19+真實IC!AH19</f>
        <v/>
      </c>
      <c r="AI19" s="2">
        <f>AH19+真實IC!AI19</f>
        <v/>
      </c>
      <c r="AJ19" s="2">
        <f>AI19+真實IC!AJ19</f>
        <v/>
      </c>
      <c r="AK19" s="2">
        <f>AJ19+真實IC!AK19</f>
        <v/>
      </c>
      <c r="AL19" s="2">
        <f>AK19+真實IC!AL19</f>
        <v/>
      </c>
      <c r="AM19" s="2">
        <f>AL19+真實IC!AM19</f>
        <v/>
      </c>
      <c r="AN19" s="2">
        <f>AM19+真實IC!AN19</f>
        <v/>
      </c>
      <c r="AO19" s="2">
        <f>AN19+真實IC!AO19</f>
        <v/>
      </c>
      <c r="AP19" s="2">
        <f>AO19+真實IC!AP19</f>
        <v/>
      </c>
      <c r="AQ19" s="2">
        <f>AP19+真實IC!AQ19</f>
        <v/>
      </c>
      <c r="AR19" s="2">
        <f>AQ19+真實IC!AR19</f>
        <v/>
      </c>
      <c r="AS19" s="2">
        <f>AR19+真實IC!AS19</f>
        <v/>
      </c>
      <c r="AT19" s="2">
        <f>AS19+真實IC!AT19</f>
        <v/>
      </c>
      <c r="AU19" s="2">
        <f>AT19+真實IC!AU19</f>
        <v/>
      </c>
      <c r="AV19" s="2">
        <f>AU19+真實IC!AV19</f>
        <v/>
      </c>
      <c r="AW19" s="2">
        <f>AV19+真實IC!AW19</f>
        <v/>
      </c>
      <c r="AX19" s="2">
        <f>AW19+真實IC!AX19</f>
        <v/>
      </c>
      <c r="AY19" s="2">
        <f>AX19+真實IC!AY19</f>
        <v/>
      </c>
      <c r="AZ19" s="2">
        <f>AY19+真實IC!AZ19</f>
        <v/>
      </c>
      <c r="BA19" s="2">
        <f>AZ19+真實IC!BA19</f>
        <v/>
      </c>
      <c r="BB19" s="2">
        <f>BA19+真實IC!BB19</f>
        <v/>
      </c>
      <c r="BC19" s="2">
        <f>BB19+真實IC!BC19</f>
        <v/>
      </c>
      <c r="BD19" s="2">
        <f>BC19+真實IC!BD19</f>
        <v/>
      </c>
      <c r="BE19" s="2">
        <f>BD19+真實IC!BE19</f>
        <v/>
      </c>
      <c r="BF19" s="2">
        <f>BE19+真實IC!BF19</f>
        <v/>
      </c>
      <c r="BG19" s="2">
        <f>BF19+真實IC!BG19</f>
        <v/>
      </c>
      <c r="BH19" s="2">
        <f>BG19+真實IC!BH19</f>
        <v/>
      </c>
      <c r="BI19" s="2">
        <f>BH19+真實IC!BI19</f>
        <v/>
      </c>
      <c r="BJ19" s="2">
        <f>BI19+真實IC!BJ19</f>
        <v/>
      </c>
      <c r="BK19" s="2">
        <f>BJ19+真實IC!BK19</f>
        <v/>
      </c>
      <c r="BL19" s="2">
        <f>BK19+真實IC!BL19</f>
        <v/>
      </c>
      <c r="BM19" s="2">
        <f>BL19+真實IC!BM19</f>
        <v/>
      </c>
      <c r="BN19" s="2">
        <f>BM19+真實IC!BN19</f>
        <v/>
      </c>
      <c r="BO19" s="2">
        <f>BN19+真實IC!BO19</f>
        <v/>
      </c>
      <c r="BP19" s="2">
        <f>BO19+真實IC!BP19</f>
        <v/>
      </c>
      <c r="BQ19" s="2">
        <f>BP19+真實IC!BQ19</f>
        <v/>
      </c>
      <c r="BR19" s="2">
        <f>BQ19+真實IC!BR19</f>
        <v/>
      </c>
      <c r="BS19" s="2">
        <f>BR19+真實IC!BS19</f>
        <v/>
      </c>
      <c r="BT19" s="2">
        <f>BS19+真實IC!BT19</f>
        <v/>
      </c>
      <c r="BU19" s="2">
        <f>BT19+真實IC!BU19</f>
        <v/>
      </c>
      <c r="BV19" s="2">
        <f>BU19+真實IC!BV19</f>
        <v/>
      </c>
      <c r="BW19" s="2">
        <f>BV19+真實IC!BW19</f>
        <v/>
      </c>
      <c r="BX19" s="2">
        <f>BW19+真實IC!BX19</f>
        <v/>
      </c>
      <c r="BY19" s="2">
        <f>BX19+真實IC!BY19</f>
        <v/>
      </c>
      <c r="BZ19" s="2">
        <f>BY19+真實IC!BZ19</f>
        <v/>
      </c>
      <c r="CA19" s="2">
        <f>BZ19+真實IC!CA19</f>
        <v/>
      </c>
      <c r="CB19" s="2">
        <f>CA19+真實IC!CB19</f>
        <v/>
      </c>
      <c r="CC19" s="2">
        <f>CB19+真實IC!CC19</f>
        <v/>
      </c>
      <c r="CD19" s="2">
        <f>CC19+真實IC!CD19</f>
        <v/>
      </c>
      <c r="CE19" s="2">
        <f>CD19+真實IC!CE19</f>
        <v/>
      </c>
      <c r="CF19" s="2">
        <f>CE19+真實IC!CF19</f>
        <v/>
      </c>
      <c r="CG19" s="2">
        <f>CF19+真實IC!CG19</f>
        <v/>
      </c>
      <c r="CH19" s="2">
        <f>CG19+真實IC!CH19</f>
        <v/>
      </c>
      <c r="CI19" s="2">
        <f>CH19+真實IC!CI19</f>
        <v/>
      </c>
      <c r="CJ19" s="2">
        <f>CI19+真實IC!CJ19</f>
        <v/>
      </c>
      <c r="CK19" s="2">
        <f>CJ19+真實IC!CK19</f>
        <v/>
      </c>
      <c r="CL19" s="2">
        <f>CK19+真實IC!CL19</f>
        <v/>
      </c>
      <c r="CM19" s="2">
        <f>CL19+真實IC!CM19</f>
        <v/>
      </c>
      <c r="CN19" s="2">
        <f>CM19+真實IC!CN19</f>
        <v/>
      </c>
      <c r="CO19" s="2">
        <f>CN19+真實IC!CO19</f>
        <v/>
      </c>
      <c r="CP19" s="2">
        <f>CO19+真實IC!CP19</f>
        <v/>
      </c>
      <c r="CQ19" s="2">
        <f>CP19+真實IC!CQ19</f>
        <v/>
      </c>
      <c r="CR19" s="2">
        <f>CQ19+真實IC!CR19</f>
        <v/>
      </c>
      <c r="CS19" s="2">
        <f>CR19+真實IC!CS19</f>
        <v/>
      </c>
      <c r="CT19" s="2">
        <f>CS19+真實IC!CT19</f>
        <v/>
      </c>
      <c r="CU19" s="2">
        <f>CT19+真實IC!CU19</f>
        <v/>
      </c>
      <c r="CV19" s="2">
        <f>CU19+真實IC!CV19</f>
        <v/>
      </c>
      <c r="CW19" s="2">
        <f>CV19+真實IC!CW19</f>
        <v/>
      </c>
      <c r="CX19" s="2">
        <f>CW19+真實IC!CX19</f>
        <v/>
      </c>
      <c r="CY19" s="2">
        <f>CX19+真實IC!CY19</f>
        <v/>
      </c>
      <c r="CZ19" s="2">
        <f>CY19+真實IC!CZ19</f>
        <v/>
      </c>
      <c r="DA19" s="2">
        <f>CZ19+真實IC!DA19</f>
        <v/>
      </c>
      <c r="DB19" s="2">
        <f>DA19+真實IC!DB19</f>
        <v/>
      </c>
      <c r="DC19" s="2">
        <f>DB19+真實IC!DC19</f>
        <v/>
      </c>
      <c r="DD19" s="2">
        <f>DC19+真實IC!DD19</f>
        <v/>
      </c>
      <c r="DE19" s="2">
        <f>DD19+真實IC!DE19</f>
        <v/>
      </c>
      <c r="DF19" s="2">
        <f>DE19+真實IC!DF19</f>
        <v/>
      </c>
      <c r="DG19" s="2">
        <f>DF19+真實IC!DG19</f>
        <v/>
      </c>
      <c r="DH19" s="2">
        <f>DG19+真實IC!DH19</f>
        <v/>
      </c>
      <c r="DI19" s="2">
        <f>DH19+真實IC!DI19</f>
        <v/>
      </c>
      <c r="DJ19" s="2">
        <f>DI19+真實IC!DJ19</f>
        <v/>
      </c>
      <c r="DK19" s="2">
        <f>DJ19+真實IC!DK19</f>
        <v/>
      </c>
      <c r="DL19" s="2">
        <f>DK19+真實IC!DL19</f>
        <v/>
      </c>
      <c r="DM19" s="2">
        <f>DL19+真實IC!DM19</f>
        <v/>
      </c>
      <c r="DN19" s="2">
        <f>DM19+真實IC!DN19</f>
        <v/>
      </c>
      <c r="DO19" s="2">
        <f>DN19+真實IC!DO19</f>
        <v/>
      </c>
      <c r="DP19" s="2">
        <f>DO19+真實IC!DP19</f>
        <v/>
      </c>
      <c r="DQ19" s="2">
        <f>DP19+真實IC!DQ19</f>
        <v/>
      </c>
      <c r="DR19" s="2">
        <f>DQ19+真實IC!DR19</f>
        <v/>
      </c>
      <c r="DS19" s="2">
        <f>DR19+真實IC!DS19</f>
        <v/>
      </c>
      <c r="DT19" s="2">
        <f>DS19+真實IC!DT19</f>
        <v/>
      </c>
      <c r="DU19" s="2">
        <f>DT19+真實IC!DU19</f>
        <v/>
      </c>
      <c r="DV19" s="2">
        <f>DU19+真實IC!DV19</f>
        <v/>
      </c>
      <c r="DW19" s="2">
        <f>DV19+真實IC!DW19</f>
        <v/>
      </c>
      <c r="DX19" s="2">
        <f>DW19+真實IC!DX19</f>
        <v/>
      </c>
      <c r="DY19" s="2">
        <f>DX19+真實IC!DY19</f>
        <v/>
      </c>
      <c r="DZ19" s="2">
        <f>DY19+真實IC!DZ19</f>
        <v/>
      </c>
      <c r="EA19" s="2">
        <f>DZ19+真實IC!EA19</f>
        <v/>
      </c>
      <c r="EB19" s="2">
        <f>EA19+真實IC!EB19</f>
        <v/>
      </c>
      <c r="EC19" s="2">
        <f>EB19+真實IC!EC19</f>
        <v/>
      </c>
      <c r="ED19" s="2">
        <f>EC19+真實IC!ED19</f>
        <v/>
      </c>
      <c r="EE19" s="2">
        <f>ED19+真實IC!EE19</f>
        <v/>
      </c>
      <c r="EF19" s="2">
        <f>EE19+真實IC!EF19</f>
        <v/>
      </c>
      <c r="EG19" s="2">
        <f>EF19+真實IC!EG19</f>
        <v/>
      </c>
      <c r="EH19" s="2">
        <f>EG19+真實IC!EH19</f>
        <v/>
      </c>
      <c r="EI19" s="2">
        <f>EH19+真實IC!EI19</f>
        <v/>
      </c>
      <c r="EJ19" s="2">
        <f>EI19+真實IC!EJ19</f>
        <v/>
      </c>
      <c r="EK19" s="2">
        <f>EJ19+真實IC!EK19</f>
        <v/>
      </c>
      <c r="EL19" s="2">
        <f>EK19+真實IC!EL19</f>
        <v/>
      </c>
    </row>
    <row r="20">
      <c r="A20" s="13" t="n">
        <v>200</v>
      </c>
      <c r="B20" s="13">
        <f>ROUND($D$10/A20,0)</f>
        <v/>
      </c>
      <c r="C20" s="2" t="n">
        <v>0.241035745977561</v>
      </c>
      <c r="D20" s="2">
        <f>C20+真實IC!D20</f>
        <v/>
      </c>
      <c r="E20" s="2">
        <f>D20+真實IC!E20</f>
        <v/>
      </c>
      <c r="F20" s="2">
        <f>E20+真實IC!F20</f>
        <v/>
      </c>
      <c r="G20" s="2">
        <f>F20+真實IC!G20</f>
        <v/>
      </c>
      <c r="H20" s="2">
        <f>G20+真實IC!H20</f>
        <v/>
      </c>
      <c r="I20" s="2">
        <f>H20+真實IC!I20</f>
        <v/>
      </c>
      <c r="J20" s="2">
        <f>I20+真實IC!J20</f>
        <v/>
      </c>
      <c r="K20" s="2">
        <f>J20+真實IC!K20</f>
        <v/>
      </c>
      <c r="L20" s="2">
        <f>K20+真實IC!L20</f>
        <v/>
      </c>
      <c r="M20" s="2">
        <f>L20+真實IC!M20</f>
        <v/>
      </c>
      <c r="N20" s="2">
        <f>M20+真實IC!N20</f>
        <v/>
      </c>
      <c r="O20" s="2">
        <f>N20+真實IC!O20</f>
        <v/>
      </c>
      <c r="P20" s="2">
        <f>O20+真實IC!P20</f>
        <v/>
      </c>
      <c r="Q20" s="2">
        <f>P20+真實IC!Q20</f>
        <v/>
      </c>
      <c r="R20" s="2">
        <f>Q20+真實IC!R20</f>
        <v/>
      </c>
      <c r="S20" s="2">
        <f>R20+真實IC!S20</f>
        <v/>
      </c>
      <c r="T20" s="2">
        <f>S20+真實IC!T20</f>
        <v/>
      </c>
      <c r="U20" s="2">
        <f>T20+真實IC!U20</f>
        <v/>
      </c>
      <c r="V20" s="2">
        <f>U20+真實IC!V20</f>
        <v/>
      </c>
      <c r="W20" s="2">
        <f>V20+真實IC!W20</f>
        <v/>
      </c>
      <c r="X20" s="2">
        <f>W20+真實IC!X20</f>
        <v/>
      </c>
      <c r="Y20" s="2">
        <f>X20+真實IC!Y20</f>
        <v/>
      </c>
      <c r="Z20" s="2">
        <f>Y20+真實IC!Z20</f>
        <v/>
      </c>
      <c r="AA20" s="2">
        <f>Z20+真實IC!AA20</f>
        <v/>
      </c>
      <c r="AB20" s="2">
        <f>AA20+真實IC!AB20</f>
        <v/>
      </c>
      <c r="AC20" s="2">
        <f>AB20+真實IC!AC20</f>
        <v/>
      </c>
      <c r="AD20" s="2">
        <f>AC20+真實IC!AD20</f>
        <v/>
      </c>
      <c r="AE20" s="2">
        <f>AD20+真實IC!AE20</f>
        <v/>
      </c>
      <c r="AF20" s="2">
        <f>AE20+真實IC!AF20</f>
        <v/>
      </c>
      <c r="AG20" s="2">
        <f>AF20+真實IC!AG20</f>
        <v/>
      </c>
      <c r="AH20" s="2">
        <f>AG20+真實IC!AH20</f>
        <v/>
      </c>
      <c r="AI20" s="2">
        <f>AH20+真實IC!AI20</f>
        <v/>
      </c>
      <c r="AJ20" s="2">
        <f>AI20+真實IC!AJ20</f>
        <v/>
      </c>
      <c r="AK20" s="2">
        <f>AJ20+真實IC!AK20</f>
        <v/>
      </c>
      <c r="AL20" s="2">
        <f>AK20+真實IC!AL20</f>
        <v/>
      </c>
      <c r="AM20" s="2">
        <f>AL20+真實IC!AM20</f>
        <v/>
      </c>
      <c r="AN20" s="2">
        <f>AM20+真實IC!AN20</f>
        <v/>
      </c>
      <c r="AO20" s="2">
        <f>AN20+真實IC!AO20</f>
        <v/>
      </c>
      <c r="AP20" s="2">
        <f>AO20+真實IC!AP20</f>
        <v/>
      </c>
      <c r="AQ20" s="2">
        <f>AP20+真實IC!AQ20</f>
        <v/>
      </c>
      <c r="AR20" s="2">
        <f>AQ20+真實IC!AR20</f>
        <v/>
      </c>
      <c r="AS20" s="2">
        <f>AR20+真實IC!AS20</f>
        <v/>
      </c>
      <c r="AT20" s="2">
        <f>AS20+真實IC!AT20</f>
        <v/>
      </c>
      <c r="AU20" s="2">
        <f>AT20+真實IC!AU20</f>
        <v/>
      </c>
      <c r="AV20" s="2">
        <f>AU20+真實IC!AV20</f>
        <v/>
      </c>
      <c r="AW20" s="2">
        <f>AV20+真實IC!AW20</f>
        <v/>
      </c>
      <c r="AX20" s="2">
        <f>AW20+真實IC!AX20</f>
        <v/>
      </c>
      <c r="AY20" s="2">
        <f>AX20+真實IC!AY20</f>
        <v/>
      </c>
      <c r="AZ20" s="2">
        <f>AY20+真實IC!AZ20</f>
        <v/>
      </c>
      <c r="BA20" s="2">
        <f>AZ20+真實IC!BA20</f>
        <v/>
      </c>
      <c r="BB20" s="2">
        <f>BA20+真實IC!BB20</f>
        <v/>
      </c>
      <c r="BC20" s="2">
        <f>BB20+真實IC!BC20</f>
        <v/>
      </c>
      <c r="BD20" s="2">
        <f>BC20+真實IC!BD20</f>
        <v/>
      </c>
      <c r="BE20" s="2">
        <f>BD20+真實IC!BE20</f>
        <v/>
      </c>
      <c r="BF20" s="2">
        <f>BE20+真實IC!BF20</f>
        <v/>
      </c>
      <c r="BG20" s="2">
        <f>BF20+真實IC!BG20</f>
        <v/>
      </c>
      <c r="BH20" s="2">
        <f>BG20+真實IC!BH20</f>
        <v/>
      </c>
      <c r="BI20" s="2">
        <f>BH20+真實IC!BI20</f>
        <v/>
      </c>
      <c r="BJ20" s="2">
        <f>BI20+真實IC!BJ20</f>
        <v/>
      </c>
      <c r="BK20" s="2">
        <f>BJ20+真實IC!BK20</f>
        <v/>
      </c>
      <c r="BL20" s="2">
        <f>BK20+真實IC!BL20</f>
        <v/>
      </c>
      <c r="BM20" s="2">
        <f>BL20+真實IC!BM20</f>
        <v/>
      </c>
      <c r="BN20" s="2">
        <f>BM20+真實IC!BN20</f>
        <v/>
      </c>
      <c r="BO20" s="2">
        <f>BN20+真實IC!BO20</f>
        <v/>
      </c>
      <c r="BP20" s="2">
        <f>BO20+真實IC!BP20</f>
        <v/>
      </c>
      <c r="BQ20" s="2">
        <f>BP20+真實IC!BQ20</f>
        <v/>
      </c>
      <c r="BR20" s="2">
        <f>BQ20+真實IC!BR20</f>
        <v/>
      </c>
      <c r="BS20" s="2">
        <f>BR20+真實IC!BS20</f>
        <v/>
      </c>
      <c r="BT20" s="2">
        <f>BS20+真實IC!BT20</f>
        <v/>
      </c>
      <c r="BU20" s="2">
        <f>BT20+真實IC!BU20</f>
        <v/>
      </c>
      <c r="BV20" s="2">
        <f>BU20+真實IC!BV20</f>
        <v/>
      </c>
      <c r="BW20" s="2">
        <f>BV20+真實IC!BW20</f>
        <v/>
      </c>
      <c r="BX20" s="2">
        <f>BW20+真實IC!BX20</f>
        <v/>
      </c>
      <c r="BY20" s="2">
        <f>BX20+真實IC!BY20</f>
        <v/>
      </c>
      <c r="BZ20" s="2">
        <f>BY20+真實IC!BZ20</f>
        <v/>
      </c>
      <c r="CA20" s="2">
        <f>BZ20+真實IC!CA20</f>
        <v/>
      </c>
      <c r="CB20" s="2">
        <f>CA20+真實IC!CB20</f>
        <v/>
      </c>
      <c r="CC20" s="2">
        <f>CB20+真實IC!CC20</f>
        <v/>
      </c>
      <c r="CD20" s="2">
        <f>CC20+真實IC!CD20</f>
        <v/>
      </c>
      <c r="CE20" s="2">
        <f>CD20+真實IC!CE20</f>
        <v/>
      </c>
      <c r="CF20" s="2">
        <f>CE20+真實IC!CF20</f>
        <v/>
      </c>
      <c r="CG20" s="2">
        <f>CF20+真實IC!CG20</f>
        <v/>
      </c>
      <c r="CH20" s="2">
        <f>CG20+真實IC!CH20</f>
        <v/>
      </c>
      <c r="CI20" s="2">
        <f>CH20+真實IC!CI20</f>
        <v/>
      </c>
      <c r="CJ20" s="2">
        <f>CI20+真實IC!CJ20</f>
        <v/>
      </c>
      <c r="CK20" s="2">
        <f>CJ20+真實IC!CK20</f>
        <v/>
      </c>
      <c r="CL20" s="2">
        <f>CK20+真實IC!CL20</f>
        <v/>
      </c>
      <c r="CM20" s="2">
        <f>CL20+真實IC!CM20</f>
        <v/>
      </c>
      <c r="CN20" s="2">
        <f>CM20+真實IC!CN20</f>
        <v/>
      </c>
      <c r="CO20" s="2">
        <f>CN20+真實IC!CO20</f>
        <v/>
      </c>
      <c r="CP20" s="2">
        <f>CO20+真實IC!CP20</f>
        <v/>
      </c>
      <c r="CQ20" s="2">
        <f>CP20+真實IC!CQ20</f>
        <v/>
      </c>
      <c r="CR20" s="2">
        <f>CQ20+真實IC!CR20</f>
        <v/>
      </c>
      <c r="CS20" s="2">
        <f>CR20+真實IC!CS20</f>
        <v/>
      </c>
      <c r="CT20" s="2">
        <f>CS20+真實IC!CT20</f>
        <v/>
      </c>
      <c r="CU20" s="2">
        <f>CT20+真實IC!CU20</f>
        <v/>
      </c>
      <c r="CV20" s="2">
        <f>CU20+真實IC!CV20</f>
        <v/>
      </c>
      <c r="CW20" s="2">
        <f>CV20+真實IC!CW20</f>
        <v/>
      </c>
      <c r="CX20" s="2">
        <f>CW20+真實IC!CX20</f>
        <v/>
      </c>
      <c r="CY20" s="2">
        <f>CX20+真實IC!CY20</f>
        <v/>
      </c>
      <c r="CZ20" s="2">
        <f>CY20+真實IC!CZ20</f>
        <v/>
      </c>
      <c r="DA20" s="2">
        <f>CZ20+真實IC!DA20</f>
        <v/>
      </c>
      <c r="DB20" s="2">
        <f>DA20+真實IC!DB20</f>
        <v/>
      </c>
      <c r="DC20" s="2">
        <f>DB20+真實IC!DC20</f>
        <v/>
      </c>
      <c r="DD20" s="2">
        <f>DC20+真實IC!DD20</f>
        <v/>
      </c>
      <c r="DE20" s="2">
        <f>DD20+真實IC!DE20</f>
        <v/>
      </c>
      <c r="DF20" s="2">
        <f>DE20+真實IC!DF20</f>
        <v/>
      </c>
      <c r="DG20" s="2">
        <f>DF20+真實IC!DG20</f>
        <v/>
      </c>
      <c r="DH20" s="2">
        <f>DG20+真實IC!DH20</f>
        <v/>
      </c>
      <c r="DI20" s="2">
        <f>DH20+真實IC!DI20</f>
        <v/>
      </c>
      <c r="DJ20" s="2">
        <f>DI20+真實IC!DJ20</f>
        <v/>
      </c>
      <c r="DK20" s="2">
        <f>DJ20+真實IC!DK20</f>
        <v/>
      </c>
      <c r="DL20" s="2">
        <f>DK20+真實IC!DL20</f>
        <v/>
      </c>
      <c r="DM20" s="2">
        <f>DL20+真實IC!DM20</f>
        <v/>
      </c>
      <c r="DN20" s="2">
        <f>DM20+真實IC!DN20</f>
        <v/>
      </c>
      <c r="DO20" s="2">
        <f>DN20+真實IC!DO20</f>
        <v/>
      </c>
      <c r="DP20" s="2">
        <f>DO20+真實IC!DP20</f>
        <v/>
      </c>
      <c r="DQ20" s="2">
        <f>DP20+真實IC!DQ20</f>
        <v/>
      </c>
      <c r="DR20" s="2">
        <f>DQ20+真實IC!DR20</f>
        <v/>
      </c>
      <c r="DS20" s="2">
        <f>DR20+真實IC!DS20</f>
        <v/>
      </c>
      <c r="DT20" s="2">
        <f>DS20+真實IC!DT20</f>
        <v/>
      </c>
      <c r="DU20" s="2">
        <f>DT20+真實IC!DU20</f>
        <v/>
      </c>
      <c r="DV20" s="2">
        <f>DU20+真實IC!DV20</f>
        <v/>
      </c>
      <c r="DW20" s="2">
        <f>DV20+真實IC!DW20</f>
        <v/>
      </c>
      <c r="DX20" s="2">
        <f>DW20+真實IC!DX20</f>
        <v/>
      </c>
      <c r="DY20" s="2">
        <f>DX20+真實IC!DY20</f>
        <v/>
      </c>
      <c r="DZ20" s="2">
        <f>DY20+真實IC!DZ20</f>
        <v/>
      </c>
      <c r="EA20" s="2">
        <f>DZ20+真實IC!EA20</f>
        <v/>
      </c>
      <c r="EB20" s="2">
        <f>EA20+真實IC!EB20</f>
        <v/>
      </c>
      <c r="EC20" s="2">
        <f>EB20+真實IC!EC20</f>
        <v/>
      </c>
      <c r="ED20" s="2">
        <f>EC20+真實IC!ED20</f>
        <v/>
      </c>
      <c r="EE20" s="2">
        <f>ED20+真實IC!EE20</f>
        <v/>
      </c>
      <c r="EF20" s="2">
        <f>EE20+真實IC!EF20</f>
        <v/>
      </c>
      <c r="EG20" s="2">
        <f>EF20+真實IC!EG20</f>
        <v/>
      </c>
      <c r="EH20" s="2">
        <f>EG20+真實IC!EH20</f>
        <v/>
      </c>
      <c r="EI20" s="2">
        <f>EH20+真實IC!EI20</f>
        <v/>
      </c>
      <c r="EJ20" s="2">
        <f>EI20+真實IC!EJ20</f>
        <v/>
      </c>
      <c r="EK20" s="2">
        <f>EJ20+真實IC!EK20</f>
        <v/>
      </c>
      <c r="EL20" s="2">
        <f>EK20+真實IC!EL20</f>
        <v/>
      </c>
    </row>
    <row r="21">
      <c r="A21" s="13" t="n">
        <v>256</v>
      </c>
      <c r="B21" s="13">
        <f>ROUND($D$10/A21,0)</f>
        <v/>
      </c>
      <c r="C21" s="2" t="n">
        <v>0.2490064650579937</v>
      </c>
      <c r="D21" s="2">
        <f>C21+真實IC!D21</f>
        <v/>
      </c>
      <c r="E21" s="2">
        <f>D21+真實IC!E21</f>
        <v/>
      </c>
      <c r="F21" s="2">
        <f>E21+真實IC!F21</f>
        <v/>
      </c>
      <c r="G21" s="2">
        <f>F21+真實IC!G21</f>
        <v/>
      </c>
      <c r="H21" s="2">
        <f>G21+真實IC!H21</f>
        <v/>
      </c>
      <c r="I21" s="2">
        <f>H21+真實IC!I21</f>
        <v/>
      </c>
      <c r="J21" s="2">
        <f>I21+真實IC!J21</f>
        <v/>
      </c>
      <c r="K21" s="2">
        <f>J21+真實IC!K21</f>
        <v/>
      </c>
      <c r="L21" s="2">
        <f>K21+真實IC!L21</f>
        <v/>
      </c>
      <c r="M21" s="2">
        <f>L21+真實IC!M21</f>
        <v/>
      </c>
      <c r="N21" s="2">
        <f>M21+真實IC!N21</f>
        <v/>
      </c>
      <c r="O21" s="2">
        <f>N21+真實IC!O21</f>
        <v/>
      </c>
      <c r="P21" s="2">
        <f>O21+真實IC!P21</f>
        <v/>
      </c>
      <c r="Q21" s="2">
        <f>P21+真實IC!Q21</f>
        <v/>
      </c>
      <c r="R21" s="2">
        <f>Q21+真實IC!R21</f>
        <v/>
      </c>
      <c r="S21" s="2">
        <f>R21+真實IC!S21</f>
        <v/>
      </c>
      <c r="T21" s="2">
        <f>S21+真實IC!T21</f>
        <v/>
      </c>
      <c r="U21" s="2">
        <f>T21+真實IC!U21</f>
        <v/>
      </c>
      <c r="V21" s="2">
        <f>U21+真實IC!V21</f>
        <v/>
      </c>
      <c r="W21" s="2">
        <f>V21+真實IC!W21</f>
        <v/>
      </c>
      <c r="X21" s="2">
        <f>W21+真實IC!X21</f>
        <v/>
      </c>
      <c r="Y21" s="2">
        <f>X21+真實IC!Y21</f>
        <v/>
      </c>
      <c r="Z21" s="2">
        <f>Y21+真實IC!Z21</f>
        <v/>
      </c>
      <c r="AA21" s="2">
        <f>Z21+真實IC!AA21</f>
        <v/>
      </c>
      <c r="AB21" s="2">
        <f>AA21+真實IC!AB21</f>
        <v/>
      </c>
      <c r="AC21" s="2">
        <f>AB21+真實IC!AC21</f>
        <v/>
      </c>
      <c r="AD21" s="2">
        <f>AC21+真實IC!AD21</f>
        <v/>
      </c>
      <c r="AE21" s="2">
        <f>AD21+真實IC!AE21</f>
        <v/>
      </c>
      <c r="AF21" s="2">
        <f>AE21+真實IC!AF21</f>
        <v/>
      </c>
      <c r="AG21" s="2">
        <f>AF21+真實IC!AG21</f>
        <v/>
      </c>
      <c r="AH21" s="2">
        <f>AG21+真實IC!AH21</f>
        <v/>
      </c>
      <c r="AI21" s="2">
        <f>AH21+真實IC!AI21</f>
        <v/>
      </c>
      <c r="AJ21" s="2">
        <f>AI21+真實IC!AJ21</f>
        <v/>
      </c>
      <c r="AK21" s="2">
        <f>AJ21+真實IC!AK21</f>
        <v/>
      </c>
      <c r="AL21" s="2">
        <f>AK21+真實IC!AL21</f>
        <v/>
      </c>
      <c r="AM21" s="2">
        <f>AL21+真實IC!AM21</f>
        <v/>
      </c>
      <c r="AN21" s="2">
        <f>AM21+真實IC!AN21</f>
        <v/>
      </c>
      <c r="AO21" s="2">
        <f>AN21+真實IC!AO21</f>
        <v/>
      </c>
      <c r="AP21" s="2">
        <f>AO21+真實IC!AP21</f>
        <v/>
      </c>
      <c r="AQ21" s="2">
        <f>AP21+真實IC!AQ21</f>
        <v/>
      </c>
      <c r="AR21" s="2">
        <f>AQ21+真實IC!AR21</f>
        <v/>
      </c>
      <c r="AS21" s="2">
        <f>AR21+真實IC!AS21</f>
        <v/>
      </c>
      <c r="AT21" s="2">
        <f>AS21+真實IC!AT21</f>
        <v/>
      </c>
      <c r="AU21" s="2">
        <f>AT21+真實IC!AU21</f>
        <v/>
      </c>
      <c r="AV21" s="2">
        <f>AU21+真實IC!AV21</f>
        <v/>
      </c>
      <c r="AW21" s="2">
        <f>AV21+真實IC!AW21</f>
        <v/>
      </c>
      <c r="AX21" s="2">
        <f>AW21+真實IC!AX21</f>
        <v/>
      </c>
      <c r="AY21" s="2">
        <f>AX21+真實IC!AY21</f>
        <v/>
      </c>
      <c r="AZ21" s="2">
        <f>AY21+真實IC!AZ21</f>
        <v/>
      </c>
      <c r="BA21" s="2">
        <f>AZ21+真實IC!BA21</f>
        <v/>
      </c>
      <c r="BB21" s="2">
        <f>BA21+真實IC!BB21</f>
        <v/>
      </c>
      <c r="BC21" s="2">
        <f>BB21+真實IC!BC21</f>
        <v/>
      </c>
      <c r="BD21" s="2">
        <f>BC21+真實IC!BD21</f>
        <v/>
      </c>
      <c r="BE21" s="2">
        <f>BD21+真實IC!BE21</f>
        <v/>
      </c>
      <c r="BF21" s="2">
        <f>BE21+真實IC!BF21</f>
        <v/>
      </c>
      <c r="BG21" s="2">
        <f>BF21+真實IC!BG21</f>
        <v/>
      </c>
      <c r="BH21" s="2">
        <f>BG21+真實IC!BH21</f>
        <v/>
      </c>
      <c r="BI21" s="2">
        <f>BH21+真實IC!BI21</f>
        <v/>
      </c>
      <c r="BJ21" s="2">
        <f>BI21+真實IC!BJ21</f>
        <v/>
      </c>
      <c r="BK21" s="2">
        <f>BJ21+真實IC!BK21</f>
        <v/>
      </c>
      <c r="BL21" s="2">
        <f>BK21+真實IC!BL21</f>
        <v/>
      </c>
      <c r="BM21" s="2">
        <f>BL21+真實IC!BM21</f>
        <v/>
      </c>
      <c r="BN21" s="2">
        <f>BM21+真實IC!BN21</f>
        <v/>
      </c>
      <c r="BO21" s="2">
        <f>BN21+真實IC!BO21</f>
        <v/>
      </c>
      <c r="BP21" s="2">
        <f>BO21+真實IC!BP21</f>
        <v/>
      </c>
      <c r="BQ21" s="2">
        <f>BP21+真實IC!BQ21</f>
        <v/>
      </c>
      <c r="BR21" s="2">
        <f>BQ21+真實IC!BR21</f>
        <v/>
      </c>
      <c r="BS21" s="2">
        <f>BR21+真實IC!BS21</f>
        <v/>
      </c>
      <c r="BT21" s="2">
        <f>BS21+真實IC!BT21</f>
        <v/>
      </c>
      <c r="BU21" s="2">
        <f>BT21+真實IC!BU21</f>
        <v/>
      </c>
      <c r="BV21" s="2">
        <f>BU21+真實IC!BV21</f>
        <v/>
      </c>
      <c r="BW21" s="2">
        <f>BV21+真實IC!BW21</f>
        <v/>
      </c>
      <c r="BX21" s="2">
        <f>BW21+真實IC!BX21</f>
        <v/>
      </c>
      <c r="BY21" s="2">
        <f>BX21+真實IC!BY21</f>
        <v/>
      </c>
      <c r="BZ21" s="2">
        <f>BY21+真實IC!BZ21</f>
        <v/>
      </c>
      <c r="CA21" s="2">
        <f>BZ21+真實IC!CA21</f>
        <v/>
      </c>
      <c r="CB21" s="2">
        <f>CA21+真實IC!CB21</f>
        <v/>
      </c>
      <c r="CC21" s="2">
        <f>CB21+真實IC!CC21</f>
        <v/>
      </c>
      <c r="CD21" s="2">
        <f>CC21+真實IC!CD21</f>
        <v/>
      </c>
      <c r="CE21" s="2">
        <f>CD21+真實IC!CE21</f>
        <v/>
      </c>
      <c r="CF21" s="2">
        <f>CE21+真實IC!CF21</f>
        <v/>
      </c>
      <c r="CG21" s="2">
        <f>CF21+真實IC!CG21</f>
        <v/>
      </c>
      <c r="CH21" s="2">
        <f>CG21+真實IC!CH21</f>
        <v/>
      </c>
      <c r="CI21" s="2">
        <f>CH21+真實IC!CI21</f>
        <v/>
      </c>
      <c r="CJ21" s="2">
        <f>CI21+真實IC!CJ21</f>
        <v/>
      </c>
      <c r="CK21" s="2">
        <f>CJ21+真實IC!CK21</f>
        <v/>
      </c>
      <c r="CL21" s="2">
        <f>CK21+真實IC!CL21</f>
        <v/>
      </c>
      <c r="CM21" s="2">
        <f>CL21+真實IC!CM21</f>
        <v/>
      </c>
      <c r="CN21" s="2">
        <f>CM21+真實IC!CN21</f>
        <v/>
      </c>
      <c r="CO21" s="2">
        <f>CN21+真實IC!CO21</f>
        <v/>
      </c>
      <c r="CP21" s="2">
        <f>CO21+真實IC!CP21</f>
        <v/>
      </c>
      <c r="CQ21" s="2">
        <f>CP21+真實IC!CQ21</f>
        <v/>
      </c>
      <c r="CR21" s="2">
        <f>CQ21+真實IC!CR21</f>
        <v/>
      </c>
      <c r="CS21" s="2">
        <f>CR21+真實IC!CS21</f>
        <v/>
      </c>
      <c r="CT21" s="2">
        <f>CS21+真實IC!CT21</f>
        <v/>
      </c>
      <c r="CU21" s="2">
        <f>CT21+真實IC!CU21</f>
        <v/>
      </c>
      <c r="CV21" s="2">
        <f>CU21+真實IC!CV21</f>
        <v/>
      </c>
      <c r="CW21" s="2">
        <f>CV21+真實IC!CW21</f>
        <v/>
      </c>
      <c r="CX21" s="2">
        <f>CW21+真實IC!CX21</f>
        <v/>
      </c>
      <c r="CY21" s="2">
        <f>CX21+真實IC!CY21</f>
        <v/>
      </c>
      <c r="CZ21" s="2">
        <f>CY21+真實IC!CZ21</f>
        <v/>
      </c>
      <c r="DA21" s="2">
        <f>CZ21+真實IC!DA21</f>
        <v/>
      </c>
      <c r="DB21" s="2">
        <f>DA21+真實IC!DB21</f>
        <v/>
      </c>
      <c r="DC21" s="2">
        <f>DB21+真實IC!DC21</f>
        <v/>
      </c>
      <c r="DD21" s="2">
        <f>DC21+真實IC!DD21</f>
        <v/>
      </c>
      <c r="DE21" s="2">
        <f>DD21+真實IC!DE21</f>
        <v/>
      </c>
      <c r="DF21" s="2">
        <f>DE21+真實IC!DF21</f>
        <v/>
      </c>
      <c r="DG21" s="2">
        <f>DF21+真實IC!DG21</f>
        <v/>
      </c>
      <c r="DH21" s="2">
        <f>DG21+真實IC!DH21</f>
        <v/>
      </c>
      <c r="DI21" s="2">
        <f>DH21+真實IC!DI21</f>
        <v/>
      </c>
      <c r="DJ21" s="2">
        <f>DI21+真實IC!DJ21</f>
        <v/>
      </c>
      <c r="DK21" s="2">
        <f>DJ21+真實IC!DK21</f>
        <v/>
      </c>
      <c r="DL21" s="2">
        <f>DK21+真實IC!DL21</f>
        <v/>
      </c>
      <c r="DM21" s="2">
        <f>DL21+真實IC!DM21</f>
        <v/>
      </c>
      <c r="DN21" s="2">
        <f>DM21+真實IC!DN21</f>
        <v/>
      </c>
      <c r="DO21" s="2">
        <f>DN21+真實IC!DO21</f>
        <v/>
      </c>
      <c r="DP21" s="2">
        <f>DO21+真實IC!DP21</f>
        <v/>
      </c>
      <c r="DQ21" s="2">
        <f>DP21+真實IC!DQ21</f>
        <v/>
      </c>
      <c r="DR21" s="2">
        <f>DQ21+真實IC!DR21</f>
        <v/>
      </c>
      <c r="DS21" s="2">
        <f>DR21+真實IC!DS21</f>
        <v/>
      </c>
      <c r="DT21" s="2">
        <f>DS21+真實IC!DT21</f>
        <v/>
      </c>
      <c r="DU21" s="2">
        <f>DT21+真實IC!DU21</f>
        <v/>
      </c>
      <c r="DV21" s="2">
        <f>DU21+真實IC!DV21</f>
        <v/>
      </c>
      <c r="DW21" s="2">
        <f>DV21+真實IC!DW21</f>
        <v/>
      </c>
      <c r="DX21" s="2">
        <f>DW21+真實IC!DX21</f>
        <v/>
      </c>
      <c r="DY21" s="2">
        <f>DX21+真實IC!DY21</f>
        <v/>
      </c>
      <c r="DZ21" s="2">
        <f>DY21+真實IC!DZ21</f>
        <v/>
      </c>
      <c r="EA21" s="2">
        <f>DZ21+真實IC!EA21</f>
        <v/>
      </c>
      <c r="EB21" s="2">
        <f>EA21+真實IC!EB21</f>
        <v/>
      </c>
      <c r="EC21" s="2">
        <f>EB21+真實IC!EC21</f>
        <v/>
      </c>
      <c r="ED21" s="2">
        <f>EC21+真實IC!ED21</f>
        <v/>
      </c>
      <c r="EE21" s="2">
        <f>ED21+真實IC!EE21</f>
        <v/>
      </c>
      <c r="EF21" s="2">
        <f>EE21+真實IC!EF21</f>
        <v/>
      </c>
      <c r="EG21" s="2">
        <f>EF21+真實IC!EG21</f>
        <v/>
      </c>
      <c r="EH21" s="2">
        <f>EG21+真實IC!EH21</f>
        <v/>
      </c>
      <c r="EI21" s="2">
        <f>EH21+真實IC!EI21</f>
        <v/>
      </c>
      <c r="EJ21" s="2">
        <f>EI21+真實IC!EJ21</f>
        <v/>
      </c>
      <c r="EK21" s="2">
        <f>EJ21+真實IC!EK21</f>
        <v/>
      </c>
      <c r="EL21" s="2">
        <f>EK21+真實IC!EL21</f>
        <v/>
      </c>
    </row>
    <row r="22">
      <c r="A22" s="13" t="n">
        <v>400</v>
      </c>
      <c r="B22" s="13">
        <f>ROUND($D$10/A22,0)</f>
        <v/>
      </c>
      <c r="C22" s="2" t="n">
        <v>0.2888661911680884</v>
      </c>
      <c r="D22" s="2">
        <f>C22+真實IC!D22</f>
        <v/>
      </c>
      <c r="E22" s="2">
        <f>D22+真實IC!E22</f>
        <v/>
      </c>
      <c r="F22" s="2">
        <f>E22+真實IC!F22</f>
        <v/>
      </c>
      <c r="G22" s="2">
        <f>F22+真實IC!G22</f>
        <v/>
      </c>
      <c r="H22" s="2">
        <f>G22+真實IC!H22</f>
        <v/>
      </c>
      <c r="I22" s="2">
        <f>H22+真實IC!I22</f>
        <v/>
      </c>
      <c r="J22" s="2">
        <f>I22+真實IC!J22</f>
        <v/>
      </c>
      <c r="K22" s="2">
        <f>J22+真實IC!K22</f>
        <v/>
      </c>
      <c r="L22" s="2">
        <f>K22+真實IC!L22</f>
        <v/>
      </c>
      <c r="M22" s="2">
        <f>L22+真實IC!M22</f>
        <v/>
      </c>
      <c r="N22" s="2">
        <f>M22+真實IC!N22</f>
        <v/>
      </c>
      <c r="O22" s="2">
        <f>N22+真實IC!O22</f>
        <v/>
      </c>
      <c r="P22" s="2">
        <f>O22+真實IC!P22</f>
        <v/>
      </c>
      <c r="Q22" s="2">
        <f>P22+真實IC!Q22</f>
        <v/>
      </c>
      <c r="R22" s="2">
        <f>Q22+真實IC!R22</f>
        <v/>
      </c>
      <c r="S22" s="2">
        <f>R22+真實IC!S22</f>
        <v/>
      </c>
      <c r="T22" s="2">
        <f>S22+真實IC!T22</f>
        <v/>
      </c>
      <c r="U22" s="2">
        <f>T22+真實IC!U22</f>
        <v/>
      </c>
      <c r="V22" s="2">
        <f>U22+真實IC!V22</f>
        <v/>
      </c>
      <c r="W22" s="2">
        <f>V22+真實IC!W22</f>
        <v/>
      </c>
      <c r="X22" s="2">
        <f>W22+真實IC!X22</f>
        <v/>
      </c>
      <c r="Y22" s="2">
        <f>X22+真實IC!Y22</f>
        <v/>
      </c>
      <c r="Z22" s="2">
        <f>Y22+真實IC!Z22</f>
        <v/>
      </c>
      <c r="AA22" s="2">
        <f>Z22+真實IC!AA22</f>
        <v/>
      </c>
      <c r="AB22" s="2">
        <f>AA22+真實IC!AB22</f>
        <v/>
      </c>
      <c r="AC22" s="2">
        <f>AB22+真實IC!AC22</f>
        <v/>
      </c>
      <c r="AD22" s="2">
        <f>AC22+真實IC!AD22</f>
        <v/>
      </c>
      <c r="AE22" s="2">
        <f>AD22+真實IC!AE22</f>
        <v/>
      </c>
      <c r="AF22" s="2">
        <f>AE22+真實IC!AF22</f>
        <v/>
      </c>
      <c r="AG22" s="2">
        <f>AF22+真實IC!AG22</f>
        <v/>
      </c>
      <c r="AH22" s="2">
        <f>AG22+真實IC!AH22</f>
        <v/>
      </c>
      <c r="AI22" s="2">
        <f>AH22+真實IC!AI22</f>
        <v/>
      </c>
      <c r="AJ22" s="2">
        <f>AI22+真實IC!AJ22</f>
        <v/>
      </c>
      <c r="AK22" s="2">
        <f>AJ22+真實IC!AK22</f>
        <v/>
      </c>
      <c r="AL22" s="2">
        <f>AK22+真實IC!AL22</f>
        <v/>
      </c>
      <c r="AM22" s="2">
        <f>AL22+真實IC!AM22</f>
        <v/>
      </c>
      <c r="AN22" s="2">
        <f>AM22+真實IC!AN22</f>
        <v/>
      </c>
      <c r="AO22" s="2">
        <f>AN22+真實IC!AO22</f>
        <v/>
      </c>
      <c r="AP22" s="2">
        <f>AO22+真實IC!AP22</f>
        <v/>
      </c>
      <c r="AQ22" s="2">
        <f>AP22+真實IC!AQ22</f>
        <v/>
      </c>
      <c r="AR22" s="2">
        <f>AQ22+真實IC!AR22</f>
        <v/>
      </c>
      <c r="AS22" s="2">
        <f>AR22+真實IC!AS22</f>
        <v/>
      </c>
      <c r="AT22" s="2">
        <f>AS22+真實IC!AT22</f>
        <v/>
      </c>
      <c r="AU22" s="2">
        <f>AT22+真實IC!AU22</f>
        <v/>
      </c>
      <c r="AV22" s="2">
        <f>AU22+真實IC!AV22</f>
        <v/>
      </c>
      <c r="AW22" s="2">
        <f>AV22+真實IC!AW22</f>
        <v/>
      </c>
      <c r="AX22" s="2">
        <f>AW22+真實IC!AX22</f>
        <v/>
      </c>
      <c r="AY22" s="2">
        <f>AX22+真實IC!AY22</f>
        <v/>
      </c>
      <c r="AZ22" s="2">
        <f>AY22+真實IC!AZ22</f>
        <v/>
      </c>
      <c r="BA22" s="2">
        <f>AZ22+真實IC!BA22</f>
        <v/>
      </c>
      <c r="BB22" s="2">
        <f>BA22+真實IC!BB22</f>
        <v/>
      </c>
      <c r="BC22" s="2">
        <f>BB22+真實IC!BC22</f>
        <v/>
      </c>
      <c r="BD22" s="2">
        <f>BC22+真實IC!BD22</f>
        <v/>
      </c>
      <c r="BE22" s="2">
        <f>BD22+真實IC!BE22</f>
        <v/>
      </c>
      <c r="BF22" s="2">
        <f>BE22+真實IC!BF22</f>
        <v/>
      </c>
      <c r="BG22" s="2">
        <f>BF22+真實IC!BG22</f>
        <v/>
      </c>
      <c r="BH22" s="2">
        <f>BG22+真實IC!BH22</f>
        <v/>
      </c>
      <c r="BI22" s="2">
        <f>BH22+真實IC!BI22</f>
        <v/>
      </c>
      <c r="BJ22" s="2">
        <f>BI22+真實IC!BJ22</f>
        <v/>
      </c>
      <c r="BK22" s="2">
        <f>BJ22+真實IC!BK22</f>
        <v/>
      </c>
      <c r="BL22" s="2">
        <f>BK22+真實IC!BL22</f>
        <v/>
      </c>
      <c r="BM22" s="2">
        <f>BL22+真實IC!BM22</f>
        <v/>
      </c>
      <c r="BN22" s="2">
        <f>BM22+真實IC!BN22</f>
        <v/>
      </c>
      <c r="BO22" s="2">
        <f>BN22+真實IC!BO22</f>
        <v/>
      </c>
      <c r="BP22" s="2">
        <f>BO22+真實IC!BP22</f>
        <v/>
      </c>
      <c r="BQ22" s="2">
        <f>BP22+真實IC!BQ22</f>
        <v/>
      </c>
      <c r="BR22" s="2">
        <f>BQ22+真實IC!BR22</f>
        <v/>
      </c>
      <c r="BS22" s="2">
        <f>BR22+真實IC!BS22</f>
        <v/>
      </c>
      <c r="BT22" s="2">
        <f>BS22+真實IC!BT22</f>
        <v/>
      </c>
      <c r="BU22" s="2">
        <f>BT22+真實IC!BU22</f>
        <v/>
      </c>
      <c r="BV22" s="2">
        <f>BU22+真實IC!BV22</f>
        <v/>
      </c>
      <c r="BW22" s="2">
        <f>BV22+真實IC!BW22</f>
        <v/>
      </c>
      <c r="BX22" s="2">
        <f>BW22+真實IC!BX22</f>
        <v/>
      </c>
      <c r="BY22" s="2">
        <f>BX22+真實IC!BY22</f>
        <v/>
      </c>
      <c r="BZ22" s="2">
        <f>BY22+真實IC!BZ22</f>
        <v/>
      </c>
      <c r="CA22" s="2">
        <f>BZ22+真實IC!CA22</f>
        <v/>
      </c>
      <c r="CB22" s="2">
        <f>CA22+真實IC!CB22</f>
        <v/>
      </c>
      <c r="CC22" s="2">
        <f>CB22+真實IC!CC22</f>
        <v/>
      </c>
      <c r="CD22" s="2">
        <f>CC22+真實IC!CD22</f>
        <v/>
      </c>
      <c r="CE22" s="2">
        <f>CD22+真實IC!CE22</f>
        <v/>
      </c>
      <c r="CF22" s="2">
        <f>CE22+真實IC!CF22</f>
        <v/>
      </c>
      <c r="CG22" s="2">
        <f>CF22+真實IC!CG22</f>
        <v/>
      </c>
      <c r="CH22" s="2">
        <f>CG22+真實IC!CH22</f>
        <v/>
      </c>
      <c r="CI22" s="2">
        <f>CH22+真實IC!CI22</f>
        <v/>
      </c>
      <c r="CJ22" s="2">
        <f>CI22+真實IC!CJ22</f>
        <v/>
      </c>
      <c r="CK22" s="2">
        <f>CJ22+真實IC!CK22</f>
        <v/>
      </c>
      <c r="CL22" s="2">
        <f>CK22+真實IC!CL22</f>
        <v/>
      </c>
      <c r="CM22" s="2">
        <f>CL22+真實IC!CM22</f>
        <v/>
      </c>
      <c r="CN22" s="2">
        <f>CM22+真實IC!CN22</f>
        <v/>
      </c>
      <c r="CO22" s="2">
        <f>CN22+真實IC!CO22</f>
        <v/>
      </c>
      <c r="CP22" s="2">
        <f>CO22+真實IC!CP22</f>
        <v/>
      </c>
      <c r="CQ22" s="2">
        <f>CP22+真實IC!CQ22</f>
        <v/>
      </c>
      <c r="CR22" s="2">
        <f>CQ22+真實IC!CR22</f>
        <v/>
      </c>
      <c r="CS22" s="2">
        <f>CR22+真實IC!CS22</f>
        <v/>
      </c>
      <c r="CT22" s="2">
        <f>CS22+真實IC!CT22</f>
        <v/>
      </c>
      <c r="CU22" s="2">
        <f>CT22+真實IC!CU22</f>
        <v/>
      </c>
      <c r="CV22" s="2">
        <f>CU22+真實IC!CV22</f>
        <v/>
      </c>
      <c r="CW22" s="2">
        <f>CV22+真實IC!CW22</f>
        <v/>
      </c>
      <c r="CX22" s="2">
        <f>CW22+真實IC!CX22</f>
        <v/>
      </c>
      <c r="CY22" s="2">
        <f>CX22+真實IC!CY22</f>
        <v/>
      </c>
      <c r="CZ22" s="2">
        <f>CY22+真實IC!CZ22</f>
        <v/>
      </c>
      <c r="DA22" s="2">
        <f>CZ22+真實IC!DA22</f>
        <v/>
      </c>
      <c r="DB22" s="2">
        <f>DA22+真實IC!DB22</f>
        <v/>
      </c>
      <c r="DC22" s="2">
        <f>DB22+真實IC!DC22</f>
        <v/>
      </c>
      <c r="DD22" s="2">
        <f>DC22+真實IC!DD22</f>
        <v/>
      </c>
      <c r="DE22" s="2">
        <f>DD22+真實IC!DE22</f>
        <v/>
      </c>
      <c r="DF22" s="2">
        <f>DE22+真實IC!DF22</f>
        <v/>
      </c>
      <c r="DG22" s="2">
        <f>DF22+真實IC!DG22</f>
        <v/>
      </c>
      <c r="DH22" s="2">
        <f>DG22+真實IC!DH22</f>
        <v/>
      </c>
      <c r="DI22" s="2">
        <f>DH22+真實IC!DI22</f>
        <v/>
      </c>
      <c r="DJ22" s="2">
        <f>DI22+真實IC!DJ22</f>
        <v/>
      </c>
      <c r="DK22" s="2">
        <f>DJ22+真實IC!DK22</f>
        <v/>
      </c>
      <c r="DL22" s="2">
        <f>DK22+真實IC!DL22</f>
        <v/>
      </c>
      <c r="DM22" s="2">
        <f>DL22+真實IC!DM22</f>
        <v/>
      </c>
      <c r="DN22" s="2">
        <f>DM22+真實IC!DN22</f>
        <v/>
      </c>
      <c r="DO22" s="2">
        <f>DN22+真實IC!DO22</f>
        <v/>
      </c>
      <c r="DP22" s="2">
        <f>DO22+真實IC!DP22</f>
        <v/>
      </c>
      <c r="DQ22" s="2">
        <f>DP22+真實IC!DQ22</f>
        <v/>
      </c>
      <c r="DR22" s="2">
        <f>DQ22+真實IC!DR22</f>
        <v/>
      </c>
      <c r="DS22" s="2">
        <f>DR22+真實IC!DS22</f>
        <v/>
      </c>
      <c r="DT22" s="2">
        <f>DS22+真實IC!DT22</f>
        <v/>
      </c>
      <c r="DU22" s="2">
        <f>DT22+真實IC!DU22</f>
        <v/>
      </c>
      <c r="DV22" s="2">
        <f>DU22+真實IC!DV22</f>
        <v/>
      </c>
      <c r="DW22" s="2">
        <f>DV22+真實IC!DW22</f>
        <v/>
      </c>
      <c r="DX22" s="2">
        <f>DW22+真實IC!DX22</f>
        <v/>
      </c>
      <c r="DY22" s="2">
        <f>DX22+真實IC!DY22</f>
        <v/>
      </c>
      <c r="DZ22" s="2">
        <f>DY22+真實IC!DZ22</f>
        <v/>
      </c>
      <c r="EA22" s="2">
        <f>DZ22+真實IC!EA22</f>
        <v/>
      </c>
      <c r="EB22" s="2">
        <f>EA22+真實IC!EB22</f>
        <v/>
      </c>
      <c r="EC22" s="2">
        <f>EB22+真實IC!EC22</f>
        <v/>
      </c>
      <c r="ED22" s="2">
        <f>EC22+真實IC!ED22</f>
        <v/>
      </c>
      <c r="EE22" s="2">
        <f>ED22+真實IC!EE22</f>
        <v/>
      </c>
      <c r="EF22" s="2">
        <f>EE22+真實IC!EF22</f>
        <v/>
      </c>
      <c r="EG22" s="2">
        <f>EF22+真實IC!EG22</f>
        <v/>
      </c>
      <c r="EH22" s="2">
        <f>EG22+真實IC!EH22</f>
        <v/>
      </c>
      <c r="EI22" s="2">
        <f>EH22+真實IC!EI22</f>
        <v/>
      </c>
      <c r="EJ22" s="2">
        <f>EI22+真實IC!EJ22</f>
        <v/>
      </c>
      <c r="EK22" s="2">
        <f>EJ22+真實IC!EK22</f>
        <v/>
      </c>
      <c r="EL22" s="2">
        <f>EK22+真實IC!EL22</f>
        <v/>
      </c>
    </row>
    <row r="23">
      <c r="A23" s="13" t="n">
        <v>512</v>
      </c>
      <c r="B23" s="13">
        <f>ROUND($D$10/A23,0)</f>
        <v/>
      </c>
      <c r="C23" s="2" t="n">
        <v>0.2829892656963289</v>
      </c>
      <c r="D23" s="2">
        <f>C23+真實IC!D23</f>
        <v/>
      </c>
      <c r="E23" s="2">
        <f>D23+真實IC!E23</f>
        <v/>
      </c>
      <c r="F23" s="2">
        <f>E23+真實IC!F23</f>
        <v/>
      </c>
      <c r="G23" s="2">
        <f>F23+真實IC!G23</f>
        <v/>
      </c>
      <c r="H23" s="2">
        <f>G23+真實IC!H23</f>
        <v/>
      </c>
      <c r="I23" s="2">
        <f>H23+真實IC!I23</f>
        <v/>
      </c>
      <c r="J23" s="2">
        <f>I23+真實IC!J23</f>
        <v/>
      </c>
      <c r="K23" s="2">
        <f>J23+真實IC!K23</f>
        <v/>
      </c>
      <c r="L23" s="2">
        <f>K23+真實IC!L23</f>
        <v/>
      </c>
      <c r="M23" s="2">
        <f>L23+真實IC!M23</f>
        <v/>
      </c>
      <c r="N23" s="2">
        <f>M23+真實IC!N23</f>
        <v/>
      </c>
      <c r="O23" s="2">
        <f>N23+真實IC!O23</f>
        <v/>
      </c>
      <c r="P23" s="2">
        <f>O23+真實IC!P23</f>
        <v/>
      </c>
      <c r="Q23" s="2">
        <f>P23+真實IC!Q23</f>
        <v/>
      </c>
      <c r="R23" s="2">
        <f>Q23+真實IC!R23</f>
        <v/>
      </c>
      <c r="S23" s="2">
        <f>R23+真實IC!S23</f>
        <v/>
      </c>
      <c r="T23" s="2">
        <f>S23+真實IC!T23</f>
        <v/>
      </c>
      <c r="U23" s="2">
        <f>T23+真實IC!U23</f>
        <v/>
      </c>
      <c r="V23" s="2">
        <f>U23+真實IC!V23</f>
        <v/>
      </c>
      <c r="W23" s="2">
        <f>V23+真實IC!W23</f>
        <v/>
      </c>
      <c r="X23" s="2">
        <f>W23+真實IC!X23</f>
        <v/>
      </c>
      <c r="Y23" s="2">
        <f>X23+真實IC!Y23</f>
        <v/>
      </c>
      <c r="Z23" s="2">
        <f>Y23+真實IC!Z23</f>
        <v/>
      </c>
      <c r="AA23" s="2">
        <f>Z23+真實IC!AA23</f>
        <v/>
      </c>
      <c r="AB23" s="2">
        <f>AA23+真實IC!AB23</f>
        <v/>
      </c>
      <c r="AC23" s="2">
        <f>AB23+真實IC!AC23</f>
        <v/>
      </c>
      <c r="AD23" s="2">
        <f>AC23+真實IC!AD23</f>
        <v/>
      </c>
      <c r="AE23" s="2">
        <f>AD23+真實IC!AE23</f>
        <v/>
      </c>
      <c r="AF23" s="2">
        <f>AE23+真實IC!AF23</f>
        <v/>
      </c>
      <c r="AG23" s="2">
        <f>AF23+真實IC!AG23</f>
        <v/>
      </c>
      <c r="AH23" s="2">
        <f>AG23+真實IC!AH23</f>
        <v/>
      </c>
      <c r="AI23" s="2">
        <f>AH23+真實IC!AI23</f>
        <v/>
      </c>
      <c r="AJ23" s="2">
        <f>AI23+真實IC!AJ23</f>
        <v/>
      </c>
      <c r="AK23" s="2">
        <f>AJ23+真實IC!AK23</f>
        <v/>
      </c>
      <c r="AL23" s="2">
        <f>AK23+真實IC!AL23</f>
        <v/>
      </c>
      <c r="AM23" s="2">
        <f>AL23+真實IC!AM23</f>
        <v/>
      </c>
      <c r="AN23" s="2">
        <f>AM23+真實IC!AN23</f>
        <v/>
      </c>
      <c r="AO23" s="2">
        <f>AN23+真實IC!AO23</f>
        <v/>
      </c>
      <c r="AP23" s="2">
        <f>AO23+真實IC!AP23</f>
        <v/>
      </c>
      <c r="AQ23" s="2">
        <f>AP23+真實IC!AQ23</f>
        <v/>
      </c>
      <c r="AR23" s="2">
        <f>AQ23+真實IC!AR23</f>
        <v/>
      </c>
      <c r="AS23" s="2">
        <f>AR23+真實IC!AS23</f>
        <v/>
      </c>
      <c r="AT23" s="2">
        <f>AS23+真實IC!AT23</f>
        <v/>
      </c>
      <c r="AU23" s="2">
        <f>AT23+真實IC!AU23</f>
        <v/>
      </c>
      <c r="AV23" s="2">
        <f>AU23+真實IC!AV23</f>
        <v/>
      </c>
      <c r="AW23" s="2">
        <f>AV23+真實IC!AW23</f>
        <v/>
      </c>
      <c r="AX23" s="2">
        <f>AW23+真實IC!AX23</f>
        <v/>
      </c>
      <c r="AY23" s="2">
        <f>AX23+真實IC!AY23</f>
        <v/>
      </c>
      <c r="AZ23" s="2">
        <f>AY23+真實IC!AZ23</f>
        <v/>
      </c>
      <c r="BA23" s="2">
        <f>AZ23+真實IC!BA23</f>
        <v/>
      </c>
      <c r="BB23" s="2">
        <f>BA23+真實IC!BB23</f>
        <v/>
      </c>
      <c r="BC23" s="2">
        <f>BB23+真實IC!BC23</f>
        <v/>
      </c>
      <c r="BD23" s="2">
        <f>BC23+真實IC!BD23</f>
        <v/>
      </c>
      <c r="BE23" s="2">
        <f>BD23+真實IC!BE23</f>
        <v/>
      </c>
      <c r="BF23" s="2">
        <f>BE23+真實IC!BF23</f>
        <v/>
      </c>
      <c r="BG23" s="2">
        <f>BF23+真實IC!BG23</f>
        <v/>
      </c>
      <c r="BH23" s="2">
        <f>BG23+真實IC!BH23</f>
        <v/>
      </c>
      <c r="BI23" s="2">
        <f>BH23+真實IC!BI23</f>
        <v/>
      </c>
      <c r="BJ23" s="2">
        <f>BI23+真實IC!BJ23</f>
        <v/>
      </c>
      <c r="BK23" s="2">
        <f>BJ23+真實IC!BK23</f>
        <v/>
      </c>
      <c r="BL23" s="2">
        <f>BK23+真實IC!BL23</f>
        <v/>
      </c>
      <c r="BM23" s="2">
        <f>BL23+真實IC!BM23</f>
        <v/>
      </c>
      <c r="BN23" s="2">
        <f>BM23+真實IC!BN23</f>
        <v/>
      </c>
      <c r="BO23" s="2">
        <f>BN23+真實IC!BO23</f>
        <v/>
      </c>
      <c r="BP23" s="2">
        <f>BO23+真實IC!BP23</f>
        <v/>
      </c>
      <c r="BQ23" s="2">
        <f>BP23+真實IC!BQ23</f>
        <v/>
      </c>
      <c r="BR23" s="2">
        <f>BQ23+真實IC!BR23</f>
        <v/>
      </c>
      <c r="BS23" s="2">
        <f>BR23+真實IC!BS23</f>
        <v/>
      </c>
      <c r="BT23" s="2">
        <f>BS23+真實IC!BT23</f>
        <v/>
      </c>
      <c r="BU23" s="2">
        <f>BT23+真實IC!BU23</f>
        <v/>
      </c>
      <c r="BV23" s="2">
        <f>BU23+真實IC!BV23</f>
        <v/>
      </c>
      <c r="BW23" s="2">
        <f>BV23+真實IC!BW23</f>
        <v/>
      </c>
      <c r="BX23" s="2">
        <f>BW23+真實IC!BX23</f>
        <v/>
      </c>
      <c r="BY23" s="2">
        <f>BX23+真實IC!BY23</f>
        <v/>
      </c>
      <c r="BZ23" s="2">
        <f>BY23+真實IC!BZ23</f>
        <v/>
      </c>
      <c r="CA23" s="2">
        <f>BZ23+真實IC!CA23</f>
        <v/>
      </c>
      <c r="CB23" s="2">
        <f>CA23+真實IC!CB23</f>
        <v/>
      </c>
      <c r="CC23" s="2">
        <f>CB23+真實IC!CC23</f>
        <v/>
      </c>
      <c r="CD23" s="2">
        <f>CC23+真實IC!CD23</f>
        <v/>
      </c>
      <c r="CE23" s="2">
        <f>CD23+真實IC!CE23</f>
        <v/>
      </c>
      <c r="CF23" s="2">
        <f>CE23+真實IC!CF23</f>
        <v/>
      </c>
      <c r="CG23" s="2">
        <f>CF23+真實IC!CG23</f>
        <v/>
      </c>
      <c r="CH23" s="2">
        <f>CG23+真實IC!CH23</f>
        <v/>
      </c>
      <c r="CI23" s="2">
        <f>CH23+真實IC!CI23</f>
        <v/>
      </c>
      <c r="CJ23" s="2">
        <f>CI23+真實IC!CJ23</f>
        <v/>
      </c>
      <c r="CK23" s="2">
        <f>CJ23+真實IC!CK23</f>
        <v/>
      </c>
      <c r="CL23" s="2">
        <f>CK23+真實IC!CL23</f>
        <v/>
      </c>
      <c r="CM23" s="2">
        <f>CL23+真實IC!CM23</f>
        <v/>
      </c>
      <c r="CN23" s="2">
        <f>CM23+真實IC!CN23</f>
        <v/>
      </c>
      <c r="CO23" s="2">
        <f>CN23+真實IC!CO23</f>
        <v/>
      </c>
      <c r="CP23" s="2">
        <f>CO23+真實IC!CP23</f>
        <v/>
      </c>
      <c r="CQ23" s="2">
        <f>CP23+真實IC!CQ23</f>
        <v/>
      </c>
      <c r="CR23" s="2">
        <f>CQ23+真實IC!CR23</f>
        <v/>
      </c>
      <c r="CS23" s="2">
        <f>CR23+真實IC!CS23</f>
        <v/>
      </c>
      <c r="CT23" s="2">
        <f>CS23+真實IC!CT23</f>
        <v/>
      </c>
      <c r="CU23" s="2">
        <f>CT23+真實IC!CU23</f>
        <v/>
      </c>
      <c r="CV23" s="2">
        <f>CU23+真實IC!CV23</f>
        <v/>
      </c>
      <c r="CW23" s="2">
        <f>CV23+真實IC!CW23</f>
        <v/>
      </c>
      <c r="CX23" s="2">
        <f>CW23+真實IC!CX23</f>
        <v/>
      </c>
      <c r="CY23" s="2">
        <f>CX23+真實IC!CY23</f>
        <v/>
      </c>
      <c r="CZ23" s="2">
        <f>CY23+真實IC!CZ23</f>
        <v/>
      </c>
      <c r="DA23" s="2">
        <f>CZ23+真實IC!DA23</f>
        <v/>
      </c>
      <c r="DB23" s="2">
        <f>DA23+真實IC!DB23</f>
        <v/>
      </c>
      <c r="DC23" s="2">
        <f>DB23+真實IC!DC23</f>
        <v/>
      </c>
      <c r="DD23" s="2">
        <f>DC23+真實IC!DD23</f>
        <v/>
      </c>
      <c r="DE23" s="2">
        <f>DD23+真實IC!DE23</f>
        <v/>
      </c>
      <c r="DF23" s="2">
        <f>DE23+真實IC!DF23</f>
        <v/>
      </c>
      <c r="DG23" s="2">
        <f>DF23+真實IC!DG23</f>
        <v/>
      </c>
      <c r="DH23" s="2">
        <f>DG23+真實IC!DH23</f>
        <v/>
      </c>
      <c r="DI23" s="2">
        <f>DH23+真實IC!DI23</f>
        <v/>
      </c>
      <c r="DJ23" s="2">
        <f>DI23+真實IC!DJ23</f>
        <v/>
      </c>
      <c r="DK23" s="2">
        <f>DJ23+真實IC!DK23</f>
        <v/>
      </c>
      <c r="DL23" s="2">
        <f>DK23+真實IC!DL23</f>
        <v/>
      </c>
      <c r="DM23" s="2">
        <f>DL23+真實IC!DM23</f>
        <v/>
      </c>
      <c r="DN23" s="2">
        <f>DM23+真實IC!DN23</f>
        <v/>
      </c>
      <c r="DO23" s="2">
        <f>DN23+真實IC!DO23</f>
        <v/>
      </c>
      <c r="DP23" s="2">
        <f>DO23+真實IC!DP23</f>
        <v/>
      </c>
      <c r="DQ23" s="2">
        <f>DP23+真實IC!DQ23</f>
        <v/>
      </c>
      <c r="DR23" s="2">
        <f>DQ23+真實IC!DR23</f>
        <v/>
      </c>
      <c r="DS23" s="2">
        <f>DR23+真實IC!DS23</f>
        <v/>
      </c>
      <c r="DT23" s="2">
        <f>DS23+真實IC!DT23</f>
        <v/>
      </c>
      <c r="DU23" s="2">
        <f>DT23+真實IC!DU23</f>
        <v/>
      </c>
      <c r="DV23" s="2">
        <f>DU23+真實IC!DV23</f>
        <v/>
      </c>
      <c r="DW23" s="2">
        <f>DV23+真實IC!DW23</f>
        <v/>
      </c>
      <c r="DX23" s="2">
        <f>DW23+真實IC!DX23</f>
        <v/>
      </c>
      <c r="DY23" s="2">
        <f>DX23+真實IC!DY23</f>
        <v/>
      </c>
      <c r="DZ23" s="2">
        <f>DY23+真實IC!DZ23</f>
        <v/>
      </c>
      <c r="EA23" s="2">
        <f>DZ23+真實IC!EA23</f>
        <v/>
      </c>
      <c r="EB23" s="2">
        <f>EA23+真實IC!EB23</f>
        <v/>
      </c>
      <c r="EC23" s="2">
        <f>EB23+真實IC!EC23</f>
        <v/>
      </c>
      <c r="ED23" s="2">
        <f>EC23+真實IC!ED23</f>
        <v/>
      </c>
      <c r="EE23" s="2">
        <f>ED23+真實IC!EE23</f>
        <v/>
      </c>
      <c r="EF23" s="2">
        <f>EE23+真實IC!EF23</f>
        <v/>
      </c>
      <c r="EG23" s="2">
        <f>EF23+真實IC!EG23</f>
        <v/>
      </c>
      <c r="EH23" s="2">
        <f>EG23+真實IC!EH23</f>
        <v/>
      </c>
      <c r="EI23" s="2">
        <f>EH23+真實IC!EI23</f>
        <v/>
      </c>
      <c r="EJ23" s="2">
        <f>EI23+真實IC!EJ23</f>
        <v/>
      </c>
      <c r="EK23" s="2">
        <f>EJ23+真實IC!EK23</f>
        <v/>
      </c>
      <c r="EL23" s="2">
        <f>EK23+真實IC!EL23</f>
        <v/>
      </c>
    </row>
    <row r="24">
      <c r="A24" s="13" t="n">
        <v>1051</v>
      </c>
      <c r="B24" s="13">
        <f>ROUND($D$10/A24,0)</f>
        <v/>
      </c>
      <c r="C24" s="2" t="n">
        <v>0.09911336420688274</v>
      </c>
      <c r="D24" s="2">
        <f>C24+真實IC!D24</f>
        <v/>
      </c>
      <c r="E24" s="2">
        <f>D24+真實IC!E24</f>
        <v/>
      </c>
      <c r="F24" s="2">
        <f>E24+真實IC!F24</f>
        <v/>
      </c>
      <c r="G24" s="2">
        <f>F24+真實IC!G24</f>
        <v/>
      </c>
      <c r="H24" s="2">
        <f>G24+真實IC!H24</f>
        <v/>
      </c>
      <c r="I24" s="2">
        <f>H24+真實IC!I24</f>
        <v/>
      </c>
      <c r="J24" s="2">
        <f>I24+真實IC!J24</f>
        <v/>
      </c>
      <c r="K24" s="2">
        <f>J24+真實IC!K24</f>
        <v/>
      </c>
      <c r="L24" s="2">
        <f>K24+真實IC!L24</f>
        <v/>
      </c>
      <c r="M24" s="2">
        <f>L24+真實IC!M24</f>
        <v/>
      </c>
      <c r="N24" s="2">
        <f>M24+真實IC!N24</f>
        <v/>
      </c>
      <c r="O24" s="2">
        <f>N24+真實IC!O24</f>
        <v/>
      </c>
      <c r="P24" s="2">
        <f>O24+真實IC!P24</f>
        <v/>
      </c>
      <c r="Q24" s="2">
        <f>P24+真實IC!Q24</f>
        <v/>
      </c>
      <c r="R24" s="2">
        <f>Q24+真實IC!R24</f>
        <v/>
      </c>
      <c r="S24" s="2">
        <f>R24+真實IC!S24</f>
        <v/>
      </c>
      <c r="T24" s="2">
        <f>S24+真實IC!T24</f>
        <v/>
      </c>
      <c r="U24" s="2">
        <f>T24+真實IC!U24</f>
        <v/>
      </c>
      <c r="V24" s="2">
        <f>U24+真實IC!V24</f>
        <v/>
      </c>
      <c r="W24" s="2">
        <f>V24+真實IC!W24</f>
        <v/>
      </c>
      <c r="X24" s="2">
        <f>W24+真實IC!X24</f>
        <v/>
      </c>
      <c r="Y24" s="2">
        <f>X24+真實IC!Y24</f>
        <v/>
      </c>
      <c r="Z24" s="2">
        <f>Y24+真實IC!Z24</f>
        <v/>
      </c>
      <c r="AA24" s="2">
        <f>Z24+真實IC!AA24</f>
        <v/>
      </c>
      <c r="AB24" s="2">
        <f>AA24+真實IC!AB24</f>
        <v/>
      </c>
      <c r="AC24" s="2">
        <f>AB24+真實IC!AC24</f>
        <v/>
      </c>
      <c r="AD24" s="2">
        <f>AC24+真實IC!AD24</f>
        <v/>
      </c>
      <c r="AE24" s="2">
        <f>AD24+真實IC!AE24</f>
        <v/>
      </c>
      <c r="AF24" s="2">
        <f>AE24+真實IC!AF24</f>
        <v/>
      </c>
      <c r="AG24" s="2">
        <f>AF24+真實IC!AG24</f>
        <v/>
      </c>
      <c r="AH24" s="2">
        <f>AG24+真實IC!AH24</f>
        <v/>
      </c>
      <c r="AI24" s="2">
        <f>AH24+真實IC!AI24</f>
        <v/>
      </c>
      <c r="AJ24" s="2">
        <f>AI24+真實IC!AJ24</f>
        <v/>
      </c>
      <c r="AK24" s="2">
        <f>AJ24+真實IC!AK24</f>
        <v/>
      </c>
      <c r="AL24" s="2">
        <f>AK24+真實IC!AL24</f>
        <v/>
      </c>
      <c r="AM24" s="2">
        <f>AL24+真實IC!AM24</f>
        <v/>
      </c>
      <c r="AN24" s="2">
        <f>AM24+真實IC!AN24</f>
        <v/>
      </c>
      <c r="AO24" s="2">
        <f>AN24+真實IC!AO24</f>
        <v/>
      </c>
      <c r="AP24" s="2">
        <f>AO24+真實IC!AP24</f>
        <v/>
      </c>
      <c r="AQ24" s="2">
        <f>AP24+真實IC!AQ24</f>
        <v/>
      </c>
      <c r="AR24" s="2">
        <f>AQ24+真實IC!AR24</f>
        <v/>
      </c>
      <c r="AS24" s="2">
        <f>AR24+真實IC!AS24</f>
        <v/>
      </c>
      <c r="AT24" s="2">
        <f>AS24+真實IC!AT24</f>
        <v/>
      </c>
      <c r="AU24" s="2">
        <f>AT24+真實IC!AU24</f>
        <v/>
      </c>
      <c r="AV24" s="2">
        <f>AU24+真實IC!AV24</f>
        <v/>
      </c>
      <c r="AW24" s="2">
        <f>AV24+真實IC!AW24</f>
        <v/>
      </c>
      <c r="AX24" s="2">
        <f>AW24+真實IC!AX24</f>
        <v/>
      </c>
      <c r="AY24" s="2">
        <f>AX24+真實IC!AY24</f>
        <v/>
      </c>
      <c r="AZ24" s="2">
        <f>AY24+真實IC!AZ24</f>
        <v/>
      </c>
      <c r="BA24" s="2">
        <f>AZ24+真實IC!BA24</f>
        <v/>
      </c>
      <c r="BB24" s="2">
        <f>BA24+真實IC!BB24</f>
        <v/>
      </c>
      <c r="BC24" s="2">
        <f>BB24+真實IC!BC24</f>
        <v/>
      </c>
      <c r="BD24" s="2">
        <f>BC24+真實IC!BD24</f>
        <v/>
      </c>
      <c r="BE24" s="2">
        <f>BD24+真實IC!BE24</f>
        <v/>
      </c>
      <c r="BF24" s="2">
        <f>BE24+真實IC!BF24</f>
        <v/>
      </c>
      <c r="BG24" s="2">
        <f>BF24+真實IC!BG24</f>
        <v/>
      </c>
      <c r="BH24" s="2">
        <f>BG24+真實IC!BH24</f>
        <v/>
      </c>
      <c r="BI24" s="2">
        <f>BH24+真實IC!BI24</f>
        <v/>
      </c>
      <c r="BJ24" s="2">
        <f>BI24+真實IC!BJ24</f>
        <v/>
      </c>
      <c r="BK24" s="2">
        <f>BJ24+真實IC!BK24</f>
        <v/>
      </c>
      <c r="BL24" s="2">
        <f>BK24+真實IC!BL24</f>
        <v/>
      </c>
      <c r="BM24" s="2">
        <f>BL24+真實IC!BM24</f>
        <v/>
      </c>
      <c r="BN24" s="2">
        <f>BM24+真實IC!BN24</f>
        <v/>
      </c>
      <c r="BO24" s="2">
        <f>BN24+真實IC!BO24</f>
        <v/>
      </c>
      <c r="BP24" s="2">
        <f>BO24+真實IC!BP24</f>
        <v/>
      </c>
      <c r="BQ24" s="2">
        <f>BP24+真實IC!BQ24</f>
        <v/>
      </c>
      <c r="BR24" s="2">
        <f>BQ24+真實IC!BR24</f>
        <v/>
      </c>
      <c r="BS24" s="2">
        <f>BR24+真實IC!BS24</f>
        <v/>
      </c>
      <c r="BT24" s="2">
        <f>BS24+真實IC!BT24</f>
        <v/>
      </c>
      <c r="BU24" s="2">
        <f>BT24+真實IC!BU24</f>
        <v/>
      </c>
      <c r="BV24" s="2">
        <f>BU24+真實IC!BV24</f>
        <v/>
      </c>
      <c r="BW24" s="2">
        <f>BV24+真實IC!BW24</f>
        <v/>
      </c>
      <c r="BX24" s="2">
        <f>BW24+真實IC!BX24</f>
        <v/>
      </c>
      <c r="BY24" s="2">
        <f>BX24+真實IC!BY24</f>
        <v/>
      </c>
      <c r="BZ24" s="2">
        <f>BY24+真實IC!BZ24</f>
        <v/>
      </c>
      <c r="CA24" s="2">
        <f>BZ24+真實IC!CA24</f>
        <v/>
      </c>
      <c r="CB24" s="2">
        <f>CA24+真實IC!CB24</f>
        <v/>
      </c>
      <c r="CC24" s="2">
        <f>CB24+真實IC!CC24</f>
        <v/>
      </c>
      <c r="CD24" s="2">
        <f>CC24+真實IC!CD24</f>
        <v/>
      </c>
      <c r="CE24" s="2">
        <f>CD24+真實IC!CE24</f>
        <v/>
      </c>
      <c r="CF24" s="2">
        <f>CE24+真實IC!CF24</f>
        <v/>
      </c>
      <c r="CG24" s="2">
        <f>CF24+真實IC!CG24</f>
        <v/>
      </c>
      <c r="CH24" s="2">
        <f>CG24+真實IC!CH24</f>
        <v/>
      </c>
      <c r="CI24" s="2">
        <f>CH24+真實IC!CI24</f>
        <v/>
      </c>
      <c r="CJ24" s="2">
        <f>CI24+真實IC!CJ24</f>
        <v/>
      </c>
      <c r="CK24" s="2">
        <f>CJ24+真實IC!CK24</f>
        <v/>
      </c>
      <c r="CL24" s="2">
        <f>CK24+真實IC!CL24</f>
        <v/>
      </c>
      <c r="CM24" s="2">
        <f>CL24+真實IC!CM24</f>
        <v/>
      </c>
      <c r="CN24" s="2">
        <f>CM24+真實IC!CN24</f>
        <v/>
      </c>
      <c r="CO24" s="2">
        <f>CN24+真實IC!CO24</f>
        <v/>
      </c>
      <c r="CP24" s="2">
        <f>CO24+真實IC!CP24</f>
        <v/>
      </c>
      <c r="CQ24" s="2">
        <f>CP24+真實IC!CQ24</f>
        <v/>
      </c>
      <c r="CR24" s="2">
        <f>CQ24+真實IC!CR24</f>
        <v/>
      </c>
      <c r="CS24" s="2">
        <f>CR24+真實IC!CS24</f>
        <v/>
      </c>
      <c r="CT24" s="2">
        <f>CS24+真實IC!CT24</f>
        <v/>
      </c>
      <c r="CU24" s="2">
        <f>CT24+真實IC!CU24</f>
        <v/>
      </c>
      <c r="CV24" s="2">
        <f>CU24+真實IC!CV24</f>
        <v/>
      </c>
      <c r="CW24" s="2">
        <f>CV24+真實IC!CW24</f>
        <v/>
      </c>
      <c r="CX24" s="2">
        <f>CW24+真實IC!CX24</f>
        <v/>
      </c>
      <c r="CY24" s="2">
        <f>CX24+真實IC!CY24</f>
        <v/>
      </c>
      <c r="CZ24" s="2">
        <f>CY24+真實IC!CZ24</f>
        <v/>
      </c>
      <c r="DA24" s="2">
        <f>CZ24+真實IC!DA24</f>
        <v/>
      </c>
      <c r="DB24" s="2">
        <f>DA24+真實IC!DB24</f>
        <v/>
      </c>
      <c r="DC24" s="2">
        <f>DB24+真實IC!DC24</f>
        <v/>
      </c>
      <c r="DD24" s="2">
        <f>DC24+真實IC!DD24</f>
        <v/>
      </c>
      <c r="DE24" s="2">
        <f>DD24+真實IC!DE24</f>
        <v/>
      </c>
      <c r="DF24" s="2">
        <f>DE24+真實IC!DF24</f>
        <v/>
      </c>
      <c r="DG24" s="2">
        <f>DF24+真實IC!DG24</f>
        <v/>
      </c>
      <c r="DH24" s="2">
        <f>DG24+真實IC!DH24</f>
        <v/>
      </c>
      <c r="DI24" s="2">
        <f>DH24+真實IC!DI24</f>
        <v/>
      </c>
      <c r="DJ24" s="2">
        <f>DI24+真實IC!DJ24</f>
        <v/>
      </c>
      <c r="DK24" s="2">
        <f>DJ24+真實IC!DK24</f>
        <v/>
      </c>
      <c r="DL24" s="2">
        <f>DK24+真實IC!DL24</f>
        <v/>
      </c>
      <c r="DM24" s="2">
        <f>DL24+真實IC!DM24</f>
        <v/>
      </c>
      <c r="DN24" s="2">
        <f>DM24+真實IC!DN24</f>
        <v/>
      </c>
      <c r="DO24" s="2">
        <f>DN24+真實IC!DO24</f>
        <v/>
      </c>
      <c r="DP24" s="2">
        <f>DO24+真實IC!DP24</f>
        <v/>
      </c>
      <c r="DQ24" s="2">
        <f>DP24+真實IC!DQ24</f>
        <v/>
      </c>
      <c r="DR24" s="2">
        <f>DQ24+真實IC!DR24</f>
        <v/>
      </c>
      <c r="DS24" s="2">
        <f>DR24+真實IC!DS24</f>
        <v/>
      </c>
      <c r="DT24" s="2">
        <f>DS24+真實IC!DT24</f>
        <v/>
      </c>
      <c r="DU24" s="2">
        <f>DT24+真實IC!DU24</f>
        <v/>
      </c>
      <c r="DV24" s="2">
        <f>DU24+真實IC!DV24</f>
        <v/>
      </c>
      <c r="DW24" s="2">
        <f>DV24+真實IC!DW24</f>
        <v/>
      </c>
      <c r="DX24" s="2">
        <f>DW24+真實IC!DX24</f>
        <v/>
      </c>
      <c r="DY24" s="2">
        <f>DX24+真實IC!DY24</f>
        <v/>
      </c>
      <c r="DZ24" s="2">
        <f>DY24+真實IC!DZ24</f>
        <v/>
      </c>
      <c r="EA24" s="2">
        <f>DZ24+真實IC!EA24</f>
        <v/>
      </c>
      <c r="EB24" s="2">
        <f>EA24+真實IC!EB24</f>
        <v/>
      </c>
      <c r="EC24" s="2">
        <f>EB24+真實IC!EC24</f>
        <v/>
      </c>
      <c r="ED24" s="2">
        <f>EC24+真實IC!ED24</f>
        <v/>
      </c>
      <c r="EE24" s="2">
        <f>ED24+真實IC!EE24</f>
        <v/>
      </c>
      <c r="EF24" s="2">
        <f>EE24+真實IC!EF24</f>
        <v/>
      </c>
      <c r="EG24" s="2">
        <f>EF24+真實IC!EG24</f>
        <v/>
      </c>
      <c r="EH24" s="2">
        <f>EG24+真實IC!EH24</f>
        <v/>
      </c>
      <c r="EI24" s="2">
        <f>EH24+真實IC!EI24</f>
        <v/>
      </c>
      <c r="EJ24" s="2">
        <f>EI24+真實IC!EJ24</f>
        <v/>
      </c>
      <c r="EK24" s="2">
        <f>EJ24+真實IC!EK24</f>
        <v/>
      </c>
      <c r="EL24" s="2">
        <f>EK24+真實IC!EL24</f>
        <v/>
      </c>
    </row>
    <row r="25">
      <c r="A25" s="13" t="inlineStr">
        <is>
          <t>大盤</t>
        </is>
      </c>
      <c r="B25" s="13" t="inlineStr">
        <is>
          <t>TWII</t>
        </is>
      </c>
      <c r="C25" s="9" t="n">
        <v>-0.01744677053939034</v>
      </c>
      <c r="D25" s="10">
        <f>C25+真實IC!D25</f>
        <v/>
      </c>
      <c r="E25" s="10">
        <f>D25+真實IC!E25</f>
        <v/>
      </c>
      <c r="F25" s="10">
        <f>E25+真實IC!F25</f>
        <v/>
      </c>
      <c r="G25" s="10">
        <f>F25+真實IC!G25</f>
        <v/>
      </c>
      <c r="H25" s="10">
        <f>G25+真實IC!H25</f>
        <v/>
      </c>
      <c r="I25" s="10">
        <f>H25+真實IC!I25</f>
        <v/>
      </c>
      <c r="J25" s="10">
        <f>I25+真實IC!J25</f>
        <v/>
      </c>
      <c r="K25" s="10">
        <f>J25+真實IC!K25</f>
        <v/>
      </c>
      <c r="L25" s="10">
        <f>K25+真實IC!L25</f>
        <v/>
      </c>
      <c r="M25" s="10">
        <f>L25+真實IC!M25</f>
        <v/>
      </c>
      <c r="N25" s="10">
        <f>M25+真實IC!N25</f>
        <v/>
      </c>
      <c r="O25" s="10">
        <f>N25+真實IC!O25</f>
        <v/>
      </c>
      <c r="P25" s="10">
        <f>O25+真實IC!P25</f>
        <v/>
      </c>
      <c r="Q25" s="10">
        <f>P25+真實IC!Q25</f>
        <v/>
      </c>
      <c r="R25" s="10">
        <f>Q25+真實IC!R25</f>
        <v/>
      </c>
      <c r="S25" s="10">
        <f>R25+真實IC!S25</f>
        <v/>
      </c>
      <c r="T25" s="10">
        <f>S25+真實IC!T25</f>
        <v/>
      </c>
      <c r="U25" s="10">
        <f>T25+真實IC!U25</f>
        <v/>
      </c>
      <c r="V25" s="10">
        <f>U25+真實IC!V25</f>
        <v/>
      </c>
      <c r="W25" s="10">
        <f>V25+真實IC!W25</f>
        <v/>
      </c>
      <c r="X25" s="10">
        <f>W25+真實IC!X25</f>
        <v/>
      </c>
      <c r="Y25" s="10">
        <f>X25+真實IC!Y25</f>
        <v/>
      </c>
      <c r="Z25" s="10">
        <f>Y25+真實IC!Z25</f>
        <v/>
      </c>
      <c r="AA25" s="10">
        <f>Z25+真實IC!AA25</f>
        <v/>
      </c>
      <c r="AB25" s="10">
        <f>AA25+真實IC!AB25</f>
        <v/>
      </c>
      <c r="AC25" s="10">
        <f>AB25+真實IC!AC25</f>
        <v/>
      </c>
      <c r="AD25" s="10">
        <f>AC25+真實IC!AD25</f>
        <v/>
      </c>
      <c r="AE25" s="10">
        <f>AD25+真實IC!AE25</f>
        <v/>
      </c>
      <c r="AF25" s="10">
        <f>AE25+真實IC!AF25</f>
        <v/>
      </c>
      <c r="AG25" s="10">
        <f>AF25+真實IC!AG25</f>
        <v/>
      </c>
      <c r="AH25" s="10">
        <f>AG25+真實IC!AH25</f>
        <v/>
      </c>
      <c r="AI25" s="10">
        <f>AH25+真實IC!AI25</f>
        <v/>
      </c>
      <c r="AJ25" s="10">
        <f>AI25+真實IC!AJ25</f>
        <v/>
      </c>
      <c r="AK25" s="10">
        <f>AJ25+真實IC!AK25</f>
        <v/>
      </c>
      <c r="AL25" s="10">
        <f>AK25+真實IC!AL25</f>
        <v/>
      </c>
      <c r="AM25" s="10">
        <f>AL25+真實IC!AM25</f>
        <v/>
      </c>
      <c r="AN25" s="10">
        <f>AM25+真實IC!AN25</f>
        <v/>
      </c>
      <c r="AO25" s="10">
        <f>AN25+真實IC!AO25</f>
        <v/>
      </c>
      <c r="AP25" s="10">
        <f>AO25+真實IC!AP25</f>
        <v/>
      </c>
      <c r="AQ25" s="10">
        <f>AP25+真實IC!AQ25</f>
        <v/>
      </c>
      <c r="AR25" s="10">
        <f>AQ25+真實IC!AR25</f>
        <v/>
      </c>
      <c r="AS25" s="10">
        <f>AR25+真實IC!AS25</f>
        <v/>
      </c>
      <c r="AT25" s="10">
        <f>AS25+真實IC!AT25</f>
        <v/>
      </c>
      <c r="AU25" s="10">
        <f>AT25+真實IC!AU25</f>
        <v/>
      </c>
      <c r="AV25" s="10">
        <f>AU25+真實IC!AV25</f>
        <v/>
      </c>
      <c r="AW25" s="10">
        <f>AV25+真實IC!AW25</f>
        <v/>
      </c>
      <c r="AX25" s="10">
        <f>AW25+真實IC!AX25</f>
        <v/>
      </c>
      <c r="AY25" s="10">
        <f>AX25+真實IC!AY25</f>
        <v/>
      </c>
      <c r="AZ25" s="10">
        <f>AY25+真實IC!AZ25</f>
        <v/>
      </c>
      <c r="BA25" s="10">
        <f>AZ25+真實IC!BA25</f>
        <v/>
      </c>
      <c r="BB25" s="10">
        <f>BA25+真實IC!BB25</f>
        <v/>
      </c>
      <c r="BC25" s="10">
        <f>BB25+真實IC!BC25</f>
        <v/>
      </c>
      <c r="BD25" s="10">
        <f>BC25+真實IC!BD25</f>
        <v/>
      </c>
      <c r="BE25" s="10">
        <f>BD25+真實IC!BE25</f>
        <v/>
      </c>
      <c r="BF25" s="10">
        <f>BE25+真實IC!BF25</f>
        <v/>
      </c>
      <c r="BG25" s="10">
        <f>BF25+真實IC!BG25</f>
        <v/>
      </c>
      <c r="BH25" s="10">
        <f>BG25+真實IC!BH25</f>
        <v/>
      </c>
      <c r="BI25" s="10">
        <f>BH25+真實IC!BI25</f>
        <v/>
      </c>
      <c r="BJ25" s="10">
        <f>BI25+真實IC!BJ25</f>
        <v/>
      </c>
      <c r="BK25" s="10">
        <f>BJ25+真實IC!BK25</f>
        <v/>
      </c>
      <c r="BL25" s="10">
        <f>BK25+真實IC!BL25</f>
        <v/>
      </c>
      <c r="BM25" s="10">
        <f>BL25+真實IC!BM25</f>
        <v/>
      </c>
      <c r="BN25" s="10">
        <f>BM25+真實IC!BN25</f>
        <v/>
      </c>
      <c r="BO25" s="10">
        <f>BN25+真實IC!BO25</f>
        <v/>
      </c>
      <c r="BP25" s="10">
        <f>BO25+真實IC!BP25</f>
        <v/>
      </c>
      <c r="BQ25" s="10">
        <f>BP25+真實IC!BQ25</f>
        <v/>
      </c>
      <c r="BR25" s="10">
        <f>BQ25+真實IC!BR25</f>
        <v/>
      </c>
      <c r="BS25" s="10">
        <f>BR25+真實IC!BS25</f>
        <v/>
      </c>
      <c r="BT25" s="10">
        <f>BS25+真實IC!BT25</f>
        <v/>
      </c>
      <c r="BU25" s="10">
        <f>BT25+真實IC!BU25</f>
        <v/>
      </c>
      <c r="BV25" s="10">
        <f>BU25+真實IC!BV25</f>
        <v/>
      </c>
      <c r="BW25" s="10">
        <f>BV25+真實IC!BW25</f>
        <v/>
      </c>
      <c r="BX25" s="10">
        <f>BW25+真實IC!BX25</f>
        <v/>
      </c>
      <c r="BY25" s="10">
        <f>BX25+真實IC!BY25</f>
        <v/>
      </c>
      <c r="BZ25" s="10">
        <f>BY25+真實IC!BZ25</f>
        <v/>
      </c>
      <c r="CA25" s="10">
        <f>BZ25+真實IC!CA25</f>
        <v/>
      </c>
      <c r="CB25" s="10">
        <f>CA25+真實IC!CB25</f>
        <v/>
      </c>
      <c r="CC25" s="10">
        <f>CB25+真實IC!CC25</f>
        <v/>
      </c>
      <c r="CD25" s="10">
        <f>CC25+真實IC!CD25</f>
        <v/>
      </c>
      <c r="CE25" s="10">
        <f>CD25+真實IC!CE25</f>
        <v/>
      </c>
      <c r="CF25" s="10">
        <f>CE25+真實IC!CF25</f>
        <v/>
      </c>
      <c r="CG25" s="10">
        <f>CF25+真實IC!CG25</f>
        <v/>
      </c>
      <c r="CH25" s="10">
        <f>CG25+真實IC!CH25</f>
        <v/>
      </c>
      <c r="CI25" s="10">
        <f>CH25+真實IC!CI25</f>
        <v/>
      </c>
      <c r="CJ25" s="10">
        <f>CI25+真實IC!CJ25</f>
        <v/>
      </c>
      <c r="CK25" s="10">
        <f>CJ25+真實IC!CK25</f>
        <v/>
      </c>
      <c r="CL25" s="10">
        <f>CK25+真實IC!CL25</f>
        <v/>
      </c>
      <c r="CM25" s="10">
        <f>CL25+真實IC!CM25</f>
        <v/>
      </c>
      <c r="CN25" s="10">
        <f>CM25+真實IC!CN25</f>
        <v/>
      </c>
      <c r="CO25" s="10">
        <f>CN25+真實IC!CO25</f>
        <v/>
      </c>
      <c r="CP25" s="10">
        <f>CO25+真實IC!CP25</f>
        <v/>
      </c>
      <c r="CQ25" s="10">
        <f>CP25+真實IC!CQ25</f>
        <v/>
      </c>
      <c r="CR25" s="10">
        <f>CQ25+真實IC!CR25</f>
        <v/>
      </c>
      <c r="CS25" s="10">
        <f>CR25+真實IC!CS25</f>
        <v/>
      </c>
      <c r="CT25" s="10">
        <f>CS25+真實IC!CT25</f>
        <v/>
      </c>
      <c r="CU25" s="10">
        <f>CT25+真實IC!CU25</f>
        <v/>
      </c>
      <c r="CV25" s="10">
        <f>CU25+真實IC!CV25</f>
        <v/>
      </c>
      <c r="CW25" s="10">
        <f>CV25+真實IC!CW25</f>
        <v/>
      </c>
      <c r="CX25" s="10">
        <f>CW25+真實IC!CX25</f>
        <v/>
      </c>
      <c r="CY25" s="10">
        <f>CX25+真實IC!CY25</f>
        <v/>
      </c>
      <c r="CZ25" s="10">
        <f>CY25+真實IC!CZ25</f>
        <v/>
      </c>
      <c r="DA25" s="10">
        <f>CZ25+真實IC!DA25</f>
        <v/>
      </c>
      <c r="DB25" s="10">
        <f>DA25+真實IC!DB25</f>
        <v/>
      </c>
      <c r="DC25" s="10">
        <f>DB25+真實IC!DC25</f>
        <v/>
      </c>
      <c r="DD25" s="10">
        <f>DC25+真實IC!DD25</f>
        <v/>
      </c>
      <c r="DE25" s="10">
        <f>DD25+真實IC!DE25</f>
        <v/>
      </c>
      <c r="DF25" s="10">
        <f>DE25+真實IC!DF25</f>
        <v/>
      </c>
      <c r="DG25" s="10">
        <f>DF25+真實IC!DG25</f>
        <v/>
      </c>
      <c r="DH25" s="10">
        <f>DG25+真實IC!DH25</f>
        <v/>
      </c>
      <c r="DI25" s="10">
        <f>DH25+真實IC!DI25</f>
        <v/>
      </c>
      <c r="DJ25" s="10">
        <f>DI25+真實IC!DJ25</f>
        <v/>
      </c>
      <c r="DK25" s="10">
        <f>DJ25+真實IC!DK25</f>
        <v/>
      </c>
      <c r="DL25" s="10">
        <f>DK25+真實IC!DL25</f>
        <v/>
      </c>
      <c r="DM25" s="10">
        <f>DL25+真實IC!DM25</f>
        <v/>
      </c>
      <c r="DN25" s="10">
        <f>DM25+真實IC!DN25</f>
        <v/>
      </c>
      <c r="DO25" s="10">
        <f>DN25+真實IC!DO25</f>
        <v/>
      </c>
      <c r="DP25" s="10">
        <f>DO25+真實IC!DP25</f>
        <v/>
      </c>
      <c r="DQ25" s="10">
        <f>DP25+真實IC!DQ25</f>
        <v/>
      </c>
      <c r="DR25" s="10">
        <f>DQ25+真實IC!DR25</f>
        <v/>
      </c>
      <c r="DS25" s="10">
        <f>DR25+真實IC!DS25</f>
        <v/>
      </c>
      <c r="DT25" s="10">
        <f>DS25+真實IC!DT25</f>
        <v/>
      </c>
      <c r="DU25" s="10">
        <f>DT25+真實IC!DU25</f>
        <v/>
      </c>
      <c r="DV25" s="10">
        <f>DU25+真實IC!DV25</f>
        <v/>
      </c>
      <c r="DW25" s="10">
        <f>DV25+真實IC!DW25</f>
        <v/>
      </c>
      <c r="DX25" s="10">
        <f>DW25+真實IC!DX25</f>
        <v/>
      </c>
      <c r="DY25" s="10">
        <f>DX25+真實IC!DY25</f>
        <v/>
      </c>
      <c r="DZ25" s="10">
        <f>DY25+真實IC!DZ25</f>
        <v/>
      </c>
      <c r="EA25" s="10">
        <f>DZ25+真實IC!EA25</f>
        <v/>
      </c>
      <c r="EB25" s="10">
        <f>EA25+真實IC!EB25</f>
        <v/>
      </c>
      <c r="EC25" s="10">
        <f>EB25+真實IC!EC25</f>
        <v/>
      </c>
      <c r="ED25" s="10">
        <f>EC25+真實IC!ED25</f>
        <v/>
      </c>
      <c r="EE25" s="10">
        <f>ED25+真實IC!EE25</f>
        <v/>
      </c>
      <c r="EF25" s="10">
        <f>EE25+真實IC!EF25</f>
        <v/>
      </c>
      <c r="EG25" s="10">
        <f>EF25+真實IC!EG25</f>
        <v/>
      </c>
      <c r="EH25" s="10">
        <f>EG25+真實IC!EH25</f>
        <v/>
      </c>
      <c r="EI25" s="10">
        <f>EH25+真實IC!EI25</f>
        <v/>
      </c>
      <c r="EJ25" s="10">
        <f>EI25+真實IC!EJ25</f>
        <v/>
      </c>
      <c r="EK25" s="10">
        <f>EJ25+真實IC!EK25</f>
        <v/>
      </c>
      <c r="EL25" s="10">
        <f>EK25+真實IC!EL25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164"/>
  <sheetViews>
    <sheetView topLeftCell="BQ2" zoomScale="130" zoomScaleNormal="130" workbookViewId="0">
      <selection activeCell="BS31" sqref="BS31"/>
    </sheetView>
  </sheetViews>
  <sheetFormatPr baseColWidth="8" defaultRowHeight="14.5"/>
  <cols>
    <col width="10.19921875" bestFit="1" customWidth="1" min="2" max="2"/>
  </cols>
  <sheetData>
    <row r="1">
      <c r="A1" s="7" t="inlineStr">
        <is>
          <t>Real</t>
        </is>
      </c>
    </row>
    <row r="2">
      <c r="B2" s="7" t="inlineStr">
        <is>
          <t>Time</t>
        </is>
      </c>
      <c r="C2" s="7" t="inlineStr">
        <is>
          <t>2013/12</t>
        </is>
      </c>
      <c r="D2" s="7" t="inlineStr">
        <is>
          <t>2014/01</t>
        </is>
      </c>
      <c r="E2" s="7" t="inlineStr">
        <is>
          <t>2014/02</t>
        </is>
      </c>
      <c r="F2" s="7" t="inlineStr">
        <is>
          <t>2014/03</t>
        </is>
      </c>
      <c r="G2" s="7" t="inlineStr">
        <is>
          <t>2014/04</t>
        </is>
      </c>
      <c r="H2" s="7" t="inlineStr">
        <is>
          <t>2014/05</t>
        </is>
      </c>
      <c r="I2" s="7" t="inlineStr">
        <is>
          <t>2014/06</t>
        </is>
      </c>
      <c r="J2" s="7" t="inlineStr">
        <is>
          <t>2014/07</t>
        </is>
      </c>
      <c r="K2" s="7" t="inlineStr">
        <is>
          <t>2014/08</t>
        </is>
      </c>
      <c r="L2" s="7" t="inlineStr">
        <is>
          <t>2014/09</t>
        </is>
      </c>
      <c r="M2" s="7" t="inlineStr">
        <is>
          <t>2014/10</t>
        </is>
      </c>
      <c r="N2" s="7" t="inlineStr">
        <is>
          <t>2014/11</t>
        </is>
      </c>
      <c r="O2" s="7" t="inlineStr">
        <is>
          <t>2014/12</t>
        </is>
      </c>
      <c r="P2" s="7" t="inlineStr">
        <is>
          <t>2015/01</t>
        </is>
      </c>
      <c r="Q2" s="7" t="inlineStr">
        <is>
          <t>2015/02</t>
        </is>
      </c>
      <c r="R2" s="7" t="inlineStr">
        <is>
          <t>2015/03</t>
        </is>
      </c>
      <c r="S2" s="7" t="inlineStr">
        <is>
          <t>2015/04</t>
        </is>
      </c>
      <c r="T2" s="7" t="inlineStr">
        <is>
          <t>2015/05</t>
        </is>
      </c>
      <c r="U2" s="7" t="inlineStr">
        <is>
          <t>2015/06</t>
        </is>
      </c>
      <c r="V2" s="7" t="inlineStr">
        <is>
          <t>2015/07</t>
        </is>
      </c>
      <c r="W2" s="7" t="inlineStr">
        <is>
          <t>2015/08</t>
        </is>
      </c>
      <c r="X2" s="7" t="inlineStr">
        <is>
          <t>2015/09</t>
        </is>
      </c>
      <c r="Y2" s="7" t="inlineStr">
        <is>
          <t>2015/10</t>
        </is>
      </c>
      <c r="Z2" s="7" t="inlineStr">
        <is>
          <t>2015/11</t>
        </is>
      </c>
      <c r="AA2" s="7" t="inlineStr">
        <is>
          <t>2015/12</t>
        </is>
      </c>
      <c r="AB2" s="7" t="inlineStr">
        <is>
          <t>2016/01</t>
        </is>
      </c>
      <c r="AC2" s="7" t="inlineStr">
        <is>
          <t>2016/02</t>
        </is>
      </c>
      <c r="AD2" s="7" t="inlineStr">
        <is>
          <t>2016/03</t>
        </is>
      </c>
      <c r="AE2" s="7" t="inlineStr">
        <is>
          <t>2016/04</t>
        </is>
      </c>
      <c r="AF2" s="7" t="inlineStr">
        <is>
          <t>2016/05</t>
        </is>
      </c>
      <c r="AG2" s="7" t="inlineStr">
        <is>
          <t>2016/06</t>
        </is>
      </c>
      <c r="AH2" s="7" t="inlineStr">
        <is>
          <t>2016/07</t>
        </is>
      </c>
      <c r="AI2" s="7" t="inlineStr">
        <is>
          <t>2016/08</t>
        </is>
      </c>
      <c r="AJ2" s="7" t="inlineStr">
        <is>
          <t>2016/09</t>
        </is>
      </c>
      <c r="AK2" s="7" t="inlineStr">
        <is>
          <t>2016/10</t>
        </is>
      </c>
      <c r="AL2" s="7" t="inlineStr">
        <is>
          <t>2016/11</t>
        </is>
      </c>
      <c r="AM2" s="7" t="inlineStr">
        <is>
          <t>2016/12</t>
        </is>
      </c>
      <c r="AN2" s="7" t="inlineStr">
        <is>
          <t>2017/01</t>
        </is>
      </c>
      <c r="AO2" s="7" t="inlineStr">
        <is>
          <t>2017/02</t>
        </is>
      </c>
      <c r="AP2" s="7" t="inlineStr">
        <is>
          <t>2017/03</t>
        </is>
      </c>
      <c r="AQ2" s="7" t="inlineStr">
        <is>
          <t>2017/04</t>
        </is>
      </c>
      <c r="AR2" s="7" t="inlineStr">
        <is>
          <t>2017/05</t>
        </is>
      </c>
      <c r="AS2" s="7" t="inlineStr">
        <is>
          <t>2017/06</t>
        </is>
      </c>
      <c r="AT2" s="7" t="inlineStr">
        <is>
          <t>2017/07</t>
        </is>
      </c>
      <c r="AU2" s="7" t="inlineStr">
        <is>
          <t>2017/08</t>
        </is>
      </c>
      <c r="AV2" s="7" t="inlineStr">
        <is>
          <t>2017/09</t>
        </is>
      </c>
      <c r="AW2" s="7" t="inlineStr">
        <is>
          <t>2017/10</t>
        </is>
      </c>
      <c r="AX2" s="7" t="inlineStr">
        <is>
          <t>2017/11</t>
        </is>
      </c>
      <c r="AY2" s="7" t="inlineStr">
        <is>
          <t>2017/12</t>
        </is>
      </c>
      <c r="AZ2" s="7" t="inlineStr">
        <is>
          <t>2018/01</t>
        </is>
      </c>
      <c r="BA2" s="7" t="inlineStr">
        <is>
          <t>2018/02</t>
        </is>
      </c>
      <c r="BB2" s="7" t="inlineStr">
        <is>
          <t>2018/03</t>
        </is>
      </c>
      <c r="BC2" s="7" t="inlineStr">
        <is>
          <t>2018/04</t>
        </is>
      </c>
      <c r="BD2" s="7" t="inlineStr">
        <is>
          <t>2018/05</t>
        </is>
      </c>
      <c r="BE2" s="7" t="inlineStr">
        <is>
          <t>2018/06</t>
        </is>
      </c>
      <c r="BF2" s="7" t="inlineStr">
        <is>
          <t>2018/07</t>
        </is>
      </c>
      <c r="BG2" s="7" t="inlineStr">
        <is>
          <t>2018/08</t>
        </is>
      </c>
      <c r="BH2" s="7" t="inlineStr">
        <is>
          <t>2018/09</t>
        </is>
      </c>
      <c r="BI2" s="7" t="inlineStr">
        <is>
          <t>2018/10</t>
        </is>
      </c>
      <c r="BJ2" s="7" t="inlineStr">
        <is>
          <t>2018/11</t>
        </is>
      </c>
      <c r="BK2" s="7" t="inlineStr">
        <is>
          <t>2018/12</t>
        </is>
      </c>
      <c r="BL2" s="7" t="inlineStr">
        <is>
          <t>2019/01</t>
        </is>
      </c>
      <c r="BM2" s="7" t="inlineStr">
        <is>
          <t>2019/02</t>
        </is>
      </c>
      <c r="BN2" s="7" t="inlineStr">
        <is>
          <t>2019/03</t>
        </is>
      </c>
      <c r="BO2" s="7" t="inlineStr">
        <is>
          <t>2019/04</t>
        </is>
      </c>
      <c r="BP2" s="7" t="inlineStr">
        <is>
          <t>2019/05</t>
        </is>
      </c>
      <c r="BQ2" s="7" t="inlineStr">
        <is>
          <t>2019/06</t>
        </is>
      </c>
      <c r="BR2" s="7" t="inlineStr">
        <is>
          <t>2019/07</t>
        </is>
      </c>
      <c r="BS2" s="7" t="inlineStr">
        <is>
          <t>2019/08</t>
        </is>
      </c>
      <c r="BT2" s="7" t="inlineStr">
        <is>
          <t>2019/09</t>
        </is>
      </c>
      <c r="BU2" s="7" t="inlineStr">
        <is>
          <t>2019/10</t>
        </is>
      </c>
      <c r="BV2" s="7" t="inlineStr">
        <is>
          <t>2019/11</t>
        </is>
      </c>
      <c r="BW2" s="7" t="inlineStr">
        <is>
          <t>2019/12</t>
        </is>
      </c>
      <c r="BX2" s="7" t="inlineStr">
        <is>
          <t>2020/01</t>
        </is>
      </c>
      <c r="BY2" s="7" t="inlineStr">
        <is>
          <t>2020/02</t>
        </is>
      </c>
      <c r="BZ2" s="7" t="inlineStr">
        <is>
          <t>2020/03</t>
        </is>
      </c>
      <c r="CA2" s="7" t="inlineStr">
        <is>
          <t>2020/04</t>
        </is>
      </c>
      <c r="CB2" s="7" t="inlineStr">
        <is>
          <t>2020/05</t>
        </is>
      </c>
      <c r="CC2" s="7" t="inlineStr">
        <is>
          <t>2020/06</t>
        </is>
      </c>
      <c r="CD2" s="7" t="inlineStr">
        <is>
          <t>2020/07</t>
        </is>
      </c>
      <c r="CE2" s="7" t="inlineStr">
        <is>
          <t>2020/08</t>
        </is>
      </c>
      <c r="CF2" s="7" t="inlineStr">
        <is>
          <t>2020/09</t>
        </is>
      </c>
      <c r="CG2" s="7" t="inlineStr">
        <is>
          <t>2020/10</t>
        </is>
      </c>
      <c r="CH2" s="7" t="inlineStr">
        <is>
          <t>2020/11</t>
        </is>
      </c>
      <c r="CI2" s="7" t="inlineStr">
        <is>
          <t>2020/12</t>
        </is>
      </c>
      <c r="CJ2" s="7" t="inlineStr">
        <is>
          <t>2021/01</t>
        </is>
      </c>
      <c r="CK2" s="7" t="inlineStr">
        <is>
          <t>2021/02</t>
        </is>
      </c>
      <c r="CL2" s="7" t="inlineStr">
        <is>
          <t>2021/03</t>
        </is>
      </c>
      <c r="CM2" s="7" t="inlineStr">
        <is>
          <t>2021/04</t>
        </is>
      </c>
      <c r="CN2" s="7" t="inlineStr">
        <is>
          <t>2021/05</t>
        </is>
      </c>
      <c r="CO2" s="7" t="inlineStr">
        <is>
          <t>2021/06</t>
        </is>
      </c>
      <c r="CP2" s="7" t="inlineStr">
        <is>
          <t>2021/07</t>
        </is>
      </c>
      <c r="CQ2" s="7" t="inlineStr">
        <is>
          <t>2021/08</t>
        </is>
      </c>
      <c r="CR2" s="7" t="inlineStr">
        <is>
          <t>2021/09</t>
        </is>
      </c>
      <c r="CS2" s="7" t="inlineStr">
        <is>
          <t>2021/10</t>
        </is>
      </c>
      <c r="CT2" s="7" t="inlineStr">
        <is>
          <t>2021/11</t>
        </is>
      </c>
      <c r="CU2" s="7" t="inlineStr">
        <is>
          <t>2021/12</t>
        </is>
      </c>
      <c r="CV2" s="7" t="inlineStr">
        <is>
          <t>2022/01</t>
        </is>
      </c>
      <c r="CW2" s="7" t="inlineStr">
        <is>
          <t>2022/02</t>
        </is>
      </c>
      <c r="CX2" s="7" t="inlineStr">
        <is>
          <t>2022/03</t>
        </is>
      </c>
      <c r="CY2" s="7" t="inlineStr">
        <is>
          <t>2022/04</t>
        </is>
      </c>
      <c r="CZ2" s="7" t="inlineStr">
        <is>
          <t>2022/05</t>
        </is>
      </c>
      <c r="DA2" s="7" t="inlineStr">
        <is>
          <t>2022/06</t>
        </is>
      </c>
      <c r="DB2" s="7" t="inlineStr">
        <is>
          <t>2022/07</t>
        </is>
      </c>
      <c r="DC2" s="7" t="inlineStr">
        <is>
          <t>2022/08</t>
        </is>
      </c>
      <c r="DD2" s="7" t="inlineStr">
        <is>
          <t>2022/09</t>
        </is>
      </c>
      <c r="DE2" s="7" t="inlineStr">
        <is>
          <t>2022/10</t>
        </is>
      </c>
      <c r="DF2" s="7" t="inlineStr">
        <is>
          <t>2022/11</t>
        </is>
      </c>
      <c r="DG2" s="7" t="inlineStr">
        <is>
          <t>2022/12</t>
        </is>
      </c>
      <c r="DH2" s="7" t="inlineStr">
        <is>
          <t>2023/01</t>
        </is>
      </c>
      <c r="DI2" s="7" t="inlineStr">
        <is>
          <t>2023/02</t>
        </is>
      </c>
      <c r="DJ2" s="7" t="inlineStr">
        <is>
          <t>2023/03</t>
        </is>
      </c>
      <c r="DK2" s="7" t="inlineStr">
        <is>
          <t>2023/04</t>
        </is>
      </c>
      <c r="DL2" s="7" t="inlineStr">
        <is>
          <t>2023/05</t>
        </is>
      </c>
      <c r="DM2" s="7" t="inlineStr">
        <is>
          <t>2023/06</t>
        </is>
      </c>
      <c r="DN2" s="7" t="inlineStr">
        <is>
          <t>2023/07</t>
        </is>
      </c>
      <c r="DO2" s="7" t="inlineStr">
        <is>
          <t>2023/08</t>
        </is>
      </c>
      <c r="DP2" s="7" t="inlineStr">
        <is>
          <t>2023/09</t>
        </is>
      </c>
      <c r="DQ2" s="7" t="inlineStr">
        <is>
          <t>2023/10</t>
        </is>
      </c>
      <c r="DR2" s="7" t="inlineStr">
        <is>
          <t>2023/11</t>
        </is>
      </c>
      <c r="DS2" s="7" t="inlineStr">
        <is>
          <t>2023/12</t>
        </is>
      </c>
      <c r="DT2" s="7" t="inlineStr">
        <is>
          <t>2024/01</t>
        </is>
      </c>
      <c r="DU2" s="7" t="inlineStr">
        <is>
          <t>2024/02</t>
        </is>
      </c>
      <c r="DV2" s="7" t="inlineStr">
        <is>
          <t>2024/03</t>
        </is>
      </c>
      <c r="DW2" s="7" t="inlineStr">
        <is>
          <t>2024/04</t>
        </is>
      </c>
      <c r="DX2" s="7" t="inlineStr">
        <is>
          <t>2024/05</t>
        </is>
      </c>
      <c r="DY2" s="7" t="inlineStr">
        <is>
          <t>2024/06</t>
        </is>
      </c>
      <c r="DZ2" s="7" t="inlineStr">
        <is>
          <t>2024/07</t>
        </is>
      </c>
      <c r="EA2" s="7" t="inlineStr">
        <is>
          <t>2024/08</t>
        </is>
      </c>
      <c r="EB2" s="7" t="inlineStr">
        <is>
          <t>2024/09</t>
        </is>
      </c>
      <c r="EC2" s="7" t="inlineStr">
        <is>
          <t>2024/10</t>
        </is>
      </c>
      <c r="ED2" s="7" t="inlineStr">
        <is>
          <t>2024/11</t>
        </is>
      </c>
      <c r="EE2" s="7" t="inlineStr">
        <is>
          <t>2024/12</t>
        </is>
      </c>
      <c r="EF2" s="7" t="inlineStr">
        <is>
          <t>2025/01</t>
        </is>
      </c>
      <c r="EG2" s="7" t="inlineStr">
        <is>
          <t>2025/02</t>
        </is>
      </c>
      <c r="EH2" s="7" t="inlineStr">
        <is>
          <t>2025/03</t>
        </is>
      </c>
      <c r="EI2" s="7" t="inlineStr">
        <is>
          <t>2025/04</t>
        </is>
      </c>
      <c r="EJ2" s="7" t="inlineStr">
        <is>
          <t>2025/05</t>
        </is>
      </c>
      <c r="EK2" s="7" t="inlineStr">
        <is>
          <t>2025/06</t>
        </is>
      </c>
      <c r="EL2" s="7" t="inlineStr">
        <is>
          <t>2025/07</t>
        </is>
      </c>
    </row>
    <row r="3">
      <c r="B3" s="7" t="inlineStr">
        <is>
          <t>bm</t>
        </is>
      </c>
      <c r="C3" s="2" t="n">
        <v>0.1125435271948454</v>
      </c>
      <c r="D3" s="2" t="n">
        <v>0.03409709267476698</v>
      </c>
      <c r="E3" s="2" t="n">
        <v>-0.03409226069940737</v>
      </c>
      <c r="F3" s="2" t="n">
        <v>-0.01605865205223076</v>
      </c>
      <c r="G3" s="2" t="n">
        <v>-0.003238509599184421</v>
      </c>
      <c r="H3" s="2" t="n">
        <v>0.03790110218105813</v>
      </c>
      <c r="I3" s="2" t="n">
        <v>0.1965804247315599</v>
      </c>
      <c r="J3" s="2" t="n">
        <v>0.1237480024553423</v>
      </c>
      <c r="K3" s="2" t="n">
        <v>-0.003448058118270741</v>
      </c>
      <c r="L3" s="2" t="n">
        <v>0.05629516809259021</v>
      </c>
      <c r="M3" s="2" t="n">
        <v>-0.03327060080139484</v>
      </c>
      <c r="N3" s="2" t="n">
        <v>0.1353246586042292</v>
      </c>
      <c r="O3" s="2" t="n">
        <v>0.02969531031593921</v>
      </c>
      <c r="P3" s="2" t="n">
        <v>-0.07591953573504945</v>
      </c>
      <c r="Q3" s="2" t="n">
        <v>-0.06274760610374265</v>
      </c>
      <c r="R3" s="2" t="n">
        <v>0.03433477349789758</v>
      </c>
      <c r="S3" s="2" t="n">
        <v>-0.1144891806435095</v>
      </c>
      <c r="T3" s="2" t="n">
        <v>-0.1284109974990398</v>
      </c>
      <c r="U3" s="2" t="n">
        <v>-0.01815402967073156</v>
      </c>
      <c r="V3" s="2" t="n">
        <v>0.09728422596777049</v>
      </c>
      <c r="W3" s="2" t="n">
        <v>0.06448606026865036</v>
      </c>
      <c r="X3" s="2" t="n">
        <v>0.1327038041673102</v>
      </c>
      <c r="Y3" s="2" t="n">
        <v>-0.1450629125821488</v>
      </c>
      <c r="Z3" s="2" t="n">
        <v>0.1598380237389521</v>
      </c>
      <c r="AA3" s="2" t="n">
        <v>-0.07943967423672775</v>
      </c>
      <c r="AB3" s="2" t="n">
        <v>0.06546377099335918</v>
      </c>
      <c r="AC3" s="2" t="n">
        <v>0.1084175724655288</v>
      </c>
      <c r="AD3" s="2" t="n">
        <v>0.03516209392388778</v>
      </c>
      <c r="AE3" s="2" t="n">
        <v>-0.1325939737697983</v>
      </c>
      <c r="AF3" s="2" t="n">
        <v>0.07916728183676316</v>
      </c>
      <c r="AG3" s="2" t="n">
        <v>0.1474472000826687</v>
      </c>
      <c r="AH3" s="2" t="n">
        <v>0.1081810761945582</v>
      </c>
      <c r="AI3" s="2" t="n">
        <v>0.03150504579871012</v>
      </c>
      <c r="AJ3" s="2" t="n">
        <v>0.06832457413976745</v>
      </c>
      <c r="AK3" s="2" t="n">
        <v>0.1393804201089587</v>
      </c>
      <c r="AL3" s="2" t="n">
        <v>0.001592744707157312</v>
      </c>
      <c r="AM3" s="2" t="n">
        <v>0.1169932331404209</v>
      </c>
      <c r="AN3" s="2" t="n">
        <v>0.1834880568360807</v>
      </c>
      <c r="AO3" s="2" t="n">
        <v>-0.01362463266883975</v>
      </c>
      <c r="AP3" s="2" t="n">
        <v>-0.1063675409967041</v>
      </c>
      <c r="AQ3" s="2" t="n">
        <v>-0.02692921500644242</v>
      </c>
      <c r="AR3" s="2" t="n">
        <v>0.04203653064073765</v>
      </c>
      <c r="AS3" s="2" t="n">
        <v>0.01869658658094119</v>
      </c>
      <c r="AT3" s="2" t="n">
        <v>0.05064050597470081</v>
      </c>
      <c r="AU3" s="2" t="n">
        <v>0.0604131585099751</v>
      </c>
      <c r="AV3" s="2" t="n">
        <v>-0.04907461676923335</v>
      </c>
      <c r="AW3" s="2" t="n">
        <v>0.0413575087325385</v>
      </c>
      <c r="AX3" s="2" t="n">
        <v>0.1327231001077077</v>
      </c>
      <c r="AY3" s="2" t="n">
        <v>0.05462577959823098</v>
      </c>
      <c r="AZ3" s="2" t="n">
        <v>0.01569679623130794</v>
      </c>
      <c r="BA3" s="2" t="n">
        <v>0.01269034544284173</v>
      </c>
      <c r="BB3" s="2" t="n">
        <v>0.1043530163836375</v>
      </c>
      <c r="BC3" s="2" t="n">
        <v>0.02779663335081905</v>
      </c>
      <c r="BD3" s="2" t="n">
        <v>0.01578432168905794</v>
      </c>
      <c r="BE3" s="2" t="n">
        <v>0.0537399376874611</v>
      </c>
      <c r="BF3" s="2" t="n">
        <v>0.1537584362824705</v>
      </c>
      <c r="BG3" s="2" t="n">
        <v>0.147269823768492</v>
      </c>
      <c r="BH3" s="2" t="n">
        <v>0.05877153494593684</v>
      </c>
      <c r="BI3" s="2" t="n">
        <v>0.08968556351117631</v>
      </c>
      <c r="BJ3" s="2" t="n">
        <v>-0.04123580818035873</v>
      </c>
      <c r="BK3" s="2" t="n">
        <v>-0.08573472823131786</v>
      </c>
      <c r="BL3" s="2" t="n">
        <v>0.0654140399846983</v>
      </c>
      <c r="BM3" s="2" t="n">
        <v>-0.03136835325772754</v>
      </c>
      <c r="BN3" s="2" t="n">
        <v>0.03535962153675492</v>
      </c>
      <c r="BO3" s="2" t="n">
        <v>0.07770428491214006</v>
      </c>
      <c r="BP3" s="2" t="n">
        <v>-0.01453910803467266</v>
      </c>
      <c r="BQ3" s="2" t="n">
        <v>0.05447866472636634</v>
      </c>
      <c r="BR3" s="2" t="n">
        <v>-0.01197995334182828</v>
      </c>
      <c r="BS3" s="2" t="n">
        <v>0.06168642463628515</v>
      </c>
      <c r="BT3" s="2" t="n">
        <v>0.01760973665085316</v>
      </c>
      <c r="BU3" s="2" t="n">
        <v>0.001762998043724756</v>
      </c>
      <c r="BV3" s="2" t="n">
        <v>0.0799014284857137</v>
      </c>
      <c r="BW3" s="2" t="n">
        <v>-0.02610637658719216</v>
      </c>
      <c r="BX3" s="2" t="n">
        <v>0.02215237394523281</v>
      </c>
      <c r="BY3" s="2" t="n">
        <v>-0.07067772456274936</v>
      </c>
      <c r="BZ3" s="2" t="n">
        <v>0.101271620876707</v>
      </c>
      <c r="CA3" s="2" t="n">
        <v>-0.1116632811959762</v>
      </c>
      <c r="CB3" s="2" t="n">
        <v>0.02134222205387841</v>
      </c>
      <c r="CC3" s="2" t="n">
        <v>-0.004736127892535237</v>
      </c>
      <c r="CD3" s="2" t="n">
        <v>0.1795510120924832</v>
      </c>
      <c r="CE3" s="2" t="n">
        <v>0.06130764254550036</v>
      </c>
      <c r="CF3" s="2" t="n">
        <v>0.09160477399652853</v>
      </c>
      <c r="CG3" s="2" t="n">
        <v>0.09769200543692226</v>
      </c>
      <c r="CH3" s="2" t="n">
        <v>0.1571471245578184</v>
      </c>
      <c r="CI3" s="2" t="n">
        <v>-0.08864718618757392</v>
      </c>
      <c r="CJ3" s="2" t="n">
        <v>-0.01493557613450404</v>
      </c>
      <c r="CK3" s="2" t="n">
        <v>0.03820833626937714</v>
      </c>
      <c r="CL3" s="2" t="n">
        <v>0.3172585351163243</v>
      </c>
      <c r="CM3" s="2" t="n">
        <v>-0.04994996965024352</v>
      </c>
      <c r="CN3" s="2" t="n">
        <v>-0.03844702672662263</v>
      </c>
      <c r="CO3" s="2" t="n">
        <v>0.0007108119245151148</v>
      </c>
      <c r="CP3" s="2" t="n">
        <v>0.1447125782623591</v>
      </c>
      <c r="CQ3" s="2" t="n">
        <v>0.149288994346539</v>
      </c>
      <c r="CR3" s="2" t="n">
        <v>-0.03980105412272755</v>
      </c>
      <c r="CS3" s="2" t="n">
        <v>-0.04654591879331479</v>
      </c>
      <c r="CT3" s="2" t="n">
        <v>0.03413366412190599</v>
      </c>
      <c r="CU3" s="2" t="n">
        <v>0.1287540555955017</v>
      </c>
      <c r="CV3" s="2" t="n">
        <v>0.03163536774086521</v>
      </c>
      <c r="CW3" s="2" t="n">
        <v>0.04119456280109754</v>
      </c>
      <c r="CX3" s="2" t="n">
        <v>0.1631954403342357</v>
      </c>
      <c r="CY3" s="2" t="n">
        <v>-0.04311502821261747</v>
      </c>
      <c r="CZ3" s="2" t="n">
        <v>0.2200684368095747</v>
      </c>
      <c r="DA3" s="2" t="n">
        <v>-0.04142373033494529</v>
      </c>
      <c r="DB3" s="2" t="n">
        <v>-0.01173797426242647</v>
      </c>
      <c r="DC3" s="2" t="n">
        <v>0.107771072087255</v>
      </c>
      <c r="DD3" s="2" t="n">
        <v>0.06722401366698873</v>
      </c>
      <c r="DE3" s="2" t="n">
        <v>-0.04013712790152178</v>
      </c>
      <c r="DF3" s="2" t="n">
        <v>0.03639690250525753</v>
      </c>
      <c r="DG3" s="2" t="n">
        <v>-0.09806105068625157</v>
      </c>
      <c r="DH3" s="2" t="n">
        <v>-0.01204584827074483</v>
      </c>
      <c r="DI3" s="2" t="n">
        <v>-0.08941057522238097</v>
      </c>
      <c r="DJ3" s="2" t="n">
        <v>0.05499287939929484</v>
      </c>
      <c r="DK3" s="2" t="n">
        <v>-0.05718658858231242</v>
      </c>
      <c r="DL3" s="2" t="n">
        <v>-0.02928430147507266</v>
      </c>
      <c r="DM3" s="2" t="n">
        <v>-0.03140292948248728</v>
      </c>
      <c r="DN3" s="2" t="n">
        <v>0.08441362295461619</v>
      </c>
      <c r="DO3" s="2" t="n">
        <v>0.04817081751501173</v>
      </c>
      <c r="DP3" s="2" t="n">
        <v>0.09034642309343102</v>
      </c>
      <c r="DQ3" s="2" t="n">
        <v>-0.1186763931513413</v>
      </c>
      <c r="DR3" s="2" t="n">
        <v>0.1105075661161839</v>
      </c>
      <c r="DS3" s="2" t="n">
        <v>-0.07381461923916993</v>
      </c>
      <c r="DT3" s="2" t="n">
        <v>-0.1063388335857973</v>
      </c>
      <c r="DU3" s="2" t="n">
        <v>0.009623021929172615</v>
      </c>
      <c r="DV3" s="2" t="n">
        <v>0.1441712191893461</v>
      </c>
      <c r="DW3" s="2" t="n">
        <v>0.08531221239885391</v>
      </c>
      <c r="DX3" s="2" t="n">
        <v>-0.1103801797394762</v>
      </c>
      <c r="DY3" s="2" t="n">
        <v>0.1287077242287429</v>
      </c>
      <c r="DZ3" s="2" t="n">
        <v>-0.05327010638201551</v>
      </c>
      <c r="EA3" s="2" t="n">
        <v>0.1732568557338955</v>
      </c>
      <c r="EB3" s="2" t="n">
        <v>0.01226444151936329</v>
      </c>
      <c r="EC3" s="2" t="n">
        <v>0.07732049309491003</v>
      </c>
      <c r="ED3" s="2" t="n">
        <v>-0.1651037379666482</v>
      </c>
      <c r="EE3" s="2" t="n">
        <v>0.0775924428230633</v>
      </c>
      <c r="EF3" s="2" t="n">
        <v>0.05668831475061075</v>
      </c>
      <c r="EG3" s="2" t="n">
        <v>0.1757143980282244</v>
      </c>
      <c r="EH3" s="2" t="n">
        <v>-0.05073675865583816</v>
      </c>
      <c r="EI3" s="2" t="n">
        <v>-0.03297967455924542</v>
      </c>
      <c r="EJ3" s="2" t="n">
        <v>-0.1750733011862472</v>
      </c>
      <c r="EK3" s="2" t="n">
        <v>0.07570333293318872</v>
      </c>
      <c r="EL3" s="2" t="n">
        <v>-0.1114587387579748</v>
      </c>
    </row>
    <row r="4">
      <c r="B4" s="7" t="inlineStr">
        <is>
          <t>size</t>
        </is>
      </c>
      <c r="C4" s="2" t="n">
        <v>-0.2656750545535825</v>
      </c>
      <c r="D4" s="2" t="n">
        <v>-0.2627458199038857</v>
      </c>
      <c r="E4" s="2" t="n">
        <v>-0.07869549603713817</v>
      </c>
      <c r="F4" s="2" t="n">
        <v>0.06570680546944886</v>
      </c>
      <c r="G4" s="2" t="n">
        <v>-0.05999972850477577</v>
      </c>
      <c r="H4" s="2" t="n">
        <v>-0.09078262856023821</v>
      </c>
      <c r="I4" s="2" t="n">
        <v>-0.02954345689308489</v>
      </c>
      <c r="J4" s="2" t="n">
        <v>0.06875609003945511</v>
      </c>
      <c r="K4" s="2" t="n">
        <v>-0.04543080507077145</v>
      </c>
      <c r="L4" s="2" t="n">
        <v>0.09234948513807956</v>
      </c>
      <c r="M4" s="2" t="n">
        <v>0.005533237339014188</v>
      </c>
      <c r="N4" s="2" t="n">
        <v>-0.2026295564870364</v>
      </c>
      <c r="O4" s="2" t="n">
        <v>-0.05543918888944303</v>
      </c>
      <c r="P4" s="2" t="n">
        <v>0.06301943776017541</v>
      </c>
      <c r="Q4" s="2" t="n">
        <v>-0.05112747054382899</v>
      </c>
      <c r="R4" s="2" t="n">
        <v>-0.002636926447431389</v>
      </c>
      <c r="S4" s="2" t="n">
        <v>0.1173704441530605</v>
      </c>
      <c r="T4" s="2" t="n">
        <v>0.02812105784625583</v>
      </c>
      <c r="U4" s="2" t="n">
        <v>0.02439969835868482</v>
      </c>
      <c r="V4" s="2" t="n">
        <v>0.0024693188818731</v>
      </c>
      <c r="W4" s="2" t="n">
        <v>-0.1293119914747935</v>
      </c>
      <c r="X4" s="2" t="n">
        <v>-0.0781835915677896</v>
      </c>
      <c r="Y4" s="2" t="n">
        <v>-0.01678906305548444</v>
      </c>
      <c r="Z4" s="2" t="n">
        <v>-0.02175587191442639</v>
      </c>
      <c r="AA4" s="2" t="n">
        <v>0.05606477179045394</v>
      </c>
      <c r="AB4" s="2" t="n">
        <v>-0.02615247786751675</v>
      </c>
      <c r="AC4" s="2" t="n">
        <v>-0.07054545068677198</v>
      </c>
      <c r="AD4" s="2" t="n">
        <v>-0.04605935898063749</v>
      </c>
      <c r="AE4" s="2" t="n">
        <v>0.1330240529511806</v>
      </c>
      <c r="AF4" s="2" t="n">
        <v>-0.08927775392931772</v>
      </c>
      <c r="AG4" s="2" t="n">
        <v>-0.05932075767614348</v>
      </c>
      <c r="AH4" s="2" t="n">
        <v>-0.05524805418175012</v>
      </c>
      <c r="AI4" s="2" t="n">
        <v>-0.034432890200783</v>
      </c>
      <c r="AJ4" s="2" t="n">
        <v>-0.001011820247094234</v>
      </c>
      <c r="AK4" s="2" t="n">
        <v>0.01008019446982307</v>
      </c>
      <c r="AL4" s="2" t="n">
        <v>-0.1198837103689446</v>
      </c>
      <c r="AM4" s="2" t="n">
        <v>-0.005213214281192986</v>
      </c>
      <c r="AN4" s="2" t="n">
        <v>-0.1083439053885159</v>
      </c>
      <c r="AO4" s="2" t="n">
        <v>-0.05836117579808246</v>
      </c>
      <c r="AP4" s="2" t="n">
        <v>0.01082965505750758</v>
      </c>
      <c r="AQ4" s="2" t="n">
        <v>0.009167803319330941</v>
      </c>
      <c r="AR4" s="2" t="n">
        <v>0.09471418238064963</v>
      </c>
      <c r="AS4" s="2" t="n">
        <v>-0.02440238522154198</v>
      </c>
      <c r="AT4" s="2" t="n">
        <v>0.002013202913338276</v>
      </c>
      <c r="AU4" s="2" t="n">
        <v>-0.167150584492061</v>
      </c>
      <c r="AV4" s="2" t="n">
        <v>0.0339722622946841</v>
      </c>
      <c r="AW4" s="2" t="n">
        <v>-0.01683693846043412</v>
      </c>
      <c r="AX4" s="2" t="n">
        <v>-0.03470644772607613</v>
      </c>
      <c r="AY4" s="2" t="n">
        <v>0.005183225308507238</v>
      </c>
      <c r="AZ4" s="2" t="n">
        <v>-0.1197365697081416</v>
      </c>
      <c r="BA4" s="2" t="n">
        <v>-0.135212728556015</v>
      </c>
      <c r="BB4" s="2" t="n">
        <v>0.0169819998602842</v>
      </c>
      <c r="BC4" s="2" t="n">
        <v>0.02307436792131005</v>
      </c>
      <c r="BD4" s="2" t="n">
        <v>-0.1199945402797801</v>
      </c>
      <c r="BE4" s="2" t="n">
        <v>0.1293284806358245</v>
      </c>
      <c r="BF4" s="2" t="n">
        <v>0.01670991495350807</v>
      </c>
      <c r="BG4" s="2" t="n">
        <v>-0.02230674739417764</v>
      </c>
      <c r="BH4" s="2" t="n">
        <v>0.0393030808797934</v>
      </c>
      <c r="BI4" s="2" t="n">
        <v>-0.1004888762680732</v>
      </c>
      <c r="BJ4" s="2" t="n">
        <v>-0.1019902758550493</v>
      </c>
      <c r="BK4" s="2" t="n">
        <v>0.0998756507103734</v>
      </c>
      <c r="BL4" s="2" t="n">
        <v>-0.03293403712858421</v>
      </c>
      <c r="BM4" s="2" t="n">
        <v>0.02628750028637086</v>
      </c>
      <c r="BN4" s="2" t="n">
        <v>0.1073454937217204</v>
      </c>
      <c r="BO4" s="2" t="n">
        <v>-0.02560633684172503</v>
      </c>
      <c r="BP4" s="2" t="n">
        <v>0.1224117716945187</v>
      </c>
      <c r="BQ4" s="2" t="n">
        <v>-0.04544017931556554</v>
      </c>
      <c r="BR4" s="2" t="n">
        <v>-0.07126897747906005</v>
      </c>
      <c r="BS4" s="2" t="n">
        <v>-0.06809885947396978</v>
      </c>
      <c r="BT4" s="2" t="n">
        <v>0.0922032818027993</v>
      </c>
      <c r="BU4" s="2" t="n">
        <v>0.0828996178761382</v>
      </c>
      <c r="BV4" s="2" t="n">
        <v>-0.04130112652813582</v>
      </c>
      <c r="BW4" s="2" t="n">
        <v>-0.09935118195409726</v>
      </c>
      <c r="BX4" s="2" t="n">
        <v>-0.03814488737155551</v>
      </c>
      <c r="BY4" s="2" t="n">
        <v>0.1124874209627638</v>
      </c>
      <c r="BZ4" s="2" t="n">
        <v>-0.03788028283020467</v>
      </c>
      <c r="CA4" s="2" t="n">
        <v>-0.0915420030925217</v>
      </c>
      <c r="CB4" s="2" t="n">
        <v>-0.1246325581241329</v>
      </c>
      <c r="CC4" s="2" t="n">
        <v>-0.06169994569774777</v>
      </c>
      <c r="CD4" s="2" t="n">
        <v>-0.07586837208210145</v>
      </c>
      <c r="CE4" s="2" t="n">
        <v>-0.2212893845706976</v>
      </c>
      <c r="CF4" s="2" t="n">
        <v>0.008675607818221753</v>
      </c>
      <c r="CG4" s="2" t="n">
        <v>0.03178626435156538</v>
      </c>
      <c r="CH4" s="2" t="n">
        <v>-0.03781411590076046</v>
      </c>
      <c r="CI4" s="2" t="n">
        <v>0.04954906842134235</v>
      </c>
      <c r="CJ4" s="2" t="n">
        <v>-0.01042967726944298</v>
      </c>
      <c r="CK4" s="2" t="n">
        <v>-0.08334434745288111</v>
      </c>
      <c r="CL4" s="2" t="n">
        <v>-0.05342211219977967</v>
      </c>
      <c r="CM4" s="2" t="n">
        <v>0.1903776108128175</v>
      </c>
      <c r="CN4" s="2" t="n">
        <v>0.05821782853119786</v>
      </c>
      <c r="CO4" s="2" t="n">
        <v>-0.1426665170202785</v>
      </c>
      <c r="CP4" s="2" t="n">
        <v>0.04177677869411998</v>
      </c>
      <c r="CQ4" s="2" t="n">
        <v>-0.1694477520064689</v>
      </c>
      <c r="CR4" s="2" t="n">
        <v>-0.08481024527417423</v>
      </c>
      <c r="CS4" s="2" t="n">
        <v>-0.03477086954240413</v>
      </c>
      <c r="CT4" s="2" t="n">
        <v>-0.1192969498033462</v>
      </c>
      <c r="CU4" s="2" t="n">
        <v>-0.01779517889847566</v>
      </c>
      <c r="CV4" s="2" t="n">
        <v>-0.01483412755555793</v>
      </c>
      <c r="CW4" s="2" t="n">
        <v>-0.04631906624987508</v>
      </c>
      <c r="CX4" s="2" t="n">
        <v>-0.0966346898904298</v>
      </c>
      <c r="CY4" s="2" t="n">
        <v>-0.07883438544026268</v>
      </c>
      <c r="CZ4" s="2" t="n">
        <v>-0.2125263535938974</v>
      </c>
      <c r="DA4" s="2" t="n">
        <v>-0.1136855216267028</v>
      </c>
      <c r="DB4" s="2" t="n">
        <v>-0.1831019046608461</v>
      </c>
      <c r="DC4" s="2" t="n">
        <v>-0.04249986490357154</v>
      </c>
      <c r="DD4" s="2" t="n">
        <v>0.02781759612607967</v>
      </c>
      <c r="DE4" s="2" t="n">
        <v>0.0686079372245596</v>
      </c>
      <c r="DF4" s="2" t="n">
        <v>-0.1330948615200948</v>
      </c>
      <c r="DG4" s="2" t="n">
        <v>0.2224978667426329</v>
      </c>
      <c r="DH4" s="2" t="n">
        <v>-0.1307587820817571</v>
      </c>
      <c r="DI4" s="2" t="n">
        <v>-0.1096918342912735</v>
      </c>
      <c r="DJ4" s="2" t="n">
        <v>-0.1104737212515987</v>
      </c>
      <c r="DK4" s="2" t="n">
        <v>0.08555539167056241</v>
      </c>
      <c r="DL4" s="2" t="n">
        <v>-0.03790276383640811</v>
      </c>
      <c r="DM4" s="2" t="n">
        <v>0.08355063475318764</v>
      </c>
      <c r="DN4" s="2" t="n">
        <v>-0.05506465427763139</v>
      </c>
      <c r="DO4" s="2" t="n">
        <v>-0.09140437614158992</v>
      </c>
      <c r="DP4" s="2" t="n">
        <v>-0.146357911807183</v>
      </c>
      <c r="DQ4" s="2" t="n">
        <v>0.07258440953863558</v>
      </c>
      <c r="DR4" s="2" t="n">
        <v>-0.03698298326026962</v>
      </c>
      <c r="DS4" s="2" t="n">
        <v>-0.158488727508035</v>
      </c>
      <c r="DT4" s="2" t="n">
        <v>-0.07673487083689336</v>
      </c>
      <c r="DU4" s="2" t="n">
        <v>0.1465232997706677</v>
      </c>
      <c r="DV4" s="2" t="n">
        <v>0.009214252855895786</v>
      </c>
      <c r="DW4" s="2" t="n">
        <v>-0.1280945312494688</v>
      </c>
      <c r="DX4" s="2" t="n">
        <v>-0.057788778278885</v>
      </c>
      <c r="DY4" s="2" t="n">
        <v>-0.1035307067347504</v>
      </c>
      <c r="DZ4" s="2" t="n">
        <v>-0.05324723416185118</v>
      </c>
      <c r="EA4" s="2" t="n">
        <v>-0.111011221175726</v>
      </c>
      <c r="EB4" s="2" t="n">
        <v>-0.05733704160739944</v>
      </c>
      <c r="EC4" s="2" t="n">
        <v>0.05316712685135794</v>
      </c>
      <c r="ED4" s="2" t="n">
        <v>0.05587100644599343</v>
      </c>
      <c r="EE4" s="2" t="n">
        <v>0.153358044597641</v>
      </c>
      <c r="EF4" s="2" t="n">
        <v>-0.1142313624752139</v>
      </c>
      <c r="EG4" s="2" t="n">
        <v>-0.04400561671271231</v>
      </c>
      <c r="EH4" s="2" t="n">
        <v>0.01754415156608846</v>
      </c>
      <c r="EI4" s="2" t="n">
        <v>0.08643077337083208</v>
      </c>
      <c r="EJ4" s="2" t="n">
        <v>0.1351905456750823</v>
      </c>
      <c r="EK4" s="2" t="n">
        <v>0.127498215218261</v>
      </c>
      <c r="EL4" s="2" t="n">
        <v>-0.03040312105676054</v>
      </c>
    </row>
    <row r="5">
      <c r="B5" s="1" t="inlineStr">
        <is>
          <t>mom</t>
        </is>
      </c>
      <c r="C5" s="2" t="n">
        <v>-0.02411496281258592</v>
      </c>
      <c r="D5" s="2" t="n">
        <v>0.1401006011155241</v>
      </c>
      <c r="E5" s="2" t="n">
        <v>-0.005482867745515809</v>
      </c>
      <c r="F5" s="2" t="n">
        <v>-0.04806796010279033</v>
      </c>
      <c r="G5" s="2" t="n">
        <v>0.09855649135431004</v>
      </c>
      <c r="H5" s="2" t="n">
        <v>0.004026539878753486</v>
      </c>
      <c r="I5" s="2" t="n">
        <v>-0.05439291723993744</v>
      </c>
      <c r="J5" s="2" t="n">
        <v>-0.0007846792299783835</v>
      </c>
      <c r="K5" s="2" t="n">
        <v>0.03198564951294816</v>
      </c>
      <c r="L5" s="2" t="n">
        <v>-0.005205308306441401</v>
      </c>
      <c r="M5" s="2" t="n">
        <v>0.08378517498459762</v>
      </c>
      <c r="N5" s="2" t="n">
        <v>-0.05691447764047074</v>
      </c>
      <c r="O5" s="2" t="n">
        <v>0.06851042024804405</v>
      </c>
      <c r="P5" s="2" t="n">
        <v>0.02860934649867067</v>
      </c>
      <c r="Q5" s="2" t="n">
        <v>0.06685382901936862</v>
      </c>
      <c r="R5" s="2" t="n">
        <v>-0.002201858603624411</v>
      </c>
      <c r="S5" s="2" t="n">
        <v>0.1343008906380988</v>
      </c>
      <c r="T5" s="2" t="n">
        <v>0.1309180760976566</v>
      </c>
      <c r="U5" s="2" t="n">
        <v>0.01313399141742123</v>
      </c>
      <c r="V5" s="2" t="n">
        <v>0.0261831641349142</v>
      </c>
      <c r="W5" s="2" t="n">
        <v>-0.09429742945052436</v>
      </c>
      <c r="X5" s="2" t="n">
        <v>-0.3013233906168951</v>
      </c>
      <c r="Y5" s="2" t="n">
        <v>0.1084289471208703</v>
      </c>
      <c r="Z5" s="2" t="n">
        <v>-0.1417449345756644</v>
      </c>
      <c r="AA5" s="2" t="n">
        <v>0.1170212362473879</v>
      </c>
      <c r="AB5" s="2" t="n">
        <v>-0.02218004433171675</v>
      </c>
      <c r="AC5" s="2" t="n">
        <v>-0.08646096117566673</v>
      </c>
      <c r="AD5" s="2" t="n">
        <v>0.02146487390086491</v>
      </c>
      <c r="AE5" s="2" t="n">
        <v>0.1542182366563178</v>
      </c>
      <c r="AF5" s="2" t="n">
        <v>-0.1464894476312215</v>
      </c>
      <c r="AG5" s="2" t="n">
        <v>-0.04701555220544954</v>
      </c>
      <c r="AH5" s="2" t="n">
        <v>0.01969019876271335</v>
      </c>
      <c r="AI5" s="2" t="n">
        <v>0.03930911618365145</v>
      </c>
      <c r="AJ5" s="2" t="n">
        <v>-0.02662352474820744</v>
      </c>
      <c r="AK5" s="2" t="n">
        <v>-0.02512510166333047</v>
      </c>
      <c r="AL5" s="2" t="n">
        <v>-0.1034439718410261</v>
      </c>
      <c r="AM5" s="2" t="n">
        <v>0.06190071964952001</v>
      </c>
      <c r="AN5" s="2" t="n">
        <v>0.0767310552048704</v>
      </c>
      <c r="AO5" s="2" t="n">
        <v>0.09898272279189053</v>
      </c>
      <c r="AP5" s="2" t="n">
        <v>0.05407669316831668</v>
      </c>
      <c r="AQ5" s="2" t="n">
        <v>-0.03025189200317852</v>
      </c>
      <c r="AR5" s="2" t="n">
        <v>0.0004491059924676963</v>
      </c>
      <c r="AS5" s="2" t="n">
        <v>0.07019426221507488</v>
      </c>
      <c r="AT5" s="2" t="n">
        <v>0.1742928217602646</v>
      </c>
      <c r="AU5" s="2" t="n">
        <v>-0.08138566584737404</v>
      </c>
      <c r="AV5" s="2" t="n">
        <v>0.1507561249926345</v>
      </c>
      <c r="AW5" s="2" t="n">
        <v>0.05740171787080144</v>
      </c>
      <c r="AX5" s="2" t="n">
        <v>-0.1569228545217144</v>
      </c>
      <c r="AY5" s="2" t="n">
        <v>0.04709541199491345</v>
      </c>
      <c r="AZ5" s="2" t="n">
        <v>-0.05711798822924283</v>
      </c>
      <c r="BA5" s="2" t="n">
        <v>-0.02241143518576399</v>
      </c>
      <c r="BB5" s="2" t="n">
        <v>-0.1527462344710299</v>
      </c>
      <c r="BC5" s="2" t="n">
        <v>0.02296819319045681</v>
      </c>
      <c r="BD5" s="2" t="n">
        <v>0.001041266581327727</v>
      </c>
      <c r="BE5" s="2" t="n">
        <v>-0.1331070280710122</v>
      </c>
      <c r="BF5" s="2" t="n">
        <v>-0.196109681276546</v>
      </c>
      <c r="BG5" s="2" t="n">
        <v>-0.1888130917570429</v>
      </c>
      <c r="BH5" s="2" t="n">
        <v>-0.1007170444134215</v>
      </c>
      <c r="BI5" s="2" t="n">
        <v>-0.1257812167423985</v>
      </c>
      <c r="BJ5" s="2" t="n">
        <v>-0.01094669670587667</v>
      </c>
      <c r="BK5" s="2" t="n">
        <v>-0.06154892306393213</v>
      </c>
      <c r="BL5" s="2" t="n">
        <v>-0.1504585816637161</v>
      </c>
      <c r="BM5" s="2" t="n">
        <v>0.1276027449634859</v>
      </c>
      <c r="BN5" s="2" t="n">
        <v>-0.01786680267199415</v>
      </c>
      <c r="BO5" s="2" t="n">
        <v>-0.02532395528347867</v>
      </c>
      <c r="BP5" s="2" t="n">
        <v>0.04005123211669912</v>
      </c>
      <c r="BQ5" s="2" t="n">
        <v>-0.04226260637766457</v>
      </c>
      <c r="BR5" s="2" t="n">
        <v>0.1788821504489081</v>
      </c>
      <c r="BS5" s="2" t="n">
        <v>-0.09912904509256</v>
      </c>
      <c r="BT5" s="2" t="n">
        <v>0.04056001213589545</v>
      </c>
      <c r="BU5" s="2" t="n">
        <v>0.06324185611388214</v>
      </c>
      <c r="BV5" s="2" t="n">
        <v>-0.09618190875889202</v>
      </c>
      <c r="BW5" s="2" t="n">
        <v>-0.1360628544407668</v>
      </c>
      <c r="BX5" s="2" t="n">
        <v>-0.005021931394244135</v>
      </c>
      <c r="BY5" s="2" t="n">
        <v>0.1123398909480443</v>
      </c>
      <c r="BZ5" s="2" t="n">
        <v>0.03422308838455732</v>
      </c>
      <c r="CA5" s="2" t="n">
        <v>0.07005120919593465</v>
      </c>
      <c r="CB5" s="2" t="n">
        <v>0.02366288265653893</v>
      </c>
      <c r="CC5" s="2" t="n">
        <v>0.09393818425593366</v>
      </c>
      <c r="CD5" s="2" t="n">
        <v>-0.02991396747850103</v>
      </c>
      <c r="CE5" s="2" t="n">
        <v>-0.106852361052127</v>
      </c>
      <c r="CF5" s="2" t="n">
        <v>-0.05858335180986803</v>
      </c>
      <c r="CG5" s="2" t="n">
        <v>-0.1185641035857604</v>
      </c>
      <c r="CH5" s="2" t="n">
        <v>-0.04781546500517612</v>
      </c>
      <c r="CI5" s="2" t="n">
        <v>-0.06156111634996018</v>
      </c>
      <c r="CJ5" s="2" t="n">
        <v>0.2274194096013818</v>
      </c>
      <c r="CK5" s="2" t="n">
        <v>0.1332387999603288</v>
      </c>
      <c r="CL5" s="2" t="n">
        <v>0.04026151400927732</v>
      </c>
      <c r="CM5" s="2" t="n">
        <v>-0.07389937378976875</v>
      </c>
      <c r="CN5" s="2" t="n">
        <v>0.2468945923776265</v>
      </c>
      <c r="CO5" s="2" t="n">
        <v>-0.1044408366251643</v>
      </c>
      <c r="CP5" s="2" t="n">
        <v>-0.01700849434860379</v>
      </c>
      <c r="CQ5" s="2" t="n">
        <v>-0.2084347050376574</v>
      </c>
      <c r="CR5" s="2" t="n">
        <v>-0.08395398399164998</v>
      </c>
      <c r="CS5" s="2" t="n">
        <v>0.08662127972009245</v>
      </c>
      <c r="CT5" s="2" t="n">
        <v>-0.02628500997819886</v>
      </c>
      <c r="CU5" s="2" t="n">
        <v>-0.2998148383825389</v>
      </c>
      <c r="CV5" s="2" t="n">
        <v>0.2403000720526214</v>
      </c>
      <c r="CW5" s="2" t="n">
        <v>0.09157936019956481</v>
      </c>
      <c r="CX5" s="2" t="n">
        <v>-0.09916629584538951</v>
      </c>
      <c r="CY5" s="2" t="n">
        <v>0.1076617186363489</v>
      </c>
      <c r="CZ5" s="2" t="n">
        <v>-0.05424519432924079</v>
      </c>
      <c r="DA5" s="2" t="n">
        <v>0.08253218951588349</v>
      </c>
      <c r="DB5" s="2" t="n">
        <v>0.1365100712702266</v>
      </c>
      <c r="DC5" s="2" t="n">
        <v>-0.01392539596788261</v>
      </c>
      <c r="DD5" s="2" t="n">
        <v>-0.1397956392190878</v>
      </c>
      <c r="DE5" s="2" t="n">
        <v>-0.09411436983317201</v>
      </c>
      <c r="DF5" s="2" t="n">
        <v>0.05282996590282858</v>
      </c>
      <c r="DG5" s="2" t="n">
        <v>-0.1992862571378114</v>
      </c>
      <c r="DH5" s="2" t="n">
        <v>0.1021391395115681</v>
      </c>
      <c r="DI5" s="2" t="n">
        <v>0.0377727977358518</v>
      </c>
      <c r="DJ5" s="2" t="n">
        <v>0.06544799413623222</v>
      </c>
      <c r="DK5" s="2" t="n">
        <v>0.05965462237348825</v>
      </c>
      <c r="DL5" s="2" t="n">
        <v>0.09533557357600168</v>
      </c>
      <c r="DM5" s="2" t="n">
        <v>0.04048591200281364</v>
      </c>
      <c r="DN5" s="2" t="n">
        <v>0.00349399531832813</v>
      </c>
      <c r="DO5" s="2" t="n">
        <v>-0.1061084440817472</v>
      </c>
      <c r="DP5" s="2" t="n">
        <v>-0.2447918929121105</v>
      </c>
      <c r="DQ5" s="2" t="n">
        <v>0.2138369620719559</v>
      </c>
      <c r="DR5" s="2" t="n">
        <v>0.01088966551319623</v>
      </c>
      <c r="DS5" s="2" t="n">
        <v>0.1341193598178645</v>
      </c>
      <c r="DT5" s="2" t="n">
        <v>0.1241719078411765</v>
      </c>
      <c r="DU5" s="2" t="n">
        <v>0.07809588866260717</v>
      </c>
      <c r="DV5" s="2" t="n">
        <v>-0.05391542784328272</v>
      </c>
      <c r="DW5" s="2" t="n">
        <v>-0.02382825195586874</v>
      </c>
      <c r="DX5" s="2" t="n">
        <v>0.06651473448451285</v>
      </c>
      <c r="DY5" s="2" t="n">
        <v>0.01936130695330137</v>
      </c>
      <c r="DZ5" s="2" t="n">
        <v>0.01875000754016492</v>
      </c>
      <c r="EA5" s="2" t="n">
        <v>-0.2835433438401144</v>
      </c>
      <c r="EB5" s="2" t="n">
        <v>-0.1338924059805885</v>
      </c>
      <c r="EC5" s="2" t="n">
        <v>-0.02271442680296701</v>
      </c>
      <c r="ED5" s="2" t="n">
        <v>0.04460704215745102</v>
      </c>
      <c r="EE5" s="2" t="n">
        <v>-0.1290610025658677</v>
      </c>
      <c r="EF5" s="2" t="n">
        <v>-0.06574255153796704</v>
      </c>
      <c r="EG5" s="2" t="n">
        <v>-0.117222832850104</v>
      </c>
      <c r="EH5" s="2" t="n">
        <v>-0.02654749935955849</v>
      </c>
      <c r="EI5" s="2" t="n">
        <v>-0.03301555615734115</v>
      </c>
      <c r="EJ5" s="2" t="n">
        <v>0.04597717262109129</v>
      </c>
      <c r="EK5" s="2" t="n">
        <v>-0.06923553380627337</v>
      </c>
      <c r="EL5" s="2" t="n">
        <v>0.01468433610599224</v>
      </c>
    </row>
    <row r="6">
      <c r="A6" s="13" t="inlineStr">
        <is>
          <t>絕對值最大</t>
        </is>
      </c>
      <c r="B6" s="14" t="n"/>
      <c r="C6" s="2">
        <f t="array" ref="C6">MATCH(MAX(ABS(C3:C5)), ABS(C3:C5), 0)</f>
        <v/>
      </c>
      <c r="D6" s="2">
        <f t="array" ref="D6">MATCH(MAX(ABS(D3:D5)), ABS(D3:D5), 0)</f>
        <v/>
      </c>
      <c r="E6" s="2">
        <f t="array" ref="E6">MATCH(MAX(ABS(E3:E5)), ABS(E3:E5), 0)</f>
        <v/>
      </c>
      <c r="F6" s="2">
        <f t="array" ref="F6">MATCH(MAX(ABS(F3:F5)), ABS(F3:F5), 0)</f>
        <v/>
      </c>
      <c r="G6" s="2">
        <f t="array" ref="G6">MATCH(MAX(ABS(G3:G5)), ABS(G3:G5), 0)</f>
        <v/>
      </c>
      <c r="H6" s="2">
        <f t="array" ref="H6">MATCH(MAX(ABS(H3:H5)), ABS(H3:H5), 0)</f>
        <v/>
      </c>
      <c r="I6" s="2">
        <f t="array" ref="I6">MATCH(MAX(ABS(I3:I5)), ABS(I3:I5), 0)</f>
        <v/>
      </c>
      <c r="J6" s="2">
        <f t="array" ref="J6">MATCH(MAX(ABS(J3:J5)), ABS(J3:J5), 0)</f>
        <v/>
      </c>
      <c r="K6" s="2">
        <f t="array" ref="K6">MATCH(MAX(ABS(K3:K5)), ABS(K3:K5), 0)</f>
        <v/>
      </c>
      <c r="L6" s="2">
        <f t="array" ref="L6">MATCH(MAX(ABS(L3:L5)), ABS(L3:L5), 0)</f>
        <v/>
      </c>
      <c r="M6" s="2">
        <f t="array" ref="M6">MATCH(MAX(ABS(M3:M5)), ABS(M3:M5), 0)</f>
        <v/>
      </c>
      <c r="N6" s="2">
        <f t="array" ref="N6">MATCH(MAX(ABS(N3:N5)), ABS(N3:N5), 0)</f>
        <v/>
      </c>
      <c r="O6" s="2">
        <f t="array" ref="O6">MATCH(MAX(ABS(O3:O5)), ABS(O3:O5), 0)</f>
        <v/>
      </c>
      <c r="P6" s="2">
        <f t="array" ref="P6">MATCH(MAX(ABS(P3:P5)), ABS(P3:P5), 0)</f>
        <v/>
      </c>
      <c r="Q6" s="2">
        <f t="array" ref="Q6">MATCH(MAX(ABS(Q3:Q5)), ABS(Q3:Q5), 0)</f>
        <v/>
      </c>
      <c r="R6" s="2">
        <f t="array" ref="R6">MATCH(MAX(ABS(R3:R5)), ABS(R3:R5), 0)</f>
        <v/>
      </c>
      <c r="S6" s="2">
        <f t="array" ref="S6">MATCH(MAX(ABS(S3:S5)), ABS(S3:S5), 0)</f>
        <v/>
      </c>
      <c r="T6" s="2">
        <f t="array" ref="T6">MATCH(MAX(ABS(T3:T5)), ABS(T3:T5), 0)</f>
        <v/>
      </c>
      <c r="U6" s="2">
        <f t="array" ref="U6">MATCH(MAX(ABS(U3:U5)), ABS(U3:U5), 0)</f>
        <v/>
      </c>
      <c r="V6" s="2">
        <f t="array" ref="V6">MATCH(MAX(ABS(V3:V5)), ABS(V3:V5), 0)</f>
        <v/>
      </c>
      <c r="W6" s="2">
        <f t="array" ref="W6">MATCH(MAX(ABS(W3:W5)), ABS(W3:W5), 0)</f>
        <v/>
      </c>
      <c r="X6" s="2">
        <f t="array" ref="X6">MATCH(MAX(ABS(X3:X5)), ABS(X3:X5), 0)</f>
        <v/>
      </c>
      <c r="Y6" s="2">
        <f t="array" ref="Y6">MATCH(MAX(ABS(Y3:Y5)), ABS(Y3:Y5), 0)</f>
        <v/>
      </c>
      <c r="Z6" s="2">
        <f t="array" ref="Z6">MATCH(MAX(ABS(Z3:Z5)), ABS(Z3:Z5), 0)</f>
        <v/>
      </c>
      <c r="AA6" s="2">
        <f t="array" ref="AA6">MATCH(MAX(ABS(AA3:AA5)), ABS(AA3:AA5), 0)</f>
        <v/>
      </c>
      <c r="AB6" s="2">
        <f t="array" ref="AB6">MATCH(MAX(ABS(AB3:AB5)), ABS(AB3:AB5), 0)</f>
        <v/>
      </c>
      <c r="AC6" s="2">
        <f t="array" ref="AC6">MATCH(MAX(ABS(AC3:AC5)), ABS(AC3:AC5), 0)</f>
        <v/>
      </c>
      <c r="AD6" s="2">
        <f t="array" ref="AD6">MATCH(MAX(ABS(AD3:AD5)), ABS(AD3:AD5), 0)</f>
        <v/>
      </c>
      <c r="AE6" s="2">
        <f t="array" ref="AE6">MATCH(MAX(ABS(AE3:AE5)), ABS(AE3:AE5), 0)</f>
        <v/>
      </c>
      <c r="AF6" s="2">
        <f t="array" ref="AF6">MATCH(MAX(ABS(AF3:AF5)), ABS(AF3:AF5), 0)</f>
        <v/>
      </c>
      <c r="AG6" s="2">
        <f t="array" ref="AG6">MATCH(MAX(ABS(AG3:AG5)), ABS(AG3:AG5), 0)</f>
        <v/>
      </c>
      <c r="AH6" s="2">
        <f t="array" ref="AH6">MATCH(MAX(ABS(AH3:AH5)), ABS(AH3:AH5), 0)</f>
        <v/>
      </c>
      <c r="AI6" s="2">
        <f t="array" ref="AI6">MATCH(MAX(ABS(AI3:AI5)), ABS(AI3:AI5), 0)</f>
        <v/>
      </c>
      <c r="AJ6" s="2">
        <f t="array" ref="AJ6">MATCH(MAX(ABS(AJ3:AJ5)), ABS(AJ3:AJ5), 0)</f>
        <v/>
      </c>
      <c r="AK6" s="2">
        <f t="array" ref="AK6">MATCH(MAX(ABS(AK3:AK5)), ABS(AK3:AK5), 0)</f>
        <v/>
      </c>
      <c r="AL6" s="2">
        <f t="array" ref="AL6">MATCH(MAX(ABS(AL3:AL5)), ABS(AL3:AL5), 0)</f>
        <v/>
      </c>
      <c r="AM6" s="2">
        <f t="array" ref="AM6">MATCH(MAX(ABS(AM3:AM5)), ABS(AM3:AM5), 0)</f>
        <v/>
      </c>
      <c r="AN6" s="2">
        <f t="array" ref="AN6">MATCH(MAX(ABS(AN3:AN5)), ABS(AN3:AN5), 0)</f>
        <v/>
      </c>
      <c r="AO6" s="2">
        <f t="array" ref="AO6">MATCH(MAX(ABS(AO3:AO5)), ABS(AO3:AO5), 0)</f>
        <v/>
      </c>
      <c r="AP6" s="2">
        <f t="array" ref="AP6">MATCH(MAX(ABS(AP3:AP5)), ABS(AP3:AP5), 0)</f>
        <v/>
      </c>
      <c r="AQ6" s="2">
        <f t="array" ref="AQ6">MATCH(MAX(ABS(AQ3:AQ5)), ABS(AQ3:AQ5), 0)</f>
        <v/>
      </c>
      <c r="AR6" s="2">
        <f t="array" ref="AR6">MATCH(MAX(ABS(AR3:AR5)), ABS(AR3:AR5), 0)</f>
        <v/>
      </c>
      <c r="AS6" s="2">
        <f t="array" ref="AS6">MATCH(MAX(ABS(AS3:AS5)), ABS(AS3:AS5), 0)</f>
        <v/>
      </c>
      <c r="AT6" s="2">
        <f t="array" ref="AT6">MATCH(MAX(ABS(AT3:AT5)), ABS(AT3:AT5), 0)</f>
        <v/>
      </c>
      <c r="AU6" s="2">
        <f t="array" ref="AU6">MATCH(MAX(ABS(AU3:AU5)), ABS(AU3:AU5), 0)</f>
        <v/>
      </c>
      <c r="AV6" s="2">
        <f t="array" ref="AV6">MATCH(MAX(ABS(AV3:AV5)), ABS(AV3:AV5), 0)</f>
        <v/>
      </c>
      <c r="AW6" s="2">
        <f t="array" ref="AW6">MATCH(MAX(ABS(AW3:AW5)), ABS(AW3:AW5), 0)</f>
        <v/>
      </c>
      <c r="AX6" s="2">
        <f t="array" ref="AX6">MATCH(MAX(ABS(AX3:AX5)), ABS(AX3:AX5), 0)</f>
        <v/>
      </c>
      <c r="AY6" s="2">
        <f t="array" ref="AY6">MATCH(MAX(ABS(AY3:AY5)), ABS(AY3:AY5), 0)</f>
        <v/>
      </c>
      <c r="AZ6" s="2">
        <f t="array" ref="AZ6">MATCH(MAX(ABS(AZ3:AZ5)), ABS(AZ3:AZ5), 0)</f>
        <v/>
      </c>
      <c r="BA6" s="2">
        <f t="array" ref="BA6">MATCH(MAX(ABS(BA3:BA5)), ABS(BA3:BA5), 0)</f>
        <v/>
      </c>
      <c r="BB6" s="2">
        <f t="array" ref="BB6">MATCH(MAX(ABS(BB3:BB5)), ABS(BB3:BB5), 0)</f>
        <v/>
      </c>
      <c r="BC6" s="2">
        <f t="array" ref="BC6">MATCH(MAX(ABS(BC3:BC5)), ABS(BC3:BC5), 0)</f>
        <v/>
      </c>
      <c r="BD6" s="2">
        <f t="array" ref="BD6">MATCH(MAX(ABS(BD3:BD5)), ABS(BD3:BD5), 0)</f>
        <v/>
      </c>
      <c r="BE6" s="2">
        <f t="array" ref="BE6">MATCH(MAX(ABS(BE3:BE5)), ABS(BE3:BE5), 0)</f>
        <v/>
      </c>
      <c r="BF6" s="2">
        <f t="array" ref="BF6">MATCH(MAX(ABS(BF3:BF5)), ABS(BF3:BF5), 0)</f>
        <v/>
      </c>
      <c r="BG6" s="2">
        <f t="array" ref="BG6">MATCH(MAX(ABS(BG3:BG5)), ABS(BG3:BG5), 0)</f>
        <v/>
      </c>
      <c r="BH6" s="2">
        <f t="array" ref="BH6">MATCH(MAX(ABS(BH3:BH5)), ABS(BH3:BH5), 0)</f>
        <v/>
      </c>
      <c r="BI6" s="2">
        <f t="array" ref="BI6">MATCH(MAX(ABS(BI3:BI5)), ABS(BI3:BI5), 0)</f>
        <v/>
      </c>
      <c r="BJ6" s="2">
        <f t="array" ref="BJ6">MATCH(MAX(ABS(BJ3:BJ5)), ABS(BJ3:BJ5), 0)</f>
        <v/>
      </c>
      <c r="BK6" s="2">
        <f t="array" ref="BK6">MATCH(MAX(ABS(BK3:BK5)), ABS(BK3:BK5), 0)</f>
        <v/>
      </c>
      <c r="BL6" s="2">
        <f t="array" ref="BL6">MATCH(MAX(ABS(BL3:BL5)), ABS(BL3:BL5), 0)</f>
        <v/>
      </c>
      <c r="BM6" s="2">
        <f t="array" ref="BM6">MATCH(MAX(ABS(BM3:BM5)), ABS(BM3:BM5), 0)</f>
        <v/>
      </c>
      <c r="BN6" s="2">
        <f t="array" ref="BN6">MATCH(MAX(ABS(BN3:BN5)), ABS(BN3:BN5), 0)</f>
        <v/>
      </c>
      <c r="BO6" s="2">
        <f t="array" ref="BO6">MATCH(MAX(ABS(BO3:BO5)), ABS(BO3:BO5), 0)</f>
        <v/>
      </c>
      <c r="BP6" s="2">
        <f t="array" ref="BP6">MATCH(MAX(ABS(BP3:BP5)), ABS(BP3:BP5), 0)</f>
        <v/>
      </c>
      <c r="BQ6" s="2">
        <f t="array" ref="BQ6">MATCH(MAX(ABS(BQ3:BQ5)), ABS(BQ3:BQ5), 0)</f>
        <v/>
      </c>
      <c r="BR6" s="2">
        <f t="array" ref="BR6">MATCH(MAX(ABS(BR3:BR5)), ABS(BR3:BR5), 0)</f>
        <v/>
      </c>
      <c r="BS6" s="2">
        <f t="array" ref="BS6">MATCH(MAX(ABS(BS3:BS5)), ABS(BS3:BS5), 0)</f>
        <v/>
      </c>
      <c r="BT6" s="2">
        <f t="array" ref="BT6">MATCH(MAX(ABS(BT3:BT5)), ABS(BT3:BT5), 0)</f>
        <v/>
      </c>
      <c r="BU6" s="2">
        <f t="array" ref="BU6">MATCH(MAX(ABS(BU3:BU5)), ABS(BU3:BU5), 0)</f>
        <v/>
      </c>
      <c r="BV6" s="2">
        <f t="array" ref="BV6">MATCH(MAX(ABS(BV3:BV5)), ABS(BV3:BV5), 0)</f>
        <v/>
      </c>
      <c r="BW6" s="2">
        <f t="array" ref="BW6">MATCH(MAX(ABS(BW3:BW5)), ABS(BW3:BW5), 0)</f>
        <v/>
      </c>
      <c r="BX6" s="2">
        <f t="array" ref="BX6">MATCH(MAX(ABS(BX3:BX5)), ABS(BX3:BX5), 0)</f>
        <v/>
      </c>
      <c r="BY6" s="2">
        <f t="array" ref="BY6">MATCH(MAX(ABS(BY3:BY5)), ABS(BY3:BY5), 0)</f>
        <v/>
      </c>
      <c r="BZ6" s="2">
        <f t="array" ref="BZ6">MATCH(MAX(ABS(BZ3:BZ5)), ABS(BZ3:BZ5), 0)</f>
        <v/>
      </c>
      <c r="CA6" s="2">
        <f t="array" ref="CA6">MATCH(MAX(ABS(CA3:CA5)), ABS(CA3:CA5), 0)</f>
        <v/>
      </c>
      <c r="CB6" s="2">
        <f t="array" ref="CB6">MATCH(MAX(ABS(CB3:CB5)), ABS(CB3:CB5), 0)</f>
        <v/>
      </c>
      <c r="CC6" s="2">
        <f t="array" ref="CC6">MATCH(MAX(ABS(CC3:CC5)), ABS(CC3:CC5), 0)</f>
        <v/>
      </c>
      <c r="CD6" s="2">
        <f t="array" ref="CD6">MATCH(MAX(ABS(CD3:CD5)), ABS(CD3:CD5), 0)</f>
        <v/>
      </c>
      <c r="CE6" s="2">
        <f t="array" ref="CE6">MATCH(MAX(ABS(CE3:CE5)), ABS(CE3:CE5), 0)</f>
        <v/>
      </c>
      <c r="CF6" s="2">
        <f t="array" ref="CF6">MATCH(MAX(ABS(CF3:CF5)), ABS(CF3:CF5), 0)</f>
        <v/>
      </c>
      <c r="CG6" s="2">
        <f t="array" ref="CG6">MATCH(MAX(ABS(CG3:CG5)), ABS(CG3:CG5), 0)</f>
        <v/>
      </c>
      <c r="CH6" s="2">
        <f t="array" ref="CH6">MATCH(MAX(ABS(CH3:CH5)), ABS(CH3:CH5), 0)</f>
        <v/>
      </c>
      <c r="CI6" s="2">
        <f t="array" ref="CI6">MATCH(MAX(ABS(CI3:CI5)), ABS(CI3:CI5), 0)</f>
        <v/>
      </c>
      <c r="CJ6" s="2">
        <f t="array" ref="CJ6">MATCH(MAX(ABS(CJ3:CJ5)), ABS(CJ3:CJ5), 0)</f>
        <v/>
      </c>
      <c r="CK6" s="2">
        <f t="array" ref="CK6">MATCH(MAX(ABS(CK3:CK5)), ABS(CK3:CK5), 0)</f>
        <v/>
      </c>
      <c r="CL6" s="2">
        <f t="array" ref="CL6">MATCH(MAX(ABS(CL3:CL5)), ABS(CL3:CL5), 0)</f>
        <v/>
      </c>
      <c r="CM6" s="2">
        <f t="array" ref="CM6">MATCH(MAX(ABS(CM3:CM5)), ABS(CM3:CM5), 0)</f>
        <v/>
      </c>
      <c r="CN6" s="2">
        <f t="array" ref="CN6">MATCH(MAX(ABS(CN3:CN5)), ABS(CN3:CN5), 0)</f>
        <v/>
      </c>
      <c r="CO6" s="2">
        <f t="array" ref="CO6">MATCH(MAX(ABS(CO3:CO5)), ABS(CO3:CO5), 0)</f>
        <v/>
      </c>
      <c r="CP6" s="2">
        <f t="array" ref="CP6">MATCH(MAX(ABS(CP3:CP5)), ABS(CP3:CP5), 0)</f>
        <v/>
      </c>
      <c r="CQ6" s="2">
        <f t="array" ref="CQ6">MATCH(MAX(ABS(CQ3:CQ5)), ABS(CQ3:CQ5), 0)</f>
        <v/>
      </c>
      <c r="CR6" s="2">
        <f t="array" ref="CR6">MATCH(MAX(ABS(CR3:CR5)), ABS(CR3:CR5), 0)</f>
        <v/>
      </c>
      <c r="CS6" s="2">
        <f t="array" ref="CS6">MATCH(MAX(ABS(CS3:CS5)), ABS(CS3:CS5), 0)</f>
        <v/>
      </c>
      <c r="CT6" s="2">
        <f t="array" ref="CT6">MATCH(MAX(ABS(CT3:CT5)), ABS(CT3:CT5), 0)</f>
        <v/>
      </c>
      <c r="CU6" s="2">
        <f t="array" ref="CU6">MATCH(MAX(ABS(CU3:CU5)), ABS(CU3:CU5), 0)</f>
        <v/>
      </c>
      <c r="CV6" s="2">
        <f t="array" ref="CV6">MATCH(MAX(ABS(CV3:CV5)), ABS(CV3:CV5), 0)</f>
        <v/>
      </c>
      <c r="CW6" s="2">
        <f t="array" ref="CW6">MATCH(MAX(ABS(CW3:CW5)), ABS(CW3:CW5), 0)</f>
        <v/>
      </c>
      <c r="CX6" s="2">
        <f t="array" ref="CX6">MATCH(MAX(ABS(CX3:CX5)), ABS(CX3:CX5), 0)</f>
        <v/>
      </c>
      <c r="CY6" s="2">
        <f t="array" ref="CY6">MATCH(MAX(ABS(CY3:CY5)), ABS(CY3:CY5), 0)</f>
        <v/>
      </c>
      <c r="CZ6" s="2">
        <f t="array" ref="CZ6">MATCH(MAX(ABS(CZ3:CZ5)), ABS(CZ3:CZ5), 0)</f>
        <v/>
      </c>
      <c r="DA6" s="2">
        <f t="array" ref="DA6">MATCH(MAX(ABS(DA3:DA5)), ABS(DA3:DA5), 0)</f>
        <v/>
      </c>
      <c r="DB6" s="2">
        <f t="array" ref="DB6">MATCH(MAX(ABS(DB3:DB5)), ABS(DB3:DB5), 0)</f>
        <v/>
      </c>
      <c r="DC6" s="2">
        <f t="array" ref="DC6">MATCH(MAX(ABS(DC3:DC5)), ABS(DC3:DC5), 0)</f>
        <v/>
      </c>
      <c r="DD6" s="2">
        <f t="array" ref="DD6">MATCH(MAX(ABS(DD3:DD5)), ABS(DD3:DD5), 0)</f>
        <v/>
      </c>
      <c r="DE6" s="2">
        <f t="array" ref="DE6">MATCH(MAX(ABS(DE3:DE5)), ABS(DE3:DE5), 0)</f>
        <v/>
      </c>
      <c r="DF6" s="2">
        <f t="array" ref="DF6">MATCH(MAX(ABS(DF3:DF5)), ABS(DF3:DF5), 0)</f>
        <v/>
      </c>
      <c r="DG6" s="2">
        <f t="array" ref="DG6">MATCH(MAX(ABS(DG3:DG5)), ABS(DG3:DG5), 0)</f>
        <v/>
      </c>
      <c r="DH6" s="2">
        <f t="array" ref="DH6">MATCH(MAX(ABS(DH3:DH5)), ABS(DH3:DH5), 0)</f>
        <v/>
      </c>
      <c r="DI6" s="2">
        <f t="array" ref="DI6">MATCH(MAX(ABS(DI3:DI5)), ABS(DI3:DI5), 0)</f>
        <v/>
      </c>
      <c r="DJ6" s="2">
        <f t="array" ref="DJ6">MATCH(MAX(ABS(DJ3:DJ5)), ABS(DJ3:DJ5), 0)</f>
        <v/>
      </c>
      <c r="DK6" s="2">
        <f t="array" ref="DK6">MATCH(MAX(ABS(DK3:DK5)), ABS(DK3:DK5), 0)</f>
        <v/>
      </c>
      <c r="DL6" s="2">
        <f t="array" ref="DL6">MATCH(MAX(ABS(DL3:DL5)), ABS(DL3:DL5), 0)</f>
        <v/>
      </c>
      <c r="DM6" s="2">
        <f t="array" ref="DM6">MATCH(MAX(ABS(DM3:DM5)), ABS(DM3:DM5), 0)</f>
        <v/>
      </c>
      <c r="DN6" s="2">
        <f t="array" ref="DN6">MATCH(MAX(ABS(DN3:DN5)), ABS(DN3:DN5), 0)</f>
        <v/>
      </c>
      <c r="DO6" s="2">
        <f t="array" ref="DO6">MATCH(MAX(ABS(DO3:DO5)), ABS(DO3:DO5), 0)</f>
        <v/>
      </c>
      <c r="DP6" s="2">
        <f t="array" ref="DP6">MATCH(MAX(ABS(DP3:DP5)), ABS(DP3:DP5), 0)</f>
        <v/>
      </c>
      <c r="DQ6" s="2">
        <f t="array" ref="DQ6">MATCH(MAX(ABS(DQ3:DQ5)), ABS(DQ3:DQ5), 0)</f>
        <v/>
      </c>
      <c r="DR6" s="2">
        <f t="array" ref="DR6">MATCH(MAX(ABS(DR3:DR5)), ABS(DR3:DR5), 0)</f>
        <v/>
      </c>
      <c r="DS6" s="2">
        <f t="array" ref="DS6">MATCH(MAX(ABS(DS3:DS5)), ABS(DS3:DS5), 0)</f>
        <v/>
      </c>
      <c r="DT6" s="2">
        <f t="array" ref="DT6">MATCH(MAX(ABS(DT3:DT5)), ABS(DT3:DT5), 0)</f>
        <v/>
      </c>
      <c r="DU6" s="2">
        <f t="array" ref="DU6">MATCH(MAX(ABS(DU3:DU5)), ABS(DU3:DU5), 0)</f>
        <v/>
      </c>
      <c r="DV6" s="2">
        <f t="array" ref="DV6">MATCH(MAX(ABS(DV3:DV5)), ABS(DV3:DV5), 0)</f>
        <v/>
      </c>
      <c r="DW6" s="2">
        <f t="array" ref="DW6">MATCH(MAX(ABS(DW3:DW5)), ABS(DW3:DW5), 0)</f>
        <v/>
      </c>
      <c r="DX6" s="2">
        <f t="array" ref="DX6">MATCH(MAX(ABS(DX3:DX5)), ABS(DX3:DX5), 0)</f>
        <v/>
      </c>
      <c r="DY6" s="2">
        <f t="array" ref="DY6">MATCH(MAX(ABS(DY3:DY5)), ABS(DY3:DY5), 0)</f>
        <v/>
      </c>
      <c r="DZ6" s="2">
        <f t="array" ref="DZ6">MATCH(MAX(ABS(DZ3:DZ5)), ABS(DZ3:DZ5), 0)</f>
        <v/>
      </c>
      <c r="EA6" s="2">
        <f t="array" ref="EA6">MATCH(MAX(ABS(EA3:EA5)), ABS(EA3:EA5), 0)</f>
        <v/>
      </c>
      <c r="EB6" s="2">
        <f t="array" ref="EB6">MATCH(MAX(ABS(EB3:EB5)), ABS(EB3:EB5), 0)</f>
        <v/>
      </c>
      <c r="EC6" s="2">
        <f t="array" ref="EC6">MATCH(MAX(ABS(EC3:EC5)), ABS(EC3:EC5), 0)</f>
        <v/>
      </c>
      <c r="ED6" s="2">
        <f t="array" ref="ED6">MATCH(MAX(ABS(ED3:ED5)), ABS(ED3:ED5), 0)</f>
        <v/>
      </c>
      <c r="EE6" s="2">
        <f t="array" ref="EE6">MATCH(MAX(ABS(EE3:EE5)), ABS(EE3:EE5), 0)</f>
        <v/>
      </c>
      <c r="EF6" s="2">
        <f t="array" ref="EF6">MATCH(MAX(ABS(EF3:EF5)), ABS(EF3:EF5), 0)</f>
        <v/>
      </c>
      <c r="EG6" s="2">
        <f t="array" ref="EG6">MATCH(MAX(ABS(EG3:EG5)), ABS(EG3:EG5), 0)</f>
        <v/>
      </c>
      <c r="EH6" s="2">
        <f t="array" ref="EH6">MATCH(MAX(ABS(EH3:EH5)), ABS(EH3:EH5), 0)</f>
        <v/>
      </c>
      <c r="EI6" s="2">
        <f t="array" ref="EI6">MATCH(MAX(ABS(EI3:EI5)), ABS(EI3:EI5), 0)</f>
        <v/>
      </c>
      <c r="EJ6" s="2">
        <f t="array" ref="EJ6">MATCH(MAX(ABS(EJ3:EJ5)), ABS(EJ3:EJ5), 0)</f>
        <v/>
      </c>
      <c r="EK6" s="2">
        <f t="array" ref="EK6">MATCH(MAX(ABS(EK3:EK5)), ABS(EK3:EK5), 0)</f>
        <v/>
      </c>
      <c r="EL6" s="2">
        <f t="array" ref="EL6">MATCH(MAX(ABS(EL3:EL5)), ABS(EL3:EL5), 0)</f>
        <v/>
      </c>
    </row>
    <row r="7">
      <c r="C7" s="2">
        <f>IF(C6=1,"bm",IF(C6=2,"size",IF(C6=3,"mom")))</f>
        <v/>
      </c>
      <c r="D7" s="2">
        <f>IF(D6=1,"bm",IF(D6=2,"size",IF(D6=3,"mom")))</f>
        <v/>
      </c>
      <c r="E7" s="2">
        <f>IF(E6=1,"bm",IF(E6=2,"size",IF(E6=3,"mom")))</f>
        <v/>
      </c>
      <c r="F7" s="2">
        <f>IF(F6=1,"bm",IF(F6=2,"size",IF(F6=3,"mom")))</f>
        <v/>
      </c>
      <c r="G7" s="2">
        <f>IF(G6=1,"bm",IF(G6=2,"size",IF(G6=3,"mom")))</f>
        <v/>
      </c>
      <c r="H7" s="2">
        <f>IF(H6=1,"bm",IF(H6=2,"size",IF(H6=3,"mom")))</f>
        <v/>
      </c>
      <c r="I7" s="2">
        <f>IF(I6=1,"bm",IF(I6=2,"size",IF(I6=3,"mom")))</f>
        <v/>
      </c>
      <c r="J7" s="2">
        <f>IF(J6=1,"bm",IF(J6=2,"size",IF(J6=3,"mom")))</f>
        <v/>
      </c>
      <c r="K7" s="2">
        <f>IF(K6=1,"bm",IF(K6=2,"size",IF(K6=3,"mom")))</f>
        <v/>
      </c>
      <c r="L7" s="2">
        <f>IF(L6=1,"bm",IF(L6=2,"size",IF(L6=3,"mom")))</f>
        <v/>
      </c>
      <c r="M7" s="2">
        <f>IF(M6=1,"bm",IF(M6=2,"size",IF(M6=3,"mom")))</f>
        <v/>
      </c>
      <c r="N7" s="2">
        <f>IF(N6=1,"bm",IF(N6=2,"size",IF(N6=3,"mom")))</f>
        <v/>
      </c>
      <c r="O7" s="2">
        <f>IF(O6=1,"bm",IF(O6=2,"size",IF(O6=3,"mom")))</f>
        <v/>
      </c>
      <c r="P7" s="2">
        <f>IF(P6=1,"bm",IF(P6=2,"size",IF(P6=3,"mom")))</f>
        <v/>
      </c>
      <c r="Q7" s="2">
        <f>IF(Q6=1,"bm",IF(Q6=2,"size",IF(Q6=3,"mom")))</f>
        <v/>
      </c>
      <c r="R7" s="2">
        <f>IF(R6=1,"bm",IF(R6=2,"size",IF(R6=3,"mom")))</f>
        <v/>
      </c>
      <c r="S7" s="2">
        <f>IF(S6=1,"bm",IF(S6=2,"size",IF(S6=3,"mom")))</f>
        <v/>
      </c>
      <c r="T7" s="2">
        <f>IF(T6=1,"bm",IF(T6=2,"size",IF(T6=3,"mom")))</f>
        <v/>
      </c>
      <c r="U7" s="2">
        <f>IF(U6=1,"bm",IF(U6=2,"size",IF(U6=3,"mom")))</f>
        <v/>
      </c>
      <c r="V7" s="2">
        <f>IF(V6=1,"bm",IF(V6=2,"size",IF(V6=3,"mom")))</f>
        <v/>
      </c>
      <c r="W7" s="2">
        <f>IF(W6=1,"bm",IF(W6=2,"size",IF(W6=3,"mom")))</f>
        <v/>
      </c>
      <c r="X7" s="2">
        <f>IF(X6=1,"bm",IF(X6=2,"size",IF(X6=3,"mom")))</f>
        <v/>
      </c>
      <c r="Y7" s="2">
        <f>IF(Y6=1,"bm",IF(Y6=2,"size",IF(Y6=3,"mom")))</f>
        <v/>
      </c>
      <c r="Z7" s="2">
        <f>IF(Z6=1,"bm",IF(Z6=2,"size",IF(Z6=3,"mom")))</f>
        <v/>
      </c>
      <c r="AA7" s="2">
        <f>IF(AA6=1,"bm",IF(AA6=2,"size",IF(AA6=3,"mom")))</f>
        <v/>
      </c>
      <c r="AB7" s="2">
        <f>IF(AB6=1,"bm",IF(AB6=2,"size",IF(AB6=3,"mom")))</f>
        <v/>
      </c>
      <c r="AC7" s="2">
        <f>IF(AC6=1,"bm",IF(AC6=2,"size",IF(AC6=3,"mom")))</f>
        <v/>
      </c>
      <c r="AD7" s="2">
        <f>IF(AD6=1,"bm",IF(AD6=2,"size",IF(AD6=3,"mom")))</f>
        <v/>
      </c>
      <c r="AE7" s="2">
        <f>IF(AE6=1,"bm",IF(AE6=2,"size",IF(AE6=3,"mom")))</f>
        <v/>
      </c>
      <c r="AF7" s="2">
        <f>IF(AF6=1,"bm",IF(AF6=2,"size",IF(AF6=3,"mom")))</f>
        <v/>
      </c>
      <c r="AG7" s="2">
        <f>IF(AG6=1,"bm",IF(AG6=2,"size",IF(AG6=3,"mom")))</f>
        <v/>
      </c>
      <c r="AH7" s="2">
        <f>IF(AH6=1,"bm",IF(AH6=2,"size",IF(AH6=3,"mom")))</f>
        <v/>
      </c>
      <c r="AI7" s="2">
        <f>IF(AI6=1,"bm",IF(AI6=2,"size",IF(AI6=3,"mom")))</f>
        <v/>
      </c>
      <c r="AJ7" s="2">
        <f>IF(AJ6=1,"bm",IF(AJ6=2,"size",IF(AJ6=3,"mom")))</f>
        <v/>
      </c>
      <c r="AK7" s="2">
        <f>IF(AK6=1,"bm",IF(AK6=2,"size",IF(AK6=3,"mom")))</f>
        <v/>
      </c>
      <c r="AL7" s="2">
        <f>IF(AL6=1,"bm",IF(AL6=2,"size",IF(AL6=3,"mom")))</f>
        <v/>
      </c>
      <c r="AM7" s="2">
        <f>IF(AM6=1,"bm",IF(AM6=2,"size",IF(AM6=3,"mom")))</f>
        <v/>
      </c>
      <c r="AN7" s="2">
        <f>IF(AN6=1,"bm",IF(AN6=2,"size",IF(AN6=3,"mom")))</f>
        <v/>
      </c>
      <c r="AO7" s="2">
        <f>IF(AO6=1,"bm",IF(AO6=2,"size",IF(AO6=3,"mom")))</f>
        <v/>
      </c>
      <c r="AP7" s="2">
        <f>IF(AP6=1,"bm",IF(AP6=2,"size",IF(AP6=3,"mom")))</f>
        <v/>
      </c>
      <c r="AQ7" s="2">
        <f>IF(AQ6=1,"bm",IF(AQ6=2,"size",IF(AQ6=3,"mom")))</f>
        <v/>
      </c>
      <c r="AR7" s="2">
        <f>IF(AR6=1,"bm",IF(AR6=2,"size",IF(AR6=3,"mom")))</f>
        <v/>
      </c>
      <c r="AS7" s="2">
        <f>IF(AS6=1,"bm",IF(AS6=2,"size",IF(AS6=3,"mom")))</f>
        <v/>
      </c>
      <c r="AT7" s="2">
        <f>IF(AT6=1,"bm",IF(AT6=2,"size",IF(AT6=3,"mom")))</f>
        <v/>
      </c>
      <c r="AU7" s="2">
        <f>IF(AU6=1,"bm",IF(AU6=2,"size",IF(AU6=3,"mom")))</f>
        <v/>
      </c>
      <c r="AV7" s="2">
        <f>IF(AV6=1,"bm",IF(AV6=2,"size",IF(AV6=3,"mom")))</f>
        <v/>
      </c>
      <c r="AW7" s="2">
        <f>IF(AW6=1,"bm",IF(AW6=2,"size",IF(AW6=3,"mom")))</f>
        <v/>
      </c>
      <c r="AX7" s="2">
        <f>IF(AX6=1,"bm",IF(AX6=2,"size",IF(AX6=3,"mom")))</f>
        <v/>
      </c>
      <c r="AY7" s="2">
        <f>IF(AY6=1,"bm",IF(AY6=2,"size",IF(AY6=3,"mom")))</f>
        <v/>
      </c>
      <c r="AZ7" s="2">
        <f>IF(AZ6=1,"bm",IF(AZ6=2,"size",IF(AZ6=3,"mom")))</f>
        <v/>
      </c>
      <c r="BA7" s="2">
        <f>IF(BA6=1,"bm",IF(BA6=2,"size",IF(BA6=3,"mom")))</f>
        <v/>
      </c>
      <c r="BB7" s="2">
        <f>IF(BB6=1,"bm",IF(BB6=2,"size",IF(BB6=3,"mom")))</f>
        <v/>
      </c>
      <c r="BC7" s="2">
        <f>IF(BC6=1,"bm",IF(BC6=2,"size",IF(BC6=3,"mom")))</f>
        <v/>
      </c>
      <c r="BD7" s="2">
        <f>IF(BD6=1,"bm",IF(BD6=2,"size",IF(BD6=3,"mom")))</f>
        <v/>
      </c>
      <c r="BE7" s="2">
        <f>IF(BE6=1,"bm",IF(BE6=2,"size",IF(BE6=3,"mom")))</f>
        <v/>
      </c>
      <c r="BF7" s="2">
        <f>IF(BF6=1,"bm",IF(BF6=2,"size",IF(BF6=3,"mom")))</f>
        <v/>
      </c>
      <c r="BG7" s="2">
        <f>IF(BG6=1,"bm",IF(BG6=2,"size",IF(BG6=3,"mom")))</f>
        <v/>
      </c>
      <c r="BH7" s="2">
        <f>IF(BH6=1,"bm",IF(BH6=2,"size",IF(BH6=3,"mom")))</f>
        <v/>
      </c>
      <c r="BI7" s="2">
        <f>IF(BI6=1,"bm",IF(BI6=2,"size",IF(BI6=3,"mom")))</f>
        <v/>
      </c>
      <c r="BJ7" s="2">
        <f>IF(BJ6=1,"bm",IF(BJ6=2,"size",IF(BJ6=3,"mom")))</f>
        <v/>
      </c>
      <c r="BK7" s="2">
        <f>IF(BK6=1,"bm",IF(BK6=2,"size",IF(BK6=3,"mom")))</f>
        <v/>
      </c>
      <c r="BL7" s="2">
        <f>IF(BL6=1,"bm",IF(BL6=2,"size",IF(BL6=3,"mom")))</f>
        <v/>
      </c>
      <c r="BM7" s="2">
        <f>IF(BM6=1,"bm",IF(BM6=2,"size",IF(BM6=3,"mom")))</f>
        <v/>
      </c>
      <c r="BN7" s="2">
        <f>IF(BN6=1,"bm",IF(BN6=2,"size",IF(BN6=3,"mom")))</f>
        <v/>
      </c>
      <c r="BO7" s="2">
        <f>IF(BO6=1,"bm",IF(BO6=2,"size",IF(BO6=3,"mom")))</f>
        <v/>
      </c>
      <c r="BP7" s="2">
        <f>IF(BP6=1,"bm",IF(BP6=2,"size",IF(BP6=3,"mom")))</f>
        <v/>
      </c>
      <c r="BQ7" s="2">
        <f>IF(BQ6=1,"bm",IF(BQ6=2,"size",IF(BQ6=3,"mom")))</f>
        <v/>
      </c>
      <c r="BR7" s="2">
        <f>IF(BR6=1,"bm",IF(BR6=2,"size",IF(BR6=3,"mom")))</f>
        <v/>
      </c>
      <c r="BS7" s="2">
        <f>IF(BS6=1,"bm",IF(BS6=2,"size",IF(BS6=3,"mom")))</f>
        <v/>
      </c>
      <c r="BT7" s="2">
        <f>IF(BT6=1,"bm",IF(BT6=2,"size",IF(BT6=3,"mom")))</f>
        <v/>
      </c>
      <c r="BU7" s="2">
        <f>IF(BU6=1,"bm",IF(BU6=2,"size",IF(BU6=3,"mom")))</f>
        <v/>
      </c>
      <c r="BV7" s="2">
        <f>IF(BV6=1,"bm",IF(BV6=2,"size",IF(BV6=3,"mom")))</f>
        <v/>
      </c>
      <c r="BW7" s="2">
        <f>IF(BW6=1,"bm",IF(BW6=2,"size",IF(BW6=3,"mom")))</f>
        <v/>
      </c>
      <c r="BX7" s="2">
        <f>IF(BX6=1,"bm",IF(BX6=2,"size",IF(BX6=3,"mom")))</f>
        <v/>
      </c>
      <c r="BY7" s="2">
        <f>IF(BY6=1,"bm",IF(BY6=2,"size",IF(BY6=3,"mom")))</f>
        <v/>
      </c>
      <c r="BZ7" s="2">
        <f>IF(BZ6=1,"bm",IF(BZ6=2,"size",IF(BZ6=3,"mom")))</f>
        <v/>
      </c>
      <c r="CA7" s="2">
        <f>IF(CA6=1,"bm",IF(CA6=2,"size",IF(CA6=3,"mom")))</f>
        <v/>
      </c>
      <c r="CB7" s="2">
        <f>IF(CB6=1,"bm",IF(CB6=2,"size",IF(CB6=3,"mom")))</f>
        <v/>
      </c>
      <c r="CC7" s="2">
        <f>IF(CC6=1,"bm",IF(CC6=2,"size",IF(CC6=3,"mom")))</f>
        <v/>
      </c>
      <c r="CD7" s="2">
        <f>IF(CD6=1,"bm",IF(CD6=2,"size",IF(CD6=3,"mom")))</f>
        <v/>
      </c>
      <c r="CE7" s="2">
        <f>IF(CE6=1,"bm",IF(CE6=2,"size",IF(CE6=3,"mom")))</f>
        <v/>
      </c>
      <c r="CF7" s="2">
        <f>IF(CF6=1,"bm",IF(CF6=2,"size",IF(CF6=3,"mom")))</f>
        <v/>
      </c>
      <c r="CG7" s="2">
        <f>IF(CG6=1,"bm",IF(CG6=2,"size",IF(CG6=3,"mom")))</f>
        <v/>
      </c>
      <c r="CH7" s="2">
        <f>IF(CH6=1,"bm",IF(CH6=2,"size",IF(CH6=3,"mom")))</f>
        <v/>
      </c>
      <c r="CI7" s="2">
        <f>IF(CI6=1,"bm",IF(CI6=2,"size",IF(CI6=3,"mom")))</f>
        <v/>
      </c>
      <c r="CJ7" s="2">
        <f>IF(CJ6=1,"bm",IF(CJ6=2,"size",IF(CJ6=3,"mom")))</f>
        <v/>
      </c>
      <c r="CK7" s="2">
        <f>IF(CK6=1,"bm",IF(CK6=2,"size",IF(CK6=3,"mom")))</f>
        <v/>
      </c>
      <c r="CL7" s="2">
        <f>IF(CL6=1,"bm",IF(CL6=2,"size",IF(CL6=3,"mom")))</f>
        <v/>
      </c>
      <c r="CM7" s="2">
        <f>IF(CM6=1,"bm",IF(CM6=2,"size",IF(CM6=3,"mom")))</f>
        <v/>
      </c>
      <c r="CN7" s="2">
        <f>IF(CN6=1,"bm",IF(CN6=2,"size",IF(CN6=3,"mom")))</f>
        <v/>
      </c>
      <c r="CO7" s="2">
        <f>IF(CO6=1,"bm",IF(CO6=2,"size",IF(CO6=3,"mom")))</f>
        <v/>
      </c>
      <c r="CP7" s="2">
        <f>IF(CP6=1,"bm",IF(CP6=2,"size",IF(CP6=3,"mom")))</f>
        <v/>
      </c>
      <c r="CQ7" s="2">
        <f>IF(CQ6=1,"bm",IF(CQ6=2,"size",IF(CQ6=3,"mom")))</f>
        <v/>
      </c>
      <c r="CR7" s="2">
        <f>IF(CR6=1,"bm",IF(CR6=2,"size",IF(CR6=3,"mom")))</f>
        <v/>
      </c>
      <c r="CS7" s="2">
        <f>IF(CS6=1,"bm",IF(CS6=2,"size",IF(CS6=3,"mom")))</f>
        <v/>
      </c>
      <c r="CT7" s="2">
        <f>IF(CT6=1,"bm",IF(CT6=2,"size",IF(CT6=3,"mom")))</f>
        <v/>
      </c>
      <c r="CU7" s="2">
        <f>IF(CU6=1,"bm",IF(CU6=2,"size",IF(CU6=3,"mom")))</f>
        <v/>
      </c>
      <c r="CV7" s="2">
        <f>IF(CV6=1,"bm",IF(CV6=2,"size",IF(CV6=3,"mom")))</f>
        <v/>
      </c>
      <c r="CW7" s="2">
        <f>IF(CW6=1,"bm",IF(CW6=2,"size",IF(CW6=3,"mom")))</f>
        <v/>
      </c>
      <c r="CX7" s="2">
        <f>IF(CX6=1,"bm",IF(CX6=2,"size",IF(CX6=3,"mom")))</f>
        <v/>
      </c>
      <c r="CY7" s="2">
        <f>IF(CY6=1,"bm",IF(CY6=2,"size",IF(CY6=3,"mom")))</f>
        <v/>
      </c>
      <c r="CZ7" s="2">
        <f>IF(CZ6=1,"bm",IF(CZ6=2,"size",IF(CZ6=3,"mom")))</f>
        <v/>
      </c>
      <c r="DA7" s="2">
        <f>IF(DA6=1,"bm",IF(DA6=2,"size",IF(DA6=3,"mom")))</f>
        <v/>
      </c>
      <c r="DB7" s="2">
        <f>IF(DB6=1,"bm",IF(DB6=2,"size",IF(DB6=3,"mom")))</f>
        <v/>
      </c>
      <c r="DC7" s="2">
        <f>IF(DC6=1,"bm",IF(DC6=2,"size",IF(DC6=3,"mom")))</f>
        <v/>
      </c>
      <c r="DD7" s="2">
        <f>IF(DD6=1,"bm",IF(DD6=2,"size",IF(DD6=3,"mom")))</f>
        <v/>
      </c>
      <c r="DE7" s="2">
        <f>IF(DE6=1,"bm",IF(DE6=2,"size",IF(DE6=3,"mom")))</f>
        <v/>
      </c>
      <c r="DF7" s="2">
        <f>IF(DF6=1,"bm",IF(DF6=2,"size",IF(DF6=3,"mom")))</f>
        <v/>
      </c>
      <c r="DG7" s="2">
        <f>IF(DG6=1,"bm",IF(DG6=2,"size",IF(DG6=3,"mom")))</f>
        <v/>
      </c>
      <c r="DH7" s="2">
        <f>IF(DH6=1,"bm",IF(DH6=2,"size",IF(DH6=3,"mom")))</f>
        <v/>
      </c>
      <c r="DI7" s="2">
        <f>IF(DI6=1,"bm",IF(DI6=2,"size",IF(DI6=3,"mom")))</f>
        <v/>
      </c>
      <c r="DJ7" s="2">
        <f>IF(DJ6=1,"bm",IF(DJ6=2,"size",IF(DJ6=3,"mom")))</f>
        <v/>
      </c>
      <c r="DK7" s="2">
        <f>IF(DK6=1,"bm",IF(DK6=2,"size",IF(DK6=3,"mom")))</f>
        <v/>
      </c>
      <c r="DL7" s="2">
        <f>IF(DL6=1,"bm",IF(DL6=2,"size",IF(DL6=3,"mom")))</f>
        <v/>
      </c>
      <c r="DM7" s="2">
        <f>IF(DM6=1,"bm",IF(DM6=2,"size",IF(DM6=3,"mom")))</f>
        <v/>
      </c>
      <c r="DN7" s="2">
        <f>IF(DN6=1,"bm",IF(DN6=2,"size",IF(DN6=3,"mom")))</f>
        <v/>
      </c>
      <c r="DO7" s="2">
        <f>IF(DO6=1,"bm",IF(DO6=2,"size",IF(DO6=3,"mom")))</f>
        <v/>
      </c>
      <c r="DP7" s="2">
        <f>IF(DP6=1,"bm",IF(DP6=2,"size",IF(DP6=3,"mom")))</f>
        <v/>
      </c>
      <c r="DQ7" s="2">
        <f>IF(DQ6=1,"bm",IF(DQ6=2,"size",IF(DQ6=3,"mom")))</f>
        <v/>
      </c>
      <c r="DR7" s="2">
        <f>IF(DR6=1,"bm",IF(DR6=2,"size",IF(DR6=3,"mom")))</f>
        <v/>
      </c>
      <c r="DS7" s="2">
        <f>IF(DS6=1,"bm",IF(DS6=2,"size",IF(DS6=3,"mom")))</f>
        <v/>
      </c>
      <c r="DT7" s="2">
        <f>IF(DT6=1,"bm",IF(DT6=2,"size",IF(DT6=3,"mom")))</f>
        <v/>
      </c>
      <c r="DU7" s="2">
        <f>IF(DU6=1,"bm",IF(DU6=2,"size",IF(DU6=3,"mom")))</f>
        <v/>
      </c>
      <c r="DV7" s="2">
        <f>IF(DV6=1,"bm",IF(DV6=2,"size",IF(DV6=3,"mom")))</f>
        <v/>
      </c>
      <c r="DW7" s="2">
        <f>IF(DW6=1,"bm",IF(DW6=2,"size",IF(DW6=3,"mom")))</f>
        <v/>
      </c>
      <c r="DX7" s="2">
        <f>IF(DX6=1,"bm",IF(DX6=2,"size",IF(DX6=3,"mom")))</f>
        <v/>
      </c>
      <c r="DY7" s="2">
        <f>IF(DY6=1,"bm",IF(DY6=2,"size",IF(DY6=3,"mom")))</f>
        <v/>
      </c>
      <c r="DZ7" s="2">
        <f>IF(DZ6=1,"bm",IF(DZ6=2,"size",IF(DZ6=3,"mom")))</f>
        <v/>
      </c>
      <c r="EA7" s="2">
        <f>IF(EA6=1,"bm",IF(EA6=2,"size",IF(EA6=3,"mom")))</f>
        <v/>
      </c>
      <c r="EB7" s="2">
        <f>IF(EB6=1,"bm",IF(EB6=2,"size",IF(EB6=3,"mom")))</f>
        <v/>
      </c>
      <c r="EC7" s="2">
        <f>IF(EC6=1,"bm",IF(EC6=2,"size",IF(EC6=3,"mom")))</f>
        <v/>
      </c>
      <c r="ED7" s="2">
        <f>IF(ED6=1,"bm",IF(ED6=2,"size",IF(ED6=3,"mom")))</f>
        <v/>
      </c>
      <c r="EE7" s="2">
        <f>IF(EE6=1,"bm",IF(EE6=2,"size",IF(EE6=3,"mom")))</f>
        <v/>
      </c>
      <c r="EF7" s="2">
        <f>IF(EF6=1,"bm",IF(EF6=2,"size",IF(EF6=3,"mom")))</f>
        <v/>
      </c>
      <c r="EG7" s="2">
        <f>IF(EG6=1,"bm",IF(EG6=2,"size",IF(EG6=3,"mom")))</f>
        <v/>
      </c>
      <c r="EH7" s="2">
        <f>IF(EH6=1,"bm",IF(EH6=2,"size",IF(EH6=3,"mom")))</f>
        <v/>
      </c>
      <c r="EI7" s="2">
        <f>IF(EI6=1,"bm",IF(EI6=2,"size",IF(EI6=3,"mom")))</f>
        <v/>
      </c>
      <c r="EJ7" s="2">
        <f>IF(EJ6=1,"bm",IF(EJ6=2,"size",IF(EJ6=3,"mom")))</f>
        <v/>
      </c>
      <c r="EK7" s="2">
        <f>IF(EK6=1,"bm",IF(EK6=2,"size",IF(EK6=3,"mom")))</f>
        <v/>
      </c>
      <c r="EL7" s="2">
        <f>IF(EL6=1,"bm",IF(EL6=2,"size",IF(EL6=3,"mom")))</f>
        <v/>
      </c>
    </row>
    <row r="8">
      <c r="C8" s="2">
        <f>IF(C6=1,C3,IF(C6=2,C4,IF(C6=3,C5)))</f>
        <v/>
      </c>
      <c r="D8" s="2">
        <f>IF(D6=1,D3,IF(D6=2,D4,IF(D6=3,D5)))</f>
        <v/>
      </c>
      <c r="E8" s="2">
        <f>IF(E6=1,E3,IF(E6=2,E4,IF(E6=3,E5)))</f>
        <v/>
      </c>
      <c r="F8" s="2">
        <f>IF(F6=1,F3,IF(F6=2,F4,IF(F6=3,F5)))</f>
        <v/>
      </c>
      <c r="G8" s="2">
        <f>IF(G6=1,G3,IF(G6=2,G4,IF(G6=3,G5)))</f>
        <v/>
      </c>
      <c r="H8" s="2">
        <f>IF(H6=1,H3,IF(H6=2,H4,IF(H6=3,H5)))</f>
        <v/>
      </c>
      <c r="I8" s="2">
        <f>IF(I6=1,I3,IF(I6=2,I4,IF(I6=3,I5)))</f>
        <v/>
      </c>
      <c r="J8" s="2">
        <f>IF(J6=1,J3,IF(J6=2,J4,IF(J6=3,J5)))</f>
        <v/>
      </c>
      <c r="K8" s="2">
        <f>IF(K6=1,K3,IF(K6=2,K4,IF(K6=3,K5)))</f>
        <v/>
      </c>
      <c r="L8" s="2">
        <f>IF(L6=1,L3,IF(L6=2,L4,IF(L6=3,L5)))</f>
        <v/>
      </c>
      <c r="M8" s="2">
        <f>IF(M6=1,M3,IF(M6=2,M4,IF(M6=3,M5)))</f>
        <v/>
      </c>
      <c r="N8" s="2">
        <f>IF(N6=1,N3,IF(N6=2,N4,IF(N6=3,N5)))</f>
        <v/>
      </c>
      <c r="O8" s="2">
        <f>IF(O6=1,O3,IF(O6=2,O4,IF(O6=3,O5)))</f>
        <v/>
      </c>
      <c r="P8" s="2">
        <f>IF(P6=1,P3,IF(P6=2,P4,IF(P6=3,P5)))</f>
        <v/>
      </c>
      <c r="Q8" s="2">
        <f>IF(Q6=1,Q3,IF(Q6=2,Q4,IF(Q6=3,Q5)))</f>
        <v/>
      </c>
      <c r="R8" s="2">
        <f>IF(R6=1,R3,IF(R6=2,R4,IF(R6=3,R5)))</f>
        <v/>
      </c>
      <c r="S8" s="2">
        <f>IF(S6=1,S3,IF(S6=2,S4,IF(S6=3,S5)))</f>
        <v/>
      </c>
      <c r="T8" s="2">
        <f>IF(T6=1,T3,IF(T6=2,T4,IF(T6=3,T5)))</f>
        <v/>
      </c>
      <c r="U8" s="2">
        <f>IF(U6=1,U3,IF(U6=2,U4,IF(U6=3,U5)))</f>
        <v/>
      </c>
      <c r="V8" s="2">
        <f>IF(V6=1,V3,IF(V6=2,V4,IF(V6=3,V5)))</f>
        <v/>
      </c>
      <c r="W8" s="2">
        <f>IF(W6=1,W3,IF(W6=2,W4,IF(W6=3,W5)))</f>
        <v/>
      </c>
      <c r="X8" s="2">
        <f>IF(X6=1,X3,IF(X6=2,X4,IF(X6=3,X5)))</f>
        <v/>
      </c>
      <c r="Y8" s="2">
        <f>IF(Y6=1,Y3,IF(Y6=2,Y4,IF(Y6=3,Y5)))</f>
        <v/>
      </c>
      <c r="Z8" s="2">
        <f>IF(Z6=1,Z3,IF(Z6=2,Z4,IF(Z6=3,Z5)))</f>
        <v/>
      </c>
      <c r="AA8" s="2">
        <f>IF(AA6=1,AA3,IF(AA6=2,AA4,IF(AA6=3,AA5)))</f>
        <v/>
      </c>
      <c r="AB8" s="2">
        <f>IF(AB6=1,AB3,IF(AB6=2,AB4,IF(AB6=3,AB5)))</f>
        <v/>
      </c>
      <c r="AC8" s="2">
        <f>IF(AC6=1,AC3,IF(AC6=2,AC4,IF(AC6=3,AC5)))</f>
        <v/>
      </c>
      <c r="AD8" s="2">
        <f>IF(AD6=1,AD3,IF(AD6=2,AD4,IF(AD6=3,AD5)))</f>
        <v/>
      </c>
      <c r="AE8" s="2">
        <f>IF(AE6=1,AE3,IF(AE6=2,AE4,IF(AE6=3,AE5)))</f>
        <v/>
      </c>
      <c r="AF8" s="2">
        <f>IF(AF6=1,AF3,IF(AF6=2,AF4,IF(AF6=3,AF5)))</f>
        <v/>
      </c>
      <c r="AG8" s="2">
        <f>IF(AG6=1,AG3,IF(AG6=2,AG4,IF(AG6=3,AG5)))</f>
        <v/>
      </c>
      <c r="AH8" s="2">
        <f>IF(AH6=1,AH3,IF(AH6=2,AH4,IF(AH6=3,AH5)))</f>
        <v/>
      </c>
      <c r="AI8" s="2">
        <f>IF(AI6=1,AI3,IF(AI6=2,AI4,IF(AI6=3,AI5)))</f>
        <v/>
      </c>
      <c r="AJ8" s="2">
        <f>IF(AJ6=1,AJ3,IF(AJ6=2,AJ4,IF(AJ6=3,AJ5)))</f>
        <v/>
      </c>
      <c r="AK8" s="2">
        <f>IF(AK6=1,AK3,IF(AK6=2,AK4,IF(AK6=3,AK5)))</f>
        <v/>
      </c>
      <c r="AL8" s="2">
        <f>IF(AL6=1,AL3,IF(AL6=2,AL4,IF(AL6=3,AL5)))</f>
        <v/>
      </c>
      <c r="AM8" s="2">
        <f>IF(AM6=1,AM3,IF(AM6=2,AM4,IF(AM6=3,AM5)))</f>
        <v/>
      </c>
      <c r="AN8" s="2">
        <f>IF(AN6=1,AN3,IF(AN6=2,AN4,IF(AN6=3,AN5)))</f>
        <v/>
      </c>
      <c r="AO8" s="2">
        <f>IF(AO6=1,AO3,IF(AO6=2,AO4,IF(AO6=3,AO5)))</f>
        <v/>
      </c>
      <c r="AP8" s="2">
        <f>IF(AP6=1,AP3,IF(AP6=2,AP4,IF(AP6=3,AP5)))</f>
        <v/>
      </c>
      <c r="AQ8" s="2">
        <f>IF(AQ6=1,AQ3,IF(AQ6=2,AQ4,IF(AQ6=3,AQ5)))</f>
        <v/>
      </c>
      <c r="AR8" s="2">
        <f>IF(AR6=1,AR3,IF(AR6=2,AR4,IF(AR6=3,AR5)))</f>
        <v/>
      </c>
      <c r="AS8" s="2">
        <f>IF(AS6=1,AS3,IF(AS6=2,AS4,IF(AS6=3,AS5)))</f>
        <v/>
      </c>
      <c r="AT8" s="2">
        <f>IF(AT6=1,AT3,IF(AT6=2,AT4,IF(AT6=3,AT5)))</f>
        <v/>
      </c>
      <c r="AU8" s="2">
        <f>IF(AU6=1,AU3,IF(AU6=2,AU4,IF(AU6=3,AU5)))</f>
        <v/>
      </c>
      <c r="AV8" s="2">
        <f>IF(AV6=1,AV3,IF(AV6=2,AV4,IF(AV6=3,AV5)))</f>
        <v/>
      </c>
      <c r="AW8" s="2">
        <f>IF(AW6=1,AW3,IF(AW6=2,AW4,IF(AW6=3,AW5)))</f>
        <v/>
      </c>
      <c r="AX8" s="2">
        <f>IF(AX6=1,AX3,IF(AX6=2,AX4,IF(AX6=3,AX5)))</f>
        <v/>
      </c>
      <c r="AY8" s="2">
        <f>IF(AY6=1,AY3,IF(AY6=2,AY4,IF(AY6=3,AY5)))</f>
        <v/>
      </c>
      <c r="AZ8" s="2">
        <f>IF(AZ6=1,AZ3,IF(AZ6=2,AZ4,IF(AZ6=3,AZ5)))</f>
        <v/>
      </c>
      <c r="BA8" s="2">
        <f>IF(BA6=1,BA3,IF(BA6=2,BA4,IF(BA6=3,BA5)))</f>
        <v/>
      </c>
      <c r="BB8" s="2">
        <f>IF(BB6=1,BB3,IF(BB6=2,BB4,IF(BB6=3,BB5)))</f>
        <v/>
      </c>
      <c r="BC8" s="2">
        <f>IF(BC6=1,BC3,IF(BC6=2,BC4,IF(BC6=3,BC5)))</f>
        <v/>
      </c>
      <c r="BD8" s="2">
        <f>IF(BD6=1,BD3,IF(BD6=2,BD4,IF(BD6=3,BD5)))</f>
        <v/>
      </c>
      <c r="BE8" s="2">
        <f>IF(BE6=1,BE3,IF(BE6=2,BE4,IF(BE6=3,BE5)))</f>
        <v/>
      </c>
      <c r="BF8" s="2">
        <f>IF(BF6=1,BF3,IF(BF6=2,BF4,IF(BF6=3,BF5)))</f>
        <v/>
      </c>
      <c r="BG8" s="2">
        <f>IF(BG6=1,BG3,IF(BG6=2,BG4,IF(BG6=3,BG5)))</f>
        <v/>
      </c>
      <c r="BH8" s="2">
        <f>IF(BH6=1,BH3,IF(BH6=2,BH4,IF(BH6=3,BH5)))</f>
        <v/>
      </c>
      <c r="BI8" s="2">
        <f>IF(BI6=1,BI3,IF(BI6=2,BI4,IF(BI6=3,BI5)))</f>
        <v/>
      </c>
      <c r="BJ8" s="2">
        <f>IF(BJ6=1,BJ3,IF(BJ6=2,BJ4,IF(BJ6=3,BJ5)))</f>
        <v/>
      </c>
      <c r="BK8" s="2">
        <f>IF(BK6=1,BK3,IF(BK6=2,BK4,IF(BK6=3,BK5)))</f>
        <v/>
      </c>
      <c r="BL8" s="2">
        <f>IF(BL6=1,BL3,IF(BL6=2,BL4,IF(BL6=3,BL5)))</f>
        <v/>
      </c>
      <c r="BM8" s="2">
        <f>IF(BM6=1,BM3,IF(BM6=2,BM4,IF(BM6=3,BM5)))</f>
        <v/>
      </c>
      <c r="BN8" s="2">
        <f>IF(BN6=1,BN3,IF(BN6=2,BN4,IF(BN6=3,BN5)))</f>
        <v/>
      </c>
      <c r="BO8" s="2">
        <f>IF(BO6=1,BO3,IF(BO6=2,BO4,IF(BO6=3,BO5)))</f>
        <v/>
      </c>
      <c r="BP8" s="2">
        <f>IF(BP6=1,BP3,IF(BP6=2,BP4,IF(BP6=3,BP5)))</f>
        <v/>
      </c>
      <c r="BQ8" s="2">
        <f>IF(BQ6=1,BQ3,IF(BQ6=2,BQ4,IF(BQ6=3,BQ5)))</f>
        <v/>
      </c>
      <c r="BR8" s="2">
        <f>IF(BR6=1,BR3,IF(BR6=2,BR4,IF(BR6=3,BR5)))</f>
        <v/>
      </c>
      <c r="BS8" s="2">
        <f>IF(BS6=1,BS3,IF(BS6=2,BS4,IF(BS6=3,BS5)))</f>
        <v/>
      </c>
      <c r="BT8" s="2">
        <f>IF(BT6=1,BT3,IF(BT6=2,BT4,IF(BT6=3,BT5)))</f>
        <v/>
      </c>
      <c r="BU8" s="2">
        <f>IF(BU6=1,BU3,IF(BU6=2,BU4,IF(BU6=3,BU5)))</f>
        <v/>
      </c>
      <c r="BV8" s="2">
        <f>IF(BV6=1,BV3,IF(BV6=2,BV4,IF(BV6=3,BV5)))</f>
        <v/>
      </c>
      <c r="BW8" s="2">
        <f>IF(BW6=1,BW3,IF(BW6=2,BW4,IF(BW6=3,BW5)))</f>
        <v/>
      </c>
      <c r="BX8" s="2">
        <f>IF(BX6=1,BX3,IF(BX6=2,BX4,IF(BX6=3,BX5)))</f>
        <v/>
      </c>
      <c r="BY8" s="2">
        <f>IF(BY6=1,BY3,IF(BY6=2,BY4,IF(BY6=3,BY5)))</f>
        <v/>
      </c>
      <c r="BZ8" s="2">
        <f>IF(BZ6=1,BZ3,IF(BZ6=2,BZ4,IF(BZ6=3,BZ5)))</f>
        <v/>
      </c>
      <c r="CA8" s="2">
        <f>IF(CA6=1,CA3,IF(CA6=2,CA4,IF(CA6=3,CA5)))</f>
        <v/>
      </c>
      <c r="CB8" s="2">
        <f>IF(CB6=1,CB3,IF(CB6=2,CB4,IF(CB6=3,CB5)))</f>
        <v/>
      </c>
      <c r="CC8" s="2">
        <f>IF(CC6=1,CC3,IF(CC6=2,CC4,IF(CC6=3,CC5)))</f>
        <v/>
      </c>
      <c r="CD8" s="2">
        <f>IF(CD6=1,CD3,IF(CD6=2,CD4,IF(CD6=3,CD5)))</f>
        <v/>
      </c>
      <c r="CE8" s="2">
        <f>IF(CE6=1,CE3,IF(CE6=2,CE4,IF(CE6=3,CE5)))</f>
        <v/>
      </c>
      <c r="CF8" s="2">
        <f>IF(CF6=1,CF3,IF(CF6=2,CF4,IF(CF6=3,CF5)))</f>
        <v/>
      </c>
      <c r="CG8" s="2">
        <f>IF(CG6=1,CG3,IF(CG6=2,CG4,IF(CG6=3,CG5)))</f>
        <v/>
      </c>
      <c r="CH8" s="2">
        <f>IF(CH6=1,CH3,IF(CH6=2,CH4,IF(CH6=3,CH5)))</f>
        <v/>
      </c>
      <c r="CI8" s="2">
        <f>IF(CI6=1,CI3,IF(CI6=2,CI4,IF(CI6=3,CI5)))</f>
        <v/>
      </c>
      <c r="CJ8" s="2">
        <f>IF(CJ6=1,CJ3,IF(CJ6=2,CJ4,IF(CJ6=3,CJ5)))</f>
        <v/>
      </c>
      <c r="CK8" s="2">
        <f>IF(CK6=1,CK3,IF(CK6=2,CK4,IF(CK6=3,CK5)))</f>
        <v/>
      </c>
      <c r="CL8" s="2">
        <f>IF(CL6=1,CL3,IF(CL6=2,CL4,IF(CL6=3,CL5)))</f>
        <v/>
      </c>
      <c r="CM8" s="2">
        <f>IF(CM6=1,CM3,IF(CM6=2,CM4,IF(CM6=3,CM5)))</f>
        <v/>
      </c>
      <c r="CN8" s="2">
        <f>IF(CN6=1,CN3,IF(CN6=2,CN4,IF(CN6=3,CN5)))</f>
        <v/>
      </c>
      <c r="CO8" s="2">
        <f>IF(CO6=1,CO3,IF(CO6=2,CO4,IF(CO6=3,CO5)))</f>
        <v/>
      </c>
      <c r="CP8" s="2">
        <f>IF(CP6=1,CP3,IF(CP6=2,CP4,IF(CP6=3,CP5)))</f>
        <v/>
      </c>
      <c r="CQ8" s="2">
        <f>IF(CQ6=1,CQ3,IF(CQ6=2,CQ4,IF(CQ6=3,CQ5)))</f>
        <v/>
      </c>
      <c r="CR8" s="2">
        <f>IF(CR6=1,CR3,IF(CR6=2,CR4,IF(CR6=3,CR5)))</f>
        <v/>
      </c>
      <c r="CS8" s="2">
        <f>IF(CS6=1,CS3,IF(CS6=2,CS4,IF(CS6=3,CS5)))</f>
        <v/>
      </c>
      <c r="CT8" s="2">
        <f>IF(CT6=1,CT3,IF(CT6=2,CT4,IF(CT6=3,CT5)))</f>
        <v/>
      </c>
      <c r="CU8" s="2">
        <f>IF(CU6=1,CU3,IF(CU6=2,CU4,IF(CU6=3,CU5)))</f>
        <v/>
      </c>
      <c r="CV8" s="2">
        <f>IF(CV6=1,CV3,IF(CV6=2,CV4,IF(CV6=3,CV5)))</f>
        <v/>
      </c>
      <c r="CW8" s="2">
        <f>IF(CW6=1,CW3,IF(CW6=2,CW4,IF(CW6=3,CW5)))</f>
        <v/>
      </c>
      <c r="CX8" s="2">
        <f>IF(CX6=1,CX3,IF(CX6=2,CX4,IF(CX6=3,CX5)))</f>
        <v/>
      </c>
      <c r="CY8" s="2">
        <f>IF(CY6=1,CY3,IF(CY6=2,CY4,IF(CY6=3,CY5)))</f>
        <v/>
      </c>
      <c r="CZ8" s="2">
        <f>IF(CZ6=1,CZ3,IF(CZ6=2,CZ4,IF(CZ6=3,CZ5)))</f>
        <v/>
      </c>
      <c r="DA8" s="2">
        <f>IF(DA6=1,DA3,IF(DA6=2,DA4,IF(DA6=3,DA5)))</f>
        <v/>
      </c>
      <c r="DB8" s="2">
        <f>IF(DB6=1,DB3,IF(DB6=2,DB4,IF(DB6=3,DB5)))</f>
        <v/>
      </c>
      <c r="DC8" s="2">
        <f>IF(DC6=1,DC3,IF(DC6=2,DC4,IF(DC6=3,DC5)))</f>
        <v/>
      </c>
      <c r="DD8" s="2">
        <f>IF(DD6=1,DD3,IF(DD6=2,DD4,IF(DD6=3,DD5)))</f>
        <v/>
      </c>
      <c r="DE8" s="2">
        <f>IF(DE6=1,DE3,IF(DE6=2,DE4,IF(DE6=3,DE5)))</f>
        <v/>
      </c>
      <c r="DF8" s="2">
        <f>IF(DF6=1,DF3,IF(DF6=2,DF4,IF(DF6=3,DF5)))</f>
        <v/>
      </c>
      <c r="DG8" s="2">
        <f>IF(DG6=1,DG3,IF(DG6=2,DG4,IF(DG6=3,DG5)))</f>
        <v/>
      </c>
      <c r="DH8" s="2">
        <f>IF(DH6=1,DH3,IF(DH6=2,DH4,IF(DH6=3,DH5)))</f>
        <v/>
      </c>
      <c r="DI8" s="2">
        <f>IF(DI6=1,DI3,IF(DI6=2,DI4,IF(DI6=3,DI5)))</f>
        <v/>
      </c>
      <c r="DJ8" s="2">
        <f>IF(DJ6=1,DJ3,IF(DJ6=2,DJ4,IF(DJ6=3,DJ5)))</f>
        <v/>
      </c>
      <c r="DK8" s="2">
        <f>IF(DK6=1,DK3,IF(DK6=2,DK4,IF(DK6=3,DK5)))</f>
        <v/>
      </c>
      <c r="DL8" s="2">
        <f>IF(DL6=1,DL3,IF(DL6=2,DL4,IF(DL6=3,DL5)))</f>
        <v/>
      </c>
      <c r="DM8" s="2">
        <f>IF(DM6=1,DM3,IF(DM6=2,DM4,IF(DM6=3,DM5)))</f>
        <v/>
      </c>
      <c r="DN8" s="2">
        <f>IF(DN6=1,DN3,IF(DN6=2,DN4,IF(DN6=3,DN5)))</f>
        <v/>
      </c>
      <c r="DO8" s="2">
        <f>IF(DO6=1,DO3,IF(DO6=2,DO4,IF(DO6=3,DO5)))</f>
        <v/>
      </c>
      <c r="DP8" s="2">
        <f>IF(DP6=1,DP3,IF(DP6=2,DP4,IF(DP6=3,DP5)))</f>
        <v/>
      </c>
      <c r="DQ8" s="2">
        <f>IF(DQ6=1,DQ3,IF(DQ6=2,DQ4,IF(DQ6=3,DQ5)))</f>
        <v/>
      </c>
      <c r="DR8" s="2">
        <f>IF(DR6=1,DR3,IF(DR6=2,DR4,IF(DR6=3,DR5)))</f>
        <v/>
      </c>
      <c r="DS8" s="2">
        <f>IF(DS6=1,DS3,IF(DS6=2,DS4,IF(DS6=3,DS5)))</f>
        <v/>
      </c>
      <c r="DT8" s="2">
        <f>IF(DT6=1,DT3,IF(DT6=2,DT4,IF(DT6=3,DT5)))</f>
        <v/>
      </c>
      <c r="DU8" s="2">
        <f>IF(DU6=1,DU3,IF(DU6=2,DU4,IF(DU6=3,DU5)))</f>
        <v/>
      </c>
      <c r="DV8" s="2">
        <f>IF(DV6=1,DV3,IF(DV6=2,DV4,IF(DV6=3,DV5)))</f>
        <v/>
      </c>
      <c r="DW8" s="2">
        <f>IF(DW6=1,DW3,IF(DW6=2,DW4,IF(DW6=3,DW5)))</f>
        <v/>
      </c>
      <c r="DX8" s="2">
        <f>IF(DX6=1,DX3,IF(DX6=2,DX4,IF(DX6=3,DX5)))</f>
        <v/>
      </c>
      <c r="DY8" s="2">
        <f>IF(DY6=1,DY3,IF(DY6=2,DY4,IF(DY6=3,DY5)))</f>
        <v/>
      </c>
      <c r="DZ8" s="2">
        <f>IF(DZ6=1,DZ3,IF(DZ6=2,DZ4,IF(DZ6=3,DZ5)))</f>
        <v/>
      </c>
      <c r="EA8" s="2">
        <f>IF(EA6=1,EA3,IF(EA6=2,EA4,IF(EA6=3,EA5)))</f>
        <v/>
      </c>
      <c r="EB8" s="2">
        <f>IF(EB6=1,EB3,IF(EB6=2,EB4,IF(EB6=3,EB5)))</f>
        <v/>
      </c>
      <c r="EC8" s="2">
        <f>IF(EC6=1,EC3,IF(EC6=2,EC4,IF(EC6=3,EC5)))</f>
        <v/>
      </c>
      <c r="ED8" s="2">
        <f>IF(ED6=1,ED3,IF(ED6=2,ED4,IF(ED6=3,ED5)))</f>
        <v/>
      </c>
      <c r="EE8" s="2">
        <f>IF(EE6=1,EE3,IF(EE6=2,EE4,IF(EE6=3,EE5)))</f>
        <v/>
      </c>
      <c r="EF8" s="2">
        <f>IF(EF6=1,EF3,IF(EF6=2,EF4,IF(EF6=3,EF5)))</f>
        <v/>
      </c>
      <c r="EG8" s="2">
        <f>IF(EG6=1,EG3,IF(EG6=2,EG4,IF(EG6=3,EG5)))</f>
        <v/>
      </c>
      <c r="EH8" s="2">
        <f>IF(EH6=1,EH3,IF(EH6=2,EH4,IF(EH6=3,EH5)))</f>
        <v/>
      </c>
      <c r="EI8" s="2">
        <f>IF(EI6=1,EI3,IF(EI6=2,EI4,IF(EI6=3,EI5)))</f>
        <v/>
      </c>
      <c r="EJ8" s="2">
        <f>IF(EJ6=1,EJ3,IF(EJ6=2,EJ4,IF(EJ6=3,EJ5)))</f>
        <v/>
      </c>
      <c r="EK8" s="2">
        <f>IF(EK6=1,EK3,IF(EK6=2,EK4,IF(EK6=3,EK5)))</f>
        <v/>
      </c>
      <c r="EL8" s="2">
        <f>IF(EL6=1,EL3,IF(EL6=2,EL4,IF(EL6=3,EL5)))</f>
        <v/>
      </c>
    </row>
    <row r="10">
      <c r="A10" s="13" t="inlineStr">
        <is>
          <t>投資組合</t>
        </is>
      </c>
      <c r="B10" s="14" t="n"/>
      <c r="C10" s="7" t="inlineStr">
        <is>
          <t>公司數</t>
        </is>
      </c>
      <c r="D10" s="7" t="n">
        <v>1051</v>
      </c>
    </row>
    <row r="11">
      <c r="A11" s="7" t="n"/>
      <c r="B11" s="7" t="inlineStr">
        <is>
          <t>等分</t>
        </is>
      </c>
      <c r="C11" s="7" t="inlineStr">
        <is>
          <t>2013/12</t>
        </is>
      </c>
      <c r="D11" s="7" t="inlineStr">
        <is>
          <t>2014/01</t>
        </is>
      </c>
      <c r="E11" s="7" t="inlineStr">
        <is>
          <t>2014/02</t>
        </is>
      </c>
      <c r="F11" s="7" t="inlineStr">
        <is>
          <t>2014/03</t>
        </is>
      </c>
      <c r="G11" s="7" t="inlineStr">
        <is>
          <t>2014/04</t>
        </is>
      </c>
      <c r="H11" s="7" t="inlineStr">
        <is>
          <t>2014/05</t>
        </is>
      </c>
      <c r="I11" s="7" t="inlineStr">
        <is>
          <t>2014/06</t>
        </is>
      </c>
      <c r="J11" s="7" t="inlineStr">
        <is>
          <t>2014/07</t>
        </is>
      </c>
      <c r="K11" s="7" t="inlineStr">
        <is>
          <t>2014/08</t>
        </is>
      </c>
      <c r="L11" s="7" t="inlineStr">
        <is>
          <t>2014/09</t>
        </is>
      </c>
      <c r="M11" s="7" t="inlineStr">
        <is>
          <t>2014/10</t>
        </is>
      </c>
      <c r="N11" s="7" t="inlineStr">
        <is>
          <t>2014/11</t>
        </is>
      </c>
      <c r="O11" s="7" t="inlineStr">
        <is>
          <t>2014/12</t>
        </is>
      </c>
      <c r="P11" s="7" t="inlineStr">
        <is>
          <t>2015/01</t>
        </is>
      </c>
      <c r="Q11" s="7" t="inlineStr">
        <is>
          <t>2015/02</t>
        </is>
      </c>
      <c r="R11" s="7" t="inlineStr">
        <is>
          <t>2015/03</t>
        </is>
      </c>
      <c r="S11" s="7" t="inlineStr">
        <is>
          <t>2015/04</t>
        </is>
      </c>
      <c r="T11" s="7" t="inlineStr">
        <is>
          <t>2015/05</t>
        </is>
      </c>
      <c r="U11" s="7" t="inlineStr">
        <is>
          <t>2015/06</t>
        </is>
      </c>
      <c r="V11" s="7" t="inlineStr">
        <is>
          <t>2015/07</t>
        </is>
      </c>
      <c r="W11" s="7" t="inlineStr">
        <is>
          <t>2015/08</t>
        </is>
      </c>
      <c r="X11" s="7" t="inlineStr">
        <is>
          <t>2015/09</t>
        </is>
      </c>
      <c r="Y11" s="7" t="inlineStr">
        <is>
          <t>2015/10</t>
        </is>
      </c>
      <c r="Z11" s="7" t="inlineStr">
        <is>
          <t>2015/11</t>
        </is>
      </c>
      <c r="AA11" s="7" t="inlineStr">
        <is>
          <t>2015/12</t>
        </is>
      </c>
      <c r="AB11" s="7" t="inlineStr">
        <is>
          <t>2016/01</t>
        </is>
      </c>
      <c r="AC11" s="7" t="inlineStr">
        <is>
          <t>2016/02</t>
        </is>
      </c>
      <c r="AD11" s="7" t="inlineStr">
        <is>
          <t>2016/03</t>
        </is>
      </c>
      <c r="AE11" s="7" t="inlineStr">
        <is>
          <t>2016/04</t>
        </is>
      </c>
      <c r="AF11" s="7" t="inlineStr">
        <is>
          <t>2016/05</t>
        </is>
      </c>
      <c r="AG11" s="7" t="inlineStr">
        <is>
          <t>2016/06</t>
        </is>
      </c>
      <c r="AH11" s="7" t="inlineStr">
        <is>
          <t>2016/07</t>
        </is>
      </c>
      <c r="AI11" s="7" t="inlineStr">
        <is>
          <t>2016/08</t>
        </is>
      </c>
      <c r="AJ11" s="7" t="inlineStr">
        <is>
          <t>2016/09</t>
        </is>
      </c>
      <c r="AK11" s="7" t="inlineStr">
        <is>
          <t>2016/10</t>
        </is>
      </c>
      <c r="AL11" s="7" t="inlineStr">
        <is>
          <t>2016/11</t>
        </is>
      </c>
      <c r="AM11" s="7" t="inlineStr">
        <is>
          <t>2016/12</t>
        </is>
      </c>
      <c r="AN11" s="7" t="inlineStr">
        <is>
          <t>2017/01</t>
        </is>
      </c>
      <c r="AO11" s="7" t="inlineStr">
        <is>
          <t>2017/02</t>
        </is>
      </c>
      <c r="AP11" s="7" t="inlineStr">
        <is>
          <t>2017/03</t>
        </is>
      </c>
      <c r="AQ11" s="7" t="inlineStr">
        <is>
          <t>2017/04</t>
        </is>
      </c>
      <c r="AR11" s="7" t="inlineStr">
        <is>
          <t>2017/05</t>
        </is>
      </c>
      <c r="AS11" s="7" t="inlineStr">
        <is>
          <t>2017/06</t>
        </is>
      </c>
      <c r="AT11" s="7" t="inlineStr">
        <is>
          <t>2017/07</t>
        </is>
      </c>
      <c r="AU11" s="7" t="inlineStr">
        <is>
          <t>2017/08</t>
        </is>
      </c>
      <c r="AV11" s="7" t="inlineStr">
        <is>
          <t>2017/09</t>
        </is>
      </c>
      <c r="AW11" s="7" t="inlineStr">
        <is>
          <t>2017/10</t>
        </is>
      </c>
      <c r="AX11" s="7" t="inlineStr">
        <is>
          <t>2017/11</t>
        </is>
      </c>
      <c r="AY11" s="7" t="inlineStr">
        <is>
          <t>2017/12</t>
        </is>
      </c>
      <c r="AZ11" s="7" t="inlineStr">
        <is>
          <t>2018/01</t>
        </is>
      </c>
      <c r="BA11" s="7" t="inlineStr">
        <is>
          <t>2018/02</t>
        </is>
      </c>
      <c r="BB11" s="7" t="inlineStr">
        <is>
          <t>2018/03</t>
        </is>
      </c>
      <c r="BC11" s="7" t="inlineStr">
        <is>
          <t>2018/04</t>
        </is>
      </c>
      <c r="BD11" s="7" t="inlineStr">
        <is>
          <t>2018/05</t>
        </is>
      </c>
      <c r="BE11" s="7" t="inlineStr">
        <is>
          <t>2018/06</t>
        </is>
      </c>
      <c r="BF11" s="7" t="inlineStr">
        <is>
          <t>2018/07</t>
        </is>
      </c>
      <c r="BG11" s="7" t="inlineStr">
        <is>
          <t>2018/08</t>
        </is>
      </c>
      <c r="BH11" s="7" t="inlineStr">
        <is>
          <t>2018/09</t>
        </is>
      </c>
      <c r="BI11" s="7" t="inlineStr">
        <is>
          <t>2018/10</t>
        </is>
      </c>
      <c r="BJ11" s="7" t="inlineStr">
        <is>
          <t>2018/11</t>
        </is>
      </c>
      <c r="BK11" s="7" t="inlineStr">
        <is>
          <t>2018/12</t>
        </is>
      </c>
      <c r="BL11" s="7" t="inlineStr">
        <is>
          <t>2019/01</t>
        </is>
      </c>
      <c r="BM11" s="7" t="inlineStr">
        <is>
          <t>2019/02</t>
        </is>
      </c>
      <c r="BN11" s="7" t="inlineStr">
        <is>
          <t>2019/03</t>
        </is>
      </c>
      <c r="BO11" s="7" t="inlineStr">
        <is>
          <t>2019/04</t>
        </is>
      </c>
      <c r="BP11" s="7" t="inlineStr">
        <is>
          <t>2019/05</t>
        </is>
      </c>
      <c r="BQ11" s="7" t="inlineStr">
        <is>
          <t>2019/06</t>
        </is>
      </c>
      <c r="BR11" s="7" t="inlineStr">
        <is>
          <t>2019/07</t>
        </is>
      </c>
      <c r="BS11" s="7" t="inlineStr">
        <is>
          <t>2019/08</t>
        </is>
      </c>
      <c r="BT11" s="7" t="inlineStr">
        <is>
          <t>2019/09</t>
        </is>
      </c>
      <c r="BU11" s="7" t="inlineStr">
        <is>
          <t>2019/10</t>
        </is>
      </c>
      <c r="BV11" s="7" t="inlineStr">
        <is>
          <t>2019/11</t>
        </is>
      </c>
      <c r="BW11" s="7" t="inlineStr">
        <is>
          <t>2019/12</t>
        </is>
      </c>
      <c r="BX11" s="7" t="inlineStr">
        <is>
          <t>2020/01</t>
        </is>
      </c>
      <c r="BY11" s="7" t="inlineStr">
        <is>
          <t>2020/02</t>
        </is>
      </c>
      <c r="BZ11" s="7" t="inlineStr">
        <is>
          <t>2020/03</t>
        </is>
      </c>
      <c r="CA11" s="7" t="inlineStr">
        <is>
          <t>2020/04</t>
        </is>
      </c>
      <c r="CB11" s="7" t="inlineStr">
        <is>
          <t>2020/05</t>
        </is>
      </c>
      <c r="CC11" s="7" t="inlineStr">
        <is>
          <t>2020/06</t>
        </is>
      </c>
      <c r="CD11" s="7" t="inlineStr">
        <is>
          <t>2020/07</t>
        </is>
      </c>
      <c r="CE11" s="7" t="inlineStr">
        <is>
          <t>2020/08</t>
        </is>
      </c>
      <c r="CF11" s="7" t="inlineStr">
        <is>
          <t>2020/09</t>
        </is>
      </c>
      <c r="CG11" s="7" t="inlineStr">
        <is>
          <t>2020/10</t>
        </is>
      </c>
      <c r="CH11" s="7" t="inlineStr">
        <is>
          <t>2020/11</t>
        </is>
      </c>
      <c r="CI11" s="7" t="inlineStr">
        <is>
          <t>2020/12</t>
        </is>
      </c>
      <c r="CJ11" s="7" t="inlineStr">
        <is>
          <t>2021/01</t>
        </is>
      </c>
      <c r="CK11" s="7" t="inlineStr">
        <is>
          <t>2021/02</t>
        </is>
      </c>
      <c r="CL11" s="7" t="inlineStr">
        <is>
          <t>2021/03</t>
        </is>
      </c>
      <c r="CM11" s="7" t="inlineStr">
        <is>
          <t>2021/04</t>
        </is>
      </c>
      <c r="CN11" s="7" t="inlineStr">
        <is>
          <t>2021/05</t>
        </is>
      </c>
      <c r="CO11" s="7" t="inlineStr">
        <is>
          <t>2021/06</t>
        </is>
      </c>
      <c r="CP11" s="7" t="inlineStr">
        <is>
          <t>2021/07</t>
        </is>
      </c>
      <c r="CQ11" s="7" t="inlineStr">
        <is>
          <t>2021/08</t>
        </is>
      </c>
      <c r="CR11" s="7" t="inlineStr">
        <is>
          <t>2021/09</t>
        </is>
      </c>
      <c r="CS11" s="7" t="inlineStr">
        <is>
          <t>2021/10</t>
        </is>
      </c>
      <c r="CT11" s="7" t="inlineStr">
        <is>
          <t>2021/11</t>
        </is>
      </c>
      <c r="CU11" s="7" t="inlineStr">
        <is>
          <t>2021/12</t>
        </is>
      </c>
      <c r="CV11" s="7" t="inlineStr">
        <is>
          <t>2022/01</t>
        </is>
      </c>
      <c r="CW11" s="7" t="inlineStr">
        <is>
          <t>2022/02</t>
        </is>
      </c>
      <c r="CX11" s="7" t="inlineStr">
        <is>
          <t>2022/03</t>
        </is>
      </c>
      <c r="CY11" s="7" t="inlineStr">
        <is>
          <t>2022/04</t>
        </is>
      </c>
      <c r="CZ11" s="7" t="inlineStr">
        <is>
          <t>2022/05</t>
        </is>
      </c>
      <c r="DA11" s="7" t="inlineStr">
        <is>
          <t>2022/06</t>
        </is>
      </c>
      <c r="DB11" s="7" t="inlineStr">
        <is>
          <t>2022/07</t>
        </is>
      </c>
      <c r="DC11" s="7" t="inlineStr">
        <is>
          <t>2022/08</t>
        </is>
      </c>
      <c r="DD11" s="7" t="inlineStr">
        <is>
          <t>2022/09</t>
        </is>
      </c>
      <c r="DE11" s="7" t="inlineStr">
        <is>
          <t>2022/10</t>
        </is>
      </c>
      <c r="DF11" s="7" t="inlineStr">
        <is>
          <t>2022/11</t>
        </is>
      </c>
      <c r="DG11" s="7" t="inlineStr">
        <is>
          <t>2022/12</t>
        </is>
      </c>
      <c r="DH11" s="7" t="inlineStr">
        <is>
          <t>2023/01</t>
        </is>
      </c>
      <c r="DI11" s="7" t="inlineStr">
        <is>
          <t>2023/02</t>
        </is>
      </c>
      <c r="DJ11" s="7" t="inlineStr">
        <is>
          <t>2023/03</t>
        </is>
      </c>
      <c r="DK11" s="7" t="inlineStr">
        <is>
          <t>2023/04</t>
        </is>
      </c>
      <c r="DL11" s="7" t="inlineStr">
        <is>
          <t>2023/05</t>
        </is>
      </c>
      <c r="DM11" s="7" t="inlineStr">
        <is>
          <t>2023/06</t>
        </is>
      </c>
      <c r="DN11" s="7" t="inlineStr">
        <is>
          <t>2023/07</t>
        </is>
      </c>
      <c r="DO11" s="7" t="inlineStr">
        <is>
          <t>2023/08</t>
        </is>
      </c>
      <c r="DP11" s="7" t="inlineStr">
        <is>
          <t>2023/09</t>
        </is>
      </c>
      <c r="DQ11" s="7" t="inlineStr">
        <is>
          <t>2023/10</t>
        </is>
      </c>
      <c r="DR11" s="7" t="inlineStr">
        <is>
          <t>2023/11</t>
        </is>
      </c>
      <c r="DS11" s="7" t="inlineStr">
        <is>
          <t>2023/12</t>
        </is>
      </c>
      <c r="DT11" s="7" t="inlineStr">
        <is>
          <t>2024/01</t>
        </is>
      </c>
      <c r="DU11" s="7" t="inlineStr">
        <is>
          <t>2024/02</t>
        </is>
      </c>
      <c r="DV11" s="7" t="inlineStr">
        <is>
          <t>2024/03</t>
        </is>
      </c>
      <c r="DW11" s="7" t="inlineStr">
        <is>
          <t>2024/04</t>
        </is>
      </c>
      <c r="DX11" s="7" t="inlineStr">
        <is>
          <t>2024/05</t>
        </is>
      </c>
      <c r="DY11" s="7" t="inlineStr">
        <is>
          <t>2024/06</t>
        </is>
      </c>
      <c r="DZ11" s="7" t="inlineStr">
        <is>
          <t>2024/07</t>
        </is>
      </c>
      <c r="EA11" s="7" t="inlineStr">
        <is>
          <t>2024/08</t>
        </is>
      </c>
      <c r="EB11" s="7" t="inlineStr">
        <is>
          <t>2024/09</t>
        </is>
      </c>
      <c r="EC11" s="7" t="inlineStr">
        <is>
          <t>2024/10</t>
        </is>
      </c>
      <c r="ED11" s="7" t="inlineStr">
        <is>
          <t>2024/11</t>
        </is>
      </c>
      <c r="EE11" s="7" t="inlineStr">
        <is>
          <t>2024/12</t>
        </is>
      </c>
      <c r="EF11" s="7" t="inlineStr">
        <is>
          <t>2025/01</t>
        </is>
      </c>
      <c r="EG11" s="7" t="inlineStr">
        <is>
          <t>2025/02</t>
        </is>
      </c>
      <c r="EH11" s="7" t="inlineStr">
        <is>
          <t>2025/03</t>
        </is>
      </c>
      <c r="EI11" s="7" t="inlineStr">
        <is>
          <t>2025/04</t>
        </is>
      </c>
      <c r="EJ11" s="7" t="inlineStr">
        <is>
          <t>2025/05</t>
        </is>
      </c>
      <c r="EK11" s="7" t="inlineStr">
        <is>
          <t>2025/06</t>
        </is>
      </c>
      <c r="EL11" s="7" t="inlineStr">
        <is>
          <t>2025/07</t>
        </is>
      </c>
    </row>
    <row r="12">
      <c r="A12" s="13" t="n"/>
      <c r="B12" s="13" t="n">
        <v>10</v>
      </c>
      <c r="C12" s="2" t="n">
        <v>0.09819950192441131</v>
      </c>
      <c r="D12" s="2">
        <f>C12+真實IC!D12</f>
        <v/>
      </c>
      <c r="E12" s="2">
        <f>D12+真實IC!E12</f>
        <v/>
      </c>
      <c r="F12" s="2">
        <f>E12+真實IC!F12</f>
        <v/>
      </c>
      <c r="G12" s="2">
        <f>F12+真實IC!G12</f>
        <v/>
      </c>
      <c r="H12" s="2">
        <f>G12+真實IC!H12</f>
        <v/>
      </c>
      <c r="I12" s="2">
        <f>H12+真實IC!I12</f>
        <v/>
      </c>
      <c r="J12" s="2">
        <f>I12+真實IC!J12</f>
        <v/>
      </c>
      <c r="K12" s="2">
        <f>J12+真實IC!K12</f>
        <v/>
      </c>
      <c r="L12" s="2">
        <f>K12+真實IC!L12</f>
        <v/>
      </c>
      <c r="M12" s="2">
        <f>L12+真實IC!M12</f>
        <v/>
      </c>
      <c r="N12" s="2">
        <f>M12+真實IC!N12</f>
        <v/>
      </c>
      <c r="O12" s="2">
        <f>N12+真實IC!O12</f>
        <v/>
      </c>
      <c r="P12" s="2">
        <f>O12+真實IC!P12</f>
        <v/>
      </c>
      <c r="Q12" s="2">
        <f>P12+真實IC!Q12</f>
        <v/>
      </c>
      <c r="R12" s="2">
        <f>Q12+真實IC!R12</f>
        <v/>
      </c>
      <c r="S12" s="2">
        <f>R12+真實IC!S12</f>
        <v/>
      </c>
      <c r="T12" s="2">
        <f>S12+真實IC!T12</f>
        <v/>
      </c>
      <c r="U12" s="2">
        <f>T12+真實IC!U12</f>
        <v/>
      </c>
      <c r="V12" s="2">
        <f>U12+真實IC!V12</f>
        <v/>
      </c>
      <c r="W12" s="2">
        <f>V12+真實IC!W12</f>
        <v/>
      </c>
      <c r="X12" s="2">
        <f>W12+真實IC!X12</f>
        <v/>
      </c>
      <c r="Y12" s="2">
        <f>X12+真實IC!Y12</f>
        <v/>
      </c>
      <c r="Z12" s="2">
        <f>Y12+真實IC!Z12</f>
        <v/>
      </c>
      <c r="AA12" s="2">
        <f>Z12+真實IC!AA12</f>
        <v/>
      </c>
      <c r="AB12" s="2">
        <f>AA12+真實IC!AB12</f>
        <v/>
      </c>
      <c r="AC12" s="2">
        <f>AB12+真實IC!AC12</f>
        <v/>
      </c>
      <c r="AD12" s="2">
        <f>AC12+真實IC!AD12</f>
        <v/>
      </c>
      <c r="AE12" s="2">
        <f>AD12+真實IC!AE12</f>
        <v/>
      </c>
      <c r="AF12" s="2">
        <f>AE12+真實IC!AF12</f>
        <v/>
      </c>
      <c r="AG12" s="2">
        <f>AF12+真實IC!AG12</f>
        <v/>
      </c>
      <c r="AH12" s="2">
        <f>AG12+真實IC!AH12</f>
        <v/>
      </c>
      <c r="AI12" s="2">
        <f>AH12+真實IC!AI12</f>
        <v/>
      </c>
      <c r="AJ12" s="2">
        <f>AI12+真實IC!AJ12</f>
        <v/>
      </c>
      <c r="AK12" s="2">
        <f>AJ12+真實IC!AK12</f>
        <v/>
      </c>
      <c r="AL12" s="2">
        <f>AK12+真實IC!AL12</f>
        <v/>
      </c>
      <c r="AM12" s="2">
        <f>AL12+真實IC!AM12</f>
        <v/>
      </c>
      <c r="AN12" s="2">
        <f>AM12+真實IC!AN12</f>
        <v/>
      </c>
      <c r="AO12" s="2">
        <f>AN12+真實IC!AO12</f>
        <v/>
      </c>
      <c r="AP12" s="2">
        <f>AO12+真實IC!AP12</f>
        <v/>
      </c>
      <c r="AQ12" s="2">
        <f>AP12+真實IC!AQ12</f>
        <v/>
      </c>
      <c r="AR12" s="2">
        <f>AQ12+真實IC!AR12</f>
        <v/>
      </c>
      <c r="AS12" s="2">
        <f>AR12+真實IC!AS12</f>
        <v/>
      </c>
      <c r="AT12" s="2">
        <f>AS12+真實IC!AT12</f>
        <v/>
      </c>
      <c r="AU12" s="2">
        <f>AT12+真實IC!AU12</f>
        <v/>
      </c>
      <c r="AV12" s="2">
        <f>AU12+真實IC!AV12</f>
        <v/>
      </c>
      <c r="AW12" s="2">
        <f>AV12+真實IC!AW12</f>
        <v/>
      </c>
      <c r="AX12" s="2">
        <f>AW12+真實IC!AX12</f>
        <v/>
      </c>
      <c r="AY12" s="2">
        <f>AX12+真實IC!AY12</f>
        <v/>
      </c>
      <c r="AZ12" s="2">
        <f>AY12+真實IC!AZ12</f>
        <v/>
      </c>
      <c r="BA12" s="2">
        <f>AZ12+真實IC!BA12</f>
        <v/>
      </c>
      <c r="BB12" s="2">
        <f>BA12+真實IC!BB12</f>
        <v/>
      </c>
      <c r="BC12" s="2">
        <f>BB12+真實IC!BC12</f>
        <v/>
      </c>
      <c r="BD12" s="2">
        <f>BC12+真實IC!BD12</f>
        <v/>
      </c>
      <c r="BE12" s="2">
        <f>BD12+真實IC!BE12</f>
        <v/>
      </c>
      <c r="BF12" s="2">
        <f>BE12+真實IC!BF12</f>
        <v/>
      </c>
      <c r="BG12" s="2">
        <f>BF12+真實IC!BG12</f>
        <v/>
      </c>
      <c r="BH12" s="2">
        <f>BG12+真實IC!BH12</f>
        <v/>
      </c>
      <c r="BI12" s="2">
        <f>BH12+真實IC!BI12</f>
        <v/>
      </c>
      <c r="BJ12" s="2">
        <f>BI12+真實IC!BJ12</f>
        <v/>
      </c>
      <c r="BK12" s="2">
        <f>BJ12+真實IC!BK12</f>
        <v/>
      </c>
      <c r="BL12" s="2">
        <f>BK12+真實IC!BL12</f>
        <v/>
      </c>
      <c r="BM12" s="2">
        <f>BL12+真實IC!BM12</f>
        <v/>
      </c>
      <c r="BN12" s="2">
        <f>BM12+真實IC!BN12</f>
        <v/>
      </c>
      <c r="BO12" s="2">
        <f>BN12+真實IC!BO12</f>
        <v/>
      </c>
      <c r="BP12" s="2">
        <f>BO12+真實IC!BP12</f>
        <v/>
      </c>
      <c r="BQ12" s="2">
        <f>BP12+真實IC!BQ12</f>
        <v/>
      </c>
      <c r="BR12" s="2">
        <f>BQ12+真實IC!BR12</f>
        <v/>
      </c>
      <c r="BS12" s="2">
        <f>BR12+真實IC!BS12</f>
        <v/>
      </c>
      <c r="BT12" s="2">
        <f>BS12+真實IC!BT12</f>
        <v/>
      </c>
      <c r="BU12" s="2">
        <f>BT12+真實IC!BU12</f>
        <v/>
      </c>
      <c r="BV12" s="2">
        <f>BU12+真實IC!BV12</f>
        <v/>
      </c>
      <c r="BW12" s="2">
        <f>BV12+真實IC!BW12</f>
        <v/>
      </c>
      <c r="BX12" s="2">
        <f>BW12+真實IC!BX12</f>
        <v/>
      </c>
      <c r="BY12" s="2">
        <f>BX12+真實IC!BY12</f>
        <v/>
      </c>
      <c r="BZ12" s="2">
        <f>BY12+真實IC!BZ12</f>
        <v/>
      </c>
      <c r="CA12" s="2">
        <f>BZ12+真實IC!CA12</f>
        <v/>
      </c>
      <c r="CB12" s="2">
        <f>CA12+真實IC!CB12</f>
        <v/>
      </c>
      <c r="CC12" s="2">
        <f>CB12+真實IC!CC12</f>
        <v/>
      </c>
      <c r="CD12" s="2">
        <f>CC12+真實IC!CD12</f>
        <v/>
      </c>
      <c r="CE12" s="2">
        <f>CD12+真實IC!CE12</f>
        <v/>
      </c>
      <c r="CF12" s="2">
        <f>CE12+真實IC!CF12</f>
        <v/>
      </c>
      <c r="CG12" s="2">
        <f>CF12+真實IC!CG12</f>
        <v/>
      </c>
      <c r="CH12" s="2">
        <f>CG12+真實IC!CH12</f>
        <v/>
      </c>
      <c r="CI12" s="2">
        <f>CH12+真實IC!CI12</f>
        <v/>
      </c>
      <c r="CJ12" s="2">
        <f>CI12+真實IC!CJ12</f>
        <v/>
      </c>
      <c r="CK12" s="2">
        <f>CJ12+真實IC!CK12</f>
        <v/>
      </c>
      <c r="CL12" s="2">
        <f>CK12+真實IC!CL12</f>
        <v/>
      </c>
      <c r="CM12" s="2">
        <f>CL12+真實IC!CM12</f>
        <v/>
      </c>
      <c r="CN12" s="2">
        <f>CM12+真實IC!CN12</f>
        <v/>
      </c>
      <c r="CO12" s="2">
        <f>CN12+真實IC!CO12</f>
        <v/>
      </c>
      <c r="CP12" s="2">
        <f>CO12+真實IC!CP12</f>
        <v/>
      </c>
      <c r="CQ12" s="2">
        <f>CP12+真實IC!CQ12</f>
        <v/>
      </c>
      <c r="CR12" s="2">
        <f>CQ12+真實IC!CR12</f>
        <v/>
      </c>
      <c r="CS12" s="2">
        <f>CR12+真實IC!CS12</f>
        <v/>
      </c>
      <c r="CT12" s="2">
        <f>CS12+真實IC!CT12</f>
        <v/>
      </c>
      <c r="CU12" s="2">
        <f>CT12+真實IC!CU12</f>
        <v/>
      </c>
      <c r="CV12" s="2">
        <f>CU12+真實IC!CV12</f>
        <v/>
      </c>
      <c r="CW12" s="2">
        <f>CV12+真實IC!CW12</f>
        <v/>
      </c>
      <c r="CX12" s="2">
        <f>CW12+真實IC!CX12</f>
        <v/>
      </c>
      <c r="CY12" s="2">
        <f>CX12+真實IC!CY12</f>
        <v/>
      </c>
      <c r="CZ12" s="2">
        <f>CY12+真實IC!CZ12</f>
        <v/>
      </c>
      <c r="DA12" s="2">
        <f>CZ12+真實IC!DA12</f>
        <v/>
      </c>
      <c r="DB12" s="2">
        <f>DA12+真實IC!DB12</f>
        <v/>
      </c>
      <c r="DC12" s="2">
        <f>DB12+真實IC!DC12</f>
        <v/>
      </c>
      <c r="DD12" s="2">
        <f>DC12+真實IC!DD12</f>
        <v/>
      </c>
      <c r="DE12" s="2">
        <f>DD12+真實IC!DE12</f>
        <v/>
      </c>
      <c r="DF12" s="2">
        <f>DE12+真實IC!DF12</f>
        <v/>
      </c>
      <c r="DG12" s="2">
        <f>DF12+真實IC!DG12</f>
        <v/>
      </c>
      <c r="DH12" s="2">
        <f>DG12+真實IC!DH12</f>
        <v/>
      </c>
      <c r="DI12" s="2">
        <f>DH12+真實IC!DI12</f>
        <v/>
      </c>
      <c r="DJ12" s="2">
        <f>DI12+真實IC!DJ12</f>
        <v/>
      </c>
      <c r="DK12" s="2">
        <f>DJ12+真實IC!DK12</f>
        <v/>
      </c>
      <c r="DL12" s="2">
        <f>DK12+真實IC!DL12</f>
        <v/>
      </c>
      <c r="DM12" s="2">
        <f>DL12+真實IC!DM12</f>
        <v/>
      </c>
      <c r="DN12" s="2">
        <f>DM12+真實IC!DN12</f>
        <v/>
      </c>
      <c r="DO12" s="2">
        <f>DN12+真實IC!DO12</f>
        <v/>
      </c>
      <c r="DP12" s="2">
        <f>DO12+真實IC!DP12</f>
        <v/>
      </c>
      <c r="DQ12" s="2">
        <f>DP12+真實IC!DQ12</f>
        <v/>
      </c>
      <c r="DR12" s="2">
        <f>DQ12+真實IC!DR12</f>
        <v/>
      </c>
      <c r="DS12" s="2">
        <f>DR12+真實IC!DS12</f>
        <v/>
      </c>
      <c r="DT12" s="2">
        <f>DS12+真實IC!DT12</f>
        <v/>
      </c>
      <c r="DU12" s="2">
        <f>DT12+真實IC!DU12</f>
        <v/>
      </c>
      <c r="DV12" s="2">
        <f>DU12+真實IC!DV12</f>
        <v/>
      </c>
      <c r="DW12" s="2">
        <f>DV12+真實IC!DW12</f>
        <v/>
      </c>
      <c r="DX12" s="2">
        <f>DW12+真實IC!DX12</f>
        <v/>
      </c>
      <c r="DY12" s="2">
        <f>DX12+真實IC!DY12</f>
        <v/>
      </c>
      <c r="DZ12" s="2">
        <f>DY12+真實IC!DZ12</f>
        <v/>
      </c>
      <c r="EA12" s="2">
        <f>DZ12+真實IC!EA12</f>
        <v/>
      </c>
      <c r="EB12" s="2">
        <f>EA12+真實IC!EB12</f>
        <v/>
      </c>
      <c r="EC12" s="2">
        <f>EB12+真實IC!EC12</f>
        <v/>
      </c>
      <c r="ED12" s="2">
        <f>EC12+真實IC!ED12</f>
        <v/>
      </c>
      <c r="EE12" s="2">
        <f>ED12+真實IC!EE12</f>
        <v/>
      </c>
      <c r="EF12" s="2">
        <f>EE12+真實IC!EF12</f>
        <v/>
      </c>
      <c r="EG12" s="2">
        <f>EF12+真實IC!EG12</f>
        <v/>
      </c>
      <c r="EH12" s="2">
        <f>EG12+真實IC!EH12</f>
        <v/>
      </c>
      <c r="EI12" s="2">
        <f>EH12+真實IC!EI12</f>
        <v/>
      </c>
      <c r="EJ12" s="2">
        <f>EI12+真實IC!EJ12</f>
        <v/>
      </c>
      <c r="EK12" s="2">
        <f>EJ12+真實IC!EK12</f>
        <v/>
      </c>
      <c r="EL12" s="2">
        <f>EK12+真實IC!EL12</f>
        <v/>
      </c>
    </row>
    <row r="13">
      <c r="A13" s="13" t="n"/>
      <c r="B13" s="13" t="n">
        <v>20</v>
      </c>
      <c r="C13" s="2" t="n">
        <v>0.1210777616647176</v>
      </c>
      <c r="D13" s="2">
        <f>C13+真實IC!D13</f>
        <v/>
      </c>
      <c r="E13" s="2">
        <f>D13+真實IC!E13</f>
        <v/>
      </c>
      <c r="F13" s="2">
        <f>E13+真實IC!F13</f>
        <v/>
      </c>
      <c r="G13" s="2">
        <f>F13+真實IC!G13</f>
        <v/>
      </c>
      <c r="H13" s="2">
        <f>G13+真實IC!H13</f>
        <v/>
      </c>
      <c r="I13" s="2">
        <f>H13+真實IC!I13</f>
        <v/>
      </c>
      <c r="J13" s="2">
        <f>I13+真實IC!J13</f>
        <v/>
      </c>
      <c r="K13" s="2">
        <f>J13+真實IC!K13</f>
        <v/>
      </c>
      <c r="L13" s="2">
        <f>K13+真實IC!L13</f>
        <v/>
      </c>
      <c r="M13" s="2">
        <f>L13+真實IC!M13</f>
        <v/>
      </c>
      <c r="N13" s="2">
        <f>M13+真實IC!N13</f>
        <v/>
      </c>
      <c r="O13" s="2">
        <f>N13+真實IC!O13</f>
        <v/>
      </c>
      <c r="P13" s="2">
        <f>O13+真實IC!P13</f>
        <v/>
      </c>
      <c r="Q13" s="2">
        <f>P13+真實IC!Q13</f>
        <v/>
      </c>
      <c r="R13" s="2">
        <f>Q13+真實IC!R13</f>
        <v/>
      </c>
      <c r="S13" s="2">
        <f>R13+真實IC!S13</f>
        <v/>
      </c>
      <c r="T13" s="2">
        <f>S13+真實IC!T13</f>
        <v/>
      </c>
      <c r="U13" s="2">
        <f>T13+真實IC!U13</f>
        <v/>
      </c>
      <c r="V13" s="2">
        <f>U13+真實IC!V13</f>
        <v/>
      </c>
      <c r="W13" s="2">
        <f>V13+真實IC!W13</f>
        <v/>
      </c>
      <c r="X13" s="2">
        <f>W13+真實IC!X13</f>
        <v/>
      </c>
      <c r="Y13" s="2">
        <f>X13+真實IC!Y13</f>
        <v/>
      </c>
      <c r="Z13" s="2">
        <f>Y13+真實IC!Z13</f>
        <v/>
      </c>
      <c r="AA13" s="2">
        <f>Z13+真實IC!AA13</f>
        <v/>
      </c>
      <c r="AB13" s="2">
        <f>AA13+真實IC!AB13</f>
        <v/>
      </c>
      <c r="AC13" s="2">
        <f>AB13+真實IC!AC13</f>
        <v/>
      </c>
      <c r="AD13" s="2">
        <f>AC13+真實IC!AD13</f>
        <v/>
      </c>
      <c r="AE13" s="2">
        <f>AD13+真實IC!AE13</f>
        <v/>
      </c>
      <c r="AF13" s="2">
        <f>AE13+真實IC!AF13</f>
        <v/>
      </c>
      <c r="AG13" s="2">
        <f>AF13+真實IC!AG13</f>
        <v/>
      </c>
      <c r="AH13" s="2">
        <f>AG13+真實IC!AH13</f>
        <v/>
      </c>
      <c r="AI13" s="2">
        <f>AH13+真實IC!AI13</f>
        <v/>
      </c>
      <c r="AJ13" s="2">
        <f>AI13+真實IC!AJ13</f>
        <v/>
      </c>
      <c r="AK13" s="2">
        <f>AJ13+真實IC!AK13</f>
        <v/>
      </c>
      <c r="AL13" s="2">
        <f>AK13+真實IC!AL13</f>
        <v/>
      </c>
      <c r="AM13" s="2">
        <f>AL13+真實IC!AM13</f>
        <v/>
      </c>
      <c r="AN13" s="2">
        <f>AM13+真實IC!AN13</f>
        <v/>
      </c>
      <c r="AO13" s="2">
        <f>AN13+真實IC!AO13</f>
        <v/>
      </c>
      <c r="AP13" s="2">
        <f>AO13+真實IC!AP13</f>
        <v/>
      </c>
      <c r="AQ13" s="2">
        <f>AP13+真實IC!AQ13</f>
        <v/>
      </c>
      <c r="AR13" s="2">
        <f>AQ13+真實IC!AR13</f>
        <v/>
      </c>
      <c r="AS13" s="2">
        <f>AR13+真實IC!AS13</f>
        <v/>
      </c>
      <c r="AT13" s="2">
        <f>AS13+真實IC!AT13</f>
        <v/>
      </c>
      <c r="AU13" s="2">
        <f>AT13+真實IC!AU13</f>
        <v/>
      </c>
      <c r="AV13" s="2">
        <f>AU13+真實IC!AV13</f>
        <v/>
      </c>
      <c r="AW13" s="2">
        <f>AV13+真實IC!AW13</f>
        <v/>
      </c>
      <c r="AX13" s="2">
        <f>AW13+真實IC!AX13</f>
        <v/>
      </c>
      <c r="AY13" s="2">
        <f>AX13+真實IC!AY13</f>
        <v/>
      </c>
      <c r="AZ13" s="2">
        <f>AY13+真實IC!AZ13</f>
        <v/>
      </c>
      <c r="BA13" s="2">
        <f>AZ13+真實IC!BA13</f>
        <v/>
      </c>
      <c r="BB13" s="2">
        <f>BA13+真實IC!BB13</f>
        <v/>
      </c>
      <c r="BC13" s="2">
        <f>BB13+真實IC!BC13</f>
        <v/>
      </c>
      <c r="BD13" s="2">
        <f>BC13+真實IC!BD13</f>
        <v/>
      </c>
      <c r="BE13" s="2">
        <f>BD13+真實IC!BE13</f>
        <v/>
      </c>
      <c r="BF13" s="2">
        <f>BE13+真實IC!BF13</f>
        <v/>
      </c>
      <c r="BG13" s="2">
        <f>BF13+真實IC!BG13</f>
        <v/>
      </c>
      <c r="BH13" s="2">
        <f>BG13+真實IC!BH13</f>
        <v/>
      </c>
      <c r="BI13" s="2">
        <f>BH13+真實IC!BI13</f>
        <v/>
      </c>
      <c r="BJ13" s="2">
        <f>BI13+真實IC!BJ13</f>
        <v/>
      </c>
      <c r="BK13" s="2">
        <f>BJ13+真實IC!BK13</f>
        <v/>
      </c>
      <c r="BL13" s="2">
        <f>BK13+真實IC!BL13</f>
        <v/>
      </c>
      <c r="BM13" s="2">
        <f>BL13+真實IC!BM13</f>
        <v/>
      </c>
      <c r="BN13" s="2">
        <f>BM13+真實IC!BN13</f>
        <v/>
      </c>
      <c r="BO13" s="2">
        <f>BN13+真實IC!BO13</f>
        <v/>
      </c>
      <c r="BP13" s="2">
        <f>BO13+真實IC!BP13</f>
        <v/>
      </c>
      <c r="BQ13" s="2">
        <f>BP13+真實IC!BQ13</f>
        <v/>
      </c>
      <c r="BR13" s="2">
        <f>BQ13+真實IC!BR13</f>
        <v/>
      </c>
      <c r="BS13" s="2">
        <f>BR13+真實IC!BS13</f>
        <v/>
      </c>
      <c r="BT13" s="2">
        <f>BS13+真實IC!BT13</f>
        <v/>
      </c>
      <c r="BU13" s="2">
        <f>BT13+真實IC!BU13</f>
        <v/>
      </c>
      <c r="BV13" s="2">
        <f>BU13+真實IC!BV13</f>
        <v/>
      </c>
      <c r="BW13" s="2">
        <f>BV13+真實IC!BW13</f>
        <v/>
      </c>
      <c r="BX13" s="2">
        <f>BW13+真實IC!BX13</f>
        <v/>
      </c>
      <c r="BY13" s="2">
        <f>BX13+真實IC!BY13</f>
        <v/>
      </c>
      <c r="BZ13" s="2">
        <f>BY13+真實IC!BZ13</f>
        <v/>
      </c>
      <c r="CA13" s="2">
        <f>BZ13+真實IC!CA13</f>
        <v/>
      </c>
      <c r="CB13" s="2">
        <f>CA13+真實IC!CB13</f>
        <v/>
      </c>
      <c r="CC13" s="2">
        <f>CB13+真實IC!CC13</f>
        <v/>
      </c>
      <c r="CD13" s="2">
        <f>CC13+真實IC!CD13</f>
        <v/>
      </c>
      <c r="CE13" s="2">
        <f>CD13+真實IC!CE13</f>
        <v/>
      </c>
      <c r="CF13" s="2">
        <f>CE13+真實IC!CF13</f>
        <v/>
      </c>
      <c r="CG13" s="2">
        <f>CF13+真實IC!CG13</f>
        <v/>
      </c>
      <c r="CH13" s="2">
        <f>CG13+真實IC!CH13</f>
        <v/>
      </c>
      <c r="CI13" s="2">
        <f>CH13+真實IC!CI13</f>
        <v/>
      </c>
      <c r="CJ13" s="2">
        <f>CI13+真實IC!CJ13</f>
        <v/>
      </c>
      <c r="CK13" s="2">
        <f>CJ13+真實IC!CK13</f>
        <v/>
      </c>
      <c r="CL13" s="2">
        <f>CK13+真實IC!CL13</f>
        <v/>
      </c>
      <c r="CM13" s="2">
        <f>CL13+真實IC!CM13</f>
        <v/>
      </c>
      <c r="CN13" s="2">
        <f>CM13+真實IC!CN13</f>
        <v/>
      </c>
      <c r="CO13" s="2">
        <f>CN13+真實IC!CO13</f>
        <v/>
      </c>
      <c r="CP13" s="2">
        <f>CO13+真實IC!CP13</f>
        <v/>
      </c>
      <c r="CQ13" s="2">
        <f>CP13+真實IC!CQ13</f>
        <v/>
      </c>
      <c r="CR13" s="2">
        <f>CQ13+真實IC!CR13</f>
        <v/>
      </c>
      <c r="CS13" s="2">
        <f>CR13+真實IC!CS13</f>
        <v/>
      </c>
      <c r="CT13" s="2">
        <f>CS13+真實IC!CT13</f>
        <v/>
      </c>
      <c r="CU13" s="2">
        <f>CT13+真實IC!CU13</f>
        <v/>
      </c>
      <c r="CV13" s="2">
        <f>CU13+真實IC!CV13</f>
        <v/>
      </c>
      <c r="CW13" s="2">
        <f>CV13+真實IC!CW13</f>
        <v/>
      </c>
      <c r="CX13" s="2">
        <f>CW13+真實IC!CX13</f>
        <v/>
      </c>
      <c r="CY13" s="2">
        <f>CX13+真實IC!CY13</f>
        <v/>
      </c>
      <c r="CZ13" s="2">
        <f>CY13+真實IC!CZ13</f>
        <v/>
      </c>
      <c r="DA13" s="2">
        <f>CZ13+真實IC!DA13</f>
        <v/>
      </c>
      <c r="DB13" s="2">
        <f>DA13+真實IC!DB13</f>
        <v/>
      </c>
      <c r="DC13" s="2">
        <f>DB13+真實IC!DC13</f>
        <v/>
      </c>
      <c r="DD13" s="2">
        <f>DC13+真實IC!DD13</f>
        <v/>
      </c>
      <c r="DE13" s="2">
        <f>DD13+真實IC!DE13</f>
        <v/>
      </c>
      <c r="DF13" s="2">
        <f>DE13+真實IC!DF13</f>
        <v/>
      </c>
      <c r="DG13" s="2">
        <f>DF13+真實IC!DG13</f>
        <v/>
      </c>
      <c r="DH13" s="2">
        <f>DG13+真實IC!DH13</f>
        <v/>
      </c>
      <c r="DI13" s="2">
        <f>DH13+真實IC!DI13</f>
        <v/>
      </c>
      <c r="DJ13" s="2">
        <f>DI13+真實IC!DJ13</f>
        <v/>
      </c>
      <c r="DK13" s="2">
        <f>DJ13+真實IC!DK13</f>
        <v/>
      </c>
      <c r="DL13" s="2">
        <f>DK13+真實IC!DL13</f>
        <v/>
      </c>
      <c r="DM13" s="2">
        <f>DL13+真實IC!DM13</f>
        <v/>
      </c>
      <c r="DN13" s="2">
        <f>DM13+真實IC!DN13</f>
        <v/>
      </c>
      <c r="DO13" s="2">
        <f>DN13+真實IC!DO13</f>
        <v/>
      </c>
      <c r="DP13" s="2">
        <f>DO13+真實IC!DP13</f>
        <v/>
      </c>
      <c r="DQ13" s="2">
        <f>DP13+真實IC!DQ13</f>
        <v/>
      </c>
      <c r="DR13" s="2">
        <f>DQ13+真實IC!DR13</f>
        <v/>
      </c>
      <c r="DS13" s="2">
        <f>DR13+真實IC!DS13</f>
        <v/>
      </c>
      <c r="DT13" s="2">
        <f>DS13+真實IC!DT13</f>
        <v/>
      </c>
      <c r="DU13" s="2">
        <f>DT13+真實IC!DU13</f>
        <v/>
      </c>
      <c r="DV13" s="2">
        <f>DU13+真實IC!DV13</f>
        <v/>
      </c>
      <c r="DW13" s="2">
        <f>DV13+真實IC!DW13</f>
        <v/>
      </c>
      <c r="DX13" s="2">
        <f>DW13+真實IC!DX13</f>
        <v/>
      </c>
      <c r="DY13" s="2">
        <f>DX13+真實IC!DY13</f>
        <v/>
      </c>
      <c r="DZ13" s="2">
        <f>DY13+真實IC!DZ13</f>
        <v/>
      </c>
      <c r="EA13" s="2">
        <f>DZ13+真實IC!EA13</f>
        <v/>
      </c>
      <c r="EB13" s="2">
        <f>EA13+真實IC!EB13</f>
        <v/>
      </c>
      <c r="EC13" s="2">
        <f>EB13+真實IC!EC13</f>
        <v/>
      </c>
      <c r="ED13" s="2">
        <f>EC13+真實IC!ED13</f>
        <v/>
      </c>
      <c r="EE13" s="2">
        <f>ED13+真實IC!EE13</f>
        <v/>
      </c>
      <c r="EF13" s="2">
        <f>EE13+真實IC!EF13</f>
        <v/>
      </c>
      <c r="EG13" s="2">
        <f>EF13+真實IC!EG13</f>
        <v/>
      </c>
      <c r="EH13" s="2">
        <f>EG13+真實IC!EH13</f>
        <v/>
      </c>
      <c r="EI13" s="2">
        <f>EH13+真實IC!EI13</f>
        <v/>
      </c>
      <c r="EJ13" s="2">
        <f>EI13+真實IC!EJ13</f>
        <v/>
      </c>
      <c r="EK13" s="2">
        <f>EJ13+真實IC!EK13</f>
        <v/>
      </c>
      <c r="EL13" s="2">
        <f>EK13+真實IC!EL13</f>
        <v/>
      </c>
    </row>
    <row r="14">
      <c r="A14" s="13" t="n"/>
      <c r="B14" s="13" t="n">
        <v>50</v>
      </c>
      <c r="C14" s="2" t="n">
        <v>0.1322051333097304</v>
      </c>
      <c r="D14" s="2">
        <f>C14+真實IC!D14</f>
        <v/>
      </c>
      <c r="E14" s="2">
        <f>D14+真實IC!E14</f>
        <v/>
      </c>
      <c r="F14" s="2">
        <f>E14+真實IC!F14</f>
        <v/>
      </c>
      <c r="G14" s="2">
        <f>F14+真實IC!G14</f>
        <v/>
      </c>
      <c r="H14" s="2">
        <f>G14+真實IC!H14</f>
        <v/>
      </c>
      <c r="I14" s="2">
        <f>H14+真實IC!I14</f>
        <v/>
      </c>
      <c r="J14" s="2">
        <f>I14+真實IC!J14</f>
        <v/>
      </c>
      <c r="K14" s="2">
        <f>J14+真實IC!K14</f>
        <v/>
      </c>
      <c r="L14" s="2">
        <f>K14+真實IC!L14</f>
        <v/>
      </c>
      <c r="M14" s="2">
        <f>L14+真實IC!M14</f>
        <v/>
      </c>
      <c r="N14" s="2">
        <f>M14+真實IC!N14</f>
        <v/>
      </c>
      <c r="O14" s="2">
        <f>N14+真實IC!O14</f>
        <v/>
      </c>
      <c r="P14" s="2">
        <f>O14+真實IC!P14</f>
        <v/>
      </c>
      <c r="Q14" s="2">
        <f>P14+真實IC!Q14</f>
        <v/>
      </c>
      <c r="R14" s="2">
        <f>Q14+真實IC!R14</f>
        <v/>
      </c>
      <c r="S14" s="2">
        <f>R14+真實IC!S14</f>
        <v/>
      </c>
      <c r="T14" s="2">
        <f>S14+真實IC!T14</f>
        <v/>
      </c>
      <c r="U14" s="2">
        <f>T14+真實IC!U14</f>
        <v/>
      </c>
      <c r="V14" s="2">
        <f>U14+真實IC!V14</f>
        <v/>
      </c>
      <c r="W14" s="2">
        <f>V14+真實IC!W14</f>
        <v/>
      </c>
      <c r="X14" s="2">
        <f>W14+真實IC!X14</f>
        <v/>
      </c>
      <c r="Y14" s="2">
        <f>X14+真實IC!Y14</f>
        <v/>
      </c>
      <c r="Z14" s="2">
        <f>Y14+真實IC!Z14</f>
        <v/>
      </c>
      <c r="AA14" s="2">
        <f>Z14+真實IC!AA14</f>
        <v/>
      </c>
      <c r="AB14" s="2">
        <f>AA14+真實IC!AB14</f>
        <v/>
      </c>
      <c r="AC14" s="2">
        <f>AB14+真實IC!AC14</f>
        <v/>
      </c>
      <c r="AD14" s="2">
        <f>AC14+真實IC!AD14</f>
        <v/>
      </c>
      <c r="AE14" s="2">
        <f>AD14+真實IC!AE14</f>
        <v/>
      </c>
      <c r="AF14" s="2">
        <f>AE14+真實IC!AF14</f>
        <v/>
      </c>
      <c r="AG14" s="2">
        <f>AF14+真實IC!AG14</f>
        <v/>
      </c>
      <c r="AH14" s="2">
        <f>AG14+真實IC!AH14</f>
        <v/>
      </c>
      <c r="AI14" s="2">
        <f>AH14+真實IC!AI14</f>
        <v/>
      </c>
      <c r="AJ14" s="2">
        <f>AI14+真實IC!AJ14</f>
        <v/>
      </c>
      <c r="AK14" s="2">
        <f>AJ14+真實IC!AK14</f>
        <v/>
      </c>
      <c r="AL14" s="2">
        <f>AK14+真實IC!AL14</f>
        <v/>
      </c>
      <c r="AM14" s="2">
        <f>AL14+真實IC!AM14</f>
        <v/>
      </c>
      <c r="AN14" s="2">
        <f>AM14+真實IC!AN14</f>
        <v/>
      </c>
      <c r="AO14" s="2">
        <f>AN14+真實IC!AO14</f>
        <v/>
      </c>
      <c r="AP14" s="2">
        <f>AO14+真實IC!AP14</f>
        <v/>
      </c>
      <c r="AQ14" s="2">
        <f>AP14+真實IC!AQ14</f>
        <v/>
      </c>
      <c r="AR14" s="2">
        <f>AQ14+真實IC!AR14</f>
        <v/>
      </c>
      <c r="AS14" s="2">
        <f>AR14+真實IC!AS14</f>
        <v/>
      </c>
      <c r="AT14" s="2">
        <f>AS14+真實IC!AT14</f>
        <v/>
      </c>
      <c r="AU14" s="2">
        <f>AT14+真實IC!AU14</f>
        <v/>
      </c>
      <c r="AV14" s="2">
        <f>AU14+真實IC!AV14</f>
        <v/>
      </c>
      <c r="AW14" s="2">
        <f>AV14+真實IC!AW14</f>
        <v/>
      </c>
      <c r="AX14" s="2">
        <f>AW14+真實IC!AX14</f>
        <v/>
      </c>
      <c r="AY14" s="2">
        <f>AX14+真實IC!AY14</f>
        <v/>
      </c>
      <c r="AZ14" s="2">
        <f>AY14+真實IC!AZ14</f>
        <v/>
      </c>
      <c r="BA14" s="2">
        <f>AZ14+真實IC!BA14</f>
        <v/>
      </c>
      <c r="BB14" s="2">
        <f>BA14+真實IC!BB14</f>
        <v/>
      </c>
      <c r="BC14" s="2">
        <f>BB14+真實IC!BC14</f>
        <v/>
      </c>
      <c r="BD14" s="2">
        <f>BC14+真實IC!BD14</f>
        <v/>
      </c>
      <c r="BE14" s="2">
        <f>BD14+真實IC!BE14</f>
        <v/>
      </c>
      <c r="BF14" s="2">
        <f>BE14+真實IC!BF14</f>
        <v/>
      </c>
      <c r="BG14" s="2">
        <f>BF14+真實IC!BG14</f>
        <v/>
      </c>
      <c r="BH14" s="2">
        <f>BG14+真實IC!BH14</f>
        <v/>
      </c>
      <c r="BI14" s="2">
        <f>BH14+真實IC!BI14</f>
        <v/>
      </c>
      <c r="BJ14" s="2">
        <f>BI14+真實IC!BJ14</f>
        <v/>
      </c>
      <c r="BK14" s="2">
        <f>BJ14+真實IC!BK14</f>
        <v/>
      </c>
      <c r="BL14" s="2">
        <f>BK14+真實IC!BL14</f>
        <v/>
      </c>
      <c r="BM14" s="2">
        <f>BL14+真實IC!BM14</f>
        <v/>
      </c>
      <c r="BN14" s="2">
        <f>BM14+真實IC!BN14</f>
        <v/>
      </c>
      <c r="BO14" s="2">
        <f>BN14+真實IC!BO14</f>
        <v/>
      </c>
      <c r="BP14" s="2">
        <f>BO14+真實IC!BP14</f>
        <v/>
      </c>
      <c r="BQ14" s="2">
        <f>BP14+真實IC!BQ14</f>
        <v/>
      </c>
      <c r="BR14" s="2">
        <f>BQ14+真實IC!BR14</f>
        <v/>
      </c>
      <c r="BS14" s="2">
        <f>BR14+真實IC!BS14</f>
        <v/>
      </c>
      <c r="BT14" s="2">
        <f>BS14+真實IC!BT14</f>
        <v/>
      </c>
      <c r="BU14" s="2">
        <f>BT14+真實IC!BU14</f>
        <v/>
      </c>
      <c r="BV14" s="2">
        <f>BU14+真實IC!BV14</f>
        <v/>
      </c>
      <c r="BW14" s="2">
        <f>BV14+真實IC!BW14</f>
        <v/>
      </c>
      <c r="BX14" s="2">
        <f>BW14+真實IC!BX14</f>
        <v/>
      </c>
      <c r="BY14" s="2">
        <f>BX14+真實IC!BY14</f>
        <v/>
      </c>
      <c r="BZ14" s="2">
        <f>BY14+真實IC!BZ14</f>
        <v/>
      </c>
      <c r="CA14" s="2">
        <f>BZ14+真實IC!CA14</f>
        <v/>
      </c>
      <c r="CB14" s="2">
        <f>CA14+真實IC!CB14</f>
        <v/>
      </c>
      <c r="CC14" s="2">
        <f>CB14+真實IC!CC14</f>
        <v/>
      </c>
      <c r="CD14" s="2">
        <f>CC14+真實IC!CD14</f>
        <v/>
      </c>
      <c r="CE14" s="2">
        <f>CD14+真實IC!CE14</f>
        <v/>
      </c>
      <c r="CF14" s="2">
        <f>CE14+真實IC!CF14</f>
        <v/>
      </c>
      <c r="CG14" s="2">
        <f>CF14+真實IC!CG14</f>
        <v/>
      </c>
      <c r="CH14" s="2">
        <f>CG14+真實IC!CH14</f>
        <v/>
      </c>
      <c r="CI14" s="2">
        <f>CH14+真實IC!CI14</f>
        <v/>
      </c>
      <c r="CJ14" s="2">
        <f>CI14+真實IC!CJ14</f>
        <v/>
      </c>
      <c r="CK14" s="2">
        <f>CJ14+真實IC!CK14</f>
        <v/>
      </c>
      <c r="CL14" s="2">
        <f>CK14+真實IC!CL14</f>
        <v/>
      </c>
      <c r="CM14" s="2">
        <f>CL14+真實IC!CM14</f>
        <v/>
      </c>
      <c r="CN14" s="2">
        <f>CM14+真實IC!CN14</f>
        <v/>
      </c>
      <c r="CO14" s="2">
        <f>CN14+真實IC!CO14</f>
        <v/>
      </c>
      <c r="CP14" s="2">
        <f>CO14+真實IC!CP14</f>
        <v/>
      </c>
      <c r="CQ14" s="2">
        <f>CP14+真實IC!CQ14</f>
        <v/>
      </c>
      <c r="CR14" s="2">
        <f>CQ14+真實IC!CR14</f>
        <v/>
      </c>
      <c r="CS14" s="2">
        <f>CR14+真實IC!CS14</f>
        <v/>
      </c>
      <c r="CT14" s="2">
        <f>CS14+真實IC!CT14</f>
        <v/>
      </c>
      <c r="CU14" s="2">
        <f>CT14+真實IC!CU14</f>
        <v/>
      </c>
      <c r="CV14" s="2">
        <f>CU14+真實IC!CV14</f>
        <v/>
      </c>
      <c r="CW14" s="2">
        <f>CV14+真實IC!CW14</f>
        <v/>
      </c>
      <c r="CX14" s="2">
        <f>CW14+真實IC!CX14</f>
        <v/>
      </c>
      <c r="CY14" s="2">
        <f>CX14+真實IC!CY14</f>
        <v/>
      </c>
      <c r="CZ14" s="2">
        <f>CY14+真實IC!CZ14</f>
        <v/>
      </c>
      <c r="DA14" s="2">
        <f>CZ14+真實IC!DA14</f>
        <v/>
      </c>
      <c r="DB14" s="2">
        <f>DA14+真實IC!DB14</f>
        <v/>
      </c>
      <c r="DC14" s="2">
        <f>DB14+真實IC!DC14</f>
        <v/>
      </c>
      <c r="DD14" s="2">
        <f>DC14+真實IC!DD14</f>
        <v/>
      </c>
      <c r="DE14" s="2">
        <f>DD14+真實IC!DE14</f>
        <v/>
      </c>
      <c r="DF14" s="2">
        <f>DE14+真實IC!DF14</f>
        <v/>
      </c>
      <c r="DG14" s="2">
        <f>DF14+真實IC!DG14</f>
        <v/>
      </c>
      <c r="DH14" s="2">
        <f>DG14+真實IC!DH14</f>
        <v/>
      </c>
      <c r="DI14" s="2">
        <f>DH14+真實IC!DI14</f>
        <v/>
      </c>
      <c r="DJ14" s="2">
        <f>DI14+真實IC!DJ14</f>
        <v/>
      </c>
      <c r="DK14" s="2">
        <f>DJ14+真實IC!DK14</f>
        <v/>
      </c>
      <c r="DL14" s="2">
        <f>DK14+真實IC!DL14</f>
        <v/>
      </c>
      <c r="DM14" s="2">
        <f>DL14+真實IC!DM14</f>
        <v/>
      </c>
      <c r="DN14" s="2">
        <f>DM14+真實IC!DN14</f>
        <v/>
      </c>
      <c r="DO14" s="2">
        <f>DN14+真實IC!DO14</f>
        <v/>
      </c>
      <c r="DP14" s="2">
        <f>DO14+真實IC!DP14</f>
        <v/>
      </c>
      <c r="DQ14" s="2">
        <f>DP14+真實IC!DQ14</f>
        <v/>
      </c>
      <c r="DR14" s="2">
        <f>DQ14+真實IC!DR14</f>
        <v/>
      </c>
      <c r="DS14" s="2">
        <f>DR14+真實IC!DS14</f>
        <v/>
      </c>
      <c r="DT14" s="2">
        <f>DS14+真實IC!DT14</f>
        <v/>
      </c>
      <c r="DU14" s="2">
        <f>DT14+真實IC!DU14</f>
        <v/>
      </c>
      <c r="DV14" s="2">
        <f>DU14+真實IC!DV14</f>
        <v/>
      </c>
      <c r="DW14" s="2">
        <f>DV14+真實IC!DW14</f>
        <v/>
      </c>
      <c r="DX14" s="2">
        <f>DW14+真實IC!DX14</f>
        <v/>
      </c>
      <c r="DY14" s="2">
        <f>DX14+真實IC!DY14</f>
        <v/>
      </c>
      <c r="DZ14" s="2">
        <f>DY14+真實IC!DZ14</f>
        <v/>
      </c>
      <c r="EA14" s="2">
        <f>DZ14+真實IC!EA14</f>
        <v/>
      </c>
      <c r="EB14" s="2">
        <f>EA14+真實IC!EB14</f>
        <v/>
      </c>
      <c r="EC14" s="2">
        <f>EB14+真實IC!EC14</f>
        <v/>
      </c>
      <c r="ED14" s="2">
        <f>EC14+真實IC!ED14</f>
        <v/>
      </c>
      <c r="EE14" s="2">
        <f>ED14+真實IC!EE14</f>
        <v/>
      </c>
      <c r="EF14" s="2">
        <f>EE14+真實IC!EF14</f>
        <v/>
      </c>
      <c r="EG14" s="2">
        <f>EF14+真實IC!EG14</f>
        <v/>
      </c>
      <c r="EH14" s="2">
        <f>EG14+真實IC!EH14</f>
        <v/>
      </c>
      <c r="EI14" s="2">
        <f>EH14+真實IC!EI14</f>
        <v/>
      </c>
      <c r="EJ14" s="2">
        <f>EI14+真實IC!EJ14</f>
        <v/>
      </c>
      <c r="EK14" s="2">
        <f>EJ14+真實IC!EK14</f>
        <v/>
      </c>
      <c r="EL14" s="2">
        <f>EK14+真實IC!EL14</f>
        <v/>
      </c>
    </row>
    <row r="15">
      <c r="A15" s="13" t="n"/>
      <c r="B15" s="13" t="n">
        <v>110</v>
      </c>
      <c r="C15" s="2" t="n">
        <v>0.2415584226424828</v>
      </c>
      <c r="D15" s="2">
        <f>C15+真實IC!D15</f>
        <v/>
      </c>
      <c r="E15" s="2">
        <f>D15+真實IC!E15</f>
        <v/>
      </c>
      <c r="F15" s="2">
        <f>E15+真實IC!F15</f>
        <v/>
      </c>
      <c r="G15" s="2">
        <f>F15+真實IC!G15</f>
        <v/>
      </c>
      <c r="H15" s="2">
        <f>G15+真實IC!H15</f>
        <v/>
      </c>
      <c r="I15" s="2">
        <f>H15+真實IC!I15</f>
        <v/>
      </c>
      <c r="J15" s="2">
        <f>I15+真實IC!J15</f>
        <v/>
      </c>
      <c r="K15" s="2">
        <f>J15+真實IC!K15</f>
        <v/>
      </c>
      <c r="L15" s="2">
        <f>K15+真實IC!L15</f>
        <v/>
      </c>
      <c r="M15" s="2">
        <f>L15+真實IC!M15</f>
        <v/>
      </c>
      <c r="N15" s="2">
        <f>M15+真實IC!N15</f>
        <v/>
      </c>
      <c r="O15" s="2">
        <f>N15+真實IC!O15</f>
        <v/>
      </c>
      <c r="P15" s="2">
        <f>O15+真實IC!P15</f>
        <v/>
      </c>
      <c r="Q15" s="2">
        <f>P15+真實IC!Q15</f>
        <v/>
      </c>
      <c r="R15" s="2">
        <f>Q15+真實IC!R15</f>
        <v/>
      </c>
      <c r="S15" s="2">
        <f>R15+真實IC!S15</f>
        <v/>
      </c>
      <c r="T15" s="2">
        <f>S15+真實IC!T15</f>
        <v/>
      </c>
      <c r="U15" s="2">
        <f>T15+真實IC!U15</f>
        <v/>
      </c>
      <c r="V15" s="2">
        <f>U15+真實IC!V15</f>
        <v/>
      </c>
      <c r="W15" s="2">
        <f>V15+真實IC!W15</f>
        <v/>
      </c>
      <c r="X15" s="2">
        <f>W15+真實IC!X15</f>
        <v/>
      </c>
      <c r="Y15" s="2">
        <f>X15+真實IC!Y15</f>
        <v/>
      </c>
      <c r="Z15" s="2">
        <f>Y15+真實IC!Z15</f>
        <v/>
      </c>
      <c r="AA15" s="2">
        <f>Z15+真實IC!AA15</f>
        <v/>
      </c>
      <c r="AB15" s="2">
        <f>AA15+真實IC!AB15</f>
        <v/>
      </c>
      <c r="AC15" s="2">
        <f>AB15+真實IC!AC15</f>
        <v/>
      </c>
      <c r="AD15" s="2">
        <f>AC15+真實IC!AD15</f>
        <v/>
      </c>
      <c r="AE15" s="2">
        <f>AD15+真實IC!AE15</f>
        <v/>
      </c>
      <c r="AF15" s="2">
        <f>AE15+真實IC!AF15</f>
        <v/>
      </c>
      <c r="AG15" s="2">
        <f>AF15+真實IC!AG15</f>
        <v/>
      </c>
      <c r="AH15" s="2">
        <f>AG15+真實IC!AH15</f>
        <v/>
      </c>
      <c r="AI15" s="2">
        <f>AH15+真實IC!AI15</f>
        <v/>
      </c>
      <c r="AJ15" s="2">
        <f>AI15+真實IC!AJ15</f>
        <v/>
      </c>
      <c r="AK15" s="2">
        <f>AJ15+真實IC!AK15</f>
        <v/>
      </c>
      <c r="AL15" s="2">
        <f>AK15+真實IC!AL15</f>
        <v/>
      </c>
      <c r="AM15" s="2">
        <f>AL15+真實IC!AM15</f>
        <v/>
      </c>
      <c r="AN15" s="2">
        <f>AM15+真實IC!AN15</f>
        <v/>
      </c>
      <c r="AO15" s="2">
        <f>AN15+真實IC!AO15</f>
        <v/>
      </c>
      <c r="AP15" s="2">
        <f>AO15+真實IC!AP15</f>
        <v/>
      </c>
      <c r="AQ15" s="2">
        <f>AP15+真實IC!AQ15</f>
        <v/>
      </c>
      <c r="AR15" s="2">
        <f>AQ15+真實IC!AR15</f>
        <v/>
      </c>
      <c r="AS15" s="2">
        <f>AR15+真實IC!AS15</f>
        <v/>
      </c>
      <c r="AT15" s="2">
        <f>AS15+真實IC!AT15</f>
        <v/>
      </c>
      <c r="AU15" s="2">
        <f>AT15+真實IC!AU15</f>
        <v/>
      </c>
      <c r="AV15" s="2">
        <f>AU15+真實IC!AV15</f>
        <v/>
      </c>
      <c r="AW15" s="2">
        <f>AV15+真實IC!AW15</f>
        <v/>
      </c>
      <c r="AX15" s="2">
        <f>AW15+真實IC!AX15</f>
        <v/>
      </c>
      <c r="AY15" s="2">
        <f>AX15+真實IC!AY15</f>
        <v/>
      </c>
      <c r="AZ15" s="2">
        <f>AY15+真實IC!AZ15</f>
        <v/>
      </c>
      <c r="BA15" s="2">
        <f>AZ15+真實IC!BA15</f>
        <v/>
      </c>
      <c r="BB15" s="2">
        <f>BA15+真實IC!BB15</f>
        <v/>
      </c>
      <c r="BC15" s="2">
        <f>BB15+真實IC!BC15</f>
        <v/>
      </c>
      <c r="BD15" s="2">
        <f>BC15+真實IC!BD15</f>
        <v/>
      </c>
      <c r="BE15" s="2">
        <f>BD15+真實IC!BE15</f>
        <v/>
      </c>
      <c r="BF15" s="2">
        <f>BE15+真實IC!BF15</f>
        <v/>
      </c>
      <c r="BG15" s="2">
        <f>BF15+真實IC!BG15</f>
        <v/>
      </c>
      <c r="BH15" s="2">
        <f>BG15+真實IC!BH15</f>
        <v/>
      </c>
      <c r="BI15" s="2">
        <f>BH15+真實IC!BI15</f>
        <v/>
      </c>
      <c r="BJ15" s="2">
        <f>BI15+真實IC!BJ15</f>
        <v/>
      </c>
      <c r="BK15" s="2">
        <f>BJ15+真實IC!BK15</f>
        <v/>
      </c>
      <c r="BL15" s="2">
        <f>BK15+真實IC!BL15</f>
        <v/>
      </c>
      <c r="BM15" s="2">
        <f>BL15+真實IC!BM15</f>
        <v/>
      </c>
      <c r="BN15" s="2">
        <f>BM15+真實IC!BN15</f>
        <v/>
      </c>
      <c r="BO15" s="2">
        <f>BN15+真實IC!BO15</f>
        <v/>
      </c>
      <c r="BP15" s="2">
        <f>BO15+真實IC!BP15</f>
        <v/>
      </c>
      <c r="BQ15" s="2">
        <f>BP15+真實IC!BQ15</f>
        <v/>
      </c>
      <c r="BR15" s="2">
        <f>BQ15+真實IC!BR15</f>
        <v/>
      </c>
      <c r="BS15" s="2">
        <f>BR15+真實IC!BS15</f>
        <v/>
      </c>
      <c r="BT15" s="2">
        <f>BS15+真實IC!BT15</f>
        <v/>
      </c>
      <c r="BU15" s="2">
        <f>BT15+真實IC!BU15</f>
        <v/>
      </c>
      <c r="BV15" s="2">
        <f>BU15+真實IC!BV15</f>
        <v/>
      </c>
      <c r="BW15" s="2">
        <f>BV15+真實IC!BW15</f>
        <v/>
      </c>
      <c r="BX15" s="2">
        <f>BW15+真實IC!BX15</f>
        <v/>
      </c>
      <c r="BY15" s="2">
        <f>BX15+真實IC!BY15</f>
        <v/>
      </c>
      <c r="BZ15" s="2">
        <f>BY15+真實IC!BZ15</f>
        <v/>
      </c>
      <c r="CA15" s="2">
        <f>BZ15+真實IC!CA15</f>
        <v/>
      </c>
      <c r="CB15" s="2">
        <f>CA15+真實IC!CB15</f>
        <v/>
      </c>
      <c r="CC15" s="2">
        <f>CB15+真實IC!CC15</f>
        <v/>
      </c>
      <c r="CD15" s="2">
        <f>CC15+真實IC!CD15</f>
        <v/>
      </c>
      <c r="CE15" s="2">
        <f>CD15+真實IC!CE15</f>
        <v/>
      </c>
      <c r="CF15" s="2">
        <f>CE15+真實IC!CF15</f>
        <v/>
      </c>
      <c r="CG15" s="2">
        <f>CF15+真實IC!CG15</f>
        <v/>
      </c>
      <c r="CH15" s="2">
        <f>CG15+真實IC!CH15</f>
        <v/>
      </c>
      <c r="CI15" s="2">
        <f>CH15+真實IC!CI15</f>
        <v/>
      </c>
      <c r="CJ15" s="2">
        <f>CI15+真實IC!CJ15</f>
        <v/>
      </c>
      <c r="CK15" s="2">
        <f>CJ15+真實IC!CK15</f>
        <v/>
      </c>
      <c r="CL15" s="2">
        <f>CK15+真實IC!CL15</f>
        <v/>
      </c>
      <c r="CM15" s="2">
        <f>CL15+真實IC!CM15</f>
        <v/>
      </c>
      <c r="CN15" s="2">
        <f>CM15+真實IC!CN15</f>
        <v/>
      </c>
      <c r="CO15" s="2">
        <f>CN15+真實IC!CO15</f>
        <v/>
      </c>
      <c r="CP15" s="2">
        <f>CO15+真實IC!CP15</f>
        <v/>
      </c>
      <c r="CQ15" s="2">
        <f>CP15+真實IC!CQ15</f>
        <v/>
      </c>
      <c r="CR15" s="2">
        <f>CQ15+真實IC!CR15</f>
        <v/>
      </c>
      <c r="CS15" s="2">
        <f>CR15+真實IC!CS15</f>
        <v/>
      </c>
      <c r="CT15" s="2">
        <f>CS15+真實IC!CT15</f>
        <v/>
      </c>
      <c r="CU15" s="2">
        <f>CT15+真實IC!CU15</f>
        <v/>
      </c>
      <c r="CV15" s="2">
        <f>CU15+真實IC!CV15</f>
        <v/>
      </c>
      <c r="CW15" s="2">
        <f>CV15+真實IC!CW15</f>
        <v/>
      </c>
      <c r="CX15" s="2">
        <f>CW15+真實IC!CX15</f>
        <v/>
      </c>
      <c r="CY15" s="2">
        <f>CX15+真實IC!CY15</f>
        <v/>
      </c>
      <c r="CZ15" s="2">
        <f>CY15+真實IC!CZ15</f>
        <v/>
      </c>
      <c r="DA15" s="2">
        <f>CZ15+真實IC!DA15</f>
        <v/>
      </c>
      <c r="DB15" s="2">
        <f>DA15+真實IC!DB15</f>
        <v/>
      </c>
      <c r="DC15" s="2">
        <f>DB15+真實IC!DC15</f>
        <v/>
      </c>
      <c r="DD15" s="2">
        <f>DC15+真實IC!DD15</f>
        <v/>
      </c>
      <c r="DE15" s="2">
        <f>DD15+真實IC!DE15</f>
        <v/>
      </c>
      <c r="DF15" s="2">
        <f>DE15+真實IC!DF15</f>
        <v/>
      </c>
      <c r="DG15" s="2">
        <f>DF15+真實IC!DG15</f>
        <v/>
      </c>
      <c r="DH15" s="2">
        <f>DG15+真實IC!DH15</f>
        <v/>
      </c>
      <c r="DI15" s="2">
        <f>DH15+真實IC!DI15</f>
        <v/>
      </c>
      <c r="DJ15" s="2">
        <f>DI15+真實IC!DJ15</f>
        <v/>
      </c>
      <c r="DK15" s="2">
        <f>DJ15+真實IC!DK15</f>
        <v/>
      </c>
      <c r="DL15" s="2">
        <f>DK15+真實IC!DL15</f>
        <v/>
      </c>
      <c r="DM15" s="2">
        <f>DL15+真實IC!DM15</f>
        <v/>
      </c>
      <c r="DN15" s="2">
        <f>DM15+真實IC!DN15</f>
        <v/>
      </c>
      <c r="DO15" s="2">
        <f>DN15+真實IC!DO15</f>
        <v/>
      </c>
      <c r="DP15" s="2">
        <f>DO15+真實IC!DP15</f>
        <v/>
      </c>
      <c r="DQ15" s="2">
        <f>DP15+真實IC!DQ15</f>
        <v/>
      </c>
      <c r="DR15" s="2">
        <f>DQ15+真實IC!DR15</f>
        <v/>
      </c>
      <c r="DS15" s="2">
        <f>DR15+真實IC!DS15</f>
        <v/>
      </c>
      <c r="DT15" s="2">
        <f>DS15+真實IC!DT15</f>
        <v/>
      </c>
      <c r="DU15" s="2">
        <f>DT15+真實IC!DU15</f>
        <v/>
      </c>
      <c r="DV15" s="2">
        <f>DU15+真實IC!DV15</f>
        <v/>
      </c>
      <c r="DW15" s="2">
        <f>DV15+真實IC!DW15</f>
        <v/>
      </c>
      <c r="DX15" s="2">
        <f>DW15+真實IC!DX15</f>
        <v/>
      </c>
      <c r="DY15" s="2">
        <f>DX15+真實IC!DY15</f>
        <v/>
      </c>
      <c r="DZ15" s="2">
        <f>DY15+真實IC!DZ15</f>
        <v/>
      </c>
      <c r="EA15" s="2">
        <f>DZ15+真實IC!EA15</f>
        <v/>
      </c>
      <c r="EB15" s="2">
        <f>EA15+真實IC!EB15</f>
        <v/>
      </c>
      <c r="EC15" s="2">
        <f>EB15+真實IC!EC15</f>
        <v/>
      </c>
      <c r="ED15" s="2">
        <f>EC15+真實IC!ED15</f>
        <v/>
      </c>
      <c r="EE15" s="2">
        <f>ED15+真實IC!EE15</f>
        <v/>
      </c>
      <c r="EF15" s="2">
        <f>EE15+真實IC!EF15</f>
        <v/>
      </c>
      <c r="EG15" s="2">
        <f>EF15+真實IC!EG15</f>
        <v/>
      </c>
      <c r="EH15" s="2">
        <f>EG15+真實IC!EH15</f>
        <v/>
      </c>
      <c r="EI15" s="2">
        <f>EH15+真實IC!EI15</f>
        <v/>
      </c>
      <c r="EJ15" s="2">
        <f>EI15+真實IC!EJ15</f>
        <v/>
      </c>
      <c r="EK15" s="2">
        <f>EJ15+真實IC!EK15</f>
        <v/>
      </c>
      <c r="EL15" s="2">
        <f>EK15+真實IC!EL15</f>
        <v/>
      </c>
    </row>
    <row r="16">
      <c r="A16" s="13" t="n"/>
      <c r="B16" s="13" t="n">
        <v>120</v>
      </c>
      <c r="C16" s="2" t="n">
        <v>0.2607277098356321</v>
      </c>
      <c r="D16" s="2">
        <f>C16+真實IC!D16</f>
        <v/>
      </c>
      <c r="E16" s="2">
        <f>D16+真實IC!E16</f>
        <v/>
      </c>
      <c r="F16" s="2">
        <f>E16+真實IC!F16</f>
        <v/>
      </c>
      <c r="G16" s="2">
        <f>F16+真實IC!G16</f>
        <v/>
      </c>
      <c r="H16" s="2">
        <f>G16+真實IC!H16</f>
        <v/>
      </c>
      <c r="I16" s="2">
        <f>H16+真實IC!I16</f>
        <v/>
      </c>
      <c r="J16" s="2">
        <f>I16+真實IC!J16</f>
        <v/>
      </c>
      <c r="K16" s="2">
        <f>J16+真實IC!K16</f>
        <v/>
      </c>
      <c r="L16" s="2">
        <f>K16+真實IC!L16</f>
        <v/>
      </c>
      <c r="M16" s="2">
        <f>L16+真實IC!M16</f>
        <v/>
      </c>
      <c r="N16" s="2">
        <f>M16+真實IC!N16</f>
        <v/>
      </c>
      <c r="O16" s="2">
        <f>N16+真實IC!O16</f>
        <v/>
      </c>
      <c r="P16" s="2">
        <f>O16+真實IC!P16</f>
        <v/>
      </c>
      <c r="Q16" s="2">
        <f>P16+真實IC!Q16</f>
        <v/>
      </c>
      <c r="R16" s="2">
        <f>Q16+真實IC!R16</f>
        <v/>
      </c>
      <c r="S16" s="2">
        <f>R16+真實IC!S16</f>
        <v/>
      </c>
      <c r="T16" s="2">
        <f>S16+真實IC!T16</f>
        <v/>
      </c>
      <c r="U16" s="2">
        <f>T16+真實IC!U16</f>
        <v/>
      </c>
      <c r="V16" s="2">
        <f>U16+真實IC!V16</f>
        <v/>
      </c>
      <c r="W16" s="2">
        <f>V16+真實IC!W16</f>
        <v/>
      </c>
      <c r="X16" s="2">
        <f>W16+真實IC!X16</f>
        <v/>
      </c>
      <c r="Y16" s="2">
        <f>X16+真實IC!Y16</f>
        <v/>
      </c>
      <c r="Z16" s="2">
        <f>Y16+真實IC!Z16</f>
        <v/>
      </c>
      <c r="AA16" s="2">
        <f>Z16+真實IC!AA16</f>
        <v/>
      </c>
      <c r="AB16" s="2">
        <f>AA16+真實IC!AB16</f>
        <v/>
      </c>
      <c r="AC16" s="2">
        <f>AB16+真實IC!AC16</f>
        <v/>
      </c>
      <c r="AD16" s="2">
        <f>AC16+真實IC!AD16</f>
        <v/>
      </c>
      <c r="AE16" s="2">
        <f>AD16+真實IC!AE16</f>
        <v/>
      </c>
      <c r="AF16" s="2">
        <f>AE16+真實IC!AF16</f>
        <v/>
      </c>
      <c r="AG16" s="2">
        <f>AF16+真實IC!AG16</f>
        <v/>
      </c>
      <c r="AH16" s="2">
        <f>AG16+真實IC!AH16</f>
        <v/>
      </c>
      <c r="AI16" s="2">
        <f>AH16+真實IC!AI16</f>
        <v/>
      </c>
      <c r="AJ16" s="2">
        <f>AI16+真實IC!AJ16</f>
        <v/>
      </c>
      <c r="AK16" s="2">
        <f>AJ16+真實IC!AK16</f>
        <v/>
      </c>
      <c r="AL16" s="2">
        <f>AK16+真實IC!AL16</f>
        <v/>
      </c>
      <c r="AM16" s="2">
        <f>AL16+真實IC!AM16</f>
        <v/>
      </c>
      <c r="AN16" s="2">
        <f>AM16+真實IC!AN16</f>
        <v/>
      </c>
      <c r="AO16" s="2">
        <f>AN16+真實IC!AO16</f>
        <v/>
      </c>
      <c r="AP16" s="2">
        <f>AO16+真實IC!AP16</f>
        <v/>
      </c>
      <c r="AQ16" s="2">
        <f>AP16+真實IC!AQ16</f>
        <v/>
      </c>
      <c r="AR16" s="2">
        <f>AQ16+真實IC!AR16</f>
        <v/>
      </c>
      <c r="AS16" s="2">
        <f>AR16+真實IC!AS16</f>
        <v/>
      </c>
      <c r="AT16" s="2">
        <f>AS16+真實IC!AT16</f>
        <v/>
      </c>
      <c r="AU16" s="2">
        <f>AT16+真實IC!AU16</f>
        <v/>
      </c>
      <c r="AV16" s="2">
        <f>AU16+真實IC!AV16</f>
        <v/>
      </c>
      <c r="AW16" s="2">
        <f>AV16+真實IC!AW16</f>
        <v/>
      </c>
      <c r="AX16" s="2">
        <f>AW16+真實IC!AX16</f>
        <v/>
      </c>
      <c r="AY16" s="2">
        <f>AX16+真實IC!AY16</f>
        <v/>
      </c>
      <c r="AZ16" s="2">
        <f>AY16+真實IC!AZ16</f>
        <v/>
      </c>
      <c r="BA16" s="2">
        <f>AZ16+真實IC!BA16</f>
        <v/>
      </c>
      <c r="BB16" s="2">
        <f>BA16+真實IC!BB16</f>
        <v/>
      </c>
      <c r="BC16" s="2">
        <f>BB16+真實IC!BC16</f>
        <v/>
      </c>
      <c r="BD16" s="2">
        <f>BC16+真實IC!BD16</f>
        <v/>
      </c>
      <c r="BE16" s="2">
        <f>BD16+真實IC!BE16</f>
        <v/>
      </c>
      <c r="BF16" s="2">
        <f>BE16+真實IC!BF16</f>
        <v/>
      </c>
      <c r="BG16" s="2">
        <f>BF16+真實IC!BG16</f>
        <v/>
      </c>
      <c r="BH16" s="2">
        <f>BG16+真實IC!BH16</f>
        <v/>
      </c>
      <c r="BI16" s="2">
        <f>BH16+真實IC!BI16</f>
        <v/>
      </c>
      <c r="BJ16" s="2">
        <f>BI16+真實IC!BJ16</f>
        <v/>
      </c>
      <c r="BK16" s="2">
        <f>BJ16+真實IC!BK16</f>
        <v/>
      </c>
      <c r="BL16" s="2">
        <f>BK16+真實IC!BL16</f>
        <v/>
      </c>
      <c r="BM16" s="2">
        <f>BL16+真實IC!BM16</f>
        <v/>
      </c>
      <c r="BN16" s="2">
        <f>BM16+真實IC!BN16</f>
        <v/>
      </c>
      <c r="BO16" s="2">
        <f>BN16+真實IC!BO16</f>
        <v/>
      </c>
      <c r="BP16" s="2">
        <f>BO16+真實IC!BP16</f>
        <v/>
      </c>
      <c r="BQ16" s="2">
        <f>BP16+真實IC!BQ16</f>
        <v/>
      </c>
      <c r="BR16" s="2">
        <f>BQ16+真實IC!BR16</f>
        <v/>
      </c>
      <c r="BS16" s="2">
        <f>BR16+真實IC!BS16</f>
        <v/>
      </c>
      <c r="BT16" s="2">
        <f>BS16+真實IC!BT16</f>
        <v/>
      </c>
      <c r="BU16" s="2">
        <f>BT16+真實IC!BU16</f>
        <v/>
      </c>
      <c r="BV16" s="2">
        <f>BU16+真實IC!BV16</f>
        <v/>
      </c>
      <c r="BW16" s="2">
        <f>BV16+真實IC!BW16</f>
        <v/>
      </c>
      <c r="BX16" s="2">
        <f>BW16+真實IC!BX16</f>
        <v/>
      </c>
      <c r="BY16" s="2">
        <f>BX16+真實IC!BY16</f>
        <v/>
      </c>
      <c r="BZ16" s="2">
        <f>BY16+真實IC!BZ16</f>
        <v/>
      </c>
      <c r="CA16" s="2">
        <f>BZ16+真實IC!CA16</f>
        <v/>
      </c>
      <c r="CB16" s="2">
        <f>CA16+真實IC!CB16</f>
        <v/>
      </c>
      <c r="CC16" s="2">
        <f>CB16+真實IC!CC16</f>
        <v/>
      </c>
      <c r="CD16" s="2">
        <f>CC16+真實IC!CD16</f>
        <v/>
      </c>
      <c r="CE16" s="2">
        <f>CD16+真實IC!CE16</f>
        <v/>
      </c>
      <c r="CF16" s="2">
        <f>CE16+真實IC!CF16</f>
        <v/>
      </c>
      <c r="CG16" s="2">
        <f>CF16+真實IC!CG16</f>
        <v/>
      </c>
      <c r="CH16" s="2">
        <f>CG16+真實IC!CH16</f>
        <v/>
      </c>
      <c r="CI16" s="2">
        <f>CH16+真實IC!CI16</f>
        <v/>
      </c>
      <c r="CJ16" s="2">
        <f>CI16+真實IC!CJ16</f>
        <v/>
      </c>
      <c r="CK16" s="2">
        <f>CJ16+真實IC!CK16</f>
        <v/>
      </c>
      <c r="CL16" s="2">
        <f>CK16+真實IC!CL16</f>
        <v/>
      </c>
      <c r="CM16" s="2">
        <f>CL16+真實IC!CM16</f>
        <v/>
      </c>
      <c r="CN16" s="2">
        <f>CM16+真實IC!CN16</f>
        <v/>
      </c>
      <c r="CO16" s="2">
        <f>CN16+真實IC!CO16</f>
        <v/>
      </c>
      <c r="CP16" s="2">
        <f>CO16+真實IC!CP16</f>
        <v/>
      </c>
      <c r="CQ16" s="2">
        <f>CP16+真實IC!CQ16</f>
        <v/>
      </c>
      <c r="CR16" s="2">
        <f>CQ16+真實IC!CR16</f>
        <v/>
      </c>
      <c r="CS16" s="2">
        <f>CR16+真實IC!CS16</f>
        <v/>
      </c>
      <c r="CT16" s="2">
        <f>CS16+真實IC!CT16</f>
        <v/>
      </c>
      <c r="CU16" s="2">
        <f>CT16+真實IC!CU16</f>
        <v/>
      </c>
      <c r="CV16" s="2">
        <f>CU16+真實IC!CV16</f>
        <v/>
      </c>
      <c r="CW16" s="2">
        <f>CV16+真實IC!CW16</f>
        <v/>
      </c>
      <c r="CX16" s="2">
        <f>CW16+真實IC!CX16</f>
        <v/>
      </c>
      <c r="CY16" s="2">
        <f>CX16+真實IC!CY16</f>
        <v/>
      </c>
      <c r="CZ16" s="2">
        <f>CY16+真實IC!CZ16</f>
        <v/>
      </c>
      <c r="DA16" s="2">
        <f>CZ16+真實IC!DA16</f>
        <v/>
      </c>
      <c r="DB16" s="2">
        <f>DA16+真實IC!DB16</f>
        <v/>
      </c>
      <c r="DC16" s="2">
        <f>DB16+真實IC!DC16</f>
        <v/>
      </c>
      <c r="DD16" s="2">
        <f>DC16+真實IC!DD16</f>
        <v/>
      </c>
      <c r="DE16" s="2">
        <f>DD16+真實IC!DE16</f>
        <v/>
      </c>
      <c r="DF16" s="2">
        <f>DE16+真實IC!DF16</f>
        <v/>
      </c>
      <c r="DG16" s="2">
        <f>DF16+真實IC!DG16</f>
        <v/>
      </c>
      <c r="DH16" s="2">
        <f>DG16+真實IC!DH16</f>
        <v/>
      </c>
      <c r="DI16" s="2">
        <f>DH16+真實IC!DI16</f>
        <v/>
      </c>
      <c r="DJ16" s="2">
        <f>DI16+真實IC!DJ16</f>
        <v/>
      </c>
      <c r="DK16" s="2">
        <f>DJ16+真實IC!DK16</f>
        <v/>
      </c>
      <c r="DL16" s="2">
        <f>DK16+真實IC!DL16</f>
        <v/>
      </c>
      <c r="DM16" s="2">
        <f>DL16+真實IC!DM16</f>
        <v/>
      </c>
      <c r="DN16" s="2">
        <f>DM16+真實IC!DN16</f>
        <v/>
      </c>
      <c r="DO16" s="2">
        <f>DN16+真實IC!DO16</f>
        <v/>
      </c>
      <c r="DP16" s="2">
        <f>DO16+真實IC!DP16</f>
        <v/>
      </c>
      <c r="DQ16" s="2">
        <f>DP16+真實IC!DQ16</f>
        <v/>
      </c>
      <c r="DR16" s="2">
        <f>DQ16+真實IC!DR16</f>
        <v/>
      </c>
      <c r="DS16" s="2">
        <f>DR16+真實IC!DS16</f>
        <v/>
      </c>
      <c r="DT16" s="2">
        <f>DS16+真實IC!DT16</f>
        <v/>
      </c>
      <c r="DU16" s="2">
        <f>DT16+真實IC!DU16</f>
        <v/>
      </c>
      <c r="DV16" s="2">
        <f>DU16+真實IC!DV16</f>
        <v/>
      </c>
      <c r="DW16" s="2">
        <f>DV16+真實IC!DW16</f>
        <v/>
      </c>
      <c r="DX16" s="2">
        <f>DW16+真實IC!DX16</f>
        <v/>
      </c>
      <c r="DY16" s="2">
        <f>DX16+真實IC!DY16</f>
        <v/>
      </c>
      <c r="DZ16" s="2">
        <f>DY16+真實IC!DZ16</f>
        <v/>
      </c>
      <c r="EA16" s="2">
        <f>DZ16+真實IC!EA16</f>
        <v/>
      </c>
      <c r="EB16" s="2">
        <f>EA16+真實IC!EB16</f>
        <v/>
      </c>
      <c r="EC16" s="2">
        <f>EB16+真實IC!EC16</f>
        <v/>
      </c>
      <c r="ED16" s="2">
        <f>EC16+真實IC!ED16</f>
        <v/>
      </c>
      <c r="EE16" s="2">
        <f>ED16+真實IC!EE16</f>
        <v/>
      </c>
      <c r="EF16" s="2">
        <f>EE16+真實IC!EF16</f>
        <v/>
      </c>
      <c r="EG16" s="2">
        <f>EF16+真實IC!EG16</f>
        <v/>
      </c>
      <c r="EH16" s="2">
        <f>EG16+真實IC!EH16</f>
        <v/>
      </c>
      <c r="EI16" s="2">
        <f>EH16+真實IC!EI16</f>
        <v/>
      </c>
      <c r="EJ16" s="2">
        <f>EI16+真實IC!EJ16</f>
        <v/>
      </c>
      <c r="EK16" s="2">
        <f>EJ16+真實IC!EK16</f>
        <v/>
      </c>
      <c r="EL16" s="2">
        <f>EK16+真實IC!EL16</f>
        <v/>
      </c>
    </row>
    <row r="17">
      <c r="A17" s="13" t="n"/>
      <c r="B17" s="13" t="n">
        <v>130</v>
      </c>
      <c r="C17" s="2" t="n">
        <v>0.2378970514581851</v>
      </c>
      <c r="D17" s="2">
        <f>C17+真實IC!D17</f>
        <v/>
      </c>
      <c r="E17" s="2">
        <f>D17+真實IC!E17</f>
        <v/>
      </c>
      <c r="F17" s="2">
        <f>E17+真實IC!F17</f>
        <v/>
      </c>
      <c r="G17" s="2">
        <f>F17+真實IC!G17</f>
        <v/>
      </c>
      <c r="H17" s="2">
        <f>G17+真實IC!H17</f>
        <v/>
      </c>
      <c r="I17" s="2">
        <f>H17+真實IC!I17</f>
        <v/>
      </c>
      <c r="J17" s="2">
        <f>I17+真實IC!J17</f>
        <v/>
      </c>
      <c r="K17" s="2">
        <f>J17+真實IC!K17</f>
        <v/>
      </c>
      <c r="L17" s="2">
        <f>K17+真實IC!L17</f>
        <v/>
      </c>
      <c r="M17" s="2">
        <f>L17+真實IC!M17</f>
        <v/>
      </c>
      <c r="N17" s="2">
        <f>M17+真實IC!N17</f>
        <v/>
      </c>
      <c r="O17" s="2">
        <f>N17+真實IC!O17</f>
        <v/>
      </c>
      <c r="P17" s="2">
        <f>O17+真實IC!P17</f>
        <v/>
      </c>
      <c r="Q17" s="2">
        <f>P17+真實IC!Q17</f>
        <v/>
      </c>
      <c r="R17" s="2">
        <f>Q17+真實IC!R17</f>
        <v/>
      </c>
      <c r="S17" s="2">
        <f>R17+真實IC!S17</f>
        <v/>
      </c>
      <c r="T17" s="2">
        <f>S17+真實IC!T17</f>
        <v/>
      </c>
      <c r="U17" s="2">
        <f>T17+真實IC!U17</f>
        <v/>
      </c>
      <c r="V17" s="2">
        <f>U17+真實IC!V17</f>
        <v/>
      </c>
      <c r="W17" s="2">
        <f>V17+真實IC!W17</f>
        <v/>
      </c>
      <c r="X17" s="2">
        <f>W17+真實IC!X17</f>
        <v/>
      </c>
      <c r="Y17" s="2">
        <f>X17+真實IC!Y17</f>
        <v/>
      </c>
      <c r="Z17" s="2">
        <f>Y17+真實IC!Z17</f>
        <v/>
      </c>
      <c r="AA17" s="2">
        <f>Z17+真實IC!AA17</f>
        <v/>
      </c>
      <c r="AB17" s="2">
        <f>AA17+真實IC!AB17</f>
        <v/>
      </c>
      <c r="AC17" s="2">
        <f>AB17+真實IC!AC17</f>
        <v/>
      </c>
      <c r="AD17" s="2">
        <f>AC17+真實IC!AD17</f>
        <v/>
      </c>
      <c r="AE17" s="2">
        <f>AD17+真實IC!AE17</f>
        <v/>
      </c>
      <c r="AF17" s="2">
        <f>AE17+真實IC!AF17</f>
        <v/>
      </c>
      <c r="AG17" s="2">
        <f>AF17+真實IC!AG17</f>
        <v/>
      </c>
      <c r="AH17" s="2">
        <f>AG17+真實IC!AH17</f>
        <v/>
      </c>
      <c r="AI17" s="2">
        <f>AH17+真實IC!AI17</f>
        <v/>
      </c>
      <c r="AJ17" s="2">
        <f>AI17+真實IC!AJ17</f>
        <v/>
      </c>
      <c r="AK17" s="2">
        <f>AJ17+真實IC!AK17</f>
        <v/>
      </c>
      <c r="AL17" s="2">
        <f>AK17+真實IC!AL17</f>
        <v/>
      </c>
      <c r="AM17" s="2">
        <f>AL17+真實IC!AM17</f>
        <v/>
      </c>
      <c r="AN17" s="2">
        <f>AM17+真實IC!AN17</f>
        <v/>
      </c>
      <c r="AO17" s="2">
        <f>AN17+真實IC!AO17</f>
        <v/>
      </c>
      <c r="AP17" s="2">
        <f>AO17+真實IC!AP17</f>
        <v/>
      </c>
      <c r="AQ17" s="2">
        <f>AP17+真實IC!AQ17</f>
        <v/>
      </c>
      <c r="AR17" s="2">
        <f>AQ17+真實IC!AR17</f>
        <v/>
      </c>
      <c r="AS17" s="2">
        <f>AR17+真實IC!AS17</f>
        <v/>
      </c>
      <c r="AT17" s="2">
        <f>AS17+真實IC!AT17</f>
        <v/>
      </c>
      <c r="AU17" s="2">
        <f>AT17+真實IC!AU17</f>
        <v/>
      </c>
      <c r="AV17" s="2">
        <f>AU17+真實IC!AV17</f>
        <v/>
      </c>
      <c r="AW17" s="2">
        <f>AV17+真實IC!AW17</f>
        <v/>
      </c>
      <c r="AX17" s="2">
        <f>AW17+真實IC!AX17</f>
        <v/>
      </c>
      <c r="AY17" s="2">
        <f>AX17+真實IC!AY17</f>
        <v/>
      </c>
      <c r="AZ17" s="2">
        <f>AY17+真實IC!AZ17</f>
        <v/>
      </c>
      <c r="BA17" s="2">
        <f>AZ17+真實IC!BA17</f>
        <v/>
      </c>
      <c r="BB17" s="2">
        <f>BA17+真實IC!BB17</f>
        <v/>
      </c>
      <c r="BC17" s="2">
        <f>BB17+真實IC!BC17</f>
        <v/>
      </c>
      <c r="BD17" s="2">
        <f>BC17+真實IC!BD17</f>
        <v/>
      </c>
      <c r="BE17" s="2">
        <f>BD17+真實IC!BE17</f>
        <v/>
      </c>
      <c r="BF17" s="2">
        <f>BE17+真實IC!BF17</f>
        <v/>
      </c>
      <c r="BG17" s="2">
        <f>BF17+真實IC!BG17</f>
        <v/>
      </c>
      <c r="BH17" s="2">
        <f>BG17+真實IC!BH17</f>
        <v/>
      </c>
      <c r="BI17" s="2">
        <f>BH17+真實IC!BI17</f>
        <v/>
      </c>
      <c r="BJ17" s="2">
        <f>BI17+真實IC!BJ17</f>
        <v/>
      </c>
      <c r="BK17" s="2">
        <f>BJ17+真實IC!BK17</f>
        <v/>
      </c>
      <c r="BL17" s="2">
        <f>BK17+真實IC!BL17</f>
        <v/>
      </c>
      <c r="BM17" s="2">
        <f>BL17+真實IC!BM17</f>
        <v/>
      </c>
      <c r="BN17" s="2">
        <f>BM17+真實IC!BN17</f>
        <v/>
      </c>
      <c r="BO17" s="2">
        <f>BN17+真實IC!BO17</f>
        <v/>
      </c>
      <c r="BP17" s="2">
        <f>BO17+真實IC!BP17</f>
        <v/>
      </c>
      <c r="BQ17" s="2">
        <f>BP17+真實IC!BQ17</f>
        <v/>
      </c>
      <c r="BR17" s="2">
        <f>BQ17+真實IC!BR17</f>
        <v/>
      </c>
      <c r="BS17" s="2">
        <f>BR17+真實IC!BS17</f>
        <v/>
      </c>
      <c r="BT17" s="2">
        <f>BS17+真實IC!BT17</f>
        <v/>
      </c>
      <c r="BU17" s="2">
        <f>BT17+真實IC!BU17</f>
        <v/>
      </c>
      <c r="BV17" s="2">
        <f>BU17+真實IC!BV17</f>
        <v/>
      </c>
      <c r="BW17" s="2">
        <f>BV17+真實IC!BW17</f>
        <v/>
      </c>
      <c r="BX17" s="2">
        <f>BW17+真實IC!BX17</f>
        <v/>
      </c>
      <c r="BY17" s="2">
        <f>BX17+真實IC!BY17</f>
        <v/>
      </c>
      <c r="BZ17" s="2">
        <f>BY17+真實IC!BZ17</f>
        <v/>
      </c>
      <c r="CA17" s="2">
        <f>BZ17+真實IC!CA17</f>
        <v/>
      </c>
      <c r="CB17" s="2">
        <f>CA17+真實IC!CB17</f>
        <v/>
      </c>
      <c r="CC17" s="2">
        <f>CB17+真實IC!CC17</f>
        <v/>
      </c>
      <c r="CD17" s="2">
        <f>CC17+真實IC!CD17</f>
        <v/>
      </c>
      <c r="CE17" s="2">
        <f>CD17+真實IC!CE17</f>
        <v/>
      </c>
      <c r="CF17" s="2">
        <f>CE17+真實IC!CF17</f>
        <v/>
      </c>
      <c r="CG17" s="2">
        <f>CF17+真實IC!CG17</f>
        <v/>
      </c>
      <c r="CH17" s="2">
        <f>CG17+真實IC!CH17</f>
        <v/>
      </c>
      <c r="CI17" s="2">
        <f>CH17+真實IC!CI17</f>
        <v/>
      </c>
      <c r="CJ17" s="2">
        <f>CI17+真實IC!CJ17</f>
        <v/>
      </c>
      <c r="CK17" s="2">
        <f>CJ17+真實IC!CK17</f>
        <v/>
      </c>
      <c r="CL17" s="2">
        <f>CK17+真實IC!CL17</f>
        <v/>
      </c>
      <c r="CM17" s="2">
        <f>CL17+真實IC!CM17</f>
        <v/>
      </c>
      <c r="CN17" s="2">
        <f>CM17+真實IC!CN17</f>
        <v/>
      </c>
      <c r="CO17" s="2">
        <f>CN17+真實IC!CO17</f>
        <v/>
      </c>
      <c r="CP17" s="2">
        <f>CO17+真實IC!CP17</f>
        <v/>
      </c>
      <c r="CQ17" s="2">
        <f>CP17+真實IC!CQ17</f>
        <v/>
      </c>
      <c r="CR17" s="2">
        <f>CQ17+真實IC!CR17</f>
        <v/>
      </c>
      <c r="CS17" s="2">
        <f>CR17+真實IC!CS17</f>
        <v/>
      </c>
      <c r="CT17" s="2">
        <f>CS17+真實IC!CT17</f>
        <v/>
      </c>
      <c r="CU17" s="2">
        <f>CT17+真實IC!CU17</f>
        <v/>
      </c>
      <c r="CV17" s="2">
        <f>CU17+真實IC!CV17</f>
        <v/>
      </c>
      <c r="CW17" s="2">
        <f>CV17+真實IC!CW17</f>
        <v/>
      </c>
      <c r="CX17" s="2">
        <f>CW17+真實IC!CX17</f>
        <v/>
      </c>
      <c r="CY17" s="2">
        <f>CX17+真實IC!CY17</f>
        <v/>
      </c>
      <c r="CZ17" s="2">
        <f>CY17+真實IC!CZ17</f>
        <v/>
      </c>
      <c r="DA17" s="2">
        <f>CZ17+真實IC!DA17</f>
        <v/>
      </c>
      <c r="DB17" s="2">
        <f>DA17+真實IC!DB17</f>
        <v/>
      </c>
      <c r="DC17" s="2">
        <f>DB17+真實IC!DC17</f>
        <v/>
      </c>
      <c r="DD17" s="2">
        <f>DC17+真實IC!DD17</f>
        <v/>
      </c>
      <c r="DE17" s="2">
        <f>DD17+真實IC!DE17</f>
        <v/>
      </c>
      <c r="DF17" s="2">
        <f>DE17+真實IC!DF17</f>
        <v/>
      </c>
      <c r="DG17" s="2">
        <f>DF17+真實IC!DG17</f>
        <v/>
      </c>
      <c r="DH17" s="2">
        <f>DG17+真實IC!DH17</f>
        <v/>
      </c>
      <c r="DI17" s="2">
        <f>DH17+真實IC!DI17</f>
        <v/>
      </c>
      <c r="DJ17" s="2">
        <f>DI17+真實IC!DJ17</f>
        <v/>
      </c>
      <c r="DK17" s="2">
        <f>DJ17+真實IC!DK17</f>
        <v/>
      </c>
      <c r="DL17" s="2">
        <f>DK17+真實IC!DL17</f>
        <v/>
      </c>
      <c r="DM17" s="2">
        <f>DL17+真實IC!DM17</f>
        <v/>
      </c>
      <c r="DN17" s="2">
        <f>DM17+真實IC!DN17</f>
        <v/>
      </c>
      <c r="DO17" s="2">
        <f>DN17+真實IC!DO17</f>
        <v/>
      </c>
      <c r="DP17" s="2">
        <f>DO17+真實IC!DP17</f>
        <v/>
      </c>
      <c r="DQ17" s="2">
        <f>DP17+真實IC!DQ17</f>
        <v/>
      </c>
      <c r="DR17" s="2">
        <f>DQ17+真實IC!DR17</f>
        <v/>
      </c>
      <c r="DS17" s="2">
        <f>DR17+真實IC!DS17</f>
        <v/>
      </c>
      <c r="DT17" s="2">
        <f>DS17+真實IC!DT17</f>
        <v/>
      </c>
      <c r="DU17" s="2">
        <f>DT17+真實IC!DU17</f>
        <v/>
      </c>
      <c r="DV17" s="2">
        <f>DU17+真實IC!DV17</f>
        <v/>
      </c>
      <c r="DW17" s="2">
        <f>DV17+真實IC!DW17</f>
        <v/>
      </c>
      <c r="DX17" s="2">
        <f>DW17+真實IC!DX17</f>
        <v/>
      </c>
      <c r="DY17" s="2">
        <f>DX17+真實IC!DY17</f>
        <v/>
      </c>
      <c r="DZ17" s="2">
        <f>DY17+真實IC!DZ17</f>
        <v/>
      </c>
      <c r="EA17" s="2">
        <f>DZ17+真實IC!EA17</f>
        <v/>
      </c>
      <c r="EB17" s="2">
        <f>EA17+真實IC!EB17</f>
        <v/>
      </c>
      <c r="EC17" s="2">
        <f>EB17+真實IC!EC17</f>
        <v/>
      </c>
      <c r="ED17" s="2">
        <f>EC17+真實IC!ED17</f>
        <v/>
      </c>
      <c r="EE17" s="2">
        <f>ED17+真實IC!EE17</f>
        <v/>
      </c>
      <c r="EF17" s="2">
        <f>EE17+真實IC!EF17</f>
        <v/>
      </c>
      <c r="EG17" s="2">
        <f>EF17+真實IC!EG17</f>
        <v/>
      </c>
      <c r="EH17" s="2">
        <f>EG17+真實IC!EH17</f>
        <v/>
      </c>
      <c r="EI17" s="2">
        <f>EH17+真實IC!EI17</f>
        <v/>
      </c>
      <c r="EJ17" s="2">
        <f>EI17+真實IC!EJ17</f>
        <v/>
      </c>
      <c r="EK17" s="2">
        <f>EJ17+真實IC!EK17</f>
        <v/>
      </c>
      <c r="EL17" s="2">
        <f>EK17+真實IC!EL17</f>
        <v/>
      </c>
    </row>
    <row r="18">
      <c r="A18" s="13" t="n"/>
      <c r="B18" s="13" t="n">
        <v>150</v>
      </c>
      <c r="C18" s="2" t="n">
        <v>0.2436872854011519</v>
      </c>
      <c r="D18" s="2">
        <f>C18+真實IC!D18</f>
        <v/>
      </c>
      <c r="E18" s="2">
        <f>D18+真實IC!E18</f>
        <v/>
      </c>
      <c r="F18" s="2">
        <f>E18+真實IC!F18</f>
        <v/>
      </c>
      <c r="G18" s="2">
        <f>F18+真實IC!G18</f>
        <v/>
      </c>
      <c r="H18" s="2">
        <f>G18+真實IC!H18</f>
        <v/>
      </c>
      <c r="I18" s="2">
        <f>H18+真實IC!I18</f>
        <v/>
      </c>
      <c r="J18" s="2">
        <f>I18+真實IC!J18</f>
        <v/>
      </c>
      <c r="K18" s="2">
        <f>J18+真實IC!K18</f>
        <v/>
      </c>
      <c r="L18" s="2">
        <f>K18+真實IC!L18</f>
        <v/>
      </c>
      <c r="M18" s="2">
        <f>L18+真實IC!M18</f>
        <v/>
      </c>
      <c r="N18" s="2">
        <f>M18+真實IC!N18</f>
        <v/>
      </c>
      <c r="O18" s="2">
        <f>N18+真實IC!O18</f>
        <v/>
      </c>
      <c r="P18" s="2">
        <f>O18+真實IC!P18</f>
        <v/>
      </c>
      <c r="Q18" s="2">
        <f>P18+真實IC!Q18</f>
        <v/>
      </c>
      <c r="R18" s="2">
        <f>Q18+真實IC!R18</f>
        <v/>
      </c>
      <c r="S18" s="2">
        <f>R18+真實IC!S18</f>
        <v/>
      </c>
      <c r="T18" s="2">
        <f>S18+真實IC!T18</f>
        <v/>
      </c>
      <c r="U18" s="2">
        <f>T18+真實IC!U18</f>
        <v/>
      </c>
      <c r="V18" s="2">
        <f>U18+真實IC!V18</f>
        <v/>
      </c>
      <c r="W18" s="2">
        <f>V18+真實IC!W18</f>
        <v/>
      </c>
      <c r="X18" s="2">
        <f>W18+真實IC!X18</f>
        <v/>
      </c>
      <c r="Y18" s="2">
        <f>X18+真實IC!Y18</f>
        <v/>
      </c>
      <c r="Z18" s="2">
        <f>Y18+真實IC!Z18</f>
        <v/>
      </c>
      <c r="AA18" s="2">
        <f>Z18+真實IC!AA18</f>
        <v/>
      </c>
      <c r="AB18" s="2">
        <f>AA18+真實IC!AB18</f>
        <v/>
      </c>
      <c r="AC18" s="2">
        <f>AB18+真實IC!AC18</f>
        <v/>
      </c>
      <c r="AD18" s="2">
        <f>AC18+真實IC!AD18</f>
        <v/>
      </c>
      <c r="AE18" s="2">
        <f>AD18+真實IC!AE18</f>
        <v/>
      </c>
      <c r="AF18" s="2">
        <f>AE18+真實IC!AF18</f>
        <v/>
      </c>
      <c r="AG18" s="2">
        <f>AF18+真實IC!AG18</f>
        <v/>
      </c>
      <c r="AH18" s="2">
        <f>AG18+真實IC!AH18</f>
        <v/>
      </c>
      <c r="AI18" s="2">
        <f>AH18+真實IC!AI18</f>
        <v/>
      </c>
      <c r="AJ18" s="2">
        <f>AI18+真實IC!AJ18</f>
        <v/>
      </c>
      <c r="AK18" s="2">
        <f>AJ18+真實IC!AK18</f>
        <v/>
      </c>
      <c r="AL18" s="2">
        <f>AK18+真實IC!AL18</f>
        <v/>
      </c>
      <c r="AM18" s="2">
        <f>AL18+真實IC!AM18</f>
        <v/>
      </c>
      <c r="AN18" s="2">
        <f>AM18+真實IC!AN18</f>
        <v/>
      </c>
      <c r="AO18" s="2">
        <f>AN18+真實IC!AO18</f>
        <v/>
      </c>
      <c r="AP18" s="2">
        <f>AO18+真實IC!AP18</f>
        <v/>
      </c>
      <c r="AQ18" s="2">
        <f>AP18+真實IC!AQ18</f>
        <v/>
      </c>
      <c r="AR18" s="2">
        <f>AQ18+真實IC!AR18</f>
        <v/>
      </c>
      <c r="AS18" s="2">
        <f>AR18+真實IC!AS18</f>
        <v/>
      </c>
      <c r="AT18" s="2">
        <f>AS18+真實IC!AT18</f>
        <v/>
      </c>
      <c r="AU18" s="2">
        <f>AT18+真實IC!AU18</f>
        <v/>
      </c>
      <c r="AV18" s="2">
        <f>AU18+真實IC!AV18</f>
        <v/>
      </c>
      <c r="AW18" s="2">
        <f>AV18+真實IC!AW18</f>
        <v/>
      </c>
      <c r="AX18" s="2">
        <f>AW18+真實IC!AX18</f>
        <v/>
      </c>
      <c r="AY18" s="2">
        <f>AX18+真實IC!AY18</f>
        <v/>
      </c>
      <c r="AZ18" s="2">
        <f>AY18+真實IC!AZ18</f>
        <v/>
      </c>
      <c r="BA18" s="2">
        <f>AZ18+真實IC!BA18</f>
        <v/>
      </c>
      <c r="BB18" s="2">
        <f>BA18+真實IC!BB18</f>
        <v/>
      </c>
      <c r="BC18" s="2">
        <f>BB18+真實IC!BC18</f>
        <v/>
      </c>
      <c r="BD18" s="2">
        <f>BC18+真實IC!BD18</f>
        <v/>
      </c>
      <c r="BE18" s="2">
        <f>BD18+真實IC!BE18</f>
        <v/>
      </c>
      <c r="BF18" s="2">
        <f>BE18+真實IC!BF18</f>
        <v/>
      </c>
      <c r="BG18" s="2">
        <f>BF18+真實IC!BG18</f>
        <v/>
      </c>
      <c r="BH18" s="2">
        <f>BG18+真實IC!BH18</f>
        <v/>
      </c>
      <c r="BI18" s="2">
        <f>BH18+真實IC!BI18</f>
        <v/>
      </c>
      <c r="BJ18" s="2">
        <f>BI18+真實IC!BJ18</f>
        <v/>
      </c>
      <c r="BK18" s="2">
        <f>BJ18+真實IC!BK18</f>
        <v/>
      </c>
      <c r="BL18" s="2">
        <f>BK18+真實IC!BL18</f>
        <v/>
      </c>
      <c r="BM18" s="2">
        <f>BL18+真實IC!BM18</f>
        <v/>
      </c>
      <c r="BN18" s="2">
        <f>BM18+真實IC!BN18</f>
        <v/>
      </c>
      <c r="BO18" s="2">
        <f>BN18+真實IC!BO18</f>
        <v/>
      </c>
      <c r="BP18" s="2">
        <f>BO18+真實IC!BP18</f>
        <v/>
      </c>
      <c r="BQ18" s="2">
        <f>BP18+真實IC!BQ18</f>
        <v/>
      </c>
      <c r="BR18" s="2">
        <f>BQ18+真實IC!BR18</f>
        <v/>
      </c>
      <c r="BS18" s="2">
        <f>BR18+真實IC!BS18</f>
        <v/>
      </c>
      <c r="BT18" s="2">
        <f>BS18+真實IC!BT18</f>
        <v/>
      </c>
      <c r="BU18" s="2">
        <f>BT18+真實IC!BU18</f>
        <v/>
      </c>
      <c r="BV18" s="2">
        <f>BU18+真實IC!BV18</f>
        <v/>
      </c>
      <c r="BW18" s="2">
        <f>BV18+真實IC!BW18</f>
        <v/>
      </c>
      <c r="BX18" s="2">
        <f>BW18+真實IC!BX18</f>
        <v/>
      </c>
      <c r="BY18" s="2">
        <f>BX18+真實IC!BY18</f>
        <v/>
      </c>
      <c r="BZ18" s="2">
        <f>BY18+真實IC!BZ18</f>
        <v/>
      </c>
      <c r="CA18" s="2">
        <f>BZ18+真實IC!CA18</f>
        <v/>
      </c>
      <c r="CB18" s="2">
        <f>CA18+真實IC!CB18</f>
        <v/>
      </c>
      <c r="CC18" s="2">
        <f>CB18+真實IC!CC18</f>
        <v/>
      </c>
      <c r="CD18" s="2">
        <f>CC18+真實IC!CD18</f>
        <v/>
      </c>
      <c r="CE18" s="2">
        <f>CD18+真實IC!CE18</f>
        <v/>
      </c>
      <c r="CF18" s="2">
        <f>CE18+真實IC!CF18</f>
        <v/>
      </c>
      <c r="CG18" s="2">
        <f>CF18+真實IC!CG18</f>
        <v/>
      </c>
      <c r="CH18" s="2">
        <f>CG18+真實IC!CH18</f>
        <v/>
      </c>
      <c r="CI18" s="2">
        <f>CH18+真實IC!CI18</f>
        <v/>
      </c>
      <c r="CJ18" s="2">
        <f>CI18+真實IC!CJ18</f>
        <v/>
      </c>
      <c r="CK18" s="2">
        <f>CJ18+真實IC!CK18</f>
        <v/>
      </c>
      <c r="CL18" s="2">
        <f>CK18+真實IC!CL18</f>
        <v/>
      </c>
      <c r="CM18" s="2">
        <f>CL18+真實IC!CM18</f>
        <v/>
      </c>
      <c r="CN18" s="2">
        <f>CM18+真實IC!CN18</f>
        <v/>
      </c>
      <c r="CO18" s="2">
        <f>CN18+真實IC!CO18</f>
        <v/>
      </c>
      <c r="CP18" s="2">
        <f>CO18+真實IC!CP18</f>
        <v/>
      </c>
      <c r="CQ18" s="2">
        <f>CP18+真實IC!CQ18</f>
        <v/>
      </c>
      <c r="CR18" s="2">
        <f>CQ18+真實IC!CR18</f>
        <v/>
      </c>
      <c r="CS18" s="2">
        <f>CR18+真實IC!CS18</f>
        <v/>
      </c>
      <c r="CT18" s="2">
        <f>CS18+真實IC!CT18</f>
        <v/>
      </c>
      <c r="CU18" s="2">
        <f>CT18+真實IC!CU18</f>
        <v/>
      </c>
      <c r="CV18" s="2">
        <f>CU18+真實IC!CV18</f>
        <v/>
      </c>
      <c r="CW18" s="2">
        <f>CV18+真實IC!CW18</f>
        <v/>
      </c>
      <c r="CX18" s="2">
        <f>CW18+真實IC!CX18</f>
        <v/>
      </c>
      <c r="CY18" s="2">
        <f>CX18+真實IC!CY18</f>
        <v/>
      </c>
      <c r="CZ18" s="2">
        <f>CY18+真實IC!CZ18</f>
        <v/>
      </c>
      <c r="DA18" s="2">
        <f>CZ18+真實IC!DA18</f>
        <v/>
      </c>
      <c r="DB18" s="2">
        <f>DA18+真實IC!DB18</f>
        <v/>
      </c>
      <c r="DC18" s="2">
        <f>DB18+真實IC!DC18</f>
        <v/>
      </c>
      <c r="DD18" s="2">
        <f>DC18+真實IC!DD18</f>
        <v/>
      </c>
      <c r="DE18" s="2">
        <f>DD18+真實IC!DE18</f>
        <v/>
      </c>
      <c r="DF18" s="2">
        <f>DE18+真實IC!DF18</f>
        <v/>
      </c>
      <c r="DG18" s="2">
        <f>DF18+真實IC!DG18</f>
        <v/>
      </c>
      <c r="DH18" s="2">
        <f>DG18+真實IC!DH18</f>
        <v/>
      </c>
      <c r="DI18" s="2">
        <f>DH18+真實IC!DI18</f>
        <v/>
      </c>
      <c r="DJ18" s="2">
        <f>DI18+真實IC!DJ18</f>
        <v/>
      </c>
      <c r="DK18" s="2">
        <f>DJ18+真實IC!DK18</f>
        <v/>
      </c>
      <c r="DL18" s="2">
        <f>DK18+真實IC!DL18</f>
        <v/>
      </c>
      <c r="DM18" s="2">
        <f>DL18+真實IC!DM18</f>
        <v/>
      </c>
      <c r="DN18" s="2">
        <f>DM18+真實IC!DN18</f>
        <v/>
      </c>
      <c r="DO18" s="2">
        <f>DN18+真實IC!DO18</f>
        <v/>
      </c>
      <c r="DP18" s="2">
        <f>DO18+真實IC!DP18</f>
        <v/>
      </c>
      <c r="DQ18" s="2">
        <f>DP18+真實IC!DQ18</f>
        <v/>
      </c>
      <c r="DR18" s="2">
        <f>DQ18+真實IC!DR18</f>
        <v/>
      </c>
      <c r="DS18" s="2">
        <f>DR18+真實IC!DS18</f>
        <v/>
      </c>
      <c r="DT18" s="2">
        <f>DS18+真實IC!DT18</f>
        <v/>
      </c>
      <c r="DU18" s="2">
        <f>DT18+真實IC!DU18</f>
        <v/>
      </c>
      <c r="DV18" s="2">
        <f>DU18+真實IC!DV18</f>
        <v/>
      </c>
      <c r="DW18" s="2">
        <f>DV18+真實IC!DW18</f>
        <v/>
      </c>
      <c r="DX18" s="2">
        <f>DW18+真實IC!DX18</f>
        <v/>
      </c>
      <c r="DY18" s="2">
        <f>DX18+真實IC!DY18</f>
        <v/>
      </c>
      <c r="DZ18" s="2">
        <f>DY18+真實IC!DZ18</f>
        <v/>
      </c>
      <c r="EA18" s="2">
        <f>DZ18+真實IC!EA18</f>
        <v/>
      </c>
      <c r="EB18" s="2">
        <f>EA18+真實IC!EB18</f>
        <v/>
      </c>
      <c r="EC18" s="2">
        <f>EB18+真實IC!EC18</f>
        <v/>
      </c>
      <c r="ED18" s="2">
        <f>EC18+真實IC!ED18</f>
        <v/>
      </c>
      <c r="EE18" s="2">
        <f>ED18+真實IC!EE18</f>
        <v/>
      </c>
      <c r="EF18" s="2">
        <f>EE18+真實IC!EF18</f>
        <v/>
      </c>
      <c r="EG18" s="2">
        <f>EF18+真實IC!EG18</f>
        <v/>
      </c>
      <c r="EH18" s="2">
        <f>EG18+真實IC!EH18</f>
        <v/>
      </c>
      <c r="EI18" s="2">
        <f>EH18+真實IC!EI18</f>
        <v/>
      </c>
      <c r="EJ18" s="2">
        <f>EI18+真實IC!EJ18</f>
        <v/>
      </c>
      <c r="EK18" s="2">
        <f>EJ18+真實IC!EK18</f>
        <v/>
      </c>
      <c r="EL18" s="2">
        <f>EK18+真實IC!EL18</f>
        <v/>
      </c>
    </row>
    <row r="19">
      <c r="A19" s="13" t="n"/>
      <c r="B19" s="13" t="n">
        <v>180</v>
      </c>
      <c r="C19" s="2" t="n">
        <v>0.2582503737473393</v>
      </c>
      <c r="D19" s="2">
        <f>C19+真實IC!D19</f>
        <v/>
      </c>
      <c r="E19" s="2">
        <f>D19+真實IC!E19</f>
        <v/>
      </c>
      <c r="F19" s="2">
        <f>E19+真實IC!F19</f>
        <v/>
      </c>
      <c r="G19" s="2">
        <f>F19+真實IC!G19</f>
        <v/>
      </c>
      <c r="H19" s="2">
        <f>G19+真實IC!H19</f>
        <v/>
      </c>
      <c r="I19" s="2">
        <f>H19+真實IC!I19</f>
        <v/>
      </c>
      <c r="J19" s="2">
        <f>I19+真實IC!J19</f>
        <v/>
      </c>
      <c r="K19" s="2">
        <f>J19+真實IC!K19</f>
        <v/>
      </c>
      <c r="L19" s="2">
        <f>K19+真實IC!L19</f>
        <v/>
      </c>
      <c r="M19" s="2">
        <f>L19+真實IC!M19</f>
        <v/>
      </c>
      <c r="N19" s="2">
        <f>M19+真實IC!N19</f>
        <v/>
      </c>
      <c r="O19" s="2">
        <f>N19+真實IC!O19</f>
        <v/>
      </c>
      <c r="P19" s="2">
        <f>O19+真實IC!P19</f>
        <v/>
      </c>
      <c r="Q19" s="2">
        <f>P19+真實IC!Q19</f>
        <v/>
      </c>
      <c r="R19" s="2">
        <f>Q19+真實IC!R19</f>
        <v/>
      </c>
      <c r="S19" s="2">
        <f>R19+真實IC!S19</f>
        <v/>
      </c>
      <c r="T19" s="2">
        <f>S19+真實IC!T19</f>
        <v/>
      </c>
      <c r="U19" s="2">
        <f>T19+真實IC!U19</f>
        <v/>
      </c>
      <c r="V19" s="2">
        <f>U19+真實IC!V19</f>
        <v/>
      </c>
      <c r="W19" s="2">
        <f>V19+真實IC!W19</f>
        <v/>
      </c>
      <c r="X19" s="2">
        <f>W19+真實IC!X19</f>
        <v/>
      </c>
      <c r="Y19" s="2">
        <f>X19+真實IC!Y19</f>
        <v/>
      </c>
      <c r="Z19" s="2">
        <f>Y19+真實IC!Z19</f>
        <v/>
      </c>
      <c r="AA19" s="2">
        <f>Z19+真實IC!AA19</f>
        <v/>
      </c>
      <c r="AB19" s="2">
        <f>AA19+真實IC!AB19</f>
        <v/>
      </c>
      <c r="AC19" s="2">
        <f>AB19+真實IC!AC19</f>
        <v/>
      </c>
      <c r="AD19" s="2">
        <f>AC19+真實IC!AD19</f>
        <v/>
      </c>
      <c r="AE19" s="2">
        <f>AD19+真實IC!AE19</f>
        <v/>
      </c>
      <c r="AF19" s="2">
        <f>AE19+真實IC!AF19</f>
        <v/>
      </c>
      <c r="AG19" s="2">
        <f>AF19+真實IC!AG19</f>
        <v/>
      </c>
      <c r="AH19" s="2">
        <f>AG19+真實IC!AH19</f>
        <v/>
      </c>
      <c r="AI19" s="2">
        <f>AH19+真實IC!AI19</f>
        <v/>
      </c>
      <c r="AJ19" s="2">
        <f>AI19+真實IC!AJ19</f>
        <v/>
      </c>
      <c r="AK19" s="2">
        <f>AJ19+真實IC!AK19</f>
        <v/>
      </c>
      <c r="AL19" s="2">
        <f>AK19+真實IC!AL19</f>
        <v/>
      </c>
      <c r="AM19" s="2">
        <f>AL19+真實IC!AM19</f>
        <v/>
      </c>
      <c r="AN19" s="2">
        <f>AM19+真實IC!AN19</f>
        <v/>
      </c>
      <c r="AO19" s="2">
        <f>AN19+真實IC!AO19</f>
        <v/>
      </c>
      <c r="AP19" s="2">
        <f>AO19+真實IC!AP19</f>
        <v/>
      </c>
      <c r="AQ19" s="2">
        <f>AP19+真實IC!AQ19</f>
        <v/>
      </c>
      <c r="AR19" s="2">
        <f>AQ19+真實IC!AR19</f>
        <v/>
      </c>
      <c r="AS19" s="2">
        <f>AR19+真實IC!AS19</f>
        <v/>
      </c>
      <c r="AT19" s="2">
        <f>AS19+真實IC!AT19</f>
        <v/>
      </c>
      <c r="AU19" s="2">
        <f>AT19+真實IC!AU19</f>
        <v/>
      </c>
      <c r="AV19" s="2">
        <f>AU19+真實IC!AV19</f>
        <v/>
      </c>
      <c r="AW19" s="2">
        <f>AV19+真實IC!AW19</f>
        <v/>
      </c>
      <c r="AX19" s="2">
        <f>AW19+真實IC!AX19</f>
        <v/>
      </c>
      <c r="AY19" s="2">
        <f>AX19+真實IC!AY19</f>
        <v/>
      </c>
      <c r="AZ19" s="2">
        <f>AY19+真實IC!AZ19</f>
        <v/>
      </c>
      <c r="BA19" s="2">
        <f>AZ19+真實IC!BA19</f>
        <v/>
      </c>
      <c r="BB19" s="2">
        <f>BA19+真實IC!BB19</f>
        <v/>
      </c>
      <c r="BC19" s="2">
        <f>BB19+真實IC!BC19</f>
        <v/>
      </c>
      <c r="BD19" s="2">
        <f>BC19+真實IC!BD19</f>
        <v/>
      </c>
      <c r="BE19" s="2">
        <f>BD19+真實IC!BE19</f>
        <v/>
      </c>
      <c r="BF19" s="2">
        <f>BE19+真實IC!BF19</f>
        <v/>
      </c>
      <c r="BG19" s="2">
        <f>BF19+真實IC!BG19</f>
        <v/>
      </c>
      <c r="BH19" s="2">
        <f>BG19+真實IC!BH19</f>
        <v/>
      </c>
      <c r="BI19" s="2">
        <f>BH19+真實IC!BI19</f>
        <v/>
      </c>
      <c r="BJ19" s="2">
        <f>BI19+真實IC!BJ19</f>
        <v/>
      </c>
      <c r="BK19" s="2">
        <f>BJ19+真實IC!BK19</f>
        <v/>
      </c>
      <c r="BL19" s="2">
        <f>BK19+真實IC!BL19</f>
        <v/>
      </c>
      <c r="BM19" s="2">
        <f>BL19+真實IC!BM19</f>
        <v/>
      </c>
      <c r="BN19" s="2">
        <f>BM19+真實IC!BN19</f>
        <v/>
      </c>
      <c r="BO19" s="2">
        <f>BN19+真實IC!BO19</f>
        <v/>
      </c>
      <c r="BP19" s="2">
        <f>BO19+真實IC!BP19</f>
        <v/>
      </c>
      <c r="BQ19" s="2">
        <f>BP19+真實IC!BQ19</f>
        <v/>
      </c>
      <c r="BR19" s="2">
        <f>BQ19+真實IC!BR19</f>
        <v/>
      </c>
      <c r="BS19" s="2">
        <f>BR19+真實IC!BS19</f>
        <v/>
      </c>
      <c r="BT19" s="2">
        <f>BS19+真實IC!BT19</f>
        <v/>
      </c>
      <c r="BU19" s="2">
        <f>BT19+真實IC!BU19</f>
        <v/>
      </c>
      <c r="BV19" s="2">
        <f>BU19+真實IC!BV19</f>
        <v/>
      </c>
      <c r="BW19" s="2">
        <f>BV19+真實IC!BW19</f>
        <v/>
      </c>
      <c r="BX19" s="2">
        <f>BW19+真實IC!BX19</f>
        <v/>
      </c>
      <c r="BY19" s="2">
        <f>BX19+真實IC!BY19</f>
        <v/>
      </c>
      <c r="BZ19" s="2">
        <f>BY19+真實IC!BZ19</f>
        <v/>
      </c>
      <c r="CA19" s="2">
        <f>BZ19+真實IC!CA19</f>
        <v/>
      </c>
      <c r="CB19" s="2">
        <f>CA19+真實IC!CB19</f>
        <v/>
      </c>
      <c r="CC19" s="2">
        <f>CB19+真實IC!CC19</f>
        <v/>
      </c>
      <c r="CD19" s="2">
        <f>CC19+真實IC!CD19</f>
        <v/>
      </c>
      <c r="CE19" s="2">
        <f>CD19+真實IC!CE19</f>
        <v/>
      </c>
      <c r="CF19" s="2">
        <f>CE19+真實IC!CF19</f>
        <v/>
      </c>
      <c r="CG19" s="2">
        <f>CF19+真實IC!CG19</f>
        <v/>
      </c>
      <c r="CH19" s="2">
        <f>CG19+真實IC!CH19</f>
        <v/>
      </c>
      <c r="CI19" s="2">
        <f>CH19+真實IC!CI19</f>
        <v/>
      </c>
      <c r="CJ19" s="2">
        <f>CI19+真實IC!CJ19</f>
        <v/>
      </c>
      <c r="CK19" s="2">
        <f>CJ19+真實IC!CK19</f>
        <v/>
      </c>
      <c r="CL19" s="2">
        <f>CK19+真實IC!CL19</f>
        <v/>
      </c>
      <c r="CM19" s="2">
        <f>CL19+真實IC!CM19</f>
        <v/>
      </c>
      <c r="CN19" s="2">
        <f>CM19+真實IC!CN19</f>
        <v/>
      </c>
      <c r="CO19" s="2">
        <f>CN19+真實IC!CO19</f>
        <v/>
      </c>
      <c r="CP19" s="2">
        <f>CO19+真實IC!CP19</f>
        <v/>
      </c>
      <c r="CQ19" s="2">
        <f>CP19+真實IC!CQ19</f>
        <v/>
      </c>
      <c r="CR19" s="2">
        <f>CQ19+真實IC!CR19</f>
        <v/>
      </c>
      <c r="CS19" s="2">
        <f>CR19+真實IC!CS19</f>
        <v/>
      </c>
      <c r="CT19" s="2">
        <f>CS19+真實IC!CT19</f>
        <v/>
      </c>
      <c r="CU19" s="2">
        <f>CT19+真實IC!CU19</f>
        <v/>
      </c>
      <c r="CV19" s="2">
        <f>CU19+真實IC!CV19</f>
        <v/>
      </c>
      <c r="CW19" s="2">
        <f>CV19+真實IC!CW19</f>
        <v/>
      </c>
      <c r="CX19" s="2">
        <f>CW19+真實IC!CX19</f>
        <v/>
      </c>
      <c r="CY19" s="2">
        <f>CX19+真實IC!CY19</f>
        <v/>
      </c>
      <c r="CZ19" s="2">
        <f>CY19+真實IC!CZ19</f>
        <v/>
      </c>
      <c r="DA19" s="2">
        <f>CZ19+真實IC!DA19</f>
        <v/>
      </c>
      <c r="DB19" s="2">
        <f>DA19+真實IC!DB19</f>
        <v/>
      </c>
      <c r="DC19" s="2">
        <f>DB19+真實IC!DC19</f>
        <v/>
      </c>
      <c r="DD19" s="2">
        <f>DC19+真實IC!DD19</f>
        <v/>
      </c>
      <c r="DE19" s="2">
        <f>DD19+真實IC!DE19</f>
        <v/>
      </c>
      <c r="DF19" s="2">
        <f>DE19+真實IC!DF19</f>
        <v/>
      </c>
      <c r="DG19" s="2">
        <f>DF19+真實IC!DG19</f>
        <v/>
      </c>
      <c r="DH19" s="2">
        <f>DG19+真實IC!DH19</f>
        <v/>
      </c>
      <c r="DI19" s="2">
        <f>DH19+真實IC!DI19</f>
        <v/>
      </c>
      <c r="DJ19" s="2">
        <f>DI19+真實IC!DJ19</f>
        <v/>
      </c>
      <c r="DK19" s="2">
        <f>DJ19+真實IC!DK19</f>
        <v/>
      </c>
      <c r="DL19" s="2">
        <f>DK19+真實IC!DL19</f>
        <v/>
      </c>
      <c r="DM19" s="2">
        <f>DL19+真實IC!DM19</f>
        <v/>
      </c>
      <c r="DN19" s="2">
        <f>DM19+真實IC!DN19</f>
        <v/>
      </c>
      <c r="DO19" s="2">
        <f>DN19+真實IC!DO19</f>
        <v/>
      </c>
      <c r="DP19" s="2">
        <f>DO19+真實IC!DP19</f>
        <v/>
      </c>
      <c r="DQ19" s="2">
        <f>DP19+真實IC!DQ19</f>
        <v/>
      </c>
      <c r="DR19" s="2">
        <f>DQ19+真實IC!DR19</f>
        <v/>
      </c>
      <c r="DS19" s="2">
        <f>DR19+真實IC!DS19</f>
        <v/>
      </c>
      <c r="DT19" s="2">
        <f>DS19+真實IC!DT19</f>
        <v/>
      </c>
      <c r="DU19" s="2">
        <f>DT19+真實IC!DU19</f>
        <v/>
      </c>
      <c r="DV19" s="2">
        <f>DU19+真實IC!DV19</f>
        <v/>
      </c>
      <c r="DW19" s="2">
        <f>DV19+真實IC!DW19</f>
        <v/>
      </c>
      <c r="DX19" s="2">
        <f>DW19+真實IC!DX19</f>
        <v/>
      </c>
      <c r="DY19" s="2">
        <f>DX19+真實IC!DY19</f>
        <v/>
      </c>
      <c r="DZ19" s="2">
        <f>DY19+真實IC!DZ19</f>
        <v/>
      </c>
      <c r="EA19" s="2">
        <f>DZ19+真實IC!EA19</f>
        <v/>
      </c>
      <c r="EB19" s="2">
        <f>EA19+真實IC!EB19</f>
        <v/>
      </c>
      <c r="EC19" s="2">
        <f>EB19+真實IC!EC19</f>
        <v/>
      </c>
      <c r="ED19" s="2">
        <f>EC19+真實IC!ED19</f>
        <v/>
      </c>
      <c r="EE19" s="2">
        <f>ED19+真實IC!EE19</f>
        <v/>
      </c>
      <c r="EF19" s="2">
        <f>EE19+真實IC!EF19</f>
        <v/>
      </c>
      <c r="EG19" s="2">
        <f>EF19+真實IC!EG19</f>
        <v/>
      </c>
      <c r="EH19" s="2">
        <f>EG19+真實IC!EH19</f>
        <v/>
      </c>
      <c r="EI19" s="2">
        <f>EH19+真實IC!EI19</f>
        <v/>
      </c>
      <c r="EJ19" s="2">
        <f>EI19+真實IC!EJ19</f>
        <v/>
      </c>
      <c r="EK19" s="2">
        <f>EJ19+真實IC!EK19</f>
        <v/>
      </c>
      <c r="EL19" s="2">
        <f>EK19+真實IC!EL19</f>
        <v/>
      </c>
    </row>
    <row r="20">
      <c r="A20" s="13" t="n"/>
      <c r="B20" s="13" t="n">
        <v>200</v>
      </c>
      <c r="C20" s="2" t="n">
        <v>0.241035745977561</v>
      </c>
      <c r="D20" s="2">
        <f>C20+真實IC!D20</f>
        <v/>
      </c>
      <c r="E20" s="2">
        <f>D20+真實IC!E20</f>
        <v/>
      </c>
      <c r="F20" s="2">
        <f>E20+真實IC!F20</f>
        <v/>
      </c>
      <c r="G20" s="2">
        <f>F20+真實IC!G20</f>
        <v/>
      </c>
      <c r="H20" s="2">
        <f>G20+真實IC!H20</f>
        <v/>
      </c>
      <c r="I20" s="2">
        <f>H20+真實IC!I20</f>
        <v/>
      </c>
      <c r="J20" s="2">
        <f>I20+真實IC!J20</f>
        <v/>
      </c>
      <c r="K20" s="2">
        <f>J20+真實IC!K20</f>
        <v/>
      </c>
      <c r="L20" s="2">
        <f>K20+真實IC!L20</f>
        <v/>
      </c>
      <c r="M20" s="2">
        <f>L20+真實IC!M20</f>
        <v/>
      </c>
      <c r="N20" s="2">
        <f>M20+真實IC!N20</f>
        <v/>
      </c>
      <c r="O20" s="2">
        <f>N20+真實IC!O20</f>
        <v/>
      </c>
      <c r="P20" s="2">
        <f>O20+真實IC!P20</f>
        <v/>
      </c>
      <c r="Q20" s="2">
        <f>P20+真實IC!Q20</f>
        <v/>
      </c>
      <c r="R20" s="2">
        <f>Q20+真實IC!R20</f>
        <v/>
      </c>
      <c r="S20" s="2">
        <f>R20+真實IC!S20</f>
        <v/>
      </c>
      <c r="T20" s="2">
        <f>S20+真實IC!T20</f>
        <v/>
      </c>
      <c r="U20" s="2">
        <f>T20+真實IC!U20</f>
        <v/>
      </c>
      <c r="V20" s="2">
        <f>U20+真實IC!V20</f>
        <v/>
      </c>
      <c r="W20" s="2">
        <f>V20+真實IC!W20</f>
        <v/>
      </c>
      <c r="X20" s="2">
        <f>W20+真實IC!X20</f>
        <v/>
      </c>
      <c r="Y20" s="2">
        <f>X20+真實IC!Y20</f>
        <v/>
      </c>
      <c r="Z20" s="2">
        <f>Y20+真實IC!Z20</f>
        <v/>
      </c>
      <c r="AA20" s="2">
        <f>Z20+真實IC!AA20</f>
        <v/>
      </c>
      <c r="AB20" s="2">
        <f>AA20+真實IC!AB20</f>
        <v/>
      </c>
      <c r="AC20" s="2">
        <f>AB20+真實IC!AC20</f>
        <v/>
      </c>
      <c r="AD20" s="2">
        <f>AC20+真實IC!AD20</f>
        <v/>
      </c>
      <c r="AE20" s="2">
        <f>AD20+真實IC!AE20</f>
        <v/>
      </c>
      <c r="AF20" s="2">
        <f>AE20+真實IC!AF20</f>
        <v/>
      </c>
      <c r="AG20" s="2">
        <f>AF20+真實IC!AG20</f>
        <v/>
      </c>
      <c r="AH20" s="2">
        <f>AG20+真實IC!AH20</f>
        <v/>
      </c>
      <c r="AI20" s="2">
        <f>AH20+真實IC!AI20</f>
        <v/>
      </c>
      <c r="AJ20" s="2">
        <f>AI20+真實IC!AJ20</f>
        <v/>
      </c>
      <c r="AK20" s="2">
        <f>AJ20+真實IC!AK20</f>
        <v/>
      </c>
      <c r="AL20" s="2">
        <f>AK20+真實IC!AL20</f>
        <v/>
      </c>
      <c r="AM20" s="2">
        <f>AL20+真實IC!AM20</f>
        <v/>
      </c>
      <c r="AN20" s="2">
        <f>AM20+真實IC!AN20</f>
        <v/>
      </c>
      <c r="AO20" s="2">
        <f>AN20+真實IC!AO20</f>
        <v/>
      </c>
      <c r="AP20" s="2">
        <f>AO20+真實IC!AP20</f>
        <v/>
      </c>
      <c r="AQ20" s="2">
        <f>AP20+真實IC!AQ20</f>
        <v/>
      </c>
      <c r="AR20" s="2">
        <f>AQ20+真實IC!AR20</f>
        <v/>
      </c>
      <c r="AS20" s="2">
        <f>AR20+真實IC!AS20</f>
        <v/>
      </c>
      <c r="AT20" s="2">
        <f>AS20+真實IC!AT20</f>
        <v/>
      </c>
      <c r="AU20" s="2">
        <f>AT20+真實IC!AU20</f>
        <v/>
      </c>
      <c r="AV20" s="2">
        <f>AU20+真實IC!AV20</f>
        <v/>
      </c>
      <c r="AW20" s="2">
        <f>AV20+真實IC!AW20</f>
        <v/>
      </c>
      <c r="AX20" s="2">
        <f>AW20+真實IC!AX20</f>
        <v/>
      </c>
      <c r="AY20" s="2">
        <f>AX20+真實IC!AY20</f>
        <v/>
      </c>
      <c r="AZ20" s="2">
        <f>AY20+真實IC!AZ20</f>
        <v/>
      </c>
      <c r="BA20" s="2">
        <f>AZ20+真實IC!BA20</f>
        <v/>
      </c>
      <c r="BB20" s="2">
        <f>BA20+真實IC!BB20</f>
        <v/>
      </c>
      <c r="BC20" s="2">
        <f>BB20+真實IC!BC20</f>
        <v/>
      </c>
      <c r="BD20" s="2">
        <f>BC20+真實IC!BD20</f>
        <v/>
      </c>
      <c r="BE20" s="2">
        <f>BD20+真實IC!BE20</f>
        <v/>
      </c>
      <c r="BF20" s="2">
        <f>BE20+真實IC!BF20</f>
        <v/>
      </c>
      <c r="BG20" s="2">
        <f>BF20+真實IC!BG20</f>
        <v/>
      </c>
      <c r="BH20" s="2">
        <f>BG20+真實IC!BH20</f>
        <v/>
      </c>
      <c r="BI20" s="2">
        <f>BH20+真實IC!BI20</f>
        <v/>
      </c>
      <c r="BJ20" s="2">
        <f>BI20+真實IC!BJ20</f>
        <v/>
      </c>
      <c r="BK20" s="2">
        <f>BJ20+真實IC!BK20</f>
        <v/>
      </c>
      <c r="BL20" s="2">
        <f>BK20+真實IC!BL20</f>
        <v/>
      </c>
      <c r="BM20" s="2">
        <f>BL20+真實IC!BM20</f>
        <v/>
      </c>
      <c r="BN20" s="2">
        <f>BM20+真實IC!BN20</f>
        <v/>
      </c>
      <c r="BO20" s="2">
        <f>BN20+真實IC!BO20</f>
        <v/>
      </c>
      <c r="BP20" s="2">
        <f>BO20+真實IC!BP20</f>
        <v/>
      </c>
      <c r="BQ20" s="2">
        <f>BP20+真實IC!BQ20</f>
        <v/>
      </c>
      <c r="BR20" s="2">
        <f>BQ20+真實IC!BR20</f>
        <v/>
      </c>
      <c r="BS20" s="2">
        <f>BR20+真實IC!BS20</f>
        <v/>
      </c>
      <c r="BT20" s="2">
        <f>BS20+真實IC!BT20</f>
        <v/>
      </c>
      <c r="BU20" s="2">
        <f>BT20+真實IC!BU20</f>
        <v/>
      </c>
      <c r="BV20" s="2">
        <f>BU20+真實IC!BV20</f>
        <v/>
      </c>
      <c r="BW20" s="2">
        <f>BV20+真實IC!BW20</f>
        <v/>
      </c>
      <c r="BX20" s="2">
        <f>BW20+真實IC!BX20</f>
        <v/>
      </c>
      <c r="BY20" s="2">
        <f>BX20+真實IC!BY20</f>
        <v/>
      </c>
      <c r="BZ20" s="2">
        <f>BY20+真實IC!BZ20</f>
        <v/>
      </c>
      <c r="CA20" s="2">
        <f>BZ20+真實IC!CA20</f>
        <v/>
      </c>
      <c r="CB20" s="2">
        <f>CA20+真實IC!CB20</f>
        <v/>
      </c>
      <c r="CC20" s="2">
        <f>CB20+真實IC!CC20</f>
        <v/>
      </c>
      <c r="CD20" s="2">
        <f>CC20+真實IC!CD20</f>
        <v/>
      </c>
      <c r="CE20" s="2">
        <f>CD20+真實IC!CE20</f>
        <v/>
      </c>
      <c r="CF20" s="2">
        <f>CE20+真實IC!CF20</f>
        <v/>
      </c>
      <c r="CG20" s="2">
        <f>CF20+真實IC!CG20</f>
        <v/>
      </c>
      <c r="CH20" s="2">
        <f>CG20+真實IC!CH20</f>
        <v/>
      </c>
      <c r="CI20" s="2">
        <f>CH20+真實IC!CI20</f>
        <v/>
      </c>
      <c r="CJ20" s="2">
        <f>CI20+真實IC!CJ20</f>
        <v/>
      </c>
      <c r="CK20" s="2">
        <f>CJ20+真實IC!CK20</f>
        <v/>
      </c>
      <c r="CL20" s="2">
        <f>CK20+真實IC!CL20</f>
        <v/>
      </c>
      <c r="CM20" s="2">
        <f>CL20+真實IC!CM20</f>
        <v/>
      </c>
      <c r="CN20" s="2">
        <f>CM20+真實IC!CN20</f>
        <v/>
      </c>
      <c r="CO20" s="2">
        <f>CN20+真實IC!CO20</f>
        <v/>
      </c>
      <c r="CP20" s="2">
        <f>CO20+真實IC!CP20</f>
        <v/>
      </c>
      <c r="CQ20" s="2">
        <f>CP20+真實IC!CQ20</f>
        <v/>
      </c>
      <c r="CR20" s="2">
        <f>CQ20+真實IC!CR20</f>
        <v/>
      </c>
      <c r="CS20" s="2">
        <f>CR20+真實IC!CS20</f>
        <v/>
      </c>
      <c r="CT20" s="2">
        <f>CS20+真實IC!CT20</f>
        <v/>
      </c>
      <c r="CU20" s="2">
        <f>CT20+真實IC!CU20</f>
        <v/>
      </c>
      <c r="CV20" s="2">
        <f>CU20+真實IC!CV20</f>
        <v/>
      </c>
      <c r="CW20" s="2">
        <f>CV20+真實IC!CW20</f>
        <v/>
      </c>
      <c r="CX20" s="2">
        <f>CW20+真實IC!CX20</f>
        <v/>
      </c>
      <c r="CY20" s="2">
        <f>CX20+真實IC!CY20</f>
        <v/>
      </c>
      <c r="CZ20" s="2">
        <f>CY20+真實IC!CZ20</f>
        <v/>
      </c>
      <c r="DA20" s="2">
        <f>CZ20+真實IC!DA20</f>
        <v/>
      </c>
      <c r="DB20" s="2">
        <f>DA20+真實IC!DB20</f>
        <v/>
      </c>
      <c r="DC20" s="2">
        <f>DB20+真實IC!DC20</f>
        <v/>
      </c>
      <c r="DD20" s="2">
        <f>DC20+真實IC!DD20</f>
        <v/>
      </c>
      <c r="DE20" s="2">
        <f>DD20+真實IC!DE20</f>
        <v/>
      </c>
      <c r="DF20" s="2">
        <f>DE20+真實IC!DF20</f>
        <v/>
      </c>
      <c r="DG20" s="2">
        <f>DF20+真實IC!DG20</f>
        <v/>
      </c>
      <c r="DH20" s="2">
        <f>DG20+真實IC!DH20</f>
        <v/>
      </c>
      <c r="DI20" s="2">
        <f>DH20+真實IC!DI20</f>
        <v/>
      </c>
      <c r="DJ20" s="2">
        <f>DI20+真實IC!DJ20</f>
        <v/>
      </c>
      <c r="DK20" s="2">
        <f>DJ20+真實IC!DK20</f>
        <v/>
      </c>
      <c r="DL20" s="2">
        <f>DK20+真實IC!DL20</f>
        <v/>
      </c>
      <c r="DM20" s="2">
        <f>DL20+真實IC!DM20</f>
        <v/>
      </c>
      <c r="DN20" s="2">
        <f>DM20+真實IC!DN20</f>
        <v/>
      </c>
      <c r="DO20" s="2">
        <f>DN20+真實IC!DO20</f>
        <v/>
      </c>
      <c r="DP20" s="2">
        <f>DO20+真實IC!DP20</f>
        <v/>
      </c>
      <c r="DQ20" s="2">
        <f>DP20+真實IC!DQ20</f>
        <v/>
      </c>
      <c r="DR20" s="2">
        <f>DQ20+真實IC!DR20</f>
        <v/>
      </c>
      <c r="DS20" s="2">
        <f>DR20+真實IC!DS20</f>
        <v/>
      </c>
      <c r="DT20" s="2">
        <f>DS20+真實IC!DT20</f>
        <v/>
      </c>
      <c r="DU20" s="2">
        <f>DT20+真實IC!DU20</f>
        <v/>
      </c>
      <c r="DV20" s="2">
        <f>DU20+真實IC!DV20</f>
        <v/>
      </c>
      <c r="DW20" s="2">
        <f>DV20+真實IC!DW20</f>
        <v/>
      </c>
      <c r="DX20" s="2">
        <f>DW20+真實IC!DX20</f>
        <v/>
      </c>
      <c r="DY20" s="2">
        <f>DX20+真實IC!DY20</f>
        <v/>
      </c>
      <c r="DZ20" s="2">
        <f>DY20+真實IC!DZ20</f>
        <v/>
      </c>
      <c r="EA20" s="2">
        <f>DZ20+真實IC!EA20</f>
        <v/>
      </c>
      <c r="EB20" s="2">
        <f>EA20+真實IC!EB20</f>
        <v/>
      </c>
      <c r="EC20" s="2">
        <f>EB20+真實IC!EC20</f>
        <v/>
      </c>
      <c r="ED20" s="2">
        <f>EC20+真實IC!ED20</f>
        <v/>
      </c>
      <c r="EE20" s="2">
        <f>ED20+真實IC!EE20</f>
        <v/>
      </c>
      <c r="EF20" s="2">
        <f>EE20+真實IC!EF20</f>
        <v/>
      </c>
      <c r="EG20" s="2">
        <f>EF20+真實IC!EG20</f>
        <v/>
      </c>
      <c r="EH20" s="2">
        <f>EG20+真實IC!EH20</f>
        <v/>
      </c>
      <c r="EI20" s="2">
        <f>EH20+真實IC!EI20</f>
        <v/>
      </c>
      <c r="EJ20" s="2">
        <f>EI20+真實IC!EJ20</f>
        <v/>
      </c>
      <c r="EK20" s="2">
        <f>EJ20+真實IC!EK20</f>
        <v/>
      </c>
      <c r="EL20" s="2">
        <f>EK20+真實IC!EL20</f>
        <v/>
      </c>
    </row>
    <row r="21">
      <c r="A21" s="13" t="n"/>
      <c r="B21" s="13" t="n">
        <v>256</v>
      </c>
      <c r="C21" s="2" t="n">
        <v>0.2490064650579937</v>
      </c>
      <c r="D21" s="2">
        <f>C21+真實IC!D21</f>
        <v/>
      </c>
      <c r="E21" s="2">
        <f>D21+真實IC!E21</f>
        <v/>
      </c>
      <c r="F21" s="2">
        <f>E21+真實IC!F21</f>
        <v/>
      </c>
      <c r="G21" s="2">
        <f>F21+真實IC!G21</f>
        <v/>
      </c>
      <c r="H21" s="2">
        <f>G21+真實IC!H21</f>
        <v/>
      </c>
      <c r="I21" s="2">
        <f>H21+真實IC!I21</f>
        <v/>
      </c>
      <c r="J21" s="2">
        <f>I21+真實IC!J21</f>
        <v/>
      </c>
      <c r="K21" s="2">
        <f>J21+真實IC!K21</f>
        <v/>
      </c>
      <c r="L21" s="2">
        <f>K21+真實IC!L21</f>
        <v/>
      </c>
      <c r="M21" s="2">
        <f>L21+真實IC!M21</f>
        <v/>
      </c>
      <c r="N21" s="2">
        <f>M21+真實IC!N21</f>
        <v/>
      </c>
      <c r="O21" s="2">
        <f>N21+真實IC!O21</f>
        <v/>
      </c>
      <c r="P21" s="2">
        <f>O21+真實IC!P21</f>
        <v/>
      </c>
      <c r="Q21" s="2">
        <f>P21+真實IC!Q21</f>
        <v/>
      </c>
      <c r="R21" s="2">
        <f>Q21+真實IC!R21</f>
        <v/>
      </c>
      <c r="S21" s="2">
        <f>R21+真實IC!S21</f>
        <v/>
      </c>
      <c r="T21" s="2">
        <f>S21+真實IC!T21</f>
        <v/>
      </c>
      <c r="U21" s="2">
        <f>T21+真實IC!U21</f>
        <v/>
      </c>
      <c r="V21" s="2">
        <f>U21+真實IC!V21</f>
        <v/>
      </c>
      <c r="W21" s="2">
        <f>V21+真實IC!W21</f>
        <v/>
      </c>
      <c r="X21" s="2">
        <f>W21+真實IC!X21</f>
        <v/>
      </c>
      <c r="Y21" s="2">
        <f>X21+真實IC!Y21</f>
        <v/>
      </c>
      <c r="Z21" s="2">
        <f>Y21+真實IC!Z21</f>
        <v/>
      </c>
      <c r="AA21" s="2">
        <f>Z21+真實IC!AA21</f>
        <v/>
      </c>
      <c r="AB21" s="2">
        <f>AA21+真實IC!AB21</f>
        <v/>
      </c>
      <c r="AC21" s="2">
        <f>AB21+真實IC!AC21</f>
        <v/>
      </c>
      <c r="AD21" s="2">
        <f>AC21+真實IC!AD21</f>
        <v/>
      </c>
      <c r="AE21" s="2">
        <f>AD21+真實IC!AE21</f>
        <v/>
      </c>
      <c r="AF21" s="2">
        <f>AE21+真實IC!AF21</f>
        <v/>
      </c>
      <c r="AG21" s="2">
        <f>AF21+真實IC!AG21</f>
        <v/>
      </c>
      <c r="AH21" s="2">
        <f>AG21+真實IC!AH21</f>
        <v/>
      </c>
      <c r="AI21" s="2">
        <f>AH21+真實IC!AI21</f>
        <v/>
      </c>
      <c r="AJ21" s="2">
        <f>AI21+真實IC!AJ21</f>
        <v/>
      </c>
      <c r="AK21" s="2">
        <f>AJ21+真實IC!AK21</f>
        <v/>
      </c>
      <c r="AL21" s="2">
        <f>AK21+真實IC!AL21</f>
        <v/>
      </c>
      <c r="AM21" s="2">
        <f>AL21+真實IC!AM21</f>
        <v/>
      </c>
      <c r="AN21" s="2">
        <f>AM21+真實IC!AN21</f>
        <v/>
      </c>
      <c r="AO21" s="2">
        <f>AN21+真實IC!AO21</f>
        <v/>
      </c>
      <c r="AP21" s="2">
        <f>AO21+真實IC!AP21</f>
        <v/>
      </c>
      <c r="AQ21" s="2">
        <f>AP21+真實IC!AQ21</f>
        <v/>
      </c>
      <c r="AR21" s="2">
        <f>AQ21+真實IC!AR21</f>
        <v/>
      </c>
      <c r="AS21" s="2">
        <f>AR21+真實IC!AS21</f>
        <v/>
      </c>
      <c r="AT21" s="2">
        <f>AS21+真實IC!AT21</f>
        <v/>
      </c>
      <c r="AU21" s="2">
        <f>AT21+真實IC!AU21</f>
        <v/>
      </c>
      <c r="AV21" s="2">
        <f>AU21+真實IC!AV21</f>
        <v/>
      </c>
      <c r="AW21" s="2">
        <f>AV21+真實IC!AW21</f>
        <v/>
      </c>
      <c r="AX21" s="2">
        <f>AW21+真實IC!AX21</f>
        <v/>
      </c>
      <c r="AY21" s="2">
        <f>AX21+真實IC!AY21</f>
        <v/>
      </c>
      <c r="AZ21" s="2">
        <f>AY21+真實IC!AZ21</f>
        <v/>
      </c>
      <c r="BA21" s="2">
        <f>AZ21+真實IC!BA21</f>
        <v/>
      </c>
      <c r="BB21" s="2">
        <f>BA21+真實IC!BB21</f>
        <v/>
      </c>
      <c r="BC21" s="2">
        <f>BB21+真實IC!BC21</f>
        <v/>
      </c>
      <c r="BD21" s="2">
        <f>BC21+真實IC!BD21</f>
        <v/>
      </c>
      <c r="BE21" s="2">
        <f>BD21+真實IC!BE21</f>
        <v/>
      </c>
      <c r="BF21" s="2">
        <f>BE21+真實IC!BF21</f>
        <v/>
      </c>
      <c r="BG21" s="2">
        <f>BF21+真實IC!BG21</f>
        <v/>
      </c>
      <c r="BH21" s="2">
        <f>BG21+真實IC!BH21</f>
        <v/>
      </c>
      <c r="BI21" s="2">
        <f>BH21+真實IC!BI21</f>
        <v/>
      </c>
      <c r="BJ21" s="2">
        <f>BI21+真實IC!BJ21</f>
        <v/>
      </c>
      <c r="BK21" s="2">
        <f>BJ21+真實IC!BK21</f>
        <v/>
      </c>
      <c r="BL21" s="2">
        <f>BK21+真實IC!BL21</f>
        <v/>
      </c>
      <c r="BM21" s="2">
        <f>BL21+真實IC!BM21</f>
        <v/>
      </c>
      <c r="BN21" s="2">
        <f>BM21+真實IC!BN21</f>
        <v/>
      </c>
      <c r="BO21" s="2">
        <f>BN21+真實IC!BO21</f>
        <v/>
      </c>
      <c r="BP21" s="2">
        <f>BO21+真實IC!BP21</f>
        <v/>
      </c>
      <c r="BQ21" s="2">
        <f>BP21+真實IC!BQ21</f>
        <v/>
      </c>
      <c r="BR21" s="2">
        <f>BQ21+真實IC!BR21</f>
        <v/>
      </c>
      <c r="BS21" s="2">
        <f>BR21+真實IC!BS21</f>
        <v/>
      </c>
      <c r="BT21" s="2">
        <f>BS21+真實IC!BT21</f>
        <v/>
      </c>
      <c r="BU21" s="2">
        <f>BT21+真實IC!BU21</f>
        <v/>
      </c>
      <c r="BV21" s="2">
        <f>BU21+真實IC!BV21</f>
        <v/>
      </c>
      <c r="BW21" s="2">
        <f>BV21+真實IC!BW21</f>
        <v/>
      </c>
      <c r="BX21" s="2">
        <f>BW21+真實IC!BX21</f>
        <v/>
      </c>
      <c r="BY21" s="2">
        <f>BX21+真實IC!BY21</f>
        <v/>
      </c>
      <c r="BZ21" s="2">
        <f>BY21+真實IC!BZ21</f>
        <v/>
      </c>
      <c r="CA21" s="2">
        <f>BZ21+真實IC!CA21</f>
        <v/>
      </c>
      <c r="CB21" s="2">
        <f>CA21+真實IC!CB21</f>
        <v/>
      </c>
      <c r="CC21" s="2">
        <f>CB21+真實IC!CC21</f>
        <v/>
      </c>
      <c r="CD21" s="2">
        <f>CC21+真實IC!CD21</f>
        <v/>
      </c>
      <c r="CE21" s="2">
        <f>CD21+真實IC!CE21</f>
        <v/>
      </c>
      <c r="CF21" s="2">
        <f>CE21+真實IC!CF21</f>
        <v/>
      </c>
      <c r="CG21" s="2">
        <f>CF21+真實IC!CG21</f>
        <v/>
      </c>
      <c r="CH21" s="2">
        <f>CG21+真實IC!CH21</f>
        <v/>
      </c>
      <c r="CI21" s="2">
        <f>CH21+真實IC!CI21</f>
        <v/>
      </c>
      <c r="CJ21" s="2">
        <f>CI21+真實IC!CJ21</f>
        <v/>
      </c>
      <c r="CK21" s="2">
        <f>CJ21+真實IC!CK21</f>
        <v/>
      </c>
      <c r="CL21" s="2">
        <f>CK21+真實IC!CL21</f>
        <v/>
      </c>
      <c r="CM21" s="2">
        <f>CL21+真實IC!CM21</f>
        <v/>
      </c>
      <c r="CN21" s="2">
        <f>CM21+真實IC!CN21</f>
        <v/>
      </c>
      <c r="CO21" s="2">
        <f>CN21+真實IC!CO21</f>
        <v/>
      </c>
      <c r="CP21" s="2">
        <f>CO21+真實IC!CP21</f>
        <v/>
      </c>
      <c r="CQ21" s="2">
        <f>CP21+真實IC!CQ21</f>
        <v/>
      </c>
      <c r="CR21" s="2">
        <f>CQ21+真實IC!CR21</f>
        <v/>
      </c>
      <c r="CS21" s="2">
        <f>CR21+真實IC!CS21</f>
        <v/>
      </c>
      <c r="CT21" s="2">
        <f>CS21+真實IC!CT21</f>
        <v/>
      </c>
      <c r="CU21" s="2">
        <f>CT21+真實IC!CU21</f>
        <v/>
      </c>
      <c r="CV21" s="2">
        <f>CU21+真實IC!CV21</f>
        <v/>
      </c>
      <c r="CW21" s="2">
        <f>CV21+真實IC!CW21</f>
        <v/>
      </c>
      <c r="CX21" s="2">
        <f>CW21+真實IC!CX21</f>
        <v/>
      </c>
      <c r="CY21" s="2">
        <f>CX21+真實IC!CY21</f>
        <v/>
      </c>
      <c r="CZ21" s="2">
        <f>CY21+真實IC!CZ21</f>
        <v/>
      </c>
      <c r="DA21" s="2">
        <f>CZ21+真實IC!DA21</f>
        <v/>
      </c>
      <c r="DB21" s="2">
        <f>DA21+真實IC!DB21</f>
        <v/>
      </c>
      <c r="DC21" s="2">
        <f>DB21+真實IC!DC21</f>
        <v/>
      </c>
      <c r="DD21" s="2">
        <f>DC21+真實IC!DD21</f>
        <v/>
      </c>
      <c r="DE21" s="2">
        <f>DD21+真實IC!DE21</f>
        <v/>
      </c>
      <c r="DF21" s="2">
        <f>DE21+真實IC!DF21</f>
        <v/>
      </c>
      <c r="DG21" s="2">
        <f>DF21+真實IC!DG21</f>
        <v/>
      </c>
      <c r="DH21" s="2">
        <f>DG21+真實IC!DH21</f>
        <v/>
      </c>
      <c r="DI21" s="2">
        <f>DH21+真實IC!DI21</f>
        <v/>
      </c>
      <c r="DJ21" s="2">
        <f>DI21+真實IC!DJ21</f>
        <v/>
      </c>
      <c r="DK21" s="2">
        <f>DJ21+真實IC!DK21</f>
        <v/>
      </c>
      <c r="DL21" s="2">
        <f>DK21+真實IC!DL21</f>
        <v/>
      </c>
      <c r="DM21" s="2">
        <f>DL21+真實IC!DM21</f>
        <v/>
      </c>
      <c r="DN21" s="2">
        <f>DM21+真實IC!DN21</f>
        <v/>
      </c>
      <c r="DO21" s="2">
        <f>DN21+真實IC!DO21</f>
        <v/>
      </c>
      <c r="DP21" s="2">
        <f>DO21+真實IC!DP21</f>
        <v/>
      </c>
      <c r="DQ21" s="2">
        <f>DP21+真實IC!DQ21</f>
        <v/>
      </c>
      <c r="DR21" s="2">
        <f>DQ21+真實IC!DR21</f>
        <v/>
      </c>
      <c r="DS21" s="2">
        <f>DR21+真實IC!DS21</f>
        <v/>
      </c>
      <c r="DT21" s="2">
        <f>DS21+真實IC!DT21</f>
        <v/>
      </c>
      <c r="DU21" s="2">
        <f>DT21+真實IC!DU21</f>
        <v/>
      </c>
      <c r="DV21" s="2">
        <f>DU21+真實IC!DV21</f>
        <v/>
      </c>
      <c r="DW21" s="2">
        <f>DV21+真實IC!DW21</f>
        <v/>
      </c>
      <c r="DX21" s="2">
        <f>DW21+真實IC!DX21</f>
        <v/>
      </c>
      <c r="DY21" s="2">
        <f>DX21+真實IC!DY21</f>
        <v/>
      </c>
      <c r="DZ21" s="2">
        <f>DY21+真實IC!DZ21</f>
        <v/>
      </c>
      <c r="EA21" s="2">
        <f>DZ21+真實IC!EA21</f>
        <v/>
      </c>
      <c r="EB21" s="2">
        <f>EA21+真實IC!EB21</f>
        <v/>
      </c>
      <c r="EC21" s="2">
        <f>EB21+真實IC!EC21</f>
        <v/>
      </c>
      <c r="ED21" s="2">
        <f>EC21+真實IC!ED21</f>
        <v/>
      </c>
      <c r="EE21" s="2">
        <f>ED21+真實IC!EE21</f>
        <v/>
      </c>
      <c r="EF21" s="2">
        <f>EE21+真實IC!EF21</f>
        <v/>
      </c>
      <c r="EG21" s="2">
        <f>EF21+真實IC!EG21</f>
        <v/>
      </c>
      <c r="EH21" s="2">
        <f>EG21+真實IC!EH21</f>
        <v/>
      </c>
      <c r="EI21" s="2">
        <f>EH21+真實IC!EI21</f>
        <v/>
      </c>
      <c r="EJ21" s="2">
        <f>EI21+真實IC!EJ21</f>
        <v/>
      </c>
      <c r="EK21" s="2">
        <f>EJ21+真實IC!EK21</f>
        <v/>
      </c>
      <c r="EL21" s="2">
        <f>EK21+真實IC!EL21</f>
        <v/>
      </c>
    </row>
    <row r="22">
      <c r="A22" s="13" t="n"/>
      <c r="B22" s="13" t="n">
        <v>400</v>
      </c>
      <c r="C22" s="2" t="n">
        <v>0.2888661911680884</v>
      </c>
      <c r="D22" s="2">
        <f>C22+真實IC!D22</f>
        <v/>
      </c>
      <c r="E22" s="2">
        <f>D22+真實IC!E22</f>
        <v/>
      </c>
      <c r="F22" s="2">
        <f>E22+真實IC!F22</f>
        <v/>
      </c>
      <c r="G22" s="2">
        <f>F22+真實IC!G22</f>
        <v/>
      </c>
      <c r="H22" s="2">
        <f>G22+真實IC!H22</f>
        <v/>
      </c>
      <c r="I22" s="2">
        <f>H22+真實IC!I22</f>
        <v/>
      </c>
      <c r="J22" s="2">
        <f>I22+真實IC!J22</f>
        <v/>
      </c>
      <c r="K22" s="2">
        <f>J22+真實IC!K22</f>
        <v/>
      </c>
      <c r="L22" s="2">
        <f>K22+真實IC!L22</f>
        <v/>
      </c>
      <c r="M22" s="2">
        <f>L22+真實IC!M22</f>
        <v/>
      </c>
      <c r="N22" s="2">
        <f>M22+真實IC!N22</f>
        <v/>
      </c>
      <c r="O22" s="2">
        <f>N22+真實IC!O22</f>
        <v/>
      </c>
      <c r="P22" s="2">
        <f>O22+真實IC!P22</f>
        <v/>
      </c>
      <c r="Q22" s="2">
        <f>P22+真實IC!Q22</f>
        <v/>
      </c>
      <c r="R22" s="2">
        <f>Q22+真實IC!R22</f>
        <v/>
      </c>
      <c r="S22" s="2">
        <f>R22+真實IC!S22</f>
        <v/>
      </c>
      <c r="T22" s="2">
        <f>S22+真實IC!T22</f>
        <v/>
      </c>
      <c r="U22" s="2">
        <f>T22+真實IC!U22</f>
        <v/>
      </c>
      <c r="V22" s="2">
        <f>U22+真實IC!V22</f>
        <v/>
      </c>
      <c r="W22" s="2">
        <f>V22+真實IC!W22</f>
        <v/>
      </c>
      <c r="X22" s="2">
        <f>W22+真實IC!X22</f>
        <v/>
      </c>
      <c r="Y22" s="2">
        <f>X22+真實IC!Y22</f>
        <v/>
      </c>
      <c r="Z22" s="2">
        <f>Y22+真實IC!Z22</f>
        <v/>
      </c>
      <c r="AA22" s="2">
        <f>Z22+真實IC!AA22</f>
        <v/>
      </c>
      <c r="AB22" s="2">
        <f>AA22+真實IC!AB22</f>
        <v/>
      </c>
      <c r="AC22" s="2">
        <f>AB22+真實IC!AC22</f>
        <v/>
      </c>
      <c r="AD22" s="2">
        <f>AC22+真實IC!AD22</f>
        <v/>
      </c>
      <c r="AE22" s="2">
        <f>AD22+真實IC!AE22</f>
        <v/>
      </c>
      <c r="AF22" s="2">
        <f>AE22+真實IC!AF22</f>
        <v/>
      </c>
      <c r="AG22" s="2">
        <f>AF22+真實IC!AG22</f>
        <v/>
      </c>
      <c r="AH22" s="2">
        <f>AG22+真實IC!AH22</f>
        <v/>
      </c>
      <c r="AI22" s="2">
        <f>AH22+真實IC!AI22</f>
        <v/>
      </c>
      <c r="AJ22" s="2">
        <f>AI22+真實IC!AJ22</f>
        <v/>
      </c>
      <c r="AK22" s="2">
        <f>AJ22+真實IC!AK22</f>
        <v/>
      </c>
      <c r="AL22" s="2">
        <f>AK22+真實IC!AL22</f>
        <v/>
      </c>
      <c r="AM22" s="2">
        <f>AL22+真實IC!AM22</f>
        <v/>
      </c>
      <c r="AN22" s="2">
        <f>AM22+真實IC!AN22</f>
        <v/>
      </c>
      <c r="AO22" s="2">
        <f>AN22+真實IC!AO22</f>
        <v/>
      </c>
      <c r="AP22" s="2">
        <f>AO22+真實IC!AP22</f>
        <v/>
      </c>
      <c r="AQ22" s="2">
        <f>AP22+真實IC!AQ22</f>
        <v/>
      </c>
      <c r="AR22" s="2">
        <f>AQ22+真實IC!AR22</f>
        <v/>
      </c>
      <c r="AS22" s="2">
        <f>AR22+真實IC!AS22</f>
        <v/>
      </c>
      <c r="AT22" s="2">
        <f>AS22+真實IC!AT22</f>
        <v/>
      </c>
      <c r="AU22" s="2">
        <f>AT22+真實IC!AU22</f>
        <v/>
      </c>
      <c r="AV22" s="2">
        <f>AU22+真實IC!AV22</f>
        <v/>
      </c>
      <c r="AW22" s="2">
        <f>AV22+真實IC!AW22</f>
        <v/>
      </c>
      <c r="AX22" s="2">
        <f>AW22+真實IC!AX22</f>
        <v/>
      </c>
      <c r="AY22" s="2">
        <f>AX22+真實IC!AY22</f>
        <v/>
      </c>
      <c r="AZ22" s="2">
        <f>AY22+真實IC!AZ22</f>
        <v/>
      </c>
      <c r="BA22" s="2">
        <f>AZ22+真實IC!BA22</f>
        <v/>
      </c>
      <c r="BB22" s="2">
        <f>BA22+真實IC!BB22</f>
        <v/>
      </c>
      <c r="BC22" s="2">
        <f>BB22+真實IC!BC22</f>
        <v/>
      </c>
      <c r="BD22" s="2">
        <f>BC22+真實IC!BD22</f>
        <v/>
      </c>
      <c r="BE22" s="2">
        <f>BD22+真實IC!BE22</f>
        <v/>
      </c>
      <c r="BF22" s="2">
        <f>BE22+真實IC!BF22</f>
        <v/>
      </c>
      <c r="BG22" s="2">
        <f>BF22+真實IC!BG22</f>
        <v/>
      </c>
      <c r="BH22" s="2">
        <f>BG22+真實IC!BH22</f>
        <v/>
      </c>
      <c r="BI22" s="2">
        <f>BH22+真實IC!BI22</f>
        <v/>
      </c>
      <c r="BJ22" s="2">
        <f>BI22+真實IC!BJ22</f>
        <v/>
      </c>
      <c r="BK22" s="2">
        <f>BJ22+真實IC!BK22</f>
        <v/>
      </c>
      <c r="BL22" s="2">
        <f>BK22+真實IC!BL22</f>
        <v/>
      </c>
      <c r="BM22" s="2">
        <f>BL22+真實IC!BM22</f>
        <v/>
      </c>
      <c r="BN22" s="2">
        <f>BM22+真實IC!BN22</f>
        <v/>
      </c>
      <c r="BO22" s="2">
        <f>BN22+真實IC!BO22</f>
        <v/>
      </c>
      <c r="BP22" s="2">
        <f>BO22+真實IC!BP22</f>
        <v/>
      </c>
      <c r="BQ22" s="2">
        <f>BP22+真實IC!BQ22</f>
        <v/>
      </c>
      <c r="BR22" s="2">
        <f>BQ22+真實IC!BR22</f>
        <v/>
      </c>
      <c r="BS22" s="2">
        <f>BR22+真實IC!BS22</f>
        <v/>
      </c>
      <c r="BT22" s="2">
        <f>BS22+真實IC!BT22</f>
        <v/>
      </c>
      <c r="BU22" s="2">
        <f>BT22+真實IC!BU22</f>
        <v/>
      </c>
      <c r="BV22" s="2">
        <f>BU22+真實IC!BV22</f>
        <v/>
      </c>
      <c r="BW22" s="2">
        <f>BV22+真實IC!BW22</f>
        <v/>
      </c>
      <c r="BX22" s="2">
        <f>BW22+真實IC!BX22</f>
        <v/>
      </c>
      <c r="BY22" s="2">
        <f>BX22+真實IC!BY22</f>
        <v/>
      </c>
      <c r="BZ22" s="2">
        <f>BY22+真實IC!BZ22</f>
        <v/>
      </c>
      <c r="CA22" s="2">
        <f>BZ22+真實IC!CA22</f>
        <v/>
      </c>
      <c r="CB22" s="2">
        <f>CA22+真實IC!CB22</f>
        <v/>
      </c>
      <c r="CC22" s="2">
        <f>CB22+真實IC!CC22</f>
        <v/>
      </c>
      <c r="CD22" s="2">
        <f>CC22+真實IC!CD22</f>
        <v/>
      </c>
      <c r="CE22" s="2">
        <f>CD22+真實IC!CE22</f>
        <v/>
      </c>
      <c r="CF22" s="2">
        <f>CE22+真實IC!CF22</f>
        <v/>
      </c>
      <c r="CG22" s="2">
        <f>CF22+真實IC!CG22</f>
        <v/>
      </c>
      <c r="CH22" s="2">
        <f>CG22+真實IC!CH22</f>
        <v/>
      </c>
      <c r="CI22" s="2">
        <f>CH22+真實IC!CI22</f>
        <v/>
      </c>
      <c r="CJ22" s="2">
        <f>CI22+真實IC!CJ22</f>
        <v/>
      </c>
      <c r="CK22" s="2">
        <f>CJ22+真實IC!CK22</f>
        <v/>
      </c>
      <c r="CL22" s="2">
        <f>CK22+真實IC!CL22</f>
        <v/>
      </c>
      <c r="CM22" s="2">
        <f>CL22+真實IC!CM22</f>
        <v/>
      </c>
      <c r="CN22" s="2">
        <f>CM22+真實IC!CN22</f>
        <v/>
      </c>
      <c r="CO22" s="2">
        <f>CN22+真實IC!CO22</f>
        <v/>
      </c>
      <c r="CP22" s="2">
        <f>CO22+真實IC!CP22</f>
        <v/>
      </c>
      <c r="CQ22" s="2">
        <f>CP22+真實IC!CQ22</f>
        <v/>
      </c>
      <c r="CR22" s="2">
        <f>CQ22+真實IC!CR22</f>
        <v/>
      </c>
      <c r="CS22" s="2">
        <f>CR22+真實IC!CS22</f>
        <v/>
      </c>
      <c r="CT22" s="2">
        <f>CS22+真實IC!CT22</f>
        <v/>
      </c>
      <c r="CU22" s="2">
        <f>CT22+真實IC!CU22</f>
        <v/>
      </c>
      <c r="CV22" s="2">
        <f>CU22+真實IC!CV22</f>
        <v/>
      </c>
      <c r="CW22" s="2">
        <f>CV22+真實IC!CW22</f>
        <v/>
      </c>
      <c r="CX22" s="2">
        <f>CW22+真實IC!CX22</f>
        <v/>
      </c>
      <c r="CY22" s="2">
        <f>CX22+真實IC!CY22</f>
        <v/>
      </c>
      <c r="CZ22" s="2">
        <f>CY22+真實IC!CZ22</f>
        <v/>
      </c>
      <c r="DA22" s="2">
        <f>CZ22+真實IC!DA22</f>
        <v/>
      </c>
      <c r="DB22" s="2">
        <f>DA22+真實IC!DB22</f>
        <v/>
      </c>
      <c r="DC22" s="2">
        <f>DB22+真實IC!DC22</f>
        <v/>
      </c>
      <c r="DD22" s="2">
        <f>DC22+真實IC!DD22</f>
        <v/>
      </c>
      <c r="DE22" s="2">
        <f>DD22+真實IC!DE22</f>
        <v/>
      </c>
      <c r="DF22" s="2">
        <f>DE22+真實IC!DF22</f>
        <v/>
      </c>
      <c r="DG22" s="2">
        <f>DF22+真實IC!DG22</f>
        <v/>
      </c>
      <c r="DH22" s="2">
        <f>DG22+真實IC!DH22</f>
        <v/>
      </c>
      <c r="DI22" s="2">
        <f>DH22+真實IC!DI22</f>
        <v/>
      </c>
      <c r="DJ22" s="2">
        <f>DI22+真實IC!DJ22</f>
        <v/>
      </c>
      <c r="DK22" s="2">
        <f>DJ22+真實IC!DK22</f>
        <v/>
      </c>
      <c r="DL22" s="2">
        <f>DK22+真實IC!DL22</f>
        <v/>
      </c>
      <c r="DM22" s="2">
        <f>DL22+真實IC!DM22</f>
        <v/>
      </c>
      <c r="DN22" s="2">
        <f>DM22+真實IC!DN22</f>
        <v/>
      </c>
      <c r="DO22" s="2">
        <f>DN22+真實IC!DO22</f>
        <v/>
      </c>
      <c r="DP22" s="2">
        <f>DO22+真實IC!DP22</f>
        <v/>
      </c>
      <c r="DQ22" s="2">
        <f>DP22+真實IC!DQ22</f>
        <v/>
      </c>
      <c r="DR22" s="2">
        <f>DQ22+真實IC!DR22</f>
        <v/>
      </c>
      <c r="DS22" s="2">
        <f>DR22+真實IC!DS22</f>
        <v/>
      </c>
      <c r="DT22" s="2">
        <f>DS22+真實IC!DT22</f>
        <v/>
      </c>
      <c r="DU22" s="2">
        <f>DT22+真實IC!DU22</f>
        <v/>
      </c>
      <c r="DV22" s="2">
        <f>DU22+真實IC!DV22</f>
        <v/>
      </c>
      <c r="DW22" s="2">
        <f>DV22+真實IC!DW22</f>
        <v/>
      </c>
      <c r="DX22" s="2">
        <f>DW22+真實IC!DX22</f>
        <v/>
      </c>
      <c r="DY22" s="2">
        <f>DX22+真實IC!DY22</f>
        <v/>
      </c>
      <c r="DZ22" s="2">
        <f>DY22+真實IC!DZ22</f>
        <v/>
      </c>
      <c r="EA22" s="2">
        <f>DZ22+真實IC!EA22</f>
        <v/>
      </c>
      <c r="EB22" s="2">
        <f>EA22+真實IC!EB22</f>
        <v/>
      </c>
      <c r="EC22" s="2">
        <f>EB22+真實IC!EC22</f>
        <v/>
      </c>
      <c r="ED22" s="2">
        <f>EC22+真實IC!ED22</f>
        <v/>
      </c>
      <c r="EE22" s="2">
        <f>ED22+真實IC!EE22</f>
        <v/>
      </c>
      <c r="EF22" s="2">
        <f>EE22+真實IC!EF22</f>
        <v/>
      </c>
      <c r="EG22" s="2">
        <f>EF22+真實IC!EG22</f>
        <v/>
      </c>
      <c r="EH22" s="2">
        <f>EG22+真實IC!EH22</f>
        <v/>
      </c>
      <c r="EI22" s="2">
        <f>EH22+真實IC!EI22</f>
        <v/>
      </c>
      <c r="EJ22" s="2">
        <f>EI22+真實IC!EJ22</f>
        <v/>
      </c>
      <c r="EK22" s="2">
        <f>EJ22+真實IC!EK22</f>
        <v/>
      </c>
      <c r="EL22" s="2">
        <f>EK22+真實IC!EL22</f>
        <v/>
      </c>
    </row>
    <row r="23">
      <c r="A23" s="13" t="n"/>
      <c r="B23" s="13" t="n">
        <v>512</v>
      </c>
      <c r="C23" s="2" t="n">
        <v>0.2829892656963289</v>
      </c>
      <c r="D23" s="2">
        <f>C23+真實IC!D23</f>
        <v/>
      </c>
      <c r="E23" s="2">
        <f>D23+真實IC!E23</f>
        <v/>
      </c>
      <c r="F23" s="2">
        <f>E23+真實IC!F23</f>
        <v/>
      </c>
      <c r="G23" s="2">
        <f>F23+真實IC!G23</f>
        <v/>
      </c>
      <c r="H23" s="2">
        <f>G23+真實IC!H23</f>
        <v/>
      </c>
      <c r="I23" s="2">
        <f>H23+真實IC!I23</f>
        <v/>
      </c>
      <c r="J23" s="2">
        <f>I23+真實IC!J23</f>
        <v/>
      </c>
      <c r="K23" s="2">
        <f>J23+真實IC!K23</f>
        <v/>
      </c>
      <c r="L23" s="2">
        <f>K23+真實IC!L23</f>
        <v/>
      </c>
      <c r="M23" s="2">
        <f>L23+真實IC!M23</f>
        <v/>
      </c>
      <c r="N23" s="2">
        <f>M23+真實IC!N23</f>
        <v/>
      </c>
      <c r="O23" s="2">
        <f>N23+真實IC!O23</f>
        <v/>
      </c>
      <c r="P23" s="2">
        <f>O23+真實IC!P23</f>
        <v/>
      </c>
      <c r="Q23" s="2">
        <f>P23+真實IC!Q23</f>
        <v/>
      </c>
      <c r="R23" s="2">
        <f>Q23+真實IC!R23</f>
        <v/>
      </c>
      <c r="S23" s="2">
        <f>R23+真實IC!S23</f>
        <v/>
      </c>
      <c r="T23" s="2">
        <f>S23+真實IC!T23</f>
        <v/>
      </c>
      <c r="U23" s="2">
        <f>T23+真實IC!U23</f>
        <v/>
      </c>
      <c r="V23" s="2">
        <f>U23+真實IC!V23</f>
        <v/>
      </c>
      <c r="W23" s="2">
        <f>V23+真實IC!W23</f>
        <v/>
      </c>
      <c r="X23" s="2">
        <f>W23+真實IC!X23</f>
        <v/>
      </c>
      <c r="Y23" s="2">
        <f>X23+真實IC!Y23</f>
        <v/>
      </c>
      <c r="Z23" s="2">
        <f>Y23+真實IC!Z23</f>
        <v/>
      </c>
      <c r="AA23" s="2">
        <f>Z23+真實IC!AA23</f>
        <v/>
      </c>
      <c r="AB23" s="2">
        <f>AA23+真實IC!AB23</f>
        <v/>
      </c>
      <c r="AC23" s="2">
        <f>AB23+真實IC!AC23</f>
        <v/>
      </c>
      <c r="AD23" s="2">
        <f>AC23+真實IC!AD23</f>
        <v/>
      </c>
      <c r="AE23" s="2">
        <f>AD23+真實IC!AE23</f>
        <v/>
      </c>
      <c r="AF23" s="2">
        <f>AE23+真實IC!AF23</f>
        <v/>
      </c>
      <c r="AG23" s="2">
        <f>AF23+真實IC!AG23</f>
        <v/>
      </c>
      <c r="AH23" s="2">
        <f>AG23+真實IC!AH23</f>
        <v/>
      </c>
      <c r="AI23" s="2">
        <f>AH23+真實IC!AI23</f>
        <v/>
      </c>
      <c r="AJ23" s="2">
        <f>AI23+真實IC!AJ23</f>
        <v/>
      </c>
      <c r="AK23" s="2">
        <f>AJ23+真實IC!AK23</f>
        <v/>
      </c>
      <c r="AL23" s="2">
        <f>AK23+真實IC!AL23</f>
        <v/>
      </c>
      <c r="AM23" s="2">
        <f>AL23+真實IC!AM23</f>
        <v/>
      </c>
      <c r="AN23" s="2">
        <f>AM23+真實IC!AN23</f>
        <v/>
      </c>
      <c r="AO23" s="2">
        <f>AN23+真實IC!AO23</f>
        <v/>
      </c>
      <c r="AP23" s="2">
        <f>AO23+真實IC!AP23</f>
        <v/>
      </c>
      <c r="AQ23" s="2">
        <f>AP23+真實IC!AQ23</f>
        <v/>
      </c>
      <c r="AR23" s="2">
        <f>AQ23+真實IC!AR23</f>
        <v/>
      </c>
      <c r="AS23" s="2">
        <f>AR23+真實IC!AS23</f>
        <v/>
      </c>
      <c r="AT23" s="2">
        <f>AS23+真實IC!AT23</f>
        <v/>
      </c>
      <c r="AU23" s="2">
        <f>AT23+真實IC!AU23</f>
        <v/>
      </c>
      <c r="AV23" s="2">
        <f>AU23+真實IC!AV23</f>
        <v/>
      </c>
      <c r="AW23" s="2">
        <f>AV23+真實IC!AW23</f>
        <v/>
      </c>
      <c r="AX23" s="2">
        <f>AW23+真實IC!AX23</f>
        <v/>
      </c>
      <c r="AY23" s="2">
        <f>AX23+真實IC!AY23</f>
        <v/>
      </c>
      <c r="AZ23" s="2">
        <f>AY23+真實IC!AZ23</f>
        <v/>
      </c>
      <c r="BA23" s="2">
        <f>AZ23+真實IC!BA23</f>
        <v/>
      </c>
      <c r="BB23" s="2">
        <f>BA23+真實IC!BB23</f>
        <v/>
      </c>
      <c r="BC23" s="2">
        <f>BB23+真實IC!BC23</f>
        <v/>
      </c>
      <c r="BD23" s="2">
        <f>BC23+真實IC!BD23</f>
        <v/>
      </c>
      <c r="BE23" s="2">
        <f>BD23+真實IC!BE23</f>
        <v/>
      </c>
      <c r="BF23" s="2">
        <f>BE23+真實IC!BF23</f>
        <v/>
      </c>
      <c r="BG23" s="2">
        <f>BF23+真實IC!BG23</f>
        <v/>
      </c>
      <c r="BH23" s="2">
        <f>BG23+真實IC!BH23</f>
        <v/>
      </c>
      <c r="BI23" s="2">
        <f>BH23+真實IC!BI23</f>
        <v/>
      </c>
      <c r="BJ23" s="2">
        <f>BI23+真實IC!BJ23</f>
        <v/>
      </c>
      <c r="BK23" s="2">
        <f>BJ23+真實IC!BK23</f>
        <v/>
      </c>
      <c r="BL23" s="2">
        <f>BK23+真實IC!BL23</f>
        <v/>
      </c>
      <c r="BM23" s="2">
        <f>BL23+真實IC!BM23</f>
        <v/>
      </c>
      <c r="BN23" s="2">
        <f>BM23+真實IC!BN23</f>
        <v/>
      </c>
      <c r="BO23" s="2">
        <f>BN23+真實IC!BO23</f>
        <v/>
      </c>
      <c r="BP23" s="2">
        <f>BO23+真實IC!BP23</f>
        <v/>
      </c>
      <c r="BQ23" s="2">
        <f>BP23+真實IC!BQ23</f>
        <v/>
      </c>
      <c r="BR23" s="2">
        <f>BQ23+真實IC!BR23</f>
        <v/>
      </c>
      <c r="BS23" s="2">
        <f>BR23+真實IC!BS23</f>
        <v/>
      </c>
      <c r="BT23" s="2">
        <f>BS23+真實IC!BT23</f>
        <v/>
      </c>
      <c r="BU23" s="2">
        <f>BT23+真實IC!BU23</f>
        <v/>
      </c>
      <c r="BV23" s="2">
        <f>BU23+真實IC!BV23</f>
        <v/>
      </c>
      <c r="BW23" s="2">
        <f>BV23+真實IC!BW23</f>
        <v/>
      </c>
      <c r="BX23" s="2">
        <f>BW23+真實IC!BX23</f>
        <v/>
      </c>
      <c r="BY23" s="2">
        <f>BX23+真實IC!BY23</f>
        <v/>
      </c>
      <c r="BZ23" s="2">
        <f>BY23+真實IC!BZ23</f>
        <v/>
      </c>
      <c r="CA23" s="2">
        <f>BZ23+真實IC!CA23</f>
        <v/>
      </c>
      <c r="CB23" s="2">
        <f>CA23+真實IC!CB23</f>
        <v/>
      </c>
      <c r="CC23" s="2">
        <f>CB23+真實IC!CC23</f>
        <v/>
      </c>
      <c r="CD23" s="2">
        <f>CC23+真實IC!CD23</f>
        <v/>
      </c>
      <c r="CE23" s="2">
        <f>CD23+真實IC!CE23</f>
        <v/>
      </c>
      <c r="CF23" s="2">
        <f>CE23+真實IC!CF23</f>
        <v/>
      </c>
      <c r="CG23" s="2">
        <f>CF23+真實IC!CG23</f>
        <v/>
      </c>
      <c r="CH23" s="2">
        <f>CG23+真實IC!CH23</f>
        <v/>
      </c>
      <c r="CI23" s="2">
        <f>CH23+真實IC!CI23</f>
        <v/>
      </c>
      <c r="CJ23" s="2">
        <f>CI23+真實IC!CJ23</f>
        <v/>
      </c>
      <c r="CK23" s="2">
        <f>CJ23+真實IC!CK23</f>
        <v/>
      </c>
      <c r="CL23" s="2">
        <f>CK23+真實IC!CL23</f>
        <v/>
      </c>
      <c r="CM23" s="2">
        <f>CL23+真實IC!CM23</f>
        <v/>
      </c>
      <c r="CN23" s="2">
        <f>CM23+真實IC!CN23</f>
        <v/>
      </c>
      <c r="CO23" s="2">
        <f>CN23+真實IC!CO23</f>
        <v/>
      </c>
      <c r="CP23" s="2">
        <f>CO23+真實IC!CP23</f>
        <v/>
      </c>
      <c r="CQ23" s="2">
        <f>CP23+真實IC!CQ23</f>
        <v/>
      </c>
      <c r="CR23" s="2">
        <f>CQ23+真實IC!CR23</f>
        <v/>
      </c>
      <c r="CS23" s="2">
        <f>CR23+真實IC!CS23</f>
        <v/>
      </c>
      <c r="CT23" s="2">
        <f>CS23+真實IC!CT23</f>
        <v/>
      </c>
      <c r="CU23" s="2">
        <f>CT23+真實IC!CU23</f>
        <v/>
      </c>
      <c r="CV23" s="2">
        <f>CU23+真實IC!CV23</f>
        <v/>
      </c>
      <c r="CW23" s="2">
        <f>CV23+真實IC!CW23</f>
        <v/>
      </c>
      <c r="CX23" s="2">
        <f>CW23+真實IC!CX23</f>
        <v/>
      </c>
      <c r="CY23" s="2">
        <f>CX23+真實IC!CY23</f>
        <v/>
      </c>
      <c r="CZ23" s="2">
        <f>CY23+真實IC!CZ23</f>
        <v/>
      </c>
      <c r="DA23" s="2">
        <f>CZ23+真實IC!DA23</f>
        <v/>
      </c>
      <c r="DB23" s="2">
        <f>DA23+真實IC!DB23</f>
        <v/>
      </c>
      <c r="DC23" s="2">
        <f>DB23+真實IC!DC23</f>
        <v/>
      </c>
      <c r="DD23" s="2">
        <f>DC23+真實IC!DD23</f>
        <v/>
      </c>
      <c r="DE23" s="2">
        <f>DD23+真實IC!DE23</f>
        <v/>
      </c>
      <c r="DF23" s="2">
        <f>DE23+真實IC!DF23</f>
        <v/>
      </c>
      <c r="DG23" s="2">
        <f>DF23+真實IC!DG23</f>
        <v/>
      </c>
      <c r="DH23" s="2">
        <f>DG23+真實IC!DH23</f>
        <v/>
      </c>
      <c r="DI23" s="2">
        <f>DH23+真實IC!DI23</f>
        <v/>
      </c>
      <c r="DJ23" s="2">
        <f>DI23+真實IC!DJ23</f>
        <v/>
      </c>
      <c r="DK23" s="2">
        <f>DJ23+真實IC!DK23</f>
        <v/>
      </c>
      <c r="DL23" s="2">
        <f>DK23+真實IC!DL23</f>
        <v/>
      </c>
      <c r="DM23" s="2">
        <f>DL23+真實IC!DM23</f>
        <v/>
      </c>
      <c r="DN23" s="2">
        <f>DM23+真實IC!DN23</f>
        <v/>
      </c>
      <c r="DO23" s="2">
        <f>DN23+真實IC!DO23</f>
        <v/>
      </c>
      <c r="DP23" s="2">
        <f>DO23+真實IC!DP23</f>
        <v/>
      </c>
      <c r="DQ23" s="2">
        <f>DP23+真實IC!DQ23</f>
        <v/>
      </c>
      <c r="DR23" s="2">
        <f>DQ23+真實IC!DR23</f>
        <v/>
      </c>
      <c r="DS23" s="2">
        <f>DR23+真實IC!DS23</f>
        <v/>
      </c>
      <c r="DT23" s="2">
        <f>DS23+真實IC!DT23</f>
        <v/>
      </c>
      <c r="DU23" s="2">
        <f>DT23+真實IC!DU23</f>
        <v/>
      </c>
      <c r="DV23" s="2">
        <f>DU23+真實IC!DV23</f>
        <v/>
      </c>
      <c r="DW23" s="2">
        <f>DV23+真實IC!DW23</f>
        <v/>
      </c>
      <c r="DX23" s="2">
        <f>DW23+真實IC!DX23</f>
        <v/>
      </c>
      <c r="DY23" s="2">
        <f>DX23+真實IC!DY23</f>
        <v/>
      </c>
      <c r="DZ23" s="2">
        <f>DY23+真實IC!DZ23</f>
        <v/>
      </c>
      <c r="EA23" s="2">
        <f>DZ23+真實IC!EA23</f>
        <v/>
      </c>
      <c r="EB23" s="2">
        <f>EA23+真實IC!EB23</f>
        <v/>
      </c>
      <c r="EC23" s="2">
        <f>EB23+真實IC!EC23</f>
        <v/>
      </c>
      <c r="ED23" s="2">
        <f>EC23+真實IC!ED23</f>
        <v/>
      </c>
      <c r="EE23" s="2">
        <f>ED23+真實IC!EE23</f>
        <v/>
      </c>
      <c r="EF23" s="2">
        <f>EE23+真實IC!EF23</f>
        <v/>
      </c>
      <c r="EG23" s="2">
        <f>EF23+真實IC!EG23</f>
        <v/>
      </c>
      <c r="EH23" s="2">
        <f>EG23+真實IC!EH23</f>
        <v/>
      </c>
      <c r="EI23" s="2">
        <f>EH23+真實IC!EI23</f>
        <v/>
      </c>
      <c r="EJ23" s="2">
        <f>EI23+真實IC!EJ23</f>
        <v/>
      </c>
      <c r="EK23" s="2">
        <f>EJ23+真實IC!EK23</f>
        <v/>
      </c>
      <c r="EL23" s="2">
        <f>EK23+真實IC!EL23</f>
        <v/>
      </c>
    </row>
    <row r="24">
      <c r="A24" s="13" t="n"/>
      <c r="B24" s="13" t="n">
        <v>1051</v>
      </c>
      <c r="C24" s="2" t="n">
        <v>0.09911336420688274</v>
      </c>
      <c r="D24" s="2">
        <f>C24+真實IC!D24</f>
        <v/>
      </c>
      <c r="E24" s="2">
        <f>D24+真實IC!E24</f>
        <v/>
      </c>
      <c r="F24" s="2">
        <f>E24+真實IC!F24</f>
        <v/>
      </c>
      <c r="G24" s="2">
        <f>F24+真實IC!G24</f>
        <v/>
      </c>
      <c r="H24" s="2">
        <f>G24+真實IC!H24</f>
        <v/>
      </c>
      <c r="I24" s="2">
        <f>H24+真實IC!I24</f>
        <v/>
      </c>
      <c r="J24" s="2">
        <f>I24+真實IC!J24</f>
        <v/>
      </c>
      <c r="K24" s="2">
        <f>J24+真實IC!K24</f>
        <v/>
      </c>
      <c r="L24" s="2">
        <f>K24+真實IC!L24</f>
        <v/>
      </c>
      <c r="M24" s="2">
        <f>L24+真實IC!M24</f>
        <v/>
      </c>
      <c r="N24" s="2">
        <f>M24+真實IC!N24</f>
        <v/>
      </c>
      <c r="O24" s="2">
        <f>N24+真實IC!O24</f>
        <v/>
      </c>
      <c r="P24" s="2">
        <f>O24+真實IC!P24</f>
        <v/>
      </c>
      <c r="Q24" s="2">
        <f>P24+真實IC!Q24</f>
        <v/>
      </c>
      <c r="R24" s="2">
        <f>Q24+真實IC!R24</f>
        <v/>
      </c>
      <c r="S24" s="2">
        <f>R24+真實IC!S24</f>
        <v/>
      </c>
      <c r="T24" s="2">
        <f>S24+真實IC!T24</f>
        <v/>
      </c>
      <c r="U24" s="2">
        <f>T24+真實IC!U24</f>
        <v/>
      </c>
      <c r="V24" s="2">
        <f>U24+真實IC!V24</f>
        <v/>
      </c>
      <c r="W24" s="2">
        <f>V24+真實IC!W24</f>
        <v/>
      </c>
      <c r="X24" s="2">
        <f>W24+真實IC!X24</f>
        <v/>
      </c>
      <c r="Y24" s="2">
        <f>X24+真實IC!Y24</f>
        <v/>
      </c>
      <c r="Z24" s="2">
        <f>Y24+真實IC!Z24</f>
        <v/>
      </c>
      <c r="AA24" s="2">
        <f>Z24+真實IC!AA24</f>
        <v/>
      </c>
      <c r="AB24" s="2">
        <f>AA24+真實IC!AB24</f>
        <v/>
      </c>
      <c r="AC24" s="2">
        <f>AB24+真實IC!AC24</f>
        <v/>
      </c>
      <c r="AD24" s="2">
        <f>AC24+真實IC!AD24</f>
        <v/>
      </c>
      <c r="AE24" s="2">
        <f>AD24+真實IC!AE24</f>
        <v/>
      </c>
      <c r="AF24" s="2">
        <f>AE24+真實IC!AF24</f>
        <v/>
      </c>
      <c r="AG24" s="2">
        <f>AF24+真實IC!AG24</f>
        <v/>
      </c>
      <c r="AH24" s="2">
        <f>AG24+真實IC!AH24</f>
        <v/>
      </c>
      <c r="AI24" s="2">
        <f>AH24+真實IC!AI24</f>
        <v/>
      </c>
      <c r="AJ24" s="2">
        <f>AI24+真實IC!AJ24</f>
        <v/>
      </c>
      <c r="AK24" s="2">
        <f>AJ24+真實IC!AK24</f>
        <v/>
      </c>
      <c r="AL24" s="2">
        <f>AK24+真實IC!AL24</f>
        <v/>
      </c>
      <c r="AM24" s="2">
        <f>AL24+真實IC!AM24</f>
        <v/>
      </c>
      <c r="AN24" s="2">
        <f>AM24+真實IC!AN24</f>
        <v/>
      </c>
      <c r="AO24" s="2">
        <f>AN24+真實IC!AO24</f>
        <v/>
      </c>
      <c r="AP24" s="2">
        <f>AO24+真實IC!AP24</f>
        <v/>
      </c>
      <c r="AQ24" s="2">
        <f>AP24+真實IC!AQ24</f>
        <v/>
      </c>
      <c r="AR24" s="2">
        <f>AQ24+真實IC!AR24</f>
        <v/>
      </c>
      <c r="AS24" s="2">
        <f>AR24+真實IC!AS24</f>
        <v/>
      </c>
      <c r="AT24" s="2">
        <f>AS24+真實IC!AT24</f>
        <v/>
      </c>
      <c r="AU24" s="2">
        <f>AT24+真實IC!AU24</f>
        <v/>
      </c>
      <c r="AV24" s="2">
        <f>AU24+真實IC!AV24</f>
        <v/>
      </c>
      <c r="AW24" s="2">
        <f>AV24+真實IC!AW24</f>
        <v/>
      </c>
      <c r="AX24" s="2">
        <f>AW24+真實IC!AX24</f>
        <v/>
      </c>
      <c r="AY24" s="2">
        <f>AX24+真實IC!AY24</f>
        <v/>
      </c>
      <c r="AZ24" s="2">
        <f>AY24+真實IC!AZ24</f>
        <v/>
      </c>
      <c r="BA24" s="2">
        <f>AZ24+真實IC!BA24</f>
        <v/>
      </c>
      <c r="BB24" s="2">
        <f>BA24+真實IC!BB24</f>
        <v/>
      </c>
      <c r="BC24" s="2">
        <f>BB24+真實IC!BC24</f>
        <v/>
      </c>
      <c r="BD24" s="2">
        <f>BC24+真實IC!BD24</f>
        <v/>
      </c>
      <c r="BE24" s="2">
        <f>BD24+真實IC!BE24</f>
        <v/>
      </c>
      <c r="BF24" s="2">
        <f>BE24+真實IC!BF24</f>
        <v/>
      </c>
      <c r="BG24" s="2">
        <f>BF24+真實IC!BG24</f>
        <v/>
      </c>
      <c r="BH24" s="2">
        <f>BG24+真實IC!BH24</f>
        <v/>
      </c>
      <c r="BI24" s="2">
        <f>BH24+真實IC!BI24</f>
        <v/>
      </c>
      <c r="BJ24" s="2">
        <f>BI24+真實IC!BJ24</f>
        <v/>
      </c>
      <c r="BK24" s="2">
        <f>BJ24+真實IC!BK24</f>
        <v/>
      </c>
      <c r="BL24" s="2">
        <f>BK24+真實IC!BL24</f>
        <v/>
      </c>
      <c r="BM24" s="2">
        <f>BL24+真實IC!BM24</f>
        <v/>
      </c>
      <c r="BN24" s="2">
        <f>BM24+真實IC!BN24</f>
        <v/>
      </c>
      <c r="BO24" s="2">
        <f>BN24+真實IC!BO24</f>
        <v/>
      </c>
      <c r="BP24" s="2">
        <f>BO24+真實IC!BP24</f>
        <v/>
      </c>
      <c r="BQ24" s="2">
        <f>BP24+真實IC!BQ24</f>
        <v/>
      </c>
      <c r="BR24" s="2">
        <f>BQ24+真實IC!BR24</f>
        <v/>
      </c>
      <c r="BS24" s="2">
        <f>BR24+真實IC!BS24</f>
        <v/>
      </c>
      <c r="BT24" s="2">
        <f>BS24+真實IC!BT24</f>
        <v/>
      </c>
      <c r="BU24" s="2">
        <f>BT24+真實IC!BU24</f>
        <v/>
      </c>
      <c r="BV24" s="2">
        <f>BU24+真實IC!BV24</f>
        <v/>
      </c>
      <c r="BW24" s="2">
        <f>BV24+真實IC!BW24</f>
        <v/>
      </c>
      <c r="BX24" s="2">
        <f>BW24+真實IC!BX24</f>
        <v/>
      </c>
      <c r="BY24" s="2">
        <f>BX24+真實IC!BY24</f>
        <v/>
      </c>
      <c r="BZ24" s="2">
        <f>BY24+真實IC!BZ24</f>
        <v/>
      </c>
      <c r="CA24" s="2">
        <f>BZ24+真實IC!CA24</f>
        <v/>
      </c>
      <c r="CB24" s="2">
        <f>CA24+真實IC!CB24</f>
        <v/>
      </c>
      <c r="CC24" s="2">
        <f>CB24+真實IC!CC24</f>
        <v/>
      </c>
      <c r="CD24" s="2">
        <f>CC24+真實IC!CD24</f>
        <v/>
      </c>
      <c r="CE24" s="2">
        <f>CD24+真實IC!CE24</f>
        <v/>
      </c>
      <c r="CF24" s="2">
        <f>CE24+真實IC!CF24</f>
        <v/>
      </c>
      <c r="CG24" s="2">
        <f>CF24+真實IC!CG24</f>
        <v/>
      </c>
      <c r="CH24" s="2">
        <f>CG24+真實IC!CH24</f>
        <v/>
      </c>
      <c r="CI24" s="2">
        <f>CH24+真實IC!CI24</f>
        <v/>
      </c>
      <c r="CJ24" s="2">
        <f>CI24+真實IC!CJ24</f>
        <v/>
      </c>
      <c r="CK24" s="2">
        <f>CJ24+真實IC!CK24</f>
        <v/>
      </c>
      <c r="CL24" s="2">
        <f>CK24+真實IC!CL24</f>
        <v/>
      </c>
      <c r="CM24" s="2">
        <f>CL24+真實IC!CM24</f>
        <v/>
      </c>
      <c r="CN24" s="2">
        <f>CM24+真實IC!CN24</f>
        <v/>
      </c>
      <c r="CO24" s="2">
        <f>CN24+真實IC!CO24</f>
        <v/>
      </c>
      <c r="CP24" s="2">
        <f>CO24+真實IC!CP24</f>
        <v/>
      </c>
      <c r="CQ24" s="2">
        <f>CP24+真實IC!CQ24</f>
        <v/>
      </c>
      <c r="CR24" s="2">
        <f>CQ24+真實IC!CR24</f>
        <v/>
      </c>
      <c r="CS24" s="2">
        <f>CR24+真實IC!CS24</f>
        <v/>
      </c>
      <c r="CT24" s="2">
        <f>CS24+真實IC!CT24</f>
        <v/>
      </c>
      <c r="CU24" s="2">
        <f>CT24+真實IC!CU24</f>
        <v/>
      </c>
      <c r="CV24" s="2">
        <f>CU24+真實IC!CV24</f>
        <v/>
      </c>
      <c r="CW24" s="2">
        <f>CV24+真實IC!CW24</f>
        <v/>
      </c>
      <c r="CX24" s="2">
        <f>CW24+真實IC!CX24</f>
        <v/>
      </c>
      <c r="CY24" s="2">
        <f>CX24+真實IC!CY24</f>
        <v/>
      </c>
      <c r="CZ24" s="2">
        <f>CY24+真實IC!CZ24</f>
        <v/>
      </c>
      <c r="DA24" s="2">
        <f>CZ24+真實IC!DA24</f>
        <v/>
      </c>
      <c r="DB24" s="2">
        <f>DA24+真實IC!DB24</f>
        <v/>
      </c>
      <c r="DC24" s="2">
        <f>DB24+真實IC!DC24</f>
        <v/>
      </c>
      <c r="DD24" s="2">
        <f>DC24+真實IC!DD24</f>
        <v/>
      </c>
      <c r="DE24" s="2">
        <f>DD24+真實IC!DE24</f>
        <v/>
      </c>
      <c r="DF24" s="2">
        <f>DE24+真實IC!DF24</f>
        <v/>
      </c>
      <c r="DG24" s="2">
        <f>DF24+真實IC!DG24</f>
        <v/>
      </c>
      <c r="DH24" s="2">
        <f>DG24+真實IC!DH24</f>
        <v/>
      </c>
      <c r="DI24" s="2">
        <f>DH24+真實IC!DI24</f>
        <v/>
      </c>
      <c r="DJ24" s="2">
        <f>DI24+真實IC!DJ24</f>
        <v/>
      </c>
      <c r="DK24" s="2">
        <f>DJ24+真實IC!DK24</f>
        <v/>
      </c>
      <c r="DL24" s="2">
        <f>DK24+真實IC!DL24</f>
        <v/>
      </c>
      <c r="DM24" s="2">
        <f>DL24+真實IC!DM24</f>
        <v/>
      </c>
      <c r="DN24" s="2">
        <f>DM24+真實IC!DN24</f>
        <v/>
      </c>
      <c r="DO24" s="2">
        <f>DN24+真實IC!DO24</f>
        <v/>
      </c>
      <c r="DP24" s="2">
        <f>DO24+真實IC!DP24</f>
        <v/>
      </c>
      <c r="DQ24" s="2">
        <f>DP24+真實IC!DQ24</f>
        <v/>
      </c>
      <c r="DR24" s="2">
        <f>DQ24+真實IC!DR24</f>
        <v/>
      </c>
      <c r="DS24" s="2">
        <f>DR24+真實IC!DS24</f>
        <v/>
      </c>
      <c r="DT24" s="2">
        <f>DS24+真實IC!DT24</f>
        <v/>
      </c>
      <c r="DU24" s="2">
        <f>DT24+真實IC!DU24</f>
        <v/>
      </c>
      <c r="DV24" s="2">
        <f>DU24+真實IC!DV24</f>
        <v/>
      </c>
      <c r="DW24" s="2">
        <f>DV24+真實IC!DW24</f>
        <v/>
      </c>
      <c r="DX24" s="2">
        <f>DW24+真實IC!DX24</f>
        <v/>
      </c>
      <c r="DY24" s="2">
        <f>DX24+真實IC!DY24</f>
        <v/>
      </c>
      <c r="DZ24" s="2">
        <f>DY24+真實IC!DZ24</f>
        <v/>
      </c>
      <c r="EA24" s="2">
        <f>DZ24+真實IC!EA24</f>
        <v/>
      </c>
      <c r="EB24" s="2">
        <f>EA24+真實IC!EB24</f>
        <v/>
      </c>
      <c r="EC24" s="2">
        <f>EB24+真實IC!EC24</f>
        <v/>
      </c>
      <c r="ED24" s="2">
        <f>EC24+真實IC!ED24</f>
        <v/>
      </c>
      <c r="EE24" s="2">
        <f>ED24+真實IC!EE24</f>
        <v/>
      </c>
      <c r="EF24" s="2">
        <f>EE24+真實IC!EF24</f>
        <v/>
      </c>
      <c r="EG24" s="2">
        <f>EF24+真實IC!EG24</f>
        <v/>
      </c>
      <c r="EH24" s="2">
        <f>EG24+真實IC!EH24</f>
        <v/>
      </c>
      <c r="EI24" s="2">
        <f>EH24+真實IC!EI24</f>
        <v/>
      </c>
      <c r="EJ24" s="2">
        <f>EI24+真實IC!EJ24</f>
        <v/>
      </c>
      <c r="EK24" s="2">
        <f>EJ24+真實IC!EK24</f>
        <v/>
      </c>
      <c r="EL24" s="2">
        <f>EK24+真實IC!EL24</f>
        <v/>
      </c>
    </row>
    <row r="25">
      <c r="A25" s="13" t="n"/>
      <c r="B25" s="13" t="inlineStr">
        <is>
          <t>大盤</t>
        </is>
      </c>
      <c r="C25" s="9" t="n">
        <v>-0.01744677053939034</v>
      </c>
      <c r="D25" s="10">
        <f>C25+真實IC!D25</f>
        <v/>
      </c>
      <c r="E25" s="10">
        <f>D25+真實IC!E25</f>
        <v/>
      </c>
      <c r="F25" s="10">
        <f>E25+真實IC!F25</f>
        <v/>
      </c>
      <c r="G25" s="10">
        <f>F25+真實IC!G25</f>
        <v/>
      </c>
      <c r="H25" s="10">
        <f>G25+真實IC!H25</f>
        <v/>
      </c>
      <c r="I25" s="10">
        <f>H25+真實IC!I25</f>
        <v/>
      </c>
      <c r="J25" s="10">
        <f>I25+真實IC!J25</f>
        <v/>
      </c>
      <c r="K25" s="10">
        <f>J25+真實IC!K25</f>
        <v/>
      </c>
      <c r="L25" s="10">
        <f>K25+真實IC!L25</f>
        <v/>
      </c>
      <c r="M25" s="10">
        <f>L25+真實IC!M25</f>
        <v/>
      </c>
      <c r="N25" s="10">
        <f>M25+真實IC!N25</f>
        <v/>
      </c>
      <c r="O25" s="10">
        <f>N25+真實IC!O25</f>
        <v/>
      </c>
      <c r="P25" s="10">
        <f>O25+真實IC!P25</f>
        <v/>
      </c>
      <c r="Q25" s="10">
        <f>P25+真實IC!Q25</f>
        <v/>
      </c>
      <c r="R25" s="10">
        <f>Q25+真實IC!R25</f>
        <v/>
      </c>
      <c r="S25" s="10">
        <f>R25+真實IC!S25</f>
        <v/>
      </c>
      <c r="T25" s="10">
        <f>S25+真實IC!T25</f>
        <v/>
      </c>
      <c r="U25" s="10">
        <f>T25+真實IC!U25</f>
        <v/>
      </c>
      <c r="V25" s="10">
        <f>U25+真實IC!V25</f>
        <v/>
      </c>
      <c r="W25" s="10">
        <f>V25+真實IC!W25</f>
        <v/>
      </c>
      <c r="X25" s="10">
        <f>W25+真實IC!X25</f>
        <v/>
      </c>
      <c r="Y25" s="10">
        <f>X25+真實IC!Y25</f>
        <v/>
      </c>
      <c r="Z25" s="10">
        <f>Y25+真實IC!Z25</f>
        <v/>
      </c>
      <c r="AA25" s="10">
        <f>Z25+真實IC!AA25</f>
        <v/>
      </c>
      <c r="AB25" s="10">
        <f>AA25+真實IC!AB25</f>
        <v/>
      </c>
      <c r="AC25" s="10">
        <f>AB25+真實IC!AC25</f>
        <v/>
      </c>
      <c r="AD25" s="10">
        <f>AC25+真實IC!AD25</f>
        <v/>
      </c>
      <c r="AE25" s="10">
        <f>AD25+真實IC!AE25</f>
        <v/>
      </c>
      <c r="AF25" s="10">
        <f>AE25+真實IC!AF25</f>
        <v/>
      </c>
      <c r="AG25" s="10">
        <f>AF25+真實IC!AG25</f>
        <v/>
      </c>
      <c r="AH25" s="10">
        <f>AG25+真實IC!AH25</f>
        <v/>
      </c>
      <c r="AI25" s="10">
        <f>AH25+真實IC!AI25</f>
        <v/>
      </c>
      <c r="AJ25" s="10">
        <f>AI25+真實IC!AJ25</f>
        <v/>
      </c>
      <c r="AK25" s="10">
        <f>AJ25+真實IC!AK25</f>
        <v/>
      </c>
      <c r="AL25" s="10">
        <f>AK25+真實IC!AL25</f>
        <v/>
      </c>
      <c r="AM25" s="10">
        <f>AL25+真實IC!AM25</f>
        <v/>
      </c>
      <c r="AN25" s="10">
        <f>AM25+真實IC!AN25</f>
        <v/>
      </c>
      <c r="AO25" s="10">
        <f>AN25+真實IC!AO25</f>
        <v/>
      </c>
      <c r="AP25" s="10">
        <f>AO25+真實IC!AP25</f>
        <v/>
      </c>
      <c r="AQ25" s="10">
        <f>AP25+真實IC!AQ25</f>
        <v/>
      </c>
      <c r="AR25" s="10">
        <f>AQ25+真實IC!AR25</f>
        <v/>
      </c>
      <c r="AS25" s="10">
        <f>AR25+真實IC!AS25</f>
        <v/>
      </c>
      <c r="AT25" s="10">
        <f>AS25+真實IC!AT25</f>
        <v/>
      </c>
      <c r="AU25" s="10">
        <f>AT25+真實IC!AU25</f>
        <v/>
      </c>
      <c r="AV25" s="10">
        <f>AU25+真實IC!AV25</f>
        <v/>
      </c>
      <c r="AW25" s="10">
        <f>AV25+真實IC!AW25</f>
        <v/>
      </c>
      <c r="AX25" s="10">
        <f>AW25+真實IC!AX25</f>
        <v/>
      </c>
      <c r="AY25" s="10">
        <f>AX25+真實IC!AY25</f>
        <v/>
      </c>
      <c r="AZ25" s="10">
        <f>AY25+真實IC!AZ25</f>
        <v/>
      </c>
      <c r="BA25" s="10">
        <f>AZ25+真實IC!BA25</f>
        <v/>
      </c>
      <c r="BB25" s="10">
        <f>BA25+真實IC!BB25</f>
        <v/>
      </c>
      <c r="BC25" s="10">
        <f>BB25+真實IC!BC25</f>
        <v/>
      </c>
      <c r="BD25" s="10">
        <f>BC25+真實IC!BD25</f>
        <v/>
      </c>
      <c r="BE25" s="10">
        <f>BD25+真實IC!BE25</f>
        <v/>
      </c>
      <c r="BF25" s="10">
        <f>BE25+真實IC!BF25</f>
        <v/>
      </c>
      <c r="BG25" s="10">
        <f>BF25+真實IC!BG25</f>
        <v/>
      </c>
      <c r="BH25" s="10">
        <f>BG25+真實IC!BH25</f>
        <v/>
      </c>
      <c r="BI25" s="10">
        <f>BH25+真實IC!BI25</f>
        <v/>
      </c>
      <c r="BJ25" s="10">
        <f>BI25+真實IC!BJ25</f>
        <v/>
      </c>
      <c r="BK25" s="10">
        <f>BJ25+真實IC!BK25</f>
        <v/>
      </c>
      <c r="BL25" s="10">
        <f>BK25+真實IC!BL25</f>
        <v/>
      </c>
      <c r="BM25" s="10">
        <f>BL25+真實IC!BM25</f>
        <v/>
      </c>
      <c r="BN25" s="10">
        <f>BM25+真實IC!BN25</f>
        <v/>
      </c>
      <c r="BO25" s="10">
        <f>BN25+真實IC!BO25</f>
        <v/>
      </c>
      <c r="BP25" s="10">
        <f>BO25+真實IC!BP25</f>
        <v/>
      </c>
      <c r="BQ25" s="10">
        <f>BP25+真實IC!BQ25</f>
        <v/>
      </c>
      <c r="BR25" s="10">
        <f>BQ25+真實IC!BR25</f>
        <v/>
      </c>
      <c r="BS25" s="10">
        <f>BR25+真實IC!BS25</f>
        <v/>
      </c>
      <c r="BT25" s="10">
        <f>BS25+真實IC!BT25</f>
        <v/>
      </c>
      <c r="BU25" s="10">
        <f>BT25+真實IC!BU25</f>
        <v/>
      </c>
      <c r="BV25" s="10">
        <f>BU25+真實IC!BV25</f>
        <v/>
      </c>
      <c r="BW25" s="10">
        <f>BV25+真實IC!BW25</f>
        <v/>
      </c>
      <c r="BX25" s="10">
        <f>BW25+真實IC!BX25</f>
        <v/>
      </c>
      <c r="BY25" s="10">
        <f>BX25+真實IC!BY25</f>
        <v/>
      </c>
      <c r="BZ25" s="10">
        <f>BY25+真實IC!BZ25</f>
        <v/>
      </c>
      <c r="CA25" s="10">
        <f>BZ25+真實IC!CA25</f>
        <v/>
      </c>
      <c r="CB25" s="10">
        <f>CA25+真實IC!CB25</f>
        <v/>
      </c>
      <c r="CC25" s="10">
        <f>CB25+真實IC!CC25</f>
        <v/>
      </c>
      <c r="CD25" s="10">
        <f>CC25+真實IC!CD25</f>
        <v/>
      </c>
      <c r="CE25" s="10">
        <f>CD25+真實IC!CE25</f>
        <v/>
      </c>
      <c r="CF25" s="10">
        <f>CE25+真實IC!CF25</f>
        <v/>
      </c>
      <c r="CG25" s="10">
        <f>CF25+真實IC!CG25</f>
        <v/>
      </c>
      <c r="CH25" s="10">
        <f>CG25+真實IC!CH25</f>
        <v/>
      </c>
      <c r="CI25" s="10">
        <f>CH25+真實IC!CI25</f>
        <v/>
      </c>
      <c r="CJ25" s="10">
        <f>CI25+真實IC!CJ25</f>
        <v/>
      </c>
      <c r="CK25" s="10">
        <f>CJ25+真實IC!CK25</f>
        <v/>
      </c>
      <c r="CL25" s="10">
        <f>CK25+真實IC!CL25</f>
        <v/>
      </c>
      <c r="CM25" s="10">
        <f>CL25+真實IC!CM25</f>
        <v/>
      </c>
      <c r="CN25" s="10">
        <f>CM25+真實IC!CN25</f>
        <v/>
      </c>
      <c r="CO25" s="10">
        <f>CN25+真實IC!CO25</f>
        <v/>
      </c>
      <c r="CP25" s="10">
        <f>CO25+真實IC!CP25</f>
        <v/>
      </c>
      <c r="CQ25" s="10">
        <f>CP25+真實IC!CQ25</f>
        <v/>
      </c>
      <c r="CR25" s="10">
        <f>CQ25+真實IC!CR25</f>
        <v/>
      </c>
      <c r="CS25" s="10">
        <f>CR25+真實IC!CS25</f>
        <v/>
      </c>
      <c r="CT25" s="10">
        <f>CS25+真實IC!CT25</f>
        <v/>
      </c>
      <c r="CU25" s="10">
        <f>CT25+真實IC!CU25</f>
        <v/>
      </c>
      <c r="CV25" s="10">
        <f>CU25+真實IC!CV25</f>
        <v/>
      </c>
      <c r="CW25" s="10">
        <f>CV25+真實IC!CW25</f>
        <v/>
      </c>
      <c r="CX25" s="10">
        <f>CW25+真實IC!CX25</f>
        <v/>
      </c>
      <c r="CY25" s="10">
        <f>CX25+真實IC!CY25</f>
        <v/>
      </c>
      <c r="CZ25" s="10">
        <f>CY25+真實IC!CZ25</f>
        <v/>
      </c>
      <c r="DA25" s="10">
        <f>CZ25+真實IC!DA25</f>
        <v/>
      </c>
      <c r="DB25" s="10">
        <f>DA25+真實IC!DB25</f>
        <v/>
      </c>
      <c r="DC25" s="10">
        <f>DB25+真實IC!DC25</f>
        <v/>
      </c>
      <c r="DD25" s="10">
        <f>DC25+真實IC!DD25</f>
        <v/>
      </c>
      <c r="DE25" s="10">
        <f>DD25+真實IC!DE25</f>
        <v/>
      </c>
      <c r="DF25" s="10">
        <f>DE25+真實IC!DF25</f>
        <v/>
      </c>
      <c r="DG25" s="10">
        <f>DF25+真實IC!DG25</f>
        <v/>
      </c>
      <c r="DH25" s="10">
        <f>DG25+真實IC!DH25</f>
        <v/>
      </c>
      <c r="DI25" s="10">
        <f>DH25+真實IC!DI25</f>
        <v/>
      </c>
      <c r="DJ25" s="10">
        <f>DI25+真實IC!DJ25</f>
        <v/>
      </c>
      <c r="DK25" s="10">
        <f>DJ25+真實IC!DK25</f>
        <v/>
      </c>
      <c r="DL25" s="10">
        <f>DK25+真實IC!DL25</f>
        <v/>
      </c>
      <c r="DM25" s="10">
        <f>DL25+真實IC!DM25</f>
        <v/>
      </c>
      <c r="DN25" s="10">
        <f>DM25+真實IC!DN25</f>
        <v/>
      </c>
      <c r="DO25" s="10">
        <f>DN25+真實IC!DO25</f>
        <v/>
      </c>
      <c r="DP25" s="10">
        <f>DO25+真實IC!DP25</f>
        <v/>
      </c>
      <c r="DQ25" s="10">
        <f>DP25+真實IC!DQ25</f>
        <v/>
      </c>
      <c r="DR25" s="10">
        <f>DQ25+真實IC!DR25</f>
        <v/>
      </c>
      <c r="DS25" s="10">
        <f>DR25+真實IC!DS25</f>
        <v/>
      </c>
      <c r="DT25" s="10">
        <f>DS25+真實IC!DT25</f>
        <v/>
      </c>
      <c r="DU25" s="10">
        <f>DT25+真實IC!DU25</f>
        <v/>
      </c>
      <c r="DV25" s="10">
        <f>DU25+真實IC!DV25</f>
        <v/>
      </c>
      <c r="DW25" s="10">
        <f>DV25+真實IC!DW25</f>
        <v/>
      </c>
      <c r="DX25" s="10">
        <f>DW25+真實IC!DX25</f>
        <v/>
      </c>
      <c r="DY25" s="10">
        <f>DX25+真實IC!DY25</f>
        <v/>
      </c>
      <c r="DZ25" s="10">
        <f>DY25+真實IC!DZ25</f>
        <v/>
      </c>
      <c r="EA25" s="10">
        <f>DZ25+真實IC!EA25</f>
        <v/>
      </c>
      <c r="EB25" s="10">
        <f>EA25+真實IC!EB25</f>
        <v/>
      </c>
      <c r="EC25" s="10">
        <f>EB25+真實IC!EC25</f>
        <v/>
      </c>
      <c r="ED25" s="10">
        <f>EC25+真實IC!ED25</f>
        <v/>
      </c>
      <c r="EE25" s="10">
        <f>ED25+真實IC!EE25</f>
        <v/>
      </c>
      <c r="EF25" s="10">
        <f>EE25+真實IC!EF25</f>
        <v/>
      </c>
      <c r="EG25" s="10">
        <f>EF25+真實IC!EG25</f>
        <v/>
      </c>
      <c r="EH25" s="10">
        <f>EG25+真實IC!EH25</f>
        <v/>
      </c>
      <c r="EI25" s="10">
        <f>EH25+真實IC!EI25</f>
        <v/>
      </c>
      <c r="EJ25" s="10">
        <f>EI25+真實IC!EJ25</f>
        <v/>
      </c>
      <c r="EK25" s="10">
        <f>EJ25+真實IC!EK25</f>
        <v/>
      </c>
      <c r="EL25" s="10">
        <f>EK25+真實IC!EL25</f>
        <v/>
      </c>
    </row>
    <row r="26"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5" t="n"/>
      <c r="DL26" s="5" t="n"/>
      <c r="DM26" s="5" t="n"/>
      <c r="DN26" s="5" t="n"/>
      <c r="DO26" s="5" t="n"/>
      <c r="DP26" s="5" t="n"/>
      <c r="DQ26" s="5" t="n"/>
      <c r="DR26" s="5" t="n"/>
      <c r="DS26" s="5" t="n"/>
      <c r="DT26" s="5" t="n"/>
      <c r="DU26" s="5" t="n"/>
      <c r="DV26" s="5" t="n"/>
      <c r="DW26" s="5" t="n"/>
      <c r="DX26" s="5" t="n"/>
      <c r="DY26" s="5" t="n"/>
      <c r="DZ26" s="5" t="n"/>
      <c r="EA26" s="5" t="n"/>
      <c r="EB26" s="5" t="n"/>
      <c r="EC26" s="5" t="n"/>
      <c r="ED26" s="5" t="n"/>
      <c r="EE26" s="5" t="n"/>
      <c r="EF26" s="5" t="n"/>
      <c r="EG26" s="5" t="n"/>
      <c r="EH26" s="5" t="n"/>
      <c r="EI26" s="5" t="n"/>
      <c r="EJ26" s="5" t="n"/>
      <c r="EK26" s="5" t="n"/>
      <c r="EL26" s="5" t="n"/>
    </row>
    <row r="27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</row>
    <row r="28"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</row>
    <row r="29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N29" s="5" t="n"/>
      <c r="DO29" s="5" t="n"/>
      <c r="DP29" s="5" t="n"/>
      <c r="DQ29" s="5" t="n"/>
      <c r="DR29" s="5" t="n"/>
      <c r="DS29" s="5" t="n"/>
      <c r="DT29" s="5" t="n"/>
      <c r="DU29" s="5" t="n"/>
      <c r="DV29" s="5" t="n"/>
      <c r="DW29" s="5" t="n"/>
      <c r="DX29" s="5" t="n"/>
      <c r="DY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</row>
    <row r="30"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</row>
    <row r="31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</row>
    <row r="32"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</row>
    <row r="33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</row>
    <row r="34"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</row>
    <row r="35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  <c r="CH35" s="5" t="n"/>
      <c r="CI35" s="5" t="n"/>
      <c r="CJ35" s="5" t="n"/>
      <c r="CK35" s="5" t="n"/>
      <c r="CL35" s="5" t="n"/>
      <c r="CM35" s="5" t="n"/>
      <c r="CN35" s="5" t="n"/>
      <c r="CO35" s="5" t="n"/>
      <c r="CP35" s="5" t="n"/>
      <c r="CQ35" s="5" t="n"/>
      <c r="CR35" s="5" t="n"/>
      <c r="CS35" s="5" t="n"/>
      <c r="CT35" s="5" t="n"/>
      <c r="CU35" s="5" t="n"/>
      <c r="CV35" s="5" t="n"/>
      <c r="CW35" s="5" t="n"/>
      <c r="CX35" s="5" t="n"/>
      <c r="CY35" s="5" t="n"/>
      <c r="CZ35" s="5" t="n"/>
      <c r="DA35" s="5" t="n"/>
      <c r="DB35" s="5" t="n"/>
      <c r="DC35" s="5" t="n"/>
      <c r="DD35" s="5" t="n"/>
      <c r="DE35" s="5" t="n"/>
      <c r="DF35" s="5" t="n"/>
      <c r="DG35" s="5" t="n"/>
      <c r="DH35" s="5" t="n"/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</row>
    <row r="36"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</row>
    <row r="37"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  <c r="CH37" s="5" t="n"/>
      <c r="CI37" s="5" t="n"/>
      <c r="CJ37" s="5" t="n"/>
      <c r="CK37" s="5" t="n"/>
      <c r="CL37" s="5" t="n"/>
      <c r="CM37" s="5" t="n"/>
      <c r="CN37" s="5" t="n"/>
      <c r="CO37" s="5" t="n"/>
      <c r="CP37" s="5" t="n"/>
      <c r="CQ37" s="5" t="n"/>
      <c r="CR37" s="5" t="n"/>
      <c r="CS37" s="5" t="n"/>
      <c r="CT37" s="5" t="n"/>
      <c r="CU37" s="5" t="n"/>
      <c r="CV37" s="5" t="n"/>
      <c r="CW37" s="5" t="n"/>
      <c r="CX37" s="5" t="n"/>
      <c r="CY37" s="5" t="n"/>
      <c r="CZ37" s="5" t="n"/>
      <c r="DA37" s="5" t="n"/>
      <c r="DB37" s="5" t="n"/>
      <c r="DC37" s="5" t="n"/>
      <c r="DD37" s="5" t="n"/>
      <c r="DE37" s="5" t="n"/>
      <c r="DF37" s="5" t="n"/>
      <c r="DG37" s="5" t="n"/>
      <c r="DH37" s="5" t="n"/>
      <c r="DI37" s="5" t="n"/>
      <c r="DJ37" s="5" t="n"/>
      <c r="DK37" s="5" t="n"/>
      <c r="DL37" s="5" t="n"/>
      <c r="DM37" s="5" t="n"/>
      <c r="DN37" s="5" t="n"/>
      <c r="DO37" s="5" t="n"/>
      <c r="DP37" s="5" t="n"/>
      <c r="DQ37" s="5" t="n"/>
      <c r="DR37" s="5" t="n"/>
      <c r="DS37" s="5" t="n"/>
      <c r="DT37" s="5" t="n"/>
      <c r="DU37" s="5" t="n"/>
      <c r="DV37" s="5" t="n"/>
      <c r="DW37" s="5" t="n"/>
      <c r="DX37" s="5" t="n"/>
      <c r="DY37" s="5" t="n"/>
      <c r="DZ37" s="5" t="n"/>
      <c r="EA37" s="5" t="n"/>
      <c r="EB37" s="5" t="n"/>
      <c r="EC37" s="5" t="n"/>
      <c r="ED37" s="5" t="n"/>
      <c r="EE37" s="5" t="n"/>
      <c r="EF37" s="5" t="n"/>
      <c r="EG37" s="5" t="n"/>
      <c r="EH37" s="5" t="n"/>
      <c r="EI37" s="5" t="n"/>
      <c r="EJ37" s="5" t="n"/>
      <c r="EK37" s="5" t="n"/>
      <c r="EL37" s="5" t="n"/>
    </row>
    <row r="38"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  <c r="CH38" s="5" t="n"/>
      <c r="CI38" s="5" t="n"/>
      <c r="CJ38" s="5" t="n"/>
      <c r="CK38" s="5" t="n"/>
      <c r="CL38" s="5" t="n"/>
      <c r="CM38" s="5" t="n"/>
      <c r="CN38" s="5" t="n"/>
      <c r="CO38" s="5" t="n"/>
      <c r="CP38" s="5" t="n"/>
      <c r="CQ38" s="5" t="n"/>
      <c r="CR38" s="5" t="n"/>
      <c r="CS38" s="5" t="n"/>
      <c r="CT38" s="5" t="n"/>
      <c r="CU38" s="5" t="n"/>
      <c r="CV38" s="5" t="n"/>
      <c r="CW38" s="5" t="n"/>
      <c r="CX38" s="5" t="n"/>
      <c r="CY38" s="5" t="n"/>
      <c r="CZ38" s="5" t="n"/>
      <c r="DA38" s="5" t="n"/>
      <c r="DB38" s="5" t="n"/>
      <c r="DC38" s="5" t="n"/>
      <c r="DD38" s="5" t="n"/>
      <c r="DE38" s="5" t="n"/>
      <c r="DF38" s="5" t="n"/>
      <c r="DG38" s="5" t="n"/>
      <c r="DH38" s="5" t="n"/>
      <c r="DI38" s="5" t="n"/>
      <c r="DJ38" s="5" t="n"/>
      <c r="DK38" s="5" t="n"/>
      <c r="DL38" s="5" t="n"/>
      <c r="DM38" s="5" t="n"/>
      <c r="DN38" s="5" t="n"/>
      <c r="DO38" s="5" t="n"/>
      <c r="DP38" s="5" t="n"/>
      <c r="DQ38" s="5" t="n"/>
      <c r="DR38" s="5" t="n"/>
      <c r="DS38" s="5" t="n"/>
      <c r="DT38" s="5" t="n"/>
      <c r="DU38" s="5" t="n"/>
      <c r="DV38" s="5" t="n"/>
      <c r="DW38" s="5" t="n"/>
      <c r="DX38" s="5" t="n"/>
      <c r="DY38" s="5" t="n"/>
      <c r="DZ38" s="5" t="n"/>
      <c r="EA38" s="5" t="n"/>
      <c r="EB38" s="5" t="n"/>
      <c r="EC38" s="5" t="n"/>
      <c r="ED38" s="5" t="n"/>
      <c r="EE38" s="5" t="n"/>
      <c r="EF38" s="5" t="n"/>
      <c r="EG38" s="5" t="n"/>
      <c r="EH38" s="5" t="n"/>
      <c r="EI38" s="5" t="n"/>
      <c r="EJ38" s="5" t="n"/>
      <c r="EK38" s="5" t="n"/>
      <c r="EL38" s="5" t="n"/>
    </row>
    <row r="39"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  <c r="CZ39" s="5" t="n"/>
      <c r="DA39" s="5" t="n"/>
      <c r="DB39" s="5" t="n"/>
      <c r="DC39" s="5" t="n"/>
      <c r="DD39" s="5" t="n"/>
      <c r="DE39" s="5" t="n"/>
      <c r="DF39" s="5" t="n"/>
      <c r="DG39" s="5" t="n"/>
      <c r="DH39" s="5" t="n"/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</row>
    <row r="40"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</row>
    <row r="41"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N41" s="5" t="n"/>
      <c r="DO41" s="5" t="n"/>
      <c r="DP41" s="5" t="n"/>
      <c r="DQ41" s="5" t="n"/>
      <c r="DR41" s="5" t="n"/>
      <c r="DS41" s="5" t="n"/>
      <c r="DT41" s="5" t="n"/>
      <c r="DU41" s="5" t="n"/>
      <c r="DV41" s="5" t="n"/>
      <c r="DW41" s="5" t="n"/>
      <c r="DX41" s="5" t="n"/>
      <c r="DY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</row>
    <row r="42"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</row>
    <row r="43"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</row>
    <row r="44"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</row>
    <row r="45"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</row>
    <row r="46"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</row>
    <row r="47"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  <c r="CZ47" s="5" t="n"/>
      <c r="DA47" s="5" t="n"/>
      <c r="DB47" s="5" t="n"/>
      <c r="DC47" s="5" t="n"/>
      <c r="DD47" s="5" t="n"/>
      <c r="DE47" s="5" t="n"/>
      <c r="DF47" s="5" t="n"/>
      <c r="DG47" s="5" t="n"/>
      <c r="DH47" s="5" t="n"/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</row>
    <row r="48"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  <c r="CH48" s="5" t="n"/>
      <c r="CI48" s="5" t="n"/>
      <c r="CJ48" s="5" t="n"/>
      <c r="CK48" s="5" t="n"/>
      <c r="CL48" s="5" t="n"/>
      <c r="CM48" s="5" t="n"/>
      <c r="CN48" s="5" t="n"/>
      <c r="CO48" s="5" t="n"/>
      <c r="CP48" s="5" t="n"/>
      <c r="CQ48" s="5" t="n"/>
      <c r="CR48" s="5" t="n"/>
      <c r="CS48" s="5" t="n"/>
      <c r="CT48" s="5" t="n"/>
      <c r="CU48" s="5" t="n"/>
      <c r="CV48" s="5" t="n"/>
      <c r="CW48" s="5" t="n"/>
      <c r="CX48" s="5" t="n"/>
      <c r="CY48" s="5" t="n"/>
      <c r="CZ48" s="5" t="n"/>
      <c r="DA48" s="5" t="n"/>
      <c r="DB48" s="5" t="n"/>
      <c r="DC48" s="5" t="n"/>
      <c r="DD48" s="5" t="n"/>
      <c r="DE48" s="5" t="n"/>
      <c r="DF48" s="5" t="n"/>
      <c r="DG48" s="5" t="n"/>
      <c r="DH48" s="5" t="n"/>
      <c r="DI48" s="5" t="n"/>
      <c r="DJ48" s="5" t="n"/>
      <c r="DK48" s="5" t="n"/>
      <c r="DL48" s="5" t="n"/>
      <c r="DM48" s="5" t="n"/>
      <c r="DN48" s="5" t="n"/>
      <c r="DO48" s="5" t="n"/>
      <c r="DP48" s="5" t="n"/>
      <c r="DQ48" s="5" t="n"/>
      <c r="DR48" s="5" t="n"/>
      <c r="DS48" s="5" t="n"/>
      <c r="DT48" s="5" t="n"/>
      <c r="DU48" s="5" t="n"/>
      <c r="DV48" s="5" t="n"/>
      <c r="DW48" s="5" t="n"/>
      <c r="DX48" s="5" t="n"/>
      <c r="DY48" s="5" t="n"/>
      <c r="DZ48" s="5" t="n"/>
      <c r="EA48" s="5" t="n"/>
      <c r="EB48" s="5" t="n"/>
      <c r="EC48" s="5" t="n"/>
      <c r="ED48" s="5" t="n"/>
      <c r="EE48" s="5" t="n"/>
      <c r="EF48" s="5" t="n"/>
      <c r="EG48" s="5" t="n"/>
      <c r="EH48" s="5" t="n"/>
      <c r="EI48" s="5" t="n"/>
      <c r="EJ48" s="5" t="n"/>
      <c r="EK48" s="5" t="n"/>
      <c r="EL48" s="5" t="n"/>
    </row>
    <row r="49"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  <c r="CH49" s="5" t="n"/>
      <c r="CI49" s="5" t="n"/>
      <c r="CJ49" s="5" t="n"/>
      <c r="CK49" s="5" t="n"/>
      <c r="CL49" s="5" t="n"/>
      <c r="CM49" s="5" t="n"/>
      <c r="CN49" s="5" t="n"/>
      <c r="CO49" s="5" t="n"/>
      <c r="CP49" s="5" t="n"/>
      <c r="CQ49" s="5" t="n"/>
      <c r="CR49" s="5" t="n"/>
      <c r="CS49" s="5" t="n"/>
      <c r="CT49" s="5" t="n"/>
      <c r="CU49" s="5" t="n"/>
      <c r="CV49" s="5" t="n"/>
      <c r="CW49" s="5" t="n"/>
      <c r="CX49" s="5" t="n"/>
      <c r="CY49" s="5" t="n"/>
      <c r="CZ49" s="5" t="n"/>
      <c r="DA49" s="5" t="n"/>
      <c r="DB49" s="5" t="n"/>
      <c r="DC49" s="5" t="n"/>
      <c r="DD49" s="5" t="n"/>
      <c r="DE49" s="5" t="n"/>
      <c r="DF49" s="5" t="n"/>
      <c r="DG49" s="5" t="n"/>
      <c r="DH49" s="5" t="n"/>
      <c r="DI49" s="5" t="n"/>
      <c r="DJ49" s="5" t="n"/>
      <c r="DK49" s="5" t="n"/>
      <c r="DL49" s="5" t="n"/>
      <c r="DM49" s="5" t="n"/>
      <c r="DN49" s="5" t="n"/>
      <c r="DO49" s="5" t="n"/>
      <c r="DP49" s="5" t="n"/>
      <c r="DQ49" s="5" t="n"/>
      <c r="DR49" s="5" t="n"/>
      <c r="DS49" s="5" t="n"/>
      <c r="DT49" s="5" t="n"/>
      <c r="DU49" s="5" t="n"/>
      <c r="DV49" s="5" t="n"/>
      <c r="DW49" s="5" t="n"/>
      <c r="DX49" s="5" t="n"/>
      <c r="DY49" s="5" t="n"/>
      <c r="DZ49" s="5" t="n"/>
      <c r="EA49" s="5" t="n"/>
      <c r="EB49" s="5" t="n"/>
      <c r="EC49" s="5" t="n"/>
      <c r="ED49" s="5" t="n"/>
      <c r="EE49" s="5" t="n"/>
      <c r="EF49" s="5" t="n"/>
      <c r="EG49" s="5" t="n"/>
      <c r="EH49" s="5" t="n"/>
      <c r="EI49" s="5" t="n"/>
      <c r="EJ49" s="5" t="n"/>
      <c r="EK49" s="5" t="n"/>
      <c r="EL49" s="5" t="n"/>
    </row>
    <row r="50"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</row>
    <row r="51"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</row>
    <row r="52"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</row>
    <row r="53"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</row>
    <row r="54"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</row>
    <row r="55"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</row>
    <row r="56"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</row>
    <row r="57"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</row>
    <row r="58"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</row>
    <row r="59"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</row>
    <row r="60"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</row>
    <row r="61"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</row>
    <row r="62"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</row>
    <row r="63"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</row>
    <row r="64"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  <c r="CH64" s="5" t="n"/>
      <c r="CI64" s="5" t="n"/>
      <c r="CJ64" s="5" t="n"/>
      <c r="CK64" s="5" t="n"/>
      <c r="CL64" s="5" t="n"/>
      <c r="CM64" s="5" t="n"/>
      <c r="CN64" s="5" t="n"/>
      <c r="CO64" s="5" t="n"/>
      <c r="CP64" s="5" t="n"/>
      <c r="CQ64" s="5" t="n"/>
      <c r="CR64" s="5" t="n"/>
      <c r="CS64" s="5" t="n"/>
      <c r="CT64" s="5" t="n"/>
      <c r="CU64" s="5" t="n"/>
      <c r="CV64" s="5" t="n"/>
      <c r="CW64" s="5" t="n"/>
      <c r="CX64" s="5" t="n"/>
      <c r="CY64" s="5" t="n"/>
      <c r="CZ64" s="5" t="n"/>
      <c r="DA64" s="5" t="n"/>
      <c r="DB64" s="5" t="n"/>
      <c r="DC64" s="5" t="n"/>
      <c r="DD64" s="5" t="n"/>
      <c r="DE64" s="5" t="n"/>
      <c r="DF64" s="5" t="n"/>
      <c r="DG64" s="5" t="n"/>
      <c r="DH64" s="5" t="n"/>
      <c r="DI64" s="5" t="n"/>
      <c r="DJ64" s="5" t="n"/>
      <c r="DK64" s="5" t="n"/>
      <c r="DL64" s="5" t="n"/>
      <c r="DM64" s="5" t="n"/>
      <c r="DN64" s="5" t="n"/>
      <c r="DO64" s="5" t="n"/>
      <c r="DP64" s="5" t="n"/>
      <c r="DQ64" s="5" t="n"/>
      <c r="DR64" s="5" t="n"/>
      <c r="DS64" s="5" t="n"/>
      <c r="DT64" s="5" t="n"/>
      <c r="DU64" s="5" t="n"/>
      <c r="DV64" s="5" t="n"/>
      <c r="DW64" s="5" t="n"/>
      <c r="DX64" s="5" t="n"/>
      <c r="DY64" s="5" t="n"/>
      <c r="DZ64" s="5" t="n"/>
      <c r="EA64" s="5" t="n"/>
      <c r="EB64" s="5" t="n"/>
      <c r="EC64" s="5" t="n"/>
      <c r="ED64" s="5" t="n"/>
      <c r="EE64" s="5" t="n"/>
      <c r="EF64" s="5" t="n"/>
      <c r="EG64" s="5" t="n"/>
      <c r="EH64" s="5" t="n"/>
      <c r="EI64" s="5" t="n"/>
      <c r="EJ64" s="5" t="n"/>
      <c r="EK64" s="5" t="n"/>
      <c r="EL64" s="5" t="n"/>
    </row>
    <row r="65"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  <c r="CZ65" s="5" t="n"/>
      <c r="DA65" s="5" t="n"/>
      <c r="DB65" s="5" t="n"/>
      <c r="DC65" s="5" t="n"/>
      <c r="DD65" s="5" t="n"/>
      <c r="DE65" s="5" t="n"/>
      <c r="DF65" s="5" t="n"/>
      <c r="DG65" s="5" t="n"/>
      <c r="DH65" s="5" t="n"/>
      <c r="DI65" s="5" t="n"/>
      <c r="DJ65" s="5" t="n"/>
      <c r="DK65" s="5" t="n"/>
      <c r="DL65" s="5" t="n"/>
      <c r="DM65" s="5" t="n"/>
      <c r="DN65" s="5" t="n"/>
      <c r="DO65" s="5" t="n"/>
      <c r="DP65" s="5" t="n"/>
      <c r="DQ65" s="5" t="n"/>
      <c r="DR65" s="5" t="n"/>
      <c r="DS65" s="5" t="n"/>
      <c r="DT65" s="5" t="n"/>
      <c r="DU65" s="5" t="n"/>
      <c r="DV65" s="5" t="n"/>
      <c r="DW65" s="5" t="n"/>
      <c r="DX65" s="5" t="n"/>
      <c r="DY65" s="5" t="n"/>
      <c r="DZ65" s="5" t="n"/>
      <c r="EA65" s="5" t="n"/>
      <c r="EB65" s="5" t="n"/>
      <c r="EC65" s="5" t="n"/>
      <c r="ED65" s="5" t="n"/>
      <c r="EE65" s="5" t="n"/>
      <c r="EF65" s="5" t="n"/>
      <c r="EG65" s="5" t="n"/>
      <c r="EH65" s="5" t="n"/>
      <c r="EI65" s="5" t="n"/>
      <c r="EJ65" s="5" t="n"/>
      <c r="EK65" s="5" t="n"/>
      <c r="EL65" s="5" t="n"/>
    </row>
    <row r="66"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5" t="n"/>
      <c r="DA66" s="5" t="n"/>
      <c r="DB66" s="5" t="n"/>
      <c r="DC66" s="5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5" t="n"/>
      <c r="EA66" s="5" t="n"/>
      <c r="EB66" s="5" t="n"/>
      <c r="EC66" s="5" t="n"/>
      <c r="ED66" s="5" t="n"/>
      <c r="EE66" s="5" t="n"/>
      <c r="EF66" s="5" t="n"/>
      <c r="EG66" s="5" t="n"/>
      <c r="EH66" s="5" t="n"/>
      <c r="EI66" s="5" t="n"/>
      <c r="EJ66" s="5" t="n"/>
      <c r="EK66" s="5" t="n"/>
      <c r="EL66" s="5" t="n"/>
    </row>
    <row r="67"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  <c r="CH67" s="5" t="n"/>
      <c r="CI67" s="5" t="n"/>
      <c r="CJ67" s="5" t="n"/>
      <c r="CK67" s="5" t="n"/>
      <c r="CL67" s="5" t="n"/>
      <c r="CM67" s="5" t="n"/>
      <c r="CN67" s="5" t="n"/>
      <c r="CO67" s="5" t="n"/>
      <c r="CP67" s="5" t="n"/>
      <c r="CQ67" s="5" t="n"/>
      <c r="CR67" s="5" t="n"/>
      <c r="CS67" s="5" t="n"/>
      <c r="CT67" s="5" t="n"/>
      <c r="CU67" s="5" t="n"/>
      <c r="CV67" s="5" t="n"/>
      <c r="CW67" s="5" t="n"/>
      <c r="CX67" s="5" t="n"/>
      <c r="CY67" s="5" t="n"/>
      <c r="CZ67" s="5" t="n"/>
      <c r="DA67" s="5" t="n"/>
      <c r="DB67" s="5" t="n"/>
      <c r="DC67" s="5" t="n"/>
      <c r="DD67" s="5" t="n"/>
      <c r="DE67" s="5" t="n"/>
      <c r="DF67" s="5" t="n"/>
      <c r="DG67" s="5" t="n"/>
      <c r="DH67" s="5" t="n"/>
      <c r="DI67" s="5" t="n"/>
      <c r="DJ67" s="5" t="n"/>
      <c r="DK67" s="5" t="n"/>
      <c r="DL67" s="5" t="n"/>
      <c r="DM67" s="5" t="n"/>
      <c r="DN67" s="5" t="n"/>
      <c r="DO67" s="5" t="n"/>
      <c r="DP67" s="5" t="n"/>
      <c r="DQ67" s="5" t="n"/>
      <c r="DR67" s="5" t="n"/>
      <c r="DS67" s="5" t="n"/>
      <c r="DT67" s="5" t="n"/>
      <c r="DU67" s="5" t="n"/>
      <c r="DV67" s="5" t="n"/>
      <c r="DW67" s="5" t="n"/>
      <c r="DX67" s="5" t="n"/>
      <c r="DY67" s="5" t="n"/>
      <c r="DZ67" s="5" t="n"/>
      <c r="EA67" s="5" t="n"/>
      <c r="EB67" s="5" t="n"/>
      <c r="EC67" s="5" t="n"/>
      <c r="ED67" s="5" t="n"/>
      <c r="EE67" s="5" t="n"/>
      <c r="EF67" s="5" t="n"/>
      <c r="EG67" s="5" t="n"/>
      <c r="EH67" s="5" t="n"/>
      <c r="EI67" s="5" t="n"/>
      <c r="EJ67" s="5" t="n"/>
      <c r="EK67" s="5" t="n"/>
      <c r="EL67" s="5" t="n"/>
    </row>
    <row r="68"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  <c r="CH68" s="5" t="n"/>
      <c r="CI68" s="5" t="n"/>
      <c r="CJ68" s="5" t="n"/>
      <c r="CK68" s="5" t="n"/>
      <c r="CL68" s="5" t="n"/>
      <c r="CM68" s="5" t="n"/>
      <c r="CN68" s="5" t="n"/>
      <c r="CO68" s="5" t="n"/>
      <c r="CP68" s="5" t="n"/>
      <c r="CQ68" s="5" t="n"/>
      <c r="CR68" s="5" t="n"/>
      <c r="CS68" s="5" t="n"/>
      <c r="CT68" s="5" t="n"/>
      <c r="CU68" s="5" t="n"/>
      <c r="CV68" s="5" t="n"/>
      <c r="CW68" s="5" t="n"/>
      <c r="CX68" s="5" t="n"/>
      <c r="CY68" s="5" t="n"/>
      <c r="CZ68" s="5" t="n"/>
      <c r="DA68" s="5" t="n"/>
      <c r="DB68" s="5" t="n"/>
      <c r="DC68" s="5" t="n"/>
      <c r="DD68" s="5" t="n"/>
      <c r="DE68" s="5" t="n"/>
      <c r="DF68" s="5" t="n"/>
      <c r="DG68" s="5" t="n"/>
      <c r="DH68" s="5" t="n"/>
      <c r="DI68" s="5" t="n"/>
      <c r="DJ68" s="5" t="n"/>
      <c r="DK68" s="5" t="n"/>
      <c r="DL68" s="5" t="n"/>
      <c r="DM68" s="5" t="n"/>
      <c r="DN68" s="5" t="n"/>
      <c r="DO68" s="5" t="n"/>
      <c r="DP68" s="5" t="n"/>
      <c r="DQ68" s="5" t="n"/>
      <c r="DR68" s="5" t="n"/>
      <c r="DS68" s="5" t="n"/>
      <c r="DT68" s="5" t="n"/>
      <c r="DU68" s="5" t="n"/>
      <c r="DV68" s="5" t="n"/>
      <c r="DW68" s="5" t="n"/>
      <c r="DX68" s="5" t="n"/>
      <c r="DY68" s="5" t="n"/>
      <c r="DZ68" s="5" t="n"/>
      <c r="EA68" s="5" t="n"/>
      <c r="EB68" s="5" t="n"/>
      <c r="EC68" s="5" t="n"/>
      <c r="ED68" s="5" t="n"/>
      <c r="EE68" s="5" t="n"/>
      <c r="EF68" s="5" t="n"/>
      <c r="EG68" s="5" t="n"/>
      <c r="EH68" s="5" t="n"/>
      <c r="EI68" s="5" t="n"/>
      <c r="EJ68" s="5" t="n"/>
      <c r="EK68" s="5" t="n"/>
      <c r="EL68" s="5" t="n"/>
    </row>
    <row r="69"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5" t="n"/>
      <c r="ED69" s="5" t="n"/>
      <c r="EE69" s="5" t="n"/>
      <c r="EF69" s="5" t="n"/>
      <c r="EG69" s="5" t="n"/>
      <c r="EH69" s="5" t="n"/>
      <c r="EI69" s="5" t="n"/>
      <c r="EJ69" s="5" t="n"/>
      <c r="EK69" s="5" t="n"/>
      <c r="EL69" s="5" t="n"/>
    </row>
    <row r="70"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  <c r="CH70" s="5" t="n"/>
      <c r="CI70" s="5" t="n"/>
      <c r="CJ70" s="5" t="n"/>
      <c r="CK70" s="5" t="n"/>
      <c r="CL70" s="5" t="n"/>
      <c r="CM70" s="5" t="n"/>
      <c r="CN70" s="5" t="n"/>
      <c r="CO70" s="5" t="n"/>
      <c r="CP70" s="5" t="n"/>
      <c r="CQ70" s="5" t="n"/>
      <c r="CR70" s="5" t="n"/>
      <c r="CS70" s="5" t="n"/>
      <c r="CT70" s="5" t="n"/>
      <c r="CU70" s="5" t="n"/>
      <c r="CV70" s="5" t="n"/>
      <c r="CW70" s="5" t="n"/>
      <c r="CX70" s="5" t="n"/>
      <c r="CY70" s="5" t="n"/>
      <c r="CZ70" s="5" t="n"/>
      <c r="DA70" s="5" t="n"/>
      <c r="DB70" s="5" t="n"/>
      <c r="DC70" s="5" t="n"/>
      <c r="DD70" s="5" t="n"/>
      <c r="DE70" s="5" t="n"/>
      <c r="DF70" s="5" t="n"/>
      <c r="DG70" s="5" t="n"/>
      <c r="DH70" s="5" t="n"/>
      <c r="DI70" s="5" t="n"/>
      <c r="DJ70" s="5" t="n"/>
      <c r="DK70" s="5" t="n"/>
      <c r="DL70" s="5" t="n"/>
      <c r="DM70" s="5" t="n"/>
      <c r="DN70" s="5" t="n"/>
      <c r="DO70" s="5" t="n"/>
      <c r="DP70" s="5" t="n"/>
      <c r="DQ70" s="5" t="n"/>
      <c r="DR70" s="5" t="n"/>
      <c r="DS70" s="5" t="n"/>
      <c r="DT70" s="5" t="n"/>
      <c r="DU70" s="5" t="n"/>
      <c r="DV70" s="5" t="n"/>
      <c r="DW70" s="5" t="n"/>
      <c r="DX70" s="5" t="n"/>
      <c r="DY70" s="5" t="n"/>
      <c r="DZ70" s="5" t="n"/>
      <c r="EA70" s="5" t="n"/>
      <c r="EB70" s="5" t="n"/>
      <c r="EC70" s="5" t="n"/>
      <c r="ED70" s="5" t="n"/>
      <c r="EE70" s="5" t="n"/>
      <c r="EF70" s="5" t="n"/>
      <c r="EG70" s="5" t="n"/>
      <c r="EH70" s="5" t="n"/>
      <c r="EI70" s="5" t="n"/>
      <c r="EJ70" s="5" t="n"/>
      <c r="EK70" s="5" t="n"/>
      <c r="EL70" s="5" t="n"/>
    </row>
    <row r="71"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  <c r="CZ71" s="5" t="n"/>
      <c r="DA71" s="5" t="n"/>
      <c r="DB71" s="5" t="n"/>
      <c r="DC71" s="5" t="n"/>
      <c r="DD71" s="5" t="n"/>
      <c r="DE71" s="5" t="n"/>
      <c r="DF71" s="5" t="n"/>
      <c r="DG71" s="5" t="n"/>
      <c r="DH71" s="5" t="n"/>
      <c r="DI71" s="5" t="n"/>
      <c r="DJ71" s="5" t="n"/>
      <c r="DK71" s="5" t="n"/>
      <c r="DL71" s="5" t="n"/>
      <c r="DM71" s="5" t="n"/>
      <c r="DN71" s="5" t="n"/>
      <c r="DO71" s="5" t="n"/>
      <c r="DP71" s="5" t="n"/>
      <c r="DQ71" s="5" t="n"/>
      <c r="DR71" s="5" t="n"/>
      <c r="DS71" s="5" t="n"/>
      <c r="DT71" s="5" t="n"/>
      <c r="DU71" s="5" t="n"/>
      <c r="DV71" s="5" t="n"/>
      <c r="DW71" s="5" t="n"/>
      <c r="DX71" s="5" t="n"/>
      <c r="DY71" s="5" t="n"/>
      <c r="DZ71" s="5" t="n"/>
      <c r="EA71" s="5" t="n"/>
      <c r="EB71" s="5" t="n"/>
      <c r="EC71" s="5" t="n"/>
      <c r="ED71" s="5" t="n"/>
      <c r="EE71" s="5" t="n"/>
      <c r="EF71" s="5" t="n"/>
      <c r="EG71" s="5" t="n"/>
      <c r="EH71" s="5" t="n"/>
      <c r="EI71" s="5" t="n"/>
      <c r="EJ71" s="5" t="n"/>
      <c r="EK71" s="5" t="n"/>
      <c r="EL71" s="5" t="n"/>
    </row>
    <row r="72"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5" t="n"/>
      <c r="CM72" s="5" t="n"/>
      <c r="CN72" s="5" t="n"/>
      <c r="CO72" s="5" t="n"/>
      <c r="CP72" s="5" t="n"/>
      <c r="CQ72" s="5" t="n"/>
      <c r="CR72" s="5" t="n"/>
      <c r="CS72" s="5" t="n"/>
      <c r="CT72" s="5" t="n"/>
      <c r="CU72" s="5" t="n"/>
      <c r="CV72" s="5" t="n"/>
      <c r="CW72" s="5" t="n"/>
      <c r="CX72" s="5" t="n"/>
      <c r="CY72" s="5" t="n"/>
      <c r="CZ72" s="5" t="n"/>
      <c r="DA72" s="5" t="n"/>
      <c r="DB72" s="5" t="n"/>
      <c r="DC72" s="5" t="n"/>
      <c r="DD72" s="5" t="n"/>
      <c r="DE72" s="5" t="n"/>
      <c r="DF72" s="5" t="n"/>
      <c r="DG72" s="5" t="n"/>
      <c r="DH72" s="5" t="n"/>
      <c r="DI72" s="5" t="n"/>
      <c r="DJ72" s="5" t="n"/>
      <c r="DK72" s="5" t="n"/>
      <c r="DL72" s="5" t="n"/>
      <c r="DM72" s="5" t="n"/>
      <c r="DN72" s="5" t="n"/>
      <c r="DO72" s="5" t="n"/>
      <c r="DP72" s="5" t="n"/>
      <c r="DQ72" s="5" t="n"/>
      <c r="DR72" s="5" t="n"/>
      <c r="DS72" s="5" t="n"/>
      <c r="DT72" s="5" t="n"/>
      <c r="DU72" s="5" t="n"/>
      <c r="DV72" s="5" t="n"/>
      <c r="DW72" s="5" t="n"/>
      <c r="DX72" s="5" t="n"/>
      <c r="DY72" s="5" t="n"/>
      <c r="DZ72" s="5" t="n"/>
      <c r="EA72" s="5" t="n"/>
      <c r="EB72" s="5" t="n"/>
      <c r="EC72" s="5" t="n"/>
      <c r="ED72" s="5" t="n"/>
      <c r="EE72" s="5" t="n"/>
      <c r="EF72" s="5" t="n"/>
      <c r="EG72" s="5" t="n"/>
      <c r="EH72" s="5" t="n"/>
      <c r="EI72" s="5" t="n"/>
      <c r="EJ72" s="5" t="n"/>
      <c r="EK72" s="5" t="n"/>
      <c r="EL72" s="5" t="n"/>
    </row>
    <row r="73"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  <c r="CH73" s="5" t="n"/>
      <c r="CI73" s="5" t="n"/>
      <c r="CJ73" s="5" t="n"/>
      <c r="CK73" s="5" t="n"/>
      <c r="CL73" s="5" t="n"/>
      <c r="CM73" s="5" t="n"/>
      <c r="CN73" s="5" t="n"/>
      <c r="CO73" s="5" t="n"/>
      <c r="CP73" s="5" t="n"/>
      <c r="CQ73" s="5" t="n"/>
      <c r="CR73" s="5" t="n"/>
      <c r="CS73" s="5" t="n"/>
      <c r="CT73" s="5" t="n"/>
      <c r="CU73" s="5" t="n"/>
      <c r="CV73" s="5" t="n"/>
      <c r="CW73" s="5" t="n"/>
      <c r="CX73" s="5" t="n"/>
      <c r="CY73" s="5" t="n"/>
      <c r="CZ73" s="5" t="n"/>
      <c r="DA73" s="5" t="n"/>
      <c r="DB73" s="5" t="n"/>
      <c r="DC73" s="5" t="n"/>
      <c r="DD73" s="5" t="n"/>
      <c r="DE73" s="5" t="n"/>
      <c r="DF73" s="5" t="n"/>
      <c r="DG73" s="5" t="n"/>
      <c r="DH73" s="5" t="n"/>
      <c r="DI73" s="5" t="n"/>
      <c r="DJ73" s="5" t="n"/>
      <c r="DK73" s="5" t="n"/>
      <c r="DL73" s="5" t="n"/>
      <c r="DM73" s="5" t="n"/>
      <c r="DN73" s="5" t="n"/>
      <c r="DO73" s="5" t="n"/>
      <c r="DP73" s="5" t="n"/>
      <c r="DQ73" s="5" t="n"/>
      <c r="DR73" s="5" t="n"/>
      <c r="DS73" s="5" t="n"/>
      <c r="DT73" s="5" t="n"/>
      <c r="DU73" s="5" t="n"/>
      <c r="DV73" s="5" t="n"/>
      <c r="DW73" s="5" t="n"/>
      <c r="DX73" s="5" t="n"/>
      <c r="DY73" s="5" t="n"/>
      <c r="DZ73" s="5" t="n"/>
      <c r="EA73" s="5" t="n"/>
      <c r="EB73" s="5" t="n"/>
      <c r="EC73" s="5" t="n"/>
      <c r="ED73" s="5" t="n"/>
      <c r="EE73" s="5" t="n"/>
      <c r="EF73" s="5" t="n"/>
      <c r="EG73" s="5" t="n"/>
      <c r="EH73" s="5" t="n"/>
      <c r="EI73" s="5" t="n"/>
      <c r="EJ73" s="5" t="n"/>
      <c r="EK73" s="5" t="n"/>
      <c r="EL73" s="5" t="n"/>
    </row>
    <row r="74"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  <c r="CH74" s="5" t="n"/>
      <c r="CI74" s="5" t="n"/>
      <c r="CJ74" s="5" t="n"/>
      <c r="CK74" s="5" t="n"/>
      <c r="CL74" s="5" t="n"/>
      <c r="CM74" s="5" t="n"/>
      <c r="CN74" s="5" t="n"/>
      <c r="CO74" s="5" t="n"/>
      <c r="CP74" s="5" t="n"/>
      <c r="CQ74" s="5" t="n"/>
      <c r="CR74" s="5" t="n"/>
      <c r="CS74" s="5" t="n"/>
      <c r="CT74" s="5" t="n"/>
      <c r="CU74" s="5" t="n"/>
      <c r="CV74" s="5" t="n"/>
      <c r="CW74" s="5" t="n"/>
      <c r="CX74" s="5" t="n"/>
      <c r="CY74" s="5" t="n"/>
      <c r="CZ74" s="5" t="n"/>
      <c r="DA74" s="5" t="n"/>
      <c r="DB74" s="5" t="n"/>
      <c r="DC74" s="5" t="n"/>
      <c r="DD74" s="5" t="n"/>
      <c r="DE74" s="5" t="n"/>
      <c r="DF74" s="5" t="n"/>
      <c r="DG74" s="5" t="n"/>
      <c r="DH74" s="5" t="n"/>
      <c r="DI74" s="5" t="n"/>
      <c r="DJ74" s="5" t="n"/>
      <c r="DK74" s="5" t="n"/>
      <c r="DL74" s="5" t="n"/>
      <c r="DM74" s="5" t="n"/>
      <c r="DN74" s="5" t="n"/>
      <c r="DO74" s="5" t="n"/>
      <c r="DP74" s="5" t="n"/>
      <c r="DQ74" s="5" t="n"/>
      <c r="DR74" s="5" t="n"/>
      <c r="DS74" s="5" t="n"/>
      <c r="DT74" s="5" t="n"/>
      <c r="DU74" s="5" t="n"/>
      <c r="DV74" s="5" t="n"/>
      <c r="DW74" s="5" t="n"/>
      <c r="DX74" s="5" t="n"/>
      <c r="DY74" s="5" t="n"/>
      <c r="DZ74" s="5" t="n"/>
      <c r="EA74" s="5" t="n"/>
      <c r="EB74" s="5" t="n"/>
      <c r="EC74" s="5" t="n"/>
      <c r="ED74" s="5" t="n"/>
      <c r="EE74" s="5" t="n"/>
      <c r="EF74" s="5" t="n"/>
      <c r="EG74" s="5" t="n"/>
      <c r="EH74" s="5" t="n"/>
      <c r="EI74" s="5" t="n"/>
      <c r="EJ74" s="5" t="n"/>
      <c r="EK74" s="5" t="n"/>
      <c r="EL74" s="5" t="n"/>
    </row>
    <row r="75"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  <c r="CH75" s="5" t="n"/>
      <c r="CI75" s="5" t="n"/>
      <c r="CJ75" s="5" t="n"/>
      <c r="CK75" s="5" t="n"/>
      <c r="CL75" s="5" t="n"/>
      <c r="CM75" s="5" t="n"/>
      <c r="CN75" s="5" t="n"/>
      <c r="CO75" s="5" t="n"/>
      <c r="CP75" s="5" t="n"/>
      <c r="CQ75" s="5" t="n"/>
      <c r="CR75" s="5" t="n"/>
      <c r="CS75" s="5" t="n"/>
      <c r="CT75" s="5" t="n"/>
      <c r="CU75" s="5" t="n"/>
      <c r="CV75" s="5" t="n"/>
      <c r="CW75" s="5" t="n"/>
      <c r="CX75" s="5" t="n"/>
      <c r="CY75" s="5" t="n"/>
      <c r="CZ75" s="5" t="n"/>
      <c r="DA75" s="5" t="n"/>
      <c r="DB75" s="5" t="n"/>
      <c r="DC75" s="5" t="n"/>
      <c r="DD75" s="5" t="n"/>
      <c r="DE75" s="5" t="n"/>
      <c r="DF75" s="5" t="n"/>
      <c r="DG75" s="5" t="n"/>
      <c r="DH75" s="5" t="n"/>
      <c r="DI75" s="5" t="n"/>
      <c r="DJ75" s="5" t="n"/>
      <c r="DK75" s="5" t="n"/>
      <c r="DL75" s="5" t="n"/>
      <c r="DM75" s="5" t="n"/>
      <c r="DN75" s="5" t="n"/>
      <c r="DO75" s="5" t="n"/>
      <c r="DP75" s="5" t="n"/>
      <c r="DQ75" s="5" t="n"/>
      <c r="DR75" s="5" t="n"/>
      <c r="DS75" s="5" t="n"/>
      <c r="DT75" s="5" t="n"/>
      <c r="DU75" s="5" t="n"/>
      <c r="DV75" s="5" t="n"/>
      <c r="DW75" s="5" t="n"/>
      <c r="DX75" s="5" t="n"/>
      <c r="DY75" s="5" t="n"/>
      <c r="DZ75" s="5" t="n"/>
      <c r="EA75" s="5" t="n"/>
      <c r="EB75" s="5" t="n"/>
      <c r="EC75" s="5" t="n"/>
      <c r="ED75" s="5" t="n"/>
      <c r="EE75" s="5" t="n"/>
      <c r="EF75" s="5" t="n"/>
      <c r="EG75" s="5" t="n"/>
      <c r="EH75" s="5" t="n"/>
      <c r="EI75" s="5" t="n"/>
      <c r="EJ75" s="5" t="n"/>
      <c r="EK75" s="5" t="n"/>
      <c r="EL75" s="5" t="n"/>
    </row>
    <row r="76"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  <c r="CH76" s="5" t="n"/>
      <c r="CI76" s="5" t="n"/>
      <c r="CJ76" s="5" t="n"/>
      <c r="CK76" s="5" t="n"/>
      <c r="CL76" s="5" t="n"/>
      <c r="CM76" s="5" t="n"/>
      <c r="CN76" s="5" t="n"/>
      <c r="CO76" s="5" t="n"/>
      <c r="CP76" s="5" t="n"/>
      <c r="CQ76" s="5" t="n"/>
      <c r="CR76" s="5" t="n"/>
      <c r="CS76" s="5" t="n"/>
      <c r="CT76" s="5" t="n"/>
      <c r="CU76" s="5" t="n"/>
      <c r="CV76" s="5" t="n"/>
      <c r="CW76" s="5" t="n"/>
      <c r="CX76" s="5" t="n"/>
      <c r="CY76" s="5" t="n"/>
      <c r="CZ76" s="5" t="n"/>
      <c r="DA76" s="5" t="n"/>
      <c r="DB76" s="5" t="n"/>
      <c r="DC76" s="5" t="n"/>
      <c r="DD76" s="5" t="n"/>
      <c r="DE76" s="5" t="n"/>
      <c r="DF76" s="5" t="n"/>
      <c r="DG76" s="5" t="n"/>
      <c r="DH76" s="5" t="n"/>
      <c r="DI76" s="5" t="n"/>
      <c r="DJ76" s="5" t="n"/>
      <c r="DK76" s="5" t="n"/>
      <c r="DL76" s="5" t="n"/>
      <c r="DM76" s="5" t="n"/>
      <c r="DN76" s="5" t="n"/>
      <c r="DO76" s="5" t="n"/>
      <c r="DP76" s="5" t="n"/>
      <c r="DQ76" s="5" t="n"/>
      <c r="DR76" s="5" t="n"/>
      <c r="DS76" s="5" t="n"/>
      <c r="DT76" s="5" t="n"/>
      <c r="DU76" s="5" t="n"/>
      <c r="DV76" s="5" t="n"/>
      <c r="DW76" s="5" t="n"/>
      <c r="DX76" s="5" t="n"/>
      <c r="DY76" s="5" t="n"/>
      <c r="DZ76" s="5" t="n"/>
      <c r="EA76" s="5" t="n"/>
      <c r="EB76" s="5" t="n"/>
      <c r="EC76" s="5" t="n"/>
      <c r="ED76" s="5" t="n"/>
      <c r="EE76" s="5" t="n"/>
      <c r="EF76" s="5" t="n"/>
      <c r="EG76" s="5" t="n"/>
      <c r="EH76" s="5" t="n"/>
      <c r="EI76" s="5" t="n"/>
      <c r="EJ76" s="5" t="n"/>
      <c r="EK76" s="5" t="n"/>
      <c r="EL76" s="5" t="n"/>
    </row>
    <row r="77"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  <c r="CZ77" s="5" t="n"/>
      <c r="DA77" s="5" t="n"/>
      <c r="DB77" s="5" t="n"/>
      <c r="DC77" s="5" t="n"/>
      <c r="DD77" s="5" t="n"/>
      <c r="DE77" s="5" t="n"/>
      <c r="DF77" s="5" t="n"/>
      <c r="DG77" s="5" t="n"/>
      <c r="DH77" s="5" t="n"/>
      <c r="DI77" s="5" t="n"/>
      <c r="DJ77" s="5" t="n"/>
      <c r="DK77" s="5" t="n"/>
      <c r="DL77" s="5" t="n"/>
      <c r="DM77" s="5" t="n"/>
      <c r="DN77" s="5" t="n"/>
      <c r="DO77" s="5" t="n"/>
      <c r="DP77" s="5" t="n"/>
      <c r="DQ77" s="5" t="n"/>
      <c r="DR77" s="5" t="n"/>
      <c r="DS77" s="5" t="n"/>
      <c r="DT77" s="5" t="n"/>
      <c r="DU77" s="5" t="n"/>
      <c r="DV77" s="5" t="n"/>
      <c r="DW77" s="5" t="n"/>
      <c r="DX77" s="5" t="n"/>
      <c r="DY77" s="5" t="n"/>
      <c r="DZ77" s="5" t="n"/>
      <c r="EA77" s="5" t="n"/>
      <c r="EB77" s="5" t="n"/>
      <c r="EC77" s="5" t="n"/>
      <c r="ED77" s="5" t="n"/>
      <c r="EE77" s="5" t="n"/>
      <c r="EF77" s="5" t="n"/>
      <c r="EG77" s="5" t="n"/>
      <c r="EH77" s="5" t="n"/>
      <c r="EI77" s="5" t="n"/>
      <c r="EJ77" s="5" t="n"/>
      <c r="EK77" s="5" t="n"/>
      <c r="EL77" s="5" t="n"/>
    </row>
    <row r="78"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  <c r="CH78" s="5" t="n"/>
      <c r="CI78" s="5" t="n"/>
      <c r="CJ78" s="5" t="n"/>
      <c r="CK78" s="5" t="n"/>
      <c r="CL78" s="5" t="n"/>
      <c r="CM78" s="5" t="n"/>
      <c r="CN78" s="5" t="n"/>
      <c r="CO78" s="5" t="n"/>
      <c r="CP78" s="5" t="n"/>
      <c r="CQ78" s="5" t="n"/>
      <c r="CR78" s="5" t="n"/>
      <c r="CS78" s="5" t="n"/>
      <c r="CT78" s="5" t="n"/>
      <c r="CU78" s="5" t="n"/>
      <c r="CV78" s="5" t="n"/>
      <c r="CW78" s="5" t="n"/>
      <c r="CX78" s="5" t="n"/>
      <c r="CY78" s="5" t="n"/>
      <c r="CZ78" s="5" t="n"/>
      <c r="DA78" s="5" t="n"/>
      <c r="DB78" s="5" t="n"/>
      <c r="DC78" s="5" t="n"/>
      <c r="DD78" s="5" t="n"/>
      <c r="DE78" s="5" t="n"/>
      <c r="DF78" s="5" t="n"/>
      <c r="DG78" s="5" t="n"/>
      <c r="DH78" s="5" t="n"/>
      <c r="DI78" s="5" t="n"/>
      <c r="DJ78" s="5" t="n"/>
      <c r="DK78" s="5" t="n"/>
      <c r="DL78" s="5" t="n"/>
      <c r="DM78" s="5" t="n"/>
      <c r="DN78" s="5" t="n"/>
      <c r="DO78" s="5" t="n"/>
      <c r="DP78" s="5" t="n"/>
      <c r="DQ78" s="5" t="n"/>
      <c r="DR78" s="5" t="n"/>
      <c r="DS78" s="5" t="n"/>
      <c r="DT78" s="5" t="n"/>
      <c r="DU78" s="5" t="n"/>
      <c r="DV78" s="5" t="n"/>
      <c r="DW78" s="5" t="n"/>
      <c r="DX78" s="5" t="n"/>
      <c r="DY78" s="5" t="n"/>
      <c r="DZ78" s="5" t="n"/>
      <c r="EA78" s="5" t="n"/>
      <c r="EB78" s="5" t="n"/>
      <c r="EC78" s="5" t="n"/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</row>
    <row r="79"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  <c r="CH79" s="5" t="n"/>
      <c r="CI79" s="5" t="n"/>
      <c r="CJ79" s="5" t="n"/>
      <c r="CK79" s="5" t="n"/>
      <c r="CL79" s="5" t="n"/>
      <c r="CM79" s="5" t="n"/>
      <c r="CN79" s="5" t="n"/>
      <c r="CO79" s="5" t="n"/>
      <c r="CP79" s="5" t="n"/>
      <c r="CQ79" s="5" t="n"/>
      <c r="CR79" s="5" t="n"/>
      <c r="CS79" s="5" t="n"/>
      <c r="CT79" s="5" t="n"/>
      <c r="CU79" s="5" t="n"/>
      <c r="CV79" s="5" t="n"/>
      <c r="CW79" s="5" t="n"/>
      <c r="CX79" s="5" t="n"/>
      <c r="CY79" s="5" t="n"/>
      <c r="CZ79" s="5" t="n"/>
      <c r="DA79" s="5" t="n"/>
      <c r="DB79" s="5" t="n"/>
      <c r="DC79" s="5" t="n"/>
      <c r="DD79" s="5" t="n"/>
      <c r="DE79" s="5" t="n"/>
      <c r="DF79" s="5" t="n"/>
      <c r="DG79" s="5" t="n"/>
      <c r="DH79" s="5" t="n"/>
      <c r="DI79" s="5" t="n"/>
      <c r="DJ79" s="5" t="n"/>
      <c r="DK79" s="5" t="n"/>
      <c r="DL79" s="5" t="n"/>
      <c r="DM79" s="5" t="n"/>
      <c r="DN79" s="5" t="n"/>
      <c r="DO79" s="5" t="n"/>
      <c r="DP79" s="5" t="n"/>
      <c r="DQ79" s="5" t="n"/>
      <c r="DR79" s="5" t="n"/>
      <c r="DS79" s="5" t="n"/>
      <c r="DT79" s="5" t="n"/>
      <c r="DU79" s="5" t="n"/>
      <c r="DV79" s="5" t="n"/>
      <c r="DW79" s="5" t="n"/>
      <c r="DX79" s="5" t="n"/>
      <c r="DY79" s="5" t="n"/>
      <c r="DZ79" s="5" t="n"/>
      <c r="EA79" s="5" t="n"/>
      <c r="EB79" s="5" t="n"/>
      <c r="EC79" s="5" t="n"/>
      <c r="ED79" s="5" t="n"/>
      <c r="EE79" s="5" t="n"/>
      <c r="EF79" s="5" t="n"/>
      <c r="EG79" s="5" t="n"/>
      <c r="EH79" s="5" t="n"/>
      <c r="EI79" s="5" t="n"/>
      <c r="EJ79" s="5" t="n"/>
      <c r="EK79" s="5" t="n"/>
      <c r="EL79" s="5" t="n"/>
    </row>
    <row r="80"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  <c r="CH80" s="5" t="n"/>
      <c r="CI80" s="5" t="n"/>
      <c r="CJ80" s="5" t="n"/>
      <c r="CK80" s="5" t="n"/>
      <c r="CL80" s="5" t="n"/>
      <c r="CM80" s="5" t="n"/>
      <c r="CN80" s="5" t="n"/>
      <c r="CO80" s="5" t="n"/>
      <c r="CP80" s="5" t="n"/>
      <c r="CQ80" s="5" t="n"/>
      <c r="CR80" s="5" t="n"/>
      <c r="CS80" s="5" t="n"/>
      <c r="CT80" s="5" t="n"/>
      <c r="CU80" s="5" t="n"/>
      <c r="CV80" s="5" t="n"/>
      <c r="CW80" s="5" t="n"/>
      <c r="CX80" s="5" t="n"/>
      <c r="CY80" s="5" t="n"/>
      <c r="CZ80" s="5" t="n"/>
      <c r="DA80" s="5" t="n"/>
      <c r="DB80" s="5" t="n"/>
      <c r="DC80" s="5" t="n"/>
      <c r="DD80" s="5" t="n"/>
      <c r="DE80" s="5" t="n"/>
      <c r="DF80" s="5" t="n"/>
      <c r="DG80" s="5" t="n"/>
      <c r="DH80" s="5" t="n"/>
      <c r="DI80" s="5" t="n"/>
      <c r="DJ80" s="5" t="n"/>
      <c r="DK80" s="5" t="n"/>
      <c r="DL80" s="5" t="n"/>
      <c r="DM80" s="5" t="n"/>
      <c r="DN80" s="5" t="n"/>
      <c r="DO80" s="5" t="n"/>
      <c r="DP80" s="5" t="n"/>
      <c r="DQ80" s="5" t="n"/>
      <c r="DR80" s="5" t="n"/>
      <c r="DS80" s="5" t="n"/>
      <c r="DT80" s="5" t="n"/>
      <c r="DU80" s="5" t="n"/>
      <c r="DV80" s="5" t="n"/>
      <c r="DW80" s="5" t="n"/>
      <c r="DX80" s="5" t="n"/>
      <c r="DY80" s="5" t="n"/>
      <c r="DZ80" s="5" t="n"/>
      <c r="EA80" s="5" t="n"/>
      <c r="EB80" s="5" t="n"/>
      <c r="EC80" s="5" t="n"/>
      <c r="ED80" s="5" t="n"/>
      <c r="EE80" s="5" t="n"/>
      <c r="EF80" s="5" t="n"/>
      <c r="EG80" s="5" t="n"/>
      <c r="EH80" s="5" t="n"/>
      <c r="EI80" s="5" t="n"/>
      <c r="EJ80" s="5" t="n"/>
      <c r="EK80" s="5" t="n"/>
      <c r="EL80" s="5" t="n"/>
    </row>
    <row r="81"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  <c r="CH81" s="5" t="n"/>
      <c r="CI81" s="5" t="n"/>
      <c r="CJ81" s="5" t="n"/>
      <c r="CK81" s="5" t="n"/>
      <c r="CL81" s="5" t="n"/>
      <c r="CM81" s="5" t="n"/>
      <c r="CN81" s="5" t="n"/>
      <c r="CO81" s="5" t="n"/>
      <c r="CP81" s="5" t="n"/>
      <c r="CQ81" s="5" t="n"/>
      <c r="CR81" s="5" t="n"/>
      <c r="CS81" s="5" t="n"/>
      <c r="CT81" s="5" t="n"/>
      <c r="CU81" s="5" t="n"/>
      <c r="CV81" s="5" t="n"/>
      <c r="CW81" s="5" t="n"/>
      <c r="CX81" s="5" t="n"/>
      <c r="CY81" s="5" t="n"/>
      <c r="CZ81" s="5" t="n"/>
      <c r="DA81" s="5" t="n"/>
      <c r="DB81" s="5" t="n"/>
      <c r="DC81" s="5" t="n"/>
      <c r="DD81" s="5" t="n"/>
      <c r="DE81" s="5" t="n"/>
      <c r="DF81" s="5" t="n"/>
      <c r="DG81" s="5" t="n"/>
      <c r="DH81" s="5" t="n"/>
      <c r="DI81" s="5" t="n"/>
      <c r="DJ81" s="5" t="n"/>
      <c r="DK81" s="5" t="n"/>
      <c r="DL81" s="5" t="n"/>
      <c r="DM81" s="5" t="n"/>
      <c r="DN81" s="5" t="n"/>
      <c r="DO81" s="5" t="n"/>
      <c r="DP81" s="5" t="n"/>
      <c r="DQ81" s="5" t="n"/>
      <c r="DR81" s="5" t="n"/>
      <c r="DS81" s="5" t="n"/>
      <c r="DT81" s="5" t="n"/>
      <c r="DU81" s="5" t="n"/>
      <c r="DV81" s="5" t="n"/>
      <c r="DW81" s="5" t="n"/>
      <c r="DX81" s="5" t="n"/>
      <c r="DY81" s="5" t="n"/>
      <c r="DZ81" s="5" t="n"/>
      <c r="EA81" s="5" t="n"/>
      <c r="EB81" s="5" t="n"/>
      <c r="EC81" s="5" t="n"/>
      <c r="ED81" s="5" t="n"/>
      <c r="EE81" s="5" t="n"/>
      <c r="EF81" s="5" t="n"/>
      <c r="EG81" s="5" t="n"/>
      <c r="EH81" s="5" t="n"/>
      <c r="EI81" s="5" t="n"/>
      <c r="EJ81" s="5" t="n"/>
      <c r="EK81" s="5" t="n"/>
      <c r="EL81" s="5" t="n"/>
    </row>
    <row r="82"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  <c r="CH82" s="5" t="n"/>
      <c r="CI82" s="5" t="n"/>
      <c r="CJ82" s="5" t="n"/>
      <c r="CK82" s="5" t="n"/>
      <c r="CL82" s="5" t="n"/>
      <c r="CM82" s="5" t="n"/>
      <c r="CN82" s="5" t="n"/>
      <c r="CO82" s="5" t="n"/>
      <c r="CP82" s="5" t="n"/>
      <c r="CQ82" s="5" t="n"/>
      <c r="CR82" s="5" t="n"/>
      <c r="CS82" s="5" t="n"/>
      <c r="CT82" s="5" t="n"/>
      <c r="CU82" s="5" t="n"/>
      <c r="CV82" s="5" t="n"/>
      <c r="CW82" s="5" t="n"/>
      <c r="CX82" s="5" t="n"/>
      <c r="CY82" s="5" t="n"/>
      <c r="CZ82" s="5" t="n"/>
      <c r="DA82" s="5" t="n"/>
      <c r="DB82" s="5" t="n"/>
      <c r="DC82" s="5" t="n"/>
      <c r="DD82" s="5" t="n"/>
      <c r="DE82" s="5" t="n"/>
      <c r="DF82" s="5" t="n"/>
      <c r="DG82" s="5" t="n"/>
      <c r="DH82" s="5" t="n"/>
      <c r="DI82" s="5" t="n"/>
      <c r="DJ82" s="5" t="n"/>
      <c r="DK82" s="5" t="n"/>
      <c r="DL82" s="5" t="n"/>
      <c r="DM82" s="5" t="n"/>
      <c r="DN82" s="5" t="n"/>
      <c r="DO82" s="5" t="n"/>
      <c r="DP82" s="5" t="n"/>
      <c r="DQ82" s="5" t="n"/>
      <c r="DR82" s="5" t="n"/>
      <c r="DS82" s="5" t="n"/>
      <c r="DT82" s="5" t="n"/>
      <c r="DU82" s="5" t="n"/>
      <c r="DV82" s="5" t="n"/>
      <c r="DW82" s="5" t="n"/>
      <c r="DX82" s="5" t="n"/>
      <c r="DY82" s="5" t="n"/>
      <c r="DZ82" s="5" t="n"/>
      <c r="EA82" s="5" t="n"/>
      <c r="EB82" s="5" t="n"/>
      <c r="EC82" s="5" t="n"/>
      <c r="ED82" s="5" t="n"/>
      <c r="EE82" s="5" t="n"/>
      <c r="EF82" s="5" t="n"/>
      <c r="EG82" s="5" t="n"/>
      <c r="EH82" s="5" t="n"/>
      <c r="EI82" s="5" t="n"/>
      <c r="EJ82" s="5" t="n"/>
      <c r="EK82" s="5" t="n"/>
      <c r="EL82" s="5" t="n"/>
    </row>
    <row r="83"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  <c r="CZ83" s="5" t="n"/>
      <c r="DA83" s="5" t="n"/>
      <c r="DB83" s="5" t="n"/>
      <c r="DC83" s="5" t="n"/>
      <c r="DD83" s="5" t="n"/>
      <c r="DE83" s="5" t="n"/>
      <c r="DF83" s="5" t="n"/>
      <c r="DG83" s="5" t="n"/>
      <c r="DH83" s="5" t="n"/>
      <c r="DI83" s="5" t="n"/>
      <c r="DJ83" s="5" t="n"/>
      <c r="DK83" s="5" t="n"/>
      <c r="DL83" s="5" t="n"/>
      <c r="DM83" s="5" t="n"/>
      <c r="DN83" s="5" t="n"/>
      <c r="DO83" s="5" t="n"/>
      <c r="DP83" s="5" t="n"/>
      <c r="DQ83" s="5" t="n"/>
      <c r="DR83" s="5" t="n"/>
      <c r="DS83" s="5" t="n"/>
      <c r="DT83" s="5" t="n"/>
      <c r="DU83" s="5" t="n"/>
      <c r="DV83" s="5" t="n"/>
      <c r="DW83" s="5" t="n"/>
      <c r="DX83" s="5" t="n"/>
      <c r="DY83" s="5" t="n"/>
      <c r="DZ83" s="5" t="n"/>
      <c r="EA83" s="5" t="n"/>
      <c r="EB83" s="5" t="n"/>
      <c r="EC83" s="5" t="n"/>
      <c r="ED83" s="5" t="n"/>
      <c r="EE83" s="5" t="n"/>
      <c r="EF83" s="5" t="n"/>
      <c r="EG83" s="5" t="n"/>
      <c r="EH83" s="5" t="n"/>
      <c r="EI83" s="5" t="n"/>
      <c r="EJ83" s="5" t="n"/>
      <c r="EK83" s="5" t="n"/>
      <c r="EL83" s="5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  <c r="CE84" s="5" t="n"/>
      <c r="CF84" s="5" t="n"/>
      <c r="CG84" s="5" t="n"/>
      <c r="CH84" s="5" t="n"/>
      <c r="CI84" s="5" t="n"/>
      <c r="CJ84" s="5" t="n"/>
      <c r="CK84" s="5" t="n"/>
      <c r="CL84" s="5" t="n"/>
      <c r="CM84" s="5" t="n"/>
      <c r="CN84" s="5" t="n"/>
      <c r="CO84" s="5" t="n"/>
      <c r="CP84" s="5" t="n"/>
      <c r="CQ84" s="5" t="n"/>
      <c r="CR84" s="5" t="n"/>
      <c r="CS84" s="5" t="n"/>
      <c r="CT84" s="5" t="n"/>
      <c r="CU84" s="5" t="n"/>
      <c r="CV84" s="5" t="n"/>
      <c r="CW84" s="5" t="n"/>
      <c r="CX84" s="5" t="n"/>
      <c r="CY84" s="5" t="n"/>
      <c r="CZ84" s="5" t="n"/>
      <c r="DA84" s="5" t="n"/>
      <c r="DB84" s="5" t="n"/>
      <c r="DC84" s="5" t="n"/>
      <c r="DD84" s="5" t="n"/>
      <c r="DE84" s="5" t="n"/>
      <c r="DF84" s="5" t="n"/>
      <c r="DG84" s="5" t="n"/>
      <c r="DH84" s="5" t="n"/>
      <c r="DI84" s="5" t="n"/>
      <c r="DJ84" s="5" t="n"/>
      <c r="DK84" s="5" t="n"/>
      <c r="DL84" s="5" t="n"/>
      <c r="DM84" s="5" t="n"/>
      <c r="DN84" s="5" t="n"/>
      <c r="DO84" s="5" t="n"/>
      <c r="DP84" s="5" t="n"/>
      <c r="DQ84" s="5" t="n"/>
      <c r="DR84" s="5" t="n"/>
      <c r="DS84" s="5" t="n"/>
      <c r="DT84" s="5" t="n"/>
      <c r="DU84" s="5" t="n"/>
      <c r="DV84" s="5" t="n"/>
      <c r="DW84" s="5" t="n"/>
      <c r="DX84" s="5" t="n"/>
      <c r="DY84" s="5" t="n"/>
      <c r="DZ84" s="5" t="n"/>
      <c r="EA84" s="5" t="n"/>
      <c r="EB84" s="5" t="n"/>
      <c r="EC84" s="5" t="n"/>
      <c r="ED84" s="5" t="n"/>
      <c r="EE84" s="5" t="n"/>
      <c r="EF84" s="5" t="n"/>
      <c r="EG84" s="5" t="n"/>
      <c r="EH84" s="5" t="n"/>
      <c r="EI84" s="5" t="n"/>
      <c r="EJ84" s="5" t="n"/>
      <c r="EK84" s="5" t="n"/>
      <c r="EL84" s="5" t="n"/>
    </row>
    <row r="85"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  <c r="CE85" s="5" t="n"/>
      <c r="CF85" s="5" t="n"/>
      <c r="CG85" s="5" t="n"/>
      <c r="CH85" s="5" t="n"/>
      <c r="CI85" s="5" t="n"/>
      <c r="CJ85" s="5" t="n"/>
      <c r="CK85" s="5" t="n"/>
      <c r="CL85" s="5" t="n"/>
      <c r="CM85" s="5" t="n"/>
      <c r="CN85" s="5" t="n"/>
      <c r="CO85" s="5" t="n"/>
      <c r="CP85" s="5" t="n"/>
      <c r="CQ85" s="5" t="n"/>
      <c r="CR85" s="5" t="n"/>
      <c r="CS85" s="5" t="n"/>
      <c r="CT85" s="5" t="n"/>
      <c r="CU85" s="5" t="n"/>
      <c r="CV85" s="5" t="n"/>
      <c r="CW85" s="5" t="n"/>
      <c r="CX85" s="5" t="n"/>
      <c r="CY85" s="5" t="n"/>
      <c r="CZ85" s="5" t="n"/>
      <c r="DA85" s="5" t="n"/>
      <c r="DB85" s="5" t="n"/>
      <c r="DC85" s="5" t="n"/>
      <c r="DD85" s="5" t="n"/>
      <c r="DE85" s="5" t="n"/>
      <c r="DF85" s="5" t="n"/>
      <c r="DG85" s="5" t="n"/>
      <c r="DH85" s="5" t="n"/>
      <c r="DI85" s="5" t="n"/>
      <c r="DJ85" s="5" t="n"/>
      <c r="DK85" s="5" t="n"/>
      <c r="DL85" s="5" t="n"/>
      <c r="DM85" s="5" t="n"/>
      <c r="DN85" s="5" t="n"/>
      <c r="DO85" s="5" t="n"/>
      <c r="DP85" s="5" t="n"/>
      <c r="DQ85" s="5" t="n"/>
      <c r="DR85" s="5" t="n"/>
      <c r="DS85" s="5" t="n"/>
      <c r="DT85" s="5" t="n"/>
      <c r="DU85" s="5" t="n"/>
      <c r="DV85" s="5" t="n"/>
      <c r="DW85" s="5" t="n"/>
      <c r="DX85" s="5" t="n"/>
      <c r="DY85" s="5" t="n"/>
      <c r="DZ85" s="5" t="n"/>
      <c r="EA85" s="5" t="n"/>
      <c r="EB85" s="5" t="n"/>
      <c r="EC85" s="5" t="n"/>
      <c r="ED85" s="5" t="n"/>
      <c r="EE85" s="5" t="n"/>
      <c r="EF85" s="5" t="n"/>
      <c r="EG85" s="5" t="n"/>
      <c r="EH85" s="5" t="n"/>
      <c r="EI85" s="5" t="n"/>
      <c r="EJ85" s="5" t="n"/>
      <c r="EK85" s="5" t="n"/>
      <c r="EL85" s="5" t="n"/>
    </row>
    <row r="86"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5" t="n"/>
      <c r="CG86" s="5" t="n"/>
      <c r="CH86" s="5" t="n"/>
      <c r="CI86" s="5" t="n"/>
      <c r="CJ86" s="5" t="n"/>
      <c r="CK86" s="5" t="n"/>
      <c r="CL86" s="5" t="n"/>
      <c r="CM86" s="5" t="n"/>
      <c r="CN86" s="5" t="n"/>
      <c r="CO86" s="5" t="n"/>
      <c r="CP86" s="5" t="n"/>
      <c r="CQ86" s="5" t="n"/>
      <c r="CR86" s="5" t="n"/>
      <c r="CS86" s="5" t="n"/>
      <c r="CT86" s="5" t="n"/>
      <c r="CU86" s="5" t="n"/>
      <c r="CV86" s="5" t="n"/>
      <c r="CW86" s="5" t="n"/>
      <c r="CX86" s="5" t="n"/>
      <c r="CY86" s="5" t="n"/>
      <c r="CZ86" s="5" t="n"/>
      <c r="DA86" s="5" t="n"/>
      <c r="DB86" s="5" t="n"/>
      <c r="DC86" s="5" t="n"/>
      <c r="DD86" s="5" t="n"/>
      <c r="DE86" s="5" t="n"/>
      <c r="DF86" s="5" t="n"/>
      <c r="DG86" s="5" t="n"/>
      <c r="DH86" s="5" t="n"/>
      <c r="DI86" s="5" t="n"/>
      <c r="DJ86" s="5" t="n"/>
      <c r="DK86" s="5" t="n"/>
      <c r="DL86" s="5" t="n"/>
      <c r="DM86" s="5" t="n"/>
      <c r="DN86" s="5" t="n"/>
      <c r="DO86" s="5" t="n"/>
      <c r="DP86" s="5" t="n"/>
      <c r="DQ86" s="5" t="n"/>
      <c r="DR86" s="5" t="n"/>
      <c r="DS86" s="5" t="n"/>
      <c r="DT86" s="5" t="n"/>
      <c r="DU86" s="5" t="n"/>
      <c r="DV86" s="5" t="n"/>
      <c r="DW86" s="5" t="n"/>
      <c r="DX86" s="5" t="n"/>
      <c r="DY86" s="5" t="n"/>
      <c r="DZ86" s="5" t="n"/>
      <c r="EA86" s="5" t="n"/>
      <c r="EB86" s="5" t="n"/>
      <c r="EC86" s="5" t="n"/>
      <c r="ED86" s="5" t="n"/>
      <c r="EE86" s="5" t="n"/>
      <c r="EF86" s="5" t="n"/>
      <c r="EG86" s="5" t="n"/>
      <c r="EH86" s="5" t="n"/>
      <c r="EI86" s="5" t="n"/>
      <c r="EJ86" s="5" t="n"/>
      <c r="EK86" s="5" t="n"/>
      <c r="EL86" s="5" t="n"/>
    </row>
    <row r="87"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5" t="n"/>
      <c r="CG87" s="5" t="n"/>
      <c r="CH87" s="5" t="n"/>
      <c r="CI87" s="5" t="n"/>
      <c r="CJ87" s="5" t="n"/>
      <c r="CK87" s="5" t="n"/>
      <c r="CL87" s="5" t="n"/>
      <c r="CM87" s="5" t="n"/>
      <c r="CN87" s="5" t="n"/>
      <c r="CO87" s="5" t="n"/>
      <c r="CP87" s="5" t="n"/>
      <c r="CQ87" s="5" t="n"/>
      <c r="CR87" s="5" t="n"/>
      <c r="CS87" s="5" t="n"/>
      <c r="CT87" s="5" t="n"/>
      <c r="CU87" s="5" t="n"/>
      <c r="CV87" s="5" t="n"/>
      <c r="CW87" s="5" t="n"/>
      <c r="CX87" s="5" t="n"/>
      <c r="CY87" s="5" t="n"/>
      <c r="CZ87" s="5" t="n"/>
      <c r="DA87" s="5" t="n"/>
      <c r="DB87" s="5" t="n"/>
      <c r="DC87" s="5" t="n"/>
      <c r="DD87" s="5" t="n"/>
      <c r="DE87" s="5" t="n"/>
      <c r="DF87" s="5" t="n"/>
      <c r="DG87" s="5" t="n"/>
      <c r="DH87" s="5" t="n"/>
      <c r="DI87" s="5" t="n"/>
      <c r="DJ87" s="5" t="n"/>
      <c r="DK87" s="5" t="n"/>
      <c r="DL87" s="5" t="n"/>
      <c r="DM87" s="5" t="n"/>
      <c r="DN87" s="5" t="n"/>
      <c r="DO87" s="5" t="n"/>
      <c r="DP87" s="5" t="n"/>
      <c r="DQ87" s="5" t="n"/>
      <c r="DR87" s="5" t="n"/>
      <c r="DS87" s="5" t="n"/>
      <c r="DT87" s="5" t="n"/>
      <c r="DU87" s="5" t="n"/>
      <c r="DV87" s="5" t="n"/>
      <c r="DW87" s="5" t="n"/>
      <c r="DX87" s="5" t="n"/>
      <c r="DY87" s="5" t="n"/>
      <c r="DZ87" s="5" t="n"/>
      <c r="EA87" s="5" t="n"/>
      <c r="EB87" s="5" t="n"/>
      <c r="EC87" s="5" t="n"/>
      <c r="ED87" s="5" t="n"/>
      <c r="EE87" s="5" t="n"/>
      <c r="EF87" s="5" t="n"/>
      <c r="EG87" s="5" t="n"/>
      <c r="EH87" s="5" t="n"/>
      <c r="EI87" s="5" t="n"/>
      <c r="EJ87" s="5" t="n"/>
      <c r="EK87" s="5" t="n"/>
      <c r="EL87" s="5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5" t="n"/>
      <c r="CG88" s="5" t="n"/>
      <c r="CH88" s="5" t="n"/>
      <c r="CI88" s="5" t="n"/>
      <c r="CJ88" s="5" t="n"/>
      <c r="CK88" s="5" t="n"/>
      <c r="CL88" s="5" t="n"/>
      <c r="CM88" s="5" t="n"/>
      <c r="CN88" s="5" t="n"/>
      <c r="CO88" s="5" t="n"/>
      <c r="CP88" s="5" t="n"/>
      <c r="CQ88" s="5" t="n"/>
      <c r="CR88" s="5" t="n"/>
      <c r="CS88" s="5" t="n"/>
      <c r="CT88" s="5" t="n"/>
      <c r="CU88" s="5" t="n"/>
      <c r="CV88" s="5" t="n"/>
      <c r="CW88" s="5" t="n"/>
      <c r="CX88" s="5" t="n"/>
      <c r="CY88" s="5" t="n"/>
      <c r="CZ88" s="5" t="n"/>
      <c r="DA88" s="5" t="n"/>
      <c r="DB88" s="5" t="n"/>
      <c r="DC88" s="5" t="n"/>
      <c r="DD88" s="5" t="n"/>
      <c r="DE88" s="5" t="n"/>
      <c r="DF88" s="5" t="n"/>
      <c r="DG88" s="5" t="n"/>
      <c r="DH88" s="5" t="n"/>
      <c r="DI88" s="5" t="n"/>
      <c r="DJ88" s="5" t="n"/>
      <c r="DK88" s="5" t="n"/>
      <c r="DL88" s="5" t="n"/>
      <c r="DM88" s="5" t="n"/>
      <c r="DN88" s="5" t="n"/>
      <c r="DO88" s="5" t="n"/>
      <c r="DP88" s="5" t="n"/>
      <c r="DQ88" s="5" t="n"/>
      <c r="DR88" s="5" t="n"/>
      <c r="DS88" s="5" t="n"/>
      <c r="DT88" s="5" t="n"/>
      <c r="DU88" s="5" t="n"/>
      <c r="DV88" s="5" t="n"/>
      <c r="DW88" s="5" t="n"/>
      <c r="DX88" s="5" t="n"/>
      <c r="DY88" s="5" t="n"/>
      <c r="DZ88" s="5" t="n"/>
      <c r="EA88" s="5" t="n"/>
      <c r="EB88" s="5" t="n"/>
      <c r="EC88" s="5" t="n"/>
      <c r="ED88" s="5" t="n"/>
      <c r="EE88" s="5" t="n"/>
      <c r="EF88" s="5" t="n"/>
      <c r="EG88" s="5" t="n"/>
      <c r="EH88" s="5" t="n"/>
      <c r="EI88" s="5" t="n"/>
      <c r="EJ88" s="5" t="n"/>
      <c r="EK88" s="5" t="n"/>
      <c r="EL88" s="5" t="n"/>
    </row>
    <row r="89"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  <c r="CZ89" s="5" t="n"/>
      <c r="DA89" s="5" t="n"/>
      <c r="DB89" s="5" t="n"/>
      <c r="DC89" s="5" t="n"/>
      <c r="DD89" s="5" t="n"/>
      <c r="DE89" s="5" t="n"/>
      <c r="DF89" s="5" t="n"/>
      <c r="DG89" s="5" t="n"/>
      <c r="DH89" s="5" t="n"/>
      <c r="DI89" s="5" t="n"/>
      <c r="DJ89" s="5" t="n"/>
      <c r="DK89" s="5" t="n"/>
      <c r="DL89" s="5" t="n"/>
      <c r="DM89" s="5" t="n"/>
      <c r="DN89" s="5" t="n"/>
      <c r="DO89" s="5" t="n"/>
      <c r="DP89" s="5" t="n"/>
      <c r="DQ89" s="5" t="n"/>
      <c r="DR89" s="5" t="n"/>
      <c r="DS89" s="5" t="n"/>
      <c r="DT89" s="5" t="n"/>
      <c r="DU89" s="5" t="n"/>
      <c r="DV89" s="5" t="n"/>
      <c r="DW89" s="5" t="n"/>
      <c r="DX89" s="5" t="n"/>
      <c r="DY89" s="5" t="n"/>
      <c r="DZ89" s="5" t="n"/>
      <c r="EA89" s="5" t="n"/>
      <c r="EB89" s="5" t="n"/>
      <c r="EC89" s="5" t="n"/>
      <c r="ED89" s="5" t="n"/>
      <c r="EE89" s="5" t="n"/>
      <c r="EF89" s="5" t="n"/>
      <c r="EG89" s="5" t="n"/>
      <c r="EH89" s="5" t="n"/>
      <c r="EI89" s="5" t="n"/>
      <c r="EJ89" s="5" t="n"/>
      <c r="EK89" s="5" t="n"/>
      <c r="EL89" s="5" t="n"/>
    </row>
    <row r="90"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5" t="n"/>
      <c r="CG90" s="5" t="n"/>
      <c r="CH90" s="5" t="n"/>
      <c r="CI90" s="5" t="n"/>
      <c r="CJ90" s="5" t="n"/>
      <c r="CK90" s="5" t="n"/>
      <c r="CL90" s="5" t="n"/>
      <c r="CM90" s="5" t="n"/>
      <c r="CN90" s="5" t="n"/>
      <c r="CO90" s="5" t="n"/>
      <c r="CP90" s="5" t="n"/>
      <c r="CQ90" s="5" t="n"/>
      <c r="CR90" s="5" t="n"/>
      <c r="CS90" s="5" t="n"/>
      <c r="CT90" s="5" t="n"/>
      <c r="CU90" s="5" t="n"/>
      <c r="CV90" s="5" t="n"/>
      <c r="CW90" s="5" t="n"/>
      <c r="CX90" s="5" t="n"/>
      <c r="CY90" s="5" t="n"/>
      <c r="CZ90" s="5" t="n"/>
      <c r="DA90" s="5" t="n"/>
      <c r="DB90" s="5" t="n"/>
      <c r="DC90" s="5" t="n"/>
      <c r="DD90" s="5" t="n"/>
      <c r="DE90" s="5" t="n"/>
      <c r="DF90" s="5" t="n"/>
      <c r="DG90" s="5" t="n"/>
      <c r="DH90" s="5" t="n"/>
      <c r="DI90" s="5" t="n"/>
      <c r="DJ90" s="5" t="n"/>
      <c r="DK90" s="5" t="n"/>
      <c r="DL90" s="5" t="n"/>
      <c r="DM90" s="5" t="n"/>
      <c r="DN90" s="5" t="n"/>
      <c r="DO90" s="5" t="n"/>
      <c r="DP90" s="5" t="n"/>
      <c r="DQ90" s="5" t="n"/>
      <c r="DR90" s="5" t="n"/>
      <c r="DS90" s="5" t="n"/>
      <c r="DT90" s="5" t="n"/>
      <c r="DU90" s="5" t="n"/>
      <c r="DV90" s="5" t="n"/>
      <c r="DW90" s="5" t="n"/>
      <c r="DX90" s="5" t="n"/>
      <c r="DY90" s="5" t="n"/>
      <c r="DZ90" s="5" t="n"/>
      <c r="EA90" s="5" t="n"/>
      <c r="EB90" s="5" t="n"/>
      <c r="EC90" s="5" t="n"/>
      <c r="ED90" s="5" t="n"/>
      <c r="EE90" s="5" t="n"/>
      <c r="EF90" s="5" t="n"/>
      <c r="EG90" s="5" t="n"/>
      <c r="EH90" s="5" t="n"/>
      <c r="EI90" s="5" t="n"/>
      <c r="EJ90" s="5" t="n"/>
      <c r="EK90" s="5" t="n"/>
      <c r="EL90" s="5" t="n"/>
    </row>
    <row r="91"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5" t="n"/>
      <c r="CG91" s="5" t="n"/>
      <c r="CH91" s="5" t="n"/>
      <c r="CI91" s="5" t="n"/>
      <c r="CJ91" s="5" t="n"/>
      <c r="CK91" s="5" t="n"/>
      <c r="CL91" s="5" t="n"/>
      <c r="CM91" s="5" t="n"/>
      <c r="CN91" s="5" t="n"/>
      <c r="CO91" s="5" t="n"/>
      <c r="CP91" s="5" t="n"/>
      <c r="CQ91" s="5" t="n"/>
      <c r="CR91" s="5" t="n"/>
      <c r="CS91" s="5" t="n"/>
      <c r="CT91" s="5" t="n"/>
      <c r="CU91" s="5" t="n"/>
      <c r="CV91" s="5" t="n"/>
      <c r="CW91" s="5" t="n"/>
      <c r="CX91" s="5" t="n"/>
      <c r="CY91" s="5" t="n"/>
      <c r="CZ91" s="5" t="n"/>
      <c r="DA91" s="5" t="n"/>
      <c r="DB91" s="5" t="n"/>
      <c r="DC91" s="5" t="n"/>
      <c r="DD91" s="5" t="n"/>
      <c r="DE91" s="5" t="n"/>
      <c r="DF91" s="5" t="n"/>
      <c r="DG91" s="5" t="n"/>
      <c r="DH91" s="5" t="n"/>
      <c r="DI91" s="5" t="n"/>
      <c r="DJ91" s="5" t="n"/>
      <c r="DK91" s="5" t="n"/>
      <c r="DL91" s="5" t="n"/>
      <c r="DM91" s="5" t="n"/>
      <c r="DN91" s="5" t="n"/>
      <c r="DO91" s="5" t="n"/>
      <c r="DP91" s="5" t="n"/>
      <c r="DQ91" s="5" t="n"/>
      <c r="DR91" s="5" t="n"/>
      <c r="DS91" s="5" t="n"/>
      <c r="DT91" s="5" t="n"/>
      <c r="DU91" s="5" t="n"/>
      <c r="DV91" s="5" t="n"/>
      <c r="DW91" s="5" t="n"/>
      <c r="DX91" s="5" t="n"/>
      <c r="DY91" s="5" t="n"/>
      <c r="DZ91" s="5" t="n"/>
      <c r="EA91" s="5" t="n"/>
      <c r="EB91" s="5" t="n"/>
      <c r="EC91" s="5" t="n"/>
      <c r="ED91" s="5" t="n"/>
      <c r="EE91" s="5" t="n"/>
      <c r="EF91" s="5" t="n"/>
      <c r="EG91" s="5" t="n"/>
      <c r="EH91" s="5" t="n"/>
      <c r="EI91" s="5" t="n"/>
      <c r="EJ91" s="5" t="n"/>
      <c r="EK91" s="5" t="n"/>
      <c r="EL91" s="5" t="n"/>
    </row>
    <row r="92"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5" t="n"/>
      <c r="CG92" s="5" t="n"/>
      <c r="CH92" s="5" t="n"/>
      <c r="CI92" s="5" t="n"/>
      <c r="CJ92" s="5" t="n"/>
      <c r="CK92" s="5" t="n"/>
      <c r="CL92" s="5" t="n"/>
      <c r="CM92" s="5" t="n"/>
      <c r="CN92" s="5" t="n"/>
      <c r="CO92" s="5" t="n"/>
      <c r="CP92" s="5" t="n"/>
      <c r="CQ92" s="5" t="n"/>
      <c r="CR92" s="5" t="n"/>
      <c r="CS92" s="5" t="n"/>
      <c r="CT92" s="5" t="n"/>
      <c r="CU92" s="5" t="n"/>
      <c r="CV92" s="5" t="n"/>
      <c r="CW92" s="5" t="n"/>
      <c r="CX92" s="5" t="n"/>
      <c r="CY92" s="5" t="n"/>
      <c r="CZ92" s="5" t="n"/>
      <c r="DA92" s="5" t="n"/>
      <c r="DB92" s="5" t="n"/>
      <c r="DC92" s="5" t="n"/>
      <c r="DD92" s="5" t="n"/>
      <c r="DE92" s="5" t="n"/>
      <c r="DF92" s="5" t="n"/>
      <c r="DG92" s="5" t="n"/>
      <c r="DH92" s="5" t="n"/>
      <c r="DI92" s="5" t="n"/>
      <c r="DJ92" s="5" t="n"/>
      <c r="DK92" s="5" t="n"/>
      <c r="DL92" s="5" t="n"/>
      <c r="DM92" s="5" t="n"/>
      <c r="DN92" s="5" t="n"/>
      <c r="DO92" s="5" t="n"/>
      <c r="DP92" s="5" t="n"/>
      <c r="DQ92" s="5" t="n"/>
      <c r="DR92" s="5" t="n"/>
      <c r="DS92" s="5" t="n"/>
      <c r="DT92" s="5" t="n"/>
      <c r="DU92" s="5" t="n"/>
      <c r="DV92" s="5" t="n"/>
      <c r="DW92" s="5" t="n"/>
      <c r="DX92" s="5" t="n"/>
      <c r="DY92" s="5" t="n"/>
      <c r="DZ92" s="5" t="n"/>
      <c r="EA92" s="5" t="n"/>
      <c r="EB92" s="5" t="n"/>
      <c r="EC92" s="5" t="n"/>
      <c r="ED92" s="5" t="n"/>
      <c r="EE92" s="5" t="n"/>
      <c r="EF92" s="5" t="n"/>
      <c r="EG92" s="5" t="n"/>
      <c r="EH92" s="5" t="n"/>
      <c r="EI92" s="5" t="n"/>
      <c r="EJ92" s="5" t="n"/>
      <c r="EK92" s="5" t="n"/>
      <c r="EL92" s="5" t="n"/>
    </row>
    <row r="93"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5" t="n"/>
      <c r="CG93" s="5" t="n"/>
      <c r="CH93" s="5" t="n"/>
      <c r="CI93" s="5" t="n"/>
      <c r="CJ93" s="5" t="n"/>
      <c r="CK93" s="5" t="n"/>
      <c r="CL93" s="5" t="n"/>
      <c r="CM93" s="5" t="n"/>
      <c r="CN93" s="5" t="n"/>
      <c r="CO93" s="5" t="n"/>
      <c r="CP93" s="5" t="n"/>
      <c r="CQ93" s="5" t="n"/>
      <c r="CR93" s="5" t="n"/>
      <c r="CS93" s="5" t="n"/>
      <c r="CT93" s="5" t="n"/>
      <c r="CU93" s="5" t="n"/>
      <c r="CV93" s="5" t="n"/>
      <c r="CW93" s="5" t="n"/>
      <c r="CX93" s="5" t="n"/>
      <c r="CY93" s="5" t="n"/>
      <c r="CZ93" s="5" t="n"/>
      <c r="DA93" s="5" t="n"/>
      <c r="DB93" s="5" t="n"/>
      <c r="DC93" s="5" t="n"/>
      <c r="DD93" s="5" t="n"/>
      <c r="DE93" s="5" t="n"/>
      <c r="DF93" s="5" t="n"/>
      <c r="DG93" s="5" t="n"/>
      <c r="DH93" s="5" t="n"/>
      <c r="DI93" s="5" t="n"/>
      <c r="DJ93" s="5" t="n"/>
      <c r="DK93" s="5" t="n"/>
      <c r="DL93" s="5" t="n"/>
      <c r="DM93" s="5" t="n"/>
      <c r="DN93" s="5" t="n"/>
      <c r="DO93" s="5" t="n"/>
      <c r="DP93" s="5" t="n"/>
      <c r="DQ93" s="5" t="n"/>
      <c r="DR93" s="5" t="n"/>
      <c r="DS93" s="5" t="n"/>
      <c r="DT93" s="5" t="n"/>
      <c r="DU93" s="5" t="n"/>
      <c r="DV93" s="5" t="n"/>
      <c r="DW93" s="5" t="n"/>
      <c r="DX93" s="5" t="n"/>
      <c r="DY93" s="5" t="n"/>
      <c r="DZ93" s="5" t="n"/>
      <c r="EA93" s="5" t="n"/>
      <c r="EB93" s="5" t="n"/>
      <c r="EC93" s="5" t="n"/>
      <c r="ED93" s="5" t="n"/>
      <c r="EE93" s="5" t="n"/>
      <c r="EF93" s="5" t="n"/>
      <c r="EG93" s="5" t="n"/>
      <c r="EH93" s="5" t="n"/>
      <c r="EI93" s="5" t="n"/>
      <c r="EJ93" s="5" t="n"/>
      <c r="EK93" s="5" t="n"/>
      <c r="EL93" s="5" t="n"/>
    </row>
    <row r="94"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  <c r="CE94" s="5" t="n"/>
      <c r="CF94" s="5" t="n"/>
      <c r="CG94" s="5" t="n"/>
      <c r="CH94" s="5" t="n"/>
      <c r="CI94" s="5" t="n"/>
      <c r="CJ94" s="5" t="n"/>
      <c r="CK94" s="5" t="n"/>
      <c r="CL94" s="5" t="n"/>
      <c r="CM94" s="5" t="n"/>
      <c r="CN94" s="5" t="n"/>
      <c r="CO94" s="5" t="n"/>
      <c r="CP94" s="5" t="n"/>
      <c r="CQ94" s="5" t="n"/>
      <c r="CR94" s="5" t="n"/>
      <c r="CS94" s="5" t="n"/>
      <c r="CT94" s="5" t="n"/>
      <c r="CU94" s="5" t="n"/>
      <c r="CV94" s="5" t="n"/>
      <c r="CW94" s="5" t="n"/>
      <c r="CX94" s="5" t="n"/>
      <c r="CY94" s="5" t="n"/>
      <c r="CZ94" s="5" t="n"/>
      <c r="DA94" s="5" t="n"/>
      <c r="DB94" s="5" t="n"/>
      <c r="DC94" s="5" t="n"/>
      <c r="DD94" s="5" t="n"/>
      <c r="DE94" s="5" t="n"/>
      <c r="DF94" s="5" t="n"/>
      <c r="DG94" s="5" t="n"/>
      <c r="DH94" s="5" t="n"/>
      <c r="DI94" s="5" t="n"/>
      <c r="DJ94" s="5" t="n"/>
      <c r="DK94" s="5" t="n"/>
      <c r="DL94" s="5" t="n"/>
      <c r="DM94" s="5" t="n"/>
      <c r="DN94" s="5" t="n"/>
      <c r="DO94" s="5" t="n"/>
      <c r="DP94" s="5" t="n"/>
      <c r="DQ94" s="5" t="n"/>
      <c r="DR94" s="5" t="n"/>
      <c r="DS94" s="5" t="n"/>
      <c r="DT94" s="5" t="n"/>
      <c r="DU94" s="5" t="n"/>
      <c r="DV94" s="5" t="n"/>
      <c r="DW94" s="5" t="n"/>
      <c r="DX94" s="5" t="n"/>
      <c r="DY94" s="5" t="n"/>
      <c r="DZ94" s="5" t="n"/>
      <c r="EA94" s="5" t="n"/>
      <c r="EB94" s="5" t="n"/>
      <c r="EC94" s="5" t="n"/>
      <c r="ED94" s="5" t="n"/>
      <c r="EE94" s="5" t="n"/>
      <c r="EF94" s="5" t="n"/>
      <c r="EG94" s="5" t="n"/>
      <c r="EH94" s="5" t="n"/>
      <c r="EI94" s="5" t="n"/>
      <c r="EJ94" s="5" t="n"/>
      <c r="EK94" s="5" t="n"/>
      <c r="EL94" s="5" t="n"/>
    </row>
    <row r="95"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  <c r="CZ95" s="5" t="n"/>
      <c r="DA95" s="5" t="n"/>
      <c r="DB95" s="5" t="n"/>
      <c r="DC95" s="5" t="n"/>
      <c r="DD95" s="5" t="n"/>
      <c r="DE95" s="5" t="n"/>
      <c r="DF95" s="5" t="n"/>
      <c r="DG95" s="5" t="n"/>
      <c r="DH95" s="5" t="n"/>
      <c r="DI95" s="5" t="n"/>
      <c r="DJ95" s="5" t="n"/>
      <c r="DK95" s="5" t="n"/>
      <c r="DL95" s="5" t="n"/>
      <c r="DM95" s="5" t="n"/>
      <c r="DN95" s="5" t="n"/>
      <c r="DO95" s="5" t="n"/>
      <c r="DP95" s="5" t="n"/>
      <c r="DQ95" s="5" t="n"/>
      <c r="DR95" s="5" t="n"/>
      <c r="DS95" s="5" t="n"/>
      <c r="DT95" s="5" t="n"/>
      <c r="DU95" s="5" t="n"/>
      <c r="DV95" s="5" t="n"/>
      <c r="DW95" s="5" t="n"/>
      <c r="DX95" s="5" t="n"/>
      <c r="DY95" s="5" t="n"/>
      <c r="DZ95" s="5" t="n"/>
      <c r="EA95" s="5" t="n"/>
      <c r="EB95" s="5" t="n"/>
      <c r="EC95" s="5" t="n"/>
      <c r="ED95" s="5" t="n"/>
      <c r="EE95" s="5" t="n"/>
      <c r="EF95" s="5" t="n"/>
      <c r="EG95" s="5" t="n"/>
      <c r="EH95" s="5" t="n"/>
      <c r="EI95" s="5" t="n"/>
      <c r="EJ95" s="5" t="n"/>
      <c r="EK95" s="5" t="n"/>
      <c r="EL95" s="5" t="n"/>
    </row>
    <row r="96"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  <c r="CE96" s="5" t="n"/>
      <c r="CF96" s="5" t="n"/>
      <c r="CG96" s="5" t="n"/>
      <c r="CH96" s="5" t="n"/>
      <c r="CI96" s="5" t="n"/>
      <c r="CJ96" s="5" t="n"/>
      <c r="CK96" s="5" t="n"/>
      <c r="CL96" s="5" t="n"/>
      <c r="CM96" s="5" t="n"/>
      <c r="CN96" s="5" t="n"/>
      <c r="CO96" s="5" t="n"/>
      <c r="CP96" s="5" t="n"/>
      <c r="CQ96" s="5" t="n"/>
      <c r="CR96" s="5" t="n"/>
      <c r="CS96" s="5" t="n"/>
      <c r="CT96" s="5" t="n"/>
      <c r="CU96" s="5" t="n"/>
      <c r="CV96" s="5" t="n"/>
      <c r="CW96" s="5" t="n"/>
      <c r="CX96" s="5" t="n"/>
      <c r="CY96" s="5" t="n"/>
      <c r="CZ96" s="5" t="n"/>
      <c r="DA96" s="5" t="n"/>
      <c r="DB96" s="5" t="n"/>
      <c r="DC96" s="5" t="n"/>
      <c r="DD96" s="5" t="n"/>
      <c r="DE96" s="5" t="n"/>
      <c r="DF96" s="5" t="n"/>
      <c r="DG96" s="5" t="n"/>
      <c r="DH96" s="5" t="n"/>
      <c r="DI96" s="5" t="n"/>
      <c r="DJ96" s="5" t="n"/>
      <c r="DK96" s="5" t="n"/>
      <c r="DL96" s="5" t="n"/>
      <c r="DM96" s="5" t="n"/>
      <c r="DN96" s="5" t="n"/>
      <c r="DO96" s="5" t="n"/>
      <c r="DP96" s="5" t="n"/>
      <c r="DQ96" s="5" t="n"/>
      <c r="DR96" s="5" t="n"/>
      <c r="DS96" s="5" t="n"/>
      <c r="DT96" s="5" t="n"/>
      <c r="DU96" s="5" t="n"/>
      <c r="DV96" s="5" t="n"/>
      <c r="DW96" s="5" t="n"/>
      <c r="DX96" s="5" t="n"/>
      <c r="DY96" s="5" t="n"/>
      <c r="DZ96" s="5" t="n"/>
      <c r="EA96" s="5" t="n"/>
      <c r="EB96" s="5" t="n"/>
      <c r="EC96" s="5" t="n"/>
      <c r="ED96" s="5" t="n"/>
      <c r="EE96" s="5" t="n"/>
      <c r="EF96" s="5" t="n"/>
      <c r="EG96" s="5" t="n"/>
      <c r="EH96" s="5" t="n"/>
      <c r="EI96" s="5" t="n"/>
      <c r="EJ96" s="5" t="n"/>
      <c r="EK96" s="5" t="n"/>
      <c r="EL96" s="5" t="n"/>
    </row>
    <row r="97"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  <c r="CE97" s="5" t="n"/>
      <c r="CF97" s="5" t="n"/>
      <c r="CG97" s="5" t="n"/>
      <c r="CH97" s="5" t="n"/>
      <c r="CI97" s="5" t="n"/>
      <c r="CJ97" s="5" t="n"/>
      <c r="CK97" s="5" t="n"/>
      <c r="CL97" s="5" t="n"/>
      <c r="CM97" s="5" t="n"/>
      <c r="CN97" s="5" t="n"/>
      <c r="CO97" s="5" t="n"/>
      <c r="CP97" s="5" t="n"/>
      <c r="CQ97" s="5" t="n"/>
      <c r="CR97" s="5" t="n"/>
      <c r="CS97" s="5" t="n"/>
      <c r="CT97" s="5" t="n"/>
      <c r="CU97" s="5" t="n"/>
      <c r="CV97" s="5" t="n"/>
      <c r="CW97" s="5" t="n"/>
      <c r="CX97" s="5" t="n"/>
      <c r="CY97" s="5" t="n"/>
      <c r="CZ97" s="5" t="n"/>
      <c r="DA97" s="5" t="n"/>
      <c r="DB97" s="5" t="n"/>
      <c r="DC97" s="5" t="n"/>
      <c r="DD97" s="5" t="n"/>
      <c r="DE97" s="5" t="n"/>
      <c r="DF97" s="5" t="n"/>
      <c r="DG97" s="5" t="n"/>
      <c r="DH97" s="5" t="n"/>
      <c r="DI97" s="5" t="n"/>
      <c r="DJ97" s="5" t="n"/>
      <c r="DK97" s="5" t="n"/>
      <c r="DL97" s="5" t="n"/>
      <c r="DM97" s="5" t="n"/>
      <c r="DN97" s="5" t="n"/>
      <c r="DO97" s="5" t="n"/>
      <c r="DP97" s="5" t="n"/>
      <c r="DQ97" s="5" t="n"/>
      <c r="DR97" s="5" t="n"/>
      <c r="DS97" s="5" t="n"/>
      <c r="DT97" s="5" t="n"/>
      <c r="DU97" s="5" t="n"/>
      <c r="DV97" s="5" t="n"/>
      <c r="DW97" s="5" t="n"/>
      <c r="DX97" s="5" t="n"/>
      <c r="DY97" s="5" t="n"/>
      <c r="DZ97" s="5" t="n"/>
      <c r="EA97" s="5" t="n"/>
      <c r="EB97" s="5" t="n"/>
      <c r="EC97" s="5" t="n"/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</row>
    <row r="98"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  <c r="CE98" s="5" t="n"/>
      <c r="CF98" s="5" t="n"/>
      <c r="CG98" s="5" t="n"/>
      <c r="CH98" s="5" t="n"/>
      <c r="CI98" s="5" t="n"/>
      <c r="CJ98" s="5" t="n"/>
      <c r="CK98" s="5" t="n"/>
      <c r="CL98" s="5" t="n"/>
      <c r="CM98" s="5" t="n"/>
      <c r="CN98" s="5" t="n"/>
      <c r="CO98" s="5" t="n"/>
      <c r="CP98" s="5" t="n"/>
      <c r="CQ98" s="5" t="n"/>
      <c r="CR98" s="5" t="n"/>
      <c r="CS98" s="5" t="n"/>
      <c r="CT98" s="5" t="n"/>
      <c r="CU98" s="5" t="n"/>
      <c r="CV98" s="5" t="n"/>
      <c r="CW98" s="5" t="n"/>
      <c r="CX98" s="5" t="n"/>
      <c r="CY98" s="5" t="n"/>
      <c r="CZ98" s="5" t="n"/>
      <c r="DA98" s="5" t="n"/>
      <c r="DB98" s="5" t="n"/>
      <c r="DC98" s="5" t="n"/>
      <c r="DD98" s="5" t="n"/>
      <c r="DE98" s="5" t="n"/>
      <c r="DF98" s="5" t="n"/>
      <c r="DG98" s="5" t="n"/>
      <c r="DH98" s="5" t="n"/>
      <c r="DI98" s="5" t="n"/>
      <c r="DJ98" s="5" t="n"/>
      <c r="DK98" s="5" t="n"/>
      <c r="DL98" s="5" t="n"/>
      <c r="DM98" s="5" t="n"/>
      <c r="DN98" s="5" t="n"/>
      <c r="DO98" s="5" t="n"/>
      <c r="DP98" s="5" t="n"/>
      <c r="DQ98" s="5" t="n"/>
      <c r="DR98" s="5" t="n"/>
      <c r="DS98" s="5" t="n"/>
      <c r="DT98" s="5" t="n"/>
      <c r="DU98" s="5" t="n"/>
      <c r="DV98" s="5" t="n"/>
      <c r="DW98" s="5" t="n"/>
      <c r="DX98" s="5" t="n"/>
      <c r="DY98" s="5" t="n"/>
      <c r="DZ98" s="5" t="n"/>
      <c r="EA98" s="5" t="n"/>
      <c r="EB98" s="5" t="n"/>
      <c r="EC98" s="5" t="n"/>
      <c r="ED98" s="5" t="n"/>
      <c r="EE98" s="5" t="n"/>
      <c r="EF98" s="5" t="n"/>
      <c r="EG98" s="5" t="n"/>
      <c r="EH98" s="5" t="n"/>
      <c r="EI98" s="5" t="n"/>
      <c r="EJ98" s="5" t="n"/>
      <c r="EK98" s="5" t="n"/>
      <c r="EL98" s="5" t="n"/>
    </row>
    <row r="99"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  <c r="CE99" s="5" t="n"/>
      <c r="CF99" s="5" t="n"/>
      <c r="CG99" s="5" t="n"/>
      <c r="CH99" s="5" t="n"/>
      <c r="CI99" s="5" t="n"/>
      <c r="CJ99" s="5" t="n"/>
      <c r="CK99" s="5" t="n"/>
      <c r="CL99" s="5" t="n"/>
      <c r="CM99" s="5" t="n"/>
      <c r="CN99" s="5" t="n"/>
      <c r="CO99" s="5" t="n"/>
      <c r="CP99" s="5" t="n"/>
      <c r="CQ99" s="5" t="n"/>
      <c r="CR99" s="5" t="n"/>
      <c r="CS99" s="5" t="n"/>
      <c r="CT99" s="5" t="n"/>
      <c r="CU99" s="5" t="n"/>
      <c r="CV99" s="5" t="n"/>
      <c r="CW99" s="5" t="n"/>
      <c r="CX99" s="5" t="n"/>
      <c r="CY99" s="5" t="n"/>
      <c r="CZ99" s="5" t="n"/>
      <c r="DA99" s="5" t="n"/>
      <c r="DB99" s="5" t="n"/>
      <c r="DC99" s="5" t="n"/>
      <c r="DD99" s="5" t="n"/>
      <c r="DE99" s="5" t="n"/>
      <c r="DF99" s="5" t="n"/>
      <c r="DG99" s="5" t="n"/>
      <c r="DH99" s="5" t="n"/>
      <c r="DI99" s="5" t="n"/>
      <c r="DJ99" s="5" t="n"/>
      <c r="DK99" s="5" t="n"/>
      <c r="DL99" s="5" t="n"/>
      <c r="DM99" s="5" t="n"/>
      <c r="DN99" s="5" t="n"/>
      <c r="DO99" s="5" t="n"/>
      <c r="DP99" s="5" t="n"/>
      <c r="DQ99" s="5" t="n"/>
      <c r="DR99" s="5" t="n"/>
      <c r="DS99" s="5" t="n"/>
      <c r="DT99" s="5" t="n"/>
      <c r="DU99" s="5" t="n"/>
      <c r="DV99" s="5" t="n"/>
      <c r="DW99" s="5" t="n"/>
      <c r="DX99" s="5" t="n"/>
      <c r="DY99" s="5" t="n"/>
      <c r="DZ99" s="5" t="n"/>
      <c r="EA99" s="5" t="n"/>
      <c r="EB99" s="5" t="n"/>
      <c r="EC99" s="5" t="n"/>
      <c r="ED99" s="5" t="n"/>
      <c r="EE99" s="5" t="n"/>
      <c r="EF99" s="5" t="n"/>
      <c r="EG99" s="5" t="n"/>
      <c r="EH99" s="5" t="n"/>
      <c r="EI99" s="5" t="n"/>
      <c r="EJ99" s="5" t="n"/>
      <c r="EK99" s="5" t="n"/>
      <c r="EL99" s="5" t="n"/>
    </row>
    <row r="100"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  <c r="CE100" s="5" t="n"/>
      <c r="CF100" s="5" t="n"/>
      <c r="CG100" s="5" t="n"/>
      <c r="CH100" s="5" t="n"/>
      <c r="CI100" s="5" t="n"/>
      <c r="CJ100" s="5" t="n"/>
      <c r="CK100" s="5" t="n"/>
      <c r="CL100" s="5" t="n"/>
      <c r="CM100" s="5" t="n"/>
      <c r="CN100" s="5" t="n"/>
      <c r="CO100" s="5" t="n"/>
      <c r="CP100" s="5" t="n"/>
      <c r="CQ100" s="5" t="n"/>
      <c r="CR100" s="5" t="n"/>
      <c r="CS100" s="5" t="n"/>
      <c r="CT100" s="5" t="n"/>
      <c r="CU100" s="5" t="n"/>
      <c r="CV100" s="5" t="n"/>
      <c r="CW100" s="5" t="n"/>
      <c r="CX100" s="5" t="n"/>
      <c r="CY100" s="5" t="n"/>
      <c r="CZ100" s="5" t="n"/>
      <c r="DA100" s="5" t="n"/>
      <c r="DB100" s="5" t="n"/>
      <c r="DC100" s="5" t="n"/>
      <c r="DD100" s="5" t="n"/>
      <c r="DE100" s="5" t="n"/>
      <c r="DF100" s="5" t="n"/>
      <c r="DG100" s="5" t="n"/>
      <c r="DH100" s="5" t="n"/>
      <c r="DI100" s="5" t="n"/>
      <c r="DJ100" s="5" t="n"/>
      <c r="DK100" s="5" t="n"/>
      <c r="DL100" s="5" t="n"/>
      <c r="DM100" s="5" t="n"/>
      <c r="DN100" s="5" t="n"/>
      <c r="DO100" s="5" t="n"/>
      <c r="DP100" s="5" t="n"/>
      <c r="DQ100" s="5" t="n"/>
      <c r="DR100" s="5" t="n"/>
      <c r="DS100" s="5" t="n"/>
      <c r="DT100" s="5" t="n"/>
      <c r="DU100" s="5" t="n"/>
      <c r="DV100" s="5" t="n"/>
      <c r="DW100" s="5" t="n"/>
      <c r="DX100" s="5" t="n"/>
      <c r="DY100" s="5" t="n"/>
      <c r="DZ100" s="5" t="n"/>
      <c r="EA100" s="5" t="n"/>
      <c r="EB100" s="5" t="n"/>
      <c r="EC100" s="5" t="n"/>
      <c r="ED100" s="5" t="n"/>
      <c r="EE100" s="5" t="n"/>
      <c r="EF100" s="5" t="n"/>
      <c r="EG100" s="5" t="n"/>
      <c r="EH100" s="5" t="n"/>
      <c r="EI100" s="5" t="n"/>
      <c r="EJ100" s="5" t="n"/>
      <c r="EK100" s="5" t="n"/>
      <c r="EL100" s="5" t="n"/>
    </row>
    <row r="101"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  <c r="CZ101" s="5" t="n"/>
      <c r="DA101" s="5" t="n"/>
      <c r="DB101" s="5" t="n"/>
      <c r="DC101" s="5" t="n"/>
      <c r="DD101" s="5" t="n"/>
      <c r="DE101" s="5" t="n"/>
      <c r="DF101" s="5" t="n"/>
      <c r="DG101" s="5" t="n"/>
      <c r="DH101" s="5" t="n"/>
      <c r="DI101" s="5" t="n"/>
      <c r="DJ101" s="5" t="n"/>
      <c r="DK101" s="5" t="n"/>
      <c r="DL101" s="5" t="n"/>
      <c r="DM101" s="5" t="n"/>
      <c r="DN101" s="5" t="n"/>
      <c r="DO101" s="5" t="n"/>
      <c r="DP101" s="5" t="n"/>
      <c r="DQ101" s="5" t="n"/>
      <c r="DR101" s="5" t="n"/>
      <c r="DS101" s="5" t="n"/>
      <c r="DT101" s="5" t="n"/>
      <c r="DU101" s="5" t="n"/>
      <c r="DV101" s="5" t="n"/>
      <c r="DW101" s="5" t="n"/>
      <c r="DX101" s="5" t="n"/>
      <c r="DY101" s="5" t="n"/>
      <c r="DZ101" s="5" t="n"/>
      <c r="EA101" s="5" t="n"/>
      <c r="EB101" s="5" t="n"/>
      <c r="EC101" s="5" t="n"/>
      <c r="ED101" s="5" t="n"/>
      <c r="EE101" s="5" t="n"/>
      <c r="EF101" s="5" t="n"/>
      <c r="EG101" s="5" t="n"/>
      <c r="EH101" s="5" t="n"/>
      <c r="EI101" s="5" t="n"/>
      <c r="EJ101" s="5" t="n"/>
      <c r="EK101" s="5" t="n"/>
      <c r="EL101" s="5" t="n"/>
    </row>
    <row r="102"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5" t="n"/>
      <c r="CM102" s="5" t="n"/>
      <c r="CN102" s="5" t="n"/>
      <c r="CO102" s="5" t="n"/>
      <c r="CP102" s="5" t="n"/>
      <c r="CQ102" s="5" t="n"/>
      <c r="CR102" s="5" t="n"/>
      <c r="CS102" s="5" t="n"/>
      <c r="CT102" s="5" t="n"/>
      <c r="CU102" s="5" t="n"/>
      <c r="CV102" s="5" t="n"/>
      <c r="CW102" s="5" t="n"/>
      <c r="CX102" s="5" t="n"/>
      <c r="CY102" s="5" t="n"/>
      <c r="CZ102" s="5" t="n"/>
      <c r="DA102" s="5" t="n"/>
      <c r="DB102" s="5" t="n"/>
      <c r="DC102" s="5" t="n"/>
      <c r="DD102" s="5" t="n"/>
      <c r="DE102" s="5" t="n"/>
      <c r="DF102" s="5" t="n"/>
      <c r="DG102" s="5" t="n"/>
      <c r="DH102" s="5" t="n"/>
      <c r="DI102" s="5" t="n"/>
      <c r="DJ102" s="5" t="n"/>
      <c r="DK102" s="5" t="n"/>
      <c r="DL102" s="5" t="n"/>
      <c r="DM102" s="5" t="n"/>
      <c r="DN102" s="5" t="n"/>
      <c r="DO102" s="5" t="n"/>
      <c r="DP102" s="5" t="n"/>
      <c r="DQ102" s="5" t="n"/>
      <c r="DR102" s="5" t="n"/>
      <c r="DS102" s="5" t="n"/>
      <c r="DT102" s="5" t="n"/>
      <c r="DU102" s="5" t="n"/>
      <c r="DV102" s="5" t="n"/>
      <c r="DW102" s="5" t="n"/>
      <c r="DX102" s="5" t="n"/>
      <c r="DY102" s="5" t="n"/>
      <c r="DZ102" s="5" t="n"/>
      <c r="EA102" s="5" t="n"/>
      <c r="EB102" s="5" t="n"/>
      <c r="EC102" s="5" t="n"/>
      <c r="ED102" s="5" t="n"/>
      <c r="EE102" s="5" t="n"/>
      <c r="EF102" s="5" t="n"/>
      <c r="EG102" s="5" t="n"/>
      <c r="EH102" s="5" t="n"/>
      <c r="EI102" s="5" t="n"/>
      <c r="EJ102" s="5" t="n"/>
      <c r="EK102" s="5" t="n"/>
      <c r="EL102" s="5" t="n"/>
    </row>
    <row r="103"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  <c r="CE103" s="5" t="n"/>
      <c r="CF103" s="5" t="n"/>
      <c r="CG103" s="5" t="n"/>
      <c r="CH103" s="5" t="n"/>
      <c r="CI103" s="5" t="n"/>
      <c r="CJ103" s="5" t="n"/>
      <c r="CK103" s="5" t="n"/>
      <c r="CL103" s="5" t="n"/>
      <c r="CM103" s="5" t="n"/>
      <c r="CN103" s="5" t="n"/>
      <c r="CO103" s="5" t="n"/>
      <c r="CP103" s="5" t="n"/>
      <c r="CQ103" s="5" t="n"/>
      <c r="CR103" s="5" t="n"/>
      <c r="CS103" s="5" t="n"/>
      <c r="CT103" s="5" t="n"/>
      <c r="CU103" s="5" t="n"/>
      <c r="CV103" s="5" t="n"/>
      <c r="CW103" s="5" t="n"/>
      <c r="CX103" s="5" t="n"/>
      <c r="CY103" s="5" t="n"/>
      <c r="CZ103" s="5" t="n"/>
      <c r="DA103" s="5" t="n"/>
      <c r="DB103" s="5" t="n"/>
      <c r="DC103" s="5" t="n"/>
      <c r="DD103" s="5" t="n"/>
      <c r="DE103" s="5" t="n"/>
      <c r="DF103" s="5" t="n"/>
      <c r="DG103" s="5" t="n"/>
      <c r="DH103" s="5" t="n"/>
      <c r="DI103" s="5" t="n"/>
      <c r="DJ103" s="5" t="n"/>
      <c r="DK103" s="5" t="n"/>
      <c r="DL103" s="5" t="n"/>
      <c r="DM103" s="5" t="n"/>
      <c r="DN103" s="5" t="n"/>
      <c r="DO103" s="5" t="n"/>
      <c r="DP103" s="5" t="n"/>
      <c r="DQ103" s="5" t="n"/>
      <c r="DR103" s="5" t="n"/>
      <c r="DS103" s="5" t="n"/>
      <c r="DT103" s="5" t="n"/>
      <c r="DU103" s="5" t="n"/>
      <c r="DV103" s="5" t="n"/>
      <c r="DW103" s="5" t="n"/>
      <c r="DX103" s="5" t="n"/>
      <c r="DY103" s="5" t="n"/>
      <c r="DZ103" s="5" t="n"/>
      <c r="EA103" s="5" t="n"/>
      <c r="EB103" s="5" t="n"/>
      <c r="EC103" s="5" t="n"/>
      <c r="ED103" s="5" t="n"/>
      <c r="EE103" s="5" t="n"/>
      <c r="EF103" s="5" t="n"/>
      <c r="EG103" s="5" t="n"/>
      <c r="EH103" s="5" t="n"/>
      <c r="EI103" s="5" t="n"/>
      <c r="EJ103" s="5" t="n"/>
      <c r="EK103" s="5" t="n"/>
      <c r="EL103" s="5" t="n"/>
    </row>
    <row r="104"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  <c r="CE104" s="5" t="n"/>
      <c r="CF104" s="5" t="n"/>
      <c r="CG104" s="5" t="n"/>
      <c r="CH104" s="5" t="n"/>
      <c r="CI104" s="5" t="n"/>
      <c r="CJ104" s="5" t="n"/>
      <c r="CK104" s="5" t="n"/>
      <c r="CL104" s="5" t="n"/>
      <c r="CM104" s="5" t="n"/>
      <c r="CN104" s="5" t="n"/>
      <c r="CO104" s="5" t="n"/>
      <c r="CP104" s="5" t="n"/>
      <c r="CQ104" s="5" t="n"/>
      <c r="CR104" s="5" t="n"/>
      <c r="CS104" s="5" t="n"/>
      <c r="CT104" s="5" t="n"/>
      <c r="CU104" s="5" t="n"/>
      <c r="CV104" s="5" t="n"/>
      <c r="CW104" s="5" t="n"/>
      <c r="CX104" s="5" t="n"/>
      <c r="CY104" s="5" t="n"/>
      <c r="CZ104" s="5" t="n"/>
      <c r="DA104" s="5" t="n"/>
      <c r="DB104" s="5" t="n"/>
      <c r="DC104" s="5" t="n"/>
      <c r="DD104" s="5" t="n"/>
      <c r="DE104" s="5" t="n"/>
      <c r="DF104" s="5" t="n"/>
      <c r="DG104" s="5" t="n"/>
      <c r="DH104" s="5" t="n"/>
      <c r="DI104" s="5" t="n"/>
      <c r="DJ104" s="5" t="n"/>
      <c r="DK104" s="5" t="n"/>
      <c r="DL104" s="5" t="n"/>
      <c r="DM104" s="5" t="n"/>
      <c r="DN104" s="5" t="n"/>
      <c r="DO104" s="5" t="n"/>
      <c r="DP104" s="5" t="n"/>
      <c r="DQ104" s="5" t="n"/>
      <c r="DR104" s="5" t="n"/>
      <c r="DS104" s="5" t="n"/>
      <c r="DT104" s="5" t="n"/>
      <c r="DU104" s="5" t="n"/>
      <c r="DV104" s="5" t="n"/>
      <c r="DW104" s="5" t="n"/>
      <c r="DX104" s="5" t="n"/>
      <c r="DY104" s="5" t="n"/>
      <c r="DZ104" s="5" t="n"/>
      <c r="EA104" s="5" t="n"/>
      <c r="EB104" s="5" t="n"/>
      <c r="EC104" s="5" t="n"/>
      <c r="ED104" s="5" t="n"/>
      <c r="EE104" s="5" t="n"/>
      <c r="EF104" s="5" t="n"/>
      <c r="EG104" s="5" t="n"/>
      <c r="EH104" s="5" t="n"/>
      <c r="EI104" s="5" t="n"/>
      <c r="EJ104" s="5" t="n"/>
      <c r="EK104" s="5" t="n"/>
      <c r="EL104" s="5" t="n"/>
    </row>
    <row r="105"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  <c r="CE105" s="5" t="n"/>
      <c r="CF105" s="5" t="n"/>
      <c r="CG105" s="5" t="n"/>
      <c r="CH105" s="5" t="n"/>
      <c r="CI105" s="5" t="n"/>
      <c r="CJ105" s="5" t="n"/>
      <c r="CK105" s="5" t="n"/>
      <c r="CL105" s="5" t="n"/>
      <c r="CM105" s="5" t="n"/>
      <c r="CN105" s="5" t="n"/>
      <c r="CO105" s="5" t="n"/>
      <c r="CP105" s="5" t="n"/>
      <c r="CQ105" s="5" t="n"/>
      <c r="CR105" s="5" t="n"/>
      <c r="CS105" s="5" t="n"/>
      <c r="CT105" s="5" t="n"/>
      <c r="CU105" s="5" t="n"/>
      <c r="CV105" s="5" t="n"/>
      <c r="CW105" s="5" t="n"/>
      <c r="CX105" s="5" t="n"/>
      <c r="CY105" s="5" t="n"/>
      <c r="CZ105" s="5" t="n"/>
      <c r="DA105" s="5" t="n"/>
      <c r="DB105" s="5" t="n"/>
      <c r="DC105" s="5" t="n"/>
      <c r="DD105" s="5" t="n"/>
      <c r="DE105" s="5" t="n"/>
      <c r="DF105" s="5" t="n"/>
      <c r="DG105" s="5" t="n"/>
      <c r="DH105" s="5" t="n"/>
      <c r="DI105" s="5" t="n"/>
      <c r="DJ105" s="5" t="n"/>
      <c r="DK105" s="5" t="n"/>
      <c r="DL105" s="5" t="n"/>
      <c r="DM105" s="5" t="n"/>
      <c r="DN105" s="5" t="n"/>
      <c r="DO105" s="5" t="n"/>
      <c r="DP105" s="5" t="n"/>
      <c r="DQ105" s="5" t="n"/>
      <c r="DR105" s="5" t="n"/>
      <c r="DS105" s="5" t="n"/>
      <c r="DT105" s="5" t="n"/>
      <c r="DU105" s="5" t="n"/>
      <c r="DV105" s="5" t="n"/>
      <c r="DW105" s="5" t="n"/>
      <c r="DX105" s="5" t="n"/>
      <c r="DY105" s="5" t="n"/>
      <c r="DZ105" s="5" t="n"/>
      <c r="EA105" s="5" t="n"/>
      <c r="EB105" s="5" t="n"/>
      <c r="EC105" s="5" t="n"/>
      <c r="ED105" s="5" t="n"/>
      <c r="EE105" s="5" t="n"/>
      <c r="EF105" s="5" t="n"/>
      <c r="EG105" s="5" t="n"/>
      <c r="EH105" s="5" t="n"/>
      <c r="EI105" s="5" t="n"/>
      <c r="EJ105" s="5" t="n"/>
      <c r="EK105" s="5" t="n"/>
      <c r="EL105" s="5" t="n"/>
    </row>
    <row r="106"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  <c r="CE106" s="5" t="n"/>
      <c r="CF106" s="5" t="n"/>
      <c r="CG106" s="5" t="n"/>
      <c r="CH106" s="5" t="n"/>
      <c r="CI106" s="5" t="n"/>
      <c r="CJ106" s="5" t="n"/>
      <c r="CK106" s="5" t="n"/>
      <c r="CL106" s="5" t="n"/>
      <c r="CM106" s="5" t="n"/>
      <c r="CN106" s="5" t="n"/>
      <c r="CO106" s="5" t="n"/>
      <c r="CP106" s="5" t="n"/>
      <c r="CQ106" s="5" t="n"/>
      <c r="CR106" s="5" t="n"/>
      <c r="CS106" s="5" t="n"/>
      <c r="CT106" s="5" t="n"/>
      <c r="CU106" s="5" t="n"/>
      <c r="CV106" s="5" t="n"/>
      <c r="CW106" s="5" t="n"/>
      <c r="CX106" s="5" t="n"/>
      <c r="CY106" s="5" t="n"/>
      <c r="CZ106" s="5" t="n"/>
      <c r="DA106" s="5" t="n"/>
      <c r="DB106" s="5" t="n"/>
      <c r="DC106" s="5" t="n"/>
      <c r="DD106" s="5" t="n"/>
      <c r="DE106" s="5" t="n"/>
      <c r="DF106" s="5" t="n"/>
      <c r="DG106" s="5" t="n"/>
      <c r="DH106" s="5" t="n"/>
      <c r="DI106" s="5" t="n"/>
      <c r="DJ106" s="5" t="n"/>
      <c r="DK106" s="5" t="n"/>
      <c r="DL106" s="5" t="n"/>
      <c r="DM106" s="5" t="n"/>
      <c r="DN106" s="5" t="n"/>
      <c r="DO106" s="5" t="n"/>
      <c r="DP106" s="5" t="n"/>
      <c r="DQ106" s="5" t="n"/>
      <c r="DR106" s="5" t="n"/>
      <c r="DS106" s="5" t="n"/>
      <c r="DT106" s="5" t="n"/>
      <c r="DU106" s="5" t="n"/>
      <c r="DV106" s="5" t="n"/>
      <c r="DW106" s="5" t="n"/>
      <c r="DX106" s="5" t="n"/>
      <c r="DY106" s="5" t="n"/>
      <c r="DZ106" s="5" t="n"/>
      <c r="EA106" s="5" t="n"/>
      <c r="EB106" s="5" t="n"/>
      <c r="EC106" s="5" t="n"/>
      <c r="ED106" s="5" t="n"/>
      <c r="EE106" s="5" t="n"/>
      <c r="EF106" s="5" t="n"/>
      <c r="EG106" s="5" t="n"/>
      <c r="EH106" s="5" t="n"/>
      <c r="EI106" s="5" t="n"/>
      <c r="EJ106" s="5" t="n"/>
      <c r="EK106" s="5" t="n"/>
      <c r="EL106" s="5" t="n"/>
    </row>
    <row r="107"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  <c r="CZ107" s="5" t="n"/>
      <c r="DA107" s="5" t="n"/>
      <c r="DB107" s="5" t="n"/>
      <c r="DC107" s="5" t="n"/>
      <c r="DD107" s="5" t="n"/>
      <c r="DE107" s="5" t="n"/>
      <c r="DF107" s="5" t="n"/>
      <c r="DG107" s="5" t="n"/>
      <c r="DH107" s="5" t="n"/>
      <c r="DI107" s="5" t="n"/>
      <c r="DJ107" s="5" t="n"/>
      <c r="DK107" s="5" t="n"/>
      <c r="DL107" s="5" t="n"/>
      <c r="DM107" s="5" t="n"/>
      <c r="DN107" s="5" t="n"/>
      <c r="DO107" s="5" t="n"/>
      <c r="DP107" s="5" t="n"/>
      <c r="DQ107" s="5" t="n"/>
      <c r="DR107" s="5" t="n"/>
      <c r="DS107" s="5" t="n"/>
      <c r="DT107" s="5" t="n"/>
      <c r="DU107" s="5" t="n"/>
      <c r="DV107" s="5" t="n"/>
      <c r="DW107" s="5" t="n"/>
      <c r="DX107" s="5" t="n"/>
      <c r="DY107" s="5" t="n"/>
      <c r="DZ107" s="5" t="n"/>
      <c r="EA107" s="5" t="n"/>
      <c r="EB107" s="5" t="n"/>
      <c r="EC107" s="5" t="n"/>
      <c r="ED107" s="5" t="n"/>
      <c r="EE107" s="5" t="n"/>
      <c r="EF107" s="5" t="n"/>
      <c r="EG107" s="5" t="n"/>
      <c r="EH107" s="5" t="n"/>
      <c r="EI107" s="5" t="n"/>
      <c r="EJ107" s="5" t="n"/>
      <c r="EK107" s="5" t="n"/>
      <c r="EL107" s="5" t="n"/>
    </row>
    <row r="108"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  <c r="CE108" s="5" t="n"/>
      <c r="CF108" s="5" t="n"/>
      <c r="CG108" s="5" t="n"/>
      <c r="CH108" s="5" t="n"/>
      <c r="CI108" s="5" t="n"/>
      <c r="CJ108" s="5" t="n"/>
      <c r="CK108" s="5" t="n"/>
      <c r="CL108" s="5" t="n"/>
      <c r="CM108" s="5" t="n"/>
      <c r="CN108" s="5" t="n"/>
      <c r="CO108" s="5" t="n"/>
      <c r="CP108" s="5" t="n"/>
      <c r="CQ108" s="5" t="n"/>
      <c r="CR108" s="5" t="n"/>
      <c r="CS108" s="5" t="n"/>
      <c r="CT108" s="5" t="n"/>
      <c r="CU108" s="5" t="n"/>
      <c r="CV108" s="5" t="n"/>
      <c r="CW108" s="5" t="n"/>
      <c r="CX108" s="5" t="n"/>
      <c r="CY108" s="5" t="n"/>
      <c r="CZ108" s="5" t="n"/>
      <c r="DA108" s="5" t="n"/>
      <c r="DB108" s="5" t="n"/>
      <c r="DC108" s="5" t="n"/>
      <c r="DD108" s="5" t="n"/>
      <c r="DE108" s="5" t="n"/>
      <c r="DF108" s="5" t="n"/>
      <c r="DG108" s="5" t="n"/>
      <c r="DH108" s="5" t="n"/>
      <c r="DI108" s="5" t="n"/>
      <c r="DJ108" s="5" t="n"/>
      <c r="DK108" s="5" t="n"/>
      <c r="DL108" s="5" t="n"/>
      <c r="DM108" s="5" t="n"/>
      <c r="DN108" s="5" t="n"/>
      <c r="DO108" s="5" t="n"/>
      <c r="DP108" s="5" t="n"/>
      <c r="DQ108" s="5" t="n"/>
      <c r="DR108" s="5" t="n"/>
      <c r="DS108" s="5" t="n"/>
      <c r="DT108" s="5" t="n"/>
      <c r="DU108" s="5" t="n"/>
      <c r="DV108" s="5" t="n"/>
      <c r="DW108" s="5" t="n"/>
      <c r="DX108" s="5" t="n"/>
      <c r="DY108" s="5" t="n"/>
      <c r="DZ108" s="5" t="n"/>
      <c r="EA108" s="5" t="n"/>
      <c r="EB108" s="5" t="n"/>
      <c r="EC108" s="5" t="n"/>
      <c r="ED108" s="5" t="n"/>
      <c r="EE108" s="5" t="n"/>
      <c r="EF108" s="5" t="n"/>
      <c r="EG108" s="5" t="n"/>
      <c r="EH108" s="5" t="n"/>
      <c r="EI108" s="5" t="n"/>
      <c r="EJ108" s="5" t="n"/>
      <c r="EK108" s="5" t="n"/>
      <c r="EL108" s="5" t="n"/>
    </row>
    <row r="109"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  <c r="CE109" s="5" t="n"/>
      <c r="CF109" s="5" t="n"/>
      <c r="CG109" s="5" t="n"/>
      <c r="CH109" s="5" t="n"/>
      <c r="CI109" s="5" t="n"/>
      <c r="CJ109" s="5" t="n"/>
      <c r="CK109" s="5" t="n"/>
      <c r="CL109" s="5" t="n"/>
      <c r="CM109" s="5" t="n"/>
      <c r="CN109" s="5" t="n"/>
      <c r="CO109" s="5" t="n"/>
      <c r="CP109" s="5" t="n"/>
      <c r="CQ109" s="5" t="n"/>
      <c r="CR109" s="5" t="n"/>
      <c r="CS109" s="5" t="n"/>
      <c r="CT109" s="5" t="n"/>
      <c r="CU109" s="5" t="n"/>
      <c r="CV109" s="5" t="n"/>
      <c r="CW109" s="5" t="n"/>
      <c r="CX109" s="5" t="n"/>
      <c r="CY109" s="5" t="n"/>
      <c r="CZ109" s="5" t="n"/>
      <c r="DA109" s="5" t="n"/>
      <c r="DB109" s="5" t="n"/>
      <c r="DC109" s="5" t="n"/>
      <c r="DD109" s="5" t="n"/>
      <c r="DE109" s="5" t="n"/>
      <c r="DF109" s="5" t="n"/>
      <c r="DG109" s="5" t="n"/>
      <c r="DH109" s="5" t="n"/>
      <c r="DI109" s="5" t="n"/>
      <c r="DJ109" s="5" t="n"/>
      <c r="DK109" s="5" t="n"/>
      <c r="DL109" s="5" t="n"/>
      <c r="DM109" s="5" t="n"/>
      <c r="DN109" s="5" t="n"/>
      <c r="DO109" s="5" t="n"/>
      <c r="DP109" s="5" t="n"/>
      <c r="DQ109" s="5" t="n"/>
      <c r="DR109" s="5" t="n"/>
      <c r="DS109" s="5" t="n"/>
      <c r="DT109" s="5" t="n"/>
      <c r="DU109" s="5" t="n"/>
      <c r="DV109" s="5" t="n"/>
      <c r="DW109" s="5" t="n"/>
      <c r="DX109" s="5" t="n"/>
      <c r="DY109" s="5" t="n"/>
      <c r="DZ109" s="5" t="n"/>
      <c r="EA109" s="5" t="n"/>
      <c r="EB109" s="5" t="n"/>
      <c r="EC109" s="5" t="n"/>
      <c r="ED109" s="5" t="n"/>
      <c r="EE109" s="5" t="n"/>
      <c r="EF109" s="5" t="n"/>
      <c r="EG109" s="5" t="n"/>
      <c r="EH109" s="5" t="n"/>
      <c r="EI109" s="5" t="n"/>
      <c r="EJ109" s="5" t="n"/>
      <c r="EK109" s="5" t="n"/>
      <c r="EL109" s="5" t="n"/>
    </row>
    <row r="110"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  <c r="CE110" s="5" t="n"/>
      <c r="CF110" s="5" t="n"/>
      <c r="CG110" s="5" t="n"/>
      <c r="CH110" s="5" t="n"/>
      <c r="CI110" s="5" t="n"/>
      <c r="CJ110" s="5" t="n"/>
      <c r="CK110" s="5" t="n"/>
      <c r="CL110" s="5" t="n"/>
      <c r="CM110" s="5" t="n"/>
      <c r="CN110" s="5" t="n"/>
      <c r="CO110" s="5" t="n"/>
      <c r="CP110" s="5" t="n"/>
      <c r="CQ110" s="5" t="n"/>
      <c r="CR110" s="5" t="n"/>
      <c r="CS110" s="5" t="n"/>
      <c r="CT110" s="5" t="n"/>
      <c r="CU110" s="5" t="n"/>
      <c r="CV110" s="5" t="n"/>
      <c r="CW110" s="5" t="n"/>
      <c r="CX110" s="5" t="n"/>
      <c r="CY110" s="5" t="n"/>
      <c r="CZ110" s="5" t="n"/>
      <c r="DA110" s="5" t="n"/>
      <c r="DB110" s="5" t="n"/>
      <c r="DC110" s="5" t="n"/>
      <c r="DD110" s="5" t="n"/>
      <c r="DE110" s="5" t="n"/>
      <c r="DF110" s="5" t="n"/>
      <c r="DG110" s="5" t="n"/>
      <c r="DH110" s="5" t="n"/>
      <c r="DI110" s="5" t="n"/>
      <c r="DJ110" s="5" t="n"/>
      <c r="DK110" s="5" t="n"/>
      <c r="DL110" s="5" t="n"/>
      <c r="DM110" s="5" t="n"/>
      <c r="DN110" s="5" t="n"/>
      <c r="DO110" s="5" t="n"/>
      <c r="DP110" s="5" t="n"/>
      <c r="DQ110" s="5" t="n"/>
      <c r="DR110" s="5" t="n"/>
      <c r="DS110" s="5" t="n"/>
      <c r="DT110" s="5" t="n"/>
      <c r="DU110" s="5" t="n"/>
      <c r="DV110" s="5" t="n"/>
      <c r="DW110" s="5" t="n"/>
      <c r="DX110" s="5" t="n"/>
      <c r="DY110" s="5" t="n"/>
      <c r="DZ110" s="5" t="n"/>
      <c r="EA110" s="5" t="n"/>
      <c r="EB110" s="5" t="n"/>
      <c r="EC110" s="5" t="n"/>
      <c r="ED110" s="5" t="n"/>
      <c r="EE110" s="5" t="n"/>
      <c r="EF110" s="5" t="n"/>
      <c r="EG110" s="5" t="n"/>
      <c r="EH110" s="5" t="n"/>
      <c r="EI110" s="5" t="n"/>
      <c r="EJ110" s="5" t="n"/>
      <c r="EK110" s="5" t="n"/>
      <c r="EL110" s="5" t="n"/>
    </row>
    <row r="111"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  <c r="CE111" s="5" t="n"/>
      <c r="CF111" s="5" t="n"/>
      <c r="CG111" s="5" t="n"/>
      <c r="CH111" s="5" t="n"/>
      <c r="CI111" s="5" t="n"/>
      <c r="CJ111" s="5" t="n"/>
      <c r="CK111" s="5" t="n"/>
      <c r="CL111" s="5" t="n"/>
      <c r="CM111" s="5" t="n"/>
      <c r="CN111" s="5" t="n"/>
      <c r="CO111" s="5" t="n"/>
      <c r="CP111" s="5" t="n"/>
      <c r="CQ111" s="5" t="n"/>
      <c r="CR111" s="5" t="n"/>
      <c r="CS111" s="5" t="n"/>
      <c r="CT111" s="5" t="n"/>
      <c r="CU111" s="5" t="n"/>
      <c r="CV111" s="5" t="n"/>
      <c r="CW111" s="5" t="n"/>
      <c r="CX111" s="5" t="n"/>
      <c r="CY111" s="5" t="n"/>
      <c r="CZ111" s="5" t="n"/>
      <c r="DA111" s="5" t="n"/>
      <c r="DB111" s="5" t="n"/>
      <c r="DC111" s="5" t="n"/>
      <c r="DD111" s="5" t="n"/>
      <c r="DE111" s="5" t="n"/>
      <c r="DF111" s="5" t="n"/>
      <c r="DG111" s="5" t="n"/>
      <c r="DH111" s="5" t="n"/>
      <c r="DI111" s="5" t="n"/>
      <c r="DJ111" s="5" t="n"/>
      <c r="DK111" s="5" t="n"/>
      <c r="DL111" s="5" t="n"/>
      <c r="DM111" s="5" t="n"/>
      <c r="DN111" s="5" t="n"/>
      <c r="DO111" s="5" t="n"/>
      <c r="DP111" s="5" t="n"/>
      <c r="DQ111" s="5" t="n"/>
      <c r="DR111" s="5" t="n"/>
      <c r="DS111" s="5" t="n"/>
      <c r="DT111" s="5" t="n"/>
      <c r="DU111" s="5" t="n"/>
      <c r="DV111" s="5" t="n"/>
      <c r="DW111" s="5" t="n"/>
      <c r="DX111" s="5" t="n"/>
      <c r="DY111" s="5" t="n"/>
      <c r="DZ111" s="5" t="n"/>
      <c r="EA111" s="5" t="n"/>
      <c r="EB111" s="5" t="n"/>
      <c r="EC111" s="5" t="n"/>
      <c r="ED111" s="5" t="n"/>
      <c r="EE111" s="5" t="n"/>
      <c r="EF111" s="5" t="n"/>
      <c r="EG111" s="5" t="n"/>
      <c r="EH111" s="5" t="n"/>
      <c r="EI111" s="5" t="n"/>
      <c r="EJ111" s="5" t="n"/>
      <c r="EK111" s="5" t="n"/>
      <c r="EL111" s="5" t="n"/>
    </row>
    <row r="112"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  <c r="CE112" s="5" t="n"/>
      <c r="CF112" s="5" t="n"/>
      <c r="CG112" s="5" t="n"/>
      <c r="CH112" s="5" t="n"/>
      <c r="CI112" s="5" t="n"/>
      <c r="CJ112" s="5" t="n"/>
      <c r="CK112" s="5" t="n"/>
      <c r="CL112" s="5" t="n"/>
      <c r="CM112" s="5" t="n"/>
      <c r="CN112" s="5" t="n"/>
      <c r="CO112" s="5" t="n"/>
      <c r="CP112" s="5" t="n"/>
      <c r="CQ112" s="5" t="n"/>
      <c r="CR112" s="5" t="n"/>
      <c r="CS112" s="5" t="n"/>
      <c r="CT112" s="5" t="n"/>
      <c r="CU112" s="5" t="n"/>
      <c r="CV112" s="5" t="n"/>
      <c r="CW112" s="5" t="n"/>
      <c r="CX112" s="5" t="n"/>
      <c r="CY112" s="5" t="n"/>
      <c r="CZ112" s="5" t="n"/>
      <c r="DA112" s="5" t="n"/>
      <c r="DB112" s="5" t="n"/>
      <c r="DC112" s="5" t="n"/>
      <c r="DD112" s="5" t="n"/>
      <c r="DE112" s="5" t="n"/>
      <c r="DF112" s="5" t="n"/>
      <c r="DG112" s="5" t="n"/>
      <c r="DH112" s="5" t="n"/>
      <c r="DI112" s="5" t="n"/>
      <c r="DJ112" s="5" t="n"/>
      <c r="DK112" s="5" t="n"/>
      <c r="DL112" s="5" t="n"/>
      <c r="DM112" s="5" t="n"/>
      <c r="DN112" s="5" t="n"/>
      <c r="DO112" s="5" t="n"/>
      <c r="DP112" s="5" t="n"/>
      <c r="DQ112" s="5" t="n"/>
      <c r="DR112" s="5" t="n"/>
      <c r="DS112" s="5" t="n"/>
      <c r="DT112" s="5" t="n"/>
      <c r="DU112" s="5" t="n"/>
      <c r="DV112" s="5" t="n"/>
      <c r="DW112" s="5" t="n"/>
      <c r="DX112" s="5" t="n"/>
      <c r="DY112" s="5" t="n"/>
      <c r="DZ112" s="5" t="n"/>
      <c r="EA112" s="5" t="n"/>
      <c r="EB112" s="5" t="n"/>
      <c r="EC112" s="5" t="n"/>
      <c r="ED112" s="5" t="n"/>
      <c r="EE112" s="5" t="n"/>
      <c r="EF112" s="5" t="n"/>
      <c r="EG112" s="5" t="n"/>
      <c r="EH112" s="5" t="n"/>
      <c r="EI112" s="5" t="n"/>
      <c r="EJ112" s="5" t="n"/>
      <c r="EK112" s="5" t="n"/>
      <c r="EL112" s="5" t="n"/>
    </row>
    <row r="113"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  <c r="CE113" s="5" t="n"/>
      <c r="CF113" s="5" t="n"/>
      <c r="CG113" s="5" t="n"/>
      <c r="CH113" s="5" t="n"/>
      <c r="CI113" s="5" t="n"/>
      <c r="CJ113" s="5" t="n"/>
      <c r="CK113" s="5" t="n"/>
      <c r="CL113" s="5" t="n"/>
      <c r="CM113" s="5" t="n"/>
      <c r="CN113" s="5" t="n"/>
      <c r="CO113" s="5" t="n"/>
      <c r="CP113" s="5" t="n"/>
      <c r="CQ113" s="5" t="n"/>
      <c r="CR113" s="5" t="n"/>
      <c r="CS113" s="5" t="n"/>
      <c r="CT113" s="5" t="n"/>
      <c r="CU113" s="5" t="n"/>
      <c r="CV113" s="5" t="n"/>
      <c r="CW113" s="5" t="n"/>
      <c r="CX113" s="5" t="n"/>
      <c r="CY113" s="5" t="n"/>
      <c r="CZ113" s="5" t="n"/>
      <c r="DA113" s="5" t="n"/>
      <c r="DB113" s="5" t="n"/>
      <c r="DC113" s="5" t="n"/>
      <c r="DD113" s="5" t="n"/>
      <c r="DE113" s="5" t="n"/>
      <c r="DF113" s="5" t="n"/>
      <c r="DG113" s="5" t="n"/>
      <c r="DH113" s="5" t="n"/>
      <c r="DI113" s="5" t="n"/>
      <c r="DJ113" s="5" t="n"/>
      <c r="DK113" s="5" t="n"/>
      <c r="DL113" s="5" t="n"/>
      <c r="DM113" s="5" t="n"/>
      <c r="DN113" s="5" t="n"/>
      <c r="DO113" s="5" t="n"/>
      <c r="DP113" s="5" t="n"/>
      <c r="DQ113" s="5" t="n"/>
      <c r="DR113" s="5" t="n"/>
      <c r="DS113" s="5" t="n"/>
      <c r="DT113" s="5" t="n"/>
      <c r="DU113" s="5" t="n"/>
      <c r="DV113" s="5" t="n"/>
      <c r="DW113" s="5" t="n"/>
      <c r="DX113" s="5" t="n"/>
      <c r="DY113" s="5" t="n"/>
      <c r="DZ113" s="5" t="n"/>
      <c r="EA113" s="5" t="n"/>
      <c r="EB113" s="5" t="n"/>
      <c r="EC113" s="5" t="n"/>
      <c r="ED113" s="5" t="n"/>
      <c r="EE113" s="5" t="n"/>
      <c r="EF113" s="5" t="n"/>
      <c r="EG113" s="5" t="n"/>
      <c r="EH113" s="5" t="n"/>
      <c r="EI113" s="5" t="n"/>
      <c r="EJ113" s="5" t="n"/>
      <c r="EK113" s="5" t="n"/>
      <c r="EL113" s="5" t="n"/>
    </row>
    <row r="114"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  <c r="CE114" s="5" t="n"/>
      <c r="CF114" s="5" t="n"/>
      <c r="CG114" s="5" t="n"/>
      <c r="CH114" s="5" t="n"/>
      <c r="CI114" s="5" t="n"/>
      <c r="CJ114" s="5" t="n"/>
      <c r="CK114" s="5" t="n"/>
      <c r="CL114" s="5" t="n"/>
      <c r="CM114" s="5" t="n"/>
      <c r="CN114" s="5" t="n"/>
      <c r="CO114" s="5" t="n"/>
      <c r="CP114" s="5" t="n"/>
      <c r="CQ114" s="5" t="n"/>
      <c r="CR114" s="5" t="n"/>
      <c r="CS114" s="5" t="n"/>
      <c r="CT114" s="5" t="n"/>
      <c r="CU114" s="5" t="n"/>
      <c r="CV114" s="5" t="n"/>
      <c r="CW114" s="5" t="n"/>
      <c r="CX114" s="5" t="n"/>
      <c r="CY114" s="5" t="n"/>
      <c r="CZ114" s="5" t="n"/>
      <c r="DA114" s="5" t="n"/>
      <c r="DB114" s="5" t="n"/>
      <c r="DC114" s="5" t="n"/>
      <c r="DD114" s="5" t="n"/>
      <c r="DE114" s="5" t="n"/>
      <c r="DF114" s="5" t="n"/>
      <c r="DG114" s="5" t="n"/>
      <c r="DH114" s="5" t="n"/>
      <c r="DI114" s="5" t="n"/>
      <c r="DJ114" s="5" t="n"/>
      <c r="DK114" s="5" t="n"/>
      <c r="DL114" s="5" t="n"/>
      <c r="DM114" s="5" t="n"/>
      <c r="DN114" s="5" t="n"/>
      <c r="DO114" s="5" t="n"/>
      <c r="DP114" s="5" t="n"/>
      <c r="DQ114" s="5" t="n"/>
      <c r="DR114" s="5" t="n"/>
      <c r="DS114" s="5" t="n"/>
      <c r="DT114" s="5" t="n"/>
      <c r="DU114" s="5" t="n"/>
      <c r="DV114" s="5" t="n"/>
      <c r="DW114" s="5" t="n"/>
      <c r="DX114" s="5" t="n"/>
      <c r="DY114" s="5" t="n"/>
      <c r="DZ114" s="5" t="n"/>
      <c r="EA114" s="5" t="n"/>
      <c r="EB114" s="5" t="n"/>
      <c r="EC114" s="5" t="n"/>
      <c r="ED114" s="5" t="n"/>
      <c r="EE114" s="5" t="n"/>
      <c r="EF114" s="5" t="n"/>
      <c r="EG114" s="5" t="n"/>
      <c r="EH114" s="5" t="n"/>
      <c r="EI114" s="5" t="n"/>
      <c r="EJ114" s="5" t="n"/>
      <c r="EK114" s="5" t="n"/>
      <c r="EL114" s="5" t="n"/>
    </row>
    <row r="115"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  <c r="CE115" s="5" t="n"/>
      <c r="CF115" s="5" t="n"/>
      <c r="CG115" s="5" t="n"/>
      <c r="CH115" s="5" t="n"/>
      <c r="CI115" s="5" t="n"/>
      <c r="CJ115" s="5" t="n"/>
      <c r="CK115" s="5" t="n"/>
      <c r="CL115" s="5" t="n"/>
      <c r="CM115" s="5" t="n"/>
      <c r="CN115" s="5" t="n"/>
      <c r="CO115" s="5" t="n"/>
      <c r="CP115" s="5" t="n"/>
      <c r="CQ115" s="5" t="n"/>
      <c r="CR115" s="5" t="n"/>
      <c r="CS115" s="5" t="n"/>
      <c r="CT115" s="5" t="n"/>
      <c r="CU115" s="5" t="n"/>
      <c r="CV115" s="5" t="n"/>
      <c r="CW115" s="5" t="n"/>
      <c r="CX115" s="5" t="n"/>
      <c r="CY115" s="5" t="n"/>
      <c r="CZ115" s="5" t="n"/>
      <c r="DA115" s="5" t="n"/>
      <c r="DB115" s="5" t="n"/>
      <c r="DC115" s="5" t="n"/>
      <c r="DD115" s="5" t="n"/>
      <c r="DE115" s="5" t="n"/>
      <c r="DF115" s="5" t="n"/>
      <c r="DG115" s="5" t="n"/>
      <c r="DH115" s="5" t="n"/>
      <c r="DI115" s="5" t="n"/>
      <c r="DJ115" s="5" t="n"/>
      <c r="DK115" s="5" t="n"/>
      <c r="DL115" s="5" t="n"/>
      <c r="DM115" s="5" t="n"/>
      <c r="DN115" s="5" t="n"/>
      <c r="DO115" s="5" t="n"/>
      <c r="DP115" s="5" t="n"/>
      <c r="DQ115" s="5" t="n"/>
      <c r="DR115" s="5" t="n"/>
      <c r="DS115" s="5" t="n"/>
      <c r="DT115" s="5" t="n"/>
      <c r="DU115" s="5" t="n"/>
      <c r="DV115" s="5" t="n"/>
      <c r="DW115" s="5" t="n"/>
      <c r="DX115" s="5" t="n"/>
      <c r="DY115" s="5" t="n"/>
      <c r="DZ115" s="5" t="n"/>
      <c r="EA115" s="5" t="n"/>
      <c r="EB115" s="5" t="n"/>
      <c r="EC115" s="5" t="n"/>
      <c r="ED115" s="5" t="n"/>
      <c r="EE115" s="5" t="n"/>
      <c r="EF115" s="5" t="n"/>
      <c r="EG115" s="5" t="n"/>
      <c r="EH115" s="5" t="n"/>
      <c r="EI115" s="5" t="n"/>
      <c r="EJ115" s="5" t="n"/>
      <c r="EK115" s="5" t="n"/>
      <c r="EL115" s="5" t="n"/>
    </row>
    <row r="116"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  <c r="CE116" s="5" t="n"/>
      <c r="CF116" s="5" t="n"/>
      <c r="CG116" s="5" t="n"/>
      <c r="CH116" s="5" t="n"/>
      <c r="CI116" s="5" t="n"/>
      <c r="CJ116" s="5" t="n"/>
      <c r="CK116" s="5" t="n"/>
      <c r="CL116" s="5" t="n"/>
      <c r="CM116" s="5" t="n"/>
      <c r="CN116" s="5" t="n"/>
      <c r="CO116" s="5" t="n"/>
      <c r="CP116" s="5" t="n"/>
      <c r="CQ116" s="5" t="n"/>
      <c r="CR116" s="5" t="n"/>
      <c r="CS116" s="5" t="n"/>
      <c r="CT116" s="5" t="n"/>
      <c r="CU116" s="5" t="n"/>
      <c r="CV116" s="5" t="n"/>
      <c r="CW116" s="5" t="n"/>
      <c r="CX116" s="5" t="n"/>
      <c r="CY116" s="5" t="n"/>
      <c r="CZ116" s="5" t="n"/>
      <c r="DA116" s="5" t="n"/>
      <c r="DB116" s="5" t="n"/>
      <c r="DC116" s="5" t="n"/>
      <c r="DD116" s="5" t="n"/>
      <c r="DE116" s="5" t="n"/>
      <c r="DF116" s="5" t="n"/>
      <c r="DG116" s="5" t="n"/>
      <c r="DH116" s="5" t="n"/>
      <c r="DI116" s="5" t="n"/>
      <c r="DJ116" s="5" t="n"/>
      <c r="DK116" s="5" t="n"/>
      <c r="DL116" s="5" t="n"/>
      <c r="DM116" s="5" t="n"/>
      <c r="DN116" s="5" t="n"/>
      <c r="DO116" s="5" t="n"/>
      <c r="DP116" s="5" t="n"/>
      <c r="DQ116" s="5" t="n"/>
      <c r="DR116" s="5" t="n"/>
      <c r="DS116" s="5" t="n"/>
      <c r="DT116" s="5" t="n"/>
      <c r="DU116" s="5" t="n"/>
      <c r="DV116" s="5" t="n"/>
      <c r="DW116" s="5" t="n"/>
      <c r="DX116" s="5" t="n"/>
      <c r="DY116" s="5" t="n"/>
      <c r="DZ116" s="5" t="n"/>
      <c r="EA116" s="5" t="n"/>
      <c r="EB116" s="5" t="n"/>
      <c r="EC116" s="5" t="n"/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</row>
    <row r="117"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  <c r="CZ117" s="5" t="n"/>
      <c r="DA117" s="5" t="n"/>
      <c r="DB117" s="5" t="n"/>
      <c r="DC117" s="5" t="n"/>
      <c r="DD117" s="5" t="n"/>
      <c r="DE117" s="5" t="n"/>
      <c r="DF117" s="5" t="n"/>
      <c r="DG117" s="5" t="n"/>
      <c r="DH117" s="5" t="n"/>
      <c r="DI117" s="5" t="n"/>
      <c r="DJ117" s="5" t="n"/>
      <c r="DK117" s="5" t="n"/>
      <c r="DL117" s="5" t="n"/>
      <c r="DM117" s="5" t="n"/>
      <c r="DN117" s="5" t="n"/>
      <c r="DO117" s="5" t="n"/>
      <c r="DP117" s="5" t="n"/>
      <c r="DQ117" s="5" t="n"/>
      <c r="DR117" s="5" t="n"/>
      <c r="DS117" s="5" t="n"/>
      <c r="DT117" s="5" t="n"/>
      <c r="DU117" s="5" t="n"/>
      <c r="DV117" s="5" t="n"/>
      <c r="DW117" s="5" t="n"/>
      <c r="DX117" s="5" t="n"/>
      <c r="DY117" s="5" t="n"/>
      <c r="DZ117" s="5" t="n"/>
      <c r="EA117" s="5" t="n"/>
      <c r="EB117" s="5" t="n"/>
      <c r="EC117" s="5" t="n"/>
      <c r="ED117" s="5" t="n"/>
      <c r="EE117" s="5" t="n"/>
      <c r="EF117" s="5" t="n"/>
      <c r="EG117" s="5" t="n"/>
      <c r="EH117" s="5" t="n"/>
      <c r="EI117" s="5" t="n"/>
      <c r="EJ117" s="5" t="n"/>
      <c r="EK117" s="5" t="n"/>
      <c r="EL117" s="5" t="n"/>
    </row>
    <row r="118"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  <c r="CE118" s="5" t="n"/>
      <c r="CF118" s="5" t="n"/>
      <c r="CG118" s="5" t="n"/>
      <c r="CH118" s="5" t="n"/>
      <c r="CI118" s="5" t="n"/>
      <c r="CJ118" s="5" t="n"/>
      <c r="CK118" s="5" t="n"/>
      <c r="CL118" s="5" t="n"/>
      <c r="CM118" s="5" t="n"/>
      <c r="CN118" s="5" t="n"/>
      <c r="CO118" s="5" t="n"/>
      <c r="CP118" s="5" t="n"/>
      <c r="CQ118" s="5" t="n"/>
      <c r="CR118" s="5" t="n"/>
      <c r="CS118" s="5" t="n"/>
      <c r="CT118" s="5" t="n"/>
      <c r="CU118" s="5" t="n"/>
      <c r="CV118" s="5" t="n"/>
      <c r="CW118" s="5" t="n"/>
      <c r="CX118" s="5" t="n"/>
      <c r="CY118" s="5" t="n"/>
      <c r="CZ118" s="5" t="n"/>
      <c r="DA118" s="5" t="n"/>
      <c r="DB118" s="5" t="n"/>
      <c r="DC118" s="5" t="n"/>
      <c r="DD118" s="5" t="n"/>
      <c r="DE118" s="5" t="n"/>
      <c r="DF118" s="5" t="n"/>
      <c r="DG118" s="5" t="n"/>
      <c r="DH118" s="5" t="n"/>
      <c r="DI118" s="5" t="n"/>
      <c r="DJ118" s="5" t="n"/>
      <c r="DK118" s="5" t="n"/>
      <c r="DL118" s="5" t="n"/>
      <c r="DM118" s="5" t="n"/>
      <c r="DN118" s="5" t="n"/>
      <c r="DO118" s="5" t="n"/>
      <c r="DP118" s="5" t="n"/>
      <c r="DQ118" s="5" t="n"/>
      <c r="DR118" s="5" t="n"/>
      <c r="DS118" s="5" t="n"/>
      <c r="DT118" s="5" t="n"/>
      <c r="DU118" s="5" t="n"/>
      <c r="DV118" s="5" t="n"/>
      <c r="DW118" s="5" t="n"/>
      <c r="DX118" s="5" t="n"/>
      <c r="DY118" s="5" t="n"/>
      <c r="DZ118" s="5" t="n"/>
      <c r="EA118" s="5" t="n"/>
      <c r="EB118" s="5" t="n"/>
      <c r="EC118" s="5" t="n"/>
      <c r="ED118" s="5" t="n"/>
      <c r="EE118" s="5" t="n"/>
      <c r="EF118" s="5" t="n"/>
      <c r="EG118" s="5" t="n"/>
      <c r="EH118" s="5" t="n"/>
      <c r="EI118" s="5" t="n"/>
      <c r="EJ118" s="5" t="n"/>
      <c r="EK118" s="5" t="n"/>
      <c r="EL118" s="5" t="n"/>
    </row>
    <row r="119"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  <c r="CE119" s="5" t="n"/>
      <c r="CF119" s="5" t="n"/>
      <c r="CG119" s="5" t="n"/>
      <c r="CH119" s="5" t="n"/>
      <c r="CI119" s="5" t="n"/>
      <c r="CJ119" s="5" t="n"/>
      <c r="CK119" s="5" t="n"/>
      <c r="CL119" s="5" t="n"/>
      <c r="CM119" s="5" t="n"/>
      <c r="CN119" s="5" t="n"/>
      <c r="CO119" s="5" t="n"/>
      <c r="CP119" s="5" t="n"/>
      <c r="CQ119" s="5" t="n"/>
      <c r="CR119" s="5" t="n"/>
      <c r="CS119" s="5" t="n"/>
      <c r="CT119" s="5" t="n"/>
      <c r="CU119" s="5" t="n"/>
      <c r="CV119" s="5" t="n"/>
      <c r="CW119" s="5" t="n"/>
      <c r="CX119" s="5" t="n"/>
      <c r="CY119" s="5" t="n"/>
      <c r="CZ119" s="5" t="n"/>
      <c r="DA119" s="5" t="n"/>
      <c r="DB119" s="5" t="n"/>
      <c r="DC119" s="5" t="n"/>
      <c r="DD119" s="5" t="n"/>
      <c r="DE119" s="5" t="n"/>
      <c r="DF119" s="5" t="n"/>
      <c r="DG119" s="5" t="n"/>
      <c r="DH119" s="5" t="n"/>
      <c r="DI119" s="5" t="n"/>
      <c r="DJ119" s="5" t="n"/>
      <c r="DK119" s="5" t="n"/>
      <c r="DL119" s="5" t="n"/>
      <c r="DM119" s="5" t="n"/>
      <c r="DN119" s="5" t="n"/>
      <c r="DO119" s="5" t="n"/>
      <c r="DP119" s="5" t="n"/>
      <c r="DQ119" s="5" t="n"/>
      <c r="DR119" s="5" t="n"/>
      <c r="DS119" s="5" t="n"/>
      <c r="DT119" s="5" t="n"/>
      <c r="DU119" s="5" t="n"/>
      <c r="DV119" s="5" t="n"/>
      <c r="DW119" s="5" t="n"/>
      <c r="DX119" s="5" t="n"/>
      <c r="DY119" s="5" t="n"/>
      <c r="DZ119" s="5" t="n"/>
      <c r="EA119" s="5" t="n"/>
      <c r="EB119" s="5" t="n"/>
      <c r="EC119" s="5" t="n"/>
      <c r="ED119" s="5" t="n"/>
      <c r="EE119" s="5" t="n"/>
      <c r="EF119" s="5" t="n"/>
      <c r="EG119" s="5" t="n"/>
      <c r="EH119" s="5" t="n"/>
      <c r="EI119" s="5" t="n"/>
      <c r="EJ119" s="5" t="n"/>
      <c r="EK119" s="5" t="n"/>
      <c r="EL119" s="5" t="n"/>
    </row>
    <row r="120"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  <c r="CE120" s="5" t="n"/>
      <c r="CF120" s="5" t="n"/>
      <c r="CG120" s="5" t="n"/>
      <c r="CH120" s="5" t="n"/>
      <c r="CI120" s="5" t="n"/>
      <c r="CJ120" s="5" t="n"/>
      <c r="CK120" s="5" t="n"/>
      <c r="CL120" s="5" t="n"/>
      <c r="CM120" s="5" t="n"/>
      <c r="CN120" s="5" t="n"/>
      <c r="CO120" s="5" t="n"/>
      <c r="CP120" s="5" t="n"/>
      <c r="CQ120" s="5" t="n"/>
      <c r="CR120" s="5" t="n"/>
      <c r="CS120" s="5" t="n"/>
      <c r="CT120" s="5" t="n"/>
      <c r="CU120" s="5" t="n"/>
      <c r="CV120" s="5" t="n"/>
      <c r="CW120" s="5" t="n"/>
      <c r="CX120" s="5" t="n"/>
      <c r="CY120" s="5" t="n"/>
      <c r="CZ120" s="5" t="n"/>
      <c r="DA120" s="5" t="n"/>
      <c r="DB120" s="5" t="n"/>
      <c r="DC120" s="5" t="n"/>
      <c r="DD120" s="5" t="n"/>
      <c r="DE120" s="5" t="n"/>
      <c r="DF120" s="5" t="n"/>
      <c r="DG120" s="5" t="n"/>
      <c r="DH120" s="5" t="n"/>
      <c r="DI120" s="5" t="n"/>
      <c r="DJ120" s="5" t="n"/>
      <c r="DK120" s="5" t="n"/>
      <c r="DL120" s="5" t="n"/>
      <c r="DM120" s="5" t="n"/>
      <c r="DN120" s="5" t="n"/>
      <c r="DO120" s="5" t="n"/>
      <c r="DP120" s="5" t="n"/>
      <c r="DQ120" s="5" t="n"/>
      <c r="DR120" s="5" t="n"/>
      <c r="DS120" s="5" t="n"/>
      <c r="DT120" s="5" t="n"/>
      <c r="DU120" s="5" t="n"/>
      <c r="DV120" s="5" t="n"/>
      <c r="DW120" s="5" t="n"/>
      <c r="DX120" s="5" t="n"/>
      <c r="DY120" s="5" t="n"/>
      <c r="DZ120" s="5" t="n"/>
      <c r="EA120" s="5" t="n"/>
      <c r="EB120" s="5" t="n"/>
      <c r="EC120" s="5" t="n"/>
      <c r="ED120" s="5" t="n"/>
      <c r="EE120" s="5" t="n"/>
      <c r="EF120" s="5" t="n"/>
      <c r="EG120" s="5" t="n"/>
      <c r="EH120" s="5" t="n"/>
      <c r="EI120" s="5" t="n"/>
      <c r="EJ120" s="5" t="n"/>
      <c r="EK120" s="5" t="n"/>
      <c r="EL120" s="5" t="n"/>
    </row>
    <row r="121"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  <c r="CE121" s="5" t="n"/>
      <c r="CF121" s="5" t="n"/>
      <c r="CG121" s="5" t="n"/>
      <c r="CH121" s="5" t="n"/>
      <c r="CI121" s="5" t="n"/>
      <c r="CJ121" s="5" t="n"/>
      <c r="CK121" s="5" t="n"/>
      <c r="CL121" s="5" t="n"/>
      <c r="CM121" s="5" t="n"/>
      <c r="CN121" s="5" t="n"/>
      <c r="CO121" s="5" t="n"/>
      <c r="CP121" s="5" t="n"/>
      <c r="CQ121" s="5" t="n"/>
      <c r="CR121" s="5" t="n"/>
      <c r="CS121" s="5" t="n"/>
      <c r="CT121" s="5" t="n"/>
      <c r="CU121" s="5" t="n"/>
      <c r="CV121" s="5" t="n"/>
      <c r="CW121" s="5" t="n"/>
      <c r="CX121" s="5" t="n"/>
      <c r="CY121" s="5" t="n"/>
      <c r="CZ121" s="5" t="n"/>
      <c r="DA121" s="5" t="n"/>
      <c r="DB121" s="5" t="n"/>
      <c r="DC121" s="5" t="n"/>
      <c r="DD121" s="5" t="n"/>
      <c r="DE121" s="5" t="n"/>
      <c r="DF121" s="5" t="n"/>
      <c r="DG121" s="5" t="n"/>
      <c r="DH121" s="5" t="n"/>
      <c r="DI121" s="5" t="n"/>
      <c r="DJ121" s="5" t="n"/>
      <c r="DK121" s="5" t="n"/>
      <c r="DL121" s="5" t="n"/>
      <c r="DM121" s="5" t="n"/>
      <c r="DN121" s="5" t="n"/>
      <c r="DO121" s="5" t="n"/>
      <c r="DP121" s="5" t="n"/>
      <c r="DQ121" s="5" t="n"/>
      <c r="DR121" s="5" t="n"/>
      <c r="DS121" s="5" t="n"/>
      <c r="DT121" s="5" t="n"/>
      <c r="DU121" s="5" t="n"/>
      <c r="DV121" s="5" t="n"/>
      <c r="DW121" s="5" t="n"/>
      <c r="DX121" s="5" t="n"/>
      <c r="DY121" s="5" t="n"/>
      <c r="DZ121" s="5" t="n"/>
      <c r="EA121" s="5" t="n"/>
      <c r="EB121" s="5" t="n"/>
      <c r="EC121" s="5" t="n"/>
      <c r="ED121" s="5" t="n"/>
      <c r="EE121" s="5" t="n"/>
      <c r="EF121" s="5" t="n"/>
      <c r="EG121" s="5" t="n"/>
      <c r="EH121" s="5" t="n"/>
      <c r="EI121" s="5" t="n"/>
      <c r="EJ121" s="5" t="n"/>
      <c r="EK121" s="5" t="n"/>
      <c r="EL121" s="5" t="n"/>
    </row>
    <row r="122"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  <c r="CE122" s="5" t="n"/>
      <c r="CF122" s="5" t="n"/>
      <c r="CG122" s="5" t="n"/>
      <c r="CH122" s="5" t="n"/>
      <c r="CI122" s="5" t="n"/>
      <c r="CJ122" s="5" t="n"/>
      <c r="CK122" s="5" t="n"/>
      <c r="CL122" s="5" t="n"/>
      <c r="CM122" s="5" t="n"/>
      <c r="CN122" s="5" t="n"/>
      <c r="CO122" s="5" t="n"/>
      <c r="CP122" s="5" t="n"/>
      <c r="CQ122" s="5" t="n"/>
      <c r="CR122" s="5" t="n"/>
      <c r="CS122" s="5" t="n"/>
      <c r="CT122" s="5" t="n"/>
      <c r="CU122" s="5" t="n"/>
      <c r="CV122" s="5" t="n"/>
      <c r="CW122" s="5" t="n"/>
      <c r="CX122" s="5" t="n"/>
      <c r="CY122" s="5" t="n"/>
      <c r="CZ122" s="5" t="n"/>
      <c r="DA122" s="5" t="n"/>
      <c r="DB122" s="5" t="n"/>
      <c r="DC122" s="5" t="n"/>
      <c r="DD122" s="5" t="n"/>
      <c r="DE122" s="5" t="n"/>
      <c r="DF122" s="5" t="n"/>
      <c r="DG122" s="5" t="n"/>
      <c r="DH122" s="5" t="n"/>
      <c r="DI122" s="5" t="n"/>
      <c r="DJ122" s="5" t="n"/>
      <c r="DK122" s="5" t="n"/>
      <c r="DL122" s="5" t="n"/>
      <c r="DM122" s="5" t="n"/>
      <c r="DN122" s="5" t="n"/>
      <c r="DO122" s="5" t="n"/>
      <c r="DP122" s="5" t="n"/>
      <c r="DQ122" s="5" t="n"/>
      <c r="DR122" s="5" t="n"/>
      <c r="DS122" s="5" t="n"/>
      <c r="DT122" s="5" t="n"/>
      <c r="DU122" s="5" t="n"/>
      <c r="DV122" s="5" t="n"/>
      <c r="DW122" s="5" t="n"/>
      <c r="DX122" s="5" t="n"/>
      <c r="DY122" s="5" t="n"/>
      <c r="DZ122" s="5" t="n"/>
      <c r="EA122" s="5" t="n"/>
      <c r="EB122" s="5" t="n"/>
      <c r="EC122" s="5" t="n"/>
      <c r="ED122" s="5" t="n"/>
      <c r="EE122" s="5" t="n"/>
      <c r="EF122" s="5" t="n"/>
      <c r="EG122" s="5" t="n"/>
      <c r="EH122" s="5" t="n"/>
      <c r="EI122" s="5" t="n"/>
      <c r="EJ122" s="5" t="n"/>
      <c r="EK122" s="5" t="n"/>
      <c r="EL122" s="5" t="n"/>
    </row>
    <row r="123"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  <c r="CE123" s="5" t="n"/>
      <c r="CF123" s="5" t="n"/>
      <c r="CG123" s="5" t="n"/>
      <c r="CH123" s="5" t="n"/>
      <c r="CI123" s="5" t="n"/>
      <c r="CJ123" s="5" t="n"/>
      <c r="CK123" s="5" t="n"/>
      <c r="CL123" s="5" t="n"/>
      <c r="CM123" s="5" t="n"/>
      <c r="CN123" s="5" t="n"/>
      <c r="CO123" s="5" t="n"/>
      <c r="CP123" s="5" t="n"/>
      <c r="CQ123" s="5" t="n"/>
      <c r="CR123" s="5" t="n"/>
      <c r="CS123" s="5" t="n"/>
      <c r="CT123" s="5" t="n"/>
      <c r="CU123" s="5" t="n"/>
      <c r="CV123" s="5" t="n"/>
      <c r="CW123" s="5" t="n"/>
      <c r="CX123" s="5" t="n"/>
      <c r="CY123" s="5" t="n"/>
      <c r="CZ123" s="5" t="n"/>
      <c r="DA123" s="5" t="n"/>
      <c r="DB123" s="5" t="n"/>
      <c r="DC123" s="5" t="n"/>
      <c r="DD123" s="5" t="n"/>
      <c r="DE123" s="5" t="n"/>
      <c r="DF123" s="5" t="n"/>
      <c r="DG123" s="5" t="n"/>
      <c r="DH123" s="5" t="n"/>
      <c r="DI123" s="5" t="n"/>
      <c r="DJ123" s="5" t="n"/>
      <c r="DK123" s="5" t="n"/>
      <c r="DL123" s="5" t="n"/>
      <c r="DM123" s="5" t="n"/>
      <c r="DN123" s="5" t="n"/>
      <c r="DO123" s="5" t="n"/>
      <c r="DP123" s="5" t="n"/>
      <c r="DQ123" s="5" t="n"/>
      <c r="DR123" s="5" t="n"/>
      <c r="DS123" s="5" t="n"/>
      <c r="DT123" s="5" t="n"/>
      <c r="DU123" s="5" t="n"/>
      <c r="DV123" s="5" t="n"/>
      <c r="DW123" s="5" t="n"/>
      <c r="DX123" s="5" t="n"/>
      <c r="DY123" s="5" t="n"/>
      <c r="DZ123" s="5" t="n"/>
      <c r="EA123" s="5" t="n"/>
      <c r="EB123" s="5" t="n"/>
      <c r="EC123" s="5" t="n"/>
      <c r="ED123" s="5" t="n"/>
      <c r="EE123" s="5" t="n"/>
      <c r="EF123" s="5" t="n"/>
      <c r="EG123" s="5" t="n"/>
      <c r="EH123" s="5" t="n"/>
      <c r="EI123" s="5" t="n"/>
      <c r="EJ123" s="5" t="n"/>
      <c r="EK123" s="5" t="n"/>
      <c r="EL123" s="5" t="n"/>
    </row>
    <row r="124"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  <c r="CE124" s="5" t="n"/>
      <c r="CF124" s="5" t="n"/>
      <c r="CG124" s="5" t="n"/>
      <c r="CH124" s="5" t="n"/>
      <c r="CI124" s="5" t="n"/>
      <c r="CJ124" s="5" t="n"/>
      <c r="CK124" s="5" t="n"/>
      <c r="CL124" s="5" t="n"/>
      <c r="CM124" s="5" t="n"/>
      <c r="CN124" s="5" t="n"/>
      <c r="CO124" s="5" t="n"/>
      <c r="CP124" s="5" t="n"/>
      <c r="CQ124" s="5" t="n"/>
      <c r="CR124" s="5" t="n"/>
      <c r="CS124" s="5" t="n"/>
      <c r="CT124" s="5" t="n"/>
      <c r="CU124" s="5" t="n"/>
      <c r="CV124" s="5" t="n"/>
      <c r="CW124" s="5" t="n"/>
      <c r="CX124" s="5" t="n"/>
      <c r="CY124" s="5" t="n"/>
      <c r="CZ124" s="5" t="n"/>
      <c r="DA124" s="5" t="n"/>
      <c r="DB124" s="5" t="n"/>
      <c r="DC124" s="5" t="n"/>
      <c r="DD124" s="5" t="n"/>
      <c r="DE124" s="5" t="n"/>
      <c r="DF124" s="5" t="n"/>
      <c r="DG124" s="5" t="n"/>
      <c r="DH124" s="5" t="n"/>
      <c r="DI124" s="5" t="n"/>
      <c r="DJ124" s="5" t="n"/>
      <c r="DK124" s="5" t="n"/>
      <c r="DL124" s="5" t="n"/>
      <c r="DM124" s="5" t="n"/>
      <c r="DN124" s="5" t="n"/>
      <c r="DO124" s="5" t="n"/>
      <c r="DP124" s="5" t="n"/>
      <c r="DQ124" s="5" t="n"/>
      <c r="DR124" s="5" t="n"/>
      <c r="DS124" s="5" t="n"/>
      <c r="DT124" s="5" t="n"/>
      <c r="DU124" s="5" t="n"/>
      <c r="DV124" s="5" t="n"/>
      <c r="DW124" s="5" t="n"/>
      <c r="DX124" s="5" t="n"/>
      <c r="DY124" s="5" t="n"/>
      <c r="DZ124" s="5" t="n"/>
      <c r="EA124" s="5" t="n"/>
      <c r="EB124" s="5" t="n"/>
      <c r="EC124" s="5" t="n"/>
      <c r="ED124" s="5" t="n"/>
      <c r="EE124" s="5" t="n"/>
      <c r="EF124" s="5" t="n"/>
      <c r="EG124" s="5" t="n"/>
      <c r="EH124" s="5" t="n"/>
      <c r="EI124" s="5" t="n"/>
      <c r="EJ124" s="5" t="n"/>
      <c r="EK124" s="5" t="n"/>
      <c r="EL124" s="5" t="n"/>
    </row>
    <row r="125"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  <c r="CE125" s="5" t="n"/>
      <c r="CF125" s="5" t="n"/>
      <c r="CG125" s="5" t="n"/>
      <c r="CH125" s="5" t="n"/>
      <c r="CI125" s="5" t="n"/>
      <c r="CJ125" s="5" t="n"/>
      <c r="CK125" s="5" t="n"/>
      <c r="CL125" s="5" t="n"/>
      <c r="CM125" s="5" t="n"/>
      <c r="CN125" s="5" t="n"/>
      <c r="CO125" s="5" t="n"/>
      <c r="CP125" s="5" t="n"/>
      <c r="CQ125" s="5" t="n"/>
      <c r="CR125" s="5" t="n"/>
      <c r="CS125" s="5" t="n"/>
      <c r="CT125" s="5" t="n"/>
      <c r="CU125" s="5" t="n"/>
      <c r="CV125" s="5" t="n"/>
      <c r="CW125" s="5" t="n"/>
      <c r="CX125" s="5" t="n"/>
      <c r="CY125" s="5" t="n"/>
      <c r="CZ125" s="5" t="n"/>
      <c r="DA125" s="5" t="n"/>
      <c r="DB125" s="5" t="n"/>
      <c r="DC125" s="5" t="n"/>
      <c r="DD125" s="5" t="n"/>
      <c r="DE125" s="5" t="n"/>
      <c r="DF125" s="5" t="n"/>
      <c r="DG125" s="5" t="n"/>
      <c r="DH125" s="5" t="n"/>
      <c r="DI125" s="5" t="n"/>
      <c r="DJ125" s="5" t="n"/>
      <c r="DK125" s="5" t="n"/>
      <c r="DL125" s="5" t="n"/>
      <c r="DM125" s="5" t="n"/>
      <c r="DN125" s="5" t="n"/>
      <c r="DO125" s="5" t="n"/>
      <c r="DP125" s="5" t="n"/>
      <c r="DQ125" s="5" t="n"/>
      <c r="DR125" s="5" t="n"/>
      <c r="DS125" s="5" t="n"/>
      <c r="DT125" s="5" t="n"/>
      <c r="DU125" s="5" t="n"/>
      <c r="DV125" s="5" t="n"/>
      <c r="DW125" s="5" t="n"/>
      <c r="DX125" s="5" t="n"/>
      <c r="DY125" s="5" t="n"/>
      <c r="DZ125" s="5" t="n"/>
      <c r="EA125" s="5" t="n"/>
      <c r="EB125" s="5" t="n"/>
      <c r="EC125" s="5" t="n"/>
      <c r="ED125" s="5" t="n"/>
      <c r="EE125" s="5" t="n"/>
      <c r="EF125" s="5" t="n"/>
      <c r="EG125" s="5" t="n"/>
      <c r="EH125" s="5" t="n"/>
      <c r="EI125" s="5" t="n"/>
      <c r="EJ125" s="5" t="n"/>
      <c r="EK125" s="5" t="n"/>
      <c r="EL125" s="5" t="n"/>
    </row>
    <row r="126"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  <c r="CE126" s="5" t="n"/>
      <c r="CF126" s="5" t="n"/>
      <c r="CG126" s="5" t="n"/>
      <c r="CH126" s="5" t="n"/>
      <c r="CI126" s="5" t="n"/>
      <c r="CJ126" s="5" t="n"/>
      <c r="CK126" s="5" t="n"/>
      <c r="CL126" s="5" t="n"/>
      <c r="CM126" s="5" t="n"/>
      <c r="CN126" s="5" t="n"/>
      <c r="CO126" s="5" t="n"/>
      <c r="CP126" s="5" t="n"/>
      <c r="CQ126" s="5" t="n"/>
      <c r="CR126" s="5" t="n"/>
      <c r="CS126" s="5" t="n"/>
      <c r="CT126" s="5" t="n"/>
      <c r="CU126" s="5" t="n"/>
      <c r="CV126" s="5" t="n"/>
      <c r="CW126" s="5" t="n"/>
      <c r="CX126" s="5" t="n"/>
      <c r="CY126" s="5" t="n"/>
      <c r="CZ126" s="5" t="n"/>
      <c r="DA126" s="5" t="n"/>
      <c r="DB126" s="5" t="n"/>
      <c r="DC126" s="5" t="n"/>
      <c r="DD126" s="5" t="n"/>
      <c r="DE126" s="5" t="n"/>
      <c r="DF126" s="5" t="n"/>
      <c r="DG126" s="5" t="n"/>
      <c r="DH126" s="5" t="n"/>
      <c r="DI126" s="5" t="n"/>
      <c r="DJ126" s="5" t="n"/>
      <c r="DK126" s="5" t="n"/>
      <c r="DL126" s="5" t="n"/>
      <c r="DM126" s="5" t="n"/>
      <c r="DN126" s="5" t="n"/>
      <c r="DO126" s="5" t="n"/>
      <c r="DP126" s="5" t="n"/>
      <c r="DQ126" s="5" t="n"/>
      <c r="DR126" s="5" t="n"/>
      <c r="DS126" s="5" t="n"/>
      <c r="DT126" s="5" t="n"/>
      <c r="DU126" s="5" t="n"/>
      <c r="DV126" s="5" t="n"/>
      <c r="DW126" s="5" t="n"/>
      <c r="DX126" s="5" t="n"/>
      <c r="DY126" s="5" t="n"/>
      <c r="DZ126" s="5" t="n"/>
      <c r="EA126" s="5" t="n"/>
      <c r="EB126" s="5" t="n"/>
      <c r="EC126" s="5" t="n"/>
      <c r="ED126" s="5" t="n"/>
      <c r="EE126" s="5" t="n"/>
      <c r="EF126" s="5" t="n"/>
      <c r="EG126" s="5" t="n"/>
      <c r="EH126" s="5" t="n"/>
      <c r="EI126" s="5" t="n"/>
      <c r="EJ126" s="5" t="n"/>
      <c r="EK126" s="5" t="n"/>
      <c r="EL126" s="5" t="n"/>
    </row>
    <row r="127"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  <c r="CZ127" s="5" t="n"/>
      <c r="DA127" s="5" t="n"/>
      <c r="DB127" s="5" t="n"/>
      <c r="DC127" s="5" t="n"/>
      <c r="DD127" s="5" t="n"/>
      <c r="DE127" s="5" t="n"/>
      <c r="DF127" s="5" t="n"/>
      <c r="DG127" s="5" t="n"/>
      <c r="DH127" s="5" t="n"/>
      <c r="DI127" s="5" t="n"/>
      <c r="DJ127" s="5" t="n"/>
      <c r="DK127" s="5" t="n"/>
      <c r="DL127" s="5" t="n"/>
      <c r="DM127" s="5" t="n"/>
      <c r="DN127" s="5" t="n"/>
      <c r="DO127" s="5" t="n"/>
      <c r="DP127" s="5" t="n"/>
      <c r="DQ127" s="5" t="n"/>
      <c r="DR127" s="5" t="n"/>
      <c r="DS127" s="5" t="n"/>
      <c r="DT127" s="5" t="n"/>
      <c r="DU127" s="5" t="n"/>
      <c r="DV127" s="5" t="n"/>
      <c r="DW127" s="5" t="n"/>
      <c r="DX127" s="5" t="n"/>
      <c r="DY127" s="5" t="n"/>
      <c r="DZ127" s="5" t="n"/>
      <c r="EA127" s="5" t="n"/>
      <c r="EB127" s="5" t="n"/>
      <c r="EC127" s="5" t="n"/>
      <c r="ED127" s="5" t="n"/>
      <c r="EE127" s="5" t="n"/>
      <c r="EF127" s="5" t="n"/>
      <c r="EG127" s="5" t="n"/>
      <c r="EH127" s="5" t="n"/>
      <c r="EI127" s="5" t="n"/>
      <c r="EJ127" s="5" t="n"/>
      <c r="EK127" s="5" t="n"/>
      <c r="EL127" s="5" t="n"/>
    </row>
    <row r="128"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  <c r="CE128" s="5" t="n"/>
      <c r="CF128" s="5" t="n"/>
      <c r="CG128" s="5" t="n"/>
      <c r="CH128" s="5" t="n"/>
      <c r="CI128" s="5" t="n"/>
      <c r="CJ128" s="5" t="n"/>
      <c r="CK128" s="5" t="n"/>
      <c r="CL128" s="5" t="n"/>
      <c r="CM128" s="5" t="n"/>
      <c r="CN128" s="5" t="n"/>
      <c r="CO128" s="5" t="n"/>
      <c r="CP128" s="5" t="n"/>
      <c r="CQ128" s="5" t="n"/>
      <c r="CR128" s="5" t="n"/>
      <c r="CS128" s="5" t="n"/>
      <c r="CT128" s="5" t="n"/>
      <c r="CU128" s="5" t="n"/>
      <c r="CV128" s="5" t="n"/>
      <c r="CW128" s="5" t="n"/>
      <c r="CX128" s="5" t="n"/>
      <c r="CY128" s="5" t="n"/>
      <c r="CZ128" s="5" t="n"/>
      <c r="DA128" s="5" t="n"/>
      <c r="DB128" s="5" t="n"/>
      <c r="DC128" s="5" t="n"/>
      <c r="DD128" s="5" t="n"/>
      <c r="DE128" s="5" t="n"/>
      <c r="DF128" s="5" t="n"/>
      <c r="DG128" s="5" t="n"/>
      <c r="DH128" s="5" t="n"/>
      <c r="DI128" s="5" t="n"/>
      <c r="DJ128" s="5" t="n"/>
      <c r="DK128" s="5" t="n"/>
      <c r="DL128" s="5" t="n"/>
      <c r="DM128" s="5" t="n"/>
      <c r="DN128" s="5" t="n"/>
      <c r="DO128" s="5" t="n"/>
      <c r="DP128" s="5" t="n"/>
      <c r="DQ128" s="5" t="n"/>
      <c r="DR128" s="5" t="n"/>
      <c r="DS128" s="5" t="n"/>
      <c r="DT128" s="5" t="n"/>
      <c r="DU128" s="5" t="n"/>
      <c r="DV128" s="5" t="n"/>
      <c r="DW128" s="5" t="n"/>
      <c r="DX128" s="5" t="n"/>
      <c r="DY128" s="5" t="n"/>
      <c r="DZ128" s="5" t="n"/>
      <c r="EA128" s="5" t="n"/>
      <c r="EB128" s="5" t="n"/>
      <c r="EC128" s="5" t="n"/>
      <c r="ED128" s="5" t="n"/>
      <c r="EE128" s="5" t="n"/>
      <c r="EF128" s="5" t="n"/>
      <c r="EG128" s="5" t="n"/>
      <c r="EH128" s="5" t="n"/>
      <c r="EI128" s="5" t="n"/>
      <c r="EJ128" s="5" t="n"/>
      <c r="EK128" s="5" t="n"/>
      <c r="EL128" s="5" t="n"/>
    </row>
    <row r="129"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  <c r="CE129" s="5" t="n"/>
      <c r="CF129" s="5" t="n"/>
      <c r="CG129" s="5" t="n"/>
      <c r="CH129" s="5" t="n"/>
      <c r="CI129" s="5" t="n"/>
      <c r="CJ129" s="5" t="n"/>
      <c r="CK129" s="5" t="n"/>
      <c r="CL129" s="5" t="n"/>
      <c r="CM129" s="5" t="n"/>
      <c r="CN129" s="5" t="n"/>
      <c r="CO129" s="5" t="n"/>
      <c r="CP129" s="5" t="n"/>
      <c r="CQ129" s="5" t="n"/>
      <c r="CR129" s="5" t="n"/>
      <c r="CS129" s="5" t="n"/>
      <c r="CT129" s="5" t="n"/>
      <c r="CU129" s="5" t="n"/>
      <c r="CV129" s="5" t="n"/>
      <c r="CW129" s="5" t="n"/>
      <c r="CX129" s="5" t="n"/>
      <c r="CY129" s="5" t="n"/>
      <c r="CZ129" s="5" t="n"/>
      <c r="DA129" s="5" t="n"/>
      <c r="DB129" s="5" t="n"/>
      <c r="DC129" s="5" t="n"/>
      <c r="DD129" s="5" t="n"/>
      <c r="DE129" s="5" t="n"/>
      <c r="DF129" s="5" t="n"/>
      <c r="DG129" s="5" t="n"/>
      <c r="DH129" s="5" t="n"/>
      <c r="DI129" s="5" t="n"/>
      <c r="DJ129" s="5" t="n"/>
      <c r="DK129" s="5" t="n"/>
      <c r="DL129" s="5" t="n"/>
      <c r="DM129" s="5" t="n"/>
      <c r="DN129" s="5" t="n"/>
      <c r="DO129" s="5" t="n"/>
      <c r="DP129" s="5" t="n"/>
      <c r="DQ129" s="5" t="n"/>
      <c r="DR129" s="5" t="n"/>
      <c r="DS129" s="5" t="n"/>
      <c r="DT129" s="5" t="n"/>
      <c r="DU129" s="5" t="n"/>
      <c r="DV129" s="5" t="n"/>
      <c r="DW129" s="5" t="n"/>
      <c r="DX129" s="5" t="n"/>
      <c r="DY129" s="5" t="n"/>
      <c r="DZ129" s="5" t="n"/>
      <c r="EA129" s="5" t="n"/>
      <c r="EB129" s="5" t="n"/>
      <c r="EC129" s="5" t="n"/>
      <c r="ED129" s="5" t="n"/>
      <c r="EE129" s="5" t="n"/>
      <c r="EF129" s="5" t="n"/>
      <c r="EG129" s="5" t="n"/>
      <c r="EH129" s="5" t="n"/>
      <c r="EI129" s="5" t="n"/>
      <c r="EJ129" s="5" t="n"/>
      <c r="EK129" s="5" t="n"/>
      <c r="EL129" s="5" t="n"/>
    </row>
    <row r="130"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  <c r="CE130" s="5" t="n"/>
      <c r="CF130" s="5" t="n"/>
      <c r="CG130" s="5" t="n"/>
      <c r="CH130" s="5" t="n"/>
      <c r="CI130" s="5" t="n"/>
      <c r="CJ130" s="5" t="n"/>
      <c r="CK130" s="5" t="n"/>
      <c r="CL130" s="5" t="n"/>
      <c r="CM130" s="5" t="n"/>
      <c r="CN130" s="5" t="n"/>
      <c r="CO130" s="5" t="n"/>
      <c r="CP130" s="5" t="n"/>
      <c r="CQ130" s="5" t="n"/>
      <c r="CR130" s="5" t="n"/>
      <c r="CS130" s="5" t="n"/>
      <c r="CT130" s="5" t="n"/>
      <c r="CU130" s="5" t="n"/>
      <c r="CV130" s="5" t="n"/>
      <c r="CW130" s="5" t="n"/>
      <c r="CX130" s="5" t="n"/>
      <c r="CY130" s="5" t="n"/>
      <c r="CZ130" s="5" t="n"/>
      <c r="DA130" s="5" t="n"/>
      <c r="DB130" s="5" t="n"/>
      <c r="DC130" s="5" t="n"/>
      <c r="DD130" s="5" t="n"/>
      <c r="DE130" s="5" t="n"/>
      <c r="DF130" s="5" t="n"/>
      <c r="DG130" s="5" t="n"/>
      <c r="DH130" s="5" t="n"/>
      <c r="DI130" s="5" t="n"/>
      <c r="DJ130" s="5" t="n"/>
      <c r="DK130" s="5" t="n"/>
      <c r="DL130" s="5" t="n"/>
      <c r="DM130" s="5" t="n"/>
      <c r="DN130" s="5" t="n"/>
      <c r="DO130" s="5" t="n"/>
      <c r="DP130" s="5" t="n"/>
      <c r="DQ130" s="5" t="n"/>
      <c r="DR130" s="5" t="n"/>
      <c r="DS130" s="5" t="n"/>
      <c r="DT130" s="5" t="n"/>
      <c r="DU130" s="5" t="n"/>
      <c r="DV130" s="5" t="n"/>
      <c r="DW130" s="5" t="n"/>
      <c r="DX130" s="5" t="n"/>
      <c r="DY130" s="5" t="n"/>
      <c r="DZ130" s="5" t="n"/>
      <c r="EA130" s="5" t="n"/>
      <c r="EB130" s="5" t="n"/>
      <c r="EC130" s="5" t="n"/>
      <c r="ED130" s="5" t="n"/>
      <c r="EE130" s="5" t="n"/>
      <c r="EF130" s="5" t="n"/>
      <c r="EG130" s="5" t="n"/>
      <c r="EH130" s="5" t="n"/>
      <c r="EI130" s="5" t="n"/>
      <c r="EJ130" s="5" t="n"/>
      <c r="EK130" s="5" t="n"/>
      <c r="EL130" s="5" t="n"/>
    </row>
    <row r="131"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  <c r="CE131" s="5" t="n"/>
      <c r="CF131" s="5" t="n"/>
      <c r="CG131" s="5" t="n"/>
      <c r="CH131" s="5" t="n"/>
      <c r="CI131" s="5" t="n"/>
      <c r="CJ131" s="5" t="n"/>
      <c r="CK131" s="5" t="n"/>
      <c r="CL131" s="5" t="n"/>
      <c r="CM131" s="5" t="n"/>
      <c r="CN131" s="5" t="n"/>
      <c r="CO131" s="5" t="n"/>
      <c r="CP131" s="5" t="n"/>
      <c r="CQ131" s="5" t="n"/>
      <c r="CR131" s="5" t="n"/>
      <c r="CS131" s="5" t="n"/>
      <c r="CT131" s="5" t="n"/>
      <c r="CU131" s="5" t="n"/>
      <c r="CV131" s="5" t="n"/>
      <c r="CW131" s="5" t="n"/>
      <c r="CX131" s="5" t="n"/>
      <c r="CY131" s="5" t="n"/>
      <c r="CZ131" s="5" t="n"/>
      <c r="DA131" s="5" t="n"/>
      <c r="DB131" s="5" t="n"/>
      <c r="DC131" s="5" t="n"/>
      <c r="DD131" s="5" t="n"/>
      <c r="DE131" s="5" t="n"/>
      <c r="DF131" s="5" t="n"/>
      <c r="DG131" s="5" t="n"/>
      <c r="DH131" s="5" t="n"/>
      <c r="DI131" s="5" t="n"/>
      <c r="DJ131" s="5" t="n"/>
      <c r="DK131" s="5" t="n"/>
      <c r="DL131" s="5" t="n"/>
      <c r="DM131" s="5" t="n"/>
      <c r="DN131" s="5" t="n"/>
      <c r="DO131" s="5" t="n"/>
      <c r="DP131" s="5" t="n"/>
      <c r="DQ131" s="5" t="n"/>
      <c r="DR131" s="5" t="n"/>
      <c r="DS131" s="5" t="n"/>
      <c r="DT131" s="5" t="n"/>
      <c r="DU131" s="5" t="n"/>
      <c r="DV131" s="5" t="n"/>
      <c r="DW131" s="5" t="n"/>
      <c r="DX131" s="5" t="n"/>
      <c r="DY131" s="5" t="n"/>
      <c r="DZ131" s="5" t="n"/>
      <c r="EA131" s="5" t="n"/>
      <c r="EB131" s="5" t="n"/>
      <c r="EC131" s="5" t="n"/>
      <c r="ED131" s="5" t="n"/>
      <c r="EE131" s="5" t="n"/>
      <c r="EF131" s="5" t="n"/>
      <c r="EG131" s="5" t="n"/>
      <c r="EH131" s="5" t="n"/>
      <c r="EI131" s="5" t="n"/>
      <c r="EJ131" s="5" t="n"/>
      <c r="EK131" s="5" t="n"/>
      <c r="EL131" s="5" t="n"/>
    </row>
    <row r="132"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5" t="n"/>
      <c r="CM132" s="5" t="n"/>
      <c r="CN132" s="5" t="n"/>
      <c r="CO132" s="5" t="n"/>
      <c r="CP132" s="5" t="n"/>
      <c r="CQ132" s="5" t="n"/>
      <c r="CR132" s="5" t="n"/>
      <c r="CS132" s="5" t="n"/>
      <c r="CT132" s="5" t="n"/>
      <c r="CU132" s="5" t="n"/>
      <c r="CV132" s="5" t="n"/>
      <c r="CW132" s="5" t="n"/>
      <c r="CX132" s="5" t="n"/>
      <c r="CY132" s="5" t="n"/>
      <c r="CZ132" s="5" t="n"/>
      <c r="DA132" s="5" t="n"/>
      <c r="DB132" s="5" t="n"/>
      <c r="DC132" s="5" t="n"/>
      <c r="DD132" s="5" t="n"/>
      <c r="DE132" s="5" t="n"/>
      <c r="DF132" s="5" t="n"/>
      <c r="DG132" s="5" t="n"/>
      <c r="DH132" s="5" t="n"/>
      <c r="DI132" s="5" t="n"/>
      <c r="DJ132" s="5" t="n"/>
      <c r="DK132" s="5" t="n"/>
      <c r="DL132" s="5" t="n"/>
      <c r="DM132" s="5" t="n"/>
      <c r="DN132" s="5" t="n"/>
      <c r="DO132" s="5" t="n"/>
      <c r="DP132" s="5" t="n"/>
      <c r="DQ132" s="5" t="n"/>
      <c r="DR132" s="5" t="n"/>
      <c r="DS132" s="5" t="n"/>
      <c r="DT132" s="5" t="n"/>
      <c r="DU132" s="5" t="n"/>
      <c r="DV132" s="5" t="n"/>
      <c r="DW132" s="5" t="n"/>
      <c r="DX132" s="5" t="n"/>
      <c r="DY132" s="5" t="n"/>
      <c r="DZ132" s="5" t="n"/>
      <c r="EA132" s="5" t="n"/>
      <c r="EB132" s="5" t="n"/>
      <c r="EC132" s="5" t="n"/>
      <c r="ED132" s="5" t="n"/>
      <c r="EE132" s="5" t="n"/>
      <c r="EF132" s="5" t="n"/>
      <c r="EG132" s="5" t="n"/>
      <c r="EH132" s="5" t="n"/>
      <c r="EI132" s="5" t="n"/>
      <c r="EJ132" s="5" t="n"/>
      <c r="EK132" s="5" t="n"/>
      <c r="EL132" s="5" t="n"/>
    </row>
    <row r="133"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  <c r="CZ133" s="5" t="n"/>
      <c r="DA133" s="5" t="n"/>
      <c r="DB133" s="5" t="n"/>
      <c r="DC133" s="5" t="n"/>
      <c r="DD133" s="5" t="n"/>
      <c r="DE133" s="5" t="n"/>
      <c r="DF133" s="5" t="n"/>
      <c r="DG133" s="5" t="n"/>
      <c r="DH133" s="5" t="n"/>
      <c r="DI133" s="5" t="n"/>
      <c r="DJ133" s="5" t="n"/>
      <c r="DK133" s="5" t="n"/>
      <c r="DL133" s="5" t="n"/>
      <c r="DM133" s="5" t="n"/>
      <c r="DN133" s="5" t="n"/>
      <c r="DO133" s="5" t="n"/>
      <c r="DP133" s="5" t="n"/>
      <c r="DQ133" s="5" t="n"/>
      <c r="DR133" s="5" t="n"/>
      <c r="DS133" s="5" t="n"/>
      <c r="DT133" s="5" t="n"/>
      <c r="DU133" s="5" t="n"/>
      <c r="DV133" s="5" t="n"/>
      <c r="DW133" s="5" t="n"/>
      <c r="DX133" s="5" t="n"/>
      <c r="DY133" s="5" t="n"/>
      <c r="DZ133" s="5" t="n"/>
      <c r="EA133" s="5" t="n"/>
      <c r="EB133" s="5" t="n"/>
      <c r="EC133" s="5" t="n"/>
      <c r="ED133" s="5" t="n"/>
      <c r="EE133" s="5" t="n"/>
      <c r="EF133" s="5" t="n"/>
      <c r="EG133" s="5" t="n"/>
      <c r="EH133" s="5" t="n"/>
      <c r="EI133" s="5" t="n"/>
      <c r="EJ133" s="5" t="n"/>
      <c r="EK133" s="5" t="n"/>
      <c r="EL133" s="5" t="n"/>
    </row>
    <row r="134"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  <c r="CE134" s="5" t="n"/>
      <c r="CF134" s="5" t="n"/>
      <c r="CG134" s="5" t="n"/>
      <c r="CH134" s="5" t="n"/>
      <c r="CI134" s="5" t="n"/>
      <c r="CJ134" s="5" t="n"/>
      <c r="CK134" s="5" t="n"/>
      <c r="CL134" s="5" t="n"/>
      <c r="CM134" s="5" t="n"/>
      <c r="CN134" s="5" t="n"/>
      <c r="CO134" s="5" t="n"/>
      <c r="CP134" s="5" t="n"/>
      <c r="CQ134" s="5" t="n"/>
      <c r="CR134" s="5" t="n"/>
      <c r="CS134" s="5" t="n"/>
      <c r="CT134" s="5" t="n"/>
      <c r="CU134" s="5" t="n"/>
      <c r="CV134" s="5" t="n"/>
      <c r="CW134" s="5" t="n"/>
      <c r="CX134" s="5" t="n"/>
      <c r="CY134" s="5" t="n"/>
      <c r="CZ134" s="5" t="n"/>
      <c r="DA134" s="5" t="n"/>
      <c r="DB134" s="5" t="n"/>
      <c r="DC134" s="5" t="n"/>
      <c r="DD134" s="5" t="n"/>
      <c r="DE134" s="5" t="n"/>
      <c r="DF134" s="5" t="n"/>
      <c r="DG134" s="5" t="n"/>
      <c r="DH134" s="5" t="n"/>
      <c r="DI134" s="5" t="n"/>
      <c r="DJ134" s="5" t="n"/>
      <c r="DK134" s="5" t="n"/>
      <c r="DL134" s="5" t="n"/>
      <c r="DM134" s="5" t="n"/>
      <c r="DN134" s="5" t="n"/>
      <c r="DO134" s="5" t="n"/>
      <c r="DP134" s="5" t="n"/>
      <c r="DQ134" s="5" t="n"/>
      <c r="DR134" s="5" t="n"/>
      <c r="DS134" s="5" t="n"/>
      <c r="DT134" s="5" t="n"/>
      <c r="DU134" s="5" t="n"/>
      <c r="DV134" s="5" t="n"/>
      <c r="DW134" s="5" t="n"/>
      <c r="DX134" s="5" t="n"/>
      <c r="DY134" s="5" t="n"/>
      <c r="DZ134" s="5" t="n"/>
      <c r="EA134" s="5" t="n"/>
      <c r="EB134" s="5" t="n"/>
      <c r="EC134" s="5" t="n"/>
      <c r="ED134" s="5" t="n"/>
      <c r="EE134" s="5" t="n"/>
      <c r="EF134" s="5" t="n"/>
      <c r="EG134" s="5" t="n"/>
      <c r="EH134" s="5" t="n"/>
      <c r="EI134" s="5" t="n"/>
      <c r="EJ134" s="5" t="n"/>
      <c r="EK134" s="5" t="n"/>
      <c r="EL134" s="5" t="n"/>
    </row>
    <row r="135"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  <c r="CE135" s="5" t="n"/>
      <c r="CF135" s="5" t="n"/>
      <c r="CG135" s="5" t="n"/>
      <c r="CH135" s="5" t="n"/>
      <c r="CI135" s="5" t="n"/>
      <c r="CJ135" s="5" t="n"/>
      <c r="CK135" s="5" t="n"/>
      <c r="CL135" s="5" t="n"/>
      <c r="CM135" s="5" t="n"/>
      <c r="CN135" s="5" t="n"/>
      <c r="CO135" s="5" t="n"/>
      <c r="CP135" s="5" t="n"/>
      <c r="CQ135" s="5" t="n"/>
      <c r="CR135" s="5" t="n"/>
      <c r="CS135" s="5" t="n"/>
      <c r="CT135" s="5" t="n"/>
      <c r="CU135" s="5" t="n"/>
      <c r="CV135" s="5" t="n"/>
      <c r="CW135" s="5" t="n"/>
      <c r="CX135" s="5" t="n"/>
      <c r="CY135" s="5" t="n"/>
      <c r="CZ135" s="5" t="n"/>
      <c r="DA135" s="5" t="n"/>
      <c r="DB135" s="5" t="n"/>
      <c r="DC135" s="5" t="n"/>
      <c r="DD135" s="5" t="n"/>
      <c r="DE135" s="5" t="n"/>
      <c r="DF135" s="5" t="n"/>
      <c r="DG135" s="5" t="n"/>
      <c r="DH135" s="5" t="n"/>
      <c r="DI135" s="5" t="n"/>
      <c r="DJ135" s="5" t="n"/>
      <c r="DK135" s="5" t="n"/>
      <c r="DL135" s="5" t="n"/>
      <c r="DM135" s="5" t="n"/>
      <c r="DN135" s="5" t="n"/>
      <c r="DO135" s="5" t="n"/>
      <c r="DP135" s="5" t="n"/>
      <c r="DQ135" s="5" t="n"/>
      <c r="DR135" s="5" t="n"/>
      <c r="DS135" s="5" t="n"/>
      <c r="DT135" s="5" t="n"/>
      <c r="DU135" s="5" t="n"/>
      <c r="DV135" s="5" t="n"/>
      <c r="DW135" s="5" t="n"/>
      <c r="DX135" s="5" t="n"/>
      <c r="DY135" s="5" t="n"/>
      <c r="DZ135" s="5" t="n"/>
      <c r="EA135" s="5" t="n"/>
      <c r="EB135" s="5" t="n"/>
      <c r="EC135" s="5" t="n"/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</row>
    <row r="136"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  <c r="CE136" s="5" t="n"/>
      <c r="CF136" s="5" t="n"/>
      <c r="CG136" s="5" t="n"/>
      <c r="CH136" s="5" t="n"/>
      <c r="CI136" s="5" t="n"/>
      <c r="CJ136" s="5" t="n"/>
      <c r="CK136" s="5" t="n"/>
      <c r="CL136" s="5" t="n"/>
      <c r="CM136" s="5" t="n"/>
      <c r="CN136" s="5" t="n"/>
      <c r="CO136" s="5" t="n"/>
      <c r="CP136" s="5" t="n"/>
      <c r="CQ136" s="5" t="n"/>
      <c r="CR136" s="5" t="n"/>
      <c r="CS136" s="5" t="n"/>
      <c r="CT136" s="5" t="n"/>
      <c r="CU136" s="5" t="n"/>
      <c r="CV136" s="5" t="n"/>
      <c r="CW136" s="5" t="n"/>
      <c r="CX136" s="5" t="n"/>
      <c r="CY136" s="5" t="n"/>
      <c r="CZ136" s="5" t="n"/>
      <c r="DA136" s="5" t="n"/>
      <c r="DB136" s="5" t="n"/>
      <c r="DC136" s="5" t="n"/>
      <c r="DD136" s="5" t="n"/>
      <c r="DE136" s="5" t="n"/>
      <c r="DF136" s="5" t="n"/>
      <c r="DG136" s="5" t="n"/>
      <c r="DH136" s="5" t="n"/>
      <c r="DI136" s="5" t="n"/>
      <c r="DJ136" s="5" t="n"/>
      <c r="DK136" s="5" t="n"/>
      <c r="DL136" s="5" t="n"/>
      <c r="DM136" s="5" t="n"/>
      <c r="DN136" s="5" t="n"/>
      <c r="DO136" s="5" t="n"/>
      <c r="DP136" s="5" t="n"/>
      <c r="DQ136" s="5" t="n"/>
      <c r="DR136" s="5" t="n"/>
      <c r="DS136" s="5" t="n"/>
      <c r="DT136" s="5" t="n"/>
      <c r="DU136" s="5" t="n"/>
      <c r="DV136" s="5" t="n"/>
      <c r="DW136" s="5" t="n"/>
      <c r="DX136" s="5" t="n"/>
      <c r="DY136" s="5" t="n"/>
      <c r="DZ136" s="5" t="n"/>
      <c r="EA136" s="5" t="n"/>
      <c r="EB136" s="5" t="n"/>
      <c r="EC136" s="5" t="n"/>
      <c r="ED136" s="5" t="n"/>
      <c r="EE136" s="5" t="n"/>
      <c r="EF136" s="5" t="n"/>
      <c r="EG136" s="5" t="n"/>
      <c r="EH136" s="5" t="n"/>
      <c r="EI136" s="5" t="n"/>
      <c r="EJ136" s="5" t="n"/>
      <c r="EK136" s="5" t="n"/>
      <c r="EL136" s="5" t="n"/>
    </row>
    <row r="137"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  <c r="CE137" s="5" t="n"/>
      <c r="CF137" s="5" t="n"/>
      <c r="CG137" s="5" t="n"/>
      <c r="CH137" s="5" t="n"/>
      <c r="CI137" s="5" t="n"/>
      <c r="CJ137" s="5" t="n"/>
      <c r="CK137" s="5" t="n"/>
      <c r="CL137" s="5" t="n"/>
      <c r="CM137" s="5" t="n"/>
      <c r="CN137" s="5" t="n"/>
      <c r="CO137" s="5" t="n"/>
      <c r="CP137" s="5" t="n"/>
      <c r="CQ137" s="5" t="n"/>
      <c r="CR137" s="5" t="n"/>
      <c r="CS137" s="5" t="n"/>
      <c r="CT137" s="5" t="n"/>
      <c r="CU137" s="5" t="n"/>
      <c r="CV137" s="5" t="n"/>
      <c r="CW137" s="5" t="n"/>
      <c r="CX137" s="5" t="n"/>
      <c r="CY137" s="5" t="n"/>
      <c r="CZ137" s="5" t="n"/>
      <c r="DA137" s="5" t="n"/>
      <c r="DB137" s="5" t="n"/>
      <c r="DC137" s="5" t="n"/>
      <c r="DD137" s="5" t="n"/>
      <c r="DE137" s="5" t="n"/>
      <c r="DF137" s="5" t="n"/>
      <c r="DG137" s="5" t="n"/>
      <c r="DH137" s="5" t="n"/>
      <c r="DI137" s="5" t="n"/>
      <c r="DJ137" s="5" t="n"/>
      <c r="DK137" s="5" t="n"/>
      <c r="DL137" s="5" t="n"/>
      <c r="DM137" s="5" t="n"/>
      <c r="DN137" s="5" t="n"/>
      <c r="DO137" s="5" t="n"/>
      <c r="DP137" s="5" t="n"/>
      <c r="DQ137" s="5" t="n"/>
      <c r="DR137" s="5" t="n"/>
      <c r="DS137" s="5" t="n"/>
      <c r="DT137" s="5" t="n"/>
      <c r="DU137" s="5" t="n"/>
      <c r="DV137" s="5" t="n"/>
      <c r="DW137" s="5" t="n"/>
      <c r="DX137" s="5" t="n"/>
      <c r="DY137" s="5" t="n"/>
      <c r="DZ137" s="5" t="n"/>
      <c r="EA137" s="5" t="n"/>
      <c r="EB137" s="5" t="n"/>
      <c r="EC137" s="5" t="n"/>
      <c r="ED137" s="5" t="n"/>
      <c r="EE137" s="5" t="n"/>
      <c r="EF137" s="5" t="n"/>
      <c r="EG137" s="5" t="n"/>
      <c r="EH137" s="5" t="n"/>
      <c r="EI137" s="5" t="n"/>
      <c r="EJ137" s="5" t="n"/>
      <c r="EK137" s="5" t="n"/>
      <c r="EL137" s="5" t="n"/>
    </row>
    <row r="138"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  <c r="CE138" s="5" t="n"/>
      <c r="CF138" s="5" t="n"/>
      <c r="CG138" s="5" t="n"/>
      <c r="CH138" s="5" t="n"/>
      <c r="CI138" s="5" t="n"/>
      <c r="CJ138" s="5" t="n"/>
      <c r="CK138" s="5" t="n"/>
      <c r="CL138" s="5" t="n"/>
      <c r="CM138" s="5" t="n"/>
      <c r="CN138" s="5" t="n"/>
      <c r="CO138" s="5" t="n"/>
      <c r="CP138" s="5" t="n"/>
      <c r="CQ138" s="5" t="n"/>
      <c r="CR138" s="5" t="n"/>
      <c r="CS138" s="5" t="n"/>
      <c r="CT138" s="5" t="n"/>
      <c r="CU138" s="5" t="n"/>
      <c r="CV138" s="5" t="n"/>
      <c r="CW138" s="5" t="n"/>
      <c r="CX138" s="5" t="n"/>
      <c r="CY138" s="5" t="n"/>
      <c r="CZ138" s="5" t="n"/>
      <c r="DA138" s="5" t="n"/>
      <c r="DB138" s="5" t="n"/>
      <c r="DC138" s="5" t="n"/>
      <c r="DD138" s="5" t="n"/>
      <c r="DE138" s="5" t="n"/>
      <c r="DF138" s="5" t="n"/>
      <c r="DG138" s="5" t="n"/>
      <c r="DH138" s="5" t="n"/>
      <c r="DI138" s="5" t="n"/>
      <c r="DJ138" s="5" t="n"/>
      <c r="DK138" s="5" t="n"/>
      <c r="DL138" s="5" t="n"/>
      <c r="DM138" s="5" t="n"/>
      <c r="DN138" s="5" t="n"/>
      <c r="DO138" s="5" t="n"/>
      <c r="DP138" s="5" t="n"/>
      <c r="DQ138" s="5" t="n"/>
      <c r="DR138" s="5" t="n"/>
      <c r="DS138" s="5" t="n"/>
      <c r="DT138" s="5" t="n"/>
      <c r="DU138" s="5" t="n"/>
      <c r="DV138" s="5" t="n"/>
      <c r="DW138" s="5" t="n"/>
      <c r="DX138" s="5" t="n"/>
      <c r="DY138" s="5" t="n"/>
      <c r="DZ138" s="5" t="n"/>
      <c r="EA138" s="5" t="n"/>
      <c r="EB138" s="5" t="n"/>
      <c r="EC138" s="5" t="n"/>
      <c r="ED138" s="5" t="n"/>
      <c r="EE138" s="5" t="n"/>
      <c r="EF138" s="5" t="n"/>
      <c r="EG138" s="5" t="n"/>
      <c r="EH138" s="5" t="n"/>
      <c r="EI138" s="5" t="n"/>
      <c r="EJ138" s="5" t="n"/>
      <c r="EK138" s="5" t="n"/>
      <c r="EL138" s="5" t="n"/>
    </row>
    <row r="139"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  <c r="CZ139" s="5" t="n"/>
      <c r="DA139" s="5" t="n"/>
      <c r="DB139" s="5" t="n"/>
      <c r="DC139" s="5" t="n"/>
      <c r="DD139" s="5" t="n"/>
      <c r="DE139" s="5" t="n"/>
      <c r="DF139" s="5" t="n"/>
      <c r="DG139" s="5" t="n"/>
      <c r="DH139" s="5" t="n"/>
      <c r="DI139" s="5" t="n"/>
      <c r="DJ139" s="5" t="n"/>
      <c r="DK139" s="5" t="n"/>
      <c r="DL139" s="5" t="n"/>
      <c r="DM139" s="5" t="n"/>
      <c r="DN139" s="5" t="n"/>
      <c r="DO139" s="5" t="n"/>
      <c r="DP139" s="5" t="n"/>
      <c r="DQ139" s="5" t="n"/>
      <c r="DR139" s="5" t="n"/>
      <c r="DS139" s="5" t="n"/>
      <c r="DT139" s="5" t="n"/>
      <c r="DU139" s="5" t="n"/>
      <c r="DV139" s="5" t="n"/>
      <c r="DW139" s="5" t="n"/>
      <c r="DX139" s="5" t="n"/>
      <c r="DY139" s="5" t="n"/>
      <c r="DZ139" s="5" t="n"/>
      <c r="EA139" s="5" t="n"/>
      <c r="EB139" s="5" t="n"/>
      <c r="EC139" s="5" t="n"/>
      <c r="ED139" s="5" t="n"/>
      <c r="EE139" s="5" t="n"/>
      <c r="EF139" s="5" t="n"/>
      <c r="EG139" s="5" t="n"/>
      <c r="EH139" s="5" t="n"/>
      <c r="EI139" s="5" t="n"/>
      <c r="EJ139" s="5" t="n"/>
      <c r="EK139" s="5" t="n"/>
      <c r="EL139" s="5" t="n"/>
    </row>
    <row r="140"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  <c r="CE140" s="5" t="n"/>
      <c r="CF140" s="5" t="n"/>
      <c r="CG140" s="5" t="n"/>
      <c r="CH140" s="5" t="n"/>
      <c r="CI140" s="5" t="n"/>
      <c r="CJ140" s="5" t="n"/>
      <c r="CK140" s="5" t="n"/>
      <c r="CL140" s="5" t="n"/>
      <c r="CM140" s="5" t="n"/>
      <c r="CN140" s="5" t="n"/>
      <c r="CO140" s="5" t="n"/>
      <c r="CP140" s="5" t="n"/>
      <c r="CQ140" s="5" t="n"/>
      <c r="CR140" s="5" t="n"/>
      <c r="CS140" s="5" t="n"/>
      <c r="CT140" s="5" t="n"/>
      <c r="CU140" s="5" t="n"/>
      <c r="CV140" s="5" t="n"/>
      <c r="CW140" s="5" t="n"/>
      <c r="CX140" s="5" t="n"/>
      <c r="CY140" s="5" t="n"/>
      <c r="CZ140" s="5" t="n"/>
      <c r="DA140" s="5" t="n"/>
      <c r="DB140" s="5" t="n"/>
      <c r="DC140" s="5" t="n"/>
      <c r="DD140" s="5" t="n"/>
      <c r="DE140" s="5" t="n"/>
      <c r="DF140" s="5" t="n"/>
      <c r="DG140" s="5" t="n"/>
      <c r="DH140" s="5" t="n"/>
      <c r="DI140" s="5" t="n"/>
      <c r="DJ140" s="5" t="n"/>
      <c r="DK140" s="5" t="n"/>
      <c r="DL140" s="5" t="n"/>
      <c r="DM140" s="5" t="n"/>
      <c r="DN140" s="5" t="n"/>
      <c r="DO140" s="5" t="n"/>
      <c r="DP140" s="5" t="n"/>
      <c r="DQ140" s="5" t="n"/>
      <c r="DR140" s="5" t="n"/>
      <c r="DS140" s="5" t="n"/>
      <c r="DT140" s="5" t="n"/>
      <c r="DU140" s="5" t="n"/>
      <c r="DV140" s="5" t="n"/>
      <c r="DW140" s="5" t="n"/>
      <c r="DX140" s="5" t="n"/>
      <c r="DY140" s="5" t="n"/>
      <c r="DZ140" s="5" t="n"/>
      <c r="EA140" s="5" t="n"/>
      <c r="EB140" s="5" t="n"/>
      <c r="EC140" s="5" t="n"/>
      <c r="ED140" s="5" t="n"/>
      <c r="EE140" s="5" t="n"/>
      <c r="EF140" s="5" t="n"/>
      <c r="EG140" s="5" t="n"/>
      <c r="EH140" s="5" t="n"/>
      <c r="EI140" s="5" t="n"/>
      <c r="EJ140" s="5" t="n"/>
      <c r="EK140" s="5" t="n"/>
      <c r="EL140" s="5" t="n"/>
    </row>
    <row r="141"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  <c r="CE141" s="5" t="n"/>
      <c r="CF141" s="5" t="n"/>
      <c r="CG141" s="5" t="n"/>
      <c r="CH141" s="5" t="n"/>
      <c r="CI141" s="5" t="n"/>
      <c r="CJ141" s="5" t="n"/>
      <c r="CK141" s="5" t="n"/>
      <c r="CL141" s="5" t="n"/>
      <c r="CM141" s="5" t="n"/>
      <c r="CN141" s="5" t="n"/>
      <c r="CO141" s="5" t="n"/>
      <c r="CP141" s="5" t="n"/>
      <c r="CQ141" s="5" t="n"/>
      <c r="CR141" s="5" t="n"/>
      <c r="CS141" s="5" t="n"/>
      <c r="CT141" s="5" t="n"/>
      <c r="CU141" s="5" t="n"/>
      <c r="CV141" s="5" t="n"/>
      <c r="CW141" s="5" t="n"/>
      <c r="CX141" s="5" t="n"/>
      <c r="CY141" s="5" t="n"/>
      <c r="CZ141" s="5" t="n"/>
      <c r="DA141" s="5" t="n"/>
      <c r="DB141" s="5" t="n"/>
      <c r="DC141" s="5" t="n"/>
      <c r="DD141" s="5" t="n"/>
      <c r="DE141" s="5" t="n"/>
      <c r="DF141" s="5" t="n"/>
      <c r="DG141" s="5" t="n"/>
      <c r="DH141" s="5" t="n"/>
      <c r="DI141" s="5" t="n"/>
      <c r="DJ141" s="5" t="n"/>
      <c r="DK141" s="5" t="n"/>
      <c r="DL141" s="5" t="n"/>
      <c r="DM141" s="5" t="n"/>
      <c r="DN141" s="5" t="n"/>
      <c r="DO141" s="5" t="n"/>
      <c r="DP141" s="5" t="n"/>
      <c r="DQ141" s="5" t="n"/>
      <c r="DR141" s="5" t="n"/>
      <c r="DS141" s="5" t="n"/>
      <c r="DT141" s="5" t="n"/>
      <c r="DU141" s="5" t="n"/>
      <c r="DV141" s="5" t="n"/>
      <c r="DW141" s="5" t="n"/>
      <c r="DX141" s="5" t="n"/>
      <c r="DY141" s="5" t="n"/>
      <c r="DZ141" s="5" t="n"/>
      <c r="EA141" s="5" t="n"/>
      <c r="EB141" s="5" t="n"/>
      <c r="EC141" s="5" t="n"/>
      <c r="ED141" s="5" t="n"/>
      <c r="EE141" s="5" t="n"/>
      <c r="EF141" s="5" t="n"/>
      <c r="EG141" s="5" t="n"/>
      <c r="EH141" s="5" t="n"/>
      <c r="EI141" s="5" t="n"/>
      <c r="EJ141" s="5" t="n"/>
      <c r="EK141" s="5" t="n"/>
      <c r="EL141" s="5" t="n"/>
    </row>
    <row r="142"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  <c r="CE142" s="5" t="n"/>
      <c r="CF142" s="5" t="n"/>
      <c r="CG142" s="5" t="n"/>
      <c r="CH142" s="5" t="n"/>
      <c r="CI142" s="5" t="n"/>
      <c r="CJ142" s="5" t="n"/>
      <c r="CK142" s="5" t="n"/>
      <c r="CL142" s="5" t="n"/>
      <c r="CM142" s="5" t="n"/>
      <c r="CN142" s="5" t="n"/>
      <c r="CO142" s="5" t="n"/>
      <c r="CP142" s="5" t="n"/>
      <c r="CQ142" s="5" t="n"/>
      <c r="CR142" s="5" t="n"/>
      <c r="CS142" s="5" t="n"/>
      <c r="CT142" s="5" t="n"/>
      <c r="CU142" s="5" t="n"/>
      <c r="CV142" s="5" t="n"/>
      <c r="CW142" s="5" t="n"/>
      <c r="CX142" s="5" t="n"/>
      <c r="CY142" s="5" t="n"/>
      <c r="CZ142" s="5" t="n"/>
      <c r="DA142" s="5" t="n"/>
      <c r="DB142" s="5" t="n"/>
      <c r="DC142" s="5" t="n"/>
      <c r="DD142" s="5" t="n"/>
      <c r="DE142" s="5" t="n"/>
      <c r="DF142" s="5" t="n"/>
      <c r="DG142" s="5" t="n"/>
      <c r="DH142" s="5" t="n"/>
      <c r="DI142" s="5" t="n"/>
      <c r="DJ142" s="5" t="n"/>
      <c r="DK142" s="5" t="n"/>
      <c r="DL142" s="5" t="n"/>
      <c r="DM142" s="5" t="n"/>
      <c r="DN142" s="5" t="n"/>
      <c r="DO142" s="5" t="n"/>
      <c r="DP142" s="5" t="n"/>
      <c r="DQ142" s="5" t="n"/>
      <c r="DR142" s="5" t="n"/>
      <c r="DS142" s="5" t="n"/>
      <c r="DT142" s="5" t="n"/>
      <c r="DU142" s="5" t="n"/>
      <c r="DV142" s="5" t="n"/>
      <c r="DW142" s="5" t="n"/>
      <c r="DX142" s="5" t="n"/>
      <c r="DY142" s="5" t="n"/>
      <c r="DZ142" s="5" t="n"/>
      <c r="EA142" s="5" t="n"/>
      <c r="EB142" s="5" t="n"/>
      <c r="EC142" s="5" t="n"/>
      <c r="ED142" s="5" t="n"/>
      <c r="EE142" s="5" t="n"/>
      <c r="EF142" s="5" t="n"/>
      <c r="EG142" s="5" t="n"/>
      <c r="EH142" s="5" t="n"/>
      <c r="EI142" s="5" t="n"/>
      <c r="EJ142" s="5" t="n"/>
      <c r="EK142" s="5" t="n"/>
      <c r="EL142" s="5" t="n"/>
    </row>
    <row r="143"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  <c r="CE143" s="5" t="n"/>
      <c r="CF143" s="5" t="n"/>
      <c r="CG143" s="5" t="n"/>
      <c r="CH143" s="5" t="n"/>
      <c r="CI143" s="5" t="n"/>
      <c r="CJ143" s="5" t="n"/>
      <c r="CK143" s="5" t="n"/>
      <c r="CL143" s="5" t="n"/>
      <c r="CM143" s="5" t="n"/>
      <c r="CN143" s="5" t="n"/>
      <c r="CO143" s="5" t="n"/>
      <c r="CP143" s="5" t="n"/>
      <c r="CQ143" s="5" t="n"/>
      <c r="CR143" s="5" t="n"/>
      <c r="CS143" s="5" t="n"/>
      <c r="CT143" s="5" t="n"/>
      <c r="CU143" s="5" t="n"/>
      <c r="CV143" s="5" t="n"/>
      <c r="CW143" s="5" t="n"/>
      <c r="CX143" s="5" t="n"/>
      <c r="CY143" s="5" t="n"/>
      <c r="CZ143" s="5" t="n"/>
      <c r="DA143" s="5" t="n"/>
      <c r="DB143" s="5" t="n"/>
      <c r="DC143" s="5" t="n"/>
      <c r="DD143" s="5" t="n"/>
      <c r="DE143" s="5" t="n"/>
      <c r="DF143" s="5" t="n"/>
      <c r="DG143" s="5" t="n"/>
      <c r="DH143" s="5" t="n"/>
      <c r="DI143" s="5" t="n"/>
      <c r="DJ143" s="5" t="n"/>
      <c r="DK143" s="5" t="n"/>
      <c r="DL143" s="5" t="n"/>
      <c r="DM143" s="5" t="n"/>
      <c r="DN143" s="5" t="n"/>
      <c r="DO143" s="5" t="n"/>
      <c r="DP143" s="5" t="n"/>
      <c r="DQ143" s="5" t="n"/>
      <c r="DR143" s="5" t="n"/>
      <c r="DS143" s="5" t="n"/>
      <c r="DT143" s="5" t="n"/>
      <c r="DU143" s="5" t="n"/>
      <c r="DV143" s="5" t="n"/>
      <c r="DW143" s="5" t="n"/>
      <c r="DX143" s="5" t="n"/>
      <c r="DY143" s="5" t="n"/>
      <c r="DZ143" s="5" t="n"/>
      <c r="EA143" s="5" t="n"/>
      <c r="EB143" s="5" t="n"/>
      <c r="EC143" s="5" t="n"/>
      <c r="ED143" s="5" t="n"/>
      <c r="EE143" s="5" t="n"/>
      <c r="EF143" s="5" t="n"/>
      <c r="EG143" s="5" t="n"/>
      <c r="EH143" s="5" t="n"/>
      <c r="EI143" s="5" t="n"/>
      <c r="EJ143" s="5" t="n"/>
      <c r="EK143" s="5" t="n"/>
      <c r="EL143" s="5" t="n"/>
    </row>
    <row r="144"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  <c r="CE144" s="5" t="n"/>
      <c r="CF144" s="5" t="n"/>
      <c r="CG144" s="5" t="n"/>
      <c r="CH144" s="5" t="n"/>
      <c r="CI144" s="5" t="n"/>
      <c r="CJ144" s="5" t="n"/>
      <c r="CK144" s="5" t="n"/>
      <c r="CL144" s="5" t="n"/>
      <c r="CM144" s="5" t="n"/>
      <c r="CN144" s="5" t="n"/>
      <c r="CO144" s="5" t="n"/>
      <c r="CP144" s="5" t="n"/>
      <c r="CQ144" s="5" t="n"/>
      <c r="CR144" s="5" t="n"/>
      <c r="CS144" s="5" t="n"/>
      <c r="CT144" s="5" t="n"/>
      <c r="CU144" s="5" t="n"/>
      <c r="CV144" s="5" t="n"/>
      <c r="CW144" s="5" t="n"/>
      <c r="CX144" s="5" t="n"/>
      <c r="CY144" s="5" t="n"/>
      <c r="CZ144" s="5" t="n"/>
      <c r="DA144" s="5" t="n"/>
      <c r="DB144" s="5" t="n"/>
      <c r="DC144" s="5" t="n"/>
      <c r="DD144" s="5" t="n"/>
      <c r="DE144" s="5" t="n"/>
      <c r="DF144" s="5" t="n"/>
      <c r="DG144" s="5" t="n"/>
      <c r="DH144" s="5" t="n"/>
      <c r="DI144" s="5" t="n"/>
      <c r="DJ144" s="5" t="n"/>
      <c r="DK144" s="5" t="n"/>
      <c r="DL144" s="5" t="n"/>
      <c r="DM144" s="5" t="n"/>
      <c r="DN144" s="5" t="n"/>
      <c r="DO144" s="5" t="n"/>
      <c r="DP144" s="5" t="n"/>
      <c r="DQ144" s="5" t="n"/>
      <c r="DR144" s="5" t="n"/>
      <c r="DS144" s="5" t="n"/>
      <c r="DT144" s="5" t="n"/>
      <c r="DU144" s="5" t="n"/>
      <c r="DV144" s="5" t="n"/>
      <c r="DW144" s="5" t="n"/>
      <c r="DX144" s="5" t="n"/>
      <c r="DY144" s="5" t="n"/>
      <c r="DZ144" s="5" t="n"/>
      <c r="EA144" s="5" t="n"/>
      <c r="EB144" s="5" t="n"/>
      <c r="EC144" s="5" t="n"/>
      <c r="ED144" s="5" t="n"/>
      <c r="EE144" s="5" t="n"/>
      <c r="EF144" s="5" t="n"/>
      <c r="EG144" s="5" t="n"/>
      <c r="EH144" s="5" t="n"/>
      <c r="EI144" s="5" t="n"/>
      <c r="EJ144" s="5" t="n"/>
      <c r="EK144" s="5" t="n"/>
      <c r="EL144" s="5" t="n"/>
    </row>
    <row r="145"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  <c r="CZ145" s="5" t="n"/>
      <c r="DA145" s="5" t="n"/>
      <c r="DB145" s="5" t="n"/>
      <c r="DC145" s="5" t="n"/>
      <c r="DD145" s="5" t="n"/>
      <c r="DE145" s="5" t="n"/>
      <c r="DF145" s="5" t="n"/>
      <c r="DG145" s="5" t="n"/>
      <c r="DH145" s="5" t="n"/>
      <c r="DI145" s="5" t="n"/>
      <c r="DJ145" s="5" t="n"/>
      <c r="DK145" s="5" t="n"/>
      <c r="DL145" s="5" t="n"/>
      <c r="DM145" s="5" t="n"/>
      <c r="DN145" s="5" t="n"/>
      <c r="DO145" s="5" t="n"/>
      <c r="DP145" s="5" t="n"/>
      <c r="DQ145" s="5" t="n"/>
      <c r="DR145" s="5" t="n"/>
      <c r="DS145" s="5" t="n"/>
      <c r="DT145" s="5" t="n"/>
      <c r="DU145" s="5" t="n"/>
      <c r="DV145" s="5" t="n"/>
      <c r="DW145" s="5" t="n"/>
      <c r="DX145" s="5" t="n"/>
      <c r="DY145" s="5" t="n"/>
      <c r="DZ145" s="5" t="n"/>
      <c r="EA145" s="5" t="n"/>
      <c r="EB145" s="5" t="n"/>
      <c r="EC145" s="5" t="n"/>
      <c r="ED145" s="5" t="n"/>
      <c r="EE145" s="5" t="n"/>
      <c r="EF145" s="5" t="n"/>
      <c r="EG145" s="5" t="n"/>
      <c r="EH145" s="5" t="n"/>
      <c r="EI145" s="5" t="n"/>
      <c r="EJ145" s="5" t="n"/>
      <c r="EK145" s="5" t="n"/>
      <c r="EL145" s="5" t="n"/>
    </row>
    <row r="146"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  <c r="CE146" s="5" t="n"/>
      <c r="CF146" s="5" t="n"/>
      <c r="CG146" s="5" t="n"/>
      <c r="CH146" s="5" t="n"/>
      <c r="CI146" s="5" t="n"/>
      <c r="CJ146" s="5" t="n"/>
      <c r="CK146" s="5" t="n"/>
      <c r="CL146" s="5" t="n"/>
      <c r="CM146" s="5" t="n"/>
      <c r="CN146" s="5" t="n"/>
      <c r="CO146" s="5" t="n"/>
      <c r="CP146" s="5" t="n"/>
      <c r="CQ146" s="5" t="n"/>
      <c r="CR146" s="5" t="n"/>
      <c r="CS146" s="5" t="n"/>
      <c r="CT146" s="5" t="n"/>
      <c r="CU146" s="5" t="n"/>
      <c r="CV146" s="5" t="n"/>
      <c r="CW146" s="5" t="n"/>
      <c r="CX146" s="5" t="n"/>
      <c r="CY146" s="5" t="n"/>
      <c r="CZ146" s="5" t="n"/>
      <c r="DA146" s="5" t="n"/>
      <c r="DB146" s="5" t="n"/>
      <c r="DC146" s="5" t="n"/>
      <c r="DD146" s="5" t="n"/>
      <c r="DE146" s="5" t="n"/>
      <c r="DF146" s="5" t="n"/>
      <c r="DG146" s="5" t="n"/>
      <c r="DH146" s="5" t="n"/>
      <c r="DI146" s="5" t="n"/>
      <c r="DJ146" s="5" t="n"/>
      <c r="DK146" s="5" t="n"/>
      <c r="DL146" s="5" t="n"/>
      <c r="DM146" s="5" t="n"/>
      <c r="DN146" s="5" t="n"/>
      <c r="DO146" s="5" t="n"/>
      <c r="DP146" s="5" t="n"/>
      <c r="DQ146" s="5" t="n"/>
      <c r="DR146" s="5" t="n"/>
      <c r="DS146" s="5" t="n"/>
      <c r="DT146" s="5" t="n"/>
      <c r="DU146" s="5" t="n"/>
      <c r="DV146" s="5" t="n"/>
      <c r="DW146" s="5" t="n"/>
      <c r="DX146" s="5" t="n"/>
      <c r="DY146" s="5" t="n"/>
      <c r="DZ146" s="5" t="n"/>
      <c r="EA146" s="5" t="n"/>
      <c r="EB146" s="5" t="n"/>
      <c r="EC146" s="5" t="n"/>
      <c r="ED146" s="5" t="n"/>
      <c r="EE146" s="5" t="n"/>
      <c r="EF146" s="5" t="n"/>
      <c r="EG146" s="5" t="n"/>
      <c r="EH146" s="5" t="n"/>
      <c r="EI146" s="5" t="n"/>
      <c r="EJ146" s="5" t="n"/>
      <c r="EK146" s="5" t="n"/>
      <c r="EL146" s="5" t="n"/>
    </row>
    <row r="147"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  <c r="CE147" s="5" t="n"/>
      <c r="CF147" s="5" t="n"/>
      <c r="CG147" s="5" t="n"/>
      <c r="CH147" s="5" t="n"/>
      <c r="CI147" s="5" t="n"/>
      <c r="CJ147" s="5" t="n"/>
      <c r="CK147" s="5" t="n"/>
      <c r="CL147" s="5" t="n"/>
      <c r="CM147" s="5" t="n"/>
      <c r="CN147" s="5" t="n"/>
      <c r="CO147" s="5" t="n"/>
      <c r="CP147" s="5" t="n"/>
      <c r="CQ147" s="5" t="n"/>
      <c r="CR147" s="5" t="n"/>
      <c r="CS147" s="5" t="n"/>
      <c r="CT147" s="5" t="n"/>
      <c r="CU147" s="5" t="n"/>
      <c r="CV147" s="5" t="n"/>
      <c r="CW147" s="5" t="n"/>
      <c r="CX147" s="5" t="n"/>
      <c r="CY147" s="5" t="n"/>
      <c r="CZ147" s="5" t="n"/>
      <c r="DA147" s="5" t="n"/>
      <c r="DB147" s="5" t="n"/>
      <c r="DC147" s="5" t="n"/>
      <c r="DD147" s="5" t="n"/>
      <c r="DE147" s="5" t="n"/>
      <c r="DF147" s="5" t="n"/>
      <c r="DG147" s="5" t="n"/>
      <c r="DH147" s="5" t="n"/>
      <c r="DI147" s="5" t="n"/>
      <c r="DJ147" s="5" t="n"/>
      <c r="DK147" s="5" t="n"/>
      <c r="DL147" s="5" t="n"/>
      <c r="DM147" s="5" t="n"/>
      <c r="DN147" s="5" t="n"/>
      <c r="DO147" s="5" t="n"/>
      <c r="DP147" s="5" t="n"/>
      <c r="DQ147" s="5" t="n"/>
      <c r="DR147" s="5" t="n"/>
      <c r="DS147" s="5" t="n"/>
      <c r="DT147" s="5" t="n"/>
      <c r="DU147" s="5" t="n"/>
      <c r="DV147" s="5" t="n"/>
      <c r="DW147" s="5" t="n"/>
      <c r="DX147" s="5" t="n"/>
      <c r="DY147" s="5" t="n"/>
      <c r="DZ147" s="5" t="n"/>
      <c r="EA147" s="5" t="n"/>
      <c r="EB147" s="5" t="n"/>
      <c r="EC147" s="5" t="n"/>
      <c r="ED147" s="5" t="n"/>
      <c r="EE147" s="5" t="n"/>
      <c r="EF147" s="5" t="n"/>
      <c r="EG147" s="5" t="n"/>
      <c r="EH147" s="5" t="n"/>
      <c r="EI147" s="5" t="n"/>
      <c r="EJ147" s="5" t="n"/>
      <c r="EK147" s="5" t="n"/>
      <c r="EL147" s="5" t="n"/>
    </row>
    <row r="148"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  <c r="CE148" s="5" t="n"/>
      <c r="CF148" s="5" t="n"/>
      <c r="CG148" s="5" t="n"/>
      <c r="CH148" s="5" t="n"/>
      <c r="CI148" s="5" t="n"/>
      <c r="CJ148" s="5" t="n"/>
      <c r="CK148" s="5" t="n"/>
      <c r="CL148" s="5" t="n"/>
      <c r="CM148" s="5" t="n"/>
      <c r="CN148" s="5" t="n"/>
      <c r="CO148" s="5" t="n"/>
      <c r="CP148" s="5" t="n"/>
      <c r="CQ148" s="5" t="n"/>
      <c r="CR148" s="5" t="n"/>
      <c r="CS148" s="5" t="n"/>
      <c r="CT148" s="5" t="n"/>
      <c r="CU148" s="5" t="n"/>
      <c r="CV148" s="5" t="n"/>
      <c r="CW148" s="5" t="n"/>
      <c r="CX148" s="5" t="n"/>
      <c r="CY148" s="5" t="n"/>
      <c r="CZ148" s="5" t="n"/>
      <c r="DA148" s="5" t="n"/>
      <c r="DB148" s="5" t="n"/>
      <c r="DC148" s="5" t="n"/>
      <c r="DD148" s="5" t="n"/>
      <c r="DE148" s="5" t="n"/>
      <c r="DF148" s="5" t="n"/>
      <c r="DG148" s="5" t="n"/>
      <c r="DH148" s="5" t="n"/>
      <c r="DI148" s="5" t="n"/>
      <c r="DJ148" s="5" t="n"/>
      <c r="DK148" s="5" t="n"/>
      <c r="DL148" s="5" t="n"/>
      <c r="DM148" s="5" t="n"/>
      <c r="DN148" s="5" t="n"/>
      <c r="DO148" s="5" t="n"/>
      <c r="DP148" s="5" t="n"/>
      <c r="DQ148" s="5" t="n"/>
      <c r="DR148" s="5" t="n"/>
      <c r="DS148" s="5" t="n"/>
      <c r="DT148" s="5" t="n"/>
      <c r="DU148" s="5" t="n"/>
      <c r="DV148" s="5" t="n"/>
      <c r="DW148" s="5" t="n"/>
      <c r="DX148" s="5" t="n"/>
      <c r="DY148" s="5" t="n"/>
      <c r="DZ148" s="5" t="n"/>
      <c r="EA148" s="5" t="n"/>
      <c r="EB148" s="5" t="n"/>
      <c r="EC148" s="5" t="n"/>
      <c r="ED148" s="5" t="n"/>
      <c r="EE148" s="5" t="n"/>
      <c r="EF148" s="5" t="n"/>
      <c r="EG148" s="5" t="n"/>
      <c r="EH148" s="5" t="n"/>
      <c r="EI148" s="5" t="n"/>
      <c r="EJ148" s="5" t="n"/>
      <c r="EK148" s="5" t="n"/>
      <c r="EL148" s="5" t="n"/>
    </row>
    <row r="149"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  <c r="CE149" s="5" t="n"/>
      <c r="CF149" s="5" t="n"/>
      <c r="CG149" s="5" t="n"/>
      <c r="CH149" s="5" t="n"/>
      <c r="CI149" s="5" t="n"/>
      <c r="CJ149" s="5" t="n"/>
      <c r="CK149" s="5" t="n"/>
      <c r="CL149" s="5" t="n"/>
      <c r="CM149" s="5" t="n"/>
      <c r="CN149" s="5" t="n"/>
      <c r="CO149" s="5" t="n"/>
      <c r="CP149" s="5" t="n"/>
      <c r="CQ149" s="5" t="n"/>
      <c r="CR149" s="5" t="n"/>
      <c r="CS149" s="5" t="n"/>
      <c r="CT149" s="5" t="n"/>
      <c r="CU149" s="5" t="n"/>
      <c r="CV149" s="5" t="n"/>
      <c r="CW149" s="5" t="n"/>
      <c r="CX149" s="5" t="n"/>
      <c r="CY149" s="5" t="n"/>
      <c r="CZ149" s="5" t="n"/>
      <c r="DA149" s="5" t="n"/>
      <c r="DB149" s="5" t="n"/>
      <c r="DC149" s="5" t="n"/>
      <c r="DD149" s="5" t="n"/>
      <c r="DE149" s="5" t="n"/>
      <c r="DF149" s="5" t="n"/>
      <c r="DG149" s="5" t="n"/>
      <c r="DH149" s="5" t="n"/>
      <c r="DI149" s="5" t="n"/>
      <c r="DJ149" s="5" t="n"/>
      <c r="DK149" s="5" t="n"/>
      <c r="DL149" s="5" t="n"/>
      <c r="DM149" s="5" t="n"/>
      <c r="DN149" s="5" t="n"/>
      <c r="DO149" s="5" t="n"/>
      <c r="DP149" s="5" t="n"/>
      <c r="DQ149" s="5" t="n"/>
      <c r="DR149" s="5" t="n"/>
      <c r="DS149" s="5" t="n"/>
      <c r="DT149" s="5" t="n"/>
      <c r="DU149" s="5" t="n"/>
      <c r="DV149" s="5" t="n"/>
      <c r="DW149" s="5" t="n"/>
      <c r="DX149" s="5" t="n"/>
      <c r="DY149" s="5" t="n"/>
      <c r="DZ149" s="5" t="n"/>
      <c r="EA149" s="5" t="n"/>
      <c r="EB149" s="5" t="n"/>
      <c r="EC149" s="5" t="n"/>
      <c r="ED149" s="5" t="n"/>
      <c r="EE149" s="5" t="n"/>
      <c r="EF149" s="5" t="n"/>
      <c r="EG149" s="5" t="n"/>
      <c r="EH149" s="5" t="n"/>
      <c r="EI149" s="5" t="n"/>
      <c r="EJ149" s="5" t="n"/>
      <c r="EK149" s="5" t="n"/>
      <c r="EL149" s="5" t="n"/>
    </row>
    <row r="150"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  <c r="CE150" s="5" t="n"/>
      <c r="CF150" s="5" t="n"/>
      <c r="CG150" s="5" t="n"/>
      <c r="CH150" s="5" t="n"/>
      <c r="CI150" s="5" t="n"/>
      <c r="CJ150" s="5" t="n"/>
      <c r="CK150" s="5" t="n"/>
      <c r="CL150" s="5" t="n"/>
      <c r="CM150" s="5" t="n"/>
      <c r="CN150" s="5" t="n"/>
      <c r="CO150" s="5" t="n"/>
      <c r="CP150" s="5" t="n"/>
      <c r="CQ150" s="5" t="n"/>
      <c r="CR150" s="5" t="n"/>
      <c r="CS150" s="5" t="n"/>
      <c r="CT150" s="5" t="n"/>
      <c r="CU150" s="5" t="n"/>
      <c r="CV150" s="5" t="n"/>
      <c r="CW150" s="5" t="n"/>
      <c r="CX150" s="5" t="n"/>
      <c r="CY150" s="5" t="n"/>
      <c r="CZ150" s="5" t="n"/>
      <c r="DA150" s="5" t="n"/>
      <c r="DB150" s="5" t="n"/>
      <c r="DC150" s="5" t="n"/>
      <c r="DD150" s="5" t="n"/>
      <c r="DE150" s="5" t="n"/>
      <c r="DF150" s="5" t="n"/>
      <c r="DG150" s="5" t="n"/>
      <c r="DH150" s="5" t="n"/>
      <c r="DI150" s="5" t="n"/>
      <c r="DJ150" s="5" t="n"/>
      <c r="DK150" s="5" t="n"/>
      <c r="DL150" s="5" t="n"/>
      <c r="DM150" s="5" t="n"/>
      <c r="DN150" s="5" t="n"/>
      <c r="DO150" s="5" t="n"/>
      <c r="DP150" s="5" t="n"/>
      <c r="DQ150" s="5" t="n"/>
      <c r="DR150" s="5" t="n"/>
      <c r="DS150" s="5" t="n"/>
      <c r="DT150" s="5" t="n"/>
      <c r="DU150" s="5" t="n"/>
      <c r="DV150" s="5" t="n"/>
      <c r="DW150" s="5" t="n"/>
      <c r="DX150" s="5" t="n"/>
      <c r="DY150" s="5" t="n"/>
      <c r="DZ150" s="5" t="n"/>
      <c r="EA150" s="5" t="n"/>
      <c r="EB150" s="5" t="n"/>
      <c r="EC150" s="5" t="n"/>
      <c r="ED150" s="5" t="n"/>
      <c r="EE150" s="5" t="n"/>
      <c r="EF150" s="5" t="n"/>
      <c r="EG150" s="5" t="n"/>
      <c r="EH150" s="5" t="n"/>
      <c r="EI150" s="5" t="n"/>
      <c r="EJ150" s="5" t="n"/>
      <c r="EK150" s="5" t="n"/>
      <c r="EL150" s="5" t="n"/>
    </row>
    <row r="151"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  <c r="CZ151" s="5" t="n"/>
      <c r="DA151" s="5" t="n"/>
      <c r="DB151" s="5" t="n"/>
      <c r="DC151" s="5" t="n"/>
      <c r="DD151" s="5" t="n"/>
      <c r="DE151" s="5" t="n"/>
      <c r="DF151" s="5" t="n"/>
      <c r="DG151" s="5" t="n"/>
      <c r="DH151" s="5" t="n"/>
      <c r="DI151" s="5" t="n"/>
      <c r="DJ151" s="5" t="n"/>
      <c r="DK151" s="5" t="n"/>
      <c r="DL151" s="5" t="n"/>
      <c r="DM151" s="5" t="n"/>
      <c r="DN151" s="5" t="n"/>
      <c r="DO151" s="5" t="n"/>
      <c r="DP151" s="5" t="n"/>
      <c r="DQ151" s="5" t="n"/>
      <c r="DR151" s="5" t="n"/>
      <c r="DS151" s="5" t="n"/>
      <c r="DT151" s="5" t="n"/>
      <c r="DU151" s="5" t="n"/>
      <c r="DV151" s="5" t="n"/>
      <c r="DW151" s="5" t="n"/>
      <c r="DX151" s="5" t="n"/>
      <c r="DY151" s="5" t="n"/>
      <c r="DZ151" s="5" t="n"/>
      <c r="EA151" s="5" t="n"/>
      <c r="EB151" s="5" t="n"/>
      <c r="EC151" s="5" t="n"/>
      <c r="ED151" s="5" t="n"/>
      <c r="EE151" s="5" t="n"/>
      <c r="EF151" s="5" t="n"/>
      <c r="EG151" s="5" t="n"/>
      <c r="EH151" s="5" t="n"/>
      <c r="EI151" s="5" t="n"/>
      <c r="EJ151" s="5" t="n"/>
      <c r="EK151" s="5" t="n"/>
      <c r="EL151" s="5" t="n"/>
    </row>
    <row r="152"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  <c r="CE152" s="5" t="n"/>
      <c r="CF152" s="5" t="n"/>
      <c r="CG152" s="5" t="n"/>
      <c r="CH152" s="5" t="n"/>
      <c r="CI152" s="5" t="n"/>
      <c r="CJ152" s="5" t="n"/>
      <c r="CK152" s="5" t="n"/>
      <c r="CL152" s="5" t="n"/>
      <c r="CM152" s="5" t="n"/>
      <c r="CN152" s="5" t="n"/>
      <c r="CO152" s="5" t="n"/>
      <c r="CP152" s="5" t="n"/>
      <c r="CQ152" s="5" t="n"/>
      <c r="CR152" s="5" t="n"/>
      <c r="CS152" s="5" t="n"/>
      <c r="CT152" s="5" t="n"/>
      <c r="CU152" s="5" t="n"/>
      <c r="CV152" s="5" t="n"/>
      <c r="CW152" s="5" t="n"/>
      <c r="CX152" s="5" t="n"/>
      <c r="CY152" s="5" t="n"/>
      <c r="CZ152" s="5" t="n"/>
      <c r="DA152" s="5" t="n"/>
      <c r="DB152" s="5" t="n"/>
      <c r="DC152" s="5" t="n"/>
      <c r="DD152" s="5" t="n"/>
      <c r="DE152" s="5" t="n"/>
      <c r="DF152" s="5" t="n"/>
      <c r="DG152" s="5" t="n"/>
      <c r="DH152" s="5" t="n"/>
      <c r="DI152" s="5" t="n"/>
      <c r="DJ152" s="5" t="n"/>
      <c r="DK152" s="5" t="n"/>
      <c r="DL152" s="5" t="n"/>
      <c r="DM152" s="5" t="n"/>
      <c r="DN152" s="5" t="n"/>
      <c r="DO152" s="5" t="n"/>
      <c r="DP152" s="5" t="n"/>
      <c r="DQ152" s="5" t="n"/>
      <c r="DR152" s="5" t="n"/>
      <c r="DS152" s="5" t="n"/>
      <c r="DT152" s="5" t="n"/>
      <c r="DU152" s="5" t="n"/>
      <c r="DV152" s="5" t="n"/>
      <c r="DW152" s="5" t="n"/>
      <c r="DX152" s="5" t="n"/>
      <c r="DY152" s="5" t="n"/>
      <c r="DZ152" s="5" t="n"/>
      <c r="EA152" s="5" t="n"/>
      <c r="EB152" s="5" t="n"/>
      <c r="EC152" s="5" t="n"/>
      <c r="ED152" s="5" t="n"/>
      <c r="EE152" s="5" t="n"/>
      <c r="EF152" s="5" t="n"/>
      <c r="EG152" s="5" t="n"/>
      <c r="EH152" s="5" t="n"/>
      <c r="EI152" s="5" t="n"/>
      <c r="EJ152" s="5" t="n"/>
      <c r="EK152" s="5" t="n"/>
      <c r="EL152" s="5" t="n"/>
    </row>
    <row r="153"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  <c r="CE153" s="5" t="n"/>
      <c r="CF153" s="5" t="n"/>
      <c r="CG153" s="5" t="n"/>
      <c r="CH153" s="5" t="n"/>
      <c r="CI153" s="5" t="n"/>
      <c r="CJ153" s="5" t="n"/>
      <c r="CK153" s="5" t="n"/>
      <c r="CL153" s="5" t="n"/>
      <c r="CM153" s="5" t="n"/>
      <c r="CN153" s="5" t="n"/>
      <c r="CO153" s="5" t="n"/>
      <c r="CP153" s="5" t="n"/>
      <c r="CQ153" s="5" t="n"/>
      <c r="CR153" s="5" t="n"/>
      <c r="CS153" s="5" t="n"/>
      <c r="CT153" s="5" t="n"/>
      <c r="CU153" s="5" t="n"/>
      <c r="CV153" s="5" t="n"/>
      <c r="CW153" s="5" t="n"/>
      <c r="CX153" s="5" t="n"/>
      <c r="CY153" s="5" t="n"/>
      <c r="CZ153" s="5" t="n"/>
      <c r="DA153" s="5" t="n"/>
      <c r="DB153" s="5" t="n"/>
      <c r="DC153" s="5" t="n"/>
      <c r="DD153" s="5" t="n"/>
      <c r="DE153" s="5" t="n"/>
      <c r="DF153" s="5" t="n"/>
      <c r="DG153" s="5" t="n"/>
      <c r="DH153" s="5" t="n"/>
      <c r="DI153" s="5" t="n"/>
      <c r="DJ153" s="5" t="n"/>
      <c r="DK153" s="5" t="n"/>
      <c r="DL153" s="5" t="n"/>
      <c r="DM153" s="5" t="n"/>
      <c r="DN153" s="5" t="n"/>
      <c r="DO153" s="5" t="n"/>
      <c r="DP153" s="5" t="n"/>
      <c r="DQ153" s="5" t="n"/>
      <c r="DR153" s="5" t="n"/>
      <c r="DS153" s="5" t="n"/>
      <c r="DT153" s="5" t="n"/>
      <c r="DU153" s="5" t="n"/>
      <c r="DV153" s="5" t="n"/>
      <c r="DW153" s="5" t="n"/>
      <c r="DX153" s="5" t="n"/>
      <c r="DY153" s="5" t="n"/>
      <c r="DZ153" s="5" t="n"/>
      <c r="EA153" s="5" t="n"/>
      <c r="EB153" s="5" t="n"/>
      <c r="EC153" s="5" t="n"/>
      <c r="ED153" s="5" t="n"/>
      <c r="EE153" s="5" t="n"/>
      <c r="EF153" s="5" t="n"/>
      <c r="EG153" s="5" t="n"/>
      <c r="EH153" s="5" t="n"/>
      <c r="EI153" s="5" t="n"/>
      <c r="EJ153" s="5" t="n"/>
      <c r="EK153" s="5" t="n"/>
      <c r="EL153" s="5" t="n"/>
    </row>
    <row r="154"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  <c r="CE154" s="5" t="n"/>
      <c r="CF154" s="5" t="n"/>
      <c r="CG154" s="5" t="n"/>
      <c r="CH154" s="5" t="n"/>
      <c r="CI154" s="5" t="n"/>
      <c r="CJ154" s="5" t="n"/>
      <c r="CK154" s="5" t="n"/>
      <c r="CL154" s="5" t="n"/>
      <c r="CM154" s="5" t="n"/>
      <c r="CN154" s="5" t="n"/>
      <c r="CO154" s="5" t="n"/>
      <c r="CP154" s="5" t="n"/>
      <c r="CQ154" s="5" t="n"/>
      <c r="CR154" s="5" t="n"/>
      <c r="CS154" s="5" t="n"/>
      <c r="CT154" s="5" t="n"/>
      <c r="CU154" s="5" t="n"/>
      <c r="CV154" s="5" t="n"/>
      <c r="CW154" s="5" t="n"/>
      <c r="CX154" s="5" t="n"/>
      <c r="CY154" s="5" t="n"/>
      <c r="CZ154" s="5" t="n"/>
      <c r="DA154" s="5" t="n"/>
      <c r="DB154" s="5" t="n"/>
      <c r="DC154" s="5" t="n"/>
      <c r="DD154" s="5" t="n"/>
      <c r="DE154" s="5" t="n"/>
      <c r="DF154" s="5" t="n"/>
      <c r="DG154" s="5" t="n"/>
      <c r="DH154" s="5" t="n"/>
      <c r="DI154" s="5" t="n"/>
      <c r="DJ154" s="5" t="n"/>
      <c r="DK154" s="5" t="n"/>
      <c r="DL154" s="5" t="n"/>
      <c r="DM154" s="5" t="n"/>
      <c r="DN154" s="5" t="n"/>
      <c r="DO154" s="5" t="n"/>
      <c r="DP154" s="5" t="n"/>
      <c r="DQ154" s="5" t="n"/>
      <c r="DR154" s="5" t="n"/>
      <c r="DS154" s="5" t="n"/>
      <c r="DT154" s="5" t="n"/>
      <c r="DU154" s="5" t="n"/>
      <c r="DV154" s="5" t="n"/>
      <c r="DW154" s="5" t="n"/>
      <c r="DX154" s="5" t="n"/>
      <c r="DY154" s="5" t="n"/>
      <c r="DZ154" s="5" t="n"/>
      <c r="EA154" s="5" t="n"/>
      <c r="EB154" s="5" t="n"/>
      <c r="EC154" s="5" t="n"/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</row>
    <row r="155"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  <c r="CZ155" s="5" t="n"/>
      <c r="DA155" s="5" t="n"/>
      <c r="DB155" s="5" t="n"/>
      <c r="DC155" s="5" t="n"/>
      <c r="DD155" s="5" t="n"/>
      <c r="DE155" s="5" t="n"/>
      <c r="DF155" s="5" t="n"/>
      <c r="DG155" s="5" t="n"/>
      <c r="DH155" s="5" t="n"/>
      <c r="DI155" s="5" t="n"/>
      <c r="DJ155" s="5" t="n"/>
      <c r="DK155" s="5" t="n"/>
      <c r="DL155" s="5" t="n"/>
      <c r="DM155" s="5" t="n"/>
      <c r="DN155" s="5" t="n"/>
      <c r="DO155" s="5" t="n"/>
      <c r="DP155" s="5" t="n"/>
      <c r="DQ155" s="5" t="n"/>
      <c r="DR155" s="5" t="n"/>
      <c r="DS155" s="5" t="n"/>
      <c r="DT155" s="5" t="n"/>
      <c r="DU155" s="5" t="n"/>
      <c r="DV155" s="5" t="n"/>
      <c r="DW155" s="5" t="n"/>
      <c r="DX155" s="5" t="n"/>
      <c r="DY155" s="5" t="n"/>
      <c r="DZ155" s="5" t="n"/>
      <c r="EA155" s="5" t="n"/>
      <c r="EB155" s="5" t="n"/>
      <c r="EC155" s="5" t="n"/>
      <c r="ED155" s="5" t="n"/>
      <c r="EE155" s="5" t="n"/>
      <c r="EF155" s="5" t="n"/>
      <c r="EG155" s="5" t="n"/>
      <c r="EH155" s="5" t="n"/>
      <c r="EI155" s="5" t="n"/>
      <c r="EJ155" s="5" t="n"/>
      <c r="EK155" s="5" t="n"/>
      <c r="EL155" s="5" t="n"/>
    </row>
    <row r="156"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  <c r="CE156" s="5" t="n"/>
      <c r="CF156" s="5" t="n"/>
      <c r="CG156" s="5" t="n"/>
      <c r="CH156" s="5" t="n"/>
      <c r="CI156" s="5" t="n"/>
      <c r="CJ156" s="5" t="n"/>
      <c r="CK156" s="5" t="n"/>
      <c r="CL156" s="5" t="n"/>
      <c r="CM156" s="5" t="n"/>
      <c r="CN156" s="5" t="n"/>
      <c r="CO156" s="5" t="n"/>
      <c r="CP156" s="5" t="n"/>
      <c r="CQ156" s="5" t="n"/>
      <c r="CR156" s="5" t="n"/>
      <c r="CS156" s="5" t="n"/>
      <c r="CT156" s="5" t="n"/>
      <c r="CU156" s="5" t="n"/>
      <c r="CV156" s="5" t="n"/>
      <c r="CW156" s="5" t="n"/>
      <c r="CX156" s="5" t="n"/>
      <c r="CY156" s="5" t="n"/>
      <c r="CZ156" s="5" t="n"/>
      <c r="DA156" s="5" t="n"/>
      <c r="DB156" s="5" t="n"/>
      <c r="DC156" s="5" t="n"/>
      <c r="DD156" s="5" t="n"/>
      <c r="DE156" s="5" t="n"/>
      <c r="DF156" s="5" t="n"/>
      <c r="DG156" s="5" t="n"/>
      <c r="DH156" s="5" t="n"/>
      <c r="DI156" s="5" t="n"/>
      <c r="DJ156" s="5" t="n"/>
      <c r="DK156" s="5" t="n"/>
      <c r="DL156" s="5" t="n"/>
      <c r="DM156" s="5" t="n"/>
      <c r="DN156" s="5" t="n"/>
      <c r="DO156" s="5" t="n"/>
      <c r="DP156" s="5" t="n"/>
      <c r="DQ156" s="5" t="n"/>
      <c r="DR156" s="5" t="n"/>
      <c r="DS156" s="5" t="n"/>
      <c r="DT156" s="5" t="n"/>
      <c r="DU156" s="5" t="n"/>
      <c r="DV156" s="5" t="n"/>
      <c r="DW156" s="5" t="n"/>
      <c r="DX156" s="5" t="n"/>
      <c r="DY156" s="5" t="n"/>
      <c r="DZ156" s="5" t="n"/>
      <c r="EA156" s="5" t="n"/>
      <c r="EB156" s="5" t="n"/>
      <c r="EC156" s="5" t="n"/>
      <c r="ED156" s="5" t="n"/>
      <c r="EE156" s="5" t="n"/>
      <c r="EF156" s="5" t="n"/>
      <c r="EG156" s="5" t="n"/>
      <c r="EH156" s="5" t="n"/>
      <c r="EI156" s="5" t="n"/>
      <c r="EJ156" s="5" t="n"/>
      <c r="EK156" s="5" t="n"/>
      <c r="EL156" s="5" t="n"/>
    </row>
    <row r="157"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  <c r="CE157" s="5" t="n"/>
      <c r="CF157" s="5" t="n"/>
      <c r="CG157" s="5" t="n"/>
      <c r="CH157" s="5" t="n"/>
      <c r="CI157" s="5" t="n"/>
      <c r="CJ157" s="5" t="n"/>
      <c r="CK157" s="5" t="n"/>
      <c r="CL157" s="5" t="n"/>
      <c r="CM157" s="5" t="n"/>
      <c r="CN157" s="5" t="n"/>
      <c r="CO157" s="5" t="n"/>
      <c r="CP157" s="5" t="n"/>
      <c r="CQ157" s="5" t="n"/>
      <c r="CR157" s="5" t="n"/>
      <c r="CS157" s="5" t="n"/>
      <c r="CT157" s="5" t="n"/>
      <c r="CU157" s="5" t="n"/>
      <c r="CV157" s="5" t="n"/>
      <c r="CW157" s="5" t="n"/>
      <c r="CX157" s="5" t="n"/>
      <c r="CY157" s="5" t="n"/>
      <c r="CZ157" s="5" t="n"/>
      <c r="DA157" s="5" t="n"/>
      <c r="DB157" s="5" t="n"/>
      <c r="DC157" s="5" t="n"/>
      <c r="DD157" s="5" t="n"/>
      <c r="DE157" s="5" t="n"/>
      <c r="DF157" s="5" t="n"/>
      <c r="DG157" s="5" t="n"/>
      <c r="DH157" s="5" t="n"/>
      <c r="DI157" s="5" t="n"/>
      <c r="DJ157" s="5" t="n"/>
      <c r="DK157" s="5" t="n"/>
      <c r="DL157" s="5" t="n"/>
      <c r="DM157" s="5" t="n"/>
      <c r="DN157" s="5" t="n"/>
      <c r="DO157" s="5" t="n"/>
      <c r="DP157" s="5" t="n"/>
      <c r="DQ157" s="5" t="n"/>
      <c r="DR157" s="5" t="n"/>
      <c r="DS157" s="5" t="n"/>
      <c r="DT157" s="5" t="n"/>
      <c r="DU157" s="5" t="n"/>
      <c r="DV157" s="5" t="n"/>
      <c r="DW157" s="5" t="n"/>
      <c r="DX157" s="5" t="n"/>
      <c r="DY157" s="5" t="n"/>
      <c r="DZ157" s="5" t="n"/>
      <c r="EA157" s="5" t="n"/>
      <c r="EB157" s="5" t="n"/>
      <c r="EC157" s="5" t="n"/>
      <c r="ED157" s="5" t="n"/>
      <c r="EE157" s="5" t="n"/>
      <c r="EF157" s="5" t="n"/>
      <c r="EG157" s="5" t="n"/>
      <c r="EH157" s="5" t="n"/>
      <c r="EI157" s="5" t="n"/>
      <c r="EJ157" s="5" t="n"/>
      <c r="EK157" s="5" t="n"/>
      <c r="EL157" s="5" t="n"/>
    </row>
    <row r="158"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  <c r="CE158" s="5" t="n"/>
      <c r="CF158" s="5" t="n"/>
      <c r="CG158" s="5" t="n"/>
      <c r="CH158" s="5" t="n"/>
      <c r="CI158" s="5" t="n"/>
      <c r="CJ158" s="5" t="n"/>
      <c r="CK158" s="5" t="n"/>
      <c r="CL158" s="5" t="n"/>
      <c r="CM158" s="5" t="n"/>
      <c r="CN158" s="5" t="n"/>
      <c r="CO158" s="5" t="n"/>
      <c r="CP158" s="5" t="n"/>
      <c r="CQ158" s="5" t="n"/>
      <c r="CR158" s="5" t="n"/>
      <c r="CS158" s="5" t="n"/>
      <c r="CT158" s="5" t="n"/>
      <c r="CU158" s="5" t="n"/>
      <c r="CV158" s="5" t="n"/>
      <c r="CW158" s="5" t="n"/>
      <c r="CX158" s="5" t="n"/>
      <c r="CY158" s="5" t="n"/>
      <c r="CZ158" s="5" t="n"/>
      <c r="DA158" s="5" t="n"/>
      <c r="DB158" s="5" t="n"/>
      <c r="DC158" s="5" t="n"/>
      <c r="DD158" s="5" t="n"/>
      <c r="DE158" s="5" t="n"/>
      <c r="DF158" s="5" t="n"/>
      <c r="DG158" s="5" t="n"/>
      <c r="DH158" s="5" t="n"/>
      <c r="DI158" s="5" t="n"/>
      <c r="DJ158" s="5" t="n"/>
      <c r="DK158" s="5" t="n"/>
      <c r="DL158" s="5" t="n"/>
      <c r="DM158" s="5" t="n"/>
      <c r="DN158" s="5" t="n"/>
      <c r="DO158" s="5" t="n"/>
      <c r="DP158" s="5" t="n"/>
      <c r="DQ158" s="5" t="n"/>
      <c r="DR158" s="5" t="n"/>
      <c r="DS158" s="5" t="n"/>
      <c r="DT158" s="5" t="n"/>
      <c r="DU158" s="5" t="n"/>
      <c r="DV158" s="5" t="n"/>
      <c r="DW158" s="5" t="n"/>
      <c r="DX158" s="5" t="n"/>
      <c r="DY158" s="5" t="n"/>
      <c r="DZ158" s="5" t="n"/>
      <c r="EA158" s="5" t="n"/>
      <c r="EB158" s="5" t="n"/>
      <c r="EC158" s="5" t="n"/>
      <c r="ED158" s="5" t="n"/>
      <c r="EE158" s="5" t="n"/>
      <c r="EF158" s="5" t="n"/>
      <c r="EG158" s="5" t="n"/>
      <c r="EH158" s="5" t="n"/>
      <c r="EI158" s="5" t="n"/>
      <c r="EJ158" s="5" t="n"/>
      <c r="EK158" s="5" t="n"/>
      <c r="EL158" s="5" t="n"/>
    </row>
    <row r="159"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  <c r="CZ159" s="5" t="n"/>
      <c r="DA159" s="5" t="n"/>
      <c r="DB159" s="5" t="n"/>
      <c r="DC159" s="5" t="n"/>
      <c r="DD159" s="5" t="n"/>
      <c r="DE159" s="5" t="n"/>
      <c r="DF159" s="5" t="n"/>
      <c r="DG159" s="5" t="n"/>
      <c r="DH159" s="5" t="n"/>
      <c r="DI159" s="5" t="n"/>
      <c r="DJ159" s="5" t="n"/>
      <c r="DK159" s="5" t="n"/>
      <c r="DL159" s="5" t="n"/>
      <c r="DM159" s="5" t="n"/>
      <c r="DN159" s="5" t="n"/>
      <c r="DO159" s="5" t="n"/>
      <c r="DP159" s="5" t="n"/>
      <c r="DQ159" s="5" t="n"/>
      <c r="DR159" s="5" t="n"/>
      <c r="DS159" s="5" t="n"/>
      <c r="DT159" s="5" t="n"/>
      <c r="DU159" s="5" t="n"/>
      <c r="DV159" s="5" t="n"/>
      <c r="DW159" s="5" t="n"/>
      <c r="DX159" s="5" t="n"/>
      <c r="DY159" s="5" t="n"/>
      <c r="DZ159" s="5" t="n"/>
      <c r="EA159" s="5" t="n"/>
      <c r="EB159" s="5" t="n"/>
      <c r="EC159" s="5" t="n"/>
      <c r="ED159" s="5" t="n"/>
      <c r="EE159" s="5" t="n"/>
      <c r="EF159" s="5" t="n"/>
      <c r="EG159" s="5" t="n"/>
      <c r="EH159" s="5" t="n"/>
      <c r="EI159" s="5" t="n"/>
      <c r="EJ159" s="5" t="n"/>
      <c r="EK159" s="5" t="n"/>
      <c r="EL159" s="5" t="n"/>
    </row>
    <row r="160"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  <c r="CE160" s="5" t="n"/>
      <c r="CF160" s="5" t="n"/>
      <c r="CG160" s="5" t="n"/>
      <c r="CH160" s="5" t="n"/>
      <c r="CI160" s="5" t="n"/>
      <c r="CJ160" s="5" t="n"/>
      <c r="CK160" s="5" t="n"/>
      <c r="CL160" s="5" t="n"/>
      <c r="CM160" s="5" t="n"/>
      <c r="CN160" s="5" t="n"/>
      <c r="CO160" s="5" t="n"/>
      <c r="CP160" s="5" t="n"/>
      <c r="CQ160" s="5" t="n"/>
      <c r="CR160" s="5" t="n"/>
      <c r="CS160" s="5" t="n"/>
      <c r="CT160" s="5" t="n"/>
      <c r="CU160" s="5" t="n"/>
      <c r="CV160" s="5" t="n"/>
      <c r="CW160" s="5" t="n"/>
      <c r="CX160" s="5" t="n"/>
      <c r="CY160" s="5" t="n"/>
      <c r="CZ160" s="5" t="n"/>
      <c r="DA160" s="5" t="n"/>
      <c r="DB160" s="5" t="n"/>
      <c r="DC160" s="5" t="n"/>
      <c r="DD160" s="5" t="n"/>
      <c r="DE160" s="5" t="n"/>
      <c r="DF160" s="5" t="n"/>
      <c r="DG160" s="5" t="n"/>
      <c r="DH160" s="5" t="n"/>
      <c r="DI160" s="5" t="n"/>
      <c r="DJ160" s="5" t="n"/>
      <c r="DK160" s="5" t="n"/>
      <c r="DL160" s="5" t="n"/>
      <c r="DM160" s="5" t="n"/>
      <c r="DN160" s="5" t="n"/>
      <c r="DO160" s="5" t="n"/>
      <c r="DP160" s="5" t="n"/>
      <c r="DQ160" s="5" t="n"/>
      <c r="DR160" s="5" t="n"/>
      <c r="DS160" s="5" t="n"/>
      <c r="DT160" s="5" t="n"/>
      <c r="DU160" s="5" t="n"/>
      <c r="DV160" s="5" t="n"/>
      <c r="DW160" s="5" t="n"/>
      <c r="DX160" s="5" t="n"/>
      <c r="DY160" s="5" t="n"/>
      <c r="DZ160" s="5" t="n"/>
      <c r="EA160" s="5" t="n"/>
      <c r="EB160" s="5" t="n"/>
      <c r="EC160" s="5" t="n"/>
      <c r="ED160" s="5" t="n"/>
      <c r="EE160" s="5" t="n"/>
      <c r="EF160" s="5" t="n"/>
      <c r="EG160" s="5" t="n"/>
      <c r="EH160" s="5" t="n"/>
      <c r="EI160" s="5" t="n"/>
      <c r="EJ160" s="5" t="n"/>
      <c r="EK160" s="5" t="n"/>
      <c r="EL160" s="5" t="n"/>
    </row>
    <row r="161"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  <c r="CZ161" s="5" t="n"/>
      <c r="DA161" s="5" t="n"/>
      <c r="DB161" s="5" t="n"/>
      <c r="DC161" s="5" t="n"/>
      <c r="DD161" s="5" t="n"/>
      <c r="DE161" s="5" t="n"/>
      <c r="DF161" s="5" t="n"/>
      <c r="DG161" s="5" t="n"/>
      <c r="DH161" s="5" t="n"/>
      <c r="DI161" s="5" t="n"/>
      <c r="DJ161" s="5" t="n"/>
      <c r="DK161" s="5" t="n"/>
      <c r="DL161" s="5" t="n"/>
      <c r="DM161" s="5" t="n"/>
      <c r="DN161" s="5" t="n"/>
      <c r="DO161" s="5" t="n"/>
      <c r="DP161" s="5" t="n"/>
      <c r="DQ161" s="5" t="n"/>
      <c r="DR161" s="5" t="n"/>
      <c r="DS161" s="5" t="n"/>
      <c r="DT161" s="5" t="n"/>
      <c r="DU161" s="5" t="n"/>
      <c r="DV161" s="5" t="n"/>
      <c r="DW161" s="5" t="n"/>
      <c r="DX161" s="5" t="n"/>
      <c r="DY161" s="5" t="n"/>
      <c r="DZ161" s="5" t="n"/>
      <c r="EA161" s="5" t="n"/>
      <c r="EB161" s="5" t="n"/>
      <c r="EC161" s="5" t="n"/>
      <c r="ED161" s="5" t="n"/>
      <c r="EE161" s="5" t="n"/>
      <c r="EF161" s="5" t="n"/>
      <c r="EG161" s="5" t="n"/>
      <c r="EH161" s="5" t="n"/>
      <c r="EI161" s="5" t="n"/>
      <c r="EJ161" s="5" t="n"/>
      <c r="EK161" s="5" t="n"/>
      <c r="EL161" s="5" t="n"/>
    </row>
    <row r="162"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  <c r="CE162" s="5" t="n"/>
      <c r="CF162" s="5" t="n"/>
      <c r="CG162" s="5" t="n"/>
      <c r="CH162" s="5" t="n"/>
      <c r="CI162" s="5" t="n"/>
      <c r="CJ162" s="5" t="n"/>
      <c r="CK162" s="5" t="n"/>
      <c r="CL162" s="5" t="n"/>
      <c r="CM162" s="5" t="n"/>
      <c r="CN162" s="5" t="n"/>
      <c r="CO162" s="5" t="n"/>
      <c r="CP162" s="5" t="n"/>
      <c r="CQ162" s="5" t="n"/>
      <c r="CR162" s="5" t="n"/>
      <c r="CS162" s="5" t="n"/>
      <c r="CT162" s="5" t="n"/>
      <c r="CU162" s="5" t="n"/>
      <c r="CV162" s="5" t="n"/>
      <c r="CW162" s="5" t="n"/>
      <c r="CX162" s="5" t="n"/>
      <c r="CY162" s="5" t="n"/>
      <c r="CZ162" s="5" t="n"/>
      <c r="DA162" s="5" t="n"/>
      <c r="DB162" s="5" t="n"/>
      <c r="DC162" s="5" t="n"/>
      <c r="DD162" s="5" t="n"/>
      <c r="DE162" s="5" t="n"/>
      <c r="DF162" s="5" t="n"/>
      <c r="DG162" s="5" t="n"/>
      <c r="DH162" s="5" t="n"/>
      <c r="DI162" s="5" t="n"/>
      <c r="DJ162" s="5" t="n"/>
      <c r="DK162" s="5" t="n"/>
      <c r="DL162" s="5" t="n"/>
      <c r="DM162" s="5" t="n"/>
      <c r="DN162" s="5" t="n"/>
      <c r="DO162" s="5" t="n"/>
      <c r="DP162" s="5" t="n"/>
      <c r="DQ162" s="5" t="n"/>
      <c r="DR162" s="5" t="n"/>
      <c r="DS162" s="5" t="n"/>
      <c r="DT162" s="5" t="n"/>
      <c r="DU162" s="5" t="n"/>
      <c r="DV162" s="5" t="n"/>
      <c r="DW162" s="5" t="n"/>
      <c r="DX162" s="5" t="n"/>
      <c r="DY162" s="5" t="n"/>
      <c r="DZ162" s="5" t="n"/>
      <c r="EA162" s="5" t="n"/>
      <c r="EB162" s="5" t="n"/>
      <c r="EC162" s="5" t="n"/>
      <c r="ED162" s="5" t="n"/>
      <c r="EE162" s="5" t="n"/>
      <c r="EF162" s="5" t="n"/>
      <c r="EG162" s="5" t="n"/>
      <c r="EH162" s="5" t="n"/>
      <c r="EI162" s="5" t="n"/>
      <c r="EJ162" s="5" t="n"/>
      <c r="EK162" s="5" t="n"/>
      <c r="EL162" s="5" t="n"/>
    </row>
    <row r="163"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  <c r="CZ163" s="5" t="n"/>
      <c r="DA163" s="5" t="n"/>
      <c r="DB163" s="5" t="n"/>
      <c r="DC163" s="5" t="n"/>
      <c r="DD163" s="5" t="n"/>
      <c r="DE163" s="5" t="n"/>
      <c r="DF163" s="5" t="n"/>
      <c r="DG163" s="5" t="n"/>
      <c r="DH163" s="5" t="n"/>
      <c r="DI163" s="5" t="n"/>
      <c r="DJ163" s="5" t="n"/>
      <c r="DK163" s="5" t="n"/>
      <c r="DL163" s="5" t="n"/>
      <c r="DM163" s="5" t="n"/>
      <c r="DN163" s="5" t="n"/>
      <c r="DO163" s="5" t="n"/>
      <c r="DP163" s="5" t="n"/>
      <c r="DQ163" s="5" t="n"/>
      <c r="DR163" s="5" t="n"/>
      <c r="DS163" s="5" t="n"/>
      <c r="DT163" s="5" t="n"/>
      <c r="DU163" s="5" t="n"/>
      <c r="DV163" s="5" t="n"/>
      <c r="DW163" s="5" t="n"/>
      <c r="DX163" s="5" t="n"/>
      <c r="DY163" s="5" t="n"/>
      <c r="DZ163" s="5" t="n"/>
      <c r="EA163" s="5" t="n"/>
      <c r="EB163" s="5" t="n"/>
      <c r="EC163" s="5" t="n"/>
      <c r="ED163" s="5" t="n"/>
      <c r="EE163" s="5" t="n"/>
      <c r="EF163" s="5" t="n"/>
      <c r="EG163" s="5" t="n"/>
      <c r="EH163" s="5" t="n"/>
      <c r="EI163" s="5" t="n"/>
      <c r="EJ163" s="5" t="n"/>
      <c r="EK163" s="5" t="n"/>
      <c r="EL163" s="5" t="n"/>
    </row>
    <row r="164"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  <c r="CE164" s="5" t="n"/>
      <c r="CF164" s="5" t="n"/>
      <c r="CG164" s="5" t="n"/>
      <c r="CH164" s="5" t="n"/>
      <c r="CI164" s="5" t="n"/>
      <c r="CJ164" s="5" t="n"/>
      <c r="CK164" s="5" t="n"/>
      <c r="CL164" s="5" t="n"/>
      <c r="CM164" s="5" t="n"/>
      <c r="CN164" s="5" t="n"/>
      <c r="CO164" s="5" t="n"/>
      <c r="CP164" s="5" t="n"/>
      <c r="CQ164" s="5" t="n"/>
      <c r="CR164" s="5" t="n"/>
      <c r="CS164" s="5" t="n"/>
      <c r="CT164" s="5" t="n"/>
      <c r="CU164" s="5" t="n"/>
      <c r="CV164" s="5" t="n"/>
      <c r="CW164" s="5" t="n"/>
      <c r="CX164" s="5" t="n"/>
      <c r="CY164" s="5" t="n"/>
      <c r="CZ164" s="5" t="n"/>
      <c r="DA164" s="5" t="n"/>
      <c r="DB164" s="5" t="n"/>
      <c r="DC164" s="5" t="n"/>
      <c r="DD164" s="5" t="n"/>
      <c r="DE164" s="5" t="n"/>
      <c r="DF164" s="5" t="n"/>
      <c r="DG164" s="5" t="n"/>
      <c r="DH164" s="5" t="n"/>
      <c r="DI164" s="5" t="n"/>
      <c r="DJ164" s="5" t="n"/>
      <c r="DK164" s="5" t="n"/>
      <c r="DL164" s="5" t="n"/>
      <c r="DM164" s="5" t="n"/>
      <c r="DN164" s="5" t="n"/>
      <c r="DO164" s="5" t="n"/>
      <c r="DP164" s="5" t="n"/>
      <c r="DQ164" s="5" t="n"/>
      <c r="DR164" s="5" t="n"/>
      <c r="DS164" s="5" t="n"/>
      <c r="DT164" s="5" t="n"/>
      <c r="DU164" s="5" t="n"/>
      <c r="DV164" s="5" t="n"/>
      <c r="DW164" s="5" t="n"/>
      <c r="DX164" s="5" t="n"/>
      <c r="DY164" s="5" t="n"/>
      <c r="DZ164" s="5" t="n"/>
      <c r="EA164" s="5" t="n"/>
      <c r="EB164" s="5" t="n"/>
      <c r="EC164" s="5" t="n"/>
      <c r="ED164" s="5" t="n"/>
      <c r="EE164" s="5" t="n"/>
      <c r="EF164" s="5" t="n"/>
      <c r="EG164" s="5" t="n"/>
      <c r="EH164" s="5" t="n"/>
      <c r="EI164" s="5" t="n"/>
      <c r="EJ164" s="5" t="n"/>
      <c r="EK164" s="5" t="n"/>
      <c r="EL164" s="5" t="n"/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Raymond Chen</dc:creator>
  <dcterms:created xsi:type="dcterms:W3CDTF">2015-06-05T18:19:34Z</dcterms:created>
  <dcterms:modified xsi:type="dcterms:W3CDTF">2025-10-11T07:22:24Z</dcterms:modified>
  <cp:lastModifiedBy>Raymond Chen</cp:lastModifiedBy>
</cp:coreProperties>
</file>