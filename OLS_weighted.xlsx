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ymo\Desktop\SCU work\智能交易\"/>
    </mc:Choice>
  </mc:AlternateContent>
  <xr:revisionPtr revIDLastSave="0" documentId="13_ncr:1_{4A3B8BF2-BCD7-4097-B545-8D42506A8804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真實IC" sheetId="1" r:id="rId1"/>
    <sheet name="預測IC" sheetId="2" r:id="rId2"/>
    <sheet name="勝率" sheetId="3" r:id="rId3"/>
    <sheet name="累積報酬" sheetId="4" r:id="rId4"/>
    <sheet name="圖表" sheetId="5" r:id="rId5"/>
    <sheet name="R-square" sheetId="6" r:id="rId6"/>
    <sheet name="畫圖0" sheetId="7" state="hidden" r:id="rId7"/>
    <sheet name="混淆矩陣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L27" i="8" l="1"/>
  <c r="EK27" i="8"/>
  <c r="EJ27" i="8"/>
  <c r="EI27" i="8"/>
  <c r="EH27" i="8"/>
  <c r="EG27" i="8"/>
  <c r="EF27" i="8"/>
  <c r="EE27" i="8"/>
  <c r="ED27" i="8"/>
  <c r="EC27" i="8"/>
  <c r="EB27" i="8"/>
  <c r="EA27" i="8"/>
  <c r="DZ27" i="8"/>
  <c r="DY27" i="8"/>
  <c r="DX27" i="8"/>
  <c r="DW27" i="8"/>
  <c r="DV27" i="8"/>
  <c r="DU27" i="8"/>
  <c r="DT27" i="8"/>
  <c r="DS27" i="8"/>
  <c r="DR27" i="8"/>
  <c r="DQ27" i="8"/>
  <c r="DP27" i="8"/>
  <c r="DO27" i="8"/>
  <c r="DN27" i="8"/>
  <c r="DM27" i="8"/>
  <c r="DL27" i="8"/>
  <c r="DK27" i="8"/>
  <c r="DJ27" i="8"/>
  <c r="DI27" i="8"/>
  <c r="DH27" i="8"/>
  <c r="DG27" i="8"/>
  <c r="DF27" i="8"/>
  <c r="DE27" i="8"/>
  <c r="DD27" i="8"/>
  <c r="DC27" i="8"/>
  <c r="DB27" i="8"/>
  <c r="DA27" i="8"/>
  <c r="CZ27" i="8"/>
  <c r="CY27" i="8"/>
  <c r="CX27" i="8"/>
  <c r="CW27" i="8"/>
  <c r="CV27" i="8"/>
  <c r="CU27" i="8"/>
  <c r="CT27" i="8"/>
  <c r="CS27" i="8"/>
  <c r="CR27" i="8"/>
  <c r="CQ27" i="8"/>
  <c r="CP27" i="8"/>
  <c r="CO27" i="8"/>
  <c r="CN27" i="8"/>
  <c r="CM27" i="8"/>
  <c r="CL27" i="8"/>
  <c r="CK27" i="8"/>
  <c r="CJ27" i="8"/>
  <c r="CI27" i="8"/>
  <c r="CH27" i="8"/>
  <c r="CG27" i="8"/>
  <c r="CF27" i="8"/>
  <c r="CE27" i="8"/>
  <c r="CD27" i="8"/>
  <c r="CC27" i="8"/>
  <c r="CB27" i="8"/>
  <c r="CA27" i="8"/>
  <c r="BZ27" i="8"/>
  <c r="BY27" i="8"/>
  <c r="BX27" i="8"/>
  <c r="BW27" i="8"/>
  <c r="BV27" i="8"/>
  <c r="BU27" i="8"/>
  <c r="BT27" i="8"/>
  <c r="BS27" i="8"/>
  <c r="BR27" i="8"/>
  <c r="BQ27" i="8"/>
  <c r="BP27" i="8"/>
  <c r="BO27" i="8"/>
  <c r="BN27" i="8"/>
  <c r="BM27" i="8"/>
  <c r="BL27" i="8"/>
  <c r="BK27" i="8"/>
  <c r="BJ27" i="8"/>
  <c r="BI27" i="8"/>
  <c r="BH27" i="8"/>
  <c r="BG27" i="8"/>
  <c r="BF27" i="8"/>
  <c r="BE27" i="8"/>
  <c r="BD27" i="8"/>
  <c r="BC27" i="8"/>
  <c r="BB27" i="8"/>
  <c r="BA27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EL26" i="8"/>
  <c r="EK26" i="8"/>
  <c r="EJ26" i="8"/>
  <c r="EI26" i="8"/>
  <c r="EH26" i="8"/>
  <c r="EG26" i="8"/>
  <c r="EF26" i="8"/>
  <c r="EE26" i="8"/>
  <c r="ED26" i="8"/>
  <c r="EC26" i="8"/>
  <c r="EB26" i="8"/>
  <c r="EA26" i="8"/>
  <c r="DZ26" i="8"/>
  <c r="DY26" i="8"/>
  <c r="DX26" i="8"/>
  <c r="DW26" i="8"/>
  <c r="DV26" i="8"/>
  <c r="DU26" i="8"/>
  <c r="DT26" i="8"/>
  <c r="DS26" i="8"/>
  <c r="DR26" i="8"/>
  <c r="DQ26" i="8"/>
  <c r="DP26" i="8"/>
  <c r="DO26" i="8"/>
  <c r="DN26" i="8"/>
  <c r="DM26" i="8"/>
  <c r="DL26" i="8"/>
  <c r="DK26" i="8"/>
  <c r="DJ26" i="8"/>
  <c r="DI26" i="8"/>
  <c r="DH26" i="8"/>
  <c r="DG26" i="8"/>
  <c r="DF26" i="8"/>
  <c r="DE26" i="8"/>
  <c r="DD26" i="8"/>
  <c r="DC26" i="8"/>
  <c r="DB26" i="8"/>
  <c r="DA26" i="8"/>
  <c r="CZ26" i="8"/>
  <c r="CY26" i="8"/>
  <c r="CX26" i="8"/>
  <c r="CW26" i="8"/>
  <c r="CV26" i="8"/>
  <c r="CU26" i="8"/>
  <c r="CT26" i="8"/>
  <c r="CS26" i="8"/>
  <c r="CR26" i="8"/>
  <c r="CQ26" i="8"/>
  <c r="CP26" i="8"/>
  <c r="CO26" i="8"/>
  <c r="CN26" i="8"/>
  <c r="CM26" i="8"/>
  <c r="CL26" i="8"/>
  <c r="CK26" i="8"/>
  <c r="CJ26" i="8"/>
  <c r="CI26" i="8"/>
  <c r="CH26" i="8"/>
  <c r="CG26" i="8"/>
  <c r="CF26" i="8"/>
  <c r="CE26" i="8"/>
  <c r="CD26" i="8"/>
  <c r="CC26" i="8"/>
  <c r="CB26" i="8"/>
  <c r="CA26" i="8"/>
  <c r="BZ26" i="8"/>
  <c r="BY26" i="8"/>
  <c r="BX26" i="8"/>
  <c r="BW26" i="8"/>
  <c r="BV26" i="8"/>
  <c r="BU26" i="8"/>
  <c r="BT26" i="8"/>
  <c r="BS26" i="8"/>
  <c r="BR26" i="8"/>
  <c r="BQ26" i="8"/>
  <c r="BP26" i="8"/>
  <c r="BO26" i="8"/>
  <c r="BN26" i="8"/>
  <c r="BM26" i="8"/>
  <c r="BL26" i="8"/>
  <c r="BK26" i="8"/>
  <c r="BJ26" i="8"/>
  <c r="BI26" i="8"/>
  <c r="BH26" i="8"/>
  <c r="BG26" i="8"/>
  <c r="BF26" i="8"/>
  <c r="BE26" i="8"/>
  <c r="BD26" i="8"/>
  <c r="BC26" i="8"/>
  <c r="BB26" i="8"/>
  <c r="BA26" i="8"/>
  <c r="AZ26" i="8"/>
  <c r="AY26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EL25" i="8"/>
  <c r="EK25" i="8"/>
  <c r="EJ25" i="8"/>
  <c r="EI25" i="8"/>
  <c r="EH25" i="8"/>
  <c r="EG25" i="8"/>
  <c r="EF25" i="8"/>
  <c r="EE25" i="8"/>
  <c r="ED25" i="8"/>
  <c r="EC25" i="8"/>
  <c r="EB25" i="8"/>
  <c r="EA25" i="8"/>
  <c r="DZ25" i="8"/>
  <c r="DY25" i="8"/>
  <c r="DX25" i="8"/>
  <c r="DW25" i="8"/>
  <c r="DV25" i="8"/>
  <c r="DU25" i="8"/>
  <c r="DT25" i="8"/>
  <c r="DS25" i="8"/>
  <c r="DR25" i="8"/>
  <c r="DQ25" i="8"/>
  <c r="DP25" i="8"/>
  <c r="DO25" i="8"/>
  <c r="DN25" i="8"/>
  <c r="DM25" i="8"/>
  <c r="DL25" i="8"/>
  <c r="DK25" i="8"/>
  <c r="DJ25" i="8"/>
  <c r="DI25" i="8"/>
  <c r="DH25" i="8"/>
  <c r="DG25" i="8"/>
  <c r="DF25" i="8"/>
  <c r="DE25" i="8"/>
  <c r="DD25" i="8"/>
  <c r="DC25" i="8"/>
  <c r="DB25" i="8"/>
  <c r="DA25" i="8"/>
  <c r="CZ25" i="8"/>
  <c r="CY25" i="8"/>
  <c r="CX25" i="8"/>
  <c r="CW25" i="8"/>
  <c r="CV25" i="8"/>
  <c r="CU25" i="8"/>
  <c r="CT25" i="8"/>
  <c r="CS25" i="8"/>
  <c r="CR25" i="8"/>
  <c r="CQ25" i="8"/>
  <c r="CP25" i="8"/>
  <c r="CO25" i="8"/>
  <c r="CN25" i="8"/>
  <c r="CM25" i="8"/>
  <c r="CL25" i="8"/>
  <c r="CK25" i="8"/>
  <c r="CJ25" i="8"/>
  <c r="CI25" i="8"/>
  <c r="CH25" i="8"/>
  <c r="CG25" i="8"/>
  <c r="CF25" i="8"/>
  <c r="CE25" i="8"/>
  <c r="CD25" i="8"/>
  <c r="CC25" i="8"/>
  <c r="CB25" i="8"/>
  <c r="CA25" i="8"/>
  <c r="BZ25" i="8"/>
  <c r="BY25" i="8"/>
  <c r="BX25" i="8"/>
  <c r="BW25" i="8"/>
  <c r="BV25" i="8"/>
  <c r="BU25" i="8"/>
  <c r="BT25" i="8"/>
  <c r="BS25" i="8"/>
  <c r="BR25" i="8"/>
  <c r="BQ25" i="8"/>
  <c r="BP25" i="8"/>
  <c r="BO25" i="8"/>
  <c r="BN25" i="8"/>
  <c r="BM25" i="8"/>
  <c r="BL25" i="8"/>
  <c r="BK25" i="8"/>
  <c r="BJ25" i="8"/>
  <c r="BI25" i="8"/>
  <c r="BH25" i="8"/>
  <c r="BG25" i="8"/>
  <c r="BF25" i="8"/>
  <c r="BE25" i="8"/>
  <c r="BD25" i="8"/>
  <c r="BC25" i="8"/>
  <c r="BB25" i="8"/>
  <c r="BA25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EL23" i="8"/>
  <c r="EK23" i="8"/>
  <c r="EJ23" i="8"/>
  <c r="EI23" i="8"/>
  <c r="EH23" i="8"/>
  <c r="EG23" i="8"/>
  <c r="EF23" i="8"/>
  <c r="EE23" i="8"/>
  <c r="ED23" i="8"/>
  <c r="EC23" i="8"/>
  <c r="EB23" i="8"/>
  <c r="EA23" i="8"/>
  <c r="DZ23" i="8"/>
  <c r="DY23" i="8"/>
  <c r="DX23" i="8"/>
  <c r="DW23" i="8"/>
  <c r="DV23" i="8"/>
  <c r="DU23" i="8"/>
  <c r="DT23" i="8"/>
  <c r="DS23" i="8"/>
  <c r="DR23" i="8"/>
  <c r="DQ23" i="8"/>
  <c r="DP23" i="8"/>
  <c r="DO23" i="8"/>
  <c r="DN23" i="8"/>
  <c r="DM23" i="8"/>
  <c r="DL23" i="8"/>
  <c r="DK23" i="8"/>
  <c r="DJ23" i="8"/>
  <c r="DI23" i="8"/>
  <c r="DH23" i="8"/>
  <c r="DG23" i="8"/>
  <c r="DF23" i="8"/>
  <c r="DE23" i="8"/>
  <c r="DD23" i="8"/>
  <c r="DC23" i="8"/>
  <c r="DB23" i="8"/>
  <c r="DA23" i="8"/>
  <c r="CZ23" i="8"/>
  <c r="CY23" i="8"/>
  <c r="CX23" i="8"/>
  <c r="CW23" i="8"/>
  <c r="CV23" i="8"/>
  <c r="CU23" i="8"/>
  <c r="CT23" i="8"/>
  <c r="CS23" i="8"/>
  <c r="CR23" i="8"/>
  <c r="CQ23" i="8"/>
  <c r="CP23" i="8"/>
  <c r="CO23" i="8"/>
  <c r="CN23" i="8"/>
  <c r="CM23" i="8"/>
  <c r="CL23" i="8"/>
  <c r="CK23" i="8"/>
  <c r="CJ23" i="8"/>
  <c r="CI23" i="8"/>
  <c r="CH23" i="8"/>
  <c r="CG23" i="8"/>
  <c r="CF23" i="8"/>
  <c r="CE23" i="8"/>
  <c r="CD23" i="8"/>
  <c r="CC23" i="8"/>
  <c r="CB23" i="8"/>
  <c r="CA23" i="8"/>
  <c r="BZ23" i="8"/>
  <c r="BY23" i="8"/>
  <c r="BX23" i="8"/>
  <c r="BW23" i="8"/>
  <c r="BV23" i="8"/>
  <c r="BU23" i="8"/>
  <c r="BT23" i="8"/>
  <c r="BS23" i="8"/>
  <c r="BR23" i="8"/>
  <c r="BQ23" i="8"/>
  <c r="BP23" i="8"/>
  <c r="BO23" i="8"/>
  <c r="BN23" i="8"/>
  <c r="BM23" i="8"/>
  <c r="BL23" i="8"/>
  <c r="BK23" i="8"/>
  <c r="BJ23" i="8"/>
  <c r="BI23" i="8"/>
  <c r="BH23" i="8"/>
  <c r="BG23" i="8"/>
  <c r="BF23" i="8"/>
  <c r="BE23" i="8"/>
  <c r="BD23" i="8"/>
  <c r="BC23" i="8"/>
  <c r="BB23" i="8"/>
  <c r="BA23" i="8"/>
  <c r="AZ23" i="8"/>
  <c r="AY23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EL22" i="8"/>
  <c r="EK22" i="8"/>
  <c r="EJ22" i="8"/>
  <c r="EI22" i="8"/>
  <c r="EH22" i="8"/>
  <c r="EG22" i="8"/>
  <c r="EF22" i="8"/>
  <c r="EE22" i="8"/>
  <c r="ED22" i="8"/>
  <c r="EC22" i="8"/>
  <c r="EB22" i="8"/>
  <c r="EA22" i="8"/>
  <c r="DZ22" i="8"/>
  <c r="DY22" i="8"/>
  <c r="DX22" i="8"/>
  <c r="DW22" i="8"/>
  <c r="DV22" i="8"/>
  <c r="DU22" i="8"/>
  <c r="DT22" i="8"/>
  <c r="DS22" i="8"/>
  <c r="DR22" i="8"/>
  <c r="DQ22" i="8"/>
  <c r="DP22" i="8"/>
  <c r="DO22" i="8"/>
  <c r="DN22" i="8"/>
  <c r="DM22" i="8"/>
  <c r="DL22" i="8"/>
  <c r="DK22" i="8"/>
  <c r="DJ22" i="8"/>
  <c r="DI22" i="8"/>
  <c r="DH22" i="8"/>
  <c r="DG22" i="8"/>
  <c r="DF22" i="8"/>
  <c r="DE22" i="8"/>
  <c r="DD22" i="8"/>
  <c r="DC22" i="8"/>
  <c r="DB22" i="8"/>
  <c r="DA22" i="8"/>
  <c r="CZ22" i="8"/>
  <c r="CY22" i="8"/>
  <c r="CX22" i="8"/>
  <c r="CW22" i="8"/>
  <c r="CV22" i="8"/>
  <c r="CU22" i="8"/>
  <c r="CT22" i="8"/>
  <c r="CS22" i="8"/>
  <c r="CR22" i="8"/>
  <c r="CQ22" i="8"/>
  <c r="CP22" i="8"/>
  <c r="CO22" i="8"/>
  <c r="CN22" i="8"/>
  <c r="CM22" i="8"/>
  <c r="CL22" i="8"/>
  <c r="CK22" i="8"/>
  <c r="CJ22" i="8"/>
  <c r="CI22" i="8"/>
  <c r="CH22" i="8"/>
  <c r="CG22" i="8"/>
  <c r="CF22" i="8"/>
  <c r="CE22" i="8"/>
  <c r="CD22" i="8"/>
  <c r="CC22" i="8"/>
  <c r="CB22" i="8"/>
  <c r="CA22" i="8"/>
  <c r="BZ22" i="8"/>
  <c r="BY22" i="8"/>
  <c r="BX22" i="8"/>
  <c r="BW22" i="8"/>
  <c r="BV22" i="8"/>
  <c r="BU22" i="8"/>
  <c r="BT22" i="8"/>
  <c r="BS22" i="8"/>
  <c r="BR22" i="8"/>
  <c r="BQ22" i="8"/>
  <c r="BP22" i="8"/>
  <c r="BO22" i="8"/>
  <c r="BN22" i="8"/>
  <c r="BM22" i="8"/>
  <c r="BL22" i="8"/>
  <c r="BK22" i="8"/>
  <c r="BJ22" i="8"/>
  <c r="BI22" i="8"/>
  <c r="BH22" i="8"/>
  <c r="BG22" i="8"/>
  <c r="BF22" i="8"/>
  <c r="BE22" i="8"/>
  <c r="BD22" i="8"/>
  <c r="BC22" i="8"/>
  <c r="BB22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EL21" i="8"/>
  <c r="EK21" i="8"/>
  <c r="EJ21" i="8"/>
  <c r="EI21" i="8"/>
  <c r="EH21" i="8"/>
  <c r="EG21" i="8"/>
  <c r="EF21" i="8"/>
  <c r="EE21" i="8"/>
  <c r="ED21" i="8"/>
  <c r="EC21" i="8"/>
  <c r="EB21" i="8"/>
  <c r="EA21" i="8"/>
  <c r="DZ21" i="8"/>
  <c r="DY21" i="8"/>
  <c r="DX21" i="8"/>
  <c r="DW21" i="8"/>
  <c r="DV21" i="8"/>
  <c r="DU21" i="8"/>
  <c r="DT21" i="8"/>
  <c r="DS21" i="8"/>
  <c r="DR21" i="8"/>
  <c r="DQ21" i="8"/>
  <c r="DP21" i="8"/>
  <c r="DO21" i="8"/>
  <c r="DN21" i="8"/>
  <c r="DM21" i="8"/>
  <c r="DL21" i="8"/>
  <c r="DK21" i="8"/>
  <c r="DJ21" i="8"/>
  <c r="DI21" i="8"/>
  <c r="DH21" i="8"/>
  <c r="DG21" i="8"/>
  <c r="DF21" i="8"/>
  <c r="DE21" i="8"/>
  <c r="DD21" i="8"/>
  <c r="DC21" i="8"/>
  <c r="DB21" i="8"/>
  <c r="DA21" i="8"/>
  <c r="CZ21" i="8"/>
  <c r="CY21" i="8"/>
  <c r="CX21" i="8"/>
  <c r="CW21" i="8"/>
  <c r="CV21" i="8"/>
  <c r="CU21" i="8"/>
  <c r="CT21" i="8"/>
  <c r="CS21" i="8"/>
  <c r="CR21" i="8"/>
  <c r="CQ21" i="8"/>
  <c r="CP21" i="8"/>
  <c r="CO21" i="8"/>
  <c r="CN21" i="8"/>
  <c r="CM21" i="8"/>
  <c r="CL21" i="8"/>
  <c r="CK21" i="8"/>
  <c r="CJ21" i="8"/>
  <c r="CI21" i="8"/>
  <c r="CH21" i="8"/>
  <c r="CG21" i="8"/>
  <c r="CF21" i="8"/>
  <c r="CE21" i="8"/>
  <c r="CD21" i="8"/>
  <c r="CC21" i="8"/>
  <c r="CB21" i="8"/>
  <c r="CA21" i="8"/>
  <c r="BZ21" i="8"/>
  <c r="BY21" i="8"/>
  <c r="BX21" i="8"/>
  <c r="BW21" i="8"/>
  <c r="BV21" i="8"/>
  <c r="BU21" i="8"/>
  <c r="BT21" i="8"/>
  <c r="BS21" i="8"/>
  <c r="BR21" i="8"/>
  <c r="BQ21" i="8"/>
  <c r="BP21" i="8"/>
  <c r="BO21" i="8"/>
  <c r="BN21" i="8"/>
  <c r="BM21" i="8"/>
  <c r="BL21" i="8"/>
  <c r="BK21" i="8"/>
  <c r="BJ21" i="8"/>
  <c r="BI21" i="8"/>
  <c r="BH21" i="8"/>
  <c r="BG21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EL19" i="8"/>
  <c r="EK19" i="8"/>
  <c r="EJ19" i="8"/>
  <c r="EI19" i="8"/>
  <c r="EH19" i="8"/>
  <c r="EG19" i="8"/>
  <c r="EF19" i="8"/>
  <c r="EE19" i="8"/>
  <c r="ED19" i="8"/>
  <c r="EC19" i="8"/>
  <c r="EB19" i="8"/>
  <c r="EA19" i="8"/>
  <c r="DZ19" i="8"/>
  <c r="DY19" i="8"/>
  <c r="DX19" i="8"/>
  <c r="DW19" i="8"/>
  <c r="DV19" i="8"/>
  <c r="DU19" i="8"/>
  <c r="DT19" i="8"/>
  <c r="DS19" i="8"/>
  <c r="DR19" i="8"/>
  <c r="DQ19" i="8"/>
  <c r="DP19" i="8"/>
  <c r="DO19" i="8"/>
  <c r="DN19" i="8"/>
  <c r="DM19" i="8"/>
  <c r="DL19" i="8"/>
  <c r="DK19" i="8"/>
  <c r="DJ19" i="8"/>
  <c r="DI19" i="8"/>
  <c r="DH19" i="8"/>
  <c r="DG19" i="8"/>
  <c r="DF19" i="8"/>
  <c r="DE19" i="8"/>
  <c r="DD19" i="8"/>
  <c r="DC19" i="8"/>
  <c r="DB19" i="8"/>
  <c r="DA19" i="8"/>
  <c r="CZ19" i="8"/>
  <c r="CY19" i="8"/>
  <c r="CX19" i="8"/>
  <c r="CW19" i="8"/>
  <c r="CV19" i="8"/>
  <c r="CU19" i="8"/>
  <c r="CT19" i="8"/>
  <c r="CS19" i="8"/>
  <c r="CR19" i="8"/>
  <c r="CQ19" i="8"/>
  <c r="CP19" i="8"/>
  <c r="CO19" i="8"/>
  <c r="CN19" i="8"/>
  <c r="CM19" i="8"/>
  <c r="CL19" i="8"/>
  <c r="CK19" i="8"/>
  <c r="CJ19" i="8"/>
  <c r="CI19" i="8"/>
  <c r="CH19" i="8"/>
  <c r="CG19" i="8"/>
  <c r="CF19" i="8"/>
  <c r="CE19" i="8"/>
  <c r="CD19" i="8"/>
  <c r="CC19" i="8"/>
  <c r="CB19" i="8"/>
  <c r="CA19" i="8"/>
  <c r="BZ19" i="8"/>
  <c r="BY19" i="8"/>
  <c r="BX19" i="8"/>
  <c r="BW19" i="8"/>
  <c r="BV19" i="8"/>
  <c r="BU19" i="8"/>
  <c r="BT19" i="8"/>
  <c r="BS19" i="8"/>
  <c r="BR19" i="8"/>
  <c r="BQ19" i="8"/>
  <c r="BP19" i="8"/>
  <c r="BO19" i="8"/>
  <c r="BN19" i="8"/>
  <c r="BM19" i="8"/>
  <c r="BL19" i="8"/>
  <c r="BK19" i="8"/>
  <c r="BJ19" i="8"/>
  <c r="BI19" i="8"/>
  <c r="BH19" i="8"/>
  <c r="BG19" i="8"/>
  <c r="BF19" i="8"/>
  <c r="BE19" i="8"/>
  <c r="BD19" i="8"/>
  <c r="BC19" i="8"/>
  <c r="BB19" i="8"/>
  <c r="BA19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C20" i="8" s="1"/>
  <c r="EL18" i="8"/>
  <c r="EK18" i="8"/>
  <c r="EJ18" i="8"/>
  <c r="EI18" i="8"/>
  <c r="EH18" i="8"/>
  <c r="EG18" i="8"/>
  <c r="EF18" i="8"/>
  <c r="EE18" i="8"/>
  <c r="ED18" i="8"/>
  <c r="EC18" i="8"/>
  <c r="EB18" i="8"/>
  <c r="EA18" i="8"/>
  <c r="DZ18" i="8"/>
  <c r="DY18" i="8"/>
  <c r="DX18" i="8"/>
  <c r="DW18" i="8"/>
  <c r="DV18" i="8"/>
  <c r="DU18" i="8"/>
  <c r="DT18" i="8"/>
  <c r="DS18" i="8"/>
  <c r="DR18" i="8"/>
  <c r="DQ18" i="8"/>
  <c r="DP18" i="8"/>
  <c r="DO18" i="8"/>
  <c r="DN18" i="8"/>
  <c r="DM18" i="8"/>
  <c r="DL18" i="8"/>
  <c r="DK18" i="8"/>
  <c r="DJ18" i="8"/>
  <c r="DI18" i="8"/>
  <c r="DH18" i="8"/>
  <c r="DG18" i="8"/>
  <c r="DF18" i="8"/>
  <c r="DE18" i="8"/>
  <c r="DD18" i="8"/>
  <c r="DC18" i="8"/>
  <c r="DB18" i="8"/>
  <c r="DA18" i="8"/>
  <c r="CZ18" i="8"/>
  <c r="CY18" i="8"/>
  <c r="CX18" i="8"/>
  <c r="CW18" i="8"/>
  <c r="CV18" i="8"/>
  <c r="CU18" i="8"/>
  <c r="CT18" i="8"/>
  <c r="CS18" i="8"/>
  <c r="CR18" i="8"/>
  <c r="CQ18" i="8"/>
  <c r="CP18" i="8"/>
  <c r="CO18" i="8"/>
  <c r="CN18" i="8"/>
  <c r="CM18" i="8"/>
  <c r="CL18" i="8"/>
  <c r="CK18" i="8"/>
  <c r="CJ18" i="8"/>
  <c r="CI18" i="8"/>
  <c r="CH18" i="8"/>
  <c r="CG18" i="8"/>
  <c r="CF18" i="8"/>
  <c r="CE18" i="8"/>
  <c r="CD18" i="8"/>
  <c r="CC18" i="8"/>
  <c r="CB18" i="8"/>
  <c r="CA18" i="8"/>
  <c r="BZ18" i="8"/>
  <c r="BY18" i="8"/>
  <c r="BX18" i="8"/>
  <c r="BW18" i="8"/>
  <c r="BV18" i="8"/>
  <c r="BU18" i="8"/>
  <c r="BT18" i="8"/>
  <c r="BS18" i="8"/>
  <c r="BR18" i="8"/>
  <c r="BQ18" i="8"/>
  <c r="BP18" i="8"/>
  <c r="BO18" i="8"/>
  <c r="BN18" i="8"/>
  <c r="BM18" i="8"/>
  <c r="BL18" i="8"/>
  <c r="BK18" i="8"/>
  <c r="BJ18" i="8"/>
  <c r="BI18" i="8"/>
  <c r="BH18" i="8"/>
  <c r="BG18" i="8"/>
  <c r="BF18" i="8"/>
  <c r="BE18" i="8"/>
  <c r="BD18" i="8"/>
  <c r="BC18" i="8"/>
  <c r="BB18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EL17" i="8"/>
  <c r="EK17" i="8"/>
  <c r="EJ17" i="8"/>
  <c r="EI17" i="8"/>
  <c r="EH17" i="8"/>
  <c r="EG17" i="8"/>
  <c r="EF17" i="8"/>
  <c r="EE17" i="8"/>
  <c r="ED17" i="8"/>
  <c r="EC17" i="8"/>
  <c r="EB17" i="8"/>
  <c r="EA17" i="8"/>
  <c r="DZ17" i="8"/>
  <c r="DY17" i="8"/>
  <c r="DX17" i="8"/>
  <c r="DW17" i="8"/>
  <c r="DV17" i="8"/>
  <c r="DU17" i="8"/>
  <c r="DT17" i="8"/>
  <c r="DS17" i="8"/>
  <c r="DR17" i="8"/>
  <c r="DQ17" i="8"/>
  <c r="DP17" i="8"/>
  <c r="DO17" i="8"/>
  <c r="DN17" i="8"/>
  <c r="DM17" i="8"/>
  <c r="DL17" i="8"/>
  <c r="DK17" i="8"/>
  <c r="DJ17" i="8"/>
  <c r="DI17" i="8"/>
  <c r="DH17" i="8"/>
  <c r="DG17" i="8"/>
  <c r="DF17" i="8"/>
  <c r="DE17" i="8"/>
  <c r="DD17" i="8"/>
  <c r="DC17" i="8"/>
  <c r="DB17" i="8"/>
  <c r="DA17" i="8"/>
  <c r="CZ17" i="8"/>
  <c r="CY17" i="8"/>
  <c r="CX17" i="8"/>
  <c r="CW17" i="8"/>
  <c r="CV17" i="8"/>
  <c r="CU17" i="8"/>
  <c r="CT17" i="8"/>
  <c r="CS17" i="8"/>
  <c r="CR17" i="8"/>
  <c r="CQ17" i="8"/>
  <c r="CP17" i="8"/>
  <c r="CO17" i="8"/>
  <c r="CN17" i="8"/>
  <c r="CM17" i="8"/>
  <c r="CL17" i="8"/>
  <c r="CK17" i="8"/>
  <c r="CJ17" i="8"/>
  <c r="CI17" i="8"/>
  <c r="CH17" i="8"/>
  <c r="CG17" i="8"/>
  <c r="CF17" i="8"/>
  <c r="CE17" i="8"/>
  <c r="CD17" i="8"/>
  <c r="CC17" i="8"/>
  <c r="CB17" i="8"/>
  <c r="CA17" i="8"/>
  <c r="BZ17" i="8"/>
  <c r="BY17" i="8"/>
  <c r="BX17" i="8"/>
  <c r="BW17" i="8"/>
  <c r="BV17" i="8"/>
  <c r="BU17" i="8"/>
  <c r="BT17" i="8"/>
  <c r="BS17" i="8"/>
  <c r="BR17" i="8"/>
  <c r="BQ17" i="8"/>
  <c r="BP17" i="8"/>
  <c r="BO17" i="8"/>
  <c r="BN17" i="8"/>
  <c r="BM17" i="8"/>
  <c r="BL17" i="8"/>
  <c r="BK17" i="8"/>
  <c r="BJ17" i="8"/>
  <c r="BI17" i="8"/>
  <c r="BH17" i="8"/>
  <c r="BG17" i="8"/>
  <c r="BF17" i="8"/>
  <c r="BE17" i="8"/>
  <c r="BD17" i="8"/>
  <c r="BC17" i="8"/>
  <c r="BB17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EL15" i="8"/>
  <c r="EK15" i="8"/>
  <c r="EJ15" i="8"/>
  <c r="EI15" i="8"/>
  <c r="EH15" i="8"/>
  <c r="EG15" i="8"/>
  <c r="EF15" i="8"/>
  <c r="EE15" i="8"/>
  <c r="ED15" i="8"/>
  <c r="EC15" i="8"/>
  <c r="EB15" i="8"/>
  <c r="EA15" i="8"/>
  <c r="DZ15" i="8"/>
  <c r="DY15" i="8"/>
  <c r="DX15" i="8"/>
  <c r="DW15" i="8"/>
  <c r="DV15" i="8"/>
  <c r="DU15" i="8"/>
  <c r="DT15" i="8"/>
  <c r="DS15" i="8"/>
  <c r="DR15" i="8"/>
  <c r="DQ15" i="8"/>
  <c r="DP15" i="8"/>
  <c r="DO15" i="8"/>
  <c r="DN15" i="8"/>
  <c r="DM15" i="8"/>
  <c r="DL15" i="8"/>
  <c r="DK15" i="8"/>
  <c r="DJ15" i="8"/>
  <c r="DI15" i="8"/>
  <c r="DH15" i="8"/>
  <c r="DG15" i="8"/>
  <c r="DF15" i="8"/>
  <c r="DE15" i="8"/>
  <c r="DD15" i="8"/>
  <c r="DC15" i="8"/>
  <c r="DB15" i="8"/>
  <c r="DA15" i="8"/>
  <c r="CZ15" i="8"/>
  <c r="CY15" i="8"/>
  <c r="CX15" i="8"/>
  <c r="CW15" i="8"/>
  <c r="CV15" i="8"/>
  <c r="CU15" i="8"/>
  <c r="CT15" i="8"/>
  <c r="CS15" i="8"/>
  <c r="CR15" i="8"/>
  <c r="CQ15" i="8"/>
  <c r="CP15" i="8"/>
  <c r="CO15" i="8"/>
  <c r="CN15" i="8"/>
  <c r="CM15" i="8"/>
  <c r="CL15" i="8"/>
  <c r="CK15" i="8"/>
  <c r="CJ15" i="8"/>
  <c r="CI15" i="8"/>
  <c r="CH15" i="8"/>
  <c r="CG15" i="8"/>
  <c r="CF15" i="8"/>
  <c r="CE15" i="8"/>
  <c r="CD15" i="8"/>
  <c r="CC15" i="8"/>
  <c r="CB15" i="8"/>
  <c r="CA15" i="8"/>
  <c r="BZ15" i="8"/>
  <c r="BY15" i="8"/>
  <c r="BX15" i="8"/>
  <c r="BW15" i="8"/>
  <c r="BV15" i="8"/>
  <c r="BU15" i="8"/>
  <c r="BT15" i="8"/>
  <c r="BS15" i="8"/>
  <c r="BR15" i="8"/>
  <c r="BQ15" i="8"/>
  <c r="BP15" i="8"/>
  <c r="BO15" i="8"/>
  <c r="BN15" i="8"/>
  <c r="BM15" i="8"/>
  <c r="BL15" i="8"/>
  <c r="BK15" i="8"/>
  <c r="BJ15" i="8"/>
  <c r="BI15" i="8"/>
  <c r="BH15" i="8"/>
  <c r="BG15" i="8"/>
  <c r="BF15" i="8"/>
  <c r="BE15" i="8"/>
  <c r="BD15" i="8"/>
  <c r="BC15" i="8"/>
  <c r="BB15" i="8"/>
  <c r="BA15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EL14" i="8"/>
  <c r="EK14" i="8"/>
  <c r="EJ14" i="8"/>
  <c r="EI14" i="8"/>
  <c r="EH14" i="8"/>
  <c r="EG14" i="8"/>
  <c r="EF14" i="8"/>
  <c r="EE14" i="8"/>
  <c r="ED14" i="8"/>
  <c r="EC14" i="8"/>
  <c r="EB14" i="8"/>
  <c r="EA14" i="8"/>
  <c r="DZ14" i="8"/>
  <c r="DY14" i="8"/>
  <c r="DX14" i="8"/>
  <c r="DW14" i="8"/>
  <c r="DV14" i="8"/>
  <c r="DU14" i="8"/>
  <c r="DT14" i="8"/>
  <c r="DS14" i="8"/>
  <c r="DR14" i="8"/>
  <c r="DQ14" i="8"/>
  <c r="DP14" i="8"/>
  <c r="DO14" i="8"/>
  <c r="DN14" i="8"/>
  <c r="DM14" i="8"/>
  <c r="DL14" i="8"/>
  <c r="DK14" i="8"/>
  <c r="DJ14" i="8"/>
  <c r="DI14" i="8"/>
  <c r="DH14" i="8"/>
  <c r="DG14" i="8"/>
  <c r="DF14" i="8"/>
  <c r="DE14" i="8"/>
  <c r="DD14" i="8"/>
  <c r="DC14" i="8"/>
  <c r="DB14" i="8"/>
  <c r="DA14" i="8"/>
  <c r="CZ14" i="8"/>
  <c r="CY14" i="8"/>
  <c r="CX14" i="8"/>
  <c r="CW14" i="8"/>
  <c r="CV14" i="8"/>
  <c r="CU14" i="8"/>
  <c r="CT14" i="8"/>
  <c r="CS14" i="8"/>
  <c r="CR14" i="8"/>
  <c r="CQ14" i="8"/>
  <c r="CP14" i="8"/>
  <c r="CO14" i="8"/>
  <c r="CN14" i="8"/>
  <c r="CM14" i="8"/>
  <c r="CL14" i="8"/>
  <c r="CK14" i="8"/>
  <c r="CJ14" i="8"/>
  <c r="CI14" i="8"/>
  <c r="CH14" i="8"/>
  <c r="CG14" i="8"/>
  <c r="CF14" i="8"/>
  <c r="CE14" i="8"/>
  <c r="CD14" i="8"/>
  <c r="CC14" i="8"/>
  <c r="CB14" i="8"/>
  <c r="CA14" i="8"/>
  <c r="BZ14" i="8"/>
  <c r="BY14" i="8"/>
  <c r="BX14" i="8"/>
  <c r="BW14" i="8"/>
  <c r="BV14" i="8"/>
  <c r="BU14" i="8"/>
  <c r="BT14" i="8"/>
  <c r="BS14" i="8"/>
  <c r="BR14" i="8"/>
  <c r="BQ14" i="8"/>
  <c r="BP14" i="8"/>
  <c r="BO14" i="8"/>
  <c r="BN14" i="8"/>
  <c r="BM14" i="8"/>
  <c r="BL14" i="8"/>
  <c r="BK14" i="8"/>
  <c r="BJ14" i="8"/>
  <c r="BI14" i="8"/>
  <c r="BH14" i="8"/>
  <c r="BG14" i="8"/>
  <c r="BF14" i="8"/>
  <c r="BE14" i="8"/>
  <c r="BD14" i="8"/>
  <c r="BC14" i="8"/>
  <c r="BB14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EL13" i="8"/>
  <c r="EK13" i="8"/>
  <c r="EJ13" i="8"/>
  <c r="EI13" i="8"/>
  <c r="EH13" i="8"/>
  <c r="EG13" i="8"/>
  <c r="EF13" i="8"/>
  <c r="EE13" i="8"/>
  <c r="ED13" i="8"/>
  <c r="EC13" i="8"/>
  <c r="EB13" i="8"/>
  <c r="EA13" i="8"/>
  <c r="DZ13" i="8"/>
  <c r="DY13" i="8"/>
  <c r="DX13" i="8"/>
  <c r="DW13" i="8"/>
  <c r="DV13" i="8"/>
  <c r="DU13" i="8"/>
  <c r="DT13" i="8"/>
  <c r="DS13" i="8"/>
  <c r="DR13" i="8"/>
  <c r="DQ13" i="8"/>
  <c r="DP13" i="8"/>
  <c r="DO13" i="8"/>
  <c r="DN13" i="8"/>
  <c r="DM13" i="8"/>
  <c r="DL13" i="8"/>
  <c r="DK13" i="8"/>
  <c r="DJ13" i="8"/>
  <c r="DI13" i="8"/>
  <c r="DH13" i="8"/>
  <c r="DG13" i="8"/>
  <c r="DF13" i="8"/>
  <c r="DE13" i="8"/>
  <c r="DD13" i="8"/>
  <c r="DC13" i="8"/>
  <c r="DB13" i="8"/>
  <c r="DA13" i="8"/>
  <c r="CZ13" i="8"/>
  <c r="CY13" i="8"/>
  <c r="CX13" i="8"/>
  <c r="CW13" i="8"/>
  <c r="CV13" i="8"/>
  <c r="CU13" i="8"/>
  <c r="CT13" i="8"/>
  <c r="CS13" i="8"/>
  <c r="CR13" i="8"/>
  <c r="CQ13" i="8"/>
  <c r="CP13" i="8"/>
  <c r="CO13" i="8"/>
  <c r="CN13" i="8"/>
  <c r="CM13" i="8"/>
  <c r="CL13" i="8"/>
  <c r="CK13" i="8"/>
  <c r="CJ13" i="8"/>
  <c r="CI13" i="8"/>
  <c r="CH13" i="8"/>
  <c r="CG13" i="8"/>
  <c r="CF13" i="8"/>
  <c r="CE13" i="8"/>
  <c r="CD13" i="8"/>
  <c r="CC13" i="8"/>
  <c r="CB13" i="8"/>
  <c r="CA13" i="8"/>
  <c r="BZ13" i="8"/>
  <c r="BY13" i="8"/>
  <c r="BX13" i="8"/>
  <c r="BW13" i="8"/>
  <c r="BV13" i="8"/>
  <c r="BU13" i="8"/>
  <c r="BT13" i="8"/>
  <c r="BS13" i="8"/>
  <c r="BR13" i="8"/>
  <c r="BQ13" i="8"/>
  <c r="BP13" i="8"/>
  <c r="BO13" i="8"/>
  <c r="BN13" i="8"/>
  <c r="BM13" i="8"/>
  <c r="BL13" i="8"/>
  <c r="BK13" i="8"/>
  <c r="BJ13" i="8"/>
  <c r="BI13" i="8"/>
  <c r="BH13" i="8"/>
  <c r="BG13" i="8"/>
  <c r="BF13" i="8"/>
  <c r="BE13" i="8"/>
  <c r="BD13" i="8"/>
  <c r="BC13" i="8"/>
  <c r="BB13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E25" i="7"/>
  <c r="F25" i="7" s="1"/>
  <c r="G25" i="7" s="1"/>
  <c r="H25" i="7" s="1"/>
  <c r="I25" i="7" s="1"/>
  <c r="J25" i="7" s="1"/>
  <c r="K25" i="7" s="1"/>
  <c r="L25" i="7" s="1"/>
  <c r="M25" i="7" s="1"/>
  <c r="N25" i="7" s="1"/>
  <c r="O25" i="7" s="1"/>
  <c r="P25" i="7" s="1"/>
  <c r="Q25" i="7" s="1"/>
  <c r="R25" i="7" s="1"/>
  <c r="S25" i="7" s="1"/>
  <c r="T25" i="7" s="1"/>
  <c r="U25" i="7" s="1"/>
  <c r="V25" i="7" s="1"/>
  <c r="W25" i="7" s="1"/>
  <c r="X25" i="7" s="1"/>
  <c r="Y25" i="7" s="1"/>
  <c r="Z25" i="7" s="1"/>
  <c r="AA25" i="7" s="1"/>
  <c r="AB25" i="7" s="1"/>
  <c r="AC25" i="7" s="1"/>
  <c r="AD25" i="7" s="1"/>
  <c r="AE25" i="7" s="1"/>
  <c r="AF25" i="7" s="1"/>
  <c r="AG25" i="7" s="1"/>
  <c r="AH25" i="7" s="1"/>
  <c r="AI25" i="7" s="1"/>
  <c r="AJ25" i="7" s="1"/>
  <c r="AK25" i="7" s="1"/>
  <c r="AL25" i="7" s="1"/>
  <c r="AM25" i="7" s="1"/>
  <c r="AN25" i="7" s="1"/>
  <c r="AO25" i="7" s="1"/>
  <c r="AP25" i="7" s="1"/>
  <c r="AQ25" i="7" s="1"/>
  <c r="AR25" i="7" s="1"/>
  <c r="AS25" i="7" s="1"/>
  <c r="AT25" i="7" s="1"/>
  <c r="AU25" i="7" s="1"/>
  <c r="AV25" i="7" s="1"/>
  <c r="AW25" i="7" s="1"/>
  <c r="AX25" i="7" s="1"/>
  <c r="AY25" i="7" s="1"/>
  <c r="AZ25" i="7" s="1"/>
  <c r="BA25" i="7" s="1"/>
  <c r="BB25" i="7" s="1"/>
  <c r="BC25" i="7" s="1"/>
  <c r="BD25" i="7" s="1"/>
  <c r="BE25" i="7" s="1"/>
  <c r="BF25" i="7" s="1"/>
  <c r="BG25" i="7" s="1"/>
  <c r="BH25" i="7" s="1"/>
  <c r="BI25" i="7" s="1"/>
  <c r="BJ25" i="7" s="1"/>
  <c r="BK25" i="7" s="1"/>
  <c r="BL25" i="7" s="1"/>
  <c r="BM25" i="7" s="1"/>
  <c r="BN25" i="7" s="1"/>
  <c r="BO25" i="7" s="1"/>
  <c r="BP25" i="7" s="1"/>
  <c r="BQ25" i="7" s="1"/>
  <c r="BR25" i="7" s="1"/>
  <c r="BS25" i="7" s="1"/>
  <c r="BT25" i="7" s="1"/>
  <c r="BU25" i="7" s="1"/>
  <c r="BV25" i="7" s="1"/>
  <c r="BW25" i="7" s="1"/>
  <c r="BX25" i="7" s="1"/>
  <c r="BY25" i="7" s="1"/>
  <c r="BZ25" i="7" s="1"/>
  <c r="CA25" i="7" s="1"/>
  <c r="CB25" i="7" s="1"/>
  <c r="CC25" i="7" s="1"/>
  <c r="CD25" i="7" s="1"/>
  <c r="CE25" i="7" s="1"/>
  <c r="CF25" i="7" s="1"/>
  <c r="CG25" i="7" s="1"/>
  <c r="CH25" i="7" s="1"/>
  <c r="CI25" i="7" s="1"/>
  <c r="CJ25" i="7" s="1"/>
  <c r="CK25" i="7" s="1"/>
  <c r="CL25" i="7" s="1"/>
  <c r="CM25" i="7" s="1"/>
  <c r="CN25" i="7" s="1"/>
  <c r="CO25" i="7" s="1"/>
  <c r="CP25" i="7" s="1"/>
  <c r="CQ25" i="7" s="1"/>
  <c r="CR25" i="7" s="1"/>
  <c r="CS25" i="7" s="1"/>
  <c r="CT25" i="7" s="1"/>
  <c r="CU25" i="7" s="1"/>
  <c r="CV25" i="7" s="1"/>
  <c r="CW25" i="7" s="1"/>
  <c r="CX25" i="7" s="1"/>
  <c r="CY25" i="7" s="1"/>
  <c r="CZ25" i="7" s="1"/>
  <c r="DA25" i="7" s="1"/>
  <c r="DB25" i="7" s="1"/>
  <c r="DC25" i="7" s="1"/>
  <c r="DD25" i="7" s="1"/>
  <c r="DE25" i="7" s="1"/>
  <c r="DF25" i="7" s="1"/>
  <c r="DG25" i="7" s="1"/>
  <c r="DH25" i="7" s="1"/>
  <c r="DI25" i="7" s="1"/>
  <c r="DJ25" i="7" s="1"/>
  <c r="DK25" i="7" s="1"/>
  <c r="DL25" i="7" s="1"/>
  <c r="DM25" i="7" s="1"/>
  <c r="DN25" i="7" s="1"/>
  <c r="DO25" i="7" s="1"/>
  <c r="DP25" i="7" s="1"/>
  <c r="DQ25" i="7" s="1"/>
  <c r="DR25" i="7" s="1"/>
  <c r="DS25" i="7" s="1"/>
  <c r="DT25" i="7" s="1"/>
  <c r="DU25" i="7" s="1"/>
  <c r="DV25" i="7" s="1"/>
  <c r="DW25" i="7" s="1"/>
  <c r="DX25" i="7" s="1"/>
  <c r="DY25" i="7" s="1"/>
  <c r="DZ25" i="7" s="1"/>
  <c r="EA25" i="7" s="1"/>
  <c r="EB25" i="7" s="1"/>
  <c r="EC25" i="7" s="1"/>
  <c r="ED25" i="7" s="1"/>
  <c r="EE25" i="7" s="1"/>
  <c r="EF25" i="7" s="1"/>
  <c r="EG25" i="7" s="1"/>
  <c r="EH25" i="7" s="1"/>
  <c r="EI25" i="7" s="1"/>
  <c r="EJ25" i="7" s="1"/>
  <c r="EK25" i="7" s="1"/>
  <c r="EL25" i="7" s="1"/>
  <c r="D25" i="7"/>
  <c r="G24" i="7"/>
  <c r="H24" i="7" s="1"/>
  <c r="I24" i="7" s="1"/>
  <c r="J24" i="7" s="1"/>
  <c r="K24" i="7" s="1"/>
  <c r="L24" i="7" s="1"/>
  <c r="M24" i="7" s="1"/>
  <c r="N24" i="7" s="1"/>
  <c r="O24" i="7" s="1"/>
  <c r="P24" i="7" s="1"/>
  <c r="Q24" i="7" s="1"/>
  <c r="R24" i="7" s="1"/>
  <c r="S24" i="7" s="1"/>
  <c r="T24" i="7" s="1"/>
  <c r="U24" i="7" s="1"/>
  <c r="V24" i="7" s="1"/>
  <c r="W24" i="7" s="1"/>
  <c r="X24" i="7" s="1"/>
  <c r="Y24" i="7" s="1"/>
  <c r="Z24" i="7" s="1"/>
  <c r="AA24" i="7" s="1"/>
  <c r="AB24" i="7" s="1"/>
  <c r="AC24" i="7" s="1"/>
  <c r="AD24" i="7" s="1"/>
  <c r="AE24" i="7" s="1"/>
  <c r="AF24" i="7" s="1"/>
  <c r="AG24" i="7" s="1"/>
  <c r="AH24" i="7" s="1"/>
  <c r="AI24" i="7" s="1"/>
  <c r="AJ24" i="7" s="1"/>
  <c r="AK24" i="7" s="1"/>
  <c r="AL24" i="7" s="1"/>
  <c r="AM24" i="7" s="1"/>
  <c r="AN24" i="7" s="1"/>
  <c r="AO24" i="7" s="1"/>
  <c r="AP24" i="7" s="1"/>
  <c r="AQ24" i="7" s="1"/>
  <c r="AR24" i="7" s="1"/>
  <c r="AS24" i="7" s="1"/>
  <c r="AT24" i="7" s="1"/>
  <c r="AU24" i="7" s="1"/>
  <c r="AV24" i="7" s="1"/>
  <c r="AW24" i="7" s="1"/>
  <c r="AX24" i="7" s="1"/>
  <c r="AY24" i="7" s="1"/>
  <c r="AZ24" i="7" s="1"/>
  <c r="BA24" i="7" s="1"/>
  <c r="BB24" i="7" s="1"/>
  <c r="BC24" i="7" s="1"/>
  <c r="BD24" i="7" s="1"/>
  <c r="BE24" i="7" s="1"/>
  <c r="BF24" i="7" s="1"/>
  <c r="BG24" i="7" s="1"/>
  <c r="BH24" i="7" s="1"/>
  <c r="BI24" i="7" s="1"/>
  <c r="BJ24" i="7" s="1"/>
  <c r="BK24" i="7" s="1"/>
  <c r="BL24" i="7" s="1"/>
  <c r="BM24" i="7" s="1"/>
  <c r="BN24" i="7" s="1"/>
  <c r="BO24" i="7" s="1"/>
  <c r="BP24" i="7" s="1"/>
  <c r="BQ24" i="7" s="1"/>
  <c r="BR24" i="7" s="1"/>
  <c r="BS24" i="7" s="1"/>
  <c r="BT24" i="7" s="1"/>
  <c r="BU24" i="7" s="1"/>
  <c r="BV24" i="7" s="1"/>
  <c r="BW24" i="7" s="1"/>
  <c r="BX24" i="7" s="1"/>
  <c r="BY24" i="7" s="1"/>
  <c r="BZ24" i="7" s="1"/>
  <c r="CA24" i="7" s="1"/>
  <c r="CB24" i="7" s="1"/>
  <c r="CC24" i="7" s="1"/>
  <c r="CD24" i="7" s="1"/>
  <c r="CE24" i="7" s="1"/>
  <c r="CF24" i="7" s="1"/>
  <c r="CG24" i="7" s="1"/>
  <c r="CH24" i="7" s="1"/>
  <c r="CI24" i="7" s="1"/>
  <c r="CJ24" i="7" s="1"/>
  <c r="CK24" i="7" s="1"/>
  <c r="CL24" i="7" s="1"/>
  <c r="CM24" i="7" s="1"/>
  <c r="CN24" i="7" s="1"/>
  <c r="CO24" i="7" s="1"/>
  <c r="CP24" i="7" s="1"/>
  <c r="CQ24" i="7" s="1"/>
  <c r="CR24" i="7" s="1"/>
  <c r="CS24" i="7" s="1"/>
  <c r="CT24" i="7" s="1"/>
  <c r="CU24" i="7" s="1"/>
  <c r="CV24" i="7" s="1"/>
  <c r="CW24" i="7" s="1"/>
  <c r="CX24" i="7" s="1"/>
  <c r="CY24" i="7" s="1"/>
  <c r="CZ24" i="7" s="1"/>
  <c r="DA24" i="7" s="1"/>
  <c r="DB24" i="7" s="1"/>
  <c r="DC24" i="7" s="1"/>
  <c r="DD24" i="7" s="1"/>
  <c r="DE24" i="7" s="1"/>
  <c r="DF24" i="7" s="1"/>
  <c r="DG24" i="7" s="1"/>
  <c r="DH24" i="7" s="1"/>
  <c r="DI24" i="7" s="1"/>
  <c r="DJ24" i="7" s="1"/>
  <c r="DK24" i="7" s="1"/>
  <c r="DL24" i="7" s="1"/>
  <c r="DM24" i="7" s="1"/>
  <c r="DN24" i="7" s="1"/>
  <c r="DO24" i="7" s="1"/>
  <c r="DP24" i="7" s="1"/>
  <c r="DQ24" i="7" s="1"/>
  <c r="DR24" i="7" s="1"/>
  <c r="DS24" i="7" s="1"/>
  <c r="DT24" i="7" s="1"/>
  <c r="DU24" i="7" s="1"/>
  <c r="DV24" i="7" s="1"/>
  <c r="DW24" i="7" s="1"/>
  <c r="DX24" i="7" s="1"/>
  <c r="DY24" i="7" s="1"/>
  <c r="DZ24" i="7" s="1"/>
  <c r="EA24" i="7" s="1"/>
  <c r="EB24" i="7" s="1"/>
  <c r="EC24" i="7" s="1"/>
  <c r="ED24" i="7" s="1"/>
  <c r="EE24" i="7" s="1"/>
  <c r="EF24" i="7" s="1"/>
  <c r="EG24" i="7" s="1"/>
  <c r="EH24" i="7" s="1"/>
  <c r="EI24" i="7" s="1"/>
  <c r="EJ24" i="7" s="1"/>
  <c r="EK24" i="7" s="1"/>
  <c r="EL24" i="7" s="1"/>
  <c r="F24" i="7"/>
  <c r="D24" i="7"/>
  <c r="E24" i="7" s="1"/>
  <c r="F23" i="7"/>
  <c r="G23" i="7" s="1"/>
  <c r="H23" i="7" s="1"/>
  <c r="I23" i="7" s="1"/>
  <c r="J23" i="7" s="1"/>
  <c r="K23" i="7" s="1"/>
  <c r="L23" i="7" s="1"/>
  <c r="M23" i="7" s="1"/>
  <c r="N23" i="7" s="1"/>
  <c r="O23" i="7" s="1"/>
  <c r="P23" i="7" s="1"/>
  <c r="Q23" i="7" s="1"/>
  <c r="R23" i="7" s="1"/>
  <c r="S23" i="7" s="1"/>
  <c r="T23" i="7" s="1"/>
  <c r="U23" i="7" s="1"/>
  <c r="V23" i="7" s="1"/>
  <c r="W23" i="7" s="1"/>
  <c r="X23" i="7" s="1"/>
  <c r="Y23" i="7" s="1"/>
  <c r="Z23" i="7" s="1"/>
  <c r="AA23" i="7" s="1"/>
  <c r="AB23" i="7" s="1"/>
  <c r="AC23" i="7" s="1"/>
  <c r="AD23" i="7" s="1"/>
  <c r="AE23" i="7" s="1"/>
  <c r="AF23" i="7" s="1"/>
  <c r="AG23" i="7" s="1"/>
  <c r="AH23" i="7" s="1"/>
  <c r="AI23" i="7" s="1"/>
  <c r="AJ23" i="7" s="1"/>
  <c r="AK23" i="7" s="1"/>
  <c r="AL23" i="7" s="1"/>
  <c r="AM23" i="7" s="1"/>
  <c r="AN23" i="7" s="1"/>
  <c r="AO23" i="7" s="1"/>
  <c r="AP23" i="7" s="1"/>
  <c r="AQ23" i="7" s="1"/>
  <c r="AR23" i="7" s="1"/>
  <c r="AS23" i="7" s="1"/>
  <c r="AT23" i="7" s="1"/>
  <c r="AU23" i="7" s="1"/>
  <c r="AV23" i="7" s="1"/>
  <c r="AW23" i="7" s="1"/>
  <c r="AX23" i="7" s="1"/>
  <c r="AY23" i="7" s="1"/>
  <c r="AZ23" i="7" s="1"/>
  <c r="BA23" i="7" s="1"/>
  <c r="BB23" i="7" s="1"/>
  <c r="BC23" i="7" s="1"/>
  <c r="BD23" i="7" s="1"/>
  <c r="BE23" i="7" s="1"/>
  <c r="BF23" i="7" s="1"/>
  <c r="BG23" i="7" s="1"/>
  <c r="BH23" i="7" s="1"/>
  <c r="BI23" i="7" s="1"/>
  <c r="BJ23" i="7" s="1"/>
  <c r="BK23" i="7" s="1"/>
  <c r="BL23" i="7" s="1"/>
  <c r="BM23" i="7" s="1"/>
  <c r="BN23" i="7" s="1"/>
  <c r="BO23" i="7" s="1"/>
  <c r="BP23" i="7" s="1"/>
  <c r="BQ23" i="7" s="1"/>
  <c r="BR23" i="7" s="1"/>
  <c r="BS23" i="7" s="1"/>
  <c r="BT23" i="7" s="1"/>
  <c r="BU23" i="7" s="1"/>
  <c r="BV23" i="7" s="1"/>
  <c r="BW23" i="7" s="1"/>
  <c r="BX23" i="7" s="1"/>
  <c r="BY23" i="7" s="1"/>
  <c r="BZ23" i="7" s="1"/>
  <c r="CA23" i="7" s="1"/>
  <c r="CB23" i="7" s="1"/>
  <c r="CC23" i="7" s="1"/>
  <c r="CD23" i="7" s="1"/>
  <c r="CE23" i="7" s="1"/>
  <c r="CF23" i="7" s="1"/>
  <c r="CG23" i="7" s="1"/>
  <c r="CH23" i="7" s="1"/>
  <c r="CI23" i="7" s="1"/>
  <c r="CJ23" i="7" s="1"/>
  <c r="CK23" i="7" s="1"/>
  <c r="CL23" i="7" s="1"/>
  <c r="CM23" i="7" s="1"/>
  <c r="CN23" i="7" s="1"/>
  <c r="CO23" i="7" s="1"/>
  <c r="CP23" i="7" s="1"/>
  <c r="CQ23" i="7" s="1"/>
  <c r="CR23" i="7" s="1"/>
  <c r="CS23" i="7" s="1"/>
  <c r="CT23" i="7" s="1"/>
  <c r="CU23" i="7" s="1"/>
  <c r="CV23" i="7" s="1"/>
  <c r="CW23" i="7" s="1"/>
  <c r="CX23" i="7" s="1"/>
  <c r="CY23" i="7" s="1"/>
  <c r="CZ23" i="7" s="1"/>
  <c r="DA23" i="7" s="1"/>
  <c r="DB23" i="7" s="1"/>
  <c r="DC23" i="7" s="1"/>
  <c r="DD23" i="7" s="1"/>
  <c r="DE23" i="7" s="1"/>
  <c r="DF23" i="7" s="1"/>
  <c r="DG23" i="7" s="1"/>
  <c r="DH23" i="7" s="1"/>
  <c r="DI23" i="7" s="1"/>
  <c r="DJ23" i="7" s="1"/>
  <c r="DK23" i="7" s="1"/>
  <c r="DL23" i="7" s="1"/>
  <c r="DM23" i="7" s="1"/>
  <c r="DN23" i="7" s="1"/>
  <c r="DO23" i="7" s="1"/>
  <c r="DP23" i="7" s="1"/>
  <c r="DQ23" i="7" s="1"/>
  <c r="DR23" i="7" s="1"/>
  <c r="DS23" i="7" s="1"/>
  <c r="DT23" i="7" s="1"/>
  <c r="DU23" i="7" s="1"/>
  <c r="DV23" i="7" s="1"/>
  <c r="DW23" i="7" s="1"/>
  <c r="DX23" i="7" s="1"/>
  <c r="DY23" i="7" s="1"/>
  <c r="DZ23" i="7" s="1"/>
  <c r="EA23" i="7" s="1"/>
  <c r="EB23" i="7" s="1"/>
  <c r="EC23" i="7" s="1"/>
  <c r="ED23" i="7" s="1"/>
  <c r="EE23" i="7" s="1"/>
  <c r="EF23" i="7" s="1"/>
  <c r="EG23" i="7" s="1"/>
  <c r="EH23" i="7" s="1"/>
  <c r="EI23" i="7" s="1"/>
  <c r="EJ23" i="7" s="1"/>
  <c r="EK23" i="7" s="1"/>
  <c r="EL23" i="7" s="1"/>
  <c r="E23" i="7"/>
  <c r="D23" i="7"/>
  <c r="E22" i="7"/>
  <c r="F22" i="7" s="1"/>
  <c r="G22" i="7" s="1"/>
  <c r="H22" i="7" s="1"/>
  <c r="I22" i="7" s="1"/>
  <c r="J22" i="7" s="1"/>
  <c r="K22" i="7" s="1"/>
  <c r="L22" i="7" s="1"/>
  <c r="M22" i="7" s="1"/>
  <c r="N22" i="7" s="1"/>
  <c r="O22" i="7" s="1"/>
  <c r="P22" i="7" s="1"/>
  <c r="Q22" i="7" s="1"/>
  <c r="R22" i="7" s="1"/>
  <c r="S22" i="7" s="1"/>
  <c r="T22" i="7" s="1"/>
  <c r="U22" i="7" s="1"/>
  <c r="V22" i="7" s="1"/>
  <c r="W22" i="7" s="1"/>
  <c r="X22" i="7" s="1"/>
  <c r="Y22" i="7" s="1"/>
  <c r="Z22" i="7" s="1"/>
  <c r="AA22" i="7" s="1"/>
  <c r="AB22" i="7" s="1"/>
  <c r="AC22" i="7" s="1"/>
  <c r="AD22" i="7" s="1"/>
  <c r="AE22" i="7" s="1"/>
  <c r="AF22" i="7" s="1"/>
  <c r="AG22" i="7" s="1"/>
  <c r="AH22" i="7" s="1"/>
  <c r="AI22" i="7" s="1"/>
  <c r="AJ22" i="7" s="1"/>
  <c r="AK22" i="7" s="1"/>
  <c r="AL22" i="7" s="1"/>
  <c r="AM22" i="7" s="1"/>
  <c r="AN22" i="7" s="1"/>
  <c r="AO22" i="7" s="1"/>
  <c r="AP22" i="7" s="1"/>
  <c r="AQ22" i="7" s="1"/>
  <c r="AR22" i="7" s="1"/>
  <c r="AS22" i="7" s="1"/>
  <c r="AT22" i="7" s="1"/>
  <c r="AU22" i="7" s="1"/>
  <c r="AV22" i="7" s="1"/>
  <c r="AW22" i="7" s="1"/>
  <c r="AX22" i="7" s="1"/>
  <c r="AY22" i="7" s="1"/>
  <c r="AZ22" i="7" s="1"/>
  <c r="BA22" i="7" s="1"/>
  <c r="BB22" i="7" s="1"/>
  <c r="BC22" i="7" s="1"/>
  <c r="BD22" i="7" s="1"/>
  <c r="BE22" i="7" s="1"/>
  <c r="BF22" i="7" s="1"/>
  <c r="BG22" i="7" s="1"/>
  <c r="BH22" i="7" s="1"/>
  <c r="BI22" i="7" s="1"/>
  <c r="BJ22" i="7" s="1"/>
  <c r="BK22" i="7" s="1"/>
  <c r="BL22" i="7" s="1"/>
  <c r="BM22" i="7" s="1"/>
  <c r="BN22" i="7" s="1"/>
  <c r="BO22" i="7" s="1"/>
  <c r="BP22" i="7" s="1"/>
  <c r="BQ22" i="7" s="1"/>
  <c r="BR22" i="7" s="1"/>
  <c r="BS22" i="7" s="1"/>
  <c r="BT22" i="7" s="1"/>
  <c r="BU22" i="7" s="1"/>
  <c r="BV22" i="7" s="1"/>
  <c r="BW22" i="7" s="1"/>
  <c r="BX22" i="7" s="1"/>
  <c r="BY22" i="7" s="1"/>
  <c r="BZ22" i="7" s="1"/>
  <c r="CA22" i="7" s="1"/>
  <c r="CB22" i="7" s="1"/>
  <c r="CC22" i="7" s="1"/>
  <c r="CD22" i="7" s="1"/>
  <c r="CE22" i="7" s="1"/>
  <c r="CF22" i="7" s="1"/>
  <c r="CG22" i="7" s="1"/>
  <c r="CH22" i="7" s="1"/>
  <c r="CI22" i="7" s="1"/>
  <c r="CJ22" i="7" s="1"/>
  <c r="CK22" i="7" s="1"/>
  <c r="CL22" i="7" s="1"/>
  <c r="CM22" i="7" s="1"/>
  <c r="CN22" i="7" s="1"/>
  <c r="CO22" i="7" s="1"/>
  <c r="CP22" i="7" s="1"/>
  <c r="CQ22" i="7" s="1"/>
  <c r="CR22" i="7" s="1"/>
  <c r="CS22" i="7" s="1"/>
  <c r="CT22" i="7" s="1"/>
  <c r="CU22" i="7" s="1"/>
  <c r="CV22" i="7" s="1"/>
  <c r="CW22" i="7" s="1"/>
  <c r="CX22" i="7" s="1"/>
  <c r="CY22" i="7" s="1"/>
  <c r="CZ22" i="7" s="1"/>
  <c r="DA22" i="7" s="1"/>
  <c r="DB22" i="7" s="1"/>
  <c r="DC22" i="7" s="1"/>
  <c r="DD22" i="7" s="1"/>
  <c r="DE22" i="7" s="1"/>
  <c r="DF22" i="7" s="1"/>
  <c r="DG22" i="7" s="1"/>
  <c r="DH22" i="7" s="1"/>
  <c r="DI22" i="7" s="1"/>
  <c r="DJ22" i="7" s="1"/>
  <c r="DK22" i="7" s="1"/>
  <c r="DL22" i="7" s="1"/>
  <c r="DM22" i="7" s="1"/>
  <c r="DN22" i="7" s="1"/>
  <c r="DO22" i="7" s="1"/>
  <c r="DP22" i="7" s="1"/>
  <c r="DQ22" i="7" s="1"/>
  <c r="DR22" i="7" s="1"/>
  <c r="DS22" i="7" s="1"/>
  <c r="DT22" i="7" s="1"/>
  <c r="DU22" i="7" s="1"/>
  <c r="DV22" i="7" s="1"/>
  <c r="DW22" i="7" s="1"/>
  <c r="DX22" i="7" s="1"/>
  <c r="DY22" i="7" s="1"/>
  <c r="DZ22" i="7" s="1"/>
  <c r="EA22" i="7" s="1"/>
  <c r="EB22" i="7" s="1"/>
  <c r="EC22" i="7" s="1"/>
  <c r="ED22" i="7" s="1"/>
  <c r="EE22" i="7" s="1"/>
  <c r="EF22" i="7" s="1"/>
  <c r="EG22" i="7" s="1"/>
  <c r="EH22" i="7" s="1"/>
  <c r="EI22" i="7" s="1"/>
  <c r="EJ22" i="7" s="1"/>
  <c r="EK22" i="7" s="1"/>
  <c r="EL22" i="7" s="1"/>
  <c r="D22" i="7"/>
  <c r="E21" i="7"/>
  <c r="F21" i="7" s="1"/>
  <c r="G21" i="7" s="1"/>
  <c r="H21" i="7" s="1"/>
  <c r="I21" i="7" s="1"/>
  <c r="J21" i="7" s="1"/>
  <c r="K21" i="7" s="1"/>
  <c r="L21" i="7" s="1"/>
  <c r="M21" i="7" s="1"/>
  <c r="N21" i="7" s="1"/>
  <c r="O21" i="7" s="1"/>
  <c r="P21" i="7" s="1"/>
  <c r="Q21" i="7" s="1"/>
  <c r="R21" i="7" s="1"/>
  <c r="S21" i="7" s="1"/>
  <c r="T21" i="7" s="1"/>
  <c r="U21" i="7" s="1"/>
  <c r="V21" i="7" s="1"/>
  <c r="W21" i="7" s="1"/>
  <c r="X21" i="7" s="1"/>
  <c r="Y21" i="7" s="1"/>
  <c r="Z21" i="7" s="1"/>
  <c r="AA21" i="7" s="1"/>
  <c r="AB21" i="7" s="1"/>
  <c r="AC21" i="7" s="1"/>
  <c r="AD21" i="7" s="1"/>
  <c r="AE21" i="7" s="1"/>
  <c r="AF21" i="7" s="1"/>
  <c r="AG21" i="7" s="1"/>
  <c r="AH21" i="7" s="1"/>
  <c r="AI21" i="7" s="1"/>
  <c r="AJ21" i="7" s="1"/>
  <c r="AK21" i="7" s="1"/>
  <c r="AL21" i="7" s="1"/>
  <c r="AM21" i="7" s="1"/>
  <c r="AN21" i="7" s="1"/>
  <c r="AO21" i="7" s="1"/>
  <c r="AP21" i="7" s="1"/>
  <c r="AQ21" i="7" s="1"/>
  <c r="AR21" i="7" s="1"/>
  <c r="AS21" i="7" s="1"/>
  <c r="AT21" i="7" s="1"/>
  <c r="AU21" i="7" s="1"/>
  <c r="AV21" i="7" s="1"/>
  <c r="AW21" i="7" s="1"/>
  <c r="AX21" i="7" s="1"/>
  <c r="AY21" i="7" s="1"/>
  <c r="AZ21" i="7" s="1"/>
  <c r="BA21" i="7" s="1"/>
  <c r="BB21" i="7" s="1"/>
  <c r="BC21" i="7" s="1"/>
  <c r="BD21" i="7" s="1"/>
  <c r="BE21" i="7" s="1"/>
  <c r="BF21" i="7" s="1"/>
  <c r="BG21" i="7" s="1"/>
  <c r="BH21" i="7" s="1"/>
  <c r="BI21" i="7" s="1"/>
  <c r="BJ21" i="7" s="1"/>
  <c r="BK21" i="7" s="1"/>
  <c r="BL21" i="7" s="1"/>
  <c r="BM21" i="7" s="1"/>
  <c r="BN21" i="7" s="1"/>
  <c r="BO21" i="7" s="1"/>
  <c r="BP21" i="7" s="1"/>
  <c r="BQ21" i="7" s="1"/>
  <c r="BR21" i="7" s="1"/>
  <c r="BS21" i="7" s="1"/>
  <c r="BT21" i="7" s="1"/>
  <c r="BU21" i="7" s="1"/>
  <c r="BV21" i="7" s="1"/>
  <c r="BW21" i="7" s="1"/>
  <c r="BX21" i="7" s="1"/>
  <c r="BY21" i="7" s="1"/>
  <c r="BZ21" i="7" s="1"/>
  <c r="CA21" i="7" s="1"/>
  <c r="CB21" i="7" s="1"/>
  <c r="CC21" i="7" s="1"/>
  <c r="CD21" i="7" s="1"/>
  <c r="CE21" i="7" s="1"/>
  <c r="CF21" i="7" s="1"/>
  <c r="CG21" i="7" s="1"/>
  <c r="CH21" i="7" s="1"/>
  <c r="CI21" i="7" s="1"/>
  <c r="CJ21" i="7" s="1"/>
  <c r="CK21" i="7" s="1"/>
  <c r="CL21" i="7" s="1"/>
  <c r="CM21" i="7" s="1"/>
  <c r="CN21" i="7" s="1"/>
  <c r="CO21" i="7" s="1"/>
  <c r="CP21" i="7" s="1"/>
  <c r="CQ21" i="7" s="1"/>
  <c r="CR21" i="7" s="1"/>
  <c r="CS21" i="7" s="1"/>
  <c r="CT21" i="7" s="1"/>
  <c r="CU21" i="7" s="1"/>
  <c r="CV21" i="7" s="1"/>
  <c r="CW21" i="7" s="1"/>
  <c r="CX21" i="7" s="1"/>
  <c r="CY21" i="7" s="1"/>
  <c r="CZ21" i="7" s="1"/>
  <c r="DA21" i="7" s="1"/>
  <c r="DB21" i="7" s="1"/>
  <c r="DC21" i="7" s="1"/>
  <c r="DD21" i="7" s="1"/>
  <c r="DE21" i="7" s="1"/>
  <c r="DF21" i="7" s="1"/>
  <c r="DG21" i="7" s="1"/>
  <c r="DH21" i="7" s="1"/>
  <c r="DI21" i="7" s="1"/>
  <c r="DJ21" i="7" s="1"/>
  <c r="DK21" i="7" s="1"/>
  <c r="DL21" i="7" s="1"/>
  <c r="DM21" i="7" s="1"/>
  <c r="DN21" i="7" s="1"/>
  <c r="DO21" i="7" s="1"/>
  <c r="DP21" i="7" s="1"/>
  <c r="DQ21" i="7" s="1"/>
  <c r="DR21" i="7" s="1"/>
  <c r="DS21" i="7" s="1"/>
  <c r="DT21" i="7" s="1"/>
  <c r="DU21" i="7" s="1"/>
  <c r="DV21" i="7" s="1"/>
  <c r="DW21" i="7" s="1"/>
  <c r="DX21" i="7" s="1"/>
  <c r="DY21" i="7" s="1"/>
  <c r="DZ21" i="7" s="1"/>
  <c r="EA21" i="7" s="1"/>
  <c r="EB21" i="7" s="1"/>
  <c r="EC21" i="7" s="1"/>
  <c r="ED21" i="7" s="1"/>
  <c r="EE21" i="7" s="1"/>
  <c r="EF21" i="7" s="1"/>
  <c r="EG21" i="7" s="1"/>
  <c r="EH21" i="7" s="1"/>
  <c r="EI21" i="7" s="1"/>
  <c r="EJ21" i="7" s="1"/>
  <c r="EK21" i="7" s="1"/>
  <c r="EL21" i="7" s="1"/>
  <c r="D21" i="7"/>
  <c r="E20" i="7"/>
  <c r="F20" i="7" s="1"/>
  <c r="G20" i="7" s="1"/>
  <c r="H20" i="7" s="1"/>
  <c r="I20" i="7" s="1"/>
  <c r="J20" i="7" s="1"/>
  <c r="K20" i="7" s="1"/>
  <c r="L20" i="7" s="1"/>
  <c r="M20" i="7" s="1"/>
  <c r="N20" i="7" s="1"/>
  <c r="O20" i="7" s="1"/>
  <c r="P20" i="7" s="1"/>
  <c r="Q20" i="7" s="1"/>
  <c r="R20" i="7" s="1"/>
  <c r="S20" i="7" s="1"/>
  <c r="T20" i="7" s="1"/>
  <c r="U20" i="7" s="1"/>
  <c r="V20" i="7" s="1"/>
  <c r="W20" i="7" s="1"/>
  <c r="X20" i="7" s="1"/>
  <c r="Y20" i="7" s="1"/>
  <c r="Z20" i="7" s="1"/>
  <c r="AA20" i="7" s="1"/>
  <c r="AB20" i="7" s="1"/>
  <c r="AC20" i="7" s="1"/>
  <c r="AD20" i="7" s="1"/>
  <c r="AE20" i="7" s="1"/>
  <c r="AF20" i="7" s="1"/>
  <c r="AG20" i="7" s="1"/>
  <c r="AH20" i="7" s="1"/>
  <c r="AI20" i="7" s="1"/>
  <c r="AJ20" i="7" s="1"/>
  <c r="AK20" i="7" s="1"/>
  <c r="AL20" i="7" s="1"/>
  <c r="AM20" i="7" s="1"/>
  <c r="AN20" i="7" s="1"/>
  <c r="AO20" i="7" s="1"/>
  <c r="AP20" i="7" s="1"/>
  <c r="AQ20" i="7" s="1"/>
  <c r="AR20" i="7" s="1"/>
  <c r="AS20" i="7" s="1"/>
  <c r="AT20" i="7" s="1"/>
  <c r="AU20" i="7" s="1"/>
  <c r="AV20" i="7" s="1"/>
  <c r="AW20" i="7" s="1"/>
  <c r="AX20" i="7" s="1"/>
  <c r="AY20" i="7" s="1"/>
  <c r="AZ20" i="7" s="1"/>
  <c r="BA20" i="7" s="1"/>
  <c r="BB20" i="7" s="1"/>
  <c r="BC20" i="7" s="1"/>
  <c r="BD20" i="7" s="1"/>
  <c r="BE20" i="7" s="1"/>
  <c r="BF20" i="7" s="1"/>
  <c r="BG20" i="7" s="1"/>
  <c r="BH20" i="7" s="1"/>
  <c r="BI20" i="7" s="1"/>
  <c r="BJ20" i="7" s="1"/>
  <c r="BK20" i="7" s="1"/>
  <c r="BL20" i="7" s="1"/>
  <c r="BM20" i="7" s="1"/>
  <c r="BN20" i="7" s="1"/>
  <c r="BO20" i="7" s="1"/>
  <c r="BP20" i="7" s="1"/>
  <c r="BQ20" i="7" s="1"/>
  <c r="BR20" i="7" s="1"/>
  <c r="BS20" i="7" s="1"/>
  <c r="BT20" i="7" s="1"/>
  <c r="BU20" i="7" s="1"/>
  <c r="BV20" i="7" s="1"/>
  <c r="BW20" i="7" s="1"/>
  <c r="BX20" i="7" s="1"/>
  <c r="BY20" i="7" s="1"/>
  <c r="BZ20" i="7" s="1"/>
  <c r="CA20" i="7" s="1"/>
  <c r="CB20" i="7" s="1"/>
  <c r="CC20" i="7" s="1"/>
  <c r="CD20" i="7" s="1"/>
  <c r="CE20" i="7" s="1"/>
  <c r="CF20" i="7" s="1"/>
  <c r="CG20" i="7" s="1"/>
  <c r="CH20" i="7" s="1"/>
  <c r="CI20" i="7" s="1"/>
  <c r="CJ20" i="7" s="1"/>
  <c r="CK20" i="7" s="1"/>
  <c r="CL20" i="7" s="1"/>
  <c r="CM20" i="7" s="1"/>
  <c r="CN20" i="7" s="1"/>
  <c r="CO20" i="7" s="1"/>
  <c r="CP20" i="7" s="1"/>
  <c r="CQ20" i="7" s="1"/>
  <c r="CR20" i="7" s="1"/>
  <c r="CS20" i="7" s="1"/>
  <c r="CT20" i="7" s="1"/>
  <c r="CU20" i="7" s="1"/>
  <c r="CV20" i="7" s="1"/>
  <c r="CW20" i="7" s="1"/>
  <c r="CX20" i="7" s="1"/>
  <c r="CY20" i="7" s="1"/>
  <c r="CZ20" i="7" s="1"/>
  <c r="DA20" i="7" s="1"/>
  <c r="DB20" i="7" s="1"/>
  <c r="DC20" i="7" s="1"/>
  <c r="DD20" i="7" s="1"/>
  <c r="DE20" i="7" s="1"/>
  <c r="DF20" i="7" s="1"/>
  <c r="DG20" i="7" s="1"/>
  <c r="DH20" i="7" s="1"/>
  <c r="DI20" i="7" s="1"/>
  <c r="DJ20" i="7" s="1"/>
  <c r="DK20" i="7" s="1"/>
  <c r="DL20" i="7" s="1"/>
  <c r="DM20" i="7" s="1"/>
  <c r="DN20" i="7" s="1"/>
  <c r="DO20" i="7" s="1"/>
  <c r="DP20" i="7" s="1"/>
  <c r="DQ20" i="7" s="1"/>
  <c r="DR20" i="7" s="1"/>
  <c r="DS20" i="7" s="1"/>
  <c r="DT20" i="7" s="1"/>
  <c r="DU20" i="7" s="1"/>
  <c r="DV20" i="7" s="1"/>
  <c r="DW20" i="7" s="1"/>
  <c r="DX20" i="7" s="1"/>
  <c r="DY20" i="7" s="1"/>
  <c r="DZ20" i="7" s="1"/>
  <c r="EA20" i="7" s="1"/>
  <c r="EB20" i="7" s="1"/>
  <c r="EC20" i="7" s="1"/>
  <c r="ED20" i="7" s="1"/>
  <c r="EE20" i="7" s="1"/>
  <c r="EF20" i="7" s="1"/>
  <c r="EG20" i="7" s="1"/>
  <c r="EH20" i="7" s="1"/>
  <c r="EI20" i="7" s="1"/>
  <c r="EJ20" i="7" s="1"/>
  <c r="EK20" i="7" s="1"/>
  <c r="EL20" i="7" s="1"/>
  <c r="D20" i="7"/>
  <c r="E19" i="7"/>
  <c r="F19" i="7" s="1"/>
  <c r="G19" i="7" s="1"/>
  <c r="H19" i="7" s="1"/>
  <c r="I19" i="7" s="1"/>
  <c r="J19" i="7" s="1"/>
  <c r="K19" i="7" s="1"/>
  <c r="L19" i="7" s="1"/>
  <c r="M19" i="7" s="1"/>
  <c r="N19" i="7" s="1"/>
  <c r="O19" i="7" s="1"/>
  <c r="P19" i="7" s="1"/>
  <c r="Q19" i="7" s="1"/>
  <c r="R19" i="7" s="1"/>
  <c r="S19" i="7" s="1"/>
  <c r="T19" i="7" s="1"/>
  <c r="U19" i="7" s="1"/>
  <c r="V19" i="7" s="1"/>
  <c r="W19" i="7" s="1"/>
  <c r="X19" i="7" s="1"/>
  <c r="Y19" i="7" s="1"/>
  <c r="Z19" i="7" s="1"/>
  <c r="AA19" i="7" s="1"/>
  <c r="AB19" i="7" s="1"/>
  <c r="AC19" i="7" s="1"/>
  <c r="AD19" i="7" s="1"/>
  <c r="AE19" i="7" s="1"/>
  <c r="AF19" i="7" s="1"/>
  <c r="AG19" i="7" s="1"/>
  <c r="AH19" i="7" s="1"/>
  <c r="AI19" i="7" s="1"/>
  <c r="AJ19" i="7" s="1"/>
  <c r="AK19" i="7" s="1"/>
  <c r="AL19" i="7" s="1"/>
  <c r="AM19" i="7" s="1"/>
  <c r="AN19" i="7" s="1"/>
  <c r="AO19" i="7" s="1"/>
  <c r="AP19" i="7" s="1"/>
  <c r="AQ19" i="7" s="1"/>
  <c r="AR19" i="7" s="1"/>
  <c r="AS19" i="7" s="1"/>
  <c r="AT19" i="7" s="1"/>
  <c r="AU19" i="7" s="1"/>
  <c r="AV19" i="7" s="1"/>
  <c r="AW19" i="7" s="1"/>
  <c r="AX19" i="7" s="1"/>
  <c r="AY19" i="7" s="1"/>
  <c r="AZ19" i="7" s="1"/>
  <c r="BA19" i="7" s="1"/>
  <c r="BB19" i="7" s="1"/>
  <c r="BC19" i="7" s="1"/>
  <c r="BD19" i="7" s="1"/>
  <c r="BE19" i="7" s="1"/>
  <c r="BF19" i="7" s="1"/>
  <c r="BG19" i="7" s="1"/>
  <c r="BH19" i="7" s="1"/>
  <c r="BI19" i="7" s="1"/>
  <c r="BJ19" i="7" s="1"/>
  <c r="BK19" i="7" s="1"/>
  <c r="BL19" i="7" s="1"/>
  <c r="BM19" i="7" s="1"/>
  <c r="BN19" i="7" s="1"/>
  <c r="BO19" i="7" s="1"/>
  <c r="BP19" i="7" s="1"/>
  <c r="BQ19" i="7" s="1"/>
  <c r="BR19" i="7" s="1"/>
  <c r="BS19" i="7" s="1"/>
  <c r="BT19" i="7" s="1"/>
  <c r="BU19" i="7" s="1"/>
  <c r="BV19" i="7" s="1"/>
  <c r="BW19" i="7" s="1"/>
  <c r="BX19" i="7" s="1"/>
  <c r="BY19" i="7" s="1"/>
  <c r="BZ19" i="7" s="1"/>
  <c r="CA19" i="7" s="1"/>
  <c r="CB19" i="7" s="1"/>
  <c r="CC19" i="7" s="1"/>
  <c r="CD19" i="7" s="1"/>
  <c r="CE19" i="7" s="1"/>
  <c r="CF19" i="7" s="1"/>
  <c r="CG19" i="7" s="1"/>
  <c r="CH19" i="7" s="1"/>
  <c r="CI19" i="7" s="1"/>
  <c r="CJ19" i="7" s="1"/>
  <c r="CK19" i="7" s="1"/>
  <c r="CL19" i="7" s="1"/>
  <c r="CM19" i="7" s="1"/>
  <c r="CN19" i="7" s="1"/>
  <c r="CO19" i="7" s="1"/>
  <c r="CP19" i="7" s="1"/>
  <c r="CQ19" i="7" s="1"/>
  <c r="CR19" i="7" s="1"/>
  <c r="CS19" i="7" s="1"/>
  <c r="CT19" i="7" s="1"/>
  <c r="CU19" i="7" s="1"/>
  <c r="CV19" i="7" s="1"/>
  <c r="CW19" i="7" s="1"/>
  <c r="CX19" i="7" s="1"/>
  <c r="CY19" i="7" s="1"/>
  <c r="CZ19" i="7" s="1"/>
  <c r="DA19" i="7" s="1"/>
  <c r="DB19" i="7" s="1"/>
  <c r="DC19" i="7" s="1"/>
  <c r="DD19" i="7" s="1"/>
  <c r="DE19" i="7" s="1"/>
  <c r="DF19" i="7" s="1"/>
  <c r="DG19" i="7" s="1"/>
  <c r="DH19" i="7" s="1"/>
  <c r="DI19" i="7" s="1"/>
  <c r="DJ19" i="7" s="1"/>
  <c r="DK19" i="7" s="1"/>
  <c r="DL19" i="7" s="1"/>
  <c r="DM19" i="7" s="1"/>
  <c r="DN19" i="7" s="1"/>
  <c r="DO19" i="7" s="1"/>
  <c r="DP19" i="7" s="1"/>
  <c r="DQ19" i="7" s="1"/>
  <c r="DR19" i="7" s="1"/>
  <c r="DS19" i="7" s="1"/>
  <c r="DT19" i="7" s="1"/>
  <c r="DU19" i="7" s="1"/>
  <c r="DV19" i="7" s="1"/>
  <c r="DW19" i="7" s="1"/>
  <c r="DX19" i="7" s="1"/>
  <c r="DY19" i="7" s="1"/>
  <c r="DZ19" i="7" s="1"/>
  <c r="EA19" i="7" s="1"/>
  <c r="EB19" i="7" s="1"/>
  <c r="EC19" i="7" s="1"/>
  <c r="ED19" i="7" s="1"/>
  <c r="EE19" i="7" s="1"/>
  <c r="EF19" i="7" s="1"/>
  <c r="EG19" i="7" s="1"/>
  <c r="EH19" i="7" s="1"/>
  <c r="EI19" i="7" s="1"/>
  <c r="EJ19" i="7" s="1"/>
  <c r="EK19" i="7" s="1"/>
  <c r="EL19" i="7" s="1"/>
  <c r="D19" i="7"/>
  <c r="D18" i="7"/>
  <c r="E18" i="7" s="1"/>
  <c r="F18" i="7" s="1"/>
  <c r="G18" i="7" s="1"/>
  <c r="H18" i="7" s="1"/>
  <c r="I18" i="7" s="1"/>
  <c r="J18" i="7" s="1"/>
  <c r="K18" i="7" s="1"/>
  <c r="L18" i="7" s="1"/>
  <c r="M18" i="7" s="1"/>
  <c r="N18" i="7" s="1"/>
  <c r="O18" i="7" s="1"/>
  <c r="P18" i="7" s="1"/>
  <c r="Q18" i="7" s="1"/>
  <c r="R18" i="7" s="1"/>
  <c r="S18" i="7" s="1"/>
  <c r="T18" i="7" s="1"/>
  <c r="U18" i="7" s="1"/>
  <c r="V18" i="7" s="1"/>
  <c r="W18" i="7" s="1"/>
  <c r="X18" i="7" s="1"/>
  <c r="Y18" i="7" s="1"/>
  <c r="Z18" i="7" s="1"/>
  <c r="AA18" i="7" s="1"/>
  <c r="AB18" i="7" s="1"/>
  <c r="AC18" i="7" s="1"/>
  <c r="AD18" i="7" s="1"/>
  <c r="AE18" i="7" s="1"/>
  <c r="AF18" i="7" s="1"/>
  <c r="AG18" i="7" s="1"/>
  <c r="AH18" i="7" s="1"/>
  <c r="AI18" i="7" s="1"/>
  <c r="AJ18" i="7" s="1"/>
  <c r="AK18" i="7" s="1"/>
  <c r="AL18" i="7" s="1"/>
  <c r="AM18" i="7" s="1"/>
  <c r="AN18" i="7" s="1"/>
  <c r="AO18" i="7" s="1"/>
  <c r="AP18" i="7" s="1"/>
  <c r="AQ18" i="7" s="1"/>
  <c r="AR18" i="7" s="1"/>
  <c r="AS18" i="7" s="1"/>
  <c r="AT18" i="7" s="1"/>
  <c r="AU18" i="7" s="1"/>
  <c r="AV18" i="7" s="1"/>
  <c r="AW18" i="7" s="1"/>
  <c r="AX18" i="7" s="1"/>
  <c r="AY18" i="7" s="1"/>
  <c r="AZ18" i="7" s="1"/>
  <c r="BA18" i="7" s="1"/>
  <c r="BB18" i="7" s="1"/>
  <c r="BC18" i="7" s="1"/>
  <c r="BD18" i="7" s="1"/>
  <c r="BE18" i="7" s="1"/>
  <c r="BF18" i="7" s="1"/>
  <c r="BG18" i="7" s="1"/>
  <c r="BH18" i="7" s="1"/>
  <c r="BI18" i="7" s="1"/>
  <c r="BJ18" i="7" s="1"/>
  <c r="BK18" i="7" s="1"/>
  <c r="BL18" i="7" s="1"/>
  <c r="BM18" i="7" s="1"/>
  <c r="BN18" i="7" s="1"/>
  <c r="BO18" i="7" s="1"/>
  <c r="BP18" i="7" s="1"/>
  <c r="BQ18" i="7" s="1"/>
  <c r="BR18" i="7" s="1"/>
  <c r="BS18" i="7" s="1"/>
  <c r="BT18" i="7" s="1"/>
  <c r="BU18" i="7" s="1"/>
  <c r="BV18" i="7" s="1"/>
  <c r="BW18" i="7" s="1"/>
  <c r="BX18" i="7" s="1"/>
  <c r="BY18" i="7" s="1"/>
  <c r="BZ18" i="7" s="1"/>
  <c r="CA18" i="7" s="1"/>
  <c r="CB18" i="7" s="1"/>
  <c r="CC18" i="7" s="1"/>
  <c r="CD18" i="7" s="1"/>
  <c r="CE18" i="7" s="1"/>
  <c r="CF18" i="7" s="1"/>
  <c r="CG18" i="7" s="1"/>
  <c r="CH18" i="7" s="1"/>
  <c r="CI18" i="7" s="1"/>
  <c r="CJ18" i="7" s="1"/>
  <c r="CK18" i="7" s="1"/>
  <c r="CL18" i="7" s="1"/>
  <c r="CM18" i="7" s="1"/>
  <c r="CN18" i="7" s="1"/>
  <c r="CO18" i="7" s="1"/>
  <c r="CP18" i="7" s="1"/>
  <c r="CQ18" i="7" s="1"/>
  <c r="CR18" i="7" s="1"/>
  <c r="CS18" i="7" s="1"/>
  <c r="CT18" i="7" s="1"/>
  <c r="CU18" i="7" s="1"/>
  <c r="CV18" i="7" s="1"/>
  <c r="CW18" i="7" s="1"/>
  <c r="CX18" i="7" s="1"/>
  <c r="CY18" i="7" s="1"/>
  <c r="CZ18" i="7" s="1"/>
  <c r="DA18" i="7" s="1"/>
  <c r="DB18" i="7" s="1"/>
  <c r="DC18" i="7" s="1"/>
  <c r="DD18" i="7" s="1"/>
  <c r="DE18" i="7" s="1"/>
  <c r="DF18" i="7" s="1"/>
  <c r="DG18" i="7" s="1"/>
  <c r="DH18" i="7" s="1"/>
  <c r="DI18" i="7" s="1"/>
  <c r="DJ18" i="7" s="1"/>
  <c r="DK18" i="7" s="1"/>
  <c r="DL18" i="7" s="1"/>
  <c r="DM18" i="7" s="1"/>
  <c r="DN18" i="7" s="1"/>
  <c r="DO18" i="7" s="1"/>
  <c r="DP18" i="7" s="1"/>
  <c r="DQ18" i="7" s="1"/>
  <c r="DR18" i="7" s="1"/>
  <c r="DS18" i="7" s="1"/>
  <c r="DT18" i="7" s="1"/>
  <c r="DU18" i="7" s="1"/>
  <c r="DV18" i="7" s="1"/>
  <c r="DW18" i="7" s="1"/>
  <c r="DX18" i="7" s="1"/>
  <c r="DY18" i="7" s="1"/>
  <c r="DZ18" i="7" s="1"/>
  <c r="EA18" i="7" s="1"/>
  <c r="EB18" i="7" s="1"/>
  <c r="EC18" i="7" s="1"/>
  <c r="ED18" i="7" s="1"/>
  <c r="EE18" i="7" s="1"/>
  <c r="EF18" i="7" s="1"/>
  <c r="EG18" i="7" s="1"/>
  <c r="EH18" i="7" s="1"/>
  <c r="EI18" i="7" s="1"/>
  <c r="EJ18" i="7" s="1"/>
  <c r="EK18" i="7" s="1"/>
  <c r="EL18" i="7" s="1"/>
  <c r="D17" i="7"/>
  <c r="E17" i="7" s="1"/>
  <c r="F17" i="7" s="1"/>
  <c r="G17" i="7" s="1"/>
  <c r="H17" i="7" s="1"/>
  <c r="I17" i="7" s="1"/>
  <c r="J17" i="7" s="1"/>
  <c r="K17" i="7" s="1"/>
  <c r="L17" i="7" s="1"/>
  <c r="M17" i="7" s="1"/>
  <c r="N17" i="7" s="1"/>
  <c r="O17" i="7" s="1"/>
  <c r="P17" i="7" s="1"/>
  <c r="Q17" i="7" s="1"/>
  <c r="R17" i="7" s="1"/>
  <c r="S17" i="7" s="1"/>
  <c r="T17" i="7" s="1"/>
  <c r="U17" i="7" s="1"/>
  <c r="V17" i="7" s="1"/>
  <c r="W17" i="7" s="1"/>
  <c r="X17" i="7" s="1"/>
  <c r="Y17" i="7" s="1"/>
  <c r="Z17" i="7" s="1"/>
  <c r="AA17" i="7" s="1"/>
  <c r="AB17" i="7" s="1"/>
  <c r="AC17" i="7" s="1"/>
  <c r="AD17" i="7" s="1"/>
  <c r="AE17" i="7" s="1"/>
  <c r="AF17" i="7" s="1"/>
  <c r="AG17" i="7" s="1"/>
  <c r="AH17" i="7" s="1"/>
  <c r="AI17" i="7" s="1"/>
  <c r="AJ17" i="7" s="1"/>
  <c r="AK17" i="7" s="1"/>
  <c r="AL17" i="7" s="1"/>
  <c r="AM17" i="7" s="1"/>
  <c r="AN17" i="7" s="1"/>
  <c r="AO17" i="7" s="1"/>
  <c r="AP17" i="7" s="1"/>
  <c r="AQ17" i="7" s="1"/>
  <c r="AR17" i="7" s="1"/>
  <c r="AS17" i="7" s="1"/>
  <c r="AT17" i="7" s="1"/>
  <c r="AU17" i="7" s="1"/>
  <c r="AV17" i="7" s="1"/>
  <c r="AW17" i="7" s="1"/>
  <c r="AX17" i="7" s="1"/>
  <c r="AY17" i="7" s="1"/>
  <c r="AZ17" i="7" s="1"/>
  <c r="BA17" i="7" s="1"/>
  <c r="BB17" i="7" s="1"/>
  <c r="BC17" i="7" s="1"/>
  <c r="BD17" i="7" s="1"/>
  <c r="BE17" i="7" s="1"/>
  <c r="BF17" i="7" s="1"/>
  <c r="BG17" i="7" s="1"/>
  <c r="BH17" i="7" s="1"/>
  <c r="BI17" i="7" s="1"/>
  <c r="BJ17" i="7" s="1"/>
  <c r="BK17" i="7" s="1"/>
  <c r="BL17" i="7" s="1"/>
  <c r="BM17" i="7" s="1"/>
  <c r="BN17" i="7" s="1"/>
  <c r="BO17" i="7" s="1"/>
  <c r="BP17" i="7" s="1"/>
  <c r="BQ17" i="7" s="1"/>
  <c r="BR17" i="7" s="1"/>
  <c r="BS17" i="7" s="1"/>
  <c r="BT17" i="7" s="1"/>
  <c r="BU17" i="7" s="1"/>
  <c r="BV17" i="7" s="1"/>
  <c r="BW17" i="7" s="1"/>
  <c r="BX17" i="7" s="1"/>
  <c r="BY17" i="7" s="1"/>
  <c r="BZ17" i="7" s="1"/>
  <c r="CA17" i="7" s="1"/>
  <c r="CB17" i="7" s="1"/>
  <c r="CC17" i="7" s="1"/>
  <c r="CD17" i="7" s="1"/>
  <c r="CE17" i="7" s="1"/>
  <c r="CF17" i="7" s="1"/>
  <c r="CG17" i="7" s="1"/>
  <c r="CH17" i="7" s="1"/>
  <c r="CI17" i="7" s="1"/>
  <c r="CJ17" i="7" s="1"/>
  <c r="CK17" i="7" s="1"/>
  <c r="CL17" i="7" s="1"/>
  <c r="CM17" i="7" s="1"/>
  <c r="CN17" i="7" s="1"/>
  <c r="CO17" i="7" s="1"/>
  <c r="CP17" i="7" s="1"/>
  <c r="CQ17" i="7" s="1"/>
  <c r="CR17" i="7" s="1"/>
  <c r="CS17" i="7" s="1"/>
  <c r="CT17" i="7" s="1"/>
  <c r="CU17" i="7" s="1"/>
  <c r="CV17" i="7" s="1"/>
  <c r="CW17" i="7" s="1"/>
  <c r="CX17" i="7" s="1"/>
  <c r="CY17" i="7" s="1"/>
  <c r="CZ17" i="7" s="1"/>
  <c r="DA17" i="7" s="1"/>
  <c r="DB17" i="7" s="1"/>
  <c r="DC17" i="7" s="1"/>
  <c r="DD17" i="7" s="1"/>
  <c r="DE17" i="7" s="1"/>
  <c r="DF17" i="7" s="1"/>
  <c r="DG17" i="7" s="1"/>
  <c r="DH17" i="7" s="1"/>
  <c r="DI17" i="7" s="1"/>
  <c r="DJ17" i="7" s="1"/>
  <c r="DK17" i="7" s="1"/>
  <c r="DL17" i="7" s="1"/>
  <c r="DM17" i="7" s="1"/>
  <c r="DN17" i="7" s="1"/>
  <c r="DO17" i="7" s="1"/>
  <c r="DP17" i="7" s="1"/>
  <c r="DQ17" i="7" s="1"/>
  <c r="DR17" i="7" s="1"/>
  <c r="DS17" i="7" s="1"/>
  <c r="DT17" i="7" s="1"/>
  <c r="DU17" i="7" s="1"/>
  <c r="DV17" i="7" s="1"/>
  <c r="DW17" i="7" s="1"/>
  <c r="DX17" i="7" s="1"/>
  <c r="DY17" i="7" s="1"/>
  <c r="DZ17" i="7" s="1"/>
  <c r="EA17" i="7" s="1"/>
  <c r="EB17" i="7" s="1"/>
  <c r="EC17" i="7" s="1"/>
  <c r="ED17" i="7" s="1"/>
  <c r="EE17" i="7" s="1"/>
  <c r="EF17" i="7" s="1"/>
  <c r="EG17" i="7" s="1"/>
  <c r="EH17" i="7" s="1"/>
  <c r="EI17" i="7" s="1"/>
  <c r="EJ17" i="7" s="1"/>
  <c r="EK17" i="7" s="1"/>
  <c r="EL17" i="7" s="1"/>
  <c r="D16" i="7"/>
  <c r="E16" i="7" s="1"/>
  <c r="F16" i="7" s="1"/>
  <c r="G16" i="7" s="1"/>
  <c r="H16" i="7" s="1"/>
  <c r="I16" i="7" s="1"/>
  <c r="J16" i="7" s="1"/>
  <c r="K16" i="7" s="1"/>
  <c r="L16" i="7" s="1"/>
  <c r="M16" i="7" s="1"/>
  <c r="N16" i="7" s="1"/>
  <c r="O16" i="7" s="1"/>
  <c r="P16" i="7" s="1"/>
  <c r="Q16" i="7" s="1"/>
  <c r="R16" i="7" s="1"/>
  <c r="S16" i="7" s="1"/>
  <c r="T16" i="7" s="1"/>
  <c r="U16" i="7" s="1"/>
  <c r="V16" i="7" s="1"/>
  <c r="W16" i="7" s="1"/>
  <c r="X16" i="7" s="1"/>
  <c r="Y16" i="7" s="1"/>
  <c r="Z16" i="7" s="1"/>
  <c r="AA16" i="7" s="1"/>
  <c r="AB16" i="7" s="1"/>
  <c r="AC16" i="7" s="1"/>
  <c r="AD16" i="7" s="1"/>
  <c r="AE16" i="7" s="1"/>
  <c r="AF16" i="7" s="1"/>
  <c r="AG16" i="7" s="1"/>
  <c r="AH16" i="7" s="1"/>
  <c r="AI16" i="7" s="1"/>
  <c r="AJ16" i="7" s="1"/>
  <c r="AK16" i="7" s="1"/>
  <c r="AL16" i="7" s="1"/>
  <c r="AM16" i="7" s="1"/>
  <c r="AN16" i="7" s="1"/>
  <c r="AO16" i="7" s="1"/>
  <c r="AP16" i="7" s="1"/>
  <c r="AQ16" i="7" s="1"/>
  <c r="AR16" i="7" s="1"/>
  <c r="AS16" i="7" s="1"/>
  <c r="AT16" i="7" s="1"/>
  <c r="AU16" i="7" s="1"/>
  <c r="AV16" i="7" s="1"/>
  <c r="AW16" i="7" s="1"/>
  <c r="AX16" i="7" s="1"/>
  <c r="AY16" i="7" s="1"/>
  <c r="AZ16" i="7" s="1"/>
  <c r="BA16" i="7" s="1"/>
  <c r="BB16" i="7" s="1"/>
  <c r="BC16" i="7" s="1"/>
  <c r="BD16" i="7" s="1"/>
  <c r="BE16" i="7" s="1"/>
  <c r="BF16" i="7" s="1"/>
  <c r="BG16" i="7" s="1"/>
  <c r="BH16" i="7" s="1"/>
  <c r="BI16" i="7" s="1"/>
  <c r="BJ16" i="7" s="1"/>
  <c r="BK16" i="7" s="1"/>
  <c r="BL16" i="7" s="1"/>
  <c r="BM16" i="7" s="1"/>
  <c r="BN16" i="7" s="1"/>
  <c r="BO16" i="7" s="1"/>
  <c r="BP16" i="7" s="1"/>
  <c r="BQ16" i="7" s="1"/>
  <c r="BR16" i="7" s="1"/>
  <c r="BS16" i="7" s="1"/>
  <c r="BT16" i="7" s="1"/>
  <c r="BU16" i="7" s="1"/>
  <c r="BV16" i="7" s="1"/>
  <c r="BW16" i="7" s="1"/>
  <c r="BX16" i="7" s="1"/>
  <c r="BY16" i="7" s="1"/>
  <c r="BZ16" i="7" s="1"/>
  <c r="CA16" i="7" s="1"/>
  <c r="CB16" i="7" s="1"/>
  <c r="CC16" i="7" s="1"/>
  <c r="CD16" i="7" s="1"/>
  <c r="CE16" i="7" s="1"/>
  <c r="CF16" i="7" s="1"/>
  <c r="CG16" i="7" s="1"/>
  <c r="CH16" i="7" s="1"/>
  <c r="CI16" i="7" s="1"/>
  <c r="CJ16" i="7" s="1"/>
  <c r="CK16" i="7" s="1"/>
  <c r="CL16" i="7" s="1"/>
  <c r="CM16" i="7" s="1"/>
  <c r="CN16" i="7" s="1"/>
  <c r="CO16" i="7" s="1"/>
  <c r="CP16" i="7" s="1"/>
  <c r="CQ16" i="7" s="1"/>
  <c r="CR16" i="7" s="1"/>
  <c r="CS16" i="7" s="1"/>
  <c r="CT16" i="7" s="1"/>
  <c r="CU16" i="7" s="1"/>
  <c r="CV16" i="7" s="1"/>
  <c r="CW16" i="7" s="1"/>
  <c r="CX16" i="7" s="1"/>
  <c r="CY16" i="7" s="1"/>
  <c r="CZ16" i="7" s="1"/>
  <c r="DA16" i="7" s="1"/>
  <c r="DB16" i="7" s="1"/>
  <c r="DC16" i="7" s="1"/>
  <c r="DD16" i="7" s="1"/>
  <c r="DE16" i="7" s="1"/>
  <c r="DF16" i="7" s="1"/>
  <c r="DG16" i="7" s="1"/>
  <c r="DH16" i="7" s="1"/>
  <c r="DI16" i="7" s="1"/>
  <c r="DJ16" i="7" s="1"/>
  <c r="DK16" i="7" s="1"/>
  <c r="DL16" i="7" s="1"/>
  <c r="DM16" i="7" s="1"/>
  <c r="DN16" i="7" s="1"/>
  <c r="DO16" i="7" s="1"/>
  <c r="DP16" i="7" s="1"/>
  <c r="DQ16" i="7" s="1"/>
  <c r="DR16" i="7" s="1"/>
  <c r="DS16" i="7" s="1"/>
  <c r="DT16" i="7" s="1"/>
  <c r="DU16" i="7" s="1"/>
  <c r="DV16" i="7" s="1"/>
  <c r="DW16" i="7" s="1"/>
  <c r="DX16" i="7" s="1"/>
  <c r="DY16" i="7" s="1"/>
  <c r="DZ16" i="7" s="1"/>
  <c r="EA16" i="7" s="1"/>
  <c r="EB16" i="7" s="1"/>
  <c r="EC16" i="7" s="1"/>
  <c r="ED16" i="7" s="1"/>
  <c r="EE16" i="7" s="1"/>
  <c r="EF16" i="7" s="1"/>
  <c r="EG16" i="7" s="1"/>
  <c r="EH16" i="7" s="1"/>
  <c r="EI16" i="7" s="1"/>
  <c r="EJ16" i="7" s="1"/>
  <c r="EK16" i="7" s="1"/>
  <c r="EL16" i="7" s="1"/>
  <c r="D15" i="7"/>
  <c r="E15" i="7" s="1"/>
  <c r="F15" i="7" s="1"/>
  <c r="G15" i="7" s="1"/>
  <c r="H15" i="7" s="1"/>
  <c r="I15" i="7" s="1"/>
  <c r="J15" i="7" s="1"/>
  <c r="K15" i="7" s="1"/>
  <c r="L15" i="7" s="1"/>
  <c r="M15" i="7" s="1"/>
  <c r="N15" i="7" s="1"/>
  <c r="O15" i="7" s="1"/>
  <c r="P15" i="7" s="1"/>
  <c r="Q15" i="7" s="1"/>
  <c r="R15" i="7" s="1"/>
  <c r="S15" i="7" s="1"/>
  <c r="T15" i="7" s="1"/>
  <c r="U15" i="7" s="1"/>
  <c r="V15" i="7" s="1"/>
  <c r="W15" i="7" s="1"/>
  <c r="X15" i="7" s="1"/>
  <c r="Y15" i="7" s="1"/>
  <c r="Z15" i="7" s="1"/>
  <c r="AA15" i="7" s="1"/>
  <c r="AB15" i="7" s="1"/>
  <c r="AC15" i="7" s="1"/>
  <c r="AD15" i="7" s="1"/>
  <c r="AE15" i="7" s="1"/>
  <c r="AF15" i="7" s="1"/>
  <c r="AG15" i="7" s="1"/>
  <c r="AH15" i="7" s="1"/>
  <c r="AI15" i="7" s="1"/>
  <c r="AJ15" i="7" s="1"/>
  <c r="AK15" i="7" s="1"/>
  <c r="AL15" i="7" s="1"/>
  <c r="AM15" i="7" s="1"/>
  <c r="AN15" i="7" s="1"/>
  <c r="AO15" i="7" s="1"/>
  <c r="AP15" i="7" s="1"/>
  <c r="AQ15" i="7" s="1"/>
  <c r="AR15" i="7" s="1"/>
  <c r="AS15" i="7" s="1"/>
  <c r="AT15" i="7" s="1"/>
  <c r="AU15" i="7" s="1"/>
  <c r="AV15" i="7" s="1"/>
  <c r="AW15" i="7" s="1"/>
  <c r="AX15" i="7" s="1"/>
  <c r="AY15" i="7" s="1"/>
  <c r="AZ15" i="7" s="1"/>
  <c r="BA15" i="7" s="1"/>
  <c r="BB15" i="7" s="1"/>
  <c r="BC15" i="7" s="1"/>
  <c r="BD15" i="7" s="1"/>
  <c r="BE15" i="7" s="1"/>
  <c r="BF15" i="7" s="1"/>
  <c r="BG15" i="7" s="1"/>
  <c r="BH15" i="7" s="1"/>
  <c r="BI15" i="7" s="1"/>
  <c r="BJ15" i="7" s="1"/>
  <c r="BK15" i="7" s="1"/>
  <c r="BL15" i="7" s="1"/>
  <c r="BM15" i="7" s="1"/>
  <c r="BN15" i="7" s="1"/>
  <c r="BO15" i="7" s="1"/>
  <c r="BP15" i="7" s="1"/>
  <c r="BQ15" i="7" s="1"/>
  <c r="BR15" i="7" s="1"/>
  <c r="BS15" i="7" s="1"/>
  <c r="BT15" i="7" s="1"/>
  <c r="BU15" i="7" s="1"/>
  <c r="BV15" i="7" s="1"/>
  <c r="BW15" i="7" s="1"/>
  <c r="BX15" i="7" s="1"/>
  <c r="BY15" i="7" s="1"/>
  <c r="BZ15" i="7" s="1"/>
  <c r="CA15" i="7" s="1"/>
  <c r="CB15" i="7" s="1"/>
  <c r="CC15" i="7" s="1"/>
  <c r="CD15" i="7" s="1"/>
  <c r="CE15" i="7" s="1"/>
  <c r="CF15" i="7" s="1"/>
  <c r="CG15" i="7" s="1"/>
  <c r="CH15" i="7" s="1"/>
  <c r="CI15" i="7" s="1"/>
  <c r="CJ15" i="7" s="1"/>
  <c r="CK15" i="7" s="1"/>
  <c r="CL15" i="7" s="1"/>
  <c r="CM15" i="7" s="1"/>
  <c r="CN15" i="7" s="1"/>
  <c r="CO15" i="7" s="1"/>
  <c r="CP15" i="7" s="1"/>
  <c r="CQ15" i="7" s="1"/>
  <c r="CR15" i="7" s="1"/>
  <c r="CS15" i="7" s="1"/>
  <c r="CT15" i="7" s="1"/>
  <c r="CU15" i="7" s="1"/>
  <c r="CV15" i="7" s="1"/>
  <c r="CW15" i="7" s="1"/>
  <c r="CX15" i="7" s="1"/>
  <c r="CY15" i="7" s="1"/>
  <c r="CZ15" i="7" s="1"/>
  <c r="DA15" i="7" s="1"/>
  <c r="DB15" i="7" s="1"/>
  <c r="DC15" i="7" s="1"/>
  <c r="DD15" i="7" s="1"/>
  <c r="DE15" i="7" s="1"/>
  <c r="DF15" i="7" s="1"/>
  <c r="DG15" i="7" s="1"/>
  <c r="DH15" i="7" s="1"/>
  <c r="DI15" i="7" s="1"/>
  <c r="DJ15" i="7" s="1"/>
  <c r="DK15" i="7" s="1"/>
  <c r="DL15" i="7" s="1"/>
  <c r="DM15" i="7" s="1"/>
  <c r="DN15" i="7" s="1"/>
  <c r="DO15" i="7" s="1"/>
  <c r="DP15" i="7" s="1"/>
  <c r="DQ15" i="7" s="1"/>
  <c r="DR15" i="7" s="1"/>
  <c r="DS15" i="7" s="1"/>
  <c r="DT15" i="7" s="1"/>
  <c r="DU15" i="7" s="1"/>
  <c r="DV15" i="7" s="1"/>
  <c r="DW15" i="7" s="1"/>
  <c r="DX15" i="7" s="1"/>
  <c r="DY15" i="7" s="1"/>
  <c r="DZ15" i="7" s="1"/>
  <c r="EA15" i="7" s="1"/>
  <c r="EB15" i="7" s="1"/>
  <c r="EC15" i="7" s="1"/>
  <c r="ED15" i="7" s="1"/>
  <c r="EE15" i="7" s="1"/>
  <c r="EF15" i="7" s="1"/>
  <c r="EG15" i="7" s="1"/>
  <c r="EH15" i="7" s="1"/>
  <c r="EI15" i="7" s="1"/>
  <c r="EJ15" i="7" s="1"/>
  <c r="EK15" i="7" s="1"/>
  <c r="EL15" i="7" s="1"/>
  <c r="W14" i="7"/>
  <c r="X14" i="7" s="1"/>
  <c r="Y14" i="7" s="1"/>
  <c r="Z14" i="7" s="1"/>
  <c r="AA14" i="7" s="1"/>
  <c r="AB14" i="7" s="1"/>
  <c r="AC14" i="7" s="1"/>
  <c r="AD14" i="7" s="1"/>
  <c r="AE14" i="7" s="1"/>
  <c r="AF14" i="7" s="1"/>
  <c r="AG14" i="7" s="1"/>
  <c r="AH14" i="7" s="1"/>
  <c r="AI14" i="7" s="1"/>
  <c r="AJ14" i="7" s="1"/>
  <c r="AK14" i="7" s="1"/>
  <c r="AL14" i="7" s="1"/>
  <c r="AM14" i="7" s="1"/>
  <c r="AN14" i="7" s="1"/>
  <c r="AO14" i="7" s="1"/>
  <c r="AP14" i="7" s="1"/>
  <c r="AQ14" i="7" s="1"/>
  <c r="AR14" i="7" s="1"/>
  <c r="AS14" i="7" s="1"/>
  <c r="AT14" i="7" s="1"/>
  <c r="AU14" i="7" s="1"/>
  <c r="AV14" i="7" s="1"/>
  <c r="AW14" i="7" s="1"/>
  <c r="AX14" i="7" s="1"/>
  <c r="AY14" i="7" s="1"/>
  <c r="AZ14" i="7" s="1"/>
  <c r="BA14" i="7" s="1"/>
  <c r="BB14" i="7" s="1"/>
  <c r="BC14" i="7" s="1"/>
  <c r="BD14" i="7" s="1"/>
  <c r="BE14" i="7" s="1"/>
  <c r="BF14" i="7" s="1"/>
  <c r="BG14" i="7" s="1"/>
  <c r="BH14" i="7" s="1"/>
  <c r="BI14" i="7" s="1"/>
  <c r="BJ14" i="7" s="1"/>
  <c r="BK14" i="7" s="1"/>
  <c r="BL14" i="7" s="1"/>
  <c r="BM14" i="7" s="1"/>
  <c r="BN14" i="7" s="1"/>
  <c r="BO14" i="7" s="1"/>
  <c r="BP14" i="7" s="1"/>
  <c r="BQ14" i="7" s="1"/>
  <c r="BR14" i="7" s="1"/>
  <c r="BS14" i="7" s="1"/>
  <c r="BT14" i="7" s="1"/>
  <c r="BU14" i="7" s="1"/>
  <c r="BV14" i="7" s="1"/>
  <c r="BW14" i="7" s="1"/>
  <c r="BX14" i="7" s="1"/>
  <c r="BY14" i="7" s="1"/>
  <c r="BZ14" i="7" s="1"/>
  <c r="CA14" i="7" s="1"/>
  <c r="CB14" i="7" s="1"/>
  <c r="CC14" i="7" s="1"/>
  <c r="CD14" i="7" s="1"/>
  <c r="CE14" i="7" s="1"/>
  <c r="CF14" i="7" s="1"/>
  <c r="CG14" i="7" s="1"/>
  <c r="CH14" i="7" s="1"/>
  <c r="CI14" i="7" s="1"/>
  <c r="CJ14" i="7" s="1"/>
  <c r="CK14" i="7" s="1"/>
  <c r="CL14" i="7" s="1"/>
  <c r="CM14" i="7" s="1"/>
  <c r="CN14" i="7" s="1"/>
  <c r="CO14" i="7" s="1"/>
  <c r="CP14" i="7" s="1"/>
  <c r="CQ14" i="7" s="1"/>
  <c r="CR14" i="7" s="1"/>
  <c r="CS14" i="7" s="1"/>
  <c r="CT14" i="7" s="1"/>
  <c r="CU14" i="7" s="1"/>
  <c r="CV14" i="7" s="1"/>
  <c r="CW14" i="7" s="1"/>
  <c r="CX14" i="7" s="1"/>
  <c r="CY14" i="7" s="1"/>
  <c r="CZ14" i="7" s="1"/>
  <c r="DA14" i="7" s="1"/>
  <c r="DB14" i="7" s="1"/>
  <c r="DC14" i="7" s="1"/>
  <c r="DD14" i="7" s="1"/>
  <c r="DE14" i="7" s="1"/>
  <c r="DF14" i="7" s="1"/>
  <c r="DG14" i="7" s="1"/>
  <c r="DH14" i="7" s="1"/>
  <c r="DI14" i="7" s="1"/>
  <c r="DJ14" i="7" s="1"/>
  <c r="DK14" i="7" s="1"/>
  <c r="DL14" i="7" s="1"/>
  <c r="DM14" i="7" s="1"/>
  <c r="DN14" i="7" s="1"/>
  <c r="DO14" i="7" s="1"/>
  <c r="DP14" i="7" s="1"/>
  <c r="DQ14" i="7" s="1"/>
  <c r="DR14" i="7" s="1"/>
  <c r="DS14" i="7" s="1"/>
  <c r="DT14" i="7" s="1"/>
  <c r="DU14" i="7" s="1"/>
  <c r="DV14" i="7" s="1"/>
  <c r="DW14" i="7" s="1"/>
  <c r="DX14" i="7" s="1"/>
  <c r="DY14" i="7" s="1"/>
  <c r="DZ14" i="7" s="1"/>
  <c r="EA14" i="7" s="1"/>
  <c r="EB14" i="7" s="1"/>
  <c r="EC14" i="7" s="1"/>
  <c r="ED14" i="7" s="1"/>
  <c r="EE14" i="7" s="1"/>
  <c r="EF14" i="7" s="1"/>
  <c r="EG14" i="7" s="1"/>
  <c r="EH14" i="7" s="1"/>
  <c r="EI14" i="7" s="1"/>
  <c r="EJ14" i="7" s="1"/>
  <c r="EK14" i="7" s="1"/>
  <c r="EL14" i="7" s="1"/>
  <c r="L14" i="7"/>
  <c r="M14" i="7" s="1"/>
  <c r="N14" i="7" s="1"/>
  <c r="O14" i="7" s="1"/>
  <c r="P14" i="7" s="1"/>
  <c r="Q14" i="7" s="1"/>
  <c r="R14" i="7" s="1"/>
  <c r="S14" i="7" s="1"/>
  <c r="T14" i="7" s="1"/>
  <c r="U14" i="7" s="1"/>
  <c r="V14" i="7" s="1"/>
  <c r="I14" i="7"/>
  <c r="J14" i="7" s="1"/>
  <c r="K14" i="7" s="1"/>
  <c r="E14" i="7"/>
  <c r="F14" i="7" s="1"/>
  <c r="G14" i="7" s="1"/>
  <c r="H14" i="7" s="1"/>
  <c r="D14" i="7"/>
  <c r="D13" i="7"/>
  <c r="E13" i="7" s="1"/>
  <c r="F13" i="7" s="1"/>
  <c r="G13" i="7" s="1"/>
  <c r="H13" i="7" s="1"/>
  <c r="I13" i="7" s="1"/>
  <c r="J13" i="7" s="1"/>
  <c r="K13" i="7" s="1"/>
  <c r="L13" i="7" s="1"/>
  <c r="M13" i="7" s="1"/>
  <c r="N13" i="7" s="1"/>
  <c r="O13" i="7" s="1"/>
  <c r="P13" i="7" s="1"/>
  <c r="Q13" i="7" s="1"/>
  <c r="R13" i="7" s="1"/>
  <c r="S13" i="7" s="1"/>
  <c r="T13" i="7" s="1"/>
  <c r="U13" i="7" s="1"/>
  <c r="V13" i="7" s="1"/>
  <c r="W13" i="7" s="1"/>
  <c r="X13" i="7" s="1"/>
  <c r="Y13" i="7" s="1"/>
  <c r="Z13" i="7" s="1"/>
  <c r="AA13" i="7" s="1"/>
  <c r="AB13" i="7" s="1"/>
  <c r="AC13" i="7" s="1"/>
  <c r="AD13" i="7" s="1"/>
  <c r="AE13" i="7" s="1"/>
  <c r="AF13" i="7" s="1"/>
  <c r="AG13" i="7" s="1"/>
  <c r="AH13" i="7" s="1"/>
  <c r="AI13" i="7" s="1"/>
  <c r="AJ13" i="7" s="1"/>
  <c r="AK13" i="7" s="1"/>
  <c r="AL13" i="7" s="1"/>
  <c r="AM13" i="7" s="1"/>
  <c r="AN13" i="7" s="1"/>
  <c r="AO13" i="7" s="1"/>
  <c r="AP13" i="7" s="1"/>
  <c r="AQ13" i="7" s="1"/>
  <c r="AR13" i="7" s="1"/>
  <c r="AS13" i="7" s="1"/>
  <c r="AT13" i="7" s="1"/>
  <c r="AU13" i="7" s="1"/>
  <c r="AV13" i="7" s="1"/>
  <c r="AW13" i="7" s="1"/>
  <c r="AX13" i="7" s="1"/>
  <c r="AY13" i="7" s="1"/>
  <c r="AZ13" i="7" s="1"/>
  <c r="BA13" i="7" s="1"/>
  <c r="BB13" i="7" s="1"/>
  <c r="BC13" i="7" s="1"/>
  <c r="BD13" i="7" s="1"/>
  <c r="BE13" i="7" s="1"/>
  <c r="BF13" i="7" s="1"/>
  <c r="BG13" i="7" s="1"/>
  <c r="BH13" i="7" s="1"/>
  <c r="BI13" i="7" s="1"/>
  <c r="BJ13" i="7" s="1"/>
  <c r="BK13" i="7" s="1"/>
  <c r="BL13" i="7" s="1"/>
  <c r="BM13" i="7" s="1"/>
  <c r="BN13" i="7" s="1"/>
  <c r="BO13" i="7" s="1"/>
  <c r="BP13" i="7" s="1"/>
  <c r="BQ13" i="7" s="1"/>
  <c r="BR13" i="7" s="1"/>
  <c r="BS13" i="7" s="1"/>
  <c r="BT13" i="7" s="1"/>
  <c r="BU13" i="7" s="1"/>
  <c r="BV13" i="7" s="1"/>
  <c r="BW13" i="7" s="1"/>
  <c r="BX13" i="7" s="1"/>
  <c r="BY13" i="7" s="1"/>
  <c r="BZ13" i="7" s="1"/>
  <c r="CA13" i="7" s="1"/>
  <c r="CB13" i="7" s="1"/>
  <c r="CC13" i="7" s="1"/>
  <c r="CD13" i="7" s="1"/>
  <c r="CE13" i="7" s="1"/>
  <c r="CF13" i="7" s="1"/>
  <c r="CG13" i="7" s="1"/>
  <c r="CH13" i="7" s="1"/>
  <c r="CI13" i="7" s="1"/>
  <c r="CJ13" i="7" s="1"/>
  <c r="CK13" i="7" s="1"/>
  <c r="CL13" i="7" s="1"/>
  <c r="CM13" i="7" s="1"/>
  <c r="CN13" i="7" s="1"/>
  <c r="CO13" i="7" s="1"/>
  <c r="CP13" i="7" s="1"/>
  <c r="CQ13" i="7" s="1"/>
  <c r="CR13" i="7" s="1"/>
  <c r="CS13" i="7" s="1"/>
  <c r="CT13" i="7" s="1"/>
  <c r="CU13" i="7" s="1"/>
  <c r="CV13" i="7" s="1"/>
  <c r="CW13" i="7" s="1"/>
  <c r="CX13" i="7" s="1"/>
  <c r="CY13" i="7" s="1"/>
  <c r="CZ13" i="7" s="1"/>
  <c r="DA13" i="7" s="1"/>
  <c r="DB13" i="7" s="1"/>
  <c r="DC13" i="7" s="1"/>
  <c r="DD13" i="7" s="1"/>
  <c r="DE13" i="7" s="1"/>
  <c r="DF13" i="7" s="1"/>
  <c r="DG13" i="7" s="1"/>
  <c r="DH13" i="7" s="1"/>
  <c r="DI13" i="7" s="1"/>
  <c r="DJ13" i="7" s="1"/>
  <c r="DK13" i="7" s="1"/>
  <c r="DL13" i="7" s="1"/>
  <c r="DM13" i="7" s="1"/>
  <c r="DN13" i="7" s="1"/>
  <c r="DO13" i="7" s="1"/>
  <c r="DP13" i="7" s="1"/>
  <c r="DQ13" i="7" s="1"/>
  <c r="DR13" i="7" s="1"/>
  <c r="DS13" i="7" s="1"/>
  <c r="DT13" i="7" s="1"/>
  <c r="DU13" i="7" s="1"/>
  <c r="DV13" i="7" s="1"/>
  <c r="DW13" i="7" s="1"/>
  <c r="DX13" i="7" s="1"/>
  <c r="DY13" i="7" s="1"/>
  <c r="DZ13" i="7" s="1"/>
  <c r="EA13" i="7" s="1"/>
  <c r="EB13" i="7" s="1"/>
  <c r="EC13" i="7" s="1"/>
  <c r="ED13" i="7" s="1"/>
  <c r="EE13" i="7" s="1"/>
  <c r="EF13" i="7" s="1"/>
  <c r="EG13" i="7" s="1"/>
  <c r="EH13" i="7" s="1"/>
  <c r="EI13" i="7" s="1"/>
  <c r="EJ13" i="7" s="1"/>
  <c r="EK13" i="7" s="1"/>
  <c r="EL13" i="7" s="1"/>
  <c r="D12" i="7"/>
  <c r="E12" i="7" s="1"/>
  <c r="F12" i="7" s="1"/>
  <c r="G12" i="7" s="1"/>
  <c r="H12" i="7" s="1"/>
  <c r="I12" i="7" s="1"/>
  <c r="J12" i="7" s="1"/>
  <c r="K12" i="7" s="1"/>
  <c r="L12" i="7" s="1"/>
  <c r="M12" i="7" s="1"/>
  <c r="N12" i="7" s="1"/>
  <c r="O12" i="7" s="1"/>
  <c r="P12" i="7" s="1"/>
  <c r="Q12" i="7" s="1"/>
  <c r="R12" i="7" s="1"/>
  <c r="S12" i="7" s="1"/>
  <c r="T12" i="7" s="1"/>
  <c r="U12" i="7" s="1"/>
  <c r="V12" i="7" s="1"/>
  <c r="W12" i="7" s="1"/>
  <c r="X12" i="7" s="1"/>
  <c r="Y12" i="7" s="1"/>
  <c r="Z12" i="7" s="1"/>
  <c r="AA12" i="7" s="1"/>
  <c r="AB12" i="7" s="1"/>
  <c r="AC12" i="7" s="1"/>
  <c r="AD12" i="7" s="1"/>
  <c r="AE12" i="7" s="1"/>
  <c r="AF12" i="7" s="1"/>
  <c r="AG12" i="7" s="1"/>
  <c r="AH12" i="7" s="1"/>
  <c r="AI12" i="7" s="1"/>
  <c r="AJ12" i="7" s="1"/>
  <c r="AK12" i="7" s="1"/>
  <c r="AL12" i="7" s="1"/>
  <c r="AM12" i="7" s="1"/>
  <c r="AN12" i="7" s="1"/>
  <c r="AO12" i="7" s="1"/>
  <c r="AP12" i="7" s="1"/>
  <c r="AQ12" i="7" s="1"/>
  <c r="AR12" i="7" s="1"/>
  <c r="AS12" i="7" s="1"/>
  <c r="AT12" i="7" s="1"/>
  <c r="AU12" i="7" s="1"/>
  <c r="AV12" i="7" s="1"/>
  <c r="AW12" i="7" s="1"/>
  <c r="AX12" i="7" s="1"/>
  <c r="AY12" i="7" s="1"/>
  <c r="AZ12" i="7" s="1"/>
  <c r="BA12" i="7" s="1"/>
  <c r="BB12" i="7" s="1"/>
  <c r="BC12" i="7" s="1"/>
  <c r="BD12" i="7" s="1"/>
  <c r="BE12" i="7" s="1"/>
  <c r="BF12" i="7" s="1"/>
  <c r="BG12" i="7" s="1"/>
  <c r="BH12" i="7" s="1"/>
  <c r="BI12" i="7" s="1"/>
  <c r="BJ12" i="7" s="1"/>
  <c r="BK12" i="7" s="1"/>
  <c r="BL12" i="7" s="1"/>
  <c r="BM12" i="7" s="1"/>
  <c r="BN12" i="7" s="1"/>
  <c r="BO12" i="7" s="1"/>
  <c r="BP12" i="7" s="1"/>
  <c r="BQ12" i="7" s="1"/>
  <c r="BR12" i="7" s="1"/>
  <c r="BS12" i="7" s="1"/>
  <c r="BT12" i="7" s="1"/>
  <c r="BU12" i="7" s="1"/>
  <c r="BV12" i="7" s="1"/>
  <c r="BW12" i="7" s="1"/>
  <c r="BX12" i="7" s="1"/>
  <c r="BY12" i="7" s="1"/>
  <c r="BZ12" i="7" s="1"/>
  <c r="CA12" i="7" s="1"/>
  <c r="CB12" i="7" s="1"/>
  <c r="CC12" i="7" s="1"/>
  <c r="CD12" i="7" s="1"/>
  <c r="CE12" i="7" s="1"/>
  <c r="CF12" i="7" s="1"/>
  <c r="CG12" i="7" s="1"/>
  <c r="CH12" i="7" s="1"/>
  <c r="CI12" i="7" s="1"/>
  <c r="CJ12" i="7" s="1"/>
  <c r="CK12" i="7" s="1"/>
  <c r="CL12" i="7" s="1"/>
  <c r="CM12" i="7" s="1"/>
  <c r="CN12" i="7" s="1"/>
  <c r="CO12" i="7" s="1"/>
  <c r="CP12" i="7" s="1"/>
  <c r="CQ12" i="7" s="1"/>
  <c r="CR12" i="7" s="1"/>
  <c r="CS12" i="7" s="1"/>
  <c r="CT12" i="7" s="1"/>
  <c r="CU12" i="7" s="1"/>
  <c r="CV12" i="7" s="1"/>
  <c r="CW12" i="7" s="1"/>
  <c r="CX12" i="7" s="1"/>
  <c r="CY12" i="7" s="1"/>
  <c r="CZ12" i="7" s="1"/>
  <c r="DA12" i="7" s="1"/>
  <c r="DB12" i="7" s="1"/>
  <c r="DC12" i="7" s="1"/>
  <c r="DD12" i="7" s="1"/>
  <c r="DE12" i="7" s="1"/>
  <c r="DF12" i="7" s="1"/>
  <c r="DG12" i="7" s="1"/>
  <c r="DH12" i="7" s="1"/>
  <c r="DI12" i="7" s="1"/>
  <c r="DJ12" i="7" s="1"/>
  <c r="DK12" i="7" s="1"/>
  <c r="DL12" i="7" s="1"/>
  <c r="DM12" i="7" s="1"/>
  <c r="DN12" i="7" s="1"/>
  <c r="DO12" i="7" s="1"/>
  <c r="DP12" i="7" s="1"/>
  <c r="DQ12" i="7" s="1"/>
  <c r="DR12" i="7" s="1"/>
  <c r="DS12" i="7" s="1"/>
  <c r="DT12" i="7" s="1"/>
  <c r="DU12" i="7" s="1"/>
  <c r="DV12" i="7" s="1"/>
  <c r="DW12" i="7" s="1"/>
  <c r="DX12" i="7" s="1"/>
  <c r="DY12" i="7" s="1"/>
  <c r="DZ12" i="7" s="1"/>
  <c r="EA12" i="7" s="1"/>
  <c r="EB12" i="7" s="1"/>
  <c r="EC12" i="7" s="1"/>
  <c r="ED12" i="7" s="1"/>
  <c r="EE12" i="7" s="1"/>
  <c r="EF12" i="7" s="1"/>
  <c r="EG12" i="7" s="1"/>
  <c r="EH12" i="7" s="1"/>
  <c r="EI12" i="7" s="1"/>
  <c r="EJ12" i="7" s="1"/>
  <c r="EK12" i="7" s="1"/>
  <c r="EL12" i="7" s="1"/>
  <c r="EL8" i="7"/>
  <c r="EJ8" i="7"/>
  <c r="EC8" i="7"/>
  <c r="EB8" i="7"/>
  <c r="DX8" i="7"/>
  <c r="DT8" i="7"/>
  <c r="DS8" i="7"/>
  <c r="DQ8" i="7"/>
  <c r="DK8" i="7"/>
  <c r="DH8" i="7"/>
  <c r="DF8" i="7"/>
  <c r="DE8" i="7"/>
  <c r="DB8" i="7"/>
  <c r="CT8" i="7"/>
  <c r="CS8" i="7"/>
  <c r="CR8" i="7"/>
  <c r="CP8" i="7"/>
  <c r="CO8" i="7"/>
  <c r="CN8" i="7"/>
  <c r="CI8" i="7"/>
  <c r="CG8" i="7"/>
  <c r="CE8" i="7"/>
  <c r="BW8" i="7"/>
  <c r="BV8" i="7"/>
  <c r="BT8" i="7"/>
  <c r="BS8" i="7"/>
  <c r="BO8" i="7"/>
  <c r="BN8" i="7"/>
  <c r="BL8" i="7"/>
  <c r="BG8" i="7"/>
  <c r="BF8" i="7"/>
  <c r="BE8" i="7"/>
  <c r="AY8" i="7"/>
  <c r="AS8" i="7"/>
  <c r="AR8" i="7"/>
  <c r="AQ8" i="7"/>
  <c r="AP8" i="7"/>
  <c r="AO8" i="7"/>
  <c r="AK8" i="7"/>
  <c r="AJ8" i="7"/>
  <c r="AE8" i="7"/>
  <c r="AB8" i="7"/>
  <c r="Z8" i="7"/>
  <c r="X8" i="7"/>
  <c r="U8" i="7"/>
  <c r="T8" i="7"/>
  <c r="M8" i="7"/>
  <c r="K8" i="7"/>
  <c r="I8" i="7"/>
  <c r="C8" i="7"/>
  <c r="EL7" i="7"/>
  <c r="EK7" i="7"/>
  <c r="EJ7" i="7"/>
  <c r="EC7" i="7"/>
  <c r="EB7" i="7"/>
  <c r="DW7" i="7"/>
  <c r="DT7" i="7"/>
  <c r="DS7" i="7"/>
  <c r="DK7" i="7"/>
  <c r="DG7" i="7"/>
  <c r="DF7" i="7"/>
  <c r="DE7" i="7"/>
  <c r="DA7" i="7"/>
  <c r="CX7" i="7"/>
  <c r="CV7" i="7"/>
  <c r="CG7" i="7"/>
  <c r="CE7" i="7"/>
  <c r="BX7" i="7"/>
  <c r="BW7" i="7"/>
  <c r="BT7" i="7"/>
  <c r="BS7" i="7"/>
  <c r="BR7" i="7"/>
  <c r="BP7" i="7"/>
  <c r="BO7" i="7"/>
  <c r="BL7" i="7"/>
  <c r="BF7" i="7"/>
  <c r="BA7" i="7"/>
  <c r="AV7" i="7"/>
  <c r="AT7" i="7"/>
  <c r="AS7" i="7"/>
  <c r="AR7" i="7"/>
  <c r="AO7" i="7"/>
  <c r="AN7" i="7"/>
  <c r="AL7" i="7"/>
  <c r="AK7" i="7"/>
  <c r="AH7" i="7"/>
  <c r="AG7" i="7"/>
  <c r="AF7" i="7"/>
  <c r="AC7" i="7"/>
  <c r="X7" i="7"/>
  <c r="V7" i="7"/>
  <c r="P7" i="7"/>
  <c r="O7" i="7"/>
  <c r="M7" i="7"/>
  <c r="K7" i="7"/>
  <c r="G7" i="7"/>
  <c r="F7" i="7"/>
  <c r="EL6" i="7" a="1"/>
  <c r="EL6" i="7" s="1"/>
  <c r="EK6" i="7" a="1"/>
  <c r="EK6" i="7" s="1"/>
  <c r="EK8" i="7" s="1"/>
  <c r="EJ6" i="7" a="1"/>
  <c r="EJ6" i="7"/>
  <c r="EI6" i="7" a="1"/>
  <c r="EI6" i="7"/>
  <c r="EH6" i="7" a="1"/>
  <c r="EH6" i="7"/>
  <c r="EG6" i="7" a="1"/>
  <c r="EG6" i="7" s="1"/>
  <c r="EF6" i="7" a="1"/>
  <c r="EF6" i="7"/>
  <c r="EE6" i="7" a="1"/>
  <c r="EE6" i="7"/>
  <c r="ED6" i="7" a="1"/>
  <c r="ED6" i="7" s="1"/>
  <c r="EC6" i="7" a="1"/>
  <c r="EC6" i="7"/>
  <c r="EB6" i="7" a="1"/>
  <c r="EB6" i="7" s="1"/>
  <c r="EA6" i="7" a="1"/>
  <c r="EA6" i="7"/>
  <c r="DZ6" i="7" a="1"/>
  <c r="DZ6" i="7"/>
  <c r="DY6" i="7" a="1"/>
  <c r="DY6" i="7"/>
  <c r="DX6" i="7" a="1"/>
  <c r="DX6" i="7" s="1"/>
  <c r="DX7" i="7" s="1"/>
  <c r="DW6" i="7" a="1"/>
  <c r="DW6" i="7"/>
  <c r="DW8" i="7" s="1"/>
  <c r="DV6" i="7" a="1"/>
  <c r="DV6" i="7"/>
  <c r="DV7" i="7" s="1"/>
  <c r="DU6" i="7" a="1"/>
  <c r="DU6" i="7"/>
  <c r="DT6" i="7" a="1"/>
  <c r="DT6" i="7" s="1"/>
  <c r="DS6" i="7" a="1"/>
  <c r="DS6" i="7"/>
  <c r="DR6" i="7" a="1"/>
  <c r="DR6" i="7"/>
  <c r="DQ6" i="7" a="1"/>
  <c r="DQ6" i="7" s="1"/>
  <c r="DQ7" i="7" s="1"/>
  <c r="DP6" i="7" a="1"/>
  <c r="DP6" i="7" s="1"/>
  <c r="DO6" i="7" a="1"/>
  <c r="DO6" i="7" s="1"/>
  <c r="DN6" i="7" a="1"/>
  <c r="DN6" i="7"/>
  <c r="DM6" i="7" a="1"/>
  <c r="DM6" i="7" s="1"/>
  <c r="DL6" i="7" a="1"/>
  <c r="DL6" i="7"/>
  <c r="DK6" i="7" a="1"/>
  <c r="DK6" i="7"/>
  <c r="DJ6" i="7" a="1"/>
  <c r="DJ6" i="7"/>
  <c r="DI6" i="7" a="1"/>
  <c r="DI6" i="7"/>
  <c r="DH6" i="7" a="1"/>
  <c r="DH6" i="7"/>
  <c r="DH7" i="7" s="1"/>
  <c r="DG6" i="7" a="1"/>
  <c r="DG6" i="7"/>
  <c r="DG8" i="7" s="1"/>
  <c r="DF6" i="7" a="1"/>
  <c r="DF6" i="7" s="1"/>
  <c r="DE6" i="7" a="1"/>
  <c r="DE6" i="7" s="1"/>
  <c r="DD6" i="7" a="1"/>
  <c r="DD6" i="7"/>
  <c r="DC6" i="7" a="1"/>
  <c r="DC6" i="7" s="1"/>
  <c r="DB6" i="7" a="1"/>
  <c r="DB6" i="7"/>
  <c r="DB7" i="7" s="1"/>
  <c r="DA6" i="7" a="1"/>
  <c r="DA6" i="7" s="1"/>
  <c r="DA8" i="7" s="1"/>
  <c r="CZ6" i="7" a="1"/>
  <c r="CZ6" i="7"/>
  <c r="CZ8" i="7" s="1"/>
  <c r="CY6" i="7" a="1"/>
  <c r="CY6" i="7" s="1"/>
  <c r="CY8" i="7" s="1"/>
  <c r="CX6" i="7" a="1"/>
  <c r="CX6" i="7"/>
  <c r="CX8" i="7" s="1"/>
  <c r="CW6" i="7" a="1"/>
  <c r="CW6" i="7"/>
  <c r="CV6" i="7" a="1"/>
  <c r="CV6" i="7"/>
  <c r="CV8" i="7" s="1"/>
  <c r="CU6" i="7" a="1"/>
  <c r="CU6" i="7" s="1"/>
  <c r="CU8" i="7" s="1"/>
  <c r="CT6" i="7" a="1"/>
  <c r="CT6" i="7"/>
  <c r="CT7" i="7" s="1"/>
  <c r="CS6" i="7" a="1"/>
  <c r="CS6" i="7" s="1"/>
  <c r="CS7" i="7" s="1"/>
  <c r="CR6" i="7" a="1"/>
  <c r="CR6" i="7" s="1"/>
  <c r="CR7" i="7" s="1"/>
  <c r="CQ6" i="7" a="1"/>
  <c r="CQ6" i="7"/>
  <c r="CP6" i="7" a="1"/>
  <c r="CP6" i="7"/>
  <c r="CP7" i="7" s="1"/>
  <c r="CO6" i="7" a="1"/>
  <c r="CO6" i="7"/>
  <c r="CO7" i="7" s="1"/>
  <c r="CN6" i="7" a="1"/>
  <c r="CN6" i="7"/>
  <c r="CN7" i="7" s="1"/>
  <c r="CM6" i="7" a="1"/>
  <c r="CM6" i="7"/>
  <c r="CL6" i="7" a="1"/>
  <c r="CL6" i="7"/>
  <c r="CK6" i="7" a="1"/>
  <c r="CK6" i="7"/>
  <c r="CJ6" i="7" a="1"/>
  <c r="CJ6" i="7" s="1"/>
  <c r="CI6" i="7" a="1"/>
  <c r="CI6" i="7"/>
  <c r="CI7" i="7" s="1"/>
  <c r="CH6" i="7" a="1"/>
  <c r="CH6" i="7" s="1"/>
  <c r="CH8" i="7" s="1"/>
  <c r="CG6" i="7" a="1"/>
  <c r="CG6" i="7"/>
  <c r="CF6" i="7" a="1"/>
  <c r="CF6" i="7" s="1"/>
  <c r="CE6" i="7" a="1"/>
  <c r="CE6" i="7"/>
  <c r="CD6" i="7" a="1"/>
  <c r="CD6" i="7" s="1"/>
  <c r="CC6" i="7" a="1"/>
  <c r="CC6" i="7"/>
  <c r="CB6" i="7" a="1"/>
  <c r="CB6" i="7" s="1"/>
  <c r="CA6" i="7" a="1"/>
  <c r="CA6" i="7"/>
  <c r="CA8" i="7" s="1"/>
  <c r="BZ6" i="7" a="1"/>
  <c r="BZ6" i="7"/>
  <c r="BY6" i="7" a="1"/>
  <c r="BY6" i="7" s="1"/>
  <c r="BY8" i="7" s="1"/>
  <c r="BX6" i="7" a="1"/>
  <c r="BX6" i="7"/>
  <c r="BX8" i="7" s="1"/>
  <c r="BW6" i="7" a="1"/>
  <c r="BW6" i="7"/>
  <c r="BV6" i="7" a="1"/>
  <c r="BV6" i="7"/>
  <c r="BV7" i="7" s="1"/>
  <c r="BU6" i="7" a="1"/>
  <c r="BU6" i="7"/>
  <c r="BT6" i="7" a="1"/>
  <c r="BT6" i="7" s="1"/>
  <c r="BS6" i="7" a="1"/>
  <c r="BS6" i="7"/>
  <c r="BR6" i="7" a="1"/>
  <c r="BR6" i="7"/>
  <c r="BR8" i="7" s="1"/>
  <c r="BQ6" i="7" a="1"/>
  <c r="BQ6" i="7"/>
  <c r="BP6" i="7" a="1"/>
  <c r="BP6" i="7"/>
  <c r="BP8" i="7" s="1"/>
  <c r="BO6" i="7" a="1"/>
  <c r="BO6" i="7"/>
  <c r="BN6" i="7" a="1"/>
  <c r="BN6" i="7" s="1"/>
  <c r="BN7" i="7" s="1"/>
  <c r="BM6" i="7" a="1"/>
  <c r="BM6" i="7"/>
  <c r="BL6" i="7" a="1"/>
  <c r="BL6" i="7"/>
  <c r="BK6" i="7" a="1"/>
  <c r="BK6" i="7" s="1"/>
  <c r="BK8" i="7" s="1"/>
  <c r="BJ6" i="7" a="1"/>
  <c r="BJ6" i="7"/>
  <c r="BI6" i="7" a="1"/>
  <c r="BI6" i="7"/>
  <c r="BH6" i="7" a="1"/>
  <c r="BH6" i="7" s="1"/>
  <c r="BG6" i="7" a="1"/>
  <c r="BG6" i="7" s="1"/>
  <c r="BG7" i="7" s="1"/>
  <c r="BF6" i="7" a="1"/>
  <c r="BF6" i="7"/>
  <c r="BE6" i="7" a="1"/>
  <c r="BE6" i="7"/>
  <c r="BE7" i="7" s="1"/>
  <c r="BD6" i="7" a="1"/>
  <c r="BD6" i="7" s="1"/>
  <c r="BC6" i="7" a="1"/>
  <c r="BC6" i="7" s="1"/>
  <c r="BB6" i="7" a="1"/>
  <c r="BB6" i="7" s="1"/>
  <c r="BA6" i="7" a="1"/>
  <c r="BA6" i="7"/>
  <c r="BA8" i="7" s="1"/>
  <c r="AZ6" i="7" a="1"/>
  <c r="AZ6" i="7"/>
  <c r="AZ7" i="7" s="1"/>
  <c r="AY6" i="7" a="1"/>
  <c r="AY6" i="7"/>
  <c r="AY7" i="7" s="1"/>
  <c r="AX6" i="7" a="1"/>
  <c r="AX6" i="7"/>
  <c r="AW6" i="7" a="1"/>
  <c r="AW6" i="7"/>
  <c r="AW7" i="7" s="1"/>
  <c r="AV6" i="7" a="1"/>
  <c r="AV6" i="7" s="1"/>
  <c r="AV8" i="7" s="1"/>
  <c r="AU6" i="7" a="1"/>
  <c r="AU6" i="7"/>
  <c r="AT6" i="7" a="1"/>
  <c r="AT6" i="7"/>
  <c r="AT8" i="7" s="1"/>
  <c r="AS6" i="7" a="1"/>
  <c r="AS6" i="7"/>
  <c r="AR6" i="7" a="1"/>
  <c r="AR6" i="7" s="1"/>
  <c r="AQ6" i="7" a="1"/>
  <c r="AQ6" i="7"/>
  <c r="AQ7" i="7" s="1"/>
  <c r="AP6" i="7" a="1"/>
  <c r="AP6" i="7" s="1"/>
  <c r="AP7" i="7" s="1"/>
  <c r="AO6" i="7" a="1"/>
  <c r="AO6" i="7"/>
  <c r="AN6" i="7" a="1"/>
  <c r="AN6" i="7" s="1"/>
  <c r="AN8" i="7" s="1"/>
  <c r="AM6" i="7" a="1"/>
  <c r="AM6" i="7"/>
  <c r="AL6" i="7" a="1"/>
  <c r="AL6" i="7"/>
  <c r="AL8" i="7" s="1"/>
  <c r="AK6" i="7" a="1"/>
  <c r="AK6" i="7"/>
  <c r="AJ6" i="7" a="1"/>
  <c r="AJ6" i="7" s="1"/>
  <c r="AJ7" i="7" s="1"/>
  <c r="AI6" i="7" a="1"/>
  <c r="AI6" i="7"/>
  <c r="AH6" i="7" a="1"/>
  <c r="AH6" i="7" s="1"/>
  <c r="AH8" i="7" s="1"/>
  <c r="AG6" i="7" a="1"/>
  <c r="AG6" i="7" s="1"/>
  <c r="AG8" i="7" s="1"/>
  <c r="AF6" i="7" a="1"/>
  <c r="AF6" i="7"/>
  <c r="AF8" i="7" s="1"/>
  <c r="AE6" i="7" a="1"/>
  <c r="AE6" i="7"/>
  <c r="AE7" i="7" s="1"/>
  <c r="AD6" i="7" a="1"/>
  <c r="AD6" i="7" s="1"/>
  <c r="AC6" i="7" a="1"/>
  <c r="AC6" i="7" s="1"/>
  <c r="AC8" i="7" s="1"/>
  <c r="AB6" i="7" a="1"/>
  <c r="AB6" i="7"/>
  <c r="AB7" i="7" s="1"/>
  <c r="AA6" i="7" a="1"/>
  <c r="AA6" i="7"/>
  <c r="Z6" i="7" a="1"/>
  <c r="Z6" i="7"/>
  <c r="Z7" i="7" s="1"/>
  <c r="Y6" i="7" a="1"/>
  <c r="Y6" i="7" s="1"/>
  <c r="X6" i="7" a="1"/>
  <c r="X6" i="7"/>
  <c r="W6" i="7" a="1"/>
  <c r="W6" i="7" s="1"/>
  <c r="V6" i="7" a="1"/>
  <c r="V6" i="7" s="1"/>
  <c r="V8" i="7" s="1"/>
  <c r="U6" i="7" a="1"/>
  <c r="U6" i="7" s="1"/>
  <c r="U7" i="7" s="1"/>
  <c r="T6" i="7" a="1"/>
  <c r="T6" i="7" s="1"/>
  <c r="T7" i="7" s="1"/>
  <c r="S6" i="7" a="1"/>
  <c r="S6" i="7"/>
  <c r="S7" i="7" s="1"/>
  <c r="R6" i="7" a="1"/>
  <c r="R6" i="7"/>
  <c r="Q6" i="7" a="1"/>
  <c r="Q6" i="7" s="1"/>
  <c r="P6" i="7" a="1"/>
  <c r="P6" i="7"/>
  <c r="P8" i="7" s="1"/>
  <c r="O6" i="7" a="1"/>
  <c r="O6" i="7"/>
  <c r="O8" i="7" s="1"/>
  <c r="N6" i="7" a="1"/>
  <c r="N6" i="7" s="1"/>
  <c r="N8" i="7" s="1"/>
  <c r="M6" i="7" a="1"/>
  <c r="M6" i="7" s="1"/>
  <c r="L6" i="7" a="1"/>
  <c r="L6" i="7" s="1"/>
  <c r="K6" i="7" a="1"/>
  <c r="K6" i="7" s="1"/>
  <c r="J6" i="7" a="1"/>
  <c r="J6" i="7" s="1"/>
  <c r="I6" i="7" a="1"/>
  <c r="I6" i="7" s="1"/>
  <c r="I7" i="7" s="1"/>
  <c r="H6" i="7" a="1"/>
  <c r="H6" i="7" s="1"/>
  <c r="G6" i="7" a="1"/>
  <c r="G6" i="7"/>
  <c r="G8" i="7" s="1"/>
  <c r="F6" i="7" a="1"/>
  <c r="F6" i="7"/>
  <c r="F8" i="7" s="1"/>
  <c r="E6" i="7" a="1"/>
  <c r="E6" i="7" s="1"/>
  <c r="D6" i="7" a="1"/>
  <c r="D6" i="7"/>
  <c r="C6" i="7" a="1"/>
  <c r="C6" i="7"/>
  <c r="C7" i="7" s="1"/>
  <c r="EL19" i="6"/>
  <c r="EK19" i="6"/>
  <c r="EJ19" i="6"/>
  <c r="EI19" i="6"/>
  <c r="EH19" i="6"/>
  <c r="EG19" i="6"/>
  <c r="EF19" i="6"/>
  <c r="EE19" i="6"/>
  <c r="ED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EL18" i="6"/>
  <c r="EK18" i="6"/>
  <c r="EJ18" i="6"/>
  <c r="EI18" i="6"/>
  <c r="EH18" i="6"/>
  <c r="EG18" i="6"/>
  <c r="EF18" i="6"/>
  <c r="EE18" i="6"/>
  <c r="ED18" i="6"/>
  <c r="EC18" i="6"/>
  <c r="EB18" i="6"/>
  <c r="EA18" i="6"/>
  <c r="DZ18" i="6"/>
  <c r="DY18" i="6"/>
  <c r="DX18" i="6"/>
  <c r="DW18" i="6"/>
  <c r="DV18" i="6"/>
  <c r="DU18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EL17" i="6"/>
  <c r="EK17" i="6"/>
  <c r="EJ17" i="6"/>
  <c r="EI17" i="6"/>
  <c r="EH17" i="6"/>
  <c r="EG17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EL15" i="6"/>
  <c r="EK15" i="6"/>
  <c r="EJ15" i="6"/>
  <c r="EI15" i="6"/>
  <c r="EH15" i="6"/>
  <c r="EG15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EL14" i="6"/>
  <c r="EK14" i="6"/>
  <c r="EJ14" i="6"/>
  <c r="EI14" i="6"/>
  <c r="EH14" i="6"/>
  <c r="EG14" i="6"/>
  <c r="EF14" i="6"/>
  <c r="EE14" i="6"/>
  <c r="ED14" i="6"/>
  <c r="EC14" i="6"/>
  <c r="EB14" i="6"/>
  <c r="EA14" i="6"/>
  <c r="DZ14" i="6"/>
  <c r="DY14" i="6"/>
  <c r="DX14" i="6"/>
  <c r="DW14" i="6"/>
  <c r="DV14" i="6"/>
  <c r="DU14" i="6"/>
  <c r="DT14" i="6"/>
  <c r="DS14" i="6"/>
  <c r="DR14" i="6"/>
  <c r="DQ14" i="6"/>
  <c r="DP14" i="6"/>
  <c r="DO14" i="6"/>
  <c r="DN14" i="6"/>
  <c r="DM14" i="6"/>
  <c r="DL14" i="6"/>
  <c r="DK14" i="6"/>
  <c r="DJ14" i="6"/>
  <c r="DI14" i="6"/>
  <c r="DH14" i="6"/>
  <c r="DG14" i="6"/>
  <c r="DF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EL13" i="6"/>
  <c r="EK13" i="6"/>
  <c r="EJ13" i="6"/>
  <c r="EI13" i="6"/>
  <c r="EH13" i="6"/>
  <c r="EG13" i="6"/>
  <c r="EF13" i="6"/>
  <c r="EE13" i="6"/>
  <c r="ED13" i="6"/>
  <c r="EC13" i="6"/>
  <c r="EB13" i="6"/>
  <c r="EA13" i="6"/>
  <c r="DZ13" i="6"/>
  <c r="DY13" i="6"/>
  <c r="DX13" i="6"/>
  <c r="DW13" i="6"/>
  <c r="DV13" i="6"/>
  <c r="DU13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DG13" i="6"/>
  <c r="DF13" i="6"/>
  <c r="DE13" i="6"/>
  <c r="DD13" i="6"/>
  <c r="DC13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D25" i="4"/>
  <c r="E25" i="4" s="1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EG25" i="4" s="1"/>
  <c r="EH25" i="4" s="1"/>
  <c r="EI25" i="4" s="1"/>
  <c r="EJ25" i="4" s="1"/>
  <c r="EK25" i="4" s="1"/>
  <c r="EL25" i="4" s="1"/>
  <c r="D24" i="4"/>
  <c r="E24" i="4" s="1"/>
  <c r="F24" i="4" s="1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EG24" i="4" s="1"/>
  <c r="EH24" i="4" s="1"/>
  <c r="EI24" i="4" s="1"/>
  <c r="EJ24" i="4" s="1"/>
  <c r="EK24" i="4" s="1"/>
  <c r="EL24" i="4" s="1"/>
  <c r="B24" i="4"/>
  <c r="D23" i="4"/>
  <c r="E23" i="4" s="1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EG23" i="4" s="1"/>
  <c r="EH23" i="4" s="1"/>
  <c r="EI23" i="4" s="1"/>
  <c r="EJ23" i="4" s="1"/>
  <c r="EK23" i="4" s="1"/>
  <c r="EL23" i="4" s="1"/>
  <c r="B23" i="4"/>
  <c r="K22" i="4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EG22" i="4" s="1"/>
  <c r="EH22" i="4" s="1"/>
  <c r="EI22" i="4" s="1"/>
  <c r="EJ22" i="4" s="1"/>
  <c r="EK22" i="4" s="1"/>
  <c r="EL22" i="4" s="1"/>
  <c r="J22" i="4"/>
  <c r="I22" i="4"/>
  <c r="H22" i="4"/>
  <c r="G22" i="4"/>
  <c r="E22" i="4"/>
  <c r="F22" i="4" s="1"/>
  <c r="D22" i="4"/>
  <c r="B22" i="4"/>
  <c r="E21" i="4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EG21" i="4" s="1"/>
  <c r="EH21" i="4" s="1"/>
  <c r="EI21" i="4" s="1"/>
  <c r="EJ21" i="4" s="1"/>
  <c r="EK21" i="4" s="1"/>
  <c r="EL21" i="4" s="1"/>
  <c r="D21" i="4"/>
  <c r="B21" i="4"/>
  <c r="F20" i="4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EG20" i="4" s="1"/>
  <c r="EH20" i="4" s="1"/>
  <c r="EI20" i="4" s="1"/>
  <c r="EJ20" i="4" s="1"/>
  <c r="EK20" i="4" s="1"/>
  <c r="EL20" i="4" s="1"/>
  <c r="E20" i="4"/>
  <c r="D20" i="4"/>
  <c r="B20" i="4"/>
  <c r="J19" i="4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EG19" i="4" s="1"/>
  <c r="EH19" i="4" s="1"/>
  <c r="EI19" i="4" s="1"/>
  <c r="EJ19" i="4" s="1"/>
  <c r="EK19" i="4" s="1"/>
  <c r="EL19" i="4" s="1"/>
  <c r="H19" i="4"/>
  <c r="I19" i="4" s="1"/>
  <c r="D19" i="4"/>
  <c r="E19" i="4" s="1"/>
  <c r="F19" i="4" s="1"/>
  <c r="G19" i="4" s="1"/>
  <c r="B19" i="4"/>
  <c r="D18" i="4"/>
  <c r="E18" i="4" s="1"/>
  <c r="F18" i="4" s="1"/>
  <c r="G18" i="4" s="1"/>
  <c r="H18" i="4" s="1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EG18" i="4" s="1"/>
  <c r="EH18" i="4" s="1"/>
  <c r="EI18" i="4" s="1"/>
  <c r="EJ18" i="4" s="1"/>
  <c r="EK18" i="4" s="1"/>
  <c r="EL18" i="4" s="1"/>
  <c r="B18" i="4"/>
  <c r="F17" i="4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EG17" i="4" s="1"/>
  <c r="EH17" i="4" s="1"/>
  <c r="EI17" i="4" s="1"/>
  <c r="EJ17" i="4" s="1"/>
  <c r="EK17" i="4" s="1"/>
  <c r="EL17" i="4" s="1"/>
  <c r="D17" i="4"/>
  <c r="E17" i="4" s="1"/>
  <c r="B17" i="4"/>
  <c r="D16" i="4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EG16" i="4" s="1"/>
  <c r="EH16" i="4" s="1"/>
  <c r="EI16" i="4" s="1"/>
  <c r="EJ16" i="4" s="1"/>
  <c r="EK16" i="4" s="1"/>
  <c r="EL16" i="4" s="1"/>
  <c r="B16" i="4"/>
  <c r="E15" i="4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EG15" i="4" s="1"/>
  <c r="EH15" i="4" s="1"/>
  <c r="EI15" i="4" s="1"/>
  <c r="EJ15" i="4" s="1"/>
  <c r="EK15" i="4" s="1"/>
  <c r="EL15" i="4" s="1"/>
  <c r="D15" i="4"/>
  <c r="B15" i="4"/>
  <c r="D14" i="4"/>
  <c r="E14" i="4" s="1"/>
  <c r="F14" i="4" s="1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EG14" i="4" s="1"/>
  <c r="EH14" i="4" s="1"/>
  <c r="EI14" i="4" s="1"/>
  <c r="EJ14" i="4" s="1"/>
  <c r="EK14" i="4" s="1"/>
  <c r="EL14" i="4" s="1"/>
  <c r="B14" i="4"/>
  <c r="F13" i="4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EG13" i="4" s="1"/>
  <c r="EH13" i="4" s="1"/>
  <c r="EI13" i="4" s="1"/>
  <c r="EJ13" i="4" s="1"/>
  <c r="EK13" i="4" s="1"/>
  <c r="EL13" i="4" s="1"/>
  <c r="E13" i="4"/>
  <c r="D13" i="4"/>
  <c r="B13" i="4"/>
  <c r="G12" i="4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EG12" i="4" s="1"/>
  <c r="EH12" i="4" s="1"/>
  <c r="EI12" i="4" s="1"/>
  <c r="EJ12" i="4" s="1"/>
  <c r="EK12" i="4" s="1"/>
  <c r="EL12" i="4" s="1"/>
  <c r="D12" i="4"/>
  <c r="E12" i="4" s="1"/>
  <c r="F12" i="4" s="1"/>
  <c r="B12" i="4"/>
  <c r="EK8" i="4"/>
  <c r="EG8" i="4"/>
  <c r="EF8" i="4"/>
  <c r="EE8" i="4"/>
  <c r="EB8" i="4"/>
  <c r="DY8" i="4"/>
  <c r="DX8" i="4"/>
  <c r="DW8" i="4"/>
  <c r="DV8" i="4"/>
  <c r="DS8" i="4"/>
  <c r="DP8" i="4"/>
  <c r="DO8" i="4"/>
  <c r="DH8" i="4"/>
  <c r="DE8" i="4"/>
  <c r="DD8" i="4"/>
  <c r="CZ8" i="4"/>
  <c r="CT8" i="4"/>
  <c r="CS8" i="4"/>
  <c r="CR8" i="4"/>
  <c r="CH8" i="4"/>
  <c r="CG8" i="4"/>
  <c r="CF8" i="4"/>
  <c r="CE8" i="4"/>
  <c r="BY8" i="4"/>
  <c r="BX8" i="4"/>
  <c r="BT8" i="4"/>
  <c r="BR8" i="4"/>
  <c r="BQ8" i="4"/>
  <c r="BP8" i="4"/>
  <c r="BL8" i="4"/>
  <c r="BK8" i="4"/>
  <c r="BH8" i="4"/>
  <c r="BG8" i="4"/>
  <c r="AZ8" i="4"/>
  <c r="AY8" i="4"/>
  <c r="AX8" i="4"/>
  <c r="AV8" i="4"/>
  <c r="AU8" i="4"/>
  <c r="AO8" i="4"/>
  <c r="AN8" i="4"/>
  <c r="AM8" i="4"/>
  <c r="AL8" i="4"/>
  <c r="AB8" i="4"/>
  <c r="X8" i="4"/>
  <c r="W8" i="4"/>
  <c r="V8" i="4"/>
  <c r="U8" i="4"/>
  <c r="S8" i="4"/>
  <c r="P8" i="4"/>
  <c r="O8" i="4"/>
  <c r="D8" i="4"/>
  <c r="EL7" i="4"/>
  <c r="EK7" i="4"/>
  <c r="EG7" i="4"/>
  <c r="EF7" i="4"/>
  <c r="EE7" i="4"/>
  <c r="EB7" i="4"/>
  <c r="DY7" i="4"/>
  <c r="DX7" i="4"/>
  <c r="DV7" i="4"/>
  <c r="DT7" i="4"/>
  <c r="DN7" i="4"/>
  <c r="DM7" i="4"/>
  <c r="DH7" i="4"/>
  <c r="DE7" i="4"/>
  <c r="DA7" i="4"/>
  <c r="CX7" i="4"/>
  <c r="CS7" i="4"/>
  <c r="CO7" i="4"/>
  <c r="CL7" i="4"/>
  <c r="CK7" i="4"/>
  <c r="CJ7" i="4"/>
  <c r="CF7" i="4"/>
  <c r="CE7" i="4"/>
  <c r="BU7" i="4"/>
  <c r="BT7" i="4"/>
  <c r="BS7" i="4"/>
  <c r="BK7" i="4"/>
  <c r="BJ7" i="4"/>
  <c r="BF7" i="4"/>
  <c r="BD7" i="4"/>
  <c r="BC7" i="4"/>
  <c r="AW7" i="4"/>
  <c r="AV7" i="4"/>
  <c r="AO7" i="4"/>
  <c r="AN7" i="4"/>
  <c r="AM7" i="4"/>
  <c r="AH7" i="4"/>
  <c r="AE7" i="4"/>
  <c r="X7" i="4"/>
  <c r="W7" i="4"/>
  <c r="U7" i="4"/>
  <c r="S7" i="4"/>
  <c r="R7" i="4"/>
  <c r="P7" i="4"/>
  <c r="I7" i="4"/>
  <c r="H7" i="4"/>
  <c r="E7" i="4"/>
  <c r="EL6" i="4" a="1"/>
  <c r="EL6" i="4" s="1"/>
  <c r="EL8" i="4" s="1"/>
  <c r="EK6" i="4" a="1"/>
  <c r="EK6" i="4"/>
  <c r="EJ6" i="4" a="1"/>
  <c r="EJ6" i="4"/>
  <c r="EI6" i="4" a="1"/>
  <c r="EI6" i="4" s="1"/>
  <c r="EH6" i="4" a="1"/>
  <c r="EH6" i="4"/>
  <c r="EG6" i="4" a="1"/>
  <c r="EG6" i="4" s="1"/>
  <c r="EF6" i="4" a="1"/>
  <c r="EF6" i="4" s="1"/>
  <c r="EE6" i="4" a="1"/>
  <c r="EE6" i="4"/>
  <c r="ED6" i="4" a="1"/>
  <c r="ED6" i="4" s="1"/>
  <c r="EC6" i="4" a="1"/>
  <c r="EC6" i="4" s="1"/>
  <c r="EC8" i="4" s="1"/>
  <c r="EB6" i="4" a="1"/>
  <c r="EB6" i="4" s="1"/>
  <c r="EA6" i="4" a="1"/>
  <c r="EA6" i="4"/>
  <c r="EA8" i="4" s="1"/>
  <c r="DZ6" i="4" a="1"/>
  <c r="DZ6" i="4"/>
  <c r="DZ7" i="4" s="1"/>
  <c r="DY6" i="4" a="1"/>
  <c r="DY6" i="4"/>
  <c r="DX6" i="4" a="1"/>
  <c r="DX6" i="4"/>
  <c r="DW6" i="4" a="1"/>
  <c r="DW6" i="4"/>
  <c r="DW7" i="4" s="1"/>
  <c r="DV6" i="4" a="1"/>
  <c r="DV6" i="4" s="1"/>
  <c r="DU6" i="4" a="1"/>
  <c r="DU6" i="4" s="1"/>
  <c r="DT6" i="4" a="1"/>
  <c r="DT6" i="4"/>
  <c r="DT8" i="4" s="1"/>
  <c r="DS6" i="4" a="1"/>
  <c r="DS6" i="4"/>
  <c r="DS7" i="4" s="1"/>
  <c r="DR6" i="4" a="1"/>
  <c r="DR6" i="4" s="1"/>
  <c r="DQ6" i="4" a="1"/>
  <c r="DQ6" i="4" s="1"/>
  <c r="DQ7" i="4" s="1"/>
  <c r="DP6" i="4" a="1"/>
  <c r="DP6" i="4"/>
  <c r="DP7" i="4" s="1"/>
  <c r="DO6" i="4" a="1"/>
  <c r="DO6" i="4"/>
  <c r="DO7" i="4" s="1"/>
  <c r="DN6" i="4" a="1"/>
  <c r="DN6" i="4"/>
  <c r="DN8" i="4" s="1"/>
  <c r="DM6" i="4" a="1"/>
  <c r="DM6" i="4"/>
  <c r="DM8" i="4" s="1"/>
  <c r="DL6" i="4" a="1"/>
  <c r="DL6" i="4"/>
  <c r="DK6" i="4" a="1"/>
  <c r="DK6" i="4" s="1"/>
  <c r="DJ6" i="4" a="1"/>
  <c r="DJ6" i="4"/>
  <c r="DI6" i="4" a="1"/>
  <c r="DI6" i="4" s="1"/>
  <c r="DH6" i="4" a="1"/>
  <c r="DH6" i="4"/>
  <c r="DG6" i="4" a="1"/>
  <c r="DG6" i="4"/>
  <c r="DF6" i="4" a="1"/>
  <c r="DF6" i="4" s="1"/>
  <c r="DE6" i="4" a="1"/>
  <c r="DE6" i="4" s="1"/>
  <c r="DD6" i="4" a="1"/>
  <c r="DD6" i="4" s="1"/>
  <c r="DD7" i="4" s="1"/>
  <c r="DC6" i="4" a="1"/>
  <c r="DC6" i="4"/>
  <c r="DB6" i="4" a="1"/>
  <c r="DB6" i="4"/>
  <c r="DA6" i="4" a="1"/>
  <c r="DA6" i="4" s="1"/>
  <c r="DA8" i="4" s="1"/>
  <c r="CZ6" i="4" a="1"/>
  <c r="CZ6" i="4" s="1"/>
  <c r="CZ7" i="4" s="1"/>
  <c r="CY6" i="4" a="1"/>
  <c r="CY6" i="4"/>
  <c r="CX6" i="4" a="1"/>
  <c r="CX6" i="4"/>
  <c r="CX8" i="4" s="1"/>
  <c r="CW6" i="4" a="1"/>
  <c r="CW6" i="4"/>
  <c r="CV6" i="4" a="1"/>
  <c r="CV6" i="4"/>
  <c r="CU6" i="4" a="1"/>
  <c r="CU6" i="4"/>
  <c r="CU8" i="4" s="1"/>
  <c r="CT6" i="4" a="1"/>
  <c r="CT6" i="4"/>
  <c r="CT7" i="4" s="1"/>
  <c r="CS6" i="4" a="1"/>
  <c r="CS6" i="4"/>
  <c r="CR6" i="4" a="1"/>
  <c r="CR6" i="4"/>
  <c r="CR7" i="4" s="1"/>
  <c r="CQ6" i="4" a="1"/>
  <c r="CQ6" i="4"/>
  <c r="CQ7" i="4" s="1"/>
  <c r="CP6" i="4" a="1"/>
  <c r="CP6" i="4"/>
  <c r="CP7" i="4" s="1"/>
  <c r="CO6" i="4" a="1"/>
  <c r="CO6" i="4" s="1"/>
  <c r="CO8" i="4" s="1"/>
  <c r="CN6" i="4" a="1"/>
  <c r="CN6" i="4"/>
  <c r="CN7" i="4" s="1"/>
  <c r="CM6" i="4" a="1"/>
  <c r="CM6" i="4" s="1"/>
  <c r="CL6" i="4" a="1"/>
  <c r="CL6" i="4" s="1"/>
  <c r="CL8" i="4" s="1"/>
  <c r="CK6" i="4" a="1"/>
  <c r="CK6" i="4"/>
  <c r="CK8" i="4" s="1"/>
  <c r="CJ6" i="4" a="1"/>
  <c r="CJ6" i="4"/>
  <c r="CJ8" i="4" s="1"/>
  <c r="CI6" i="4" a="1"/>
  <c r="CI6" i="4"/>
  <c r="CH6" i="4" a="1"/>
  <c r="CH6" i="4" s="1"/>
  <c r="CH7" i="4" s="1"/>
  <c r="CG6" i="4" a="1"/>
  <c r="CG6" i="4"/>
  <c r="CG7" i="4" s="1"/>
  <c r="CF6" i="4" a="1"/>
  <c r="CF6" i="4" s="1"/>
  <c r="CE6" i="4" a="1"/>
  <c r="CE6" i="4"/>
  <c r="CD6" i="4" a="1"/>
  <c r="CD6" i="4" s="1"/>
  <c r="CC6" i="4" a="1"/>
  <c r="CC6" i="4"/>
  <c r="CB6" i="4" a="1"/>
  <c r="CB6" i="4" s="1"/>
  <c r="CA6" i="4" a="1"/>
  <c r="CA6" i="4"/>
  <c r="BZ6" i="4" a="1"/>
  <c r="BZ6" i="4"/>
  <c r="BY6" i="4" a="1"/>
  <c r="BY6" i="4"/>
  <c r="BY7" i="4" s="1"/>
  <c r="BX6" i="4" a="1"/>
  <c r="BX6" i="4"/>
  <c r="BX7" i="4" s="1"/>
  <c r="BW6" i="4" a="1"/>
  <c r="BW6" i="4"/>
  <c r="BW8" i="4" s="1"/>
  <c r="BV6" i="4" a="1"/>
  <c r="BV6" i="4"/>
  <c r="BV8" i="4" s="1"/>
  <c r="BU6" i="4" a="1"/>
  <c r="BU6" i="4" s="1"/>
  <c r="BU8" i="4" s="1"/>
  <c r="BT6" i="4" a="1"/>
  <c r="BT6" i="4"/>
  <c r="BS6" i="4" a="1"/>
  <c r="BS6" i="4" s="1"/>
  <c r="BS8" i="4" s="1"/>
  <c r="BR6" i="4" a="1"/>
  <c r="BR6" i="4" s="1"/>
  <c r="BR7" i="4" s="1"/>
  <c r="BQ6" i="4" a="1"/>
  <c r="BQ6" i="4"/>
  <c r="BQ7" i="4" s="1"/>
  <c r="BP6" i="4" a="1"/>
  <c r="BP6" i="4"/>
  <c r="BP7" i="4" s="1"/>
  <c r="BO6" i="4" a="1"/>
  <c r="BO6" i="4" s="1"/>
  <c r="BO8" i="4" s="1"/>
  <c r="BN6" i="4" a="1"/>
  <c r="BN6" i="4"/>
  <c r="BM6" i="4" a="1"/>
  <c r="BM6" i="4"/>
  <c r="BL6" i="4" a="1"/>
  <c r="BL6" i="4"/>
  <c r="BL7" i="4" s="1"/>
  <c r="BK6" i="4" a="1"/>
  <c r="BK6" i="4"/>
  <c r="BJ6" i="4" a="1"/>
  <c r="BJ6" i="4" s="1"/>
  <c r="BJ8" i="4" s="1"/>
  <c r="BI6" i="4" a="1"/>
  <c r="BI6" i="4" s="1"/>
  <c r="BH6" i="4" a="1"/>
  <c r="BH6" i="4" s="1"/>
  <c r="BH7" i="4" s="1"/>
  <c r="BG6" i="4" a="1"/>
  <c r="BG6" i="4"/>
  <c r="BG7" i="4" s="1"/>
  <c r="BF6" i="4" a="1"/>
  <c r="BF6" i="4"/>
  <c r="BF8" i="4" s="1"/>
  <c r="BE6" i="4" a="1"/>
  <c r="BE6" i="4"/>
  <c r="BE7" i="4" s="1"/>
  <c r="BD6" i="4" a="1"/>
  <c r="BD6" i="4"/>
  <c r="BD8" i="4" s="1"/>
  <c r="BC6" i="4" a="1"/>
  <c r="BC6" i="4"/>
  <c r="BC8" i="4" s="1"/>
  <c r="BB6" i="4" a="1"/>
  <c r="BB6" i="4"/>
  <c r="BB7" i="4" s="1"/>
  <c r="BA6" i="4" a="1"/>
  <c r="BA6" i="4" s="1"/>
  <c r="AZ6" i="4" a="1"/>
  <c r="AZ6" i="4"/>
  <c r="AZ7" i="4" s="1"/>
  <c r="AY6" i="4" a="1"/>
  <c r="AY6" i="4"/>
  <c r="AY7" i="4" s="1"/>
  <c r="AX6" i="4" a="1"/>
  <c r="AX6" i="4"/>
  <c r="AX7" i="4" s="1"/>
  <c r="AW6" i="4" a="1"/>
  <c r="AW6" i="4" s="1"/>
  <c r="AW8" i="4" s="1"/>
  <c r="AV6" i="4" a="1"/>
  <c r="AV6" i="4"/>
  <c r="AU6" i="4" a="1"/>
  <c r="AU6" i="4"/>
  <c r="AU7" i="4" s="1"/>
  <c r="AT6" i="4" a="1"/>
  <c r="AT6" i="4"/>
  <c r="AS6" i="4" a="1"/>
  <c r="AS6" i="4"/>
  <c r="AR6" i="4" a="1"/>
  <c r="AR6" i="4" s="1"/>
  <c r="AR7" i="4" s="1"/>
  <c r="AQ6" i="4" a="1"/>
  <c r="AQ6" i="4"/>
  <c r="AP6" i="4" a="1"/>
  <c r="AP6" i="4"/>
  <c r="AO6" i="4" a="1"/>
  <c r="AO6" i="4"/>
  <c r="AN6" i="4" a="1"/>
  <c r="AN6" i="4" s="1"/>
  <c r="AM6" i="4" a="1"/>
  <c r="AM6" i="4"/>
  <c r="AL6" i="4" a="1"/>
  <c r="AL6" i="4" s="1"/>
  <c r="AL7" i="4" s="1"/>
  <c r="AK6" i="4" a="1"/>
  <c r="AK6" i="4"/>
  <c r="AJ6" i="4" a="1"/>
  <c r="AJ6" i="4" s="1"/>
  <c r="AI6" i="4" a="1"/>
  <c r="AI6" i="4"/>
  <c r="AH6" i="4" a="1"/>
  <c r="AH6" i="4"/>
  <c r="AH8" i="4" s="1"/>
  <c r="AG6" i="4" a="1"/>
  <c r="AG6" i="4"/>
  <c r="AF6" i="4" a="1"/>
  <c r="AF6" i="4"/>
  <c r="AE6" i="4" a="1"/>
  <c r="AE6" i="4"/>
  <c r="AE8" i="4" s="1"/>
  <c r="AD6" i="4" a="1"/>
  <c r="AD6" i="4"/>
  <c r="AD7" i="4" s="1"/>
  <c r="AC6" i="4" a="1"/>
  <c r="AC6" i="4" s="1"/>
  <c r="AC7" i="4" s="1"/>
  <c r="AB6" i="4" a="1"/>
  <c r="AB6" i="4"/>
  <c r="AB7" i="4" s="1"/>
  <c r="AA6" i="4" a="1"/>
  <c r="AA6" i="4" s="1"/>
  <c r="AA8" i="4" s="1"/>
  <c r="Z6" i="4" a="1"/>
  <c r="Z6" i="4" s="1"/>
  <c r="Z8" i="4" s="1"/>
  <c r="Y6" i="4" a="1"/>
  <c r="Y6" i="4"/>
  <c r="X6" i="4" a="1"/>
  <c r="X6" i="4"/>
  <c r="W6" i="4" a="1"/>
  <c r="W6" i="4" s="1"/>
  <c r="V6" i="4" a="1"/>
  <c r="V6" i="4" s="1"/>
  <c r="V7" i="4" s="1"/>
  <c r="U6" i="4" a="1"/>
  <c r="U6" i="4" s="1"/>
  <c r="T6" i="4" a="1"/>
  <c r="T6" i="4" s="1"/>
  <c r="S6" i="4" a="1"/>
  <c r="S6" i="4"/>
  <c r="R6" i="4" a="1"/>
  <c r="R6" i="4"/>
  <c r="R8" i="4" s="1"/>
  <c r="Q6" i="4" a="1"/>
  <c r="Q6" i="4" s="1"/>
  <c r="P6" i="4" a="1"/>
  <c r="P6" i="4" s="1"/>
  <c r="O6" i="4" a="1"/>
  <c r="O6" i="4"/>
  <c r="O7" i="4" s="1"/>
  <c r="N6" i="4" a="1"/>
  <c r="N6" i="4"/>
  <c r="M6" i="4" a="1"/>
  <c r="M6" i="4"/>
  <c r="L6" i="4" a="1"/>
  <c r="L6" i="4" s="1"/>
  <c r="K6" i="4" a="1"/>
  <c r="K6" i="4"/>
  <c r="J6" i="4" a="1"/>
  <c r="J6" i="4" s="1"/>
  <c r="I6" i="4" a="1"/>
  <c r="I6" i="4"/>
  <c r="I8" i="4" s="1"/>
  <c r="H6" i="4" a="1"/>
  <c r="H6" i="4"/>
  <c r="H8" i="4" s="1"/>
  <c r="G6" i="4" a="1"/>
  <c r="G6" i="4" s="1"/>
  <c r="F6" i="4" a="1"/>
  <c r="F6" i="4" s="1"/>
  <c r="E6" i="4" a="1"/>
  <c r="E6" i="4" s="1"/>
  <c r="E8" i="4" s="1"/>
  <c r="D6" i="4" a="1"/>
  <c r="D6" i="4"/>
  <c r="D7" i="4" s="1"/>
  <c r="C6" i="4" a="1"/>
  <c r="C6" i="4"/>
  <c r="C8" i="4" s="1"/>
  <c r="EL24" i="3"/>
  <c r="EK24" i="3"/>
  <c r="EJ24" i="3"/>
  <c r="EI24" i="3"/>
  <c r="EH24" i="3"/>
  <c r="EG24" i="3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M24" i="3" s="1"/>
  <c r="EN24" i="3" s="1"/>
  <c r="E24" i="3"/>
  <c r="D24" i="3"/>
  <c r="C24" i="3"/>
  <c r="B24" i="3"/>
  <c r="EL23" i="3"/>
  <c r="EK23" i="3"/>
  <c r="EJ23" i="3"/>
  <c r="EI23" i="3"/>
  <c r="EH23" i="3"/>
  <c r="EG23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EL22" i="3"/>
  <c r="EK22" i="3"/>
  <c r="EJ22" i="3"/>
  <c r="EI22" i="3"/>
  <c r="EH22" i="3"/>
  <c r="EG22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EM22" i="3" s="1"/>
  <c r="EN22" i="3" s="1"/>
  <c r="D22" i="3"/>
  <c r="C22" i="3"/>
  <c r="B22" i="3"/>
  <c r="EL21" i="3"/>
  <c r="EK21" i="3"/>
  <c r="EJ21" i="3"/>
  <c r="EI21" i="3"/>
  <c r="EH21" i="3"/>
  <c r="EG21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EM21" i="3" s="1"/>
  <c r="EN21" i="3" s="1"/>
  <c r="G21" i="3"/>
  <c r="F21" i="3"/>
  <c r="E21" i="3"/>
  <c r="D21" i="3"/>
  <c r="C21" i="3"/>
  <c r="B21" i="3"/>
  <c r="EL20" i="3"/>
  <c r="EK20" i="3"/>
  <c r="EJ20" i="3"/>
  <c r="EI20" i="3"/>
  <c r="EH20" i="3"/>
  <c r="EG20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EM20" i="3" s="1"/>
  <c r="EN20" i="3" s="1"/>
  <c r="D20" i="3"/>
  <c r="C20" i="3"/>
  <c r="B20" i="3"/>
  <c r="EL19" i="3"/>
  <c r="EK19" i="3"/>
  <c r="EJ19" i="3"/>
  <c r="EI19" i="3"/>
  <c r="EH19" i="3"/>
  <c r="EG19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EM19" i="3" s="1"/>
  <c r="EN19" i="3" s="1"/>
  <c r="G19" i="3"/>
  <c r="F19" i="3"/>
  <c r="E19" i="3"/>
  <c r="D19" i="3"/>
  <c r="C19" i="3"/>
  <c r="B19" i="3"/>
  <c r="EL18" i="3"/>
  <c r="EK18" i="3"/>
  <c r="EJ18" i="3"/>
  <c r="EI18" i="3"/>
  <c r="EH18" i="3"/>
  <c r="EG18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EM18" i="3" s="1"/>
  <c r="EN18" i="3" s="1"/>
  <c r="D18" i="3"/>
  <c r="C18" i="3"/>
  <c r="B18" i="3"/>
  <c r="EL17" i="3"/>
  <c r="EK17" i="3"/>
  <c r="EJ17" i="3"/>
  <c r="EI17" i="3"/>
  <c r="EH17" i="3"/>
  <c r="EG17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EM17" i="3" s="1"/>
  <c r="EN17" i="3" s="1"/>
  <c r="J17" i="3"/>
  <c r="I17" i="3"/>
  <c r="H17" i="3"/>
  <c r="G17" i="3"/>
  <c r="F17" i="3"/>
  <c r="E17" i="3"/>
  <c r="D17" i="3"/>
  <c r="C17" i="3"/>
  <c r="B17" i="3"/>
  <c r="EL16" i="3"/>
  <c r="EK16" i="3"/>
  <c r="EJ16" i="3"/>
  <c r="EI16" i="3"/>
  <c r="EH16" i="3"/>
  <c r="EG16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EL15" i="3"/>
  <c r="EK15" i="3"/>
  <c r="EJ15" i="3"/>
  <c r="EI15" i="3"/>
  <c r="EH15" i="3"/>
  <c r="EG15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EM15" i="3" s="1"/>
  <c r="EN15" i="3" s="1"/>
  <c r="G15" i="3"/>
  <c r="F15" i="3"/>
  <c r="E15" i="3"/>
  <c r="D15" i="3"/>
  <c r="C15" i="3"/>
  <c r="B15" i="3"/>
  <c r="EL14" i="3"/>
  <c r="EK14" i="3"/>
  <c r="EJ14" i="3"/>
  <c r="EI14" i="3"/>
  <c r="EH14" i="3"/>
  <c r="EG14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EL13" i="3"/>
  <c r="EK13" i="3"/>
  <c r="EJ13" i="3"/>
  <c r="EI13" i="3"/>
  <c r="EH13" i="3"/>
  <c r="EG13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EM13" i="3" s="1"/>
  <c r="EN13" i="3" s="1"/>
  <c r="G13" i="3"/>
  <c r="F13" i="3"/>
  <c r="E13" i="3"/>
  <c r="D13" i="3"/>
  <c r="C13" i="3"/>
  <c r="B13" i="3"/>
  <c r="EL12" i="3"/>
  <c r="EK12" i="3"/>
  <c r="EJ12" i="3"/>
  <c r="EI12" i="3"/>
  <c r="EH12" i="3"/>
  <c r="EG12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EM12" i="3" s="1"/>
  <c r="EN12" i="3" s="1"/>
  <c r="J12" i="3"/>
  <c r="I12" i="3"/>
  <c r="H12" i="3"/>
  <c r="G12" i="3"/>
  <c r="F12" i="3"/>
  <c r="E12" i="3"/>
  <c r="D12" i="3"/>
  <c r="C12" i="3"/>
  <c r="B12" i="3"/>
  <c r="EL8" i="3"/>
  <c r="EK8" i="3"/>
  <c r="EJ8" i="3"/>
  <c r="EI8" i="3"/>
  <c r="EB8" i="3"/>
  <c r="EA8" i="3"/>
  <c r="DZ8" i="3"/>
  <c r="DT8" i="3"/>
  <c r="DP8" i="3"/>
  <c r="DO8" i="3"/>
  <c r="DI8" i="3"/>
  <c r="DH8" i="3"/>
  <c r="DG8" i="3"/>
  <c r="CX8" i="3"/>
  <c r="CT8" i="3"/>
  <c r="CS8" i="3"/>
  <c r="CR8" i="3"/>
  <c r="CQ8" i="3"/>
  <c r="CP8" i="3"/>
  <c r="CO8" i="3"/>
  <c r="CN8" i="3"/>
  <c r="CL8" i="3"/>
  <c r="CK8" i="3"/>
  <c r="CI8" i="3"/>
  <c r="CB8" i="3"/>
  <c r="CA8" i="3"/>
  <c r="BZ8" i="3"/>
  <c r="BV8" i="3"/>
  <c r="BP8" i="3"/>
  <c r="BO8" i="3"/>
  <c r="BM8" i="3"/>
  <c r="BL8" i="3"/>
  <c r="BK8" i="3"/>
  <c r="BJ8" i="3"/>
  <c r="BF8" i="3"/>
  <c r="BE8" i="3"/>
  <c r="BD8" i="3"/>
  <c r="BB8" i="3"/>
  <c r="AT8" i="3"/>
  <c r="AS8" i="3"/>
  <c r="AQ8" i="3"/>
  <c r="AH8" i="3"/>
  <c r="AF8" i="3"/>
  <c r="AE8" i="3"/>
  <c r="X8" i="3"/>
  <c r="W8" i="3"/>
  <c r="U8" i="3"/>
  <c r="P8" i="3"/>
  <c r="N8" i="3"/>
  <c r="F8" i="3"/>
  <c r="E8" i="3"/>
  <c r="EL7" i="3"/>
  <c r="EK7" i="3"/>
  <c r="EE7" i="3"/>
  <c r="ED7" i="3"/>
  <c r="EA7" i="3"/>
  <c r="DT7" i="3"/>
  <c r="DS7" i="3"/>
  <c r="DK7" i="3"/>
  <c r="DI7" i="3"/>
  <c r="DH7" i="3"/>
  <c r="DG7" i="3"/>
  <c r="DF7" i="3"/>
  <c r="DE7" i="3"/>
  <c r="DC7" i="3"/>
  <c r="DB7" i="3"/>
  <c r="CX7" i="3"/>
  <c r="CW7" i="3"/>
  <c r="CT7" i="3"/>
  <c r="CM7" i="3"/>
  <c r="CL7" i="3"/>
  <c r="CI7" i="3"/>
  <c r="CG7" i="3"/>
  <c r="CD7" i="3"/>
  <c r="BX7" i="3"/>
  <c r="BW7" i="3"/>
  <c r="BQ7" i="3"/>
  <c r="BP7" i="3"/>
  <c r="BM7" i="3"/>
  <c r="BK7" i="3"/>
  <c r="BJ7" i="3"/>
  <c r="BI7" i="3"/>
  <c r="BF7" i="3"/>
  <c r="BA7" i="3"/>
  <c r="AW7" i="3"/>
  <c r="AU7" i="3"/>
  <c r="AT7" i="3"/>
  <c r="AS7" i="3"/>
  <c r="AQ7" i="3"/>
  <c r="AJ7" i="3"/>
  <c r="AI7" i="3"/>
  <c r="Y7" i="3"/>
  <c r="V7" i="3"/>
  <c r="U7" i="3"/>
  <c r="Q7" i="3"/>
  <c r="P7" i="3"/>
  <c r="N7" i="3"/>
  <c r="M7" i="3"/>
  <c r="J7" i="3"/>
  <c r="C7" i="3"/>
  <c r="EM6" i="3" a="1"/>
  <c r="EM6" i="3"/>
  <c r="EL6" i="3" a="1"/>
  <c r="EL6" i="3"/>
  <c r="EK6" i="3" a="1"/>
  <c r="EK6" i="3"/>
  <c r="EJ6" i="3" a="1"/>
  <c r="EJ6" i="3"/>
  <c r="EJ7" i="3" s="1"/>
  <c r="EI6" i="3" a="1"/>
  <c r="EI6" i="3"/>
  <c r="EI7" i="3" s="1"/>
  <c r="EH6" i="3" a="1"/>
  <c r="EH6" i="3"/>
  <c r="EG6" i="3" a="1"/>
  <c r="EG6" i="3"/>
  <c r="EG8" i="3" s="1"/>
  <c r="EF6" i="3" a="1"/>
  <c r="EF6" i="3"/>
  <c r="EF8" i="3" s="1"/>
  <c r="EE6" i="3" a="1"/>
  <c r="EE6" i="3"/>
  <c r="EE8" i="3" s="1"/>
  <c r="ED6" i="3" a="1"/>
  <c r="ED6" i="3"/>
  <c r="ED8" i="3" s="1"/>
  <c r="EC6" i="3" a="1"/>
  <c r="EC6" i="3"/>
  <c r="EC8" i="3" s="1"/>
  <c r="EB6" i="3" a="1"/>
  <c r="EB6" i="3"/>
  <c r="EB7" i="3" s="1"/>
  <c r="EA6" i="3" a="1"/>
  <c r="EA6" i="3"/>
  <c r="DZ6" i="3" a="1"/>
  <c r="DZ6" i="3"/>
  <c r="DZ7" i="3" s="1"/>
  <c r="DY6" i="3" a="1"/>
  <c r="DY6" i="3"/>
  <c r="DY7" i="3" s="1"/>
  <c r="DX6" i="3" a="1"/>
  <c r="DX6" i="3"/>
  <c r="DX7" i="3" s="1"/>
  <c r="DW6" i="3" a="1"/>
  <c r="DW6" i="3"/>
  <c r="DV6" i="3" a="1"/>
  <c r="DV6" i="3"/>
  <c r="DU6" i="3" a="1"/>
  <c r="DU6" i="3"/>
  <c r="DU7" i="3" s="1"/>
  <c r="DT6" i="3" a="1"/>
  <c r="DT6" i="3"/>
  <c r="DS6" i="3" a="1"/>
  <c r="DS6" i="3"/>
  <c r="DS8" i="3" s="1"/>
  <c r="DR6" i="3" a="1"/>
  <c r="DR6" i="3"/>
  <c r="DQ6" i="3" a="1"/>
  <c r="DQ6" i="3"/>
  <c r="DQ8" i="3" s="1"/>
  <c r="DP6" i="3" a="1"/>
  <c r="DP6" i="3"/>
  <c r="DP7" i="3" s="1"/>
  <c r="DO6" i="3" a="1"/>
  <c r="DO6" i="3"/>
  <c r="DO7" i="3" s="1"/>
  <c r="DN6" i="3" a="1"/>
  <c r="DN6" i="3"/>
  <c r="DM6" i="3" a="1"/>
  <c r="DM6" i="3"/>
  <c r="DM7" i="3" s="1"/>
  <c r="DL6" i="3" a="1"/>
  <c r="DL6" i="3"/>
  <c r="DL8" i="3" s="1"/>
  <c r="DK6" i="3" a="1"/>
  <c r="DK6" i="3"/>
  <c r="DK8" i="3" s="1"/>
  <c r="DJ6" i="3" a="1"/>
  <c r="DJ6" i="3"/>
  <c r="DJ8" i="3" s="1"/>
  <c r="DI6" i="3" a="1"/>
  <c r="DI6" i="3"/>
  <c r="DH6" i="3" a="1"/>
  <c r="DH6" i="3"/>
  <c r="DG6" i="3" a="1"/>
  <c r="DG6" i="3"/>
  <c r="DF6" i="3" a="1"/>
  <c r="DF6" i="3"/>
  <c r="DF8" i="3" s="1"/>
  <c r="DE6" i="3" a="1"/>
  <c r="DE6" i="3"/>
  <c r="DE8" i="3" s="1"/>
  <c r="DD6" i="3" a="1"/>
  <c r="DD6" i="3"/>
  <c r="DC6" i="3" a="1"/>
  <c r="DC6" i="3"/>
  <c r="DC8" i="3" s="1"/>
  <c r="DB6" i="3" a="1"/>
  <c r="DB6" i="3"/>
  <c r="DB8" i="3" s="1"/>
  <c r="DA6" i="3" a="1"/>
  <c r="DA6" i="3"/>
  <c r="DA7" i="3" s="1"/>
  <c r="CZ6" i="3" a="1"/>
  <c r="CZ6" i="3"/>
  <c r="CY6" i="3" a="1"/>
  <c r="CY6" i="3"/>
  <c r="CX6" i="3" a="1"/>
  <c r="CX6" i="3"/>
  <c r="CW6" i="3" a="1"/>
  <c r="CW6" i="3"/>
  <c r="CW8" i="3" s="1"/>
  <c r="CV6" i="3" a="1"/>
  <c r="CV6" i="3"/>
  <c r="CU6" i="3" a="1"/>
  <c r="CU6" i="3"/>
  <c r="CT6" i="3" a="1"/>
  <c r="CT6" i="3"/>
  <c r="CS6" i="3" a="1"/>
  <c r="CS6" i="3"/>
  <c r="CS7" i="3" s="1"/>
  <c r="CR6" i="3" a="1"/>
  <c r="CR6" i="3"/>
  <c r="CR7" i="3" s="1"/>
  <c r="CQ6" i="3" a="1"/>
  <c r="CQ6" i="3"/>
  <c r="CQ7" i="3" s="1"/>
  <c r="CP6" i="3" a="1"/>
  <c r="CP6" i="3"/>
  <c r="CP7" i="3" s="1"/>
  <c r="CO6" i="3" a="1"/>
  <c r="CO6" i="3"/>
  <c r="CO7" i="3" s="1"/>
  <c r="CN6" i="3" a="1"/>
  <c r="CN6" i="3"/>
  <c r="CN7" i="3" s="1"/>
  <c r="CM6" i="3" a="1"/>
  <c r="CM6" i="3"/>
  <c r="CM8" i="3" s="1"/>
  <c r="CL6" i="3" a="1"/>
  <c r="CL6" i="3"/>
  <c r="CK6" i="3" a="1"/>
  <c r="CK6" i="3"/>
  <c r="CK7" i="3" s="1"/>
  <c r="CJ6" i="3" a="1"/>
  <c r="CJ6" i="3"/>
  <c r="CJ7" i="3" s="1"/>
  <c r="CI6" i="3" a="1"/>
  <c r="CI6" i="3"/>
  <c r="CH6" i="3" a="1"/>
  <c r="CH6" i="3"/>
  <c r="CH7" i="3" s="1"/>
  <c r="CG6" i="3" a="1"/>
  <c r="CG6" i="3"/>
  <c r="CG8" i="3" s="1"/>
  <c r="CF6" i="3" a="1"/>
  <c r="CF6" i="3"/>
  <c r="CF8" i="3" s="1"/>
  <c r="CE6" i="3" a="1"/>
  <c r="CE6" i="3"/>
  <c r="CE8" i="3" s="1"/>
  <c r="CD6" i="3" a="1"/>
  <c r="CD6" i="3"/>
  <c r="CD8" i="3" s="1"/>
  <c r="CC6" i="3" a="1"/>
  <c r="CC6" i="3"/>
  <c r="CB6" i="3" a="1"/>
  <c r="CB6" i="3"/>
  <c r="CB7" i="3" s="1"/>
  <c r="CA6" i="3" a="1"/>
  <c r="CA6" i="3"/>
  <c r="CA7" i="3" s="1"/>
  <c r="BZ6" i="3" a="1"/>
  <c r="BZ6" i="3"/>
  <c r="BZ7" i="3" s="1"/>
  <c r="BY6" i="3" a="1"/>
  <c r="BY6" i="3"/>
  <c r="BY8" i="3" s="1"/>
  <c r="BX6" i="3" a="1"/>
  <c r="BX6" i="3"/>
  <c r="BX8" i="3" s="1"/>
  <c r="BW6" i="3" a="1"/>
  <c r="BW6" i="3"/>
  <c r="BW8" i="3" s="1"/>
  <c r="BV6" i="3" a="1"/>
  <c r="BV6" i="3"/>
  <c r="BV7" i="3" s="1"/>
  <c r="BU6" i="3" a="1"/>
  <c r="BU6" i="3"/>
  <c r="BU8" i="3" s="1"/>
  <c r="BT6" i="3" a="1"/>
  <c r="BT6" i="3"/>
  <c r="BS6" i="3" a="1"/>
  <c r="BS6" i="3"/>
  <c r="BR6" i="3" a="1"/>
  <c r="BR6" i="3"/>
  <c r="BR7" i="3" s="1"/>
  <c r="BQ6" i="3" a="1"/>
  <c r="BQ6" i="3"/>
  <c r="BQ8" i="3" s="1"/>
  <c r="BP6" i="3" a="1"/>
  <c r="BP6" i="3"/>
  <c r="BO6" i="3" a="1"/>
  <c r="BO6" i="3"/>
  <c r="BO7" i="3" s="1"/>
  <c r="BN6" i="3" a="1"/>
  <c r="BN6" i="3"/>
  <c r="BN7" i="3" s="1"/>
  <c r="BM6" i="3" a="1"/>
  <c r="BM6" i="3"/>
  <c r="BL6" i="3" a="1"/>
  <c r="BL6" i="3"/>
  <c r="BL7" i="3" s="1"/>
  <c r="BK6" i="3" a="1"/>
  <c r="BK6" i="3"/>
  <c r="BJ6" i="3" a="1"/>
  <c r="BJ6" i="3"/>
  <c r="BI6" i="3" a="1"/>
  <c r="BI6" i="3"/>
  <c r="BI8" i="3" s="1"/>
  <c r="BH6" i="3" a="1"/>
  <c r="BH6" i="3"/>
  <c r="BH8" i="3" s="1"/>
  <c r="BG6" i="3" a="1"/>
  <c r="BG6" i="3"/>
  <c r="BF6" i="3" a="1"/>
  <c r="BF6" i="3"/>
  <c r="BE6" i="3" a="1"/>
  <c r="BE6" i="3"/>
  <c r="BE7" i="3" s="1"/>
  <c r="BD6" i="3" a="1"/>
  <c r="BD6" i="3"/>
  <c r="BD7" i="3" s="1"/>
  <c r="BC6" i="3" a="1"/>
  <c r="BC6" i="3"/>
  <c r="BB6" i="3" a="1"/>
  <c r="BB6" i="3"/>
  <c r="BB7" i="3" s="1"/>
  <c r="BA6" i="3" a="1"/>
  <c r="BA6" i="3"/>
  <c r="BA8" i="3" s="1"/>
  <c r="AZ6" i="3" a="1"/>
  <c r="AZ6" i="3"/>
  <c r="AZ8" i="3" s="1"/>
  <c r="AY6" i="3" a="1"/>
  <c r="AY6" i="3"/>
  <c r="AY8" i="3" s="1"/>
  <c r="AX6" i="3" a="1"/>
  <c r="AX6" i="3"/>
  <c r="AX8" i="3" s="1"/>
  <c r="AW6" i="3" a="1"/>
  <c r="AW6" i="3"/>
  <c r="AW8" i="3" s="1"/>
  <c r="AV6" i="3" a="1"/>
  <c r="AV6" i="3"/>
  <c r="AU6" i="3" a="1"/>
  <c r="AU6" i="3"/>
  <c r="AU8" i="3" s="1"/>
  <c r="AT6" i="3" a="1"/>
  <c r="AT6" i="3"/>
  <c r="AS6" i="3" a="1"/>
  <c r="AS6" i="3"/>
  <c r="AR6" i="3" a="1"/>
  <c r="AR6" i="3"/>
  <c r="AR8" i="3" s="1"/>
  <c r="AQ6" i="3" a="1"/>
  <c r="AQ6" i="3"/>
  <c r="AP6" i="3" a="1"/>
  <c r="AP6" i="3"/>
  <c r="AP7" i="3" s="1"/>
  <c r="AO6" i="3" a="1"/>
  <c r="AO6" i="3"/>
  <c r="AO8" i="3" s="1"/>
  <c r="AN6" i="3" a="1"/>
  <c r="AN6" i="3"/>
  <c r="AN8" i="3" s="1"/>
  <c r="AM6" i="3" a="1"/>
  <c r="AM6" i="3"/>
  <c r="AM7" i="3" s="1"/>
  <c r="AL6" i="3" a="1"/>
  <c r="AL6" i="3"/>
  <c r="AL7" i="3" s="1"/>
  <c r="AK6" i="3" a="1"/>
  <c r="AK6" i="3"/>
  <c r="AJ6" i="3" a="1"/>
  <c r="AJ6" i="3"/>
  <c r="AJ8" i="3" s="1"/>
  <c r="AI6" i="3" a="1"/>
  <c r="AI6" i="3"/>
  <c r="AI8" i="3" s="1"/>
  <c r="AH6" i="3" a="1"/>
  <c r="AH6" i="3"/>
  <c r="AH7" i="3" s="1"/>
  <c r="AG6" i="3" a="1"/>
  <c r="AG6" i="3"/>
  <c r="AG8" i="3" s="1"/>
  <c r="AF6" i="3" a="1"/>
  <c r="AF6" i="3"/>
  <c r="AF7" i="3" s="1"/>
  <c r="AE6" i="3" a="1"/>
  <c r="AE6" i="3"/>
  <c r="AE7" i="3" s="1"/>
  <c r="AD6" i="3" a="1"/>
  <c r="AD6" i="3"/>
  <c r="AD7" i="3" s="1"/>
  <c r="AC6" i="3" a="1"/>
  <c r="AC6" i="3"/>
  <c r="AC7" i="3" s="1"/>
  <c r="AB6" i="3" a="1"/>
  <c r="AB6" i="3"/>
  <c r="AB8" i="3" s="1"/>
  <c r="AA6" i="3" a="1"/>
  <c r="AA6" i="3"/>
  <c r="Z6" i="3" a="1"/>
  <c r="Z6" i="3"/>
  <c r="Z7" i="3" s="1"/>
  <c r="Y6" i="3" a="1"/>
  <c r="Y6" i="3"/>
  <c r="Y8" i="3" s="1"/>
  <c r="X6" i="3" a="1"/>
  <c r="X6" i="3"/>
  <c r="X7" i="3" s="1"/>
  <c r="W6" i="3" a="1"/>
  <c r="W6" i="3"/>
  <c r="W7" i="3" s="1"/>
  <c r="V6" i="3" a="1"/>
  <c r="V6" i="3"/>
  <c r="V8" i="3" s="1"/>
  <c r="U6" i="3" a="1"/>
  <c r="U6" i="3"/>
  <c r="T6" i="3" a="1"/>
  <c r="T6" i="3"/>
  <c r="T7" i="3" s="1"/>
  <c r="S6" i="3" a="1"/>
  <c r="S6" i="3"/>
  <c r="R6" i="3" a="1"/>
  <c r="R6" i="3"/>
  <c r="Q6" i="3" a="1"/>
  <c r="Q6" i="3"/>
  <c r="Q8" i="3" s="1"/>
  <c r="P6" i="3" a="1"/>
  <c r="P6" i="3"/>
  <c r="O6" i="3" a="1"/>
  <c r="O6" i="3"/>
  <c r="O7" i="3" s="1"/>
  <c r="N6" i="3" a="1"/>
  <c r="N6" i="3"/>
  <c r="M6" i="3" a="1"/>
  <c r="M6" i="3"/>
  <c r="M8" i="3" s="1"/>
  <c r="L6" i="3" a="1"/>
  <c r="L6" i="3"/>
  <c r="K6" i="3" a="1"/>
  <c r="K6" i="3"/>
  <c r="K8" i="3" s="1"/>
  <c r="J6" i="3" a="1"/>
  <c r="J6" i="3"/>
  <c r="J8" i="3" s="1"/>
  <c r="I6" i="3" a="1"/>
  <c r="I6" i="3"/>
  <c r="I7" i="3" s="1"/>
  <c r="H6" i="3" a="1"/>
  <c r="H6" i="3"/>
  <c r="G6" i="3" a="1"/>
  <c r="G6" i="3"/>
  <c r="F6" i="3" a="1"/>
  <c r="F6" i="3"/>
  <c r="F7" i="3" s="1"/>
  <c r="E6" i="3" a="1"/>
  <c r="E6" i="3"/>
  <c r="E7" i="3" s="1"/>
  <c r="D6" i="3" a="1"/>
  <c r="D6" i="3"/>
  <c r="C6" i="3" a="1"/>
  <c r="C6" i="3"/>
  <c r="C8" i="3" s="1"/>
  <c r="EN25" i="2"/>
  <c r="EM25" i="2"/>
  <c r="EN24" i="2"/>
  <c r="EO24" i="2" s="1"/>
  <c r="B24" i="2"/>
  <c r="EN23" i="2"/>
  <c r="EO23" i="2" s="1"/>
  <c r="B23" i="2"/>
  <c r="EO22" i="2"/>
  <c r="EN22" i="2"/>
  <c r="B22" i="2"/>
  <c r="EN21" i="2"/>
  <c r="EO21" i="2" s="1"/>
  <c r="B21" i="2"/>
  <c r="EO20" i="2"/>
  <c r="EN20" i="2"/>
  <c r="B20" i="2"/>
  <c r="EO19" i="2"/>
  <c r="EN19" i="2"/>
  <c r="B19" i="2"/>
  <c r="EN18" i="2"/>
  <c r="EO18" i="2" s="1"/>
  <c r="B18" i="2"/>
  <c r="EO17" i="2"/>
  <c r="EN17" i="2"/>
  <c r="B17" i="2"/>
  <c r="EO16" i="2"/>
  <c r="EN16" i="2"/>
  <c r="B16" i="2"/>
  <c r="EN15" i="2"/>
  <c r="EO15" i="2" s="1"/>
  <c r="B15" i="2"/>
  <c r="EO14" i="2"/>
  <c r="EN14" i="2"/>
  <c r="B14" i="2"/>
  <c r="EN13" i="2"/>
  <c r="EO13" i="2" s="1"/>
  <c r="B13" i="2"/>
  <c r="EN12" i="2"/>
  <c r="EO12" i="2" s="1"/>
  <c r="B12" i="2"/>
  <c r="EM8" i="2"/>
  <c r="EI8" i="2"/>
  <c r="EG8" i="2"/>
  <c r="EF8" i="2"/>
  <c r="DX8" i="2"/>
  <c r="DW8" i="2"/>
  <c r="DU8" i="2"/>
  <c r="DT8" i="2"/>
  <c r="DQ8" i="2"/>
  <c r="DP8" i="2"/>
  <c r="DL8" i="2"/>
  <c r="DK8" i="2"/>
  <c r="DJ8" i="2"/>
  <c r="DI8" i="2"/>
  <c r="DH8" i="2"/>
  <c r="DD8" i="2"/>
  <c r="DC8" i="2"/>
  <c r="DB8" i="2"/>
  <c r="CV8" i="2"/>
  <c r="CO8" i="2"/>
  <c r="CL8" i="2"/>
  <c r="CK8" i="2"/>
  <c r="CH8" i="2"/>
  <c r="CG8" i="2"/>
  <c r="CF8" i="2"/>
  <c r="CB8" i="2"/>
  <c r="CA8" i="2"/>
  <c r="BY8" i="2"/>
  <c r="BO8" i="2"/>
  <c r="BL8" i="2"/>
  <c r="BJ8" i="2"/>
  <c r="BH8" i="2"/>
  <c r="BG8" i="2"/>
  <c r="BB8" i="2"/>
  <c r="BA8" i="2"/>
  <c r="AW8" i="2"/>
  <c r="AV8" i="2"/>
  <c r="AU8" i="2"/>
  <c r="AN8" i="2"/>
  <c r="AL8" i="2"/>
  <c r="AI8" i="2"/>
  <c r="AA8" i="2"/>
  <c r="X8" i="2"/>
  <c r="R8" i="2"/>
  <c r="M8" i="2"/>
  <c r="L8" i="2"/>
  <c r="K8" i="2"/>
  <c r="J8" i="2"/>
  <c r="D8" i="2"/>
  <c r="C8" i="2"/>
  <c r="EI7" i="2"/>
  <c r="EG7" i="2"/>
  <c r="EF7" i="2"/>
  <c r="ED7" i="2"/>
  <c r="DX7" i="2"/>
  <c r="DT7" i="2"/>
  <c r="DQ7" i="2"/>
  <c r="DM7" i="2"/>
  <c r="DL7" i="2"/>
  <c r="DK7" i="2"/>
  <c r="DJ7" i="2"/>
  <c r="DI7" i="2"/>
  <c r="DH7" i="2"/>
  <c r="DG7" i="2"/>
  <c r="DD7" i="2"/>
  <c r="DB7" i="2"/>
  <c r="CQ7" i="2"/>
  <c r="CP7" i="2"/>
  <c r="CK7" i="2"/>
  <c r="CJ7" i="2"/>
  <c r="CG7" i="2"/>
  <c r="CF7" i="2"/>
  <c r="CB7" i="2"/>
  <c r="CA7" i="2"/>
  <c r="BZ7" i="2"/>
  <c r="BY7" i="2"/>
  <c r="BX7" i="2"/>
  <c r="BU7" i="2"/>
  <c r="BO7" i="2"/>
  <c r="BN7" i="2"/>
  <c r="BM7" i="2"/>
  <c r="BK7" i="2"/>
  <c r="BJ7" i="2"/>
  <c r="BB7" i="2"/>
  <c r="AY7" i="2"/>
  <c r="AX7" i="2"/>
  <c r="AW7" i="2"/>
  <c r="AV7" i="2"/>
  <c r="AU7" i="2"/>
  <c r="AN7" i="2"/>
  <c r="AJ7" i="2"/>
  <c r="AI7" i="2"/>
  <c r="AC7" i="2"/>
  <c r="AB7" i="2"/>
  <c r="AA7" i="2"/>
  <c r="Z7" i="2"/>
  <c r="Y7" i="2"/>
  <c r="X7" i="2"/>
  <c r="U7" i="2"/>
  <c r="R7" i="2"/>
  <c r="K7" i="2"/>
  <c r="G7" i="2"/>
  <c r="D7" i="2"/>
  <c r="C7" i="2"/>
  <c r="EM6" i="2" a="1"/>
  <c r="EM6" i="2"/>
  <c r="EM7" i="2" s="1"/>
  <c r="EL6" i="2" a="1"/>
  <c r="EL6" i="2" s="1"/>
  <c r="EK6" i="2" a="1"/>
  <c r="EK6" i="2"/>
  <c r="EJ6" i="2" a="1"/>
  <c r="EJ6" i="2" s="1"/>
  <c r="EI6" i="2" a="1"/>
  <c r="EI6" i="2"/>
  <c r="EH6" i="2" a="1"/>
  <c r="EH6" i="2" s="1"/>
  <c r="EH8" i="2" s="1"/>
  <c r="EG6" i="2" a="1"/>
  <c r="EG6" i="2" s="1"/>
  <c r="EF6" i="2" a="1"/>
  <c r="EF6" i="2" s="1"/>
  <c r="EE6" i="2" a="1"/>
  <c r="EE6" i="2"/>
  <c r="EE7" i="2" s="1"/>
  <c r="ED6" i="2" a="1"/>
  <c r="ED6" i="2"/>
  <c r="ED8" i="2" s="1"/>
  <c r="EC6" i="2" a="1"/>
  <c r="EC6" i="2" s="1"/>
  <c r="EB6" i="2" a="1"/>
  <c r="EB6" i="2"/>
  <c r="EA6" i="2" a="1"/>
  <c r="EA6" i="2"/>
  <c r="DZ6" i="2" a="1"/>
  <c r="DZ6" i="2" s="1"/>
  <c r="DY6" i="2" a="1"/>
  <c r="DY6" i="2" s="1"/>
  <c r="DX6" i="2" a="1"/>
  <c r="DX6" i="2"/>
  <c r="DW6" i="2" a="1"/>
  <c r="DW6" i="2"/>
  <c r="DW7" i="2" s="1"/>
  <c r="DV6" i="2" a="1"/>
  <c r="DV6" i="2"/>
  <c r="DV7" i="2" s="1"/>
  <c r="DU6" i="2" a="1"/>
  <c r="DU6" i="2" s="1"/>
  <c r="DU7" i="2" s="1"/>
  <c r="DT6" i="2" a="1"/>
  <c r="DT6" i="2"/>
  <c r="DS6" i="2" a="1"/>
  <c r="DS6" i="2"/>
  <c r="DS8" i="2" s="1"/>
  <c r="DR6" i="2" a="1"/>
  <c r="DR6" i="2" s="1"/>
  <c r="DQ6" i="2" a="1"/>
  <c r="DQ6" i="2" s="1"/>
  <c r="DP6" i="2" a="1"/>
  <c r="DP6" i="2"/>
  <c r="DP7" i="2" s="1"/>
  <c r="DO6" i="2" a="1"/>
  <c r="DO6" i="2"/>
  <c r="DN6" i="2" a="1"/>
  <c r="DN6" i="2" s="1"/>
  <c r="DM6" i="2" a="1"/>
  <c r="DM6" i="2"/>
  <c r="DM8" i="2" s="1"/>
  <c r="DL6" i="2" a="1"/>
  <c r="DL6" i="2" s="1"/>
  <c r="DK6" i="2" a="1"/>
  <c r="DK6" i="2"/>
  <c r="DJ6" i="2" a="1"/>
  <c r="DJ6" i="2" s="1"/>
  <c r="DI6" i="2" a="1"/>
  <c r="DI6" i="2"/>
  <c r="DH6" i="2" a="1"/>
  <c r="DH6" i="2"/>
  <c r="DG6" i="2" a="1"/>
  <c r="DG6" i="2"/>
  <c r="DG8" i="2" s="1"/>
  <c r="DF6" i="2" a="1"/>
  <c r="DF6" i="2"/>
  <c r="DF8" i="2" s="1"/>
  <c r="DE6" i="2" a="1"/>
  <c r="DE6" i="2" s="1"/>
  <c r="DD6" i="2" a="1"/>
  <c r="DD6" i="2"/>
  <c r="DC6" i="2" a="1"/>
  <c r="DC6" i="2" s="1"/>
  <c r="DC7" i="2" s="1"/>
  <c r="DB6" i="2" a="1"/>
  <c r="DB6" i="2"/>
  <c r="DA6" i="2" a="1"/>
  <c r="DA6" i="2"/>
  <c r="DA7" i="2" s="1"/>
  <c r="CZ6" i="2" a="1"/>
  <c r="CZ6" i="2" s="1"/>
  <c r="CY6" i="2" a="1"/>
  <c r="CY6" i="2" s="1"/>
  <c r="CX6" i="2" a="1"/>
  <c r="CX6" i="2"/>
  <c r="CX8" i="2" s="1"/>
  <c r="CW6" i="2" a="1"/>
  <c r="CW6" i="2" s="1"/>
  <c r="CV6" i="2" a="1"/>
  <c r="CV6" i="2"/>
  <c r="CV7" i="2" s="1"/>
  <c r="CU6" i="2" a="1"/>
  <c r="CU6" i="2" s="1"/>
  <c r="CT6" i="2" a="1"/>
  <c r="CT6" i="2"/>
  <c r="CT7" i="2" s="1"/>
  <c r="CS6" i="2" a="1"/>
  <c r="CS6" i="2" s="1"/>
  <c r="CS7" i="2" s="1"/>
  <c r="CR6" i="2" a="1"/>
  <c r="CR6" i="2" s="1"/>
  <c r="CQ6" i="2" a="1"/>
  <c r="CQ6" i="2"/>
  <c r="CQ8" i="2" s="1"/>
  <c r="CP6" i="2" a="1"/>
  <c r="CP6" i="2"/>
  <c r="CP8" i="2" s="1"/>
  <c r="CO6" i="2" a="1"/>
  <c r="CO6" i="2"/>
  <c r="CO7" i="2" s="1"/>
  <c r="CN6" i="2" a="1"/>
  <c r="CN6" i="2" s="1"/>
  <c r="CM6" i="2" a="1"/>
  <c r="CM6" i="2"/>
  <c r="CL6" i="2" a="1"/>
  <c r="CL6" i="2" s="1"/>
  <c r="CL7" i="2" s="1"/>
  <c r="CK6" i="2" a="1"/>
  <c r="CK6" i="2" s="1"/>
  <c r="CJ6" i="2" a="1"/>
  <c r="CJ6" i="2" s="1"/>
  <c r="CJ8" i="2" s="1"/>
  <c r="CI6" i="2" a="1"/>
  <c r="CI6" i="2"/>
  <c r="CI8" i="2" s="1"/>
  <c r="CH6" i="2" a="1"/>
  <c r="CH6" i="2"/>
  <c r="CH7" i="2" s="1"/>
  <c r="CG6" i="2" a="1"/>
  <c r="CG6" i="2" s="1"/>
  <c r="CF6" i="2" a="1"/>
  <c r="CF6" i="2"/>
  <c r="CE6" i="2" a="1"/>
  <c r="CE6" i="2"/>
  <c r="CE7" i="2" s="1"/>
  <c r="CD6" i="2" a="1"/>
  <c r="CD6" i="2"/>
  <c r="CD7" i="2" s="1"/>
  <c r="CC6" i="2" a="1"/>
  <c r="CC6" i="2" s="1"/>
  <c r="CC7" i="2" s="1"/>
  <c r="CB6" i="2" a="1"/>
  <c r="CB6" i="2"/>
  <c r="CA6" i="2" a="1"/>
  <c r="CA6" i="2"/>
  <c r="BZ6" i="2" a="1"/>
  <c r="BZ6" i="2"/>
  <c r="BZ8" i="2" s="1"/>
  <c r="BY6" i="2" a="1"/>
  <c r="BY6" i="2" s="1"/>
  <c r="BX6" i="2" a="1"/>
  <c r="BX6" i="2" s="1"/>
  <c r="BX8" i="2" s="1"/>
  <c r="BW6" i="2" a="1"/>
  <c r="BW6" i="2"/>
  <c r="BV6" i="2" a="1"/>
  <c r="BV6" i="2" s="1"/>
  <c r="BU6" i="2" a="1"/>
  <c r="BU6" i="2"/>
  <c r="BU8" i="2" s="1"/>
  <c r="BT6" i="2" a="1"/>
  <c r="BT6" i="2"/>
  <c r="BS6" i="2" a="1"/>
  <c r="BS6" i="2"/>
  <c r="BR6" i="2" a="1"/>
  <c r="BR6" i="2" s="1"/>
  <c r="BQ6" i="2" a="1"/>
  <c r="BQ6" i="2"/>
  <c r="BQ7" i="2" s="1"/>
  <c r="BP6" i="2" a="1"/>
  <c r="BP6" i="2"/>
  <c r="BP7" i="2" s="1"/>
  <c r="BO6" i="2" a="1"/>
  <c r="BO6" i="2"/>
  <c r="BN6" i="2" a="1"/>
  <c r="BN6" i="2"/>
  <c r="BN8" i="2" s="1"/>
  <c r="BM6" i="2" a="1"/>
  <c r="BM6" i="2"/>
  <c r="BM8" i="2" s="1"/>
  <c r="BL6" i="2" a="1"/>
  <c r="BL6" i="2" s="1"/>
  <c r="BL7" i="2" s="1"/>
  <c r="BK6" i="2" a="1"/>
  <c r="BK6" i="2" s="1"/>
  <c r="BK8" i="2" s="1"/>
  <c r="BJ6" i="2" a="1"/>
  <c r="BJ6" i="2"/>
  <c r="BI6" i="2" a="1"/>
  <c r="BI6" i="2"/>
  <c r="BH6" i="2" a="1"/>
  <c r="BH6" i="2"/>
  <c r="BH7" i="2" s="1"/>
  <c r="BG6" i="2" a="1"/>
  <c r="BG6" i="2" s="1"/>
  <c r="BG7" i="2" s="1"/>
  <c r="BF6" i="2" a="1"/>
  <c r="BF6" i="2"/>
  <c r="BF7" i="2" s="1"/>
  <c r="BE6" i="2" a="1"/>
  <c r="BE6" i="2"/>
  <c r="BE7" i="2" s="1"/>
  <c r="BD6" i="2" a="1"/>
  <c r="BD6" i="2"/>
  <c r="BD7" i="2" s="1"/>
  <c r="BC6" i="2" a="1"/>
  <c r="BC6" i="2" s="1"/>
  <c r="BB6" i="2" a="1"/>
  <c r="BB6" i="2"/>
  <c r="BA6" i="2" a="1"/>
  <c r="BA6" i="2"/>
  <c r="BA7" i="2" s="1"/>
  <c r="AZ6" i="2" a="1"/>
  <c r="AZ6" i="2" s="1"/>
  <c r="AY6" i="2" a="1"/>
  <c r="AY6" i="2"/>
  <c r="AY8" i="2" s="1"/>
  <c r="AX6" i="2" a="1"/>
  <c r="AX6" i="2"/>
  <c r="AX8" i="2" s="1"/>
  <c r="AW6" i="2" a="1"/>
  <c r="AW6" i="2"/>
  <c r="AV6" i="2" a="1"/>
  <c r="AV6" i="2" s="1"/>
  <c r="AU6" i="2" a="1"/>
  <c r="AU6" i="2"/>
  <c r="AT6" i="2" a="1"/>
  <c r="AT6" i="2"/>
  <c r="AT8" i="2" s="1"/>
  <c r="AS6" i="2" a="1"/>
  <c r="AS6" i="2"/>
  <c r="AR6" i="2" a="1"/>
  <c r="AR6" i="2"/>
  <c r="AQ6" i="2" a="1"/>
  <c r="AQ6" i="2" s="1"/>
  <c r="AP6" i="2" a="1"/>
  <c r="AP6" i="2"/>
  <c r="AO6" i="2" a="1"/>
  <c r="AO6" i="2" s="1"/>
  <c r="AO8" i="2" s="1"/>
  <c r="AN6" i="2" a="1"/>
  <c r="AN6" i="2"/>
  <c r="AM6" i="2" a="1"/>
  <c r="AM6" i="2"/>
  <c r="AM7" i="2" s="1"/>
  <c r="AL6" i="2" a="1"/>
  <c r="AL6" i="2"/>
  <c r="AL7" i="2" s="1"/>
  <c r="AK6" i="2" a="1"/>
  <c r="AK6" i="2" s="1"/>
  <c r="AJ6" i="2" a="1"/>
  <c r="AJ6" i="2"/>
  <c r="AJ8" i="2" s="1"/>
  <c r="AI6" i="2" a="1"/>
  <c r="AI6" i="2"/>
  <c r="AH6" i="2" a="1"/>
  <c r="AH6" i="2"/>
  <c r="AH7" i="2" s="1"/>
  <c r="AG6" i="2" a="1"/>
  <c r="AG6" i="2"/>
  <c r="AG8" i="2" s="1"/>
  <c r="AF6" i="2" a="1"/>
  <c r="AF6" i="2"/>
  <c r="AF7" i="2" s="1"/>
  <c r="AE6" i="2" a="1"/>
  <c r="AE6" i="2" s="1"/>
  <c r="AD6" i="2" a="1"/>
  <c r="AD6" i="2" s="1"/>
  <c r="AC6" i="2" a="1"/>
  <c r="AC6" i="2"/>
  <c r="AC8" i="2" s="1"/>
  <c r="AB6" i="2" a="1"/>
  <c r="AB6" i="2" s="1"/>
  <c r="AB8" i="2" s="1"/>
  <c r="AA6" i="2" a="1"/>
  <c r="AA6" i="2"/>
  <c r="Z6" i="2" a="1"/>
  <c r="Z6" i="2" s="1"/>
  <c r="Z8" i="2" s="1"/>
  <c r="Y6" i="2" a="1"/>
  <c r="Y6" i="2"/>
  <c r="Y8" i="2" s="1"/>
  <c r="X6" i="2" a="1"/>
  <c r="X6" i="2" s="1"/>
  <c r="W6" i="2" a="1"/>
  <c r="W6" i="2"/>
  <c r="W7" i="2" s="1"/>
  <c r="V6" i="2" a="1"/>
  <c r="V6" i="2"/>
  <c r="V8" i="2" s="1"/>
  <c r="U6" i="2" a="1"/>
  <c r="U6" i="2"/>
  <c r="U8" i="2" s="1"/>
  <c r="T6" i="2" a="1"/>
  <c r="T6" i="2"/>
  <c r="T7" i="2" s="1"/>
  <c r="S6" i="2" a="1"/>
  <c r="S6" i="2" s="1"/>
  <c r="S7" i="2" s="1"/>
  <c r="R6" i="2" a="1"/>
  <c r="R6" i="2"/>
  <c r="Q6" i="2" a="1"/>
  <c r="Q6" i="2"/>
  <c r="P6" i="2" a="1"/>
  <c r="P6" i="2" s="1"/>
  <c r="O6" i="2" a="1"/>
  <c r="O6" i="2" s="1"/>
  <c r="O7" i="2" s="1"/>
  <c r="N6" i="2" a="1"/>
  <c r="N6" i="2"/>
  <c r="M6" i="2" a="1"/>
  <c r="M6" i="2"/>
  <c r="M7" i="2" s="1"/>
  <c r="L6" i="2" a="1"/>
  <c r="L6" i="2" s="1"/>
  <c r="L7" i="2" s="1"/>
  <c r="K6" i="2" a="1"/>
  <c r="K6" i="2"/>
  <c r="J6" i="2" a="1"/>
  <c r="J6" i="2"/>
  <c r="J7" i="2" s="1"/>
  <c r="I6" i="2" a="1"/>
  <c r="I6" i="2"/>
  <c r="H6" i="2" a="1"/>
  <c r="H6" i="2" s="1"/>
  <c r="G6" i="2" a="1"/>
  <c r="G6" i="2"/>
  <c r="G8" i="2" s="1"/>
  <c r="F6" i="2" a="1"/>
  <c r="F6" i="2"/>
  <c r="F8" i="2" s="1"/>
  <c r="E6" i="2" a="1"/>
  <c r="E6" i="2"/>
  <c r="E7" i="2" s="1"/>
  <c r="D6" i="2" a="1"/>
  <c r="D6" i="2" s="1"/>
  <c r="C6" i="2" a="1"/>
  <c r="C6" i="2"/>
  <c r="EN25" i="1"/>
  <c r="EM25" i="1"/>
  <c r="EO25" i="1" s="1"/>
  <c r="EN24" i="1"/>
  <c r="EO24" i="1" s="1"/>
  <c r="EM24" i="1"/>
  <c r="B24" i="1"/>
  <c r="EN23" i="1"/>
  <c r="EM23" i="1"/>
  <c r="EO23" i="1" s="1"/>
  <c r="B23" i="1"/>
  <c r="EN22" i="1"/>
  <c r="EM22" i="1"/>
  <c r="EO22" i="1" s="1"/>
  <c r="B22" i="1"/>
  <c r="EN21" i="1"/>
  <c r="EM21" i="1"/>
  <c r="EO21" i="1" s="1"/>
  <c r="B21" i="1"/>
  <c r="EN20" i="1"/>
  <c r="EM20" i="1"/>
  <c r="EO20" i="1" s="1"/>
  <c r="B20" i="1"/>
  <c r="EN19" i="1"/>
  <c r="EM19" i="1"/>
  <c r="EO19" i="1" s="1"/>
  <c r="B19" i="1"/>
  <c r="EO18" i="1"/>
  <c r="EN18" i="1"/>
  <c r="EM18" i="1"/>
  <c r="B18" i="1"/>
  <c r="EN17" i="1"/>
  <c r="EO17" i="1" s="1"/>
  <c r="EM17" i="1"/>
  <c r="B17" i="1"/>
  <c r="EN16" i="1"/>
  <c r="EM16" i="1"/>
  <c r="EO16" i="1" s="1"/>
  <c r="B16" i="1"/>
  <c r="EN15" i="1"/>
  <c r="EO15" i="1" s="1"/>
  <c r="EM15" i="1"/>
  <c r="B15" i="1"/>
  <c r="EN14" i="1"/>
  <c r="EO14" i="1" s="1"/>
  <c r="EM14" i="1"/>
  <c r="B14" i="1"/>
  <c r="EN13" i="1"/>
  <c r="EM13" i="1"/>
  <c r="EO13" i="1" s="1"/>
  <c r="B13" i="1"/>
  <c r="EN12" i="1"/>
  <c r="EM12" i="1"/>
  <c r="EO12" i="1" s="1"/>
  <c r="B12" i="1"/>
  <c r="EK8" i="1"/>
  <c r="EA8" i="1"/>
  <c r="DZ8" i="1"/>
  <c r="DY8" i="1"/>
  <c r="DX8" i="1"/>
  <c r="DS8" i="1"/>
  <c r="DR8" i="1"/>
  <c r="DO8" i="1"/>
  <c r="DF8" i="1"/>
  <c r="DE8" i="1"/>
  <c r="DD8" i="1"/>
  <c r="CS8" i="1"/>
  <c r="CR8" i="1"/>
  <c r="CQ8" i="1"/>
  <c r="CP8" i="1"/>
  <c r="CO8" i="1"/>
  <c r="CK8" i="1"/>
  <c r="CH8" i="1"/>
  <c r="CF8" i="1"/>
  <c r="CD8" i="1"/>
  <c r="CB8" i="1"/>
  <c r="BW8" i="1"/>
  <c r="BS8" i="1"/>
  <c r="BR8" i="1"/>
  <c r="BH8" i="1"/>
  <c r="BG8" i="1"/>
  <c r="BF8" i="1"/>
  <c r="BE8" i="1"/>
  <c r="AZ8" i="1"/>
  <c r="AY8" i="1"/>
  <c r="AX8" i="1"/>
  <c r="AP8" i="1"/>
  <c r="AH8" i="1"/>
  <c r="AD8" i="1"/>
  <c r="AA8" i="1"/>
  <c r="X8" i="1"/>
  <c r="V8" i="1"/>
  <c r="U8" i="1"/>
  <c r="T8" i="1"/>
  <c r="Q8" i="1"/>
  <c r="P8" i="1"/>
  <c r="H8" i="1"/>
  <c r="G8" i="1"/>
  <c r="EM7" i="1"/>
  <c r="EL7" i="1"/>
  <c r="EK7" i="1"/>
  <c r="EA7" i="1"/>
  <c r="DW7" i="1"/>
  <c r="DS7" i="1"/>
  <c r="DO7" i="1"/>
  <c r="DN7" i="1"/>
  <c r="DF7" i="1"/>
  <c r="CS7" i="1"/>
  <c r="CR7" i="1"/>
  <c r="CQ7" i="1"/>
  <c r="CP7" i="1"/>
  <c r="CM7" i="1"/>
  <c r="CL7" i="1"/>
  <c r="CK7" i="1"/>
  <c r="CJ7" i="1"/>
  <c r="CI7" i="1"/>
  <c r="CD7" i="1"/>
  <c r="CB7" i="1"/>
  <c r="BW7" i="1"/>
  <c r="BU7" i="1"/>
  <c r="BR7" i="1"/>
  <c r="BG7" i="1"/>
  <c r="BF7" i="1"/>
  <c r="BE7" i="1"/>
  <c r="BC7" i="1"/>
  <c r="BB7" i="1"/>
  <c r="BA7" i="1"/>
  <c r="AX7" i="1"/>
  <c r="AW7" i="1"/>
  <c r="AQ7" i="1"/>
  <c r="AD7" i="1"/>
  <c r="AA7" i="1"/>
  <c r="X7" i="1"/>
  <c r="W7" i="1"/>
  <c r="V7" i="1"/>
  <c r="U7" i="1"/>
  <c r="Q7" i="1"/>
  <c r="O7" i="1"/>
  <c r="N7" i="1"/>
  <c r="K7" i="1"/>
  <c r="H7" i="1"/>
  <c r="G7" i="1"/>
  <c r="F7" i="1"/>
  <c r="E7" i="1"/>
  <c r="D7" i="1"/>
  <c r="EM6" i="1" a="1"/>
  <c r="EM6" i="1"/>
  <c r="EM8" i="1" s="1"/>
  <c r="EL6" i="1" a="1"/>
  <c r="EL6" i="1" s="1"/>
  <c r="EL8" i="1" s="1"/>
  <c r="EK6" i="1" a="1"/>
  <c r="EK6" i="1"/>
  <c r="EJ6" i="1" a="1"/>
  <c r="EJ6" i="1"/>
  <c r="EJ8" i="1" s="1"/>
  <c r="EI6" i="1" a="1"/>
  <c r="EI6" i="1" s="1"/>
  <c r="EI8" i="1" s="1"/>
  <c r="EH6" i="1" a="1"/>
  <c r="EH6" i="1"/>
  <c r="EH8" i="1" s="1"/>
  <c r="EG6" i="1" a="1"/>
  <c r="EG6" i="1"/>
  <c r="EG8" i="1" s="1"/>
  <c r="EF6" i="1" a="1"/>
  <c r="EF6" i="1" s="1"/>
  <c r="EE6" i="1" a="1"/>
  <c r="EE6" i="1" s="1"/>
  <c r="ED6" i="1" a="1"/>
  <c r="ED6" i="1"/>
  <c r="EC6" i="1" a="1"/>
  <c r="EC6" i="1"/>
  <c r="EC7" i="1" s="1"/>
  <c r="EB6" i="1" a="1"/>
  <c r="EB6" i="1"/>
  <c r="EB8" i="1" s="1"/>
  <c r="EA6" i="1" a="1"/>
  <c r="EA6" i="1" s="1"/>
  <c r="DZ6" i="1" a="1"/>
  <c r="DZ6" i="1"/>
  <c r="DZ7" i="1" s="1"/>
  <c r="DY6" i="1" a="1"/>
  <c r="DY6" i="1"/>
  <c r="DY7" i="1" s="1"/>
  <c r="DX6" i="1" a="1"/>
  <c r="DX6" i="1" s="1"/>
  <c r="DX7" i="1" s="1"/>
  <c r="DW6" i="1" a="1"/>
  <c r="DW6" i="1"/>
  <c r="DW8" i="1" s="1"/>
  <c r="DV6" i="1" a="1"/>
  <c r="DV6" i="1"/>
  <c r="DV8" i="1" s="1"/>
  <c r="DU6" i="1" a="1"/>
  <c r="DU6" i="1"/>
  <c r="DU8" i="1" s="1"/>
  <c r="DT6" i="1" a="1"/>
  <c r="DT6" i="1"/>
  <c r="DT7" i="1" s="1"/>
  <c r="DS6" i="1" a="1"/>
  <c r="DS6" i="1" s="1"/>
  <c r="DR6" i="1" a="1"/>
  <c r="DR6" i="1"/>
  <c r="DR7" i="1" s="1"/>
  <c r="DQ6" i="1" a="1"/>
  <c r="DQ6" i="1"/>
  <c r="DP6" i="1" a="1"/>
  <c r="DP6" i="1" s="1"/>
  <c r="DO6" i="1" a="1"/>
  <c r="DO6" i="1"/>
  <c r="DN6" i="1" a="1"/>
  <c r="DN6" i="1"/>
  <c r="DN8" i="1" s="1"/>
  <c r="DM6" i="1" a="1"/>
  <c r="DM6" i="1" s="1"/>
  <c r="DM7" i="1" s="1"/>
  <c r="DL6" i="1" a="1"/>
  <c r="DL6" i="1"/>
  <c r="DL8" i="1" s="1"/>
  <c r="DK6" i="1" a="1"/>
  <c r="DK6" i="1"/>
  <c r="DK7" i="1" s="1"/>
  <c r="DJ6" i="1" a="1"/>
  <c r="DJ6" i="1"/>
  <c r="DJ8" i="1" s="1"/>
  <c r="DI6" i="1" a="1"/>
  <c r="DI6" i="1"/>
  <c r="DI8" i="1" s="1"/>
  <c r="DH6" i="1" a="1"/>
  <c r="DH6" i="1"/>
  <c r="DH8" i="1" s="1"/>
  <c r="DG6" i="1" a="1"/>
  <c r="DG6" i="1" s="1"/>
  <c r="DG8" i="1" s="1"/>
  <c r="DF6" i="1" a="1"/>
  <c r="DF6" i="1"/>
  <c r="DE6" i="1" a="1"/>
  <c r="DE6" i="1" s="1"/>
  <c r="DE7" i="1" s="1"/>
  <c r="DD6" i="1" a="1"/>
  <c r="DD6" i="1"/>
  <c r="DD7" i="1" s="1"/>
  <c r="DC6" i="1" a="1"/>
  <c r="DC6" i="1"/>
  <c r="DC7" i="1" s="1"/>
  <c r="DB6" i="1" a="1"/>
  <c r="DB6" i="1" s="1"/>
  <c r="DB7" i="1" s="1"/>
  <c r="DA6" i="1" a="1"/>
  <c r="DA6" i="1"/>
  <c r="DA7" i="1" s="1"/>
  <c r="CZ6" i="1" a="1"/>
  <c r="CZ6" i="1"/>
  <c r="CZ7" i="1" s="1"/>
  <c r="CY6" i="1" a="1"/>
  <c r="CY6" i="1"/>
  <c r="CY7" i="1" s="1"/>
  <c r="CX6" i="1" a="1"/>
  <c r="CX6" i="1"/>
  <c r="CX7" i="1" s="1"/>
  <c r="CW6" i="1" a="1"/>
  <c r="CW6" i="1"/>
  <c r="CV6" i="1" a="1"/>
  <c r="CV6" i="1"/>
  <c r="CU6" i="1" a="1"/>
  <c r="CU6" i="1" s="1"/>
  <c r="CU8" i="1" s="1"/>
  <c r="CT6" i="1" a="1"/>
  <c r="CT6" i="1" s="1"/>
  <c r="CT8" i="1" s="1"/>
  <c r="CS6" i="1" a="1"/>
  <c r="CS6" i="1"/>
  <c r="CR6" i="1" a="1"/>
  <c r="CR6" i="1"/>
  <c r="CQ6" i="1" a="1"/>
  <c r="CQ6" i="1" s="1"/>
  <c r="CP6" i="1" a="1"/>
  <c r="CP6" i="1"/>
  <c r="CO6" i="1" a="1"/>
  <c r="CO6" i="1"/>
  <c r="CO7" i="1" s="1"/>
  <c r="CN6" i="1" a="1"/>
  <c r="CN6" i="1"/>
  <c r="CM6" i="1" a="1"/>
  <c r="CM6" i="1"/>
  <c r="CM8" i="1" s="1"/>
  <c r="CL6" i="1" a="1"/>
  <c r="CL6" i="1"/>
  <c r="CL8" i="1" s="1"/>
  <c r="CK6" i="1" a="1"/>
  <c r="CK6" i="1"/>
  <c r="CJ6" i="1" a="1"/>
  <c r="CJ6" i="1"/>
  <c r="CJ8" i="1" s="1"/>
  <c r="CI6" i="1" a="1"/>
  <c r="CI6" i="1" s="1"/>
  <c r="CI8" i="1" s="1"/>
  <c r="CH6" i="1" a="1"/>
  <c r="CH6" i="1"/>
  <c r="CH7" i="1" s="1"/>
  <c r="CG6" i="1" a="1"/>
  <c r="CG6" i="1"/>
  <c r="CF6" i="1" a="1"/>
  <c r="CF6" i="1" s="1"/>
  <c r="CF7" i="1" s="1"/>
  <c r="CE6" i="1" a="1"/>
  <c r="CE6" i="1"/>
  <c r="CE8" i="1" s="1"/>
  <c r="CD6" i="1" a="1"/>
  <c r="CD6" i="1"/>
  <c r="CC6" i="1" a="1"/>
  <c r="CC6" i="1" s="1"/>
  <c r="CB6" i="1" a="1"/>
  <c r="CB6" i="1"/>
  <c r="CA6" i="1" a="1"/>
  <c r="CA6" i="1"/>
  <c r="CA7" i="1" s="1"/>
  <c r="BZ6" i="1" a="1"/>
  <c r="BZ6" i="1"/>
  <c r="BY6" i="1" a="1"/>
  <c r="BY6" i="1"/>
  <c r="BX6" i="1" a="1"/>
  <c r="BX6" i="1" s="1"/>
  <c r="BX8" i="1" s="1"/>
  <c r="BW6" i="1" a="1"/>
  <c r="BW6" i="1"/>
  <c r="BV6" i="1" a="1"/>
  <c r="BV6" i="1"/>
  <c r="BV8" i="1" s="1"/>
  <c r="BU6" i="1" a="1"/>
  <c r="BU6" i="1" s="1"/>
  <c r="BU8" i="1" s="1"/>
  <c r="BT6" i="1" a="1"/>
  <c r="BT6" i="1"/>
  <c r="BS6" i="1" a="1"/>
  <c r="BS6" i="1"/>
  <c r="BS7" i="1" s="1"/>
  <c r="BR6" i="1" a="1"/>
  <c r="BR6" i="1"/>
  <c r="BQ6" i="1" a="1"/>
  <c r="BQ6" i="1" s="1"/>
  <c r="BP6" i="1" a="1"/>
  <c r="BP6" i="1"/>
  <c r="BP8" i="1" s="1"/>
  <c r="BO6" i="1" a="1"/>
  <c r="BO6" i="1"/>
  <c r="BO8" i="1" s="1"/>
  <c r="BN6" i="1" a="1"/>
  <c r="BN6" i="1"/>
  <c r="BN8" i="1" s="1"/>
  <c r="BM6" i="1" a="1"/>
  <c r="BM6" i="1" s="1"/>
  <c r="BM8" i="1" s="1"/>
  <c r="BL6" i="1" a="1"/>
  <c r="BL6" i="1" s="1"/>
  <c r="BK6" i="1" a="1"/>
  <c r="BK6" i="1"/>
  <c r="BK7" i="1" s="1"/>
  <c r="BJ6" i="1" a="1"/>
  <c r="BJ6" i="1" s="1"/>
  <c r="BJ7" i="1" s="1"/>
  <c r="BI6" i="1" a="1"/>
  <c r="BI6" i="1"/>
  <c r="BI7" i="1" s="1"/>
  <c r="BH6" i="1" a="1"/>
  <c r="BH6" i="1"/>
  <c r="BH7" i="1" s="1"/>
  <c r="BG6" i="1" a="1"/>
  <c r="BG6" i="1"/>
  <c r="BF6" i="1" a="1"/>
  <c r="BF6" i="1"/>
  <c r="BE6" i="1" a="1"/>
  <c r="BE6" i="1"/>
  <c r="BD6" i="1" a="1"/>
  <c r="BD6" i="1"/>
  <c r="BC6" i="1" a="1"/>
  <c r="BC6" i="1"/>
  <c r="BC8" i="1" s="1"/>
  <c r="BB6" i="1" a="1"/>
  <c r="BB6" i="1" s="1"/>
  <c r="BB8" i="1" s="1"/>
  <c r="BA6" i="1" a="1"/>
  <c r="BA6" i="1" s="1"/>
  <c r="BA8" i="1" s="1"/>
  <c r="AZ6" i="1" a="1"/>
  <c r="AZ6" i="1"/>
  <c r="AZ7" i="1" s="1"/>
  <c r="AY6" i="1" a="1"/>
  <c r="AY6" i="1"/>
  <c r="AY7" i="1" s="1"/>
  <c r="AX6" i="1" a="1"/>
  <c r="AX6" i="1" s="1"/>
  <c r="AW6" i="1" a="1"/>
  <c r="AW6" i="1"/>
  <c r="AW8" i="1" s="1"/>
  <c r="AV6" i="1" a="1"/>
  <c r="AV6" i="1" s="1"/>
  <c r="AU6" i="1" a="1"/>
  <c r="AU6" i="1"/>
  <c r="AU8" i="1" s="1"/>
  <c r="AT6" i="1" a="1"/>
  <c r="AT6" i="1" s="1"/>
  <c r="AT7" i="1" s="1"/>
  <c r="AS6" i="1" a="1"/>
  <c r="AS6" i="1"/>
  <c r="AR6" i="1" a="1"/>
  <c r="AR6" i="1"/>
  <c r="AR8" i="1" s="1"/>
  <c r="AQ6" i="1" a="1"/>
  <c r="AQ6" i="1"/>
  <c r="AQ8" i="1" s="1"/>
  <c r="AP6" i="1" a="1"/>
  <c r="AP6" i="1" s="1"/>
  <c r="AP7" i="1" s="1"/>
  <c r="AO6" i="1" a="1"/>
  <c r="AO6" i="1"/>
  <c r="AO7" i="1" s="1"/>
  <c r="AN6" i="1" a="1"/>
  <c r="AN6" i="1"/>
  <c r="AN7" i="1" s="1"/>
  <c r="AM6" i="1" a="1"/>
  <c r="AM6" i="1"/>
  <c r="AM7" i="1" s="1"/>
  <c r="AL6" i="1" a="1"/>
  <c r="AL6" i="1"/>
  <c r="AL8" i="1" s="1"/>
  <c r="AK6" i="1" a="1"/>
  <c r="AK6" i="1"/>
  <c r="AK7" i="1" s="1"/>
  <c r="AJ6" i="1" a="1"/>
  <c r="AJ6" i="1" s="1"/>
  <c r="AI6" i="1" a="1"/>
  <c r="AI6" i="1"/>
  <c r="AI7" i="1" s="1"/>
  <c r="AH6" i="1" a="1"/>
  <c r="AH6" i="1"/>
  <c r="AH7" i="1" s="1"/>
  <c r="AG6" i="1" a="1"/>
  <c r="AG6" i="1"/>
  <c r="AG8" i="1" s="1"/>
  <c r="AF6" i="1" a="1"/>
  <c r="AF6" i="1" s="1"/>
  <c r="AE6" i="1" a="1"/>
  <c r="AE6" i="1" s="1"/>
  <c r="AD6" i="1" a="1"/>
  <c r="AD6" i="1"/>
  <c r="AC6" i="1" a="1"/>
  <c r="AC6" i="1"/>
  <c r="AC8" i="1" s="1"/>
  <c r="AB6" i="1" a="1"/>
  <c r="AB6" i="1"/>
  <c r="AB8" i="1" s="1"/>
  <c r="AA6" i="1" a="1"/>
  <c r="AA6" i="1"/>
  <c r="Z6" i="1" a="1"/>
  <c r="Z6" i="1"/>
  <c r="Z7" i="1" s="1"/>
  <c r="Y6" i="1" a="1"/>
  <c r="Y6" i="1"/>
  <c r="X6" i="1" a="1"/>
  <c r="X6" i="1"/>
  <c r="W6" i="1" a="1"/>
  <c r="W6" i="1" s="1"/>
  <c r="W8" i="1" s="1"/>
  <c r="V6" i="1" a="1"/>
  <c r="V6" i="1"/>
  <c r="U6" i="1" a="1"/>
  <c r="U6" i="1"/>
  <c r="T6" i="1" a="1"/>
  <c r="T6" i="1" s="1"/>
  <c r="T7" i="1" s="1"/>
  <c r="S6" i="1" a="1"/>
  <c r="S6" i="1"/>
  <c r="S7" i="1" s="1"/>
  <c r="R6" i="1" a="1"/>
  <c r="R6" i="1"/>
  <c r="Q6" i="1" a="1"/>
  <c r="Q6" i="1"/>
  <c r="P6" i="1" a="1"/>
  <c r="P6" i="1"/>
  <c r="P7" i="1" s="1"/>
  <c r="O6" i="1" a="1"/>
  <c r="O6" i="1"/>
  <c r="O8" i="1" s="1"/>
  <c r="N6" i="1" a="1"/>
  <c r="N6" i="1"/>
  <c r="N8" i="1" s="1"/>
  <c r="M6" i="1" a="1"/>
  <c r="M6" i="1"/>
  <c r="M8" i="1" s="1"/>
  <c r="L6" i="1" a="1"/>
  <c r="L6" i="1"/>
  <c r="K6" i="1" a="1"/>
  <c r="K6" i="1"/>
  <c r="K8" i="1" s="1"/>
  <c r="J6" i="1" a="1"/>
  <c r="J6" i="1"/>
  <c r="J8" i="1" s="1"/>
  <c r="I6" i="1" a="1"/>
  <c r="I6" i="1" s="1"/>
  <c r="H6" i="1" a="1"/>
  <c r="H6" i="1"/>
  <c r="G6" i="1" a="1"/>
  <c r="G6" i="1" s="1"/>
  <c r="F6" i="1" a="1"/>
  <c r="F6" i="1"/>
  <c r="F8" i="1" s="1"/>
  <c r="E6" i="1" a="1"/>
  <c r="E6" i="1"/>
  <c r="E8" i="1" s="1"/>
  <c r="D6" i="1" a="1"/>
  <c r="D6" i="1" s="1"/>
  <c r="D8" i="1" s="1"/>
  <c r="C6" i="1" a="1"/>
  <c r="C6" i="1"/>
  <c r="C8" i="1" s="1"/>
  <c r="AV7" i="1" l="1"/>
  <c r="AV8" i="1"/>
  <c r="DU7" i="4"/>
  <c r="DU8" i="4"/>
  <c r="AJ7" i="1"/>
  <c r="AJ8" i="1"/>
  <c r="DR8" i="2"/>
  <c r="DR7" i="2"/>
  <c r="CC8" i="1"/>
  <c r="CC7" i="1"/>
  <c r="AE7" i="2"/>
  <c r="AE8" i="2"/>
  <c r="CZ7" i="2"/>
  <c r="CZ8" i="2"/>
  <c r="T7" i="4"/>
  <c r="T8" i="4"/>
  <c r="G8" i="4"/>
  <c r="G7" i="4"/>
  <c r="BC8" i="2"/>
  <c r="BC7" i="2"/>
  <c r="AQ8" i="2"/>
  <c r="AQ7" i="2"/>
  <c r="AF8" i="1"/>
  <c r="AF7" i="1"/>
  <c r="EF8" i="1"/>
  <c r="EF7" i="1"/>
  <c r="CM7" i="4"/>
  <c r="CM8" i="4"/>
  <c r="BQ8" i="1"/>
  <c r="BQ7" i="1"/>
  <c r="AD8" i="7"/>
  <c r="AD7" i="7"/>
  <c r="DZ8" i="2"/>
  <c r="DZ7" i="2"/>
  <c r="EI7" i="4"/>
  <c r="EI8" i="4"/>
  <c r="Y8" i="1"/>
  <c r="Y7" i="1"/>
  <c r="AV7" i="3"/>
  <c r="AV8" i="3"/>
  <c r="DF7" i="2"/>
  <c r="E8" i="2"/>
  <c r="M7" i="4"/>
  <c r="M8" i="4"/>
  <c r="CV7" i="1"/>
  <c r="CV8" i="1"/>
  <c r="EE8" i="2"/>
  <c r="BA8" i="4"/>
  <c r="BA7" i="4"/>
  <c r="BN8" i="4"/>
  <c r="BN7" i="4"/>
  <c r="CA7" i="4"/>
  <c r="CA8" i="4"/>
  <c r="W8" i="7"/>
  <c r="W7" i="7"/>
  <c r="DL7" i="7"/>
  <c r="DL8" i="7"/>
  <c r="DZ8" i="7"/>
  <c r="DZ7" i="7"/>
  <c r="O8" i="3"/>
  <c r="AP7" i="4"/>
  <c r="AP8" i="4"/>
  <c r="CB8" i="4"/>
  <c r="CB7" i="4"/>
  <c r="BM7" i="7"/>
  <c r="BM8" i="7"/>
  <c r="CM7" i="7"/>
  <c r="CM8" i="7"/>
  <c r="C24" i="8"/>
  <c r="BE8" i="2"/>
  <c r="AB7" i="3"/>
  <c r="BO7" i="4"/>
  <c r="H8" i="7"/>
  <c r="H7" i="7"/>
  <c r="BZ8" i="7"/>
  <c r="BZ7" i="7"/>
  <c r="Z8" i="1"/>
  <c r="H8" i="2"/>
  <c r="H7" i="2"/>
  <c r="R8" i="3"/>
  <c r="R7" i="3"/>
  <c r="AQ7" i="4"/>
  <c r="AQ8" i="4"/>
  <c r="ED7" i="4"/>
  <c r="ED8" i="4"/>
  <c r="BZ7" i="1"/>
  <c r="BZ8" i="1"/>
  <c r="EB7" i="1"/>
  <c r="BI8" i="1"/>
  <c r="EJ8" i="2"/>
  <c r="EJ7" i="2"/>
  <c r="AG7" i="2"/>
  <c r="S8" i="2"/>
  <c r="AG7" i="3"/>
  <c r="BU7" i="3"/>
  <c r="EM16" i="3"/>
  <c r="EN16" i="3" s="1"/>
  <c r="AC8" i="4"/>
  <c r="J8" i="7"/>
  <c r="J7" i="7"/>
  <c r="AB7" i="1"/>
  <c r="BM7" i="1"/>
  <c r="BJ8" i="1"/>
  <c r="EK8" i="2"/>
  <c r="EK7" i="2"/>
  <c r="T8" i="2"/>
  <c r="DA8" i="2"/>
  <c r="H7" i="3"/>
  <c r="H8" i="3"/>
  <c r="S8" i="3"/>
  <c r="S7" i="3"/>
  <c r="DN7" i="3"/>
  <c r="DN8" i="3"/>
  <c r="DJ7" i="3"/>
  <c r="DA8" i="3"/>
  <c r="Q7" i="4"/>
  <c r="Q8" i="4"/>
  <c r="Z7" i="4"/>
  <c r="AD8" i="4"/>
  <c r="AC7" i="1"/>
  <c r="BN7" i="1"/>
  <c r="CT7" i="1"/>
  <c r="EG7" i="1"/>
  <c r="BK8" i="1"/>
  <c r="EC8" i="1"/>
  <c r="CW7" i="2"/>
  <c r="CW8" i="2"/>
  <c r="W8" i="2"/>
  <c r="BN8" i="3"/>
  <c r="EM14" i="3"/>
  <c r="EN14" i="3" s="1"/>
  <c r="AA7" i="4"/>
  <c r="BV7" i="4"/>
  <c r="DZ8" i="4"/>
  <c r="L7" i="7"/>
  <c r="L8" i="7"/>
  <c r="DC8" i="7"/>
  <c r="DC7" i="7"/>
  <c r="ED7" i="7"/>
  <c r="ED8" i="7"/>
  <c r="BY7" i="7"/>
  <c r="R7" i="1"/>
  <c r="R8" i="1"/>
  <c r="BO7" i="1"/>
  <c r="CU7" i="1"/>
  <c r="EH7" i="1"/>
  <c r="CX8" i="1"/>
  <c r="BI7" i="2"/>
  <c r="BI8" i="2"/>
  <c r="EL8" i="2"/>
  <c r="EL7" i="2"/>
  <c r="AN7" i="3"/>
  <c r="DL7" i="3"/>
  <c r="DF7" i="4"/>
  <c r="DF8" i="4"/>
  <c r="BW7" i="4"/>
  <c r="EA7" i="4"/>
  <c r="BB8" i="7"/>
  <c r="BB7" i="7"/>
  <c r="CC8" i="7"/>
  <c r="CC7" i="7"/>
  <c r="DD7" i="7"/>
  <c r="DD8" i="7"/>
  <c r="DR8" i="7"/>
  <c r="DR7" i="7"/>
  <c r="EE7" i="7"/>
  <c r="EE8" i="7"/>
  <c r="CN8" i="1"/>
  <c r="CN7" i="1"/>
  <c r="BP7" i="1"/>
  <c r="EI7" i="1"/>
  <c r="CY8" i="1"/>
  <c r="AK7" i="2"/>
  <c r="AK8" i="2"/>
  <c r="BV8" i="2"/>
  <c r="BV7" i="2"/>
  <c r="AO7" i="2"/>
  <c r="DS7" i="2"/>
  <c r="AO7" i="3"/>
  <c r="BY7" i="3"/>
  <c r="DQ7" i="3"/>
  <c r="Z8" i="3"/>
  <c r="AG8" i="4"/>
  <c r="AG7" i="4"/>
  <c r="AT8" i="4"/>
  <c r="AT7" i="4"/>
  <c r="DG8" i="4"/>
  <c r="DG7" i="4"/>
  <c r="EH8" i="4"/>
  <c r="EH7" i="4"/>
  <c r="BC8" i="7"/>
  <c r="BC7" i="7"/>
  <c r="BQ7" i="7"/>
  <c r="BQ8" i="7"/>
  <c r="AE8" i="1"/>
  <c r="AE7" i="1"/>
  <c r="BD7" i="1"/>
  <c r="BD8" i="1"/>
  <c r="AG7" i="1"/>
  <c r="EJ7" i="1"/>
  <c r="AI8" i="1"/>
  <c r="CZ8" i="1"/>
  <c r="BW7" i="2"/>
  <c r="BW8" i="2"/>
  <c r="DY8" i="2"/>
  <c r="DY7" i="2"/>
  <c r="AT7" i="2"/>
  <c r="BP8" i="2"/>
  <c r="AC8" i="3"/>
  <c r="BR8" i="3"/>
  <c r="F7" i="4"/>
  <c r="F8" i="4"/>
  <c r="EC7" i="4"/>
  <c r="BD7" i="7"/>
  <c r="BD8" i="7"/>
  <c r="CD8" i="7"/>
  <c r="CD7" i="7"/>
  <c r="CQ8" i="7"/>
  <c r="CQ7" i="7"/>
  <c r="CH7" i="7"/>
  <c r="C7" i="1"/>
  <c r="DA8" i="1"/>
  <c r="CI7" i="2"/>
  <c r="AF8" i="2"/>
  <c r="BQ8" i="2"/>
  <c r="AR7" i="3"/>
  <c r="CE7" i="3"/>
  <c r="AD8" i="3"/>
  <c r="CN8" i="4"/>
  <c r="CU7" i="7"/>
  <c r="S8" i="7"/>
  <c r="DV8" i="7"/>
  <c r="BT7" i="3"/>
  <c r="BT8" i="3"/>
  <c r="DE8" i="2"/>
  <c r="DE7" i="2"/>
  <c r="AK8" i="3"/>
  <c r="AK7" i="3"/>
  <c r="BG8" i="3"/>
  <c r="BG7" i="3"/>
  <c r="CC7" i="3"/>
  <c r="CC8" i="3"/>
  <c r="CY7" i="3"/>
  <c r="CY8" i="3"/>
  <c r="L8" i="4"/>
  <c r="L7" i="4"/>
  <c r="BZ8" i="4"/>
  <c r="BZ7" i="4"/>
  <c r="AR8" i="2"/>
  <c r="AR7" i="2"/>
  <c r="DT8" i="1"/>
  <c r="DV7" i="1"/>
  <c r="BR7" i="2"/>
  <c r="BR8" i="2"/>
  <c r="BD8" i="2"/>
  <c r="CS8" i="2"/>
  <c r="DB8" i="4"/>
  <c r="DB7" i="4"/>
  <c r="DM7" i="7"/>
  <c r="DM8" i="7"/>
  <c r="BS7" i="2"/>
  <c r="BS8" i="2"/>
  <c r="CT8" i="2"/>
  <c r="BF8" i="2"/>
  <c r="G7" i="3"/>
  <c r="G8" i="3"/>
  <c r="AM8" i="7"/>
  <c r="AM7" i="7"/>
  <c r="AK8" i="1"/>
  <c r="EM7" i="3"/>
  <c r="EM8" i="3"/>
  <c r="CF7" i="3"/>
  <c r="CI8" i="4"/>
  <c r="CI7" i="4"/>
  <c r="CP8" i="4"/>
  <c r="CM7" i="2"/>
  <c r="CM8" i="2"/>
  <c r="EA8" i="2"/>
  <c r="EA7" i="2"/>
  <c r="F7" i="2"/>
  <c r="CQ8" i="4"/>
  <c r="EH7" i="7"/>
  <c r="EH8" i="7"/>
  <c r="AS8" i="1"/>
  <c r="AS7" i="1"/>
  <c r="DP8" i="1"/>
  <c r="DP7" i="1"/>
  <c r="AL7" i="1"/>
  <c r="DH7" i="1"/>
  <c r="AN8" i="1"/>
  <c r="DO8" i="2"/>
  <c r="DO7" i="2"/>
  <c r="BI7" i="4"/>
  <c r="BI8" i="4"/>
  <c r="DJ8" i="4"/>
  <c r="DJ7" i="4"/>
  <c r="DQ8" i="1"/>
  <c r="DQ7" i="1"/>
  <c r="AO8" i="1"/>
  <c r="EB8" i="2"/>
  <c r="EB7" i="2"/>
  <c r="R8" i="7"/>
  <c r="R7" i="7"/>
  <c r="EI8" i="7"/>
  <c r="EI7" i="7"/>
  <c r="ED8" i="1"/>
  <c r="ED7" i="1"/>
  <c r="AM8" i="2"/>
  <c r="CD8" i="2"/>
  <c r="K7" i="3"/>
  <c r="DK8" i="4"/>
  <c r="DK7" i="4"/>
  <c r="BB8" i="4"/>
  <c r="BU7" i="7"/>
  <c r="BU8" i="7"/>
  <c r="BT8" i="1"/>
  <c r="BT7" i="1"/>
  <c r="J7" i="1"/>
  <c r="AT8" i="1"/>
  <c r="DK8" i="1"/>
  <c r="AP7" i="2"/>
  <c r="AP8" i="2"/>
  <c r="AY7" i="3"/>
  <c r="DU8" i="3"/>
  <c r="J8" i="4"/>
  <c r="J7" i="4"/>
  <c r="DL8" i="4"/>
  <c r="DL7" i="4"/>
  <c r="AU7" i="7"/>
  <c r="AU8" i="7"/>
  <c r="L7" i="1"/>
  <c r="L8" i="1"/>
  <c r="AU7" i="1"/>
  <c r="DL7" i="1"/>
  <c r="AZ7" i="3"/>
  <c r="DX8" i="3"/>
  <c r="K7" i="4"/>
  <c r="K8" i="4"/>
  <c r="Y8" i="4"/>
  <c r="Y7" i="4"/>
  <c r="C7" i="4"/>
  <c r="D7" i="7"/>
  <c r="D8" i="7"/>
  <c r="DJ7" i="7"/>
  <c r="DJ8" i="7"/>
  <c r="D8" i="3"/>
  <c r="D7" i="3"/>
  <c r="BM8" i="4"/>
  <c r="BM7" i="4"/>
  <c r="CY7" i="4"/>
  <c r="CY8" i="4"/>
  <c r="CR8" i="2"/>
  <c r="CR7" i="2"/>
  <c r="DU7" i="1"/>
  <c r="AS7" i="2"/>
  <c r="AS8" i="2"/>
  <c r="N8" i="4"/>
  <c r="N7" i="4"/>
  <c r="CW8" i="1"/>
  <c r="CW7" i="1"/>
  <c r="DW7" i="3"/>
  <c r="DW8" i="3"/>
  <c r="EH8" i="3"/>
  <c r="EH7" i="3"/>
  <c r="EA8" i="7"/>
  <c r="EA7" i="7"/>
  <c r="BL7" i="1"/>
  <c r="BL8" i="1"/>
  <c r="BY8" i="1"/>
  <c r="BY7" i="1"/>
  <c r="CC8" i="4"/>
  <c r="CC7" i="4"/>
  <c r="Y7" i="7"/>
  <c r="Y8" i="7"/>
  <c r="CU7" i="2"/>
  <c r="CU8" i="2"/>
  <c r="DC8" i="4"/>
  <c r="DC7" i="4"/>
  <c r="AZ8" i="7"/>
  <c r="BC8" i="3"/>
  <c r="BC7" i="3"/>
  <c r="CU8" i="3"/>
  <c r="CU7" i="3"/>
  <c r="DM8" i="3"/>
  <c r="EG8" i="7"/>
  <c r="EG7" i="7"/>
  <c r="I8" i="1"/>
  <c r="I7" i="1"/>
  <c r="BV7" i="1"/>
  <c r="DG7" i="1"/>
  <c r="AM8" i="1"/>
  <c r="DN8" i="2"/>
  <c r="DN7" i="2"/>
  <c r="AH8" i="2"/>
  <c r="EM23" i="3"/>
  <c r="EN23" i="3" s="1"/>
  <c r="DU8" i="7"/>
  <c r="DU7" i="7"/>
  <c r="N7" i="2"/>
  <c r="N8" i="2"/>
  <c r="Q8" i="7"/>
  <c r="Q7" i="7"/>
  <c r="CY7" i="7"/>
  <c r="BX7" i="1"/>
  <c r="DI7" i="1"/>
  <c r="CA8" i="1"/>
  <c r="CN8" i="2"/>
  <c r="CN7" i="2"/>
  <c r="CC8" i="2"/>
  <c r="AM8" i="3"/>
  <c r="CZ7" i="7"/>
  <c r="AR7" i="1"/>
  <c r="DJ7" i="1"/>
  <c r="EH7" i="2"/>
  <c r="AX7" i="3"/>
  <c r="EF7" i="3"/>
  <c r="AK7" i="4"/>
  <c r="AK8" i="4"/>
  <c r="CW7" i="4"/>
  <c r="CW8" i="4"/>
  <c r="BH7" i="7"/>
  <c r="BH8" i="7"/>
  <c r="P7" i="2"/>
  <c r="P8" i="2"/>
  <c r="EC8" i="2"/>
  <c r="EC7" i="2"/>
  <c r="CX7" i="2"/>
  <c r="CE8" i="2"/>
  <c r="CJ8" i="3"/>
  <c r="CG7" i="1"/>
  <c r="CG8" i="1"/>
  <c r="EE8" i="1"/>
  <c r="EE7" i="1"/>
  <c r="DM8" i="1"/>
  <c r="Q7" i="2"/>
  <c r="Q8" i="2"/>
  <c r="AD8" i="2"/>
  <c r="AD7" i="2"/>
  <c r="M7" i="1"/>
  <c r="CE7" i="1"/>
  <c r="DV8" i="2"/>
  <c r="DY8" i="3"/>
  <c r="CU7" i="4"/>
  <c r="BJ7" i="7"/>
  <c r="BJ8" i="7"/>
  <c r="CJ7" i="7"/>
  <c r="CJ8" i="7"/>
  <c r="CW8" i="7"/>
  <c r="CW7" i="7"/>
  <c r="I7" i="2"/>
  <c r="I8" i="2"/>
  <c r="BT8" i="2"/>
  <c r="BT7" i="2"/>
  <c r="V7" i="2"/>
  <c r="BS7" i="3"/>
  <c r="BS8" i="3"/>
  <c r="CZ7" i="3"/>
  <c r="CZ8" i="3"/>
  <c r="DV8" i="3"/>
  <c r="DV7" i="3"/>
  <c r="EG7" i="3"/>
  <c r="AF7" i="4"/>
  <c r="AF8" i="4"/>
  <c r="AS8" i="4"/>
  <c r="AS7" i="4"/>
  <c r="CD8" i="4"/>
  <c r="CD7" i="4"/>
  <c r="BE8" i="4"/>
  <c r="DB8" i="1"/>
  <c r="AA8" i="3"/>
  <c r="AA7" i="3"/>
  <c r="DC8" i="1"/>
  <c r="BH7" i="3"/>
  <c r="AL8" i="3"/>
  <c r="DR8" i="4"/>
  <c r="DR7" i="4"/>
  <c r="CY7" i="2"/>
  <c r="CY8" i="2"/>
  <c r="AJ8" i="4"/>
  <c r="AJ7" i="4"/>
  <c r="DI8" i="4"/>
  <c r="DI7" i="4"/>
  <c r="EJ8" i="4"/>
  <c r="EJ7" i="4"/>
  <c r="DQ8" i="4"/>
  <c r="AA7" i="7"/>
  <c r="AA8" i="7"/>
  <c r="AW8" i="7"/>
  <c r="DD7" i="3"/>
  <c r="DD8" i="3"/>
  <c r="CK7" i="7"/>
  <c r="CK8" i="7"/>
  <c r="I8" i="3"/>
  <c r="AP8" i="3"/>
  <c r="AX7" i="7"/>
  <c r="AX8" i="7"/>
  <c r="DY8" i="7"/>
  <c r="DY7" i="7"/>
  <c r="L7" i="3"/>
  <c r="L8" i="3"/>
  <c r="O8" i="2"/>
  <c r="AR8" i="4"/>
  <c r="BK7" i="7"/>
  <c r="CV8" i="3"/>
  <c r="CV7" i="3"/>
  <c r="DR8" i="3"/>
  <c r="DR7" i="3"/>
  <c r="DN7" i="7"/>
  <c r="DN8" i="7"/>
  <c r="S8" i="1"/>
  <c r="AZ8" i="2"/>
  <c r="AZ7" i="2"/>
  <c r="EO25" i="2"/>
  <c r="T8" i="3"/>
  <c r="AI7" i="4"/>
  <c r="AI8" i="4"/>
  <c r="B21" i="6"/>
  <c r="DO8" i="7"/>
  <c r="DO7" i="7"/>
  <c r="N7" i="7"/>
  <c r="EC7" i="3"/>
  <c r="CH8" i="3"/>
  <c r="CB7" i="7"/>
  <c r="CB8" i="7"/>
  <c r="DP8" i="7"/>
  <c r="DP7" i="7"/>
  <c r="AI8" i="7"/>
  <c r="AI7" i="7"/>
  <c r="BI8" i="7"/>
  <c r="BI7" i="7"/>
  <c r="DI7" i="7"/>
  <c r="DI8" i="7"/>
  <c r="CA7" i="7"/>
  <c r="C16" i="8"/>
  <c r="CV8" i="4"/>
  <c r="CV7" i="4"/>
  <c r="CF8" i="7"/>
  <c r="CF7" i="7"/>
  <c r="E7" i="7"/>
  <c r="E8" i="7"/>
  <c r="EF7" i="7"/>
  <c r="EF8" i="7"/>
  <c r="CL7" i="7"/>
  <c r="CL8" i="7"/>
  <c r="C28" i="8"/>
  <c r="C30" i="8" l="1"/>
  <c r="C32" i="8"/>
  <c r="C31" i="8"/>
  <c r="C33" i="8" s="1"/>
</calcChain>
</file>

<file path=xl/sharedStrings.xml><?xml version="1.0" encoding="utf-8"?>
<sst xmlns="http://schemas.openxmlformats.org/spreadsheetml/2006/main" count="2658" uniqueCount="336">
  <si>
    <t>Real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</si>
  <si>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</si>
  <si>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</si>
  <si>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</si>
  <si>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</si>
  <si>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</si>
  <si>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</si>
  <si>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</si>
  <si>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</si>
  <si>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</si>
  <si>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</si>
  <si>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</si>
  <si>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</si>
  <si>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</si>
  <si>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</si>
  <si>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</si>
  <si>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</si>
  <si>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</si>
  <si>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</si>
  <si>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</si>
  <si>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</si>
  <si>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</si>
  <si>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</si>
  <si>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</si>
  <si>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</si>
  <si>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</si>
  <si>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</si>
  <si>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</si>
  <si>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</si>
  <si>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</si>
  <si>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</si>
  <si>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</si>
  <si>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</si>
  <si>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</si>
  <si>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</si>
  <si>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</si>
  <si>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</si>
  <si>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</si>
  <si>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</si>
  <si>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</si>
  <si>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</si>
  <si>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</si>
  <si>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</si>
  <si>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</si>
  <si>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</si>
  <si>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</si>
  <si>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</si>
  <si>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</si>
  <si>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</si>
  <si>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</si>
  <si>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</si>
  <si>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</si>
  <si>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</si>
  <si>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</si>
  <si>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</si>
  <si>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</si>
  <si>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</si>
  <si>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</si>
  <si>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</si>
  <si>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</si>
  <si>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</si>
  <si>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</si>
  <si>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</si>
  <si>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</si>
  <si>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</si>
  <si>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</si>
  <si>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</si>
  <si>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</si>
  <si>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</si>
  <si>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</si>
  <si>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</si>
  <si>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</si>
  <si>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</si>
  <si>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</si>
  <si>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</si>
  <si>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</si>
  <si>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</si>
  <si>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</si>
  <si>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</si>
  <si>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</si>
  <si>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</si>
  <si>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</si>
  <si>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</si>
  <si>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</si>
  <si>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</si>
  <si>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</si>
  <si>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</si>
  <si>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</si>
  <si>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</si>
  <si>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</si>
  <si>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</si>
  <si>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</si>
  <si>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</si>
  <si>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</si>
  <si>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</si>
  <si>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</si>
  <si>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</si>
  <si>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</si>
  <si>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</si>
  <si>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</si>
  <si>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</si>
  <si>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</si>
  <si>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</si>
  <si>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</si>
  <si>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</si>
  <si>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</si>
  <si>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</si>
  <si>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</si>
  <si>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</si>
  <si>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</si>
  <si>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</si>
  <si>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</si>
  <si>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</si>
  <si>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</si>
  <si>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</si>
  <si>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</si>
  <si>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</si>
  <si>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</si>
  <si>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</si>
  <si>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</si>
  <si>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</si>
  <si>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</si>
  <si>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</si>
  <si>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</si>
  <si>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</si>
  <si>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</si>
  <si>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</si>
  <si>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</si>
  <si>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</si>
  <si>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</si>
  <si>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</si>
  <si>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</si>
  <si>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</si>
  <si>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</si>
  <si>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</si>
  <si>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</si>
  <si>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</si>
  <si>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</si>
  <si>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</si>
  <si>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</si>
  <si>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</si>
  <si>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</si>
  <si>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</si>
  <si>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bm</t>
  </si>
  <si>
    <t>size</t>
  </si>
  <si>
    <t>mom</t>
  </si>
  <si>
    <t>絕對值最大</t>
  </si>
  <si>
    <t>投資組合</t>
  </si>
  <si>
    <t>公司數</t>
  </si>
  <si>
    <t>等分</t>
  </si>
  <si>
    <t>家數</t>
  </si>
  <si>
    <t>平均值</t>
  </si>
  <si>
    <t>標準差</t>
  </si>
  <si>
    <t>夏普比率</t>
  </si>
  <si>
    <t>大盤</t>
  </si>
  <si>
    <t>TWII</t>
  </si>
  <si>
    <t>Predict</t>
  </si>
  <si>
    <t>低</t>
  </si>
  <si>
    <t>3043</t>
  </si>
  <si>
    <t>5455</t>
  </si>
  <si>
    <t>6130</t>
  </si>
  <si>
    <t>6114</t>
  </si>
  <si>
    <t>5324</t>
  </si>
  <si>
    <t>2388</t>
  </si>
  <si>
    <t>3176</t>
  </si>
  <si>
    <t>8044</t>
  </si>
  <si>
    <t>2028</t>
  </si>
  <si>
    <t>6225</t>
  </si>
  <si>
    <t>3232</t>
  </si>
  <si>
    <t>6259</t>
  </si>
  <si>
    <t>9906</t>
  </si>
  <si>
    <t>3272</t>
  </si>
  <si>
    <t>3095</t>
  </si>
  <si>
    <t>6291</t>
  </si>
  <si>
    <t>3064</t>
  </si>
  <si>
    <t>3205</t>
  </si>
  <si>
    <t>5386</t>
  </si>
  <si>
    <t>6165</t>
  </si>
  <si>
    <t>1475</t>
  </si>
  <si>
    <t>4303</t>
  </si>
  <si>
    <t>5310</t>
  </si>
  <si>
    <t>6236</t>
  </si>
  <si>
    <t>5475</t>
  </si>
  <si>
    <t>8070</t>
  </si>
  <si>
    <t>3228</t>
  </si>
  <si>
    <t>4304</t>
  </si>
  <si>
    <t>3191</t>
  </si>
  <si>
    <t>5348</t>
  </si>
  <si>
    <t>1325</t>
  </si>
  <si>
    <t>9103</t>
  </si>
  <si>
    <t>3138</t>
  </si>
  <si>
    <t>6276</t>
  </si>
  <si>
    <t>2007</t>
  </si>
  <si>
    <t>3093</t>
  </si>
  <si>
    <t>6241</t>
  </si>
  <si>
    <t>3443</t>
  </si>
  <si>
    <t>2615</t>
  </si>
  <si>
    <t>8933</t>
  </si>
  <si>
    <t>5364</t>
  </si>
  <si>
    <t>2482</t>
  </si>
  <si>
    <t>2321</t>
  </si>
  <si>
    <t>3308</t>
  </si>
  <si>
    <t>1519</t>
  </si>
  <si>
    <t>1808</t>
  </si>
  <si>
    <t>5314</t>
  </si>
  <si>
    <t>2314</t>
  </si>
  <si>
    <t>1101</t>
  </si>
  <si>
    <t>公司名稱</t>
  </si>
  <si>
    <t>科風</t>
  </si>
  <si>
    <t>昇益</t>
  </si>
  <si>
    <t>上亞科技</t>
  </si>
  <si>
    <t>久威</t>
  </si>
  <si>
    <t>士開</t>
  </si>
  <si>
    <t>威盛</t>
  </si>
  <si>
    <t>基亞</t>
  </si>
  <si>
    <t>網家</t>
  </si>
  <si>
    <t>威致</t>
  </si>
  <si>
    <t>天瀚</t>
  </si>
  <si>
    <t>昱捷</t>
  </si>
  <si>
    <t>百徽</t>
  </si>
  <si>
    <t>欣巴巴</t>
  </si>
  <si>
    <t>東碩</t>
  </si>
  <si>
    <t>及成</t>
  </si>
  <si>
    <t>沛亨</t>
  </si>
  <si>
    <t>泰偉</t>
  </si>
  <si>
    <t>佰研</t>
  </si>
  <si>
    <t>青雲</t>
  </si>
  <si>
    <t>浪凡</t>
  </si>
  <si>
    <t>業旺</t>
  </si>
  <si>
    <t>信立</t>
  </si>
  <si>
    <t>天剛</t>
  </si>
  <si>
    <t>中湛</t>
  </si>
  <si>
    <t>德宏</t>
  </si>
  <si>
    <t>長華*</t>
  </si>
  <si>
    <t>金麗科</t>
  </si>
  <si>
    <t>勝昱</t>
  </si>
  <si>
    <t>雲嘉南</t>
  </si>
  <si>
    <t>正能量智能</t>
  </si>
  <si>
    <t>恒大</t>
  </si>
  <si>
    <t>美德醫療-DR</t>
  </si>
  <si>
    <t>耀登</t>
  </si>
  <si>
    <t>安鈦克</t>
  </si>
  <si>
    <t>燁興</t>
  </si>
  <si>
    <t>港建*</t>
  </si>
  <si>
    <t>易通展</t>
  </si>
  <si>
    <t>創意</t>
  </si>
  <si>
    <t>萬海</t>
  </si>
  <si>
    <t>愛地雅</t>
  </si>
  <si>
    <t>力麗店</t>
  </si>
  <si>
    <t>連宇</t>
  </si>
  <si>
    <t>東訊</t>
  </si>
  <si>
    <t>聯德</t>
  </si>
  <si>
    <t>華城</t>
  </si>
  <si>
    <t>潤隆</t>
  </si>
  <si>
    <t>世紀*</t>
  </si>
  <si>
    <t>台揚</t>
  </si>
  <si>
    <t>台泥</t>
  </si>
  <si>
    <t>高</t>
  </si>
  <si>
    <t>2540</t>
  </si>
  <si>
    <t>2330</t>
  </si>
  <si>
    <t>2323</t>
  </si>
  <si>
    <t>8941</t>
  </si>
  <si>
    <t>2408</t>
  </si>
  <si>
    <t>4502</t>
  </si>
  <si>
    <t>6283</t>
  </si>
  <si>
    <t>6246</t>
  </si>
  <si>
    <t>2496</t>
  </si>
  <si>
    <t>3252</t>
  </si>
  <si>
    <t>2337</t>
  </si>
  <si>
    <t>1906</t>
  </si>
  <si>
    <t>2342</t>
  </si>
  <si>
    <t>9958</t>
  </si>
  <si>
    <t>1529</t>
  </si>
  <si>
    <t>8085</t>
  </si>
  <si>
    <t>2409</t>
  </si>
  <si>
    <t>5608</t>
  </si>
  <si>
    <t>1314</t>
  </si>
  <si>
    <t>2609</t>
  </si>
  <si>
    <t>2364</t>
  </si>
  <si>
    <t>1312</t>
  </si>
  <si>
    <t>2603</t>
  </si>
  <si>
    <t>6103</t>
  </si>
  <si>
    <t>6144</t>
  </si>
  <si>
    <t>8937</t>
  </si>
  <si>
    <t>9962</t>
  </si>
  <si>
    <t>愛山林</t>
  </si>
  <si>
    <t>台積電</t>
  </si>
  <si>
    <t>中環</t>
  </si>
  <si>
    <t>關中</t>
  </si>
  <si>
    <t>南亞科</t>
  </si>
  <si>
    <t>健信</t>
  </si>
  <si>
    <t>淳安</t>
  </si>
  <si>
    <t>臺龍</t>
  </si>
  <si>
    <t>卓越</t>
  </si>
  <si>
    <t>海灣</t>
  </si>
  <si>
    <t>旺宏</t>
  </si>
  <si>
    <t>寶隆</t>
  </si>
  <si>
    <t>茂矽</t>
  </si>
  <si>
    <t>世紀鋼</t>
  </si>
  <si>
    <t>樂事綠能</t>
  </si>
  <si>
    <t>福華</t>
  </si>
  <si>
    <t>友達</t>
  </si>
  <si>
    <t>四維航</t>
  </si>
  <si>
    <t>中石化</t>
  </si>
  <si>
    <t>陽明</t>
  </si>
  <si>
    <t>倫飛</t>
  </si>
  <si>
    <t>國喬</t>
  </si>
  <si>
    <t>長榮</t>
  </si>
  <si>
    <t>合邦</t>
  </si>
  <si>
    <t>得利影</t>
  </si>
  <si>
    <t>合騏</t>
  </si>
  <si>
    <t>有益</t>
  </si>
  <si>
    <t>sum</t>
  </si>
  <si>
    <t>勝率</t>
  </si>
  <si>
    <t>OLS</t>
  </si>
  <si>
    <t>差距平方</t>
  </si>
  <si>
    <t>真實平方</t>
  </si>
  <si>
    <t>R-Square</t>
  </si>
  <si>
    <t>預測值</t>
  </si>
  <si>
    <t>真實值</t>
  </si>
  <si>
    <t>TP</t>
  </si>
  <si>
    <t>預測&gt;0,真實&gt;0</t>
  </si>
  <si>
    <t>FP</t>
  </si>
  <si>
    <t>預測&gt;0,真實&lt;0</t>
  </si>
  <si>
    <t>FN</t>
  </si>
  <si>
    <t>預測&lt;0,真實&gt;0</t>
  </si>
  <si>
    <t>TN</t>
  </si>
  <si>
    <t>預測&lt;0,真實&lt;0</t>
  </si>
  <si>
    <t>Accuracy</t>
  </si>
  <si>
    <t>準確率</t>
  </si>
  <si>
    <t>Precision</t>
  </si>
  <si>
    <t>精確率</t>
  </si>
  <si>
    <t>Recall</t>
  </si>
  <si>
    <t>召回率</t>
  </si>
  <si>
    <t>F1-score</t>
  </si>
  <si>
    <t>F1分數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</si>
</sst>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8"/>
      <color theme="1"/>
      <name val="新細明體"/>
      <family val="1"/>
      <charset val="136"/>
      <scheme val="minor"/>
    </font>
    <font>
      <sz val="18"/>
      <color rgb="FFFF0000"/>
      <name val="新細明體"/>
      <family val="1"/>
      <charset val="136"/>
    </font>
    <font>
      <sz val="18"/>
      <color rgb="FF0000FF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>
      <alignment vertical="center"/>
    </xf>
  </cellStyleXfs>
  <cellXfs count="22">
    <xf numFmtId="0" fontId="0" fillId="0" borderId="0" xfId="0"/>
    <xf numFmtId="0" fontId="0" fillId="0" borderId="2" xfId="0" applyBorder="1"/>
    <xf numFmtId="0" fontId="0" fillId="2" borderId="1" xfId="0" applyFill="1" applyBorder="1"/>
    <xf numFmtId="0" fontId="0" fillId="2" borderId="0" xfId="0" applyFill="1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0" borderId="1" xfId="0" applyBorder="1"/>
    <xf numFmtId="0" fontId="0" fillId="3" borderId="0" xfId="0" applyFill="1"/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3" fillId="2" borderId="1" xfId="0" applyFont="1" applyFill="1" applyBorder="1"/>
    <xf numFmtId="0" fontId="3" fillId="0" borderId="2" xfId="0" applyFont="1" applyBorder="1"/>
    <xf numFmtId="0" fontId="4" fillId="0" borderId="0" xfId="0" applyFont="1"/>
    <xf numFmtId="0" fontId="5" fillId="0" borderId="0" xfId="0" applyFont="1"/>
    <xf numFmtId="0" fontId="0" fillId="4" borderId="1" xfId="0" applyFill="1" applyBorder="1"/>
    <xf numFmtId="0" fontId="0" fillId="0" borderId="1" xfId="0" applyBorder="1" applyAlignment="1">
      <alignment horizontal="center"/>
    </xf>
    <xf numFmtId="176" fontId="0" fillId="0" borderId="1" xfId="1" applyNumberFormat="1" applyFont="1" applyBorder="1" applyAlignment="1"/>
    <xf numFmtId="0" fontId="0" fillId="0" borderId="1" xfId="0" applyBorder="1" applyAlignment="1">
      <alignment horizontal="center"/>
    </xf>
    <xf numFmtId="0" fontId="0" fillId="0" borderId="3" xfId="0" applyBorder="1"/>
  </cellXfs>
  <cellStyles count="2">
    <cellStyle name="一般" xfId="0" builtinId="0"/>
    <cellStyle name="百分比" xfId="1" builtinId="5"/>
  </cellStyles>
  <dxfs count="8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累積報酬!$B$12</c:f>
              <c:strCache>
                <c:ptCount val="1"/>
                <c:pt idx="0">
                  <c:v>105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累積報酬!$C$12:$EL$12</c:f>
              <c:numCache>
                <c:formatCode>General</c:formatCode>
                <c:ptCount val="140"/>
                <c:pt idx="0">
                  <c:v>8.0850794339180423E-3</c:v>
                </c:pt>
                <c:pt idx="1">
                  <c:v>9.2349688973652172E-2</c:v>
                </c:pt>
                <c:pt idx="2">
                  <c:v>9.6463548975466301E-2</c:v>
                </c:pt>
                <c:pt idx="3">
                  <c:v>5.6884048676761591E-2</c:v>
                </c:pt>
                <c:pt idx="4">
                  <c:v>2.538742649130276E-2</c:v>
                </c:pt>
                <c:pt idx="5">
                  <c:v>3.3221483779898732E-2</c:v>
                </c:pt>
                <c:pt idx="6">
                  <c:v>-1.493934393727548E-2</c:v>
                </c:pt>
                <c:pt idx="7">
                  <c:v>3.1148296634244239E-2</c:v>
                </c:pt>
                <c:pt idx="8">
                  <c:v>4.0911360985153217E-2</c:v>
                </c:pt>
                <c:pt idx="9">
                  <c:v>3.840450493421127E-2</c:v>
                </c:pt>
                <c:pt idx="10">
                  <c:v>5.511776501952334E-2</c:v>
                </c:pt>
                <c:pt idx="11">
                  <c:v>3.0962704060827479E-2</c:v>
                </c:pt>
                <c:pt idx="12">
                  <c:v>4.5372090067375137E-2</c:v>
                </c:pt>
                <c:pt idx="13">
                  <c:v>4.5009491425847349E-2</c:v>
                </c:pt>
                <c:pt idx="14">
                  <c:v>5.9683786268578259E-2</c:v>
                </c:pt>
                <c:pt idx="15">
                  <c:v>5.3157107864729478E-2</c:v>
                </c:pt>
                <c:pt idx="16">
                  <c:v>8.7638390687601875E-2</c:v>
                </c:pt>
                <c:pt idx="17">
                  <c:v>0.14491589549995113</c:v>
                </c:pt>
                <c:pt idx="18">
                  <c:v>0.16212014245686227</c:v>
                </c:pt>
                <c:pt idx="19">
                  <c:v>0.17229710958274091</c:v>
                </c:pt>
                <c:pt idx="20">
                  <c:v>0.19350430443648733</c:v>
                </c:pt>
                <c:pt idx="21">
                  <c:v>0.22625077824531045</c:v>
                </c:pt>
                <c:pt idx="22">
                  <c:v>0.20031228343691823</c:v>
                </c:pt>
                <c:pt idx="23">
                  <c:v>0.21373587839760672</c:v>
                </c:pt>
                <c:pt idx="24">
                  <c:v>0.17921257732146839</c:v>
                </c:pt>
                <c:pt idx="25">
                  <c:v>0.15703662942158625</c:v>
                </c:pt>
                <c:pt idx="26">
                  <c:v>0.18700880670779391</c:v>
                </c:pt>
                <c:pt idx="27">
                  <c:v>0.19513401298825173</c:v>
                </c:pt>
                <c:pt idx="28">
                  <c:v>0.24924633913190053</c:v>
                </c:pt>
                <c:pt idx="29">
                  <c:v>0.20802820636859831</c:v>
                </c:pt>
                <c:pt idx="30">
                  <c:v>0.24314487317433819</c:v>
                </c:pt>
                <c:pt idx="31">
                  <c:v>0.24312349436396247</c:v>
                </c:pt>
                <c:pt idx="32">
                  <c:v>0.27430860093309201</c:v>
                </c:pt>
                <c:pt idx="33">
                  <c:v>0.30749139295525518</c:v>
                </c:pt>
                <c:pt idx="34">
                  <c:v>0.35177163439367509</c:v>
                </c:pt>
                <c:pt idx="35">
                  <c:v>0.37210262998168325</c:v>
                </c:pt>
                <c:pt idx="36">
                  <c:v>0.38847425765232718</c:v>
                </c:pt>
                <c:pt idx="37">
                  <c:v>0.44834066798719979</c:v>
                </c:pt>
                <c:pt idx="38">
                  <c:v>0.4663890839430142</c:v>
                </c:pt>
                <c:pt idx="39">
                  <c:v>0.48183863415009148</c:v>
                </c:pt>
                <c:pt idx="40">
                  <c:v>0.45009833182038672</c:v>
                </c:pt>
                <c:pt idx="41">
                  <c:v>0.48494301111712157</c:v>
                </c:pt>
                <c:pt idx="42">
                  <c:v>0.46689909625334247</c:v>
                </c:pt>
                <c:pt idx="43">
                  <c:v>0.52145028914205072</c:v>
                </c:pt>
                <c:pt idx="44">
                  <c:v>0.56112768682174896</c:v>
                </c:pt>
                <c:pt idx="45">
                  <c:v>0.52808121739727087</c:v>
                </c:pt>
                <c:pt idx="46">
                  <c:v>0.51915797924208806</c:v>
                </c:pt>
                <c:pt idx="47">
                  <c:v>0.57981545196441064</c:v>
                </c:pt>
                <c:pt idx="48">
                  <c:v>0.57595325210511927</c:v>
                </c:pt>
                <c:pt idx="49">
                  <c:v>0.55177008928317983</c:v>
                </c:pt>
                <c:pt idx="50">
                  <c:v>0.60504525465598114</c:v>
                </c:pt>
                <c:pt idx="51">
                  <c:v>0.59417303278362821</c:v>
                </c:pt>
                <c:pt idx="52">
                  <c:v>0.58342796180420042</c:v>
                </c:pt>
                <c:pt idx="53">
                  <c:v>0.59279888861980579</c:v>
                </c:pt>
                <c:pt idx="54">
                  <c:v>0.57308649751536367</c:v>
                </c:pt>
                <c:pt idx="55">
                  <c:v>0.65500826626107822</c:v>
                </c:pt>
                <c:pt idx="56">
                  <c:v>0.73268623029842073</c:v>
                </c:pt>
                <c:pt idx="57">
                  <c:v>0.76594880562692702</c:v>
                </c:pt>
                <c:pt idx="58">
                  <c:v>0.78365035736100286</c:v>
                </c:pt>
                <c:pt idx="59">
                  <c:v>0.80558654048165068</c:v>
                </c:pt>
                <c:pt idx="60">
                  <c:v>0.77455873620744087</c:v>
                </c:pt>
                <c:pt idx="61">
                  <c:v>0.81502296627776516</c:v>
                </c:pt>
                <c:pt idx="62">
                  <c:v>0.8512891898959003</c:v>
                </c:pt>
                <c:pt idx="63">
                  <c:v>0.85093961891177117</c:v>
                </c:pt>
                <c:pt idx="64">
                  <c:v>0.82809318928999698</c:v>
                </c:pt>
                <c:pt idx="65">
                  <c:v>0.82753757694680885</c:v>
                </c:pt>
                <c:pt idx="66">
                  <c:v>0.84917089637268472</c:v>
                </c:pt>
                <c:pt idx="67">
                  <c:v>0.82063505595623876</c:v>
                </c:pt>
                <c:pt idx="68">
                  <c:v>0.81653176173243092</c:v>
                </c:pt>
                <c:pt idx="69">
                  <c:v>0.81595151595910709</c:v>
                </c:pt>
                <c:pt idx="70">
                  <c:v>0.81841039345901001</c:v>
                </c:pt>
                <c:pt idx="71">
                  <c:v>0.77696080655462574</c:v>
                </c:pt>
                <c:pt idx="72">
                  <c:v>0.78581728153607955</c:v>
                </c:pt>
                <c:pt idx="73">
                  <c:v>0.78755676298200394</c:v>
                </c:pt>
                <c:pt idx="74">
                  <c:v>0.72501844195256016</c:v>
                </c:pt>
                <c:pt idx="75">
                  <c:v>0.67931996638090042</c:v>
                </c:pt>
                <c:pt idx="76">
                  <c:v>0.67659398895064249</c:v>
                </c:pt>
                <c:pt idx="77">
                  <c:v>0.64206797813243621</c:v>
                </c:pt>
                <c:pt idx="78">
                  <c:v>0.67874114638004446</c:v>
                </c:pt>
                <c:pt idx="79">
                  <c:v>0.71663280550331987</c:v>
                </c:pt>
                <c:pt idx="80">
                  <c:v>0.74723490910976298</c:v>
                </c:pt>
                <c:pt idx="81">
                  <c:v>0.74603730733871654</c:v>
                </c:pt>
                <c:pt idx="82">
                  <c:v>0.74990989007021092</c:v>
                </c:pt>
                <c:pt idx="83">
                  <c:v>0.75795076677625939</c:v>
                </c:pt>
                <c:pt idx="84">
                  <c:v>0.71917354868721561</c:v>
                </c:pt>
                <c:pt idx="85">
                  <c:v>0.68108300850925629</c:v>
                </c:pt>
                <c:pt idx="86">
                  <c:v>0.72628140481648951</c:v>
                </c:pt>
                <c:pt idx="87">
                  <c:v>0.70299866068563122</c:v>
                </c:pt>
                <c:pt idx="88">
                  <c:v>0.65357602550178262</c:v>
                </c:pt>
                <c:pt idx="89">
                  <c:v>0.63771991982877396</c:v>
                </c:pt>
                <c:pt idx="90">
                  <c:v>0.62501553883613514</c:v>
                </c:pt>
                <c:pt idx="91">
                  <c:v>0.60652519256543602</c:v>
                </c:pt>
                <c:pt idx="92">
                  <c:v>0.67564124640157819</c:v>
                </c:pt>
                <c:pt idx="93">
                  <c:v>0.68011325096364861</c:v>
                </c:pt>
                <c:pt idx="94">
                  <c:v>0.67318200351262847</c:v>
                </c:pt>
                <c:pt idx="95">
                  <c:v>0.65663299287004473</c:v>
                </c:pt>
                <c:pt idx="96">
                  <c:v>0.75431689168204885</c:v>
                </c:pt>
                <c:pt idx="97">
                  <c:v>0.69582160898104806</c:v>
                </c:pt>
                <c:pt idx="98">
                  <c:v>0.74485352328657273</c:v>
                </c:pt>
                <c:pt idx="99">
                  <c:v>0.70315769536516837</c:v>
                </c:pt>
                <c:pt idx="100">
                  <c:v>0.67527403553887944</c:v>
                </c:pt>
                <c:pt idx="101">
                  <c:v>0.68776003724658641</c:v>
                </c:pt>
                <c:pt idx="102">
                  <c:v>0.71208491065107804</c:v>
                </c:pt>
                <c:pt idx="103">
                  <c:v>0.74443906023931872</c:v>
                </c:pt>
                <c:pt idx="104">
                  <c:v>0.72172007770043045</c:v>
                </c:pt>
                <c:pt idx="105">
                  <c:v>0.78344250170473639</c:v>
                </c:pt>
                <c:pt idx="106">
                  <c:v>0.78120098765083734</c:v>
                </c:pt>
                <c:pt idx="107">
                  <c:v>0.7850755842592011</c:v>
                </c:pt>
                <c:pt idx="108">
                  <c:v>0.82934645864026391</c:v>
                </c:pt>
                <c:pt idx="109">
                  <c:v>0.80451983743257516</c:v>
                </c:pt>
                <c:pt idx="110">
                  <c:v>0.83596808545356538</c:v>
                </c:pt>
                <c:pt idx="111">
                  <c:v>0.82212618301553331</c:v>
                </c:pt>
                <c:pt idx="112">
                  <c:v>0.83230899115179779</c:v>
                </c:pt>
                <c:pt idx="113">
                  <c:v>0.83096077024256332</c:v>
                </c:pt>
                <c:pt idx="114">
                  <c:v>0.85394066317143646</c:v>
                </c:pt>
                <c:pt idx="115">
                  <c:v>0.83857191024383482</c:v>
                </c:pt>
                <c:pt idx="116">
                  <c:v>0.87824860481440914</c:v>
                </c:pt>
                <c:pt idx="117">
                  <c:v>0.94117521013408234</c:v>
                </c:pt>
                <c:pt idx="118">
                  <c:v>0.8867612297880868</c:v>
                </c:pt>
                <c:pt idx="119">
                  <c:v>0.86775503716587987</c:v>
                </c:pt>
                <c:pt idx="120">
                  <c:v>0.80718139412081691</c:v>
                </c:pt>
                <c:pt idx="121">
                  <c:v>0.84965842935602598</c:v>
                </c:pt>
                <c:pt idx="122">
                  <c:v>0.82094301593030106</c:v>
                </c:pt>
                <c:pt idx="123">
                  <c:v>0.80762821625895598</c:v>
                </c:pt>
                <c:pt idx="124">
                  <c:v>0.80921360000165732</c:v>
                </c:pt>
                <c:pt idx="125">
                  <c:v>0.78926284011493764</c:v>
                </c:pt>
                <c:pt idx="126">
                  <c:v>0.77822376124140613</c:v>
                </c:pt>
                <c:pt idx="127">
                  <c:v>0.76465914792565093</c:v>
                </c:pt>
                <c:pt idx="128">
                  <c:v>0.74198519538909724</c:v>
                </c:pt>
                <c:pt idx="129">
                  <c:v>0.77187308376843544</c:v>
                </c:pt>
                <c:pt idx="130">
                  <c:v>0.74142851877951998</c:v>
                </c:pt>
                <c:pt idx="131">
                  <c:v>0.75877083926966893</c:v>
                </c:pt>
                <c:pt idx="132">
                  <c:v>0.75770258246635303</c:v>
                </c:pt>
                <c:pt idx="133">
                  <c:v>0.74440122947806975</c:v>
                </c:pt>
                <c:pt idx="134">
                  <c:v>0.7320786867179081</c:v>
                </c:pt>
                <c:pt idx="135">
                  <c:v>0.71607371869155412</c:v>
                </c:pt>
                <c:pt idx="136">
                  <c:v>0.69205243713919662</c:v>
                </c:pt>
                <c:pt idx="137">
                  <c:v>0.72762726101994923</c:v>
                </c:pt>
                <c:pt idx="138">
                  <c:v>0.77033373945253192</c:v>
                </c:pt>
                <c:pt idx="139">
                  <c:v>0.75644396409612735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EE-4888-BE98-06BA9CD80052}"/>
            </c:ext>
          </c:extLst>
        </c:ser>
        <c:ser>
          <c:idx val="1"/>
          <c:order val="1"/>
          <c:tx>
            <c:strRef>
              <c:f>累積報酬!$B$13</c:f>
              <c:strCache>
                <c:ptCount val="1"/>
                <c:pt idx="0">
                  <c:v>53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累積報酬!$C$13:$EL$13</c:f>
              <c:numCache>
                <c:formatCode>General</c:formatCode>
                <c:ptCount val="140"/>
                <c:pt idx="0">
                  <c:v>-2.950459453302642E-2</c:v>
                </c:pt>
                <c:pt idx="1">
                  <c:v>8.901384869182967E-2</c:v>
                </c:pt>
                <c:pt idx="2">
                  <c:v>7.8513805628093153E-2</c:v>
                </c:pt>
                <c:pt idx="3">
                  <c:v>7.3387535606092194E-2</c:v>
                </c:pt>
                <c:pt idx="4">
                  <c:v>3.0116820420137191E-2</c:v>
                </c:pt>
                <c:pt idx="5">
                  <c:v>1.7022322396859812E-2</c:v>
                </c:pt>
                <c:pt idx="6">
                  <c:v>-4.1304317466288432E-2</c:v>
                </c:pt>
                <c:pt idx="7">
                  <c:v>2.6131618697639122E-2</c:v>
                </c:pt>
                <c:pt idx="8">
                  <c:v>4.5304315599807701E-2</c:v>
                </c:pt>
                <c:pt idx="9">
                  <c:v>4.8619555882099472E-2</c:v>
                </c:pt>
                <c:pt idx="10">
                  <c:v>3.7547547408659281E-2</c:v>
                </c:pt>
                <c:pt idx="11">
                  <c:v>3.654546599668243E-2</c:v>
                </c:pt>
                <c:pt idx="12">
                  <c:v>5.6140078098629073E-2</c:v>
                </c:pt>
                <c:pt idx="13">
                  <c:v>6.3282802783136555E-2</c:v>
                </c:pt>
                <c:pt idx="14">
                  <c:v>7.9332809310316457E-2</c:v>
                </c:pt>
                <c:pt idx="15">
                  <c:v>6.5268487455576035E-2</c:v>
                </c:pt>
                <c:pt idx="16">
                  <c:v>0.12969731202537813</c:v>
                </c:pt>
                <c:pt idx="17">
                  <c:v>0.18874908871599702</c:v>
                </c:pt>
                <c:pt idx="18">
                  <c:v>0.26048209270535078</c:v>
                </c:pt>
                <c:pt idx="19">
                  <c:v>0.2849400945467746</c:v>
                </c:pt>
                <c:pt idx="20">
                  <c:v>0.29206873190463484</c:v>
                </c:pt>
                <c:pt idx="21">
                  <c:v>0.32986104089079799</c:v>
                </c:pt>
                <c:pt idx="22">
                  <c:v>0.29523119457348351</c:v>
                </c:pt>
                <c:pt idx="23">
                  <c:v>0.30712595101284951</c:v>
                </c:pt>
                <c:pt idx="24">
                  <c:v>0.28548576077231236</c:v>
                </c:pt>
                <c:pt idx="25">
                  <c:v>0.26152430895306134</c:v>
                </c:pt>
                <c:pt idx="26">
                  <c:v>0.28296573309958684</c:v>
                </c:pt>
                <c:pt idx="27">
                  <c:v>0.28672932868511364</c:v>
                </c:pt>
                <c:pt idx="28">
                  <c:v>0.35911731116371548</c:v>
                </c:pt>
                <c:pt idx="29">
                  <c:v>0.29145735562218572</c:v>
                </c:pt>
                <c:pt idx="30">
                  <c:v>0.32573517715071548</c:v>
                </c:pt>
                <c:pt idx="31">
                  <c:v>0.31619988365056351</c:v>
                </c:pt>
                <c:pt idx="32">
                  <c:v>0.37179129915842724</c:v>
                </c:pt>
                <c:pt idx="33">
                  <c:v>0.40254086303998676</c:v>
                </c:pt>
                <c:pt idx="34">
                  <c:v>0.43861256136882432</c:v>
                </c:pt>
                <c:pt idx="35">
                  <c:v>0.46137647706880669</c:v>
                </c:pt>
                <c:pt idx="36">
                  <c:v>0.48925392985804572</c:v>
                </c:pt>
                <c:pt idx="37">
                  <c:v>0.57947675601095583</c:v>
                </c:pt>
                <c:pt idx="38">
                  <c:v>0.60289666302625833</c:v>
                </c:pt>
                <c:pt idx="39">
                  <c:v>0.61368100185058794</c:v>
                </c:pt>
                <c:pt idx="40">
                  <c:v>0.58922907404292357</c:v>
                </c:pt>
                <c:pt idx="41">
                  <c:v>0.6528710657334762</c:v>
                </c:pt>
                <c:pt idx="42">
                  <c:v>0.65636010480202545</c:v>
                </c:pt>
                <c:pt idx="43">
                  <c:v>0.72165146819891324</c:v>
                </c:pt>
                <c:pt idx="44">
                  <c:v>0.77283952935223121</c:v>
                </c:pt>
                <c:pt idx="45">
                  <c:v>0.74725662895626632</c:v>
                </c:pt>
                <c:pt idx="46">
                  <c:v>0.71764042766995684</c:v>
                </c:pt>
                <c:pt idx="47">
                  <c:v>0.79814504248975671</c:v>
                </c:pt>
                <c:pt idx="48">
                  <c:v>0.79824829696305344</c:v>
                </c:pt>
                <c:pt idx="49">
                  <c:v>0.76886010792980108</c:v>
                </c:pt>
                <c:pt idx="50">
                  <c:v>0.84341687031190837</c:v>
                </c:pt>
                <c:pt idx="51">
                  <c:v>0.82748356768249343</c:v>
                </c:pt>
                <c:pt idx="52">
                  <c:v>0.81329510347656431</c:v>
                </c:pt>
                <c:pt idx="53">
                  <c:v>0.81665225931817165</c:v>
                </c:pt>
                <c:pt idx="54">
                  <c:v>0.75949227918388751</c:v>
                </c:pt>
                <c:pt idx="55">
                  <c:v>0.87264937639598217</c:v>
                </c:pt>
                <c:pt idx="56">
                  <c:v>0.98723043446417802</c:v>
                </c:pt>
                <c:pt idx="57">
                  <c:v>1.034956600990202</c:v>
                </c:pt>
                <c:pt idx="58">
                  <c:v>1.0913279644399034</c:v>
                </c:pt>
                <c:pt idx="59">
                  <c:v>1.1186725155275414</c:v>
                </c:pt>
                <c:pt idx="60">
                  <c:v>1.0962878484229674</c:v>
                </c:pt>
                <c:pt idx="61">
                  <c:v>1.1286852571761783</c:v>
                </c:pt>
                <c:pt idx="62">
                  <c:v>1.1705010324670606</c:v>
                </c:pt>
                <c:pt idx="63">
                  <c:v>1.1554943499569852</c:v>
                </c:pt>
                <c:pt idx="64">
                  <c:v>1.1195597978351055</c:v>
                </c:pt>
                <c:pt idx="65">
                  <c:v>1.114860848162134</c:v>
                </c:pt>
                <c:pt idx="66">
                  <c:v>1.1277157213354676</c:v>
                </c:pt>
                <c:pt idx="67">
                  <c:v>1.0846361178062318</c:v>
                </c:pt>
                <c:pt idx="68">
                  <c:v>1.0765795603637094</c:v>
                </c:pt>
                <c:pt idx="69">
                  <c:v>1.0623021766764371</c:v>
                </c:pt>
                <c:pt idx="70">
                  <c:v>1.0970867614938045</c:v>
                </c:pt>
                <c:pt idx="71">
                  <c:v>1.073542875986667</c:v>
                </c:pt>
                <c:pt idx="72">
                  <c:v>1.0884269125364885</c:v>
                </c:pt>
                <c:pt idx="73">
                  <c:v>1.1076322084254504</c:v>
                </c:pt>
                <c:pt idx="74">
                  <c:v>1.0188390521365789</c:v>
                </c:pt>
                <c:pt idx="75">
                  <c:v>0.97749523459961352</c:v>
                </c:pt>
                <c:pt idx="76">
                  <c:v>0.98644589091164192</c:v>
                </c:pt>
                <c:pt idx="77">
                  <c:v>0.95960856569915565</c:v>
                </c:pt>
                <c:pt idx="78">
                  <c:v>0.98873438595353003</c:v>
                </c:pt>
                <c:pt idx="79">
                  <c:v>1.0584723953342099</c:v>
                </c:pt>
                <c:pt idx="80">
                  <c:v>1.0913665644153741</c:v>
                </c:pt>
                <c:pt idx="81">
                  <c:v>1.0830352584810563</c:v>
                </c:pt>
                <c:pt idx="82">
                  <c:v>1.0848819122910309</c:v>
                </c:pt>
                <c:pt idx="83">
                  <c:v>1.1346521341896414</c:v>
                </c:pt>
                <c:pt idx="84">
                  <c:v>1.083495462422976</c:v>
                </c:pt>
                <c:pt idx="85">
                  <c:v>1.0417146879692425</c:v>
                </c:pt>
                <c:pt idx="86">
                  <c:v>1.0862472972354642</c:v>
                </c:pt>
                <c:pt idx="87">
                  <c:v>1.0798508680506098</c:v>
                </c:pt>
                <c:pt idx="88">
                  <c:v>1.0123829152178985</c:v>
                </c:pt>
                <c:pt idx="89">
                  <c:v>0.98679208432416454</c:v>
                </c:pt>
                <c:pt idx="90">
                  <c:v>0.9452090159112787</c:v>
                </c:pt>
                <c:pt idx="91">
                  <c:v>0.9535892799143697</c:v>
                </c:pt>
                <c:pt idx="92">
                  <c:v>1.0266915677148098</c:v>
                </c:pt>
                <c:pt idx="93">
                  <c:v>1.0366447312763851</c:v>
                </c:pt>
                <c:pt idx="94">
                  <c:v>1.024304444271994</c:v>
                </c:pt>
                <c:pt idx="95">
                  <c:v>0.99350189028954061</c:v>
                </c:pt>
                <c:pt idx="96">
                  <c:v>1.1024439321317112</c:v>
                </c:pt>
                <c:pt idx="97">
                  <c:v>1.0340172142776232</c:v>
                </c:pt>
                <c:pt idx="98">
                  <c:v>1.0898280691756099</c:v>
                </c:pt>
                <c:pt idx="99">
                  <c:v>1.0405683351349073</c:v>
                </c:pt>
                <c:pt idx="100">
                  <c:v>0.98704422949811887</c:v>
                </c:pt>
                <c:pt idx="101">
                  <c:v>0.98434480935913315</c:v>
                </c:pt>
                <c:pt idx="102">
                  <c:v>1.0238947692144607</c:v>
                </c:pt>
                <c:pt idx="103">
                  <c:v>1.0726182741324868</c:v>
                </c:pt>
                <c:pt idx="104">
                  <c:v>1.0169232133635993</c:v>
                </c:pt>
                <c:pt idx="105">
                  <c:v>1.1047590889465972</c:v>
                </c:pt>
                <c:pt idx="106">
                  <c:v>1.1308917092998449</c:v>
                </c:pt>
                <c:pt idx="107">
                  <c:v>1.1067774330510061</c:v>
                </c:pt>
                <c:pt idx="108">
                  <c:v>1.1763030540709383</c:v>
                </c:pt>
                <c:pt idx="109">
                  <c:v>1.1483613970754887</c:v>
                </c:pt>
                <c:pt idx="110">
                  <c:v>1.1630227249952838</c:v>
                </c:pt>
                <c:pt idx="111">
                  <c:v>1.1565883997570858</c:v>
                </c:pt>
                <c:pt idx="112">
                  <c:v>1.1489898542114156</c:v>
                </c:pt>
                <c:pt idx="113">
                  <c:v>1.1657467289857106</c:v>
                </c:pt>
                <c:pt idx="114">
                  <c:v>1.2116874084074347</c:v>
                </c:pt>
                <c:pt idx="115">
                  <c:v>1.2247234569304144</c:v>
                </c:pt>
                <c:pt idx="116">
                  <c:v>1.2816263719404133</c:v>
                </c:pt>
                <c:pt idx="117">
                  <c:v>1.3605162732180962</c:v>
                </c:pt>
                <c:pt idx="118">
                  <c:v>1.2956431234699319</c:v>
                </c:pt>
                <c:pt idx="119">
                  <c:v>1.2842465104088463</c:v>
                </c:pt>
                <c:pt idx="120">
                  <c:v>1.2277512556640298</c:v>
                </c:pt>
                <c:pt idx="121">
                  <c:v>1.2608154136344707</c:v>
                </c:pt>
                <c:pt idx="122">
                  <c:v>1.252052034853453</c:v>
                </c:pt>
                <c:pt idx="123">
                  <c:v>1.2344843094166451</c:v>
                </c:pt>
                <c:pt idx="124">
                  <c:v>1.2178789015290352</c:v>
                </c:pt>
                <c:pt idx="125">
                  <c:v>1.2050159253556558</c:v>
                </c:pt>
                <c:pt idx="126">
                  <c:v>1.1756056694870896</c:v>
                </c:pt>
                <c:pt idx="127">
                  <c:v>1.1530721680460454</c:v>
                </c:pt>
                <c:pt idx="128">
                  <c:v>1.125561316164992</c:v>
                </c:pt>
                <c:pt idx="129">
                  <c:v>1.1856863388399395</c:v>
                </c:pt>
                <c:pt idx="130">
                  <c:v>1.1896519746782244</c:v>
                </c:pt>
                <c:pt idx="131">
                  <c:v>1.1757734032468328</c:v>
                </c:pt>
                <c:pt idx="132">
                  <c:v>1.1706741318577281</c:v>
                </c:pt>
                <c:pt idx="133">
                  <c:v>1.1448631287239801</c:v>
                </c:pt>
                <c:pt idx="134">
                  <c:v>1.098103325985107</c:v>
                </c:pt>
                <c:pt idx="135">
                  <c:v>1.0795740971133496</c:v>
                </c:pt>
                <c:pt idx="136">
                  <c:v>1.0416425011630899</c:v>
                </c:pt>
                <c:pt idx="137">
                  <c:v>1.0840405423357662</c:v>
                </c:pt>
                <c:pt idx="138">
                  <c:v>1.1253535540670307</c:v>
                </c:pt>
                <c:pt idx="139">
                  <c:v>1.1841392534232427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EE-4888-BE98-06BA9CD80052}"/>
            </c:ext>
          </c:extLst>
        </c:ser>
        <c:ser>
          <c:idx val="2"/>
          <c:order val="2"/>
          <c:tx>
            <c:strRef>
              <c:f>累積報酬!$B$14</c:f>
              <c:strCache>
                <c:ptCount val="1"/>
                <c:pt idx="0">
                  <c:v>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累積報酬!$C$14:$EL$14</c:f>
              <c:numCache>
                <c:formatCode>General</c:formatCode>
                <c:ptCount val="140"/>
                <c:pt idx="0">
                  <c:v>-5.6853263530549307E-2</c:v>
                </c:pt>
                <c:pt idx="1">
                  <c:v>9.5396674969330575E-2</c:v>
                </c:pt>
                <c:pt idx="2">
                  <c:v>7.7342482022871778E-2</c:v>
                </c:pt>
                <c:pt idx="3">
                  <c:v>0.1062177226235357</c:v>
                </c:pt>
                <c:pt idx="4">
                  <c:v>5.2802631659594368E-2</c:v>
                </c:pt>
                <c:pt idx="5">
                  <c:v>6.6865046106639736E-2</c:v>
                </c:pt>
                <c:pt idx="6">
                  <c:v>7.1844448838203137E-3</c:v>
                </c:pt>
                <c:pt idx="7">
                  <c:v>4.3861583627406574E-2</c:v>
                </c:pt>
                <c:pt idx="8">
                  <c:v>6.3414431436796953E-2</c:v>
                </c:pt>
                <c:pt idx="9">
                  <c:v>1.7459846401288344E-2</c:v>
                </c:pt>
                <c:pt idx="10">
                  <c:v>3.7088014516071577E-2</c:v>
                </c:pt>
                <c:pt idx="11">
                  <c:v>8.657107361045166E-2</c:v>
                </c:pt>
                <c:pt idx="12">
                  <c:v>0.10920764495741188</c:v>
                </c:pt>
                <c:pt idx="13">
                  <c:v>0.14328359679874561</c:v>
                </c:pt>
                <c:pt idx="14">
                  <c:v>0.20186791509187521</c:v>
                </c:pt>
                <c:pt idx="15">
                  <c:v>0.1766995490429481</c:v>
                </c:pt>
                <c:pt idx="16">
                  <c:v>0.30262603321549442</c:v>
                </c:pt>
                <c:pt idx="17">
                  <c:v>0.3824263938119799</c:v>
                </c:pt>
                <c:pt idx="18">
                  <c:v>0.46315727986172817</c:v>
                </c:pt>
                <c:pt idx="19">
                  <c:v>0.46422109602840572</c:v>
                </c:pt>
                <c:pt idx="20">
                  <c:v>0.47304000742461705</c:v>
                </c:pt>
                <c:pt idx="21">
                  <c:v>0.51824666455585433</c:v>
                </c:pt>
                <c:pt idx="22">
                  <c:v>0.4851329137444077</c:v>
                </c:pt>
                <c:pt idx="23">
                  <c:v>0.52927885600553259</c:v>
                </c:pt>
                <c:pt idx="24">
                  <c:v>0.48381053091692205</c:v>
                </c:pt>
                <c:pt idx="25">
                  <c:v>0.44047391924115431</c:v>
                </c:pt>
                <c:pt idx="26">
                  <c:v>0.46959694686671211</c:v>
                </c:pt>
                <c:pt idx="27">
                  <c:v>0.48104130196524708</c:v>
                </c:pt>
                <c:pt idx="28">
                  <c:v>0.58433981869364804</c:v>
                </c:pt>
                <c:pt idx="29">
                  <c:v>0.48781990608491199</c:v>
                </c:pt>
                <c:pt idx="30">
                  <c:v>0.51307525997361814</c:v>
                </c:pt>
                <c:pt idx="31">
                  <c:v>0.56441811959710408</c:v>
                </c:pt>
                <c:pt idx="32">
                  <c:v>0.58671531409214173</c:v>
                </c:pt>
                <c:pt idx="33">
                  <c:v>0.63855778953893128</c:v>
                </c:pt>
                <c:pt idx="34">
                  <c:v>0.67035524253487822</c:v>
                </c:pt>
                <c:pt idx="35">
                  <c:v>0.68691379741440417</c:v>
                </c:pt>
                <c:pt idx="36">
                  <c:v>0.7381396378151226</c:v>
                </c:pt>
                <c:pt idx="37">
                  <c:v>0.85162022178424723</c:v>
                </c:pt>
                <c:pt idx="38">
                  <c:v>0.87957932435053066</c:v>
                </c:pt>
                <c:pt idx="39">
                  <c:v>0.94491309214855612</c:v>
                </c:pt>
                <c:pt idx="40">
                  <c:v>0.94466264495258789</c:v>
                </c:pt>
                <c:pt idx="41">
                  <c:v>1.0146335137002946</c:v>
                </c:pt>
                <c:pt idx="42">
                  <c:v>1.0240925053930918</c:v>
                </c:pt>
                <c:pt idx="43">
                  <c:v>1.0975459184766465</c:v>
                </c:pt>
                <c:pt idx="44">
                  <c:v>1.1653345707240128</c:v>
                </c:pt>
                <c:pt idx="45">
                  <c:v>1.1289957487556721</c:v>
                </c:pt>
                <c:pt idx="46">
                  <c:v>1.0841229707380782</c:v>
                </c:pt>
                <c:pt idx="47">
                  <c:v>1.1502980190397023</c:v>
                </c:pt>
                <c:pt idx="48">
                  <c:v>1.1692024984633185</c:v>
                </c:pt>
                <c:pt idx="49">
                  <c:v>1.123183904034371</c:v>
                </c:pt>
                <c:pt idx="50">
                  <c:v>1.1696541188249778</c:v>
                </c:pt>
                <c:pt idx="51">
                  <c:v>1.2013285072894531</c:v>
                </c:pt>
                <c:pt idx="52">
                  <c:v>1.169232478531671</c:v>
                </c:pt>
                <c:pt idx="53">
                  <c:v>1.1499461149866492</c:v>
                </c:pt>
                <c:pt idx="54">
                  <c:v>1.0941334146328126</c:v>
                </c:pt>
                <c:pt idx="55">
                  <c:v>1.2645533211737077</c:v>
                </c:pt>
                <c:pt idx="56">
                  <c:v>1.4114879990873523</c:v>
                </c:pt>
                <c:pt idx="57">
                  <c:v>1.4808282800952588</c:v>
                </c:pt>
                <c:pt idx="58">
                  <c:v>1.5392912909330818</c:v>
                </c:pt>
                <c:pt idx="59">
                  <c:v>1.5894304575235976</c:v>
                </c:pt>
                <c:pt idx="60">
                  <c:v>1.5388994339283562</c:v>
                </c:pt>
                <c:pt idx="61">
                  <c:v>1.5797514283853951</c:v>
                </c:pt>
                <c:pt idx="62">
                  <c:v>1.6616905215480458</c:v>
                </c:pt>
                <c:pt idx="63">
                  <c:v>1.6838399685985168</c:v>
                </c:pt>
                <c:pt idx="64">
                  <c:v>1.6822535355148409</c:v>
                </c:pt>
                <c:pt idx="65">
                  <c:v>1.6741377357148242</c:v>
                </c:pt>
                <c:pt idx="66">
                  <c:v>1.6668661707026691</c:v>
                </c:pt>
                <c:pt idx="67">
                  <c:v>1.5905104061641362</c:v>
                </c:pt>
                <c:pt idx="68">
                  <c:v>1.5665239303845964</c:v>
                </c:pt>
                <c:pt idx="69">
                  <c:v>1.5384281964203887</c:v>
                </c:pt>
                <c:pt idx="70">
                  <c:v>1.5799577332873804</c:v>
                </c:pt>
                <c:pt idx="71">
                  <c:v>1.5622746723490195</c:v>
                </c:pt>
                <c:pt idx="72">
                  <c:v>1.5842327231076156</c:v>
                </c:pt>
                <c:pt idx="73">
                  <c:v>1.6157944270768427</c:v>
                </c:pt>
                <c:pt idx="74">
                  <c:v>1.481094746747043</c:v>
                </c:pt>
                <c:pt idx="75">
                  <c:v>1.4139254592749557</c:v>
                </c:pt>
                <c:pt idx="76">
                  <c:v>1.3836677259239694</c:v>
                </c:pt>
                <c:pt idx="77">
                  <c:v>1.3372027914636324</c:v>
                </c:pt>
                <c:pt idx="78">
                  <c:v>1.3885467894236183</c:v>
                </c:pt>
                <c:pt idx="79">
                  <c:v>1.414472842468439</c:v>
                </c:pt>
                <c:pt idx="80">
                  <c:v>1.4923538521459572</c:v>
                </c:pt>
                <c:pt idx="81">
                  <c:v>1.4545612295610046</c:v>
                </c:pt>
                <c:pt idx="82">
                  <c:v>1.3748403270284038</c:v>
                </c:pt>
                <c:pt idx="83">
                  <c:v>1.4458247010426795</c:v>
                </c:pt>
                <c:pt idx="84">
                  <c:v>1.3559760060699728</c:v>
                </c:pt>
                <c:pt idx="85">
                  <c:v>1.3097796808379847</c:v>
                </c:pt>
                <c:pt idx="86">
                  <c:v>1.4125502251824242</c:v>
                </c:pt>
                <c:pt idx="87">
                  <c:v>1.4394157164740395</c:v>
                </c:pt>
                <c:pt idx="88">
                  <c:v>1.3331430898313303</c:v>
                </c:pt>
                <c:pt idx="89">
                  <c:v>1.2903302792251528</c:v>
                </c:pt>
                <c:pt idx="90">
                  <c:v>1.1903488548555452</c:v>
                </c:pt>
                <c:pt idx="91">
                  <c:v>1.2174457902482709</c:v>
                </c:pt>
                <c:pt idx="92">
                  <c:v>1.2555569181713313</c:v>
                </c:pt>
                <c:pt idx="93">
                  <c:v>1.2564286017991908</c:v>
                </c:pt>
                <c:pt idx="94">
                  <c:v>1.2648599025882139</c:v>
                </c:pt>
                <c:pt idx="95">
                  <c:v>1.288212796535142</c:v>
                </c:pt>
                <c:pt idx="96">
                  <c:v>1.3842104164839766</c:v>
                </c:pt>
                <c:pt idx="97">
                  <c:v>1.3231471727249149</c:v>
                </c:pt>
                <c:pt idx="98">
                  <c:v>1.3745971003734354</c:v>
                </c:pt>
                <c:pt idx="99">
                  <c:v>1.3192722767130192</c:v>
                </c:pt>
                <c:pt idx="100">
                  <c:v>1.2469224981024132</c:v>
                </c:pt>
                <c:pt idx="101">
                  <c:v>1.2128881147893174</c:v>
                </c:pt>
                <c:pt idx="102">
                  <c:v>1.2138668358688682</c:v>
                </c:pt>
                <c:pt idx="103">
                  <c:v>1.3285277761542318</c:v>
                </c:pt>
                <c:pt idx="104">
                  <c:v>1.2611696274854263</c:v>
                </c:pt>
                <c:pt idx="105">
                  <c:v>1.3834311260031138</c:v>
                </c:pt>
                <c:pt idx="106">
                  <c:v>1.4171227551498753</c:v>
                </c:pt>
                <c:pt idx="107">
                  <c:v>1.3904329461297995</c:v>
                </c:pt>
                <c:pt idx="108">
                  <c:v>1.485322523543227</c:v>
                </c:pt>
                <c:pt idx="109">
                  <c:v>1.4424204424662459</c:v>
                </c:pt>
                <c:pt idx="110">
                  <c:v>1.4925200958561047</c:v>
                </c:pt>
                <c:pt idx="111">
                  <c:v>1.5138999554619645</c:v>
                </c:pt>
                <c:pt idx="112">
                  <c:v>1.4560203435371561</c:v>
                </c:pt>
                <c:pt idx="113">
                  <c:v>1.4961140417056069</c:v>
                </c:pt>
                <c:pt idx="114">
                  <c:v>1.521006465597923</c:v>
                </c:pt>
                <c:pt idx="115">
                  <c:v>1.6027514200267361</c:v>
                </c:pt>
                <c:pt idx="116">
                  <c:v>1.7461641730817619</c:v>
                </c:pt>
                <c:pt idx="117">
                  <c:v>1.8440056183834614</c:v>
                </c:pt>
                <c:pt idx="118">
                  <c:v>1.7896598341471073</c:v>
                </c:pt>
                <c:pt idx="119">
                  <c:v>1.7954186967430896</c:v>
                </c:pt>
                <c:pt idx="120">
                  <c:v>1.6920144079295452</c:v>
                </c:pt>
                <c:pt idx="121">
                  <c:v>1.6967264673092235</c:v>
                </c:pt>
                <c:pt idx="122">
                  <c:v>1.6310851806561752</c:v>
                </c:pt>
                <c:pt idx="123">
                  <c:v>1.6118309778309219</c:v>
                </c:pt>
                <c:pt idx="124">
                  <c:v>1.5982488997764086</c:v>
                </c:pt>
                <c:pt idx="125">
                  <c:v>1.5625222845282341</c:v>
                </c:pt>
                <c:pt idx="126">
                  <c:v>1.5196853022797128</c:v>
                </c:pt>
                <c:pt idx="127">
                  <c:v>1.5038756361017072</c:v>
                </c:pt>
                <c:pt idx="128">
                  <c:v>1.4900952468539093</c:v>
                </c:pt>
                <c:pt idx="129">
                  <c:v>1.6107586658526856</c:v>
                </c:pt>
                <c:pt idx="130">
                  <c:v>1.6134962724952289</c:v>
                </c:pt>
                <c:pt idx="131">
                  <c:v>1.5518112223589575</c:v>
                </c:pt>
                <c:pt idx="132">
                  <c:v>1.5443902239089145</c:v>
                </c:pt>
                <c:pt idx="133">
                  <c:v>1.5460712672415773</c:v>
                </c:pt>
                <c:pt idx="134">
                  <c:v>1.4401770387697621</c:v>
                </c:pt>
                <c:pt idx="135">
                  <c:v>1.4263348628290395</c:v>
                </c:pt>
                <c:pt idx="136">
                  <c:v>1.3743346513656107</c:v>
                </c:pt>
                <c:pt idx="137">
                  <c:v>1.4279947327671381</c:v>
                </c:pt>
                <c:pt idx="138">
                  <c:v>1.5337078026976319</c:v>
                </c:pt>
                <c:pt idx="139">
                  <c:v>1.5931593268104054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EE-4888-BE98-06BA9CD80052}"/>
            </c:ext>
          </c:extLst>
        </c:ser>
        <c:ser>
          <c:idx val="3"/>
          <c:order val="3"/>
          <c:tx>
            <c:strRef>
              <c:f>累積報酬!$B$15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累積報酬!$C$15:$EL$15</c:f>
              <c:numCache>
                <c:formatCode>General</c:formatCode>
                <c:ptCount val="140"/>
                <c:pt idx="0">
                  <c:v>-9.5037535583778296E-2</c:v>
                </c:pt>
                <c:pt idx="1">
                  <c:v>7.4632950680472612E-2</c:v>
                </c:pt>
                <c:pt idx="2">
                  <c:v>3.796332676582434E-2</c:v>
                </c:pt>
                <c:pt idx="3">
                  <c:v>0.12179958198221054</c:v>
                </c:pt>
                <c:pt idx="4">
                  <c:v>7.6470733304890751E-2</c:v>
                </c:pt>
                <c:pt idx="5">
                  <c:v>0.10977347467193196</c:v>
                </c:pt>
                <c:pt idx="6">
                  <c:v>9.0113731363808958E-2</c:v>
                </c:pt>
                <c:pt idx="7">
                  <c:v>0.12883698725603809</c:v>
                </c:pt>
                <c:pt idx="8">
                  <c:v>0.18384653734413794</c:v>
                </c:pt>
                <c:pt idx="9">
                  <c:v>0.13219097924831988</c:v>
                </c:pt>
                <c:pt idx="10">
                  <c:v>8.690947265490627E-2</c:v>
                </c:pt>
                <c:pt idx="11">
                  <c:v>0.15599577720214261</c:v>
                </c:pt>
                <c:pt idx="12">
                  <c:v>0.17899145063209793</c:v>
                </c:pt>
                <c:pt idx="13">
                  <c:v>0.21433019140182519</c:v>
                </c:pt>
                <c:pt idx="14">
                  <c:v>0.23214213679946974</c:v>
                </c:pt>
                <c:pt idx="15">
                  <c:v>0.24345444401334876</c:v>
                </c:pt>
                <c:pt idx="16">
                  <c:v>0.43917277819794037</c:v>
                </c:pt>
                <c:pt idx="17">
                  <c:v>0.52993040780411071</c:v>
                </c:pt>
                <c:pt idx="18">
                  <c:v>0.62621254527824144</c:v>
                </c:pt>
                <c:pt idx="19">
                  <c:v>0.56983867406181976</c:v>
                </c:pt>
                <c:pt idx="20">
                  <c:v>0.60334572892886029</c:v>
                </c:pt>
                <c:pt idx="21">
                  <c:v>0.68055797167283949</c:v>
                </c:pt>
                <c:pt idx="22">
                  <c:v>0.624181566264006</c:v>
                </c:pt>
                <c:pt idx="23">
                  <c:v>0.68453961119948192</c:v>
                </c:pt>
                <c:pt idx="24">
                  <c:v>0.65755602957823389</c:v>
                </c:pt>
                <c:pt idx="25">
                  <c:v>0.61274431210537927</c:v>
                </c:pt>
                <c:pt idx="26">
                  <c:v>0.64995347331563325</c:v>
                </c:pt>
                <c:pt idx="27">
                  <c:v>0.6730697268914978</c:v>
                </c:pt>
                <c:pt idx="28">
                  <c:v>0.78457456031624384</c:v>
                </c:pt>
                <c:pt idx="29">
                  <c:v>0.65783327205445441</c:v>
                </c:pt>
                <c:pt idx="30">
                  <c:v>0.66443229987005892</c:v>
                </c:pt>
                <c:pt idx="31">
                  <c:v>0.70803823164205459</c:v>
                </c:pt>
                <c:pt idx="32">
                  <c:v>0.74584220674900703</c:v>
                </c:pt>
                <c:pt idx="33">
                  <c:v>0.83815895206337776</c:v>
                </c:pt>
                <c:pt idx="34">
                  <c:v>0.91764602698205056</c:v>
                </c:pt>
                <c:pt idx="35">
                  <c:v>0.92578816261559471</c:v>
                </c:pt>
                <c:pt idx="36">
                  <c:v>0.98245879981193984</c:v>
                </c:pt>
                <c:pt idx="37">
                  <c:v>1.0919055005903406</c:v>
                </c:pt>
                <c:pt idx="38">
                  <c:v>1.1772639219250185</c:v>
                </c:pt>
                <c:pt idx="39">
                  <c:v>1.2362782698618444</c:v>
                </c:pt>
                <c:pt idx="40">
                  <c:v>1.2435034775923273</c:v>
                </c:pt>
                <c:pt idx="41">
                  <c:v>1.3151397463675853</c:v>
                </c:pt>
                <c:pt idx="42">
                  <c:v>1.4074712637552087</c:v>
                </c:pt>
                <c:pt idx="43">
                  <c:v>1.5427492541885801</c:v>
                </c:pt>
                <c:pt idx="44">
                  <c:v>1.6629631059823913</c:v>
                </c:pt>
                <c:pt idx="45">
                  <c:v>1.5915389828240623</c:v>
                </c:pt>
                <c:pt idx="46">
                  <c:v>1.5542780843456383</c:v>
                </c:pt>
                <c:pt idx="47">
                  <c:v>1.6654484373785279</c:v>
                </c:pt>
                <c:pt idx="48">
                  <c:v>1.673390390066978</c:v>
                </c:pt>
                <c:pt idx="49">
                  <c:v>1.6121557110946652</c:v>
                </c:pt>
                <c:pt idx="50">
                  <c:v>1.6305483101822162</c:v>
                </c:pt>
                <c:pt idx="51">
                  <c:v>1.7131904691918021</c:v>
                </c:pt>
                <c:pt idx="52">
                  <c:v>1.7125008969426885</c:v>
                </c:pt>
                <c:pt idx="53">
                  <c:v>1.6163484193869759</c:v>
                </c:pt>
                <c:pt idx="54">
                  <c:v>1.5627803516583021</c:v>
                </c:pt>
                <c:pt idx="55">
                  <c:v>1.7951965199959843</c:v>
                </c:pt>
                <c:pt idx="56">
                  <c:v>1.9473201906721076</c:v>
                </c:pt>
                <c:pt idx="57">
                  <c:v>2.0966114324019505</c:v>
                </c:pt>
                <c:pt idx="58">
                  <c:v>2.1213295341210392</c:v>
                </c:pt>
                <c:pt idx="59">
                  <c:v>2.1798173956006983</c:v>
                </c:pt>
                <c:pt idx="60">
                  <c:v>2.1111637599484592</c:v>
                </c:pt>
                <c:pt idx="61">
                  <c:v>2.1729521895964816</c:v>
                </c:pt>
                <c:pt idx="62">
                  <c:v>2.2142101681562614</c:v>
                </c:pt>
                <c:pt idx="63">
                  <c:v>2.2290117038224344</c:v>
                </c:pt>
                <c:pt idx="64">
                  <c:v>2.2120561417247293</c:v>
                </c:pt>
                <c:pt idx="65">
                  <c:v>2.1770588833726978</c:v>
                </c:pt>
                <c:pt idx="66">
                  <c:v>2.1783642029008821</c:v>
                </c:pt>
                <c:pt idx="67">
                  <c:v>2.0745013785627955</c:v>
                </c:pt>
                <c:pt idx="68">
                  <c:v>2.0156788995616277</c:v>
                </c:pt>
                <c:pt idx="69">
                  <c:v>2.0166712303652643</c:v>
                </c:pt>
                <c:pt idx="70">
                  <c:v>2.0660224995104208</c:v>
                </c:pt>
                <c:pt idx="71">
                  <c:v>2.0709666331994621</c:v>
                </c:pt>
                <c:pt idx="72">
                  <c:v>2.090088241534537</c:v>
                </c:pt>
                <c:pt idx="73">
                  <c:v>2.078124973266064</c:v>
                </c:pt>
                <c:pt idx="74">
                  <c:v>1.9258418208300843</c:v>
                </c:pt>
                <c:pt idx="75">
                  <c:v>1.8503767499361965</c:v>
                </c:pt>
                <c:pt idx="76">
                  <c:v>1.8032225485635467</c:v>
                </c:pt>
                <c:pt idx="77">
                  <c:v>1.7363590819252623</c:v>
                </c:pt>
                <c:pt idx="78">
                  <c:v>1.7696369094254607</c:v>
                </c:pt>
                <c:pt idx="79">
                  <c:v>1.7452468818839884</c:v>
                </c:pt>
                <c:pt idx="80">
                  <c:v>1.8146430168413195</c:v>
                </c:pt>
                <c:pt idx="81">
                  <c:v>1.824521226748774</c:v>
                </c:pt>
                <c:pt idx="82">
                  <c:v>1.7424638730775148</c:v>
                </c:pt>
                <c:pt idx="83">
                  <c:v>1.8606416116637923</c:v>
                </c:pt>
                <c:pt idx="84">
                  <c:v>1.7732709690261008</c:v>
                </c:pt>
                <c:pt idx="85">
                  <c:v>1.7449331403644726</c:v>
                </c:pt>
                <c:pt idx="86">
                  <c:v>1.8923475186631364</c:v>
                </c:pt>
                <c:pt idx="87">
                  <c:v>2.0049924568488682</c:v>
                </c:pt>
                <c:pt idx="88">
                  <c:v>1.9536328538782135</c:v>
                </c:pt>
                <c:pt idx="89">
                  <c:v>1.9317076341328605</c:v>
                </c:pt>
                <c:pt idx="90">
                  <c:v>1.7357551734161627</c:v>
                </c:pt>
                <c:pt idx="91">
                  <c:v>1.8113762573244834</c:v>
                </c:pt>
                <c:pt idx="92">
                  <c:v>1.9160895941104563</c:v>
                </c:pt>
                <c:pt idx="93">
                  <c:v>1.9005197133717793</c:v>
                </c:pt>
                <c:pt idx="94">
                  <c:v>1.8598689301903693</c:v>
                </c:pt>
                <c:pt idx="95">
                  <c:v>1.9043688696013577</c:v>
                </c:pt>
                <c:pt idx="96">
                  <c:v>2.0176245550214973</c:v>
                </c:pt>
                <c:pt idx="97">
                  <c:v>1.9759721742999756</c:v>
                </c:pt>
                <c:pt idx="98">
                  <c:v>2.0579928749755556</c:v>
                </c:pt>
                <c:pt idx="99">
                  <c:v>2.007842960510434</c:v>
                </c:pt>
                <c:pt idx="100">
                  <c:v>1.8884660944919978</c:v>
                </c:pt>
                <c:pt idx="101">
                  <c:v>1.8688702871622411</c:v>
                </c:pt>
                <c:pt idx="102">
                  <c:v>1.8289966134445101</c:v>
                </c:pt>
                <c:pt idx="103">
                  <c:v>2.0006389698338487</c:v>
                </c:pt>
                <c:pt idx="104">
                  <c:v>1.9687763952783803</c:v>
                </c:pt>
                <c:pt idx="105">
                  <c:v>2.12373949032385</c:v>
                </c:pt>
                <c:pt idx="106">
                  <c:v>2.1862365057309749</c:v>
                </c:pt>
                <c:pt idx="107">
                  <c:v>2.0774290128429072</c:v>
                </c:pt>
                <c:pt idx="108">
                  <c:v>2.1865879997282236</c:v>
                </c:pt>
                <c:pt idx="109">
                  <c:v>2.0659035913554082</c:v>
                </c:pt>
                <c:pt idx="110">
                  <c:v>2.0693050968258584</c:v>
                </c:pt>
                <c:pt idx="111">
                  <c:v>2.0823304614208404</c:v>
                </c:pt>
                <c:pt idx="112">
                  <c:v>2.0357661306674113</c:v>
                </c:pt>
                <c:pt idx="113">
                  <c:v>2.0647282159217024</c:v>
                </c:pt>
                <c:pt idx="114">
                  <c:v>2.0715507631889389</c:v>
                </c:pt>
                <c:pt idx="115">
                  <c:v>2.1651636307442557</c:v>
                </c:pt>
                <c:pt idx="116">
                  <c:v>2.4138719941522742</c:v>
                </c:pt>
                <c:pt idx="117">
                  <c:v>2.498304750532554</c:v>
                </c:pt>
                <c:pt idx="118">
                  <c:v>2.4398072046262529</c:v>
                </c:pt>
                <c:pt idx="119">
                  <c:v>2.4503305384747591</c:v>
                </c:pt>
                <c:pt idx="120">
                  <c:v>2.2806937308723265</c:v>
                </c:pt>
                <c:pt idx="121">
                  <c:v>2.2739983020143706</c:v>
                </c:pt>
                <c:pt idx="122">
                  <c:v>2.1412642034876117</c:v>
                </c:pt>
                <c:pt idx="123">
                  <c:v>2.1443979690179873</c:v>
                </c:pt>
                <c:pt idx="124">
                  <c:v>2.1863044363440673</c:v>
                </c:pt>
                <c:pt idx="125">
                  <c:v>2.1568154209098949</c:v>
                </c:pt>
                <c:pt idx="126">
                  <c:v>2.0538872018336183</c:v>
                </c:pt>
                <c:pt idx="127">
                  <c:v>2.0645566428101167</c:v>
                </c:pt>
                <c:pt idx="128">
                  <c:v>2.0394567715921443</c:v>
                </c:pt>
                <c:pt idx="129">
                  <c:v>2.2060970926013574</c:v>
                </c:pt>
                <c:pt idx="130">
                  <c:v>2.2248681650710727</c:v>
                </c:pt>
                <c:pt idx="131">
                  <c:v>2.1513284555457064</c:v>
                </c:pt>
                <c:pt idx="132">
                  <c:v>2.1347949844771819</c:v>
                </c:pt>
                <c:pt idx="133">
                  <c:v>2.0931494952940812</c:v>
                </c:pt>
                <c:pt idx="134">
                  <c:v>1.8575230710947221</c:v>
                </c:pt>
                <c:pt idx="135">
                  <c:v>1.8881284143598465</c:v>
                </c:pt>
                <c:pt idx="136">
                  <c:v>1.8287808560164376</c:v>
                </c:pt>
                <c:pt idx="137">
                  <c:v>1.8862429733137307</c:v>
                </c:pt>
                <c:pt idx="138">
                  <c:v>2.0263819557597809</c:v>
                </c:pt>
                <c:pt idx="139">
                  <c:v>2.1356587148246406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EE-4888-BE98-06BA9CD80052}"/>
            </c:ext>
          </c:extLst>
        </c:ser>
        <c:ser>
          <c:idx val="4"/>
          <c:order val="4"/>
          <c:tx>
            <c:strRef>
              <c:f>累積報酬!$B$16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累積報酬!$C$16:$EL$16</c:f>
              <c:numCache>
                <c:formatCode>General</c:formatCode>
                <c:ptCount val="140"/>
                <c:pt idx="0">
                  <c:v>-9.71680377431344E-2</c:v>
                </c:pt>
                <c:pt idx="1">
                  <c:v>7.1176969698750508E-2</c:v>
                </c:pt>
                <c:pt idx="2">
                  <c:v>4.408632250258978E-2</c:v>
                </c:pt>
                <c:pt idx="3">
                  <c:v>0.12028264582034318</c:v>
                </c:pt>
                <c:pt idx="4">
                  <c:v>8.1296954734902283E-2</c:v>
                </c:pt>
                <c:pt idx="5">
                  <c:v>0.12394750469001901</c:v>
                </c:pt>
                <c:pt idx="6">
                  <c:v>0.10601793617378341</c:v>
                </c:pt>
                <c:pt idx="7">
                  <c:v>0.11811345849643054</c:v>
                </c:pt>
                <c:pt idx="8">
                  <c:v>0.17615004033012763</c:v>
                </c:pt>
                <c:pt idx="9">
                  <c:v>0.11681840682540798</c:v>
                </c:pt>
                <c:pt idx="10">
                  <c:v>6.111845779970583E-2</c:v>
                </c:pt>
                <c:pt idx="11">
                  <c:v>0.13568555729880599</c:v>
                </c:pt>
                <c:pt idx="12">
                  <c:v>0.15861964766528347</c:v>
                </c:pt>
                <c:pt idx="13">
                  <c:v>0.20889648546003067</c:v>
                </c:pt>
                <c:pt idx="14">
                  <c:v>0.22347499526958933</c:v>
                </c:pt>
                <c:pt idx="15">
                  <c:v>0.24998391632467143</c:v>
                </c:pt>
                <c:pt idx="16">
                  <c:v>0.47339850493680879</c:v>
                </c:pt>
                <c:pt idx="17">
                  <c:v>0.5640128499713768</c:v>
                </c:pt>
                <c:pt idx="18">
                  <c:v>0.656219644213623</c:v>
                </c:pt>
                <c:pt idx="19">
                  <c:v>0.59441217074305286</c:v>
                </c:pt>
                <c:pt idx="20">
                  <c:v>0.66170387620186477</c:v>
                </c:pt>
                <c:pt idx="21">
                  <c:v>0.75818283096385219</c:v>
                </c:pt>
                <c:pt idx="22">
                  <c:v>0.6933808898508933</c:v>
                </c:pt>
                <c:pt idx="23">
                  <c:v>0.74291060217249294</c:v>
                </c:pt>
                <c:pt idx="24">
                  <c:v>0.72030162837821388</c:v>
                </c:pt>
                <c:pt idx="25">
                  <c:v>0.69446836403808798</c:v>
                </c:pt>
                <c:pt idx="26">
                  <c:v>0.72945591440943613</c:v>
                </c:pt>
                <c:pt idx="27">
                  <c:v>0.75094012656848708</c:v>
                </c:pt>
                <c:pt idx="28">
                  <c:v>0.82856311069225763</c:v>
                </c:pt>
                <c:pt idx="29">
                  <c:v>0.68551506106980997</c:v>
                </c:pt>
                <c:pt idx="30">
                  <c:v>0.69879929498166682</c:v>
                </c:pt>
                <c:pt idx="31">
                  <c:v>0.70456130821663487</c:v>
                </c:pt>
                <c:pt idx="32">
                  <c:v>0.74886808901095858</c:v>
                </c:pt>
                <c:pt idx="33">
                  <c:v>0.86788120136537206</c:v>
                </c:pt>
                <c:pt idx="34">
                  <c:v>0.94112609068719177</c:v>
                </c:pt>
                <c:pt idx="35">
                  <c:v>0.9554877984545006</c:v>
                </c:pt>
                <c:pt idx="36">
                  <c:v>1.0075077488526745</c:v>
                </c:pt>
                <c:pt idx="37">
                  <c:v>1.1258704648185698</c:v>
                </c:pt>
                <c:pt idx="38">
                  <c:v>1.2178810822239707</c:v>
                </c:pt>
                <c:pt idx="39">
                  <c:v>1.2743952947149799</c:v>
                </c:pt>
                <c:pt idx="40">
                  <c:v>1.2828783351903037</c:v>
                </c:pt>
                <c:pt idx="41">
                  <c:v>1.331826578073577</c:v>
                </c:pt>
                <c:pt idx="42">
                  <c:v>1.4576344807137562</c:v>
                </c:pt>
                <c:pt idx="43">
                  <c:v>1.6011327059415454</c:v>
                </c:pt>
                <c:pt idx="44">
                  <c:v>1.733471207096339</c:v>
                </c:pt>
                <c:pt idx="45">
                  <c:v>1.6562902822822134</c:v>
                </c:pt>
                <c:pt idx="46">
                  <c:v>1.6164641599064162</c:v>
                </c:pt>
                <c:pt idx="47">
                  <c:v>1.7292503903735383</c:v>
                </c:pt>
                <c:pt idx="48">
                  <c:v>1.730922255575662</c:v>
                </c:pt>
                <c:pt idx="49">
                  <c:v>1.6672536566801004</c:v>
                </c:pt>
                <c:pt idx="50">
                  <c:v>1.6784588586330651</c:v>
                </c:pt>
                <c:pt idx="51">
                  <c:v>1.7560308125357529</c:v>
                </c:pt>
                <c:pt idx="52">
                  <c:v>1.7581673035282945</c:v>
                </c:pt>
                <c:pt idx="53">
                  <c:v>1.662509075923478</c:v>
                </c:pt>
                <c:pt idx="54">
                  <c:v>1.5987197847754515</c:v>
                </c:pt>
                <c:pt idx="55">
                  <c:v>1.8313503844937002</c:v>
                </c:pt>
                <c:pt idx="56">
                  <c:v>1.9852968656278518</c:v>
                </c:pt>
                <c:pt idx="57">
                  <c:v>2.1288680763026511</c:v>
                </c:pt>
                <c:pt idx="58">
                  <c:v>2.1418874525668814</c:v>
                </c:pt>
                <c:pt idx="59">
                  <c:v>2.2086467957030149</c:v>
                </c:pt>
                <c:pt idx="60">
                  <c:v>2.1569674176001778</c:v>
                </c:pt>
                <c:pt idx="61">
                  <c:v>2.2077310316305137</c:v>
                </c:pt>
                <c:pt idx="62">
                  <c:v>2.280652850978393</c:v>
                </c:pt>
                <c:pt idx="63">
                  <c:v>2.2987127753991978</c:v>
                </c:pt>
                <c:pt idx="64">
                  <c:v>2.2804834569158161</c:v>
                </c:pt>
                <c:pt idx="65">
                  <c:v>2.2515777789016016</c:v>
                </c:pt>
                <c:pt idx="66">
                  <c:v>2.2702967287393467</c:v>
                </c:pt>
                <c:pt idx="67">
                  <c:v>2.1588465016611624</c:v>
                </c:pt>
                <c:pt idx="68">
                  <c:v>2.097516351103359</c:v>
                </c:pt>
                <c:pt idx="69">
                  <c:v>2.0966485448156238</c:v>
                </c:pt>
                <c:pt idx="70">
                  <c:v>2.1504501628878878</c:v>
                </c:pt>
                <c:pt idx="71">
                  <c:v>2.1880714588020949</c:v>
                </c:pt>
                <c:pt idx="72">
                  <c:v>2.2067557378010672</c:v>
                </c:pt>
                <c:pt idx="73">
                  <c:v>2.2742057569927074</c:v>
                </c:pt>
                <c:pt idx="74">
                  <c:v>2.1087378146059499</c:v>
                </c:pt>
                <c:pt idx="75">
                  <c:v>2.0023055943334538</c:v>
                </c:pt>
                <c:pt idx="76">
                  <c:v>1.9431316361249173</c:v>
                </c:pt>
                <c:pt idx="77">
                  <c:v>1.8782814426526482</c:v>
                </c:pt>
                <c:pt idx="78">
                  <c:v>1.9313876638918341</c:v>
                </c:pt>
                <c:pt idx="79">
                  <c:v>1.8953882644852134</c:v>
                </c:pt>
                <c:pt idx="80">
                  <c:v>1.9708846342107591</c:v>
                </c:pt>
                <c:pt idx="81">
                  <c:v>1.9819688743692505</c:v>
                </c:pt>
                <c:pt idx="82">
                  <c:v>1.9042684349549002</c:v>
                </c:pt>
                <c:pt idx="83">
                  <c:v>1.9914444666796687</c:v>
                </c:pt>
                <c:pt idx="84">
                  <c:v>1.9025165013377554</c:v>
                </c:pt>
                <c:pt idx="85">
                  <c:v>1.889912332914061</c:v>
                </c:pt>
                <c:pt idx="86">
                  <c:v>2.0268561572988113</c:v>
                </c:pt>
                <c:pt idx="87">
                  <c:v>2.1794268589217198</c:v>
                </c:pt>
                <c:pt idx="88">
                  <c:v>2.1377629317238958</c:v>
                </c:pt>
                <c:pt idx="89">
                  <c:v>2.1087384289854478</c:v>
                </c:pt>
                <c:pt idx="90">
                  <c:v>1.9119398094017517</c:v>
                </c:pt>
                <c:pt idx="91">
                  <c:v>2.0012349284561481</c:v>
                </c:pt>
                <c:pt idx="92">
                  <c:v>2.1294209988269999</c:v>
                </c:pt>
                <c:pt idx="93">
                  <c:v>2.1488392348348442</c:v>
                </c:pt>
                <c:pt idx="94">
                  <c:v>2.1002651742734888</c:v>
                </c:pt>
                <c:pt idx="95">
                  <c:v>2.1497917161492306</c:v>
                </c:pt>
                <c:pt idx="96">
                  <c:v>2.2645541981288284</c:v>
                </c:pt>
                <c:pt idx="97">
                  <c:v>2.205085662843727</c:v>
                </c:pt>
                <c:pt idx="98">
                  <c:v>2.288365389139893</c:v>
                </c:pt>
                <c:pt idx="99">
                  <c:v>2.2391715484339327</c:v>
                </c:pt>
                <c:pt idx="100">
                  <c:v>2.1395899605128696</c:v>
                </c:pt>
                <c:pt idx="101">
                  <c:v>2.1253450023494405</c:v>
                </c:pt>
                <c:pt idx="102">
                  <c:v>2.1069677013132639</c:v>
                </c:pt>
                <c:pt idx="103">
                  <c:v>2.2768621217290677</c:v>
                </c:pt>
                <c:pt idx="104">
                  <c:v>2.2246049140062678</c:v>
                </c:pt>
                <c:pt idx="105">
                  <c:v>2.377546713208071</c:v>
                </c:pt>
                <c:pt idx="106">
                  <c:v>2.4382311383732236</c:v>
                </c:pt>
                <c:pt idx="107">
                  <c:v>2.3247238707137532</c:v>
                </c:pt>
                <c:pt idx="108">
                  <c:v>2.4396500632803062</c:v>
                </c:pt>
                <c:pt idx="109">
                  <c:v>2.3012608236272056</c:v>
                </c:pt>
                <c:pt idx="110">
                  <c:v>2.2765822495144876</c:v>
                </c:pt>
                <c:pt idx="111">
                  <c:v>2.2919993244876755</c:v>
                </c:pt>
                <c:pt idx="112">
                  <c:v>2.2585655694673745</c:v>
                </c:pt>
                <c:pt idx="113">
                  <c:v>2.3021157775649619</c:v>
                </c:pt>
                <c:pt idx="114">
                  <c:v>2.2886659155043692</c:v>
                </c:pt>
                <c:pt idx="115">
                  <c:v>2.3944614400667219</c:v>
                </c:pt>
                <c:pt idx="116">
                  <c:v>2.6535367294653169</c:v>
                </c:pt>
                <c:pt idx="117">
                  <c:v>2.7217107408527417</c:v>
                </c:pt>
                <c:pt idx="118">
                  <c:v>2.6625635453166625</c:v>
                </c:pt>
                <c:pt idx="119">
                  <c:v>2.6792543456536251</c:v>
                </c:pt>
                <c:pt idx="120">
                  <c:v>2.5071289046968324</c:v>
                </c:pt>
                <c:pt idx="121">
                  <c:v>2.5050634332257955</c:v>
                </c:pt>
                <c:pt idx="122">
                  <c:v>2.3552012152893678</c:v>
                </c:pt>
                <c:pt idx="123">
                  <c:v>2.3454379631482065</c:v>
                </c:pt>
                <c:pt idx="124">
                  <c:v>2.3888042875453452</c:v>
                </c:pt>
                <c:pt idx="125">
                  <c:v>2.3530123513314058</c:v>
                </c:pt>
                <c:pt idx="126">
                  <c:v>2.2321692757545288</c:v>
                </c:pt>
                <c:pt idx="127">
                  <c:v>2.2198579329151777</c:v>
                </c:pt>
                <c:pt idx="128">
                  <c:v>2.1887947556081953</c:v>
                </c:pt>
                <c:pt idx="129">
                  <c:v>2.3694428725527938</c:v>
                </c:pt>
                <c:pt idx="130">
                  <c:v>2.3890079260410344</c:v>
                </c:pt>
                <c:pt idx="131">
                  <c:v>2.3086847662352765</c:v>
                </c:pt>
                <c:pt idx="132">
                  <c:v>2.2896736196573646</c:v>
                </c:pt>
                <c:pt idx="133">
                  <c:v>2.2338617974193231</c:v>
                </c:pt>
                <c:pt idx="134">
                  <c:v>1.9900407682658612</c:v>
                </c:pt>
                <c:pt idx="135">
                  <c:v>2.021276630713106</c:v>
                </c:pt>
                <c:pt idx="136">
                  <c:v>1.95993903142756</c:v>
                </c:pt>
                <c:pt idx="137">
                  <c:v>2.0088467183047198</c:v>
                </c:pt>
                <c:pt idx="138">
                  <c:v>2.1600327741154093</c:v>
                </c:pt>
                <c:pt idx="139">
                  <c:v>2.2632912556505751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EE-4888-BE98-06BA9CD80052}"/>
            </c:ext>
          </c:extLst>
        </c:ser>
        <c:ser>
          <c:idx val="5"/>
          <c:order val="5"/>
          <c:tx>
            <c:strRef>
              <c:f>累積報酬!$B$17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累積報酬!$C$17:$EL$17</c:f>
              <c:numCache>
                <c:formatCode>General</c:formatCode>
                <c:ptCount val="140"/>
                <c:pt idx="0">
                  <c:v>-0.10848541786298629</c:v>
                </c:pt>
                <c:pt idx="1">
                  <c:v>7.95531542712484E-2</c:v>
                </c:pt>
                <c:pt idx="2">
                  <c:v>6.5456805430007176E-2</c:v>
                </c:pt>
                <c:pt idx="3">
                  <c:v>0.15489334270892377</c:v>
                </c:pt>
                <c:pt idx="4">
                  <c:v>0.13377008961498466</c:v>
                </c:pt>
                <c:pt idx="5">
                  <c:v>0.16246681492464146</c:v>
                </c:pt>
                <c:pt idx="6">
                  <c:v>0.15861659917549722</c:v>
                </c:pt>
                <c:pt idx="7">
                  <c:v>0.19250891626287372</c:v>
                </c:pt>
                <c:pt idx="8">
                  <c:v>0.24475668343842288</c:v>
                </c:pt>
                <c:pt idx="9">
                  <c:v>0.20332431829980627</c:v>
                </c:pt>
                <c:pt idx="10">
                  <c:v>0.14746289520509828</c:v>
                </c:pt>
                <c:pt idx="11">
                  <c:v>0.23615191690077691</c:v>
                </c:pt>
                <c:pt idx="12">
                  <c:v>0.2549714849608386</c:v>
                </c:pt>
                <c:pt idx="13">
                  <c:v>0.31571253655085085</c:v>
                </c:pt>
                <c:pt idx="14">
                  <c:v>0.3328970617133038</c:v>
                </c:pt>
                <c:pt idx="15">
                  <c:v>0.36037728921684042</c:v>
                </c:pt>
                <c:pt idx="16">
                  <c:v>0.59477748855293489</c:v>
                </c:pt>
                <c:pt idx="17">
                  <c:v>0.67818139337314398</c:v>
                </c:pt>
                <c:pt idx="18">
                  <c:v>0.7989767013612642</c:v>
                </c:pt>
                <c:pt idx="19">
                  <c:v>0.73722755050750688</c:v>
                </c:pt>
                <c:pt idx="20">
                  <c:v>0.84859850863237596</c:v>
                </c:pt>
                <c:pt idx="21">
                  <c:v>0.92357872334222635</c:v>
                </c:pt>
                <c:pt idx="22">
                  <c:v>0.86140378706463472</c:v>
                </c:pt>
                <c:pt idx="23">
                  <c:v>0.92384084351126161</c:v>
                </c:pt>
                <c:pt idx="24">
                  <c:v>0.89163746886257367</c:v>
                </c:pt>
                <c:pt idx="25">
                  <c:v>0.83890722913551918</c:v>
                </c:pt>
                <c:pt idx="26">
                  <c:v>0.87471643592578818</c:v>
                </c:pt>
                <c:pt idx="27">
                  <c:v>0.89210529930121296</c:v>
                </c:pt>
                <c:pt idx="28">
                  <c:v>0.97978981324747028</c:v>
                </c:pt>
                <c:pt idx="29">
                  <c:v>0.80006379432019537</c:v>
                </c:pt>
                <c:pt idx="30">
                  <c:v>0.81062623666348732</c:v>
                </c:pt>
                <c:pt idx="31">
                  <c:v>0.8117966955110264</c:v>
                </c:pt>
                <c:pt idx="32">
                  <c:v>0.87031097454431516</c:v>
                </c:pt>
                <c:pt idx="33">
                  <c:v>0.9956089209225758</c:v>
                </c:pt>
                <c:pt idx="34">
                  <c:v>1.0647586753514524</c:v>
                </c:pt>
                <c:pt idx="35">
                  <c:v>1.0727059525675995</c:v>
                </c:pt>
                <c:pt idx="36">
                  <c:v>1.127415564369014</c:v>
                </c:pt>
                <c:pt idx="37">
                  <c:v>1.2560543830904014</c:v>
                </c:pt>
                <c:pt idx="38">
                  <c:v>1.3650143984326706</c:v>
                </c:pt>
                <c:pt idx="39">
                  <c:v>1.4536738210534059</c:v>
                </c:pt>
                <c:pt idx="40">
                  <c:v>1.4550894512024029</c:v>
                </c:pt>
                <c:pt idx="41">
                  <c:v>1.5044953831942882</c:v>
                </c:pt>
                <c:pt idx="42">
                  <c:v>1.6173421664025078</c:v>
                </c:pt>
                <c:pt idx="43">
                  <c:v>1.760294545892964</c:v>
                </c:pt>
                <c:pt idx="44">
                  <c:v>1.8907173393790131</c:v>
                </c:pt>
                <c:pt idx="45">
                  <c:v>1.8239499657736142</c:v>
                </c:pt>
                <c:pt idx="46">
                  <c:v>1.7854422282593143</c:v>
                </c:pt>
                <c:pt idx="47">
                  <c:v>1.9023419965410964</c:v>
                </c:pt>
                <c:pt idx="48">
                  <c:v>1.8963698860326867</c:v>
                </c:pt>
                <c:pt idx="49">
                  <c:v>1.9399933782711838</c:v>
                </c:pt>
                <c:pt idx="50">
                  <c:v>1.9527143112208054</c:v>
                </c:pt>
                <c:pt idx="51">
                  <c:v>2.0255727845866587</c:v>
                </c:pt>
                <c:pt idx="52">
                  <c:v>2.120363222948324</c:v>
                </c:pt>
                <c:pt idx="53">
                  <c:v>2.0471384626727782</c:v>
                </c:pt>
                <c:pt idx="54">
                  <c:v>1.9470165586848183</c:v>
                </c:pt>
                <c:pt idx="55">
                  <c:v>2.1798636239883851</c:v>
                </c:pt>
                <c:pt idx="56">
                  <c:v>2.3212456936069445</c:v>
                </c:pt>
                <c:pt idx="57">
                  <c:v>2.4490230349476896</c:v>
                </c:pt>
                <c:pt idx="58">
                  <c:v>2.4770475014614908</c:v>
                </c:pt>
                <c:pt idx="59">
                  <c:v>2.5572135617633567</c:v>
                </c:pt>
                <c:pt idx="60">
                  <c:v>2.5223677298734248</c:v>
                </c:pt>
                <c:pt idx="61">
                  <c:v>2.5774860607176446</c:v>
                </c:pt>
                <c:pt idx="62">
                  <c:v>2.633884137369948</c:v>
                </c:pt>
                <c:pt idx="63">
                  <c:v>2.615043180798784</c:v>
                </c:pt>
                <c:pt idx="64">
                  <c:v>2.593547341412779</c:v>
                </c:pt>
                <c:pt idx="65">
                  <c:v>2.5667731162824285</c:v>
                </c:pt>
                <c:pt idx="66">
                  <c:v>2.5546812668881298</c:v>
                </c:pt>
                <c:pt idx="67">
                  <c:v>2.4453564422838854</c:v>
                </c:pt>
                <c:pt idx="68">
                  <c:v>2.3993994987870906</c:v>
                </c:pt>
                <c:pt idx="69">
                  <c:v>2.4008760260436937</c:v>
                </c:pt>
                <c:pt idx="70">
                  <c:v>2.4610751175269439</c:v>
                </c:pt>
                <c:pt idx="71">
                  <c:v>2.5049190140488049</c:v>
                </c:pt>
                <c:pt idx="72">
                  <c:v>2.5271369699683137</c:v>
                </c:pt>
                <c:pt idx="73">
                  <c:v>2.6080086472605042</c:v>
                </c:pt>
                <c:pt idx="74">
                  <c:v>2.4246099481995431</c:v>
                </c:pt>
                <c:pt idx="75">
                  <c:v>2.3021196601300442</c:v>
                </c:pt>
                <c:pt idx="76">
                  <c:v>2.2601377439261974</c:v>
                </c:pt>
                <c:pt idx="77">
                  <c:v>2.193401664418154</c:v>
                </c:pt>
                <c:pt idx="78">
                  <c:v>2.2406998212000486</c:v>
                </c:pt>
                <c:pt idx="79">
                  <c:v>2.1816754238157898</c:v>
                </c:pt>
                <c:pt idx="80">
                  <c:v>2.2735950296445768</c:v>
                </c:pt>
                <c:pt idx="81">
                  <c:v>2.2876318201752914</c:v>
                </c:pt>
                <c:pt idx="82">
                  <c:v>2.1966374930237027</c:v>
                </c:pt>
                <c:pt idx="83">
                  <c:v>2.2755778840523826</c:v>
                </c:pt>
                <c:pt idx="84">
                  <c:v>2.1769177632867165</c:v>
                </c:pt>
                <c:pt idx="85">
                  <c:v>2.1621436554565707</c:v>
                </c:pt>
                <c:pt idx="86">
                  <c:v>2.3088410050426122</c:v>
                </c:pt>
                <c:pt idx="87">
                  <c:v>2.4666291276739236</c:v>
                </c:pt>
                <c:pt idx="88">
                  <c:v>2.420269761023508</c:v>
                </c:pt>
                <c:pt idx="89">
                  <c:v>2.3774326910568275</c:v>
                </c:pt>
                <c:pt idx="90">
                  <c:v>2.1432924367777719</c:v>
                </c:pt>
                <c:pt idx="91">
                  <c:v>2.2288273630275106</c:v>
                </c:pt>
                <c:pt idx="92">
                  <c:v>2.3587798585505038</c:v>
                </c:pt>
                <c:pt idx="93">
                  <c:v>2.3716118129146584</c:v>
                </c:pt>
                <c:pt idx="94">
                  <c:v>2.3286836887870956</c:v>
                </c:pt>
                <c:pt idx="95">
                  <c:v>2.3703952026998993</c:v>
                </c:pt>
                <c:pt idx="96">
                  <c:v>2.5174087150114373</c:v>
                </c:pt>
                <c:pt idx="97">
                  <c:v>2.45195769375974</c:v>
                </c:pt>
                <c:pt idx="98">
                  <c:v>2.5445354148601504</c:v>
                </c:pt>
                <c:pt idx="99">
                  <c:v>2.5249580359793335</c:v>
                </c:pt>
                <c:pt idx="100">
                  <c:v>2.4269954416176218</c:v>
                </c:pt>
                <c:pt idx="101">
                  <c:v>2.4041158094335184</c:v>
                </c:pt>
                <c:pt idx="102">
                  <c:v>2.3760663316441515</c:v>
                </c:pt>
                <c:pt idx="103">
                  <c:v>2.558410211108864</c:v>
                </c:pt>
                <c:pt idx="104">
                  <c:v>2.5089535737082223</c:v>
                </c:pt>
                <c:pt idx="105">
                  <c:v>2.6477143259058429</c:v>
                </c:pt>
                <c:pt idx="106">
                  <c:v>2.7165802377894566</c:v>
                </c:pt>
                <c:pt idx="107">
                  <c:v>2.603187169899646</c:v>
                </c:pt>
                <c:pt idx="108">
                  <c:v>2.7068652466385745</c:v>
                </c:pt>
                <c:pt idx="109">
                  <c:v>2.5641840550759341</c:v>
                </c:pt>
                <c:pt idx="110">
                  <c:v>2.5231742995735318</c:v>
                </c:pt>
                <c:pt idx="111">
                  <c:v>2.5349634009827695</c:v>
                </c:pt>
                <c:pt idx="112">
                  <c:v>2.5294072513208383</c:v>
                </c:pt>
                <c:pt idx="113">
                  <c:v>2.5752840340780834</c:v>
                </c:pt>
                <c:pt idx="114">
                  <c:v>2.5364030520766052</c:v>
                </c:pt>
                <c:pt idx="115">
                  <c:v>2.6209869728497073</c:v>
                </c:pt>
                <c:pt idx="116">
                  <c:v>2.912266965563802</c:v>
                </c:pt>
                <c:pt idx="117">
                  <c:v>2.9968995648437469</c:v>
                </c:pt>
                <c:pt idx="118">
                  <c:v>2.9393868307398634</c:v>
                </c:pt>
                <c:pt idx="119">
                  <c:v>2.9551672858206492</c:v>
                </c:pt>
                <c:pt idx="120">
                  <c:v>2.7993596478212912</c:v>
                </c:pt>
                <c:pt idx="121">
                  <c:v>2.7777905443273454</c:v>
                </c:pt>
                <c:pt idx="122">
                  <c:v>2.6089116500517386</c:v>
                </c:pt>
                <c:pt idx="123">
                  <c:v>2.6053142797537467</c:v>
                </c:pt>
                <c:pt idx="124">
                  <c:v>2.6403421339533168</c:v>
                </c:pt>
                <c:pt idx="125">
                  <c:v>2.5602417217253737</c:v>
                </c:pt>
                <c:pt idx="126">
                  <c:v>2.4334239390978958</c:v>
                </c:pt>
                <c:pt idx="127">
                  <c:v>2.3894095777371036</c:v>
                </c:pt>
                <c:pt idx="128">
                  <c:v>2.3646469539017558</c:v>
                </c:pt>
                <c:pt idx="129">
                  <c:v>2.5644198480333342</c:v>
                </c:pt>
                <c:pt idx="130">
                  <c:v>2.6020281800984275</c:v>
                </c:pt>
                <c:pt idx="131">
                  <c:v>2.4892644466347358</c:v>
                </c:pt>
                <c:pt idx="132">
                  <c:v>2.472247893612086</c:v>
                </c:pt>
                <c:pt idx="133">
                  <c:v>2.399993452385258</c:v>
                </c:pt>
                <c:pt idx="134">
                  <c:v>2.0860124376125166</c:v>
                </c:pt>
                <c:pt idx="135">
                  <c:v>2.1336369655280576</c:v>
                </c:pt>
                <c:pt idx="136">
                  <c:v>2.0802962654438515</c:v>
                </c:pt>
                <c:pt idx="137">
                  <c:v>2.1179275485015672</c:v>
                </c:pt>
                <c:pt idx="138">
                  <c:v>2.2218292240449347</c:v>
                </c:pt>
                <c:pt idx="139">
                  <c:v>2.2811866604356354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EE-4888-BE98-06BA9CD80052}"/>
            </c:ext>
          </c:extLst>
        </c:ser>
        <c:ser>
          <c:idx val="6"/>
          <c:order val="6"/>
          <c:tx>
            <c:strRef>
              <c:f>累積報酬!$B$18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累積報酬!$C$18:$EL$18</c:f>
              <c:numCache>
                <c:formatCode>General</c:formatCode>
                <c:ptCount val="140"/>
                <c:pt idx="0">
                  <c:v>-5.264358642546442E-2</c:v>
                </c:pt>
                <c:pt idx="1">
                  <c:v>0.13787737490943019</c:v>
                </c:pt>
                <c:pt idx="2">
                  <c:v>7.8306546797463558E-2</c:v>
                </c:pt>
                <c:pt idx="3">
                  <c:v>0.14429236879348747</c:v>
                </c:pt>
                <c:pt idx="4">
                  <c:v>0.10394734110741444</c:v>
                </c:pt>
                <c:pt idx="5">
                  <c:v>0.12286534078942239</c:v>
                </c:pt>
                <c:pt idx="6">
                  <c:v>0.12878144636321118</c:v>
                </c:pt>
                <c:pt idx="7">
                  <c:v>0.16034629874111914</c:v>
                </c:pt>
                <c:pt idx="8">
                  <c:v>0.22190137620401928</c:v>
                </c:pt>
                <c:pt idx="9">
                  <c:v>0.23526547121138791</c:v>
                </c:pt>
                <c:pt idx="10">
                  <c:v>0.16430939359440203</c:v>
                </c:pt>
                <c:pt idx="11">
                  <c:v>0.32768840525872484</c:v>
                </c:pt>
                <c:pt idx="12">
                  <c:v>0.33838159953891694</c:v>
                </c:pt>
                <c:pt idx="13">
                  <c:v>0.39166108429973706</c:v>
                </c:pt>
                <c:pt idx="14">
                  <c:v>0.42328248838792076</c:v>
                </c:pt>
                <c:pt idx="15">
                  <c:v>0.42303136219249943</c:v>
                </c:pt>
                <c:pt idx="16">
                  <c:v>0.6980050038561898</c:v>
                </c:pt>
                <c:pt idx="17">
                  <c:v>0.79856460007404995</c:v>
                </c:pt>
                <c:pt idx="18">
                  <c:v>0.89726457571033735</c:v>
                </c:pt>
                <c:pt idx="19">
                  <c:v>0.86065860435142238</c:v>
                </c:pt>
                <c:pt idx="20">
                  <c:v>0.97906568401894423</c:v>
                </c:pt>
                <c:pt idx="21">
                  <c:v>1.0773578951093776</c:v>
                </c:pt>
                <c:pt idx="22">
                  <c:v>1.0146231787164586</c:v>
                </c:pt>
                <c:pt idx="23">
                  <c:v>1.0738787982536324</c:v>
                </c:pt>
                <c:pt idx="24">
                  <c:v>1.0455539427355121</c:v>
                </c:pt>
                <c:pt idx="25">
                  <c:v>0.97069574299883188</c:v>
                </c:pt>
                <c:pt idx="26">
                  <c:v>1.0367984859864208</c:v>
                </c:pt>
                <c:pt idx="27">
                  <c:v>1.0343085614566239</c:v>
                </c:pt>
                <c:pt idx="28">
                  <c:v>1.1228380311352593</c:v>
                </c:pt>
                <c:pt idx="29">
                  <c:v>0.97357039865395034</c:v>
                </c:pt>
                <c:pt idx="30">
                  <c:v>0.97993161925428607</c:v>
                </c:pt>
                <c:pt idx="31">
                  <c:v>0.97298373903299751</c:v>
                </c:pt>
                <c:pt idx="32">
                  <c:v>1.0326371151699474</c:v>
                </c:pt>
                <c:pt idx="33">
                  <c:v>1.1932565374260002</c:v>
                </c:pt>
                <c:pt idx="34">
                  <c:v>1.2603879657818213</c:v>
                </c:pt>
                <c:pt idx="35">
                  <c:v>1.2939123799049681</c:v>
                </c:pt>
                <c:pt idx="36">
                  <c:v>1.3604917601594166</c:v>
                </c:pt>
                <c:pt idx="37">
                  <c:v>1.4967039251199905</c:v>
                </c:pt>
                <c:pt idx="38">
                  <c:v>1.5755318916458423</c:v>
                </c:pt>
                <c:pt idx="39">
                  <c:v>1.6928541836330888</c:v>
                </c:pt>
                <c:pt idx="40">
                  <c:v>1.6996693583613396</c:v>
                </c:pt>
                <c:pt idx="41">
                  <c:v>1.7574103542147528</c:v>
                </c:pt>
                <c:pt idx="42">
                  <c:v>1.8196082173188826</c:v>
                </c:pt>
                <c:pt idx="43">
                  <c:v>1.9922484746758999</c:v>
                </c:pt>
                <c:pt idx="44">
                  <c:v>2.1330139757861879</c:v>
                </c:pt>
                <c:pt idx="45">
                  <c:v>2.065936481118043</c:v>
                </c:pt>
                <c:pt idx="46">
                  <c:v>2.0205051060813344</c:v>
                </c:pt>
                <c:pt idx="47">
                  <c:v>2.162649751060894</c:v>
                </c:pt>
                <c:pt idx="48">
                  <c:v>2.1516942701592017</c:v>
                </c:pt>
                <c:pt idx="49">
                  <c:v>2.2260703327944378</c:v>
                </c:pt>
                <c:pt idx="50">
                  <c:v>2.2393432473496184</c:v>
                </c:pt>
                <c:pt idx="51">
                  <c:v>2.3237212789576476</c:v>
                </c:pt>
                <c:pt idx="52">
                  <c:v>2.4325019394855438</c:v>
                </c:pt>
                <c:pt idx="53">
                  <c:v>2.3913068388549581</c:v>
                </c:pt>
                <c:pt idx="54">
                  <c:v>2.283952719091169</c:v>
                </c:pt>
                <c:pt idx="55">
                  <c:v>2.5265029048515379</c:v>
                </c:pt>
                <c:pt idx="56">
                  <c:v>2.6663870567518222</c:v>
                </c:pt>
                <c:pt idx="57">
                  <c:v>2.8173984814963333</c:v>
                </c:pt>
                <c:pt idx="58">
                  <c:v>2.8358522222829174</c:v>
                </c:pt>
                <c:pt idx="59">
                  <c:v>2.9212831655137963</c:v>
                </c:pt>
                <c:pt idx="60">
                  <c:v>2.8814593576395886</c:v>
                </c:pt>
                <c:pt idx="61">
                  <c:v>2.942992852010395</c:v>
                </c:pt>
                <c:pt idx="62">
                  <c:v>3.0087409410960153</c:v>
                </c:pt>
                <c:pt idx="63">
                  <c:v>2.9925414757989088</c:v>
                </c:pt>
                <c:pt idx="64">
                  <c:v>2.9552638230458639</c:v>
                </c:pt>
                <c:pt idx="65">
                  <c:v>2.9661729273556525</c:v>
                </c:pt>
                <c:pt idx="66">
                  <c:v>2.9426693625817442</c:v>
                </c:pt>
                <c:pt idx="67">
                  <c:v>2.8389453623250729</c:v>
                </c:pt>
                <c:pt idx="68">
                  <c:v>2.8003668254202645</c:v>
                </c:pt>
                <c:pt idx="69">
                  <c:v>2.8105044628788667</c:v>
                </c:pt>
                <c:pt idx="70">
                  <c:v>2.8497401803033657</c:v>
                </c:pt>
                <c:pt idx="71">
                  <c:v>2.9049842391266756</c:v>
                </c:pt>
                <c:pt idx="72">
                  <c:v>2.9366426619390125</c:v>
                </c:pt>
                <c:pt idx="73">
                  <c:v>3.0053760724532741</c:v>
                </c:pt>
                <c:pt idx="74">
                  <c:v>2.8067891608534703</c:v>
                </c:pt>
                <c:pt idx="75">
                  <c:v>2.6770464781186507</c:v>
                </c:pt>
                <c:pt idx="76">
                  <c:v>2.6250285118945036</c:v>
                </c:pt>
                <c:pt idx="77">
                  <c:v>2.5372623381930133</c:v>
                </c:pt>
                <c:pt idx="78">
                  <c:v>2.5681224321435483</c:v>
                </c:pt>
                <c:pt idx="79">
                  <c:v>2.4904625507045708</c:v>
                </c:pt>
                <c:pt idx="80">
                  <c:v>2.5825411790863018</c:v>
                </c:pt>
                <c:pt idx="81">
                  <c:v>2.6128579935940968</c:v>
                </c:pt>
                <c:pt idx="82">
                  <c:v>2.6482262156558689</c:v>
                </c:pt>
                <c:pt idx="83">
                  <c:v>2.7255025901836274</c:v>
                </c:pt>
                <c:pt idx="84">
                  <c:v>2.6220036293378546</c:v>
                </c:pt>
                <c:pt idx="85">
                  <c:v>2.6318239234951784</c:v>
                </c:pt>
                <c:pt idx="86">
                  <c:v>2.7670522976573606</c:v>
                </c:pt>
                <c:pt idx="87">
                  <c:v>2.9191587180326715</c:v>
                </c:pt>
                <c:pt idx="88">
                  <c:v>2.8650675757922017</c:v>
                </c:pt>
                <c:pt idx="89">
                  <c:v>2.8298773094356626</c:v>
                </c:pt>
                <c:pt idx="90">
                  <c:v>2.6011585345201857</c:v>
                </c:pt>
                <c:pt idx="91">
                  <c:v>2.7085068057278763</c:v>
                </c:pt>
                <c:pt idx="92">
                  <c:v>2.8454506381294755</c:v>
                </c:pt>
                <c:pt idx="93">
                  <c:v>2.8601029144942118</c:v>
                </c:pt>
                <c:pt idx="94">
                  <c:v>2.8576369426815194</c:v>
                </c:pt>
                <c:pt idx="95">
                  <c:v>2.898604674829806</c:v>
                </c:pt>
                <c:pt idx="96">
                  <c:v>3.0492764687458402</c:v>
                </c:pt>
                <c:pt idx="97">
                  <c:v>2.9373556836397978</c:v>
                </c:pt>
                <c:pt idx="98">
                  <c:v>3.0115267200526246</c:v>
                </c:pt>
                <c:pt idx="99">
                  <c:v>3.0068529437462388</c:v>
                </c:pt>
                <c:pt idx="100">
                  <c:v>2.8996823326762895</c:v>
                </c:pt>
                <c:pt idx="101">
                  <c:v>2.8677986761512075</c:v>
                </c:pt>
                <c:pt idx="102">
                  <c:v>2.8335846770240924</c:v>
                </c:pt>
                <c:pt idx="103">
                  <c:v>2.9488240782539519</c:v>
                </c:pt>
                <c:pt idx="104">
                  <c:v>2.8787416945327569</c:v>
                </c:pt>
                <c:pt idx="105">
                  <c:v>3.0199062229487912</c:v>
                </c:pt>
                <c:pt idx="106">
                  <c:v>3.0667204279994373</c:v>
                </c:pt>
                <c:pt idx="107">
                  <c:v>2.9308797220538985</c:v>
                </c:pt>
                <c:pt idx="108">
                  <c:v>3.0411330698016603</c:v>
                </c:pt>
                <c:pt idx="109">
                  <c:v>2.8799238106154985</c:v>
                </c:pt>
                <c:pt idx="110">
                  <c:v>2.8332109662339202</c:v>
                </c:pt>
                <c:pt idx="111">
                  <c:v>2.8792543331751626</c:v>
                </c:pt>
                <c:pt idx="112">
                  <c:v>2.848059429409846</c:v>
                </c:pt>
                <c:pt idx="113">
                  <c:v>2.9045976772935496</c:v>
                </c:pt>
                <c:pt idx="114">
                  <c:v>2.8507768401369735</c:v>
                </c:pt>
                <c:pt idx="115">
                  <c:v>2.9614409850101113</c:v>
                </c:pt>
                <c:pt idx="116">
                  <c:v>3.3099813706170691</c:v>
                </c:pt>
                <c:pt idx="117">
                  <c:v>3.4264877010833863</c:v>
                </c:pt>
                <c:pt idx="118">
                  <c:v>3.3430488531536242</c:v>
                </c:pt>
                <c:pt idx="119">
                  <c:v>3.3632020780660867</c:v>
                </c:pt>
                <c:pt idx="120">
                  <c:v>3.1845143679500398</c:v>
                </c:pt>
                <c:pt idx="121">
                  <c:v>3.1982710875745863</c:v>
                </c:pt>
                <c:pt idx="122">
                  <c:v>3.0433738823143219</c:v>
                </c:pt>
                <c:pt idx="123">
                  <c:v>3.0598295407176814</c:v>
                </c:pt>
                <c:pt idx="124">
                  <c:v>3.0997915755628713</c:v>
                </c:pt>
                <c:pt idx="125">
                  <c:v>3.0279642359590797</c:v>
                </c:pt>
                <c:pt idx="126">
                  <c:v>2.8708999210016244</c:v>
                </c:pt>
                <c:pt idx="127">
                  <c:v>2.7951899935165092</c:v>
                </c:pt>
                <c:pt idx="128">
                  <c:v>2.7835002776721032</c:v>
                </c:pt>
                <c:pt idx="129">
                  <c:v>2.9328115185001558</c:v>
                </c:pt>
                <c:pt idx="130">
                  <c:v>2.9428578378291252</c:v>
                </c:pt>
                <c:pt idx="131">
                  <c:v>2.8279281653080086</c:v>
                </c:pt>
                <c:pt idx="132">
                  <c:v>2.8359759842033903</c:v>
                </c:pt>
                <c:pt idx="133">
                  <c:v>2.7654887109696791</c:v>
                </c:pt>
                <c:pt idx="134">
                  <c:v>2.4132146188577628</c:v>
                </c:pt>
                <c:pt idx="135">
                  <c:v>2.4738402835829456</c:v>
                </c:pt>
                <c:pt idx="136">
                  <c:v>2.4161990508465894</c:v>
                </c:pt>
                <c:pt idx="137">
                  <c:v>2.4488394642912046</c:v>
                </c:pt>
                <c:pt idx="138">
                  <c:v>2.5628772401888074</c:v>
                </c:pt>
                <c:pt idx="139">
                  <c:v>2.6429397387218683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EE-4888-BE98-06BA9CD80052}"/>
            </c:ext>
          </c:extLst>
        </c:ser>
        <c:ser>
          <c:idx val="7"/>
          <c:order val="7"/>
          <c:tx>
            <c:strRef>
              <c:f>累積報酬!$B$19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累積報酬!$C$19:$EL$19</c:f>
              <c:numCache>
                <c:formatCode>General</c:formatCode>
                <c:ptCount val="140"/>
                <c:pt idx="0">
                  <c:v>-6.3862070951592978E-2</c:v>
                </c:pt>
                <c:pt idx="1">
                  <c:v>0.14340855445438322</c:v>
                </c:pt>
                <c:pt idx="2">
                  <c:v>8.0177602410492099E-2</c:v>
                </c:pt>
                <c:pt idx="3">
                  <c:v>0.1955696030921924</c:v>
                </c:pt>
                <c:pt idx="4">
                  <c:v>0.16508054842227129</c:v>
                </c:pt>
                <c:pt idx="5">
                  <c:v>0.20121419264393406</c:v>
                </c:pt>
                <c:pt idx="6">
                  <c:v>0.1917448917265952</c:v>
                </c:pt>
                <c:pt idx="7">
                  <c:v>0.22035640715901275</c:v>
                </c:pt>
                <c:pt idx="8">
                  <c:v>0.34871954430459862</c:v>
                </c:pt>
                <c:pt idx="9">
                  <c:v>0.34171509753594531</c:v>
                </c:pt>
                <c:pt idx="10">
                  <c:v>0.35319322912948797</c:v>
                </c:pt>
                <c:pt idx="11">
                  <c:v>0.48393934832034469</c:v>
                </c:pt>
                <c:pt idx="12">
                  <c:v>0.49808569219755072</c:v>
                </c:pt>
                <c:pt idx="13">
                  <c:v>0.54723689342571402</c:v>
                </c:pt>
                <c:pt idx="14">
                  <c:v>0.59732480678171662</c:v>
                </c:pt>
                <c:pt idx="15">
                  <c:v>0.61115536429624018</c:v>
                </c:pt>
                <c:pt idx="16">
                  <c:v>0.82950013157589231</c:v>
                </c:pt>
                <c:pt idx="17">
                  <c:v>0.94305823479491158</c:v>
                </c:pt>
                <c:pt idx="18">
                  <c:v>1.031444406570093</c:v>
                </c:pt>
                <c:pt idx="19">
                  <c:v>0.95860649559246758</c:v>
                </c:pt>
                <c:pt idx="20">
                  <c:v>1.0638815334201277</c:v>
                </c:pt>
                <c:pt idx="21">
                  <c:v>1.1750613489699964</c:v>
                </c:pt>
                <c:pt idx="22">
                  <c:v>1.0840647169510111</c:v>
                </c:pt>
                <c:pt idx="23">
                  <c:v>1.12456285424828</c:v>
                </c:pt>
                <c:pt idx="24">
                  <c:v>1.0961212380427137</c:v>
                </c:pt>
                <c:pt idx="25">
                  <c:v>1.0218573902436336</c:v>
                </c:pt>
                <c:pt idx="26">
                  <c:v>1.1045635788518398</c:v>
                </c:pt>
                <c:pt idx="27">
                  <c:v>1.083016389191527</c:v>
                </c:pt>
                <c:pt idx="28">
                  <c:v>1.1635218947949113</c:v>
                </c:pt>
                <c:pt idx="29">
                  <c:v>1.095317533775654</c:v>
                </c:pt>
                <c:pt idx="30">
                  <c:v>1.0780519676607261</c:v>
                </c:pt>
                <c:pt idx="31">
                  <c:v>1.0995947566280848</c:v>
                </c:pt>
                <c:pt idx="32">
                  <c:v>1.1651805218863327</c:v>
                </c:pt>
                <c:pt idx="33">
                  <c:v>1.2963766913275858</c:v>
                </c:pt>
                <c:pt idx="34">
                  <c:v>1.3422368326147025</c:v>
                </c:pt>
                <c:pt idx="35">
                  <c:v>1.3694017105598333</c:v>
                </c:pt>
                <c:pt idx="36">
                  <c:v>1.43520295983697</c:v>
                </c:pt>
                <c:pt idx="37">
                  <c:v>1.5892571765359897</c:v>
                </c:pt>
                <c:pt idx="38">
                  <c:v>1.6701256209010278</c:v>
                </c:pt>
                <c:pt idx="39">
                  <c:v>1.8333618989076186</c:v>
                </c:pt>
                <c:pt idx="40">
                  <c:v>1.7757065214509651</c:v>
                </c:pt>
                <c:pt idx="41">
                  <c:v>1.8440789915698466</c:v>
                </c:pt>
                <c:pt idx="42">
                  <c:v>1.9150477578740723</c:v>
                </c:pt>
                <c:pt idx="43">
                  <c:v>2.1222694202630898</c:v>
                </c:pt>
                <c:pt idx="44">
                  <c:v>2.282685499487723</c:v>
                </c:pt>
                <c:pt idx="45">
                  <c:v>2.20339775110924</c:v>
                </c:pt>
                <c:pt idx="46">
                  <c:v>2.1762855341777256</c:v>
                </c:pt>
                <c:pt idx="47">
                  <c:v>2.3139305653318738</c:v>
                </c:pt>
                <c:pt idx="48">
                  <c:v>2.2948687265850052</c:v>
                </c:pt>
                <c:pt idx="49">
                  <c:v>2.2934282026272705</c:v>
                </c:pt>
                <c:pt idx="50">
                  <c:v>2.306180967979035</c:v>
                </c:pt>
                <c:pt idx="51">
                  <c:v>2.4111978727272989</c:v>
                </c:pt>
                <c:pt idx="52">
                  <c:v>2.5098824069552212</c:v>
                </c:pt>
                <c:pt idx="53">
                  <c:v>2.4582090411077373</c:v>
                </c:pt>
                <c:pt idx="54">
                  <c:v>2.3398100876824879</c:v>
                </c:pt>
                <c:pt idx="55">
                  <c:v>2.6048868811818711</c:v>
                </c:pt>
                <c:pt idx="56">
                  <c:v>2.7467453569668749</c:v>
                </c:pt>
                <c:pt idx="57">
                  <c:v>2.9187494129974585</c:v>
                </c:pt>
                <c:pt idx="58">
                  <c:v>2.9472230279023228</c:v>
                </c:pt>
                <c:pt idx="59">
                  <c:v>3.0426341707006834</c:v>
                </c:pt>
                <c:pt idx="60">
                  <c:v>3.0197898618694254</c:v>
                </c:pt>
                <c:pt idx="61">
                  <c:v>3.086169547445921</c:v>
                </c:pt>
                <c:pt idx="62">
                  <c:v>3.1472208068759602</c:v>
                </c:pt>
                <c:pt idx="63">
                  <c:v>3.1255403272478262</c:v>
                </c:pt>
                <c:pt idx="64">
                  <c:v>3.1021406223268171</c:v>
                </c:pt>
                <c:pt idx="65">
                  <c:v>3.0999831573407763</c:v>
                </c:pt>
                <c:pt idx="66">
                  <c:v>3.1175322167667883</c:v>
                </c:pt>
                <c:pt idx="67">
                  <c:v>3.0380289645492917</c:v>
                </c:pt>
                <c:pt idx="68">
                  <c:v>2.9874790701527303</c:v>
                </c:pt>
                <c:pt idx="69">
                  <c:v>2.9965858479339387</c:v>
                </c:pt>
                <c:pt idx="70">
                  <c:v>3.0846526031327959</c:v>
                </c:pt>
                <c:pt idx="71">
                  <c:v>3.172096914401541</c:v>
                </c:pt>
                <c:pt idx="72">
                  <c:v>3.2774617758117568</c:v>
                </c:pt>
                <c:pt idx="73">
                  <c:v>3.372408012802607</c:v>
                </c:pt>
                <c:pt idx="74">
                  <c:v>3.1911213628828157</c:v>
                </c:pt>
                <c:pt idx="75">
                  <c:v>3.069615183977993</c:v>
                </c:pt>
                <c:pt idx="76">
                  <c:v>3.0001149313751636</c:v>
                </c:pt>
                <c:pt idx="77">
                  <c:v>2.9135822727912584</c:v>
                </c:pt>
                <c:pt idx="78">
                  <c:v>2.982392840575288</c:v>
                </c:pt>
                <c:pt idx="79">
                  <c:v>2.8398175567824704</c:v>
                </c:pt>
                <c:pt idx="80">
                  <c:v>2.9525089985434021</c:v>
                </c:pt>
                <c:pt idx="81">
                  <c:v>2.9600961705719921</c:v>
                </c:pt>
                <c:pt idx="82">
                  <c:v>2.9246110509526253</c:v>
                </c:pt>
                <c:pt idx="83">
                  <c:v>2.9940395311141361</c:v>
                </c:pt>
                <c:pt idx="84">
                  <c:v>2.8979897518916582</c:v>
                </c:pt>
                <c:pt idx="85">
                  <c:v>2.9235129797498924</c:v>
                </c:pt>
                <c:pt idx="86">
                  <c:v>3.1056415429271507</c:v>
                </c:pt>
                <c:pt idx="87">
                  <c:v>3.249776499298981</c:v>
                </c:pt>
                <c:pt idx="88">
                  <c:v>3.2453774319448718</c:v>
                </c:pt>
                <c:pt idx="89">
                  <c:v>3.207644869393325</c:v>
                </c:pt>
                <c:pt idx="90">
                  <c:v>2.9571427989065673</c:v>
                </c:pt>
                <c:pt idx="91">
                  <c:v>3.0775791168143432</c:v>
                </c:pt>
                <c:pt idx="92">
                  <c:v>3.2135970125140503</c:v>
                </c:pt>
                <c:pt idx="93">
                  <c:v>3.2214376127268758</c:v>
                </c:pt>
                <c:pt idx="94">
                  <c:v>3.2145453110958897</c:v>
                </c:pt>
                <c:pt idx="95">
                  <c:v>3.2267207835119383</c:v>
                </c:pt>
                <c:pt idx="96">
                  <c:v>3.3724820736327796</c:v>
                </c:pt>
                <c:pt idx="97">
                  <c:v>3.2364471607146719</c:v>
                </c:pt>
                <c:pt idx="98">
                  <c:v>3.2987276227870161</c:v>
                </c:pt>
                <c:pt idx="99">
                  <c:v>3.3129717975445772</c:v>
                </c:pt>
                <c:pt idx="100">
                  <c:v>3.2198808607584799</c:v>
                </c:pt>
                <c:pt idx="101">
                  <c:v>3.2191068879780285</c:v>
                </c:pt>
                <c:pt idx="102">
                  <c:v>3.1934532542132326</c:v>
                </c:pt>
                <c:pt idx="103">
                  <c:v>3.3328432519312958</c:v>
                </c:pt>
                <c:pt idx="104">
                  <c:v>3.2730231560229286</c:v>
                </c:pt>
                <c:pt idx="105">
                  <c:v>3.4026598293886141</c:v>
                </c:pt>
                <c:pt idx="106">
                  <c:v>3.4464814231885472</c:v>
                </c:pt>
                <c:pt idx="107">
                  <c:v>3.2934929631885206</c:v>
                </c:pt>
                <c:pt idx="108">
                  <c:v>3.3953401624471198</c:v>
                </c:pt>
                <c:pt idx="109">
                  <c:v>3.2173041207549025</c:v>
                </c:pt>
                <c:pt idx="110">
                  <c:v>3.1660323822918706</c:v>
                </c:pt>
                <c:pt idx="111">
                  <c:v>3.2158677113330398</c:v>
                </c:pt>
                <c:pt idx="112">
                  <c:v>3.2117974065469248</c:v>
                </c:pt>
                <c:pt idx="113">
                  <c:v>3.2251480008691757</c:v>
                </c:pt>
                <c:pt idx="114">
                  <c:v>3.1492648834355701</c:v>
                </c:pt>
                <c:pt idx="115">
                  <c:v>3.280340421587006</c:v>
                </c:pt>
                <c:pt idx="116">
                  <c:v>3.6590745080749008</c:v>
                </c:pt>
                <c:pt idx="117">
                  <c:v>3.7789758521439709</c:v>
                </c:pt>
                <c:pt idx="118">
                  <c:v>3.7060163617751471</c:v>
                </c:pt>
                <c:pt idx="119">
                  <c:v>3.7221130568167871</c:v>
                </c:pt>
                <c:pt idx="120">
                  <c:v>3.6409210579440794</c:v>
                </c:pt>
                <c:pt idx="121">
                  <c:v>3.6616649832604562</c:v>
                </c:pt>
                <c:pt idx="122">
                  <c:v>3.4606471028522519</c:v>
                </c:pt>
                <c:pt idx="123">
                  <c:v>3.4613966020267126</c:v>
                </c:pt>
                <c:pt idx="124">
                  <c:v>3.5188152647431039</c:v>
                </c:pt>
                <c:pt idx="125">
                  <c:v>3.4583441807998825</c:v>
                </c:pt>
                <c:pt idx="126">
                  <c:v>3.271053697921344</c:v>
                </c:pt>
                <c:pt idx="127">
                  <c:v>3.2774649560874636</c:v>
                </c:pt>
                <c:pt idx="128">
                  <c:v>3.2704590531819369</c:v>
                </c:pt>
                <c:pt idx="129">
                  <c:v>3.4045746098800955</c:v>
                </c:pt>
                <c:pt idx="130">
                  <c:v>3.4280098432867332</c:v>
                </c:pt>
                <c:pt idx="131">
                  <c:v>3.3526674047499356</c:v>
                </c:pt>
                <c:pt idx="132">
                  <c:v>3.3775975568695533</c:v>
                </c:pt>
                <c:pt idx="133">
                  <c:v>3.2865982782023901</c:v>
                </c:pt>
                <c:pt idx="134">
                  <c:v>2.8799131513977998</c:v>
                </c:pt>
                <c:pt idx="135">
                  <c:v>2.9401900978320317</c:v>
                </c:pt>
                <c:pt idx="136">
                  <c:v>2.871512391641609</c:v>
                </c:pt>
                <c:pt idx="137">
                  <c:v>2.9055014985685377</c:v>
                </c:pt>
                <c:pt idx="138">
                  <c:v>2.9716835613849977</c:v>
                </c:pt>
                <c:pt idx="139">
                  <c:v>3.0452361992609456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1EE-4888-BE98-06BA9CD80052}"/>
            </c:ext>
          </c:extLst>
        </c:ser>
        <c:ser>
          <c:idx val="8"/>
          <c:order val="8"/>
          <c:tx>
            <c:strRef>
              <c:f>累積報酬!$B$20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累積報酬!$C$20:$EL$20</c:f>
              <c:numCache>
                <c:formatCode>General</c:formatCode>
                <c:ptCount val="140"/>
                <c:pt idx="0">
                  <c:v>-7.7247532291167223E-2</c:v>
                </c:pt>
                <c:pt idx="1">
                  <c:v>0.15582359602898427</c:v>
                </c:pt>
                <c:pt idx="2">
                  <c:v>8.059731740521224E-2</c:v>
                </c:pt>
                <c:pt idx="3">
                  <c:v>0.26884539313631345</c:v>
                </c:pt>
                <c:pt idx="4">
                  <c:v>0.13557822146273144</c:v>
                </c:pt>
                <c:pt idx="5">
                  <c:v>0.13708030682751512</c:v>
                </c:pt>
                <c:pt idx="6">
                  <c:v>0.16667153841417789</c:v>
                </c:pt>
                <c:pt idx="7">
                  <c:v>0.17120782676083607</c:v>
                </c:pt>
                <c:pt idx="8">
                  <c:v>0.28021512079568989</c:v>
                </c:pt>
                <c:pt idx="9">
                  <c:v>0.21684840659996596</c:v>
                </c:pt>
                <c:pt idx="10">
                  <c:v>0.17268103260531223</c:v>
                </c:pt>
                <c:pt idx="11">
                  <c:v>0.26128158916250233</c:v>
                </c:pt>
                <c:pt idx="12">
                  <c:v>0.27909170135900302</c:v>
                </c:pt>
                <c:pt idx="13">
                  <c:v>0.32496907363778343</c:v>
                </c:pt>
                <c:pt idx="14">
                  <c:v>0.36412536518979255</c:v>
                </c:pt>
                <c:pt idx="15">
                  <c:v>0.38510676002459177</c:v>
                </c:pt>
                <c:pt idx="16">
                  <c:v>0.64439935034901863</c:v>
                </c:pt>
                <c:pt idx="17">
                  <c:v>0.71192304375431337</c:v>
                </c:pt>
                <c:pt idx="18">
                  <c:v>0.7953314220410922</c:v>
                </c:pt>
                <c:pt idx="19">
                  <c:v>0.72883470001819572</c:v>
                </c:pt>
                <c:pt idx="20">
                  <c:v>0.82610184490182592</c:v>
                </c:pt>
                <c:pt idx="21">
                  <c:v>1.0075714564731835</c:v>
                </c:pt>
                <c:pt idx="22">
                  <c:v>0.90136356227993975</c:v>
                </c:pt>
                <c:pt idx="23">
                  <c:v>0.90438494560482585</c:v>
                </c:pt>
                <c:pt idx="24">
                  <c:v>0.88905983352302098</c:v>
                </c:pt>
                <c:pt idx="25">
                  <c:v>0.83651986211528195</c:v>
                </c:pt>
                <c:pt idx="26">
                  <c:v>0.89672369452204104</c:v>
                </c:pt>
                <c:pt idx="27">
                  <c:v>0.8349856888912498</c:v>
                </c:pt>
                <c:pt idx="28">
                  <c:v>0.94241240831428541</c:v>
                </c:pt>
                <c:pt idx="29">
                  <c:v>0.88636681211881585</c:v>
                </c:pt>
                <c:pt idx="30">
                  <c:v>0.88438359223628682</c:v>
                </c:pt>
                <c:pt idx="31">
                  <c:v>0.88795862181030794</c:v>
                </c:pt>
                <c:pt idx="32">
                  <c:v>0.97147464715134679</c:v>
                </c:pt>
                <c:pt idx="33">
                  <c:v>1.1180627068299538</c:v>
                </c:pt>
                <c:pt idx="34">
                  <c:v>1.1742586278053362</c:v>
                </c:pt>
                <c:pt idx="35">
                  <c:v>1.1623379942814251</c:v>
                </c:pt>
                <c:pt idx="36">
                  <c:v>1.2393294647632398</c:v>
                </c:pt>
                <c:pt idx="37">
                  <c:v>1.41720240870603</c:v>
                </c:pt>
                <c:pt idx="38">
                  <c:v>1.542144873702386</c:v>
                </c:pt>
                <c:pt idx="39">
                  <c:v>1.7126137706403723</c:v>
                </c:pt>
                <c:pt idx="40">
                  <c:v>1.6919889048699583</c:v>
                </c:pt>
                <c:pt idx="41">
                  <c:v>1.715579697649714</c:v>
                </c:pt>
                <c:pt idx="42">
                  <c:v>1.8209609869791745</c:v>
                </c:pt>
                <c:pt idx="43">
                  <c:v>2.0487309388748738</c:v>
                </c:pt>
                <c:pt idx="44">
                  <c:v>2.1861250823372838</c:v>
                </c:pt>
                <c:pt idx="45">
                  <c:v>2.093111776546082</c:v>
                </c:pt>
                <c:pt idx="46">
                  <c:v>2.0571210390408208</c:v>
                </c:pt>
                <c:pt idx="47">
                  <c:v>2.2490809569418038</c:v>
                </c:pt>
                <c:pt idx="48">
                  <c:v>2.2393419818082037</c:v>
                </c:pt>
                <c:pt idx="49">
                  <c:v>2.2727043881037514</c:v>
                </c:pt>
                <c:pt idx="50">
                  <c:v>2.2590151750676761</c:v>
                </c:pt>
                <c:pt idx="51">
                  <c:v>2.4652272383074614</c:v>
                </c:pt>
                <c:pt idx="52">
                  <c:v>2.5823666237087846</c:v>
                </c:pt>
                <c:pt idx="53">
                  <c:v>2.5339544895659087</c:v>
                </c:pt>
                <c:pt idx="54">
                  <c:v>2.4585787222919437</c:v>
                </c:pt>
                <c:pt idx="55">
                  <c:v>2.5670974565586286</c:v>
                </c:pt>
                <c:pt idx="56">
                  <c:v>2.7092800764658684</c:v>
                </c:pt>
                <c:pt idx="57">
                  <c:v>2.9079675281780211</c:v>
                </c:pt>
                <c:pt idx="58">
                  <c:v>2.9129684475134807</c:v>
                </c:pt>
                <c:pt idx="59">
                  <c:v>3.0185563932501891</c:v>
                </c:pt>
                <c:pt idx="60">
                  <c:v>3.0135096720927605</c:v>
                </c:pt>
                <c:pt idx="61">
                  <c:v>3.09081750887702</c:v>
                </c:pt>
                <c:pt idx="62">
                  <c:v>3.1616269453157231</c:v>
                </c:pt>
                <c:pt idx="63">
                  <c:v>3.1332950766724399</c:v>
                </c:pt>
                <c:pt idx="64">
                  <c:v>3.1087423443510596</c:v>
                </c:pt>
                <c:pt idx="65">
                  <c:v>3.1197756715396396</c:v>
                </c:pt>
                <c:pt idx="66">
                  <c:v>3.1305367996665932</c:v>
                </c:pt>
                <c:pt idx="67">
                  <c:v>3.0887003547482044</c:v>
                </c:pt>
                <c:pt idx="68">
                  <c:v>3.0262501850858214</c:v>
                </c:pt>
                <c:pt idx="69">
                  <c:v>3.0508086487570076</c:v>
                </c:pt>
                <c:pt idx="70">
                  <c:v>3.1386817630540613</c:v>
                </c:pt>
                <c:pt idx="71">
                  <c:v>3.2370525802202157</c:v>
                </c:pt>
                <c:pt idx="72">
                  <c:v>3.39172495620811</c:v>
                </c:pt>
                <c:pt idx="73">
                  <c:v>3.5208544678328528</c:v>
                </c:pt>
                <c:pt idx="74">
                  <c:v>3.3890021037516664</c:v>
                </c:pt>
                <c:pt idx="75">
                  <c:v>3.213752091823733</c:v>
                </c:pt>
                <c:pt idx="76">
                  <c:v>3.2036051874142553</c:v>
                </c:pt>
                <c:pt idx="77">
                  <c:v>3.1156286639642659</c:v>
                </c:pt>
                <c:pt idx="78">
                  <c:v>3.1454293826305535</c:v>
                </c:pt>
                <c:pt idx="79">
                  <c:v>2.9082545496768133</c:v>
                </c:pt>
                <c:pt idx="80">
                  <c:v>3.0158848320647968</c:v>
                </c:pt>
                <c:pt idx="81">
                  <c:v>3.0673075556143394</c:v>
                </c:pt>
                <c:pt idx="82">
                  <c:v>3.0075892489785461</c:v>
                </c:pt>
                <c:pt idx="83">
                  <c:v>3.0332933175038073</c:v>
                </c:pt>
                <c:pt idx="84">
                  <c:v>2.9144485284856287</c:v>
                </c:pt>
                <c:pt idx="85">
                  <c:v>2.9560374999813366</c:v>
                </c:pt>
                <c:pt idx="86">
                  <c:v>3.105299145174528</c:v>
                </c:pt>
                <c:pt idx="87">
                  <c:v>3.1991004294756529</c:v>
                </c:pt>
                <c:pt idx="88">
                  <c:v>3.2106979705052487</c:v>
                </c:pt>
                <c:pt idx="89">
                  <c:v>3.1856994558561715</c:v>
                </c:pt>
                <c:pt idx="90">
                  <c:v>2.8990661940439693</c:v>
                </c:pt>
                <c:pt idx="91">
                  <c:v>3.0675038686789149</c:v>
                </c:pt>
                <c:pt idx="92">
                  <c:v>3.1893684512143428</c:v>
                </c:pt>
                <c:pt idx="93">
                  <c:v>3.2051906340769114</c:v>
                </c:pt>
                <c:pt idx="94">
                  <c:v>3.1421613689632162</c:v>
                </c:pt>
                <c:pt idx="95">
                  <c:v>3.1347624838516248</c:v>
                </c:pt>
                <c:pt idx="96">
                  <c:v>3.2958846611424906</c:v>
                </c:pt>
                <c:pt idx="97">
                  <c:v>3.1259541995780666</c:v>
                </c:pt>
                <c:pt idx="98">
                  <c:v>3.1816754634589084</c:v>
                </c:pt>
                <c:pt idx="99">
                  <c:v>3.1656534438235724</c:v>
                </c:pt>
                <c:pt idx="100">
                  <c:v>3.0885944899203914</c:v>
                </c:pt>
                <c:pt idx="101">
                  <c:v>3.1027761584163991</c:v>
                </c:pt>
                <c:pt idx="102">
                  <c:v>3.0763589206447897</c:v>
                </c:pt>
                <c:pt idx="103">
                  <c:v>3.2482167045035744</c:v>
                </c:pt>
                <c:pt idx="104">
                  <c:v>3.1841823735405037</c:v>
                </c:pt>
                <c:pt idx="105">
                  <c:v>3.3602752607187485</c:v>
                </c:pt>
                <c:pt idx="106">
                  <c:v>3.2893420735988936</c:v>
                </c:pt>
                <c:pt idx="107">
                  <c:v>3.1431487101073237</c:v>
                </c:pt>
                <c:pt idx="108">
                  <c:v>3.2826825218526996</c:v>
                </c:pt>
                <c:pt idx="109">
                  <c:v>3.0786934100771797</c:v>
                </c:pt>
                <c:pt idx="110">
                  <c:v>3.0539492033636177</c:v>
                </c:pt>
                <c:pt idx="111">
                  <c:v>3.1552240120586674</c:v>
                </c:pt>
                <c:pt idx="112">
                  <c:v>3.1494451540741428</c:v>
                </c:pt>
                <c:pt idx="113">
                  <c:v>3.1845391546633026</c:v>
                </c:pt>
                <c:pt idx="114">
                  <c:v>3.1296212893585595</c:v>
                </c:pt>
                <c:pt idx="115">
                  <c:v>3.2370115188510482</c:v>
                </c:pt>
                <c:pt idx="116">
                  <c:v>3.4548527775239251</c:v>
                </c:pt>
                <c:pt idx="117">
                  <c:v>3.6076754640758026</c:v>
                </c:pt>
                <c:pt idx="118">
                  <c:v>3.5345157934879299</c:v>
                </c:pt>
                <c:pt idx="119">
                  <c:v>3.5474121181176268</c:v>
                </c:pt>
                <c:pt idx="120">
                  <c:v>3.4824242924067752</c:v>
                </c:pt>
                <c:pt idx="121">
                  <c:v>3.47450174474778</c:v>
                </c:pt>
                <c:pt idx="122">
                  <c:v>3.2463810158678807</c:v>
                </c:pt>
                <c:pt idx="123">
                  <c:v>3.2201762752678675</c:v>
                </c:pt>
                <c:pt idx="124">
                  <c:v>3.3125349444069871</c:v>
                </c:pt>
                <c:pt idx="125">
                  <c:v>3.2769271821595063</c:v>
                </c:pt>
                <c:pt idx="126">
                  <c:v>3.078481917238197</c:v>
                </c:pt>
                <c:pt idx="127">
                  <c:v>3.1148945726479869</c:v>
                </c:pt>
                <c:pt idx="128">
                  <c:v>3.0678999986660553</c:v>
                </c:pt>
                <c:pt idx="129">
                  <c:v>3.2177739184119338</c:v>
                </c:pt>
                <c:pt idx="130">
                  <c:v>3.2688122926738008</c:v>
                </c:pt>
                <c:pt idx="131">
                  <c:v>3.2136795545917458</c:v>
                </c:pt>
                <c:pt idx="132">
                  <c:v>3.241275078344692</c:v>
                </c:pt>
                <c:pt idx="133">
                  <c:v>3.1846966105500156</c:v>
                </c:pt>
                <c:pt idx="134">
                  <c:v>2.6733896740763941</c:v>
                </c:pt>
                <c:pt idx="135">
                  <c:v>2.7501770715979657</c:v>
                </c:pt>
                <c:pt idx="136">
                  <c:v>2.6682649792009565</c:v>
                </c:pt>
                <c:pt idx="137">
                  <c:v>2.6763612930153569</c:v>
                </c:pt>
                <c:pt idx="138">
                  <c:v>2.77330922980686</c:v>
                </c:pt>
                <c:pt idx="139">
                  <c:v>2.8699144929742713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1EE-4888-BE98-06BA9CD80052}"/>
            </c:ext>
          </c:extLst>
        </c:ser>
        <c:ser>
          <c:idx val="9"/>
          <c:order val="9"/>
          <c:tx>
            <c:strRef>
              <c:f>累積報酬!$B$21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累積報酬!$C$21:$EL$21</c:f>
              <c:numCache>
                <c:formatCode>General</c:formatCode>
                <c:ptCount val="140"/>
                <c:pt idx="0">
                  <c:v>1.190207271587417E-2</c:v>
                </c:pt>
                <c:pt idx="1">
                  <c:v>0.2850108252162829</c:v>
                </c:pt>
                <c:pt idx="2">
                  <c:v>0.1732158734540313</c:v>
                </c:pt>
                <c:pt idx="3">
                  <c:v>0.35725445506016129</c:v>
                </c:pt>
                <c:pt idx="4">
                  <c:v>0.2532894468879473</c:v>
                </c:pt>
                <c:pt idx="5">
                  <c:v>0.20034438134091581</c:v>
                </c:pt>
                <c:pt idx="6">
                  <c:v>0.25587728352764955</c:v>
                </c:pt>
                <c:pt idx="7">
                  <c:v>0.2566574654482629</c:v>
                </c:pt>
                <c:pt idx="8">
                  <c:v>0.33139097929387334</c:v>
                </c:pt>
                <c:pt idx="9">
                  <c:v>0.27077802585775473</c:v>
                </c:pt>
                <c:pt idx="10">
                  <c:v>0.27677372004996126</c:v>
                </c:pt>
                <c:pt idx="11">
                  <c:v>0.37129022765774722</c:v>
                </c:pt>
                <c:pt idx="12">
                  <c:v>0.40142135060890299</c:v>
                </c:pt>
                <c:pt idx="13">
                  <c:v>0.42888686375828916</c:v>
                </c:pt>
                <c:pt idx="14">
                  <c:v>0.4792837026781584</c:v>
                </c:pt>
                <c:pt idx="15">
                  <c:v>0.50413515394266095</c:v>
                </c:pt>
                <c:pt idx="16">
                  <c:v>0.75881795644854133</c:v>
                </c:pt>
                <c:pt idx="17">
                  <c:v>0.86125213299109105</c:v>
                </c:pt>
                <c:pt idx="18">
                  <c:v>0.9732642062681427</c:v>
                </c:pt>
                <c:pt idx="19">
                  <c:v>0.94378089315402702</c:v>
                </c:pt>
                <c:pt idx="20">
                  <c:v>1.1030251257077384</c:v>
                </c:pt>
                <c:pt idx="21">
                  <c:v>1.2285809771067628</c:v>
                </c:pt>
                <c:pt idx="22">
                  <c:v>1.0334235368845166</c:v>
                </c:pt>
                <c:pt idx="23">
                  <c:v>1.0291610511521518</c:v>
                </c:pt>
                <c:pt idx="24">
                  <c:v>1.0311951938615604</c:v>
                </c:pt>
                <c:pt idx="25">
                  <c:v>0.98840091316360068</c:v>
                </c:pt>
                <c:pt idx="26">
                  <c:v>0.96585619985023485</c:v>
                </c:pt>
                <c:pt idx="27">
                  <c:v>0.94815061684471502</c:v>
                </c:pt>
                <c:pt idx="28">
                  <c:v>1.0655316781146413</c:v>
                </c:pt>
                <c:pt idx="29">
                  <c:v>0.99248754958615903</c:v>
                </c:pt>
                <c:pt idx="30">
                  <c:v>0.95608166774780012</c:v>
                </c:pt>
                <c:pt idx="31">
                  <c:v>0.74295204122128222</c:v>
                </c:pt>
                <c:pt idx="32">
                  <c:v>0.80621735198411848</c:v>
                </c:pt>
                <c:pt idx="33">
                  <c:v>0.76689993238926613</c:v>
                </c:pt>
                <c:pt idx="34">
                  <c:v>0.83255754894144496</c:v>
                </c:pt>
                <c:pt idx="35">
                  <c:v>0.81825412888590143</c:v>
                </c:pt>
                <c:pt idx="36">
                  <c:v>0.84102284939116245</c:v>
                </c:pt>
                <c:pt idx="37">
                  <c:v>1.0608766618266512</c:v>
                </c:pt>
                <c:pt idx="38">
                  <c:v>1.2576506422420932</c:v>
                </c:pt>
                <c:pt idx="39">
                  <c:v>1.4099724253791406</c:v>
                </c:pt>
                <c:pt idx="40">
                  <c:v>1.4022229695840787</c:v>
                </c:pt>
                <c:pt idx="41">
                  <c:v>1.44578443963187</c:v>
                </c:pt>
                <c:pt idx="42">
                  <c:v>1.5879161414618648</c:v>
                </c:pt>
                <c:pt idx="43">
                  <c:v>1.8831717918388693</c:v>
                </c:pt>
                <c:pt idx="44">
                  <c:v>2.0077375460177667</c:v>
                </c:pt>
                <c:pt idx="45">
                  <c:v>1.8855627989159465</c:v>
                </c:pt>
                <c:pt idx="46">
                  <c:v>1.8313803424626693</c:v>
                </c:pt>
                <c:pt idx="47">
                  <c:v>2.0265318431229487</c:v>
                </c:pt>
                <c:pt idx="48">
                  <c:v>2.0106842793113908</c:v>
                </c:pt>
                <c:pt idx="49">
                  <c:v>2.0145401950639177</c:v>
                </c:pt>
                <c:pt idx="50">
                  <c:v>2.028681461923076</c:v>
                </c:pt>
                <c:pt idx="51">
                  <c:v>2.2727607077130916</c:v>
                </c:pt>
                <c:pt idx="52">
                  <c:v>2.4268789098769061</c:v>
                </c:pt>
                <c:pt idx="53">
                  <c:v>2.3592468132890465</c:v>
                </c:pt>
                <c:pt idx="54">
                  <c:v>2.2249860155516803</c:v>
                </c:pt>
                <c:pt idx="55">
                  <c:v>2.3108440533657624</c:v>
                </c:pt>
                <c:pt idx="56">
                  <c:v>2.4282717013451607</c:v>
                </c:pt>
                <c:pt idx="57">
                  <c:v>2.5721564359974938</c:v>
                </c:pt>
                <c:pt idx="58">
                  <c:v>2.5583594717327029</c:v>
                </c:pt>
                <c:pt idx="59">
                  <c:v>2.6907766335778662</c:v>
                </c:pt>
                <c:pt idx="60">
                  <c:v>2.6920124298861712</c:v>
                </c:pt>
                <c:pt idx="61">
                  <c:v>2.7993958487597093</c:v>
                </c:pt>
                <c:pt idx="62">
                  <c:v>2.9446051709820327</c:v>
                </c:pt>
                <c:pt idx="63">
                  <c:v>2.9251077583028193</c:v>
                </c:pt>
                <c:pt idx="64">
                  <c:v>2.8596589168541078</c:v>
                </c:pt>
                <c:pt idx="65">
                  <c:v>2.939096776005977</c:v>
                </c:pt>
                <c:pt idx="66">
                  <c:v>2.9694415423728504</c:v>
                </c:pt>
                <c:pt idx="67">
                  <c:v>2.9182306788958825</c:v>
                </c:pt>
                <c:pt idx="68">
                  <c:v>2.8481649174169785</c:v>
                </c:pt>
                <c:pt idx="69">
                  <c:v>2.9256135412770461</c:v>
                </c:pt>
                <c:pt idx="70">
                  <c:v>3.0021308196939009</c:v>
                </c:pt>
                <c:pt idx="71">
                  <c:v>3.0995221673209095</c:v>
                </c:pt>
                <c:pt idx="72">
                  <c:v>3.2482465729193284</c:v>
                </c:pt>
                <c:pt idx="73">
                  <c:v>3.3814760260091634</c:v>
                </c:pt>
                <c:pt idx="74">
                  <c:v>3.2905143839294184</c:v>
                </c:pt>
                <c:pt idx="75">
                  <c:v>3.1161324677923048</c:v>
                </c:pt>
                <c:pt idx="76">
                  <c:v>3.0815924318384331</c:v>
                </c:pt>
                <c:pt idx="77">
                  <c:v>2.9806960921961041</c:v>
                </c:pt>
                <c:pt idx="78">
                  <c:v>2.8742114662045015</c:v>
                </c:pt>
                <c:pt idx="79">
                  <c:v>2.5333306731516512</c:v>
                </c:pt>
                <c:pt idx="80">
                  <c:v>2.5749018343896539</c:v>
                </c:pt>
                <c:pt idx="81">
                  <c:v>2.6969838573050562</c:v>
                </c:pt>
                <c:pt idx="82">
                  <c:v>2.5991969156742685</c:v>
                </c:pt>
                <c:pt idx="83">
                  <c:v>2.7319740833597326</c:v>
                </c:pt>
                <c:pt idx="84">
                  <c:v>2.6278297398295725</c:v>
                </c:pt>
                <c:pt idx="85">
                  <c:v>2.6939474908063916</c:v>
                </c:pt>
                <c:pt idx="86">
                  <c:v>2.8488022621368669</c:v>
                </c:pt>
                <c:pt idx="87">
                  <c:v>2.9115523972701594</c:v>
                </c:pt>
                <c:pt idx="88">
                  <c:v>3.0038518258595857</c:v>
                </c:pt>
                <c:pt idx="89">
                  <c:v>3.0059940607114486</c:v>
                </c:pt>
                <c:pt idx="90">
                  <c:v>2.5985243876854716</c:v>
                </c:pt>
                <c:pt idx="91">
                  <c:v>2.7349370145153635</c:v>
                </c:pt>
                <c:pt idx="92">
                  <c:v>2.8353579014900872</c:v>
                </c:pt>
                <c:pt idx="93">
                  <c:v>2.870149983891618</c:v>
                </c:pt>
                <c:pt idx="94">
                  <c:v>2.7484922174021462</c:v>
                </c:pt>
                <c:pt idx="95">
                  <c:v>2.7623985833663851</c:v>
                </c:pt>
                <c:pt idx="96">
                  <c:v>2.9200315026174133</c:v>
                </c:pt>
                <c:pt idx="97">
                  <c:v>2.7405751978733806</c:v>
                </c:pt>
                <c:pt idx="98">
                  <c:v>2.7944498853942745</c:v>
                </c:pt>
                <c:pt idx="99">
                  <c:v>2.7810680770638894</c:v>
                </c:pt>
                <c:pt idx="100">
                  <c:v>2.6736860709407066</c:v>
                </c:pt>
                <c:pt idx="101">
                  <c:v>2.633126035545895</c:v>
                </c:pt>
                <c:pt idx="102">
                  <c:v>2.6061666767699601</c:v>
                </c:pt>
                <c:pt idx="103">
                  <c:v>2.7808036816622685</c:v>
                </c:pt>
                <c:pt idx="104">
                  <c:v>2.6990472713013913</c:v>
                </c:pt>
                <c:pt idx="105">
                  <c:v>2.873601854242307</c:v>
                </c:pt>
                <c:pt idx="106">
                  <c:v>2.8123403449624735</c:v>
                </c:pt>
                <c:pt idx="107">
                  <c:v>2.6857151543300479</c:v>
                </c:pt>
                <c:pt idx="108">
                  <c:v>2.8335668321741663</c:v>
                </c:pt>
                <c:pt idx="109">
                  <c:v>2.8377361569715744</c:v>
                </c:pt>
                <c:pt idx="110">
                  <c:v>2.809048873818011</c:v>
                </c:pt>
                <c:pt idx="111">
                  <c:v>2.8534509999214781</c:v>
                </c:pt>
                <c:pt idx="112">
                  <c:v>2.8688871768116626</c:v>
                </c:pt>
                <c:pt idx="113">
                  <c:v>2.885239157058344</c:v>
                </c:pt>
                <c:pt idx="114">
                  <c:v>2.830456976848418</c:v>
                </c:pt>
                <c:pt idx="115">
                  <c:v>2.9734563960422471</c:v>
                </c:pt>
                <c:pt idx="116">
                  <c:v>3.2359309306231143</c:v>
                </c:pt>
                <c:pt idx="117">
                  <c:v>3.3704130641288548</c:v>
                </c:pt>
                <c:pt idx="118">
                  <c:v>3.2921132413218324</c:v>
                </c:pt>
                <c:pt idx="119">
                  <c:v>3.3390365831148414</c:v>
                </c:pt>
                <c:pt idx="120">
                  <c:v>3.2565492114917229</c:v>
                </c:pt>
                <c:pt idx="121">
                  <c:v>3.2312023163256307</c:v>
                </c:pt>
                <c:pt idx="122">
                  <c:v>2.9432073452805527</c:v>
                </c:pt>
                <c:pt idx="123">
                  <c:v>2.9368900947188412</c:v>
                </c:pt>
                <c:pt idx="124">
                  <c:v>2.9940121057493134</c:v>
                </c:pt>
                <c:pt idx="125">
                  <c:v>2.9854910715492178</c:v>
                </c:pt>
                <c:pt idx="126">
                  <c:v>2.7619241458052062</c:v>
                </c:pt>
                <c:pt idx="127">
                  <c:v>2.7593600858238938</c:v>
                </c:pt>
                <c:pt idx="128">
                  <c:v>2.6416166110344608</c:v>
                </c:pt>
                <c:pt idx="129">
                  <c:v>2.7467415872466114</c:v>
                </c:pt>
                <c:pt idx="130">
                  <c:v>2.8672921422397462</c:v>
                </c:pt>
                <c:pt idx="131">
                  <c:v>2.9457429370959254</c:v>
                </c:pt>
                <c:pt idx="132">
                  <c:v>2.9936578465182611</c:v>
                </c:pt>
                <c:pt idx="133">
                  <c:v>2.955424345288987</c:v>
                </c:pt>
                <c:pt idx="134">
                  <c:v>2.3167021755730461</c:v>
                </c:pt>
                <c:pt idx="135">
                  <c:v>2.4184388358078266</c:v>
                </c:pt>
                <c:pt idx="136">
                  <c:v>2.4151806705086845</c:v>
                </c:pt>
                <c:pt idx="137">
                  <c:v>2.3801142309418668</c:v>
                </c:pt>
                <c:pt idx="138">
                  <c:v>2.4825634778839398</c:v>
                </c:pt>
                <c:pt idx="139">
                  <c:v>2.5566794461739963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1EE-4888-BE98-06BA9CD80052}"/>
            </c:ext>
          </c:extLst>
        </c:ser>
        <c:ser>
          <c:idx val="10"/>
          <c:order val="10"/>
          <c:tx>
            <c:strRef>
              <c:f>累積報酬!$B$22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累積報酬!$C$22:$EL$22</c:f>
              <c:numCache>
                <c:formatCode>General</c:formatCode>
                <c:ptCount val="140"/>
                <c:pt idx="0">
                  <c:v>1.083089340061978E-2</c:v>
                </c:pt>
                <c:pt idx="1">
                  <c:v>0.33602911356982895</c:v>
                </c:pt>
                <c:pt idx="2">
                  <c:v>0.21810244808688095</c:v>
                </c:pt>
                <c:pt idx="3">
                  <c:v>0.2859335090081585</c:v>
                </c:pt>
                <c:pt idx="4">
                  <c:v>0.17763591608442381</c:v>
                </c:pt>
                <c:pt idx="5">
                  <c:v>-5.2169628406976781E-2</c:v>
                </c:pt>
                <c:pt idx="6">
                  <c:v>4.302347116057223E-2</c:v>
                </c:pt>
                <c:pt idx="7">
                  <c:v>-1.2174921191335362E-2</c:v>
                </c:pt>
                <c:pt idx="8">
                  <c:v>8.8486224259016727E-2</c:v>
                </c:pt>
                <c:pt idx="9">
                  <c:v>-5.3632983907086679E-2</c:v>
                </c:pt>
                <c:pt idx="10">
                  <c:v>6.865190252050464E-3</c:v>
                </c:pt>
                <c:pt idx="11">
                  <c:v>7.5462165581385188E-2</c:v>
                </c:pt>
                <c:pt idx="12">
                  <c:v>0.13589397963338962</c:v>
                </c:pt>
                <c:pt idx="13">
                  <c:v>0.17627550302662842</c:v>
                </c:pt>
                <c:pt idx="14">
                  <c:v>0.25444757674757768</c:v>
                </c:pt>
                <c:pt idx="15">
                  <c:v>0.35259678269390976</c:v>
                </c:pt>
                <c:pt idx="16">
                  <c:v>0.67534068159972849</c:v>
                </c:pt>
                <c:pt idx="17">
                  <c:v>0.71281249350502518</c:v>
                </c:pt>
                <c:pt idx="18">
                  <c:v>0.87920123481471091</c:v>
                </c:pt>
                <c:pt idx="19">
                  <c:v>0.86409883201203164</c:v>
                </c:pt>
                <c:pt idx="20">
                  <c:v>1.0260290512039698</c:v>
                </c:pt>
                <c:pt idx="21">
                  <c:v>1.2249820196719525</c:v>
                </c:pt>
                <c:pt idx="22">
                  <c:v>1.0983401214879203</c:v>
                </c:pt>
                <c:pt idx="23">
                  <c:v>1.0748374487244343</c:v>
                </c:pt>
                <c:pt idx="24">
                  <c:v>1.058609597837044</c:v>
                </c:pt>
                <c:pt idx="25">
                  <c:v>1.0414361171396698</c:v>
                </c:pt>
                <c:pt idx="26">
                  <c:v>1.0328132824550142</c:v>
                </c:pt>
                <c:pt idx="27">
                  <c:v>0.99115305752069682</c:v>
                </c:pt>
                <c:pt idx="28">
                  <c:v>1.0750647127131385</c:v>
                </c:pt>
                <c:pt idx="29">
                  <c:v>1.0520286457998917</c:v>
                </c:pt>
                <c:pt idx="30">
                  <c:v>1.0063894947963219</c:v>
                </c:pt>
                <c:pt idx="31">
                  <c:v>0.71067862589309871</c:v>
                </c:pt>
                <c:pt idx="32">
                  <c:v>0.79704017939080907</c:v>
                </c:pt>
                <c:pt idx="33">
                  <c:v>0.76211720111966197</c:v>
                </c:pt>
                <c:pt idx="34">
                  <c:v>0.80875437038141573</c:v>
                </c:pt>
                <c:pt idx="35">
                  <c:v>0.76688978196174074</c:v>
                </c:pt>
                <c:pt idx="36">
                  <c:v>0.79680056836479674</c:v>
                </c:pt>
                <c:pt idx="37">
                  <c:v>1.0365718634662564</c:v>
                </c:pt>
                <c:pt idx="38">
                  <c:v>1.2638112910872139</c:v>
                </c:pt>
                <c:pt idx="39">
                  <c:v>1.5855187549503731</c:v>
                </c:pt>
                <c:pt idx="40">
                  <c:v>1.5876376418088261</c:v>
                </c:pt>
                <c:pt idx="41">
                  <c:v>1.4564554797955584</c:v>
                </c:pt>
                <c:pt idx="42">
                  <c:v>1.5103121320600481</c:v>
                </c:pt>
                <c:pt idx="43">
                  <c:v>1.5530039439301666</c:v>
                </c:pt>
                <c:pt idx="44">
                  <c:v>1.7029651549279461</c:v>
                </c:pt>
                <c:pt idx="45">
                  <c:v>1.553181088466566</c:v>
                </c:pt>
                <c:pt idx="46">
                  <c:v>1.4585787591659256</c:v>
                </c:pt>
                <c:pt idx="47">
                  <c:v>1.7534235249289329</c:v>
                </c:pt>
                <c:pt idx="48">
                  <c:v>1.6932343681466764</c:v>
                </c:pt>
                <c:pt idx="49">
                  <c:v>1.6816111093352202</c:v>
                </c:pt>
                <c:pt idx="50">
                  <c:v>1.7078624582880098</c:v>
                </c:pt>
                <c:pt idx="51">
                  <c:v>2.0390302009098344</c:v>
                </c:pt>
                <c:pt idx="52">
                  <c:v>1.9825985996732907</c:v>
                </c:pt>
                <c:pt idx="53">
                  <c:v>1.9804969710733109</c:v>
                </c:pt>
                <c:pt idx="54">
                  <c:v>1.8346334133396471</c:v>
                </c:pt>
                <c:pt idx="55">
                  <c:v>1.9417824286120859</c:v>
                </c:pt>
                <c:pt idx="56">
                  <c:v>1.9242480673319129</c:v>
                </c:pt>
                <c:pt idx="57">
                  <c:v>2.1401713357885992</c:v>
                </c:pt>
                <c:pt idx="58">
                  <c:v>2.1072389652262937</c:v>
                </c:pt>
                <c:pt idx="59">
                  <c:v>2.162366274645465</c:v>
                </c:pt>
                <c:pt idx="60">
                  <c:v>2.2045332798390147</c:v>
                </c:pt>
                <c:pt idx="61">
                  <c:v>2.3221902292024423</c:v>
                </c:pt>
                <c:pt idx="62">
                  <c:v>2.4705640282581554</c:v>
                </c:pt>
                <c:pt idx="63">
                  <c:v>2.4676772217997223</c:v>
                </c:pt>
                <c:pt idx="64">
                  <c:v>2.3863837440612028</c:v>
                </c:pt>
                <c:pt idx="65">
                  <c:v>2.4330105873540475</c:v>
                </c:pt>
                <c:pt idx="66">
                  <c:v>2.4533353502934254</c:v>
                </c:pt>
                <c:pt idx="67">
                  <c:v>2.3632950548778076</c:v>
                </c:pt>
                <c:pt idx="68">
                  <c:v>2.2801618818108245</c:v>
                </c:pt>
                <c:pt idx="69">
                  <c:v>2.3460539919291121</c:v>
                </c:pt>
                <c:pt idx="70">
                  <c:v>2.3333052167700004</c:v>
                </c:pt>
                <c:pt idx="71">
                  <c:v>2.4636733500110539</c:v>
                </c:pt>
                <c:pt idx="72">
                  <c:v>2.6525157902169587</c:v>
                </c:pt>
                <c:pt idx="73">
                  <c:v>2.6784649738918707</c:v>
                </c:pt>
                <c:pt idx="74">
                  <c:v>2.6285323915883199</c:v>
                </c:pt>
                <c:pt idx="75">
                  <c:v>2.4656987157066932</c:v>
                </c:pt>
                <c:pt idx="76">
                  <c:v>2.4600620946609677</c:v>
                </c:pt>
                <c:pt idx="77">
                  <c:v>2.3281998844024252</c:v>
                </c:pt>
                <c:pt idx="78">
                  <c:v>2.2078715613377522</c:v>
                </c:pt>
                <c:pt idx="79">
                  <c:v>2.1739432494414546</c:v>
                </c:pt>
                <c:pt idx="80">
                  <c:v>2.2275099410219861</c:v>
                </c:pt>
                <c:pt idx="81">
                  <c:v>2.1934088700977661</c:v>
                </c:pt>
                <c:pt idx="82">
                  <c:v>2.1918192481567131</c:v>
                </c:pt>
                <c:pt idx="83">
                  <c:v>2.2828203669880236</c:v>
                </c:pt>
                <c:pt idx="84">
                  <c:v>2.1004518338941787</c:v>
                </c:pt>
                <c:pt idx="85">
                  <c:v>2.166705053381798</c:v>
                </c:pt>
                <c:pt idx="86">
                  <c:v>2.4329602432408635</c:v>
                </c:pt>
                <c:pt idx="87">
                  <c:v>2.4972590851246399</c:v>
                </c:pt>
                <c:pt idx="88">
                  <c:v>2.5629613403342328</c:v>
                </c:pt>
                <c:pt idx="89">
                  <c:v>2.5907110170058969</c:v>
                </c:pt>
                <c:pt idx="90">
                  <c:v>2.1878921735197348</c:v>
                </c:pt>
                <c:pt idx="91">
                  <c:v>2.4064214737486154</c:v>
                </c:pt>
                <c:pt idx="92">
                  <c:v>2.5007385721736748</c:v>
                </c:pt>
                <c:pt idx="93">
                  <c:v>2.5581045898153798</c:v>
                </c:pt>
                <c:pt idx="94">
                  <c:v>2.3874480945115302</c:v>
                </c:pt>
                <c:pt idx="95">
                  <c:v>2.3910159239448849</c:v>
                </c:pt>
                <c:pt idx="96">
                  <c:v>2.4889105412912578</c:v>
                </c:pt>
                <c:pt idx="97">
                  <c:v>2.4219375049609977</c:v>
                </c:pt>
                <c:pt idx="98">
                  <c:v>2.3972526044221256</c:v>
                </c:pt>
                <c:pt idx="99">
                  <c:v>2.3720838910753534</c:v>
                </c:pt>
                <c:pt idx="100">
                  <c:v>2.2137341911737543</c:v>
                </c:pt>
                <c:pt idx="101">
                  <c:v>2.2060964003872021</c:v>
                </c:pt>
                <c:pt idx="102">
                  <c:v>2.1402319695556904</c:v>
                </c:pt>
                <c:pt idx="103">
                  <c:v>2.3472472292550237</c:v>
                </c:pt>
                <c:pt idx="104">
                  <c:v>2.2460915495792273</c:v>
                </c:pt>
                <c:pt idx="105">
                  <c:v>2.4278492882421436</c:v>
                </c:pt>
                <c:pt idx="106">
                  <c:v>2.4258305644912972</c:v>
                </c:pt>
                <c:pt idx="107">
                  <c:v>2.3031060026904484</c:v>
                </c:pt>
                <c:pt idx="108">
                  <c:v>2.4879431931835381</c:v>
                </c:pt>
                <c:pt idx="109">
                  <c:v>2.4926723021678105</c:v>
                </c:pt>
                <c:pt idx="110">
                  <c:v>2.4283450997312142</c:v>
                </c:pt>
                <c:pt idx="111">
                  <c:v>2.4311315994996385</c:v>
                </c:pt>
                <c:pt idx="112">
                  <c:v>2.4470673327386239</c:v>
                </c:pt>
                <c:pt idx="113">
                  <c:v>2.4769166544661907</c:v>
                </c:pt>
                <c:pt idx="114">
                  <c:v>2.5030084758858657</c:v>
                </c:pt>
                <c:pt idx="115">
                  <c:v>2.7345692019743058</c:v>
                </c:pt>
                <c:pt idx="116">
                  <c:v>3.0258270108152319</c:v>
                </c:pt>
                <c:pt idx="117">
                  <c:v>3.158004455663685</c:v>
                </c:pt>
                <c:pt idx="118">
                  <c:v>3.0565951831840885</c:v>
                </c:pt>
                <c:pt idx="119">
                  <c:v>3.0781322211825994</c:v>
                </c:pt>
                <c:pt idx="120">
                  <c:v>3.0819106459998737</c:v>
                </c:pt>
                <c:pt idx="121">
                  <c:v>3.0451580224195127</c:v>
                </c:pt>
                <c:pt idx="122">
                  <c:v>2.7148376230876892</c:v>
                </c:pt>
                <c:pt idx="123">
                  <c:v>2.6947740507800062</c:v>
                </c:pt>
                <c:pt idx="124">
                  <c:v>2.9365964351714631</c:v>
                </c:pt>
                <c:pt idx="125">
                  <c:v>2.9112064990755235</c:v>
                </c:pt>
                <c:pt idx="126">
                  <c:v>2.686460129947263</c:v>
                </c:pt>
                <c:pt idx="127">
                  <c:v>2.6272023547115615</c:v>
                </c:pt>
                <c:pt idx="128">
                  <c:v>2.5227001991434017</c:v>
                </c:pt>
                <c:pt idx="129">
                  <c:v>2.7221464425368147</c:v>
                </c:pt>
                <c:pt idx="130">
                  <c:v>2.863412009870812</c:v>
                </c:pt>
                <c:pt idx="131">
                  <c:v>2.9411156927010502</c:v>
                </c:pt>
                <c:pt idx="132">
                  <c:v>2.9994125732477324</c:v>
                </c:pt>
                <c:pt idx="133">
                  <c:v>2.9927020212592601</c:v>
                </c:pt>
                <c:pt idx="134">
                  <c:v>2.9114253223712714</c:v>
                </c:pt>
                <c:pt idx="135">
                  <c:v>3.0382572875110401</c:v>
                </c:pt>
                <c:pt idx="136">
                  <c:v>2.9677104177618432</c:v>
                </c:pt>
                <c:pt idx="137">
                  <c:v>2.9078201632333145</c:v>
                </c:pt>
                <c:pt idx="138">
                  <c:v>2.9865062411942604</c:v>
                </c:pt>
                <c:pt idx="139">
                  <c:v>3.0072124329900847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1EE-4888-BE98-06BA9CD80052}"/>
            </c:ext>
          </c:extLst>
        </c:ser>
        <c:ser>
          <c:idx val="11"/>
          <c:order val="11"/>
          <c:tx>
            <c:strRef>
              <c:f>累積報酬!$B$23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累積報酬!$C$23:$EL$23</c:f>
              <c:numCache>
                <c:formatCode>General</c:formatCode>
                <c:ptCount val="140"/>
                <c:pt idx="0">
                  <c:v>3.1325684581971477E-2</c:v>
                </c:pt>
                <c:pt idx="1">
                  <c:v>0.19361452961984488</c:v>
                </c:pt>
                <c:pt idx="2">
                  <c:v>8.4054632478115274E-2</c:v>
                </c:pt>
                <c:pt idx="3">
                  <c:v>8.2824691444324958E-2</c:v>
                </c:pt>
                <c:pt idx="4">
                  <c:v>0.10317641551859211</c:v>
                </c:pt>
                <c:pt idx="5">
                  <c:v>-0.15963382568286069</c:v>
                </c:pt>
                <c:pt idx="6">
                  <c:v>-7.8893884614888998E-4</c:v>
                </c:pt>
                <c:pt idx="7">
                  <c:v>-3.2872453753957642E-2</c:v>
                </c:pt>
                <c:pt idx="8">
                  <c:v>0.10861026150368955</c:v>
                </c:pt>
                <c:pt idx="9">
                  <c:v>-0.12383409953877264</c:v>
                </c:pt>
                <c:pt idx="10">
                  <c:v>-9.4782808119291753E-2</c:v>
                </c:pt>
                <c:pt idx="11">
                  <c:v>-4.7213887179764581E-2</c:v>
                </c:pt>
                <c:pt idx="12">
                  <c:v>3.1776808432598745E-2</c:v>
                </c:pt>
                <c:pt idx="13">
                  <c:v>4.9260781974445077E-2</c:v>
                </c:pt>
                <c:pt idx="14">
                  <c:v>7.0036743919215397E-2</c:v>
                </c:pt>
                <c:pt idx="15">
                  <c:v>0.22715362552096202</c:v>
                </c:pt>
                <c:pt idx="16">
                  <c:v>0.31116510864043556</c:v>
                </c:pt>
                <c:pt idx="17">
                  <c:v>0.19930412773196046</c:v>
                </c:pt>
                <c:pt idx="18">
                  <c:v>0.33934474643063917</c:v>
                </c:pt>
                <c:pt idx="19">
                  <c:v>0.31160428960597958</c:v>
                </c:pt>
                <c:pt idx="20">
                  <c:v>0.35618907673803085</c:v>
                </c:pt>
                <c:pt idx="21">
                  <c:v>0.53195964199595469</c:v>
                </c:pt>
                <c:pt idx="22">
                  <c:v>0.3580952915709989</c:v>
                </c:pt>
                <c:pt idx="23">
                  <c:v>0.3333828382892724</c:v>
                </c:pt>
                <c:pt idx="24">
                  <c:v>0.33998913025874267</c:v>
                </c:pt>
                <c:pt idx="25">
                  <c:v>0.23238473471567106</c:v>
                </c:pt>
                <c:pt idx="26">
                  <c:v>0.21565116159957767</c:v>
                </c:pt>
                <c:pt idx="27">
                  <c:v>0.19846335800995635</c:v>
                </c:pt>
                <c:pt idx="28">
                  <c:v>0.33166547863529594</c:v>
                </c:pt>
                <c:pt idx="29">
                  <c:v>0.33674839591723682</c:v>
                </c:pt>
                <c:pt idx="30">
                  <c:v>0.20728437048711382</c:v>
                </c:pt>
                <c:pt idx="31">
                  <c:v>3.5771434291825721E-2</c:v>
                </c:pt>
                <c:pt idx="32">
                  <c:v>0.13612776142743763</c:v>
                </c:pt>
                <c:pt idx="33">
                  <c:v>0.14422580006565838</c:v>
                </c:pt>
                <c:pt idx="34">
                  <c:v>0.16351102529756559</c:v>
                </c:pt>
                <c:pt idx="35">
                  <c:v>0.22308105846276807</c:v>
                </c:pt>
                <c:pt idx="36">
                  <c:v>0.22910201791266943</c:v>
                </c:pt>
                <c:pt idx="37">
                  <c:v>0.5119645629012044</c:v>
                </c:pt>
                <c:pt idx="38">
                  <c:v>0.71225065359664286</c:v>
                </c:pt>
                <c:pt idx="39">
                  <c:v>0.76745472337520826</c:v>
                </c:pt>
                <c:pt idx="40">
                  <c:v>0.77081628509587929</c:v>
                </c:pt>
                <c:pt idx="41">
                  <c:v>0.74142377270044091</c:v>
                </c:pt>
                <c:pt idx="42">
                  <c:v>0.75564932119271044</c:v>
                </c:pt>
                <c:pt idx="43">
                  <c:v>0.64700652026449768</c:v>
                </c:pt>
                <c:pt idx="44">
                  <c:v>0.84590258985414701</c:v>
                </c:pt>
                <c:pt idx="45">
                  <c:v>0.74914533945401351</c:v>
                </c:pt>
                <c:pt idx="46">
                  <c:v>0.65056491174662323</c:v>
                </c:pt>
                <c:pt idx="47">
                  <c:v>1.1211098396309189</c:v>
                </c:pt>
                <c:pt idx="48">
                  <c:v>1.3073470080791965</c:v>
                </c:pt>
                <c:pt idx="49">
                  <c:v>1.2814915089517525</c:v>
                </c:pt>
                <c:pt idx="50">
                  <c:v>1.240686862812274</c:v>
                </c:pt>
                <c:pt idx="51">
                  <c:v>1.8075133888597144</c:v>
                </c:pt>
                <c:pt idx="52">
                  <c:v>1.6763699238898675</c:v>
                </c:pt>
                <c:pt idx="53">
                  <c:v>1.7307848750762767</c:v>
                </c:pt>
                <c:pt idx="54">
                  <c:v>1.5563344870040339</c:v>
                </c:pt>
                <c:pt idx="55">
                  <c:v>1.6036924668786665</c:v>
                </c:pt>
                <c:pt idx="56">
                  <c:v>1.7701024284914408</c:v>
                </c:pt>
                <c:pt idx="57">
                  <c:v>2.0287107672884757</c:v>
                </c:pt>
                <c:pt idx="58">
                  <c:v>2.0248069320516215</c:v>
                </c:pt>
                <c:pt idx="59">
                  <c:v>2.0191940554745065</c:v>
                </c:pt>
                <c:pt idx="60">
                  <c:v>2.0539964217294617</c:v>
                </c:pt>
                <c:pt idx="61">
                  <c:v>2.1683627118711306</c:v>
                </c:pt>
                <c:pt idx="62">
                  <c:v>2.09886724984668</c:v>
                </c:pt>
                <c:pt idx="63">
                  <c:v>2.0079357056509068</c:v>
                </c:pt>
                <c:pt idx="64">
                  <c:v>1.997252700361452</c:v>
                </c:pt>
                <c:pt idx="65">
                  <c:v>2.0532060392795164</c:v>
                </c:pt>
                <c:pt idx="66">
                  <c:v>2.0154143111627145</c:v>
                </c:pt>
                <c:pt idx="67">
                  <c:v>1.986575694985244</c:v>
                </c:pt>
                <c:pt idx="68">
                  <c:v>1.9482050866263911</c:v>
                </c:pt>
                <c:pt idx="69">
                  <c:v>2.2279973866463263</c:v>
                </c:pt>
                <c:pt idx="70">
                  <c:v>2.3052544110364424</c:v>
                </c:pt>
                <c:pt idx="71">
                  <c:v>2.446430937588878</c:v>
                </c:pt>
                <c:pt idx="72">
                  <c:v>2.6354871091507155</c:v>
                </c:pt>
                <c:pt idx="73">
                  <c:v>2.7680631544090111</c:v>
                </c:pt>
                <c:pt idx="74">
                  <c:v>2.6688350659399753</c:v>
                </c:pt>
                <c:pt idx="75">
                  <c:v>2.5831209610237429</c:v>
                </c:pt>
                <c:pt idx="76">
                  <c:v>2.5838200306985861</c:v>
                </c:pt>
                <c:pt idx="77">
                  <c:v>2.4243315397519782</c:v>
                </c:pt>
                <c:pt idx="78">
                  <c:v>2.3394037474774496</c:v>
                </c:pt>
                <c:pt idx="79">
                  <c:v>2.3095991926090127</c:v>
                </c:pt>
                <c:pt idx="80">
                  <c:v>2.317385393344495</c:v>
                </c:pt>
                <c:pt idx="81">
                  <c:v>2.2105323817655185</c:v>
                </c:pt>
                <c:pt idx="82">
                  <c:v>2.1667542356001546</c:v>
                </c:pt>
                <c:pt idx="83">
                  <c:v>2.1878214936477658</c:v>
                </c:pt>
                <c:pt idx="84">
                  <c:v>2.0042259210779276</c:v>
                </c:pt>
                <c:pt idx="85">
                  <c:v>2.1471000110163625</c:v>
                </c:pt>
                <c:pt idx="86">
                  <c:v>2.461904302224172</c:v>
                </c:pt>
                <c:pt idx="87">
                  <c:v>2.5325827803108014</c:v>
                </c:pt>
                <c:pt idx="88">
                  <c:v>2.5765373613159155</c:v>
                </c:pt>
                <c:pt idx="89">
                  <c:v>2.5923125267155642</c:v>
                </c:pt>
                <c:pt idx="90">
                  <c:v>2.1553995077780281</c:v>
                </c:pt>
                <c:pt idx="91">
                  <c:v>2.3732075429195154</c:v>
                </c:pt>
                <c:pt idx="92">
                  <c:v>2.5947780138708549</c:v>
                </c:pt>
                <c:pt idx="93">
                  <c:v>2.6455164248889647</c:v>
                </c:pt>
                <c:pt idx="94">
                  <c:v>2.5110969432594423</c:v>
                </c:pt>
                <c:pt idx="95">
                  <c:v>2.5043712163919527</c:v>
                </c:pt>
                <c:pt idx="96">
                  <c:v>2.5131900788931452</c:v>
                </c:pt>
                <c:pt idx="97">
                  <c:v>2.4386469597457898</c:v>
                </c:pt>
                <c:pt idx="98">
                  <c:v>2.4177882368518304</c:v>
                </c:pt>
                <c:pt idx="99">
                  <c:v>2.3559282437045499</c:v>
                </c:pt>
                <c:pt idx="100">
                  <c:v>2.215755606143984</c:v>
                </c:pt>
                <c:pt idx="101">
                  <c:v>2.2718277090215273</c:v>
                </c:pt>
                <c:pt idx="102">
                  <c:v>2.17337575792968</c:v>
                </c:pt>
                <c:pt idx="103">
                  <c:v>2.5826118155431672</c:v>
                </c:pt>
                <c:pt idx="104">
                  <c:v>2.5054834773170489</c:v>
                </c:pt>
                <c:pt idx="105">
                  <c:v>2.6594234360663056</c:v>
                </c:pt>
                <c:pt idx="106">
                  <c:v>2.6910366927198104</c:v>
                </c:pt>
                <c:pt idx="107">
                  <c:v>2.5830370562760168</c:v>
                </c:pt>
                <c:pt idx="108">
                  <c:v>2.8316106790872135</c:v>
                </c:pt>
                <c:pt idx="109">
                  <c:v>2.7694830145707146</c:v>
                </c:pt>
                <c:pt idx="110">
                  <c:v>2.7986448567915509</c:v>
                </c:pt>
                <c:pt idx="111">
                  <c:v>2.8658145078744686</c:v>
                </c:pt>
                <c:pt idx="112">
                  <c:v>2.8807616049561444</c:v>
                </c:pt>
                <c:pt idx="113">
                  <c:v>2.9083937349900268</c:v>
                </c:pt>
                <c:pt idx="114">
                  <c:v>2.8933734195564469</c:v>
                </c:pt>
                <c:pt idx="115">
                  <c:v>3.226215009290577</c:v>
                </c:pt>
                <c:pt idx="116">
                  <c:v>3.4055832384344744</c:v>
                </c:pt>
                <c:pt idx="117">
                  <c:v>3.5113648168033129</c:v>
                </c:pt>
                <c:pt idx="118">
                  <c:v>3.3813475768374603</c:v>
                </c:pt>
                <c:pt idx="119">
                  <c:v>3.447956621816914</c:v>
                </c:pt>
                <c:pt idx="120">
                  <c:v>3.4571298045848966</c:v>
                </c:pt>
                <c:pt idx="121">
                  <c:v>3.3436912749644647</c:v>
                </c:pt>
                <c:pt idx="122">
                  <c:v>2.8858722778265875</c:v>
                </c:pt>
                <c:pt idx="123">
                  <c:v>2.9072419242240808</c:v>
                </c:pt>
                <c:pt idx="124">
                  <c:v>3.3779821489366673</c:v>
                </c:pt>
                <c:pt idx="125">
                  <c:v>3.3899425048246998</c:v>
                </c:pt>
                <c:pt idx="126">
                  <c:v>3.021442695683175</c:v>
                </c:pt>
                <c:pt idx="127">
                  <c:v>2.906900945672497</c:v>
                </c:pt>
                <c:pt idx="128">
                  <c:v>2.853262288072532</c:v>
                </c:pt>
                <c:pt idx="129">
                  <c:v>3.174092721040533</c:v>
                </c:pt>
                <c:pt idx="130">
                  <c:v>3.0867263835683967</c:v>
                </c:pt>
                <c:pt idx="131">
                  <c:v>3.2810496620903158</c:v>
                </c:pt>
                <c:pt idx="132">
                  <c:v>3.4056913076117468</c:v>
                </c:pt>
                <c:pt idx="133">
                  <c:v>3.3531148334883993</c:v>
                </c:pt>
                <c:pt idx="134">
                  <c:v>3.2646857354355752</c:v>
                </c:pt>
                <c:pt idx="135">
                  <c:v>3.4306250628705466</c:v>
                </c:pt>
                <c:pt idx="136">
                  <c:v>3.3217505773952118</c:v>
                </c:pt>
                <c:pt idx="137">
                  <c:v>3.3438258394527725</c:v>
                </c:pt>
                <c:pt idx="138">
                  <c:v>3.4053601099444153</c:v>
                </c:pt>
                <c:pt idx="139">
                  <c:v>3.3581178898587591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1EE-4888-BE98-06BA9CD80052}"/>
            </c:ext>
          </c:extLst>
        </c:ser>
        <c:ser>
          <c:idx val="12"/>
          <c:order val="12"/>
          <c:tx>
            <c:strRef>
              <c:f>累積報酬!$B$24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累積報酬!$C$24:$EL$24</c:f>
              <c:numCache>
                <c:formatCode>General</c:formatCode>
                <c:ptCount val="140"/>
                <c:pt idx="0">
                  <c:v>2.776696731044102E-2</c:v>
                </c:pt>
                <c:pt idx="1">
                  <c:v>0.2341991536477403</c:v>
                </c:pt>
                <c:pt idx="2">
                  <c:v>0.19572244860658145</c:v>
                </c:pt>
                <c:pt idx="3">
                  <c:v>0.39726816747822769</c:v>
                </c:pt>
                <c:pt idx="4">
                  <c:v>0.41989055604084535</c:v>
                </c:pt>
                <c:pt idx="5">
                  <c:v>6.906836470980654E-2</c:v>
                </c:pt>
                <c:pt idx="6">
                  <c:v>0.11587048687076665</c:v>
                </c:pt>
                <c:pt idx="7">
                  <c:v>0.19743344676456159</c:v>
                </c:pt>
                <c:pt idx="8">
                  <c:v>0.24787778275805031</c:v>
                </c:pt>
                <c:pt idx="9">
                  <c:v>-8.5881661717596286E-2</c:v>
                </c:pt>
                <c:pt idx="10">
                  <c:v>-0.14845901336994394</c:v>
                </c:pt>
                <c:pt idx="11">
                  <c:v>-4.326730257409854E-2</c:v>
                </c:pt>
                <c:pt idx="12">
                  <c:v>1.9036580762056297E-2</c:v>
                </c:pt>
                <c:pt idx="13">
                  <c:v>9.677306661611354E-2</c:v>
                </c:pt>
                <c:pt idx="14">
                  <c:v>0.13463687691649123</c:v>
                </c:pt>
                <c:pt idx="15">
                  <c:v>0.28416044432218984</c:v>
                </c:pt>
                <c:pt idx="16">
                  <c:v>0.38496923960983725</c:v>
                </c:pt>
                <c:pt idx="17">
                  <c:v>0.29669219987689421</c:v>
                </c:pt>
                <c:pt idx="18">
                  <c:v>0.47331573555621109</c:v>
                </c:pt>
                <c:pt idx="19">
                  <c:v>0.58985605227306193</c:v>
                </c:pt>
                <c:pt idx="20">
                  <c:v>1.2327895808787215</c:v>
                </c:pt>
                <c:pt idx="21">
                  <c:v>1.5089772739047671</c:v>
                </c:pt>
                <c:pt idx="22">
                  <c:v>1.2158666669057623</c:v>
                </c:pt>
                <c:pt idx="23">
                  <c:v>1.1374913268531162</c:v>
                </c:pt>
                <c:pt idx="24">
                  <c:v>1.1247322943503482</c:v>
                </c:pt>
                <c:pt idx="25">
                  <c:v>0.96612341387824252</c:v>
                </c:pt>
                <c:pt idx="26">
                  <c:v>1.094308699596269</c:v>
                </c:pt>
                <c:pt idx="27">
                  <c:v>0.62623850908042011</c:v>
                </c:pt>
                <c:pt idx="28">
                  <c:v>0.67506404365029693</c:v>
                </c:pt>
                <c:pt idx="29">
                  <c:v>0.6982453512850868</c:v>
                </c:pt>
                <c:pt idx="30">
                  <c:v>0.54717633799523657</c:v>
                </c:pt>
                <c:pt idx="31">
                  <c:v>0.34807643862120186</c:v>
                </c:pt>
                <c:pt idx="32">
                  <c:v>0.44083900740716803</c:v>
                </c:pt>
                <c:pt idx="33">
                  <c:v>0.42201336552281726</c:v>
                </c:pt>
                <c:pt idx="34">
                  <c:v>0.44898878508473972</c:v>
                </c:pt>
                <c:pt idx="35">
                  <c:v>0.49787353742015006</c:v>
                </c:pt>
                <c:pt idx="36">
                  <c:v>0.52865212515747284</c:v>
                </c:pt>
                <c:pt idx="37">
                  <c:v>0.7275207447878409</c:v>
                </c:pt>
                <c:pt idx="38">
                  <c:v>1.1174293717750257</c:v>
                </c:pt>
                <c:pt idx="39">
                  <c:v>1.1757801330544861</c:v>
                </c:pt>
                <c:pt idx="40">
                  <c:v>1.3393701259308761</c:v>
                </c:pt>
                <c:pt idx="41">
                  <c:v>1.3600971640677331</c:v>
                </c:pt>
                <c:pt idx="42">
                  <c:v>1.4479819887293564</c:v>
                </c:pt>
                <c:pt idx="43">
                  <c:v>1.3152978274958445</c:v>
                </c:pt>
                <c:pt idx="44">
                  <c:v>1.5248399095333558</c:v>
                </c:pt>
                <c:pt idx="45">
                  <c:v>1.5053176951108318</c:v>
                </c:pt>
                <c:pt idx="46">
                  <c:v>1.4278037095315299</c:v>
                </c:pt>
                <c:pt idx="47">
                  <c:v>1.4851853412170777</c:v>
                </c:pt>
                <c:pt idx="48">
                  <c:v>1.5515665632697315</c:v>
                </c:pt>
                <c:pt idx="49">
                  <c:v>1.5264755297969583</c:v>
                </c:pt>
                <c:pt idx="50">
                  <c:v>1.5055447255845502</c:v>
                </c:pt>
                <c:pt idx="51">
                  <c:v>2.1963212569652222</c:v>
                </c:pt>
                <c:pt idx="52">
                  <c:v>2.4720252235253564</c:v>
                </c:pt>
                <c:pt idx="53">
                  <c:v>2.5685482018434476</c:v>
                </c:pt>
                <c:pt idx="54">
                  <c:v>2.3526705010542508</c:v>
                </c:pt>
                <c:pt idx="55">
                  <c:v>2.4328583602406062</c:v>
                </c:pt>
                <c:pt idx="56">
                  <c:v>2.3954044588921861</c:v>
                </c:pt>
                <c:pt idx="57">
                  <c:v>2.5503613553128788</c:v>
                </c:pt>
                <c:pt idx="58">
                  <c:v>2.5705079801728652</c:v>
                </c:pt>
                <c:pt idx="59">
                  <c:v>2.5053538849930792</c:v>
                </c:pt>
                <c:pt idx="60">
                  <c:v>2.5916843064328798</c:v>
                </c:pt>
                <c:pt idx="61">
                  <c:v>2.6977912265840462</c:v>
                </c:pt>
                <c:pt idx="62">
                  <c:v>2.7825741664230343</c:v>
                </c:pt>
                <c:pt idx="63">
                  <c:v>2.643610308687204</c:v>
                </c:pt>
                <c:pt idx="64">
                  <c:v>2.6560783711240763</c:v>
                </c:pt>
                <c:pt idx="65">
                  <c:v>2.7329336345211575</c:v>
                </c:pt>
                <c:pt idx="66">
                  <c:v>2.7467911009452939</c:v>
                </c:pt>
                <c:pt idx="67">
                  <c:v>2.6156311170318847</c:v>
                </c:pt>
                <c:pt idx="68">
                  <c:v>2.5097311756394154</c:v>
                </c:pt>
                <c:pt idx="69">
                  <c:v>2.8091956189826788</c:v>
                </c:pt>
                <c:pt idx="70">
                  <c:v>2.9809734596077386</c:v>
                </c:pt>
                <c:pt idx="71">
                  <c:v>3.1842776114381892</c:v>
                </c:pt>
                <c:pt idx="72">
                  <c:v>3.1618101524353421</c:v>
                </c:pt>
                <c:pt idx="73">
                  <c:v>3.3068781176882811</c:v>
                </c:pt>
                <c:pt idx="74">
                  <c:v>3.2861671687838236</c:v>
                </c:pt>
                <c:pt idx="75">
                  <c:v>3.151174855519626</c:v>
                </c:pt>
                <c:pt idx="76">
                  <c:v>3.0438136623855723</c:v>
                </c:pt>
                <c:pt idx="77">
                  <c:v>2.8798952655673742</c:v>
                </c:pt>
                <c:pt idx="78">
                  <c:v>2.779251739787687</c:v>
                </c:pt>
                <c:pt idx="79">
                  <c:v>2.7902973782058202</c:v>
                </c:pt>
                <c:pt idx="80">
                  <c:v>2.796288940575987</c:v>
                </c:pt>
                <c:pt idx="81">
                  <c:v>2.6288454478082115</c:v>
                </c:pt>
                <c:pt idx="82">
                  <c:v>2.4097673776472153</c:v>
                </c:pt>
                <c:pt idx="83">
                  <c:v>2.440298129849138</c:v>
                </c:pt>
                <c:pt idx="84">
                  <c:v>2.2448670876357637</c:v>
                </c:pt>
                <c:pt idx="85">
                  <c:v>2.492463501548257</c:v>
                </c:pt>
                <c:pt idx="86">
                  <c:v>2.7389531543918006</c:v>
                </c:pt>
                <c:pt idx="87">
                  <c:v>2.9036342745841632</c:v>
                </c:pt>
                <c:pt idx="88">
                  <c:v>2.816788120183753</c:v>
                </c:pt>
                <c:pt idx="89">
                  <c:v>2.8611362102939921</c:v>
                </c:pt>
                <c:pt idx="90">
                  <c:v>2.1454072015686316</c:v>
                </c:pt>
                <c:pt idx="91">
                  <c:v>2.4108661372357023</c:v>
                </c:pt>
                <c:pt idx="92">
                  <c:v>2.6688389627764497</c:v>
                </c:pt>
                <c:pt idx="93">
                  <c:v>2.7915064717923084</c:v>
                </c:pt>
                <c:pt idx="94">
                  <c:v>2.6321581125120526</c:v>
                </c:pt>
                <c:pt idx="95">
                  <c:v>2.8150546998041692</c:v>
                </c:pt>
                <c:pt idx="96">
                  <c:v>2.7799633799928989</c:v>
                </c:pt>
                <c:pt idx="97">
                  <c:v>2.7448078223008601</c:v>
                </c:pt>
                <c:pt idx="98">
                  <c:v>2.9988134379933329</c:v>
                </c:pt>
                <c:pt idx="99">
                  <c:v>3.0217880773690591</c:v>
                </c:pt>
                <c:pt idx="100">
                  <c:v>2.6615600306003215</c:v>
                </c:pt>
                <c:pt idx="101">
                  <c:v>3.0026639906224708</c:v>
                </c:pt>
                <c:pt idx="102">
                  <c:v>2.8325042115072092</c:v>
                </c:pt>
                <c:pt idx="103">
                  <c:v>3.6319870418831872</c:v>
                </c:pt>
                <c:pt idx="104">
                  <c:v>3.2390202918613489</c:v>
                </c:pt>
                <c:pt idx="105">
                  <c:v>3.0527025646342816</c:v>
                </c:pt>
                <c:pt idx="106">
                  <c:v>3.1706110365071054</c:v>
                </c:pt>
                <c:pt idx="107">
                  <c:v>3.1635587905900238</c:v>
                </c:pt>
                <c:pt idx="108">
                  <c:v>3.4121170534791876</c:v>
                </c:pt>
                <c:pt idx="109">
                  <c:v>3.3856776562998347</c:v>
                </c:pt>
                <c:pt idx="110">
                  <c:v>3.0209025410131689</c:v>
                </c:pt>
                <c:pt idx="111">
                  <c:v>3.26932720396628</c:v>
                </c:pt>
                <c:pt idx="112">
                  <c:v>3.3370637513127916</c:v>
                </c:pt>
                <c:pt idx="113">
                  <c:v>3.3456900322065177</c:v>
                </c:pt>
                <c:pt idx="114">
                  <c:v>3.3714977075202448</c:v>
                </c:pt>
                <c:pt idx="115">
                  <c:v>4.0385863831222348</c:v>
                </c:pt>
                <c:pt idx="116">
                  <c:v>4.2102296942773538</c:v>
                </c:pt>
                <c:pt idx="117">
                  <c:v>4.1825622056121974</c:v>
                </c:pt>
                <c:pt idx="118">
                  <c:v>3.9692066606641507</c:v>
                </c:pt>
                <c:pt idx="119">
                  <c:v>3.990086278648159</c:v>
                </c:pt>
                <c:pt idx="120">
                  <c:v>4.0465073652657635</c:v>
                </c:pt>
                <c:pt idx="121">
                  <c:v>3.9671710199277976</c:v>
                </c:pt>
                <c:pt idx="122">
                  <c:v>3.2162326591175958</c:v>
                </c:pt>
                <c:pt idx="123">
                  <c:v>2.9866077029913698</c:v>
                </c:pt>
                <c:pt idx="124">
                  <c:v>3.3049267449050408</c:v>
                </c:pt>
                <c:pt idx="125">
                  <c:v>3.5908562287879393</c:v>
                </c:pt>
                <c:pt idx="126">
                  <c:v>3.3582339335191858</c:v>
                </c:pt>
                <c:pt idx="127">
                  <c:v>3.2121761193946359</c:v>
                </c:pt>
                <c:pt idx="128">
                  <c:v>3.1341266101705076</c:v>
                </c:pt>
                <c:pt idx="129">
                  <c:v>3.8193282843897975</c:v>
                </c:pt>
                <c:pt idx="130">
                  <c:v>3.8086280477049028</c:v>
                </c:pt>
                <c:pt idx="131">
                  <c:v>3.7735345355604899</c:v>
                </c:pt>
                <c:pt idx="132">
                  <c:v>3.8851012175777258</c:v>
                </c:pt>
                <c:pt idx="133">
                  <c:v>3.7930632114088589</c:v>
                </c:pt>
                <c:pt idx="134">
                  <c:v>3.8635145357937599</c:v>
                </c:pt>
                <c:pt idx="135">
                  <c:v>3.7798833208535809</c:v>
                </c:pt>
                <c:pt idx="136">
                  <c:v>3.6250884667549124</c:v>
                </c:pt>
                <c:pt idx="137">
                  <c:v>3.6584476999077666</c:v>
                </c:pt>
                <c:pt idx="138">
                  <c:v>3.7329734789989835</c:v>
                </c:pt>
                <c:pt idx="139">
                  <c:v>3.7224746949007641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1EE-4888-BE98-06BA9CD80052}"/>
            </c:ext>
          </c:extLst>
        </c:ser>
        <c:ser>
          <c:idx val="13"/>
          <c:order val="13"/>
          <c:tx>
            <c:strRef>
              <c:f>累積報酬!$B$25</c:f>
              <c:strCache>
                <c:ptCount val="1"/>
                <c:pt idx="0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累積報酬!$C$25:$EL$25</c:f>
              <c:numCache>
                <c:formatCode>General</c:formatCode>
                <c:ptCount val="140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  <c:pt idx="134">
                  <c:v>0.87683593248961955</c:v>
                </c:pt>
                <c:pt idx="135">
                  <c:v>0.85431558037554889</c:v>
                </c:pt>
                <c:pt idx="136">
                  <c:v>0.90782558744632169</c:v>
                </c:pt>
                <c:pt idx="137">
                  <c:v>0.94951285328388979</c:v>
                </c:pt>
                <c:pt idx="138">
                  <c:v>1.005708467398301</c:v>
                </c:pt>
                <c:pt idx="139">
                  <c:v>1.0346197866834097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1EE-4888-BE98-06BA9CD80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2724271"/>
        <c:axId val="1592723023"/>
      </c:lineChart>
      <c:catAx>
        <c:axId val="159272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2723023"/>
        <c:crosses val="autoZero"/>
        <c:auto val="1"/>
        <c:lblAlgn val="ctr"/>
        <c:lblOffset val="100"/>
        <c:noMultiLvlLbl val="0"/>
      </c:catAx>
      <c:valAx>
        <c:axId val="159272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272427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164"/>
  <sheetViews>
    <sheetView topLeftCell="DU1" zoomScale="130" zoomScaleNormal="130" workbookViewId="0">
      <selection activeCell="EM12" sqref="EM12"/>
    </sheetView>
  </sheetViews>
  <sheetFormatPr defaultRowHeight="14.5" x14ac:dyDescent="0.3"/>
  <cols>
    <col min="2" max="2" width="10.19921875" bestFit="1" customWidth="1"/>
    <col min="143" max="143" width="9.5" bestFit="1" customWidth="1"/>
    <col min="145" max="145" width="10.19921875" bestFit="1" customWidth="1"/>
  </cols>
  <sheetData>
    <row r="1" spans="1:145" x14ac:dyDescent="0.3">
      <c r="A1" s="6" t="s">
        <v>0</v>
      </c>
    </row>
    <row r="2" spans="1:145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5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  <c r="EM3" s="2" t="e">
        <v>#NUM!</v>
      </c>
    </row>
    <row r="4" spans="1:145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  <c r="EM4" s="2" t="e">
        <v>#NUM!</v>
      </c>
    </row>
    <row r="5" spans="1:145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  <c r="EM5" s="2" t="e">
        <v>#NUM!</v>
      </c>
    </row>
    <row r="6" spans="1:145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  <c r="EM6" s="2" t="e">
        <f t="array" ref="EM6">MATCH(MAX(ABS(EM3:EM5)), ABS(EM3:EM5), 0)</f>
        <v>#NUM!</v>
      </c>
    </row>
    <row r="7" spans="1:145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  <c r="EM7" s="2" t="e">
        <f t="shared" si="4"/>
        <v>#NUM!</v>
      </c>
    </row>
    <row r="8" spans="1:145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M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  <c r="EM8" s="2" t="e">
        <f t="shared" si="9"/>
        <v>#NUM!</v>
      </c>
    </row>
    <row r="10" spans="1:145" x14ac:dyDescent="0.3">
      <c r="A10" s="20" t="s">
        <v>147</v>
      </c>
      <c r="B10" s="21"/>
      <c r="C10" s="6" t="s">
        <v>148</v>
      </c>
      <c r="D10" s="6">
        <v>1051</v>
      </c>
    </row>
    <row r="11" spans="1:145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151</v>
      </c>
      <c r="EN11" s="6" t="s">
        <v>152</v>
      </c>
      <c r="EO11" s="6" t="s">
        <v>153</v>
      </c>
    </row>
    <row r="12" spans="1:145" x14ac:dyDescent="0.3">
      <c r="A12" s="18">
        <v>10</v>
      </c>
      <c r="B12" s="18">
        <f t="shared" ref="B12:B24" si="10">ROUND($D$10/A12,0)</f>
        <v>105</v>
      </c>
      <c r="C12" s="3">
        <v>9.819950192441125E-2</v>
      </c>
      <c r="D12" s="3">
        <v>0.1028237995655711</v>
      </c>
      <c r="E12" s="3">
        <v>3.8261781428851373E-2</v>
      </c>
      <c r="F12" s="3">
        <v>7.3451094401049653E-3</v>
      </c>
      <c r="G12" s="3">
        <v>3.2772759918979898E-2</v>
      </c>
      <c r="H12" s="3">
        <v>4.3063012145177312E-2</v>
      </c>
      <c r="I12" s="3">
        <v>4.6611964090252929E-2</v>
      </c>
      <c r="J12" s="3">
        <v>5.6681659589527762E-2</v>
      </c>
      <c r="K12" s="3">
        <v>2.8025432629048191E-2</v>
      </c>
      <c r="L12" s="3">
        <v>3.4533577347064658E-2</v>
      </c>
      <c r="M12" s="3">
        <v>3.4064795266103093E-2</v>
      </c>
      <c r="N12" s="3">
        <v>6.2468604784639691E-2</v>
      </c>
      <c r="O12" s="3">
        <v>2.6262838934360731E-2</v>
      </c>
      <c r="P12" s="3">
        <v>1.6299964333453789E-2</v>
      </c>
      <c r="Q12" s="3">
        <v>1.7014637248506749E-2</v>
      </c>
      <c r="R12" s="3">
        <v>1.725127340853927E-3</v>
      </c>
      <c r="S12" s="3">
        <v>4.0481855983298447E-2</v>
      </c>
      <c r="T12" s="3">
        <v>4.7307127974092249E-2</v>
      </c>
      <c r="U12" s="3">
        <v>2.0802966490777591E-2</v>
      </c>
      <c r="V12" s="3">
        <v>4.4981645440653792E-2</v>
      </c>
      <c r="W12" s="3">
        <v>5.8599398969786803E-2</v>
      </c>
      <c r="X12" s="3">
        <v>0.12042309580878641</v>
      </c>
      <c r="Y12" s="3">
        <v>3.247838058625762E-2</v>
      </c>
      <c r="Z12" s="3">
        <v>5.753009607811399E-2</v>
      </c>
      <c r="AA12" s="3">
        <v>3.1866296841282657E-2</v>
      </c>
      <c r="AB12" s="3">
        <v>3.110179415238612E-2</v>
      </c>
      <c r="AC12" s="3">
        <v>3.7252425944235897E-2</v>
      </c>
      <c r="AD12" s="3">
        <v>9.1325010216066101E-3</v>
      </c>
      <c r="AE12" s="3">
        <v>4.4953943786551237E-2</v>
      </c>
      <c r="AF12" s="3">
        <v>5.0075683715259417E-2</v>
      </c>
      <c r="AG12" s="3">
        <v>3.765715262583455E-2</v>
      </c>
      <c r="AH12" s="3">
        <v>1.7150195399946711E-2</v>
      </c>
      <c r="AI12" s="3">
        <v>7.7407002463763114E-3</v>
      </c>
      <c r="AJ12" s="3">
        <v>1.8902487346677922E-2</v>
      </c>
      <c r="AK12" s="3">
        <v>4.1114693252788923E-2</v>
      </c>
      <c r="AL12" s="3">
        <v>3.6103996712563403E-2</v>
      </c>
      <c r="AM12" s="3">
        <v>2.5435995419533428E-2</v>
      </c>
      <c r="AN12" s="3">
        <v>5.9852191203249902E-2</v>
      </c>
      <c r="AO12" s="3">
        <v>2.8904675764925891E-2</v>
      </c>
      <c r="AP12" s="3">
        <v>2.153954826191519E-2</v>
      </c>
      <c r="AQ12" s="3">
        <v>1.4732133756920059E-2</v>
      </c>
      <c r="AR12" s="3">
        <v>3.0774646879580859E-2</v>
      </c>
      <c r="AS12" s="3">
        <v>2.9038603307229179E-2</v>
      </c>
      <c r="AT12" s="3">
        <v>7.1815369298134549E-2</v>
      </c>
      <c r="AU12" s="3">
        <v>6.3509530041740314E-2</v>
      </c>
      <c r="AV12" s="3">
        <v>5.9343044862035801E-2</v>
      </c>
      <c r="AW12" s="3">
        <v>1.101788823573518E-2</v>
      </c>
      <c r="AX12" s="3">
        <v>5.579031389003495E-2</v>
      </c>
      <c r="AY12" s="3">
        <v>2.0705389634312239E-2</v>
      </c>
      <c r="AZ12" s="3">
        <v>5.6338485107914289E-2</v>
      </c>
      <c r="BA12" s="3">
        <v>7.0623312091338597E-2</v>
      </c>
      <c r="BB12" s="3">
        <v>3.7731301437770592E-2</v>
      </c>
      <c r="BC12" s="3">
        <v>3.7833203905467132E-3</v>
      </c>
      <c r="BD12" s="3">
        <v>5.068041266858643E-2</v>
      </c>
      <c r="BE12" s="3">
        <v>2.762067662305558E-2</v>
      </c>
      <c r="BF12" s="3">
        <v>4.5781102257072909E-2</v>
      </c>
      <c r="BG12" s="3">
        <v>5.1073240104640191E-2</v>
      </c>
      <c r="BH12" s="3">
        <v>3.4422220615853399E-2</v>
      </c>
      <c r="BI12" s="3">
        <v>5.8150960934774433E-2</v>
      </c>
      <c r="BJ12" s="3">
        <v>3.618000748439431E-2</v>
      </c>
      <c r="BK12" s="3">
        <v>1.7434305485757699E-2</v>
      </c>
      <c r="BL12" s="3">
        <v>2.712414577953173E-2</v>
      </c>
      <c r="BM12" s="3">
        <v>4.030159961880006E-2</v>
      </c>
      <c r="BN12" s="3">
        <v>3.0037922779194801E-2</v>
      </c>
      <c r="BO12" s="3">
        <v>2.4587825224843561E-2</v>
      </c>
      <c r="BP12" s="3">
        <v>2.4810168456218851E-2</v>
      </c>
      <c r="BQ12" s="3">
        <v>5.6548259598195923E-3</v>
      </c>
      <c r="BR12" s="3">
        <v>5.9753167010173969E-2</v>
      </c>
      <c r="BS12" s="3">
        <v>2.9803010278608589E-2</v>
      </c>
      <c r="BT12" s="3">
        <v>2.1305859567472531E-2</v>
      </c>
      <c r="BU12" s="3">
        <v>3.5413040825291738E-2</v>
      </c>
      <c r="BV12" s="3">
        <v>3.4554758136680172E-2</v>
      </c>
      <c r="BW12" s="3">
        <v>3.8348648089827499E-2</v>
      </c>
      <c r="BX12" s="3">
        <v>1.819898621954286E-2</v>
      </c>
      <c r="BY12" s="3">
        <v>5.1109522839207937E-2</v>
      </c>
      <c r="BZ12" s="3">
        <v>4.0874328213040517E-2</v>
      </c>
      <c r="CA12" s="3">
        <v>3.3013411038820183E-2</v>
      </c>
      <c r="CB12" s="3">
        <v>5.6271326942508179E-2</v>
      </c>
      <c r="CC12" s="3">
        <v>1.9545734350855711E-2</v>
      </c>
      <c r="CD12" s="3">
        <v>0.1013115192695928</v>
      </c>
      <c r="CE12" s="3">
        <v>0.14141654933334241</v>
      </c>
      <c r="CF12" s="3">
        <v>3.2181788455636733E-2</v>
      </c>
      <c r="CG12" s="3">
        <v>4.9661345934379403E-2</v>
      </c>
      <c r="CH12" s="3">
        <v>6.7832672140520189E-2</v>
      </c>
      <c r="CI12" s="3">
        <v>3.0588249323561779E-2</v>
      </c>
      <c r="CJ12" s="3">
        <v>5.8035853225111463E-2</v>
      </c>
      <c r="CK12" s="3">
        <v>6.0243583687149653E-2</v>
      </c>
      <c r="CL12" s="3">
        <v>0.15371706302118329</v>
      </c>
      <c r="CM12" s="3">
        <v>6.4430829727690653E-2</v>
      </c>
      <c r="CN12" s="3">
        <v>9.7750475063557968E-2</v>
      </c>
      <c r="CO12" s="3">
        <v>6.832087101801862E-2</v>
      </c>
      <c r="CP12" s="3">
        <v>4.6051239911292612E-2</v>
      </c>
      <c r="CQ12" s="3">
        <v>5.7210856477400672E-2</v>
      </c>
      <c r="CR12" s="3">
        <v>4.7945989568147183E-2</v>
      </c>
      <c r="CS12" s="3">
        <v>5.2591903544904721E-3</v>
      </c>
      <c r="CT12" s="3">
        <v>3.1936084663007618E-2</v>
      </c>
      <c r="CU12" s="3">
        <v>7.6750601305556526E-2</v>
      </c>
      <c r="CV12" s="3">
        <v>6.8454072713461059E-2</v>
      </c>
      <c r="CW12" s="3">
        <v>2.5947070250701171E-2</v>
      </c>
      <c r="CX12" s="3">
        <v>7.0272156267845637E-2</v>
      </c>
      <c r="CY12" s="3">
        <v>2.6011705475452819E-2</v>
      </c>
      <c r="CZ12" s="3">
        <v>8.8361067051985778E-2</v>
      </c>
      <c r="DA12" s="3">
        <v>3.0372587723068022E-2</v>
      </c>
      <c r="DB12" s="3">
        <v>7.6905201867884826E-2</v>
      </c>
      <c r="DC12" s="3">
        <v>3.0502687371468249E-2</v>
      </c>
      <c r="DD12" s="3">
        <v>5.9350421706332757E-2</v>
      </c>
      <c r="DE12" s="3">
        <v>1.9852691090063181E-2</v>
      </c>
      <c r="DF12" s="3">
        <v>4.89042761722863E-2</v>
      </c>
      <c r="DG12" s="3">
        <v>4.3686975841222428E-2</v>
      </c>
      <c r="DH12" s="3">
        <v>3.2463432215984377E-2</v>
      </c>
      <c r="DI12" s="3">
        <v>5.3725325267119428E-2</v>
      </c>
      <c r="DJ12" s="3">
        <v>2.1108184890481701E-2</v>
      </c>
      <c r="DK12" s="3">
        <v>3.4140900507271331E-2</v>
      </c>
      <c r="DL12" s="3">
        <v>2.6113586563583091E-2</v>
      </c>
      <c r="DM12" s="3">
        <v>2.1984777876655929E-2</v>
      </c>
      <c r="DN12" s="3">
        <v>3.0259151157478199E-2</v>
      </c>
      <c r="DO12" s="3">
        <v>2.337564400492867E-2</v>
      </c>
      <c r="DP12" s="3">
        <v>6.7273186907755675E-2</v>
      </c>
      <c r="DQ12" s="3">
        <v>6.1902356426025963E-2</v>
      </c>
      <c r="DR12" s="3">
        <v>2.1610691704086211E-2</v>
      </c>
      <c r="DS12" s="3">
        <v>8.0446065147505547E-2</v>
      </c>
      <c r="DT12" s="3">
        <v>2.6928946729697392E-2</v>
      </c>
      <c r="DU12" s="3">
        <v>5.0063195807060347E-2</v>
      </c>
      <c r="DV12" s="3">
        <v>5.2446977379795617E-2</v>
      </c>
      <c r="DW12" s="3">
        <v>5.7897224242072588E-2</v>
      </c>
      <c r="DX12" s="3">
        <v>4.5674414206060603E-2</v>
      </c>
      <c r="DY12" s="3">
        <v>4.8289115064510529E-2</v>
      </c>
      <c r="DZ12" s="3">
        <v>1.3599532274000301E-2</v>
      </c>
      <c r="EA12" s="3">
        <v>0.1168507405688024</v>
      </c>
      <c r="EB12" s="3">
        <v>2.8071677153619259E-2</v>
      </c>
      <c r="EC12" s="3">
        <v>2.6194942478787241E-2</v>
      </c>
      <c r="ED12" s="3">
        <v>6.1427254421337493E-2</v>
      </c>
      <c r="EE12" s="3">
        <v>2.8166727241797949E-2</v>
      </c>
      <c r="EF12" s="3">
        <v>2.1832482433882229E-2</v>
      </c>
      <c r="EG12" s="3">
        <v>9.7829677873400939E-2</v>
      </c>
      <c r="EH12" s="3">
        <v>2.2258682538773271E-2</v>
      </c>
      <c r="EI12" s="3">
        <v>8.9612566733749469E-3</v>
      </c>
      <c r="EJ12" s="3">
        <v>6.8011013813901997E-2</v>
      </c>
      <c r="EK12" s="3">
        <v>5.0118013209412449E-2</v>
      </c>
      <c r="EL12" s="3">
        <v>4.901788119357646E-2</v>
      </c>
      <c r="EM12">
        <f t="shared" ref="EM12:EM25" si="11">AVERAGE(C12:EL12)</f>
        <v>4.3800762110255888E-2</v>
      </c>
      <c r="EN12">
        <f t="shared" ref="EN12:EN25" si="12">STDEV(C12:EL12)</f>
        <v>2.6386340338935301E-2</v>
      </c>
      <c r="EO12">
        <f t="shared" ref="EO12:EO25" si="13">EM12/EN12</f>
        <v>1.6599786687972078</v>
      </c>
    </row>
    <row r="13" spans="1:145" x14ac:dyDescent="0.3">
      <c r="A13" s="18">
        <v>20</v>
      </c>
      <c r="B13" s="18">
        <f t="shared" si="10"/>
        <v>53</v>
      </c>
      <c r="C13" s="3">
        <v>0.12107776166471761</v>
      </c>
      <c r="D13" s="3">
        <v>8.3505281944260726E-2</v>
      </c>
      <c r="E13" s="3">
        <v>4.9219108515422091E-2</v>
      </c>
      <c r="F13" s="3">
        <v>3.7987155428196459E-2</v>
      </c>
      <c r="G13" s="3">
        <v>1.6784223847264679E-2</v>
      </c>
      <c r="H13" s="3">
        <v>2.925126379166074E-2</v>
      </c>
      <c r="I13" s="3">
        <v>4.943610168148227E-2</v>
      </c>
      <c r="J13" s="3">
        <v>5.9989715914165423E-2</v>
      </c>
      <c r="K13" s="3">
        <v>1.7789948863865229E-2</v>
      </c>
      <c r="L13" s="3">
        <v>1.8673571245246851E-2</v>
      </c>
      <c r="M13" s="3">
        <v>1.4532356499670031E-2</v>
      </c>
      <c r="N13" s="3">
        <v>8.3003656986312194E-2</v>
      </c>
      <c r="O13" s="3">
        <v>1.683525059847514E-2</v>
      </c>
      <c r="P13" s="3">
        <v>2.0395862291808679E-2</v>
      </c>
      <c r="Q13" s="3">
        <v>1.0565631227250049E-2</v>
      </c>
      <c r="R13" s="3">
        <v>-3.330400307077389E-3</v>
      </c>
      <c r="S13" s="3">
        <v>6.7239971359634526E-2</v>
      </c>
      <c r="T13" s="3">
        <v>7.0405105572706045E-2</v>
      </c>
      <c r="U13" s="3">
        <v>1.461799562874341E-2</v>
      </c>
      <c r="V13" s="3">
        <v>3.5925228194693667E-2</v>
      </c>
      <c r="W13" s="3">
        <v>7.9691017471193656E-2</v>
      </c>
      <c r="X13" s="3">
        <v>0.1392784985278113</v>
      </c>
      <c r="Y13" s="3">
        <v>4.1377915347424278E-2</v>
      </c>
      <c r="Z13" s="3">
        <v>7.0580147632667553E-2</v>
      </c>
      <c r="AA13" s="3">
        <v>5.0692982307539547E-2</v>
      </c>
      <c r="AB13" s="3">
        <v>4.5772412504608451E-2</v>
      </c>
      <c r="AC13" s="3">
        <v>2.7060179699185449E-2</v>
      </c>
      <c r="AD13" s="3">
        <v>-3.0083609458916309E-3</v>
      </c>
      <c r="AE13" s="3">
        <v>6.591872630119848E-2</v>
      </c>
      <c r="AF13" s="3">
        <v>6.7638221601691306E-2</v>
      </c>
      <c r="AG13" s="3">
        <v>4.3719681480949388E-2</v>
      </c>
      <c r="AH13" s="3">
        <v>2.11394893613715E-3</v>
      </c>
      <c r="AI13" s="3">
        <v>1.9590206925445809E-2</v>
      </c>
      <c r="AJ13" s="3">
        <v>-9.9915601526937205E-3</v>
      </c>
      <c r="AK13" s="3">
        <v>6.3693124550481303E-2</v>
      </c>
      <c r="AL13" s="3">
        <v>3.4676361246245388E-2</v>
      </c>
      <c r="AM13" s="3">
        <v>2.8672215639817301E-2</v>
      </c>
      <c r="AN13" s="3">
        <v>9.6939841924799333E-2</v>
      </c>
      <c r="AO13" s="3">
        <v>3.1449631640308673E-2</v>
      </c>
      <c r="AP13" s="3">
        <v>4.5398469090540697E-2</v>
      </c>
      <c r="AQ13" s="3">
        <v>1.5937379863784452E-2</v>
      </c>
      <c r="AR13" s="3">
        <v>3.3598562231580288E-2</v>
      </c>
      <c r="AS13" s="3">
        <v>3.4877568004709689E-2</v>
      </c>
      <c r="AT13" s="3">
        <v>9.4929151988845523E-2</v>
      </c>
      <c r="AU13" s="3">
        <v>7.3018129783138763E-2</v>
      </c>
      <c r="AV13" s="3">
        <v>9.6710763821907048E-2</v>
      </c>
      <c r="AW13" s="3">
        <v>1.626612204698662E-2</v>
      </c>
      <c r="AX13" s="3">
        <v>5.210077315508603E-2</v>
      </c>
      <c r="AY13" s="3">
        <v>8.9780822180368768E-3</v>
      </c>
      <c r="AZ13" s="3">
        <v>6.5669863324838457E-2</v>
      </c>
      <c r="BA13" s="3">
        <v>7.3179702345927675E-2</v>
      </c>
      <c r="BB13" s="3">
        <v>1.6680252757459539E-2</v>
      </c>
      <c r="BC13" s="3">
        <v>6.1704012924434642E-3</v>
      </c>
      <c r="BD13" s="3">
        <v>3.7273885501137201E-2</v>
      </c>
      <c r="BE13" s="3">
        <v>3.6756945291437193E-2</v>
      </c>
      <c r="BF13" s="3">
        <v>0.1052809874119202</v>
      </c>
      <c r="BG13" s="3">
        <v>8.5439587783109561E-2</v>
      </c>
      <c r="BH13" s="3">
        <v>4.1179773134603408E-2</v>
      </c>
      <c r="BI13" s="3">
        <v>5.6277194494778103E-2</v>
      </c>
      <c r="BJ13" s="3">
        <v>4.6151925827285258E-2</v>
      </c>
      <c r="BK13" s="3">
        <v>3.2887619306840143E-2</v>
      </c>
      <c r="BL13" s="3">
        <v>3.8941058780349737E-2</v>
      </c>
      <c r="BM13" s="3">
        <v>4.6612515564975428E-2</v>
      </c>
      <c r="BN13" s="3">
        <v>2.7466362871216281E-2</v>
      </c>
      <c r="BO13" s="3">
        <v>4.1090334773843627E-2</v>
      </c>
      <c r="BP13" s="3">
        <v>2.022167930850018E-2</v>
      </c>
      <c r="BQ13" s="3">
        <v>2.067169344822321E-2</v>
      </c>
      <c r="BR13" s="3">
        <v>7.9435373591734554E-2</v>
      </c>
      <c r="BS13" s="3">
        <v>3.4048716358733452E-2</v>
      </c>
      <c r="BT13" s="3">
        <v>1.2182761544491581E-2</v>
      </c>
      <c r="BU13" s="3">
        <v>6.0633378589253037E-2</v>
      </c>
      <c r="BV13" s="3">
        <v>4.9478740935611401E-2</v>
      </c>
      <c r="BW13" s="3">
        <v>5.995489125618865E-2</v>
      </c>
      <c r="BX13" s="3">
        <v>2.4517821999621419E-2</v>
      </c>
      <c r="BY13" s="3">
        <v>4.8846200088265852E-2</v>
      </c>
      <c r="BZ13" s="3">
        <v>6.7196131197939102E-2</v>
      </c>
      <c r="CA13" s="3">
        <v>2.6303578185823209E-2</v>
      </c>
      <c r="CB13" s="3">
        <v>0.1109042348135552</v>
      </c>
      <c r="CC13" s="3">
        <v>-1.0716720914463599E-3</v>
      </c>
      <c r="CD13" s="3">
        <v>0.1022527774540459</v>
      </c>
      <c r="CE13" s="3">
        <v>0.18420231782972071</v>
      </c>
      <c r="CF13" s="3">
        <v>4.7483484975403521E-2</v>
      </c>
      <c r="CG13" s="3">
        <v>4.9202652743660917E-2</v>
      </c>
      <c r="CH13" s="3">
        <v>4.9554743070930649E-2</v>
      </c>
      <c r="CI13" s="3">
        <v>5.0093246397575307E-2</v>
      </c>
      <c r="CJ13" s="3">
        <v>6.9084695061927937E-2</v>
      </c>
      <c r="CK13" s="3">
        <v>6.5517118371520411E-2</v>
      </c>
      <c r="CL13" s="3">
        <v>0.1607960949578546</v>
      </c>
      <c r="CM13" s="3">
        <v>8.2791769490888206E-2</v>
      </c>
      <c r="CN13" s="3">
        <v>0.1136584212325862</v>
      </c>
      <c r="CO13" s="3">
        <v>7.9115499032430023E-2</v>
      </c>
      <c r="CP13" s="3">
        <v>6.6793736060457659E-2</v>
      </c>
      <c r="CQ13" s="3">
        <v>5.6641732139420711E-2</v>
      </c>
      <c r="CR13" s="3">
        <v>7.1519219412671517E-2</v>
      </c>
      <c r="CS13" s="3">
        <v>9.8166212820124388E-3</v>
      </c>
      <c r="CT13" s="3">
        <v>2.897168250597796E-2</v>
      </c>
      <c r="CU13" s="3">
        <v>0.11178805156709901</v>
      </c>
      <c r="CV13" s="3">
        <v>7.6907356213282624E-2</v>
      </c>
      <c r="CW13" s="3">
        <v>3.3795594047858958E-2</v>
      </c>
      <c r="CX13" s="3">
        <v>7.9685442390190903E-2</v>
      </c>
      <c r="CY13" s="3">
        <v>5.6233685908411518E-2</v>
      </c>
      <c r="CZ13" s="3">
        <v>8.0348889372885493E-2</v>
      </c>
      <c r="DA13" s="3">
        <v>1.482978302679655E-2</v>
      </c>
      <c r="DB13" s="3">
        <v>7.8082554401336171E-2</v>
      </c>
      <c r="DC13" s="3">
        <v>2.516539273218844E-2</v>
      </c>
      <c r="DD13" s="3">
        <v>7.1693271991635873E-2</v>
      </c>
      <c r="DE13" s="3">
        <v>1.463266600119131E-2</v>
      </c>
      <c r="DF13" s="3">
        <v>6.3934165702345558E-2</v>
      </c>
      <c r="DG13" s="3">
        <v>3.7529260637764378E-2</v>
      </c>
      <c r="DH13" s="3">
        <v>3.9090407329143158E-2</v>
      </c>
      <c r="DI13" s="3">
        <v>7.1009667649761563E-2</v>
      </c>
      <c r="DJ13" s="3">
        <v>6.0368666565386231E-3</v>
      </c>
      <c r="DK13" s="3">
        <v>2.0804992587120239E-2</v>
      </c>
      <c r="DL13" s="3">
        <v>3.1928366927177848E-2</v>
      </c>
      <c r="DM13" s="3">
        <v>8.0990213384564986E-3</v>
      </c>
      <c r="DN13" s="3">
        <v>-4.1533676536651548E-4</v>
      </c>
      <c r="DO13" s="3">
        <v>4.1067716545564847E-2</v>
      </c>
      <c r="DP13" s="3">
        <v>7.5241348251073523E-2</v>
      </c>
      <c r="DQ13" s="3">
        <v>6.1220595722963858E-2</v>
      </c>
      <c r="DR13" s="3">
        <v>2.0233316508843229E-2</v>
      </c>
      <c r="DS13" s="3">
        <v>7.130596464068821E-2</v>
      </c>
      <c r="DT13" s="3">
        <v>2.7375112753663122E-2</v>
      </c>
      <c r="DU13" s="3">
        <v>1.231375026893985E-2</v>
      </c>
      <c r="DV13" s="3">
        <v>7.239771502328593E-2</v>
      </c>
      <c r="DW13" s="3">
        <v>5.8892837092881692E-2</v>
      </c>
      <c r="DX13" s="3">
        <v>6.0352982619674728E-2</v>
      </c>
      <c r="DY13" s="3">
        <v>8.7275153477772885E-2</v>
      </c>
      <c r="DZ13" s="3">
        <v>1.7528666783201009E-2</v>
      </c>
      <c r="EA13" s="3">
        <v>0.12694826755309729</v>
      </c>
      <c r="EB13" s="3">
        <v>5.7080533181651807E-2</v>
      </c>
      <c r="EC13" s="3">
        <v>4.0940281642171762E-2</v>
      </c>
      <c r="ED13" s="3">
        <v>6.5938452986503679E-2</v>
      </c>
      <c r="EE13" s="3">
        <v>3.7157511717812938E-2</v>
      </c>
      <c r="EF13" s="3">
        <v>3.5981928125412302E-2</v>
      </c>
      <c r="EG13" s="3">
        <v>0.1515491861230315</v>
      </c>
      <c r="EH13" s="3">
        <v>-3.4030752874321599E-3</v>
      </c>
      <c r="EI13" s="3">
        <v>1.362226048758707E-2</v>
      </c>
      <c r="EJ13" s="3">
        <v>9.1234959608413865E-2</v>
      </c>
      <c r="EK13" s="3">
        <v>4.3586137420909263E-2</v>
      </c>
      <c r="EL13" s="3">
        <v>6.6108718697781149E-2</v>
      </c>
      <c r="EM13">
        <f t="shared" si="11"/>
        <v>5.066137970829352E-2</v>
      </c>
      <c r="EN13">
        <f t="shared" si="12"/>
        <v>3.4735323932311747E-2</v>
      </c>
      <c r="EO13">
        <f t="shared" si="13"/>
        <v>1.4584974018672363</v>
      </c>
    </row>
    <row r="14" spans="1:145" x14ac:dyDescent="0.3">
      <c r="A14" s="18">
        <v>50</v>
      </c>
      <c r="B14" s="18">
        <f t="shared" si="10"/>
        <v>21</v>
      </c>
      <c r="C14" s="3">
        <v>0.13220513330973041</v>
      </c>
      <c r="D14" s="3">
        <v>0.1158127989469112</v>
      </c>
      <c r="E14" s="3">
        <v>8.3639426142282008E-2</v>
      </c>
      <c r="F14" s="3">
        <v>4.7441583885534683E-2</v>
      </c>
      <c r="G14" s="3">
        <v>7.5085370632261769E-2</v>
      </c>
      <c r="H14" s="3">
        <v>7.6211003064836511E-2</v>
      </c>
      <c r="I14" s="3">
        <v>8.2313590722530278E-2</v>
      </c>
      <c r="J14" s="3">
        <v>6.4091148046200197E-2</v>
      </c>
      <c r="K14" s="3">
        <v>3.8115639066763518E-2</v>
      </c>
      <c r="L14" s="3">
        <v>3.6882666974438871E-2</v>
      </c>
      <c r="M14" s="3">
        <v>-2.2751694019537928E-3</v>
      </c>
      <c r="N14" s="3">
        <v>0.14590390450682059</v>
      </c>
      <c r="O14" s="3">
        <v>-6.9838309719343333E-3</v>
      </c>
      <c r="P14" s="3">
        <v>5.5715035022466962E-2</v>
      </c>
      <c r="Q14" s="3">
        <v>3.5876749581343018E-3</v>
      </c>
      <c r="R14" s="3">
        <v>-3.2911964443531959E-3</v>
      </c>
      <c r="S14" s="3">
        <v>0.1395841093461111</v>
      </c>
      <c r="T14" s="3">
        <v>4.3640636712842663E-2</v>
      </c>
      <c r="U14" s="3">
        <v>-1.8672251333920802E-2</v>
      </c>
      <c r="V14" s="3">
        <v>1.9356687910394469E-2</v>
      </c>
      <c r="W14" s="3">
        <v>0.1010800071578183</v>
      </c>
      <c r="X14" s="3">
        <v>0.15214957883971131</v>
      </c>
      <c r="Y14" s="3">
        <v>4.4544401368763753E-2</v>
      </c>
      <c r="Z14" s="3">
        <v>5.0537711983128723E-2</v>
      </c>
      <c r="AA14" s="3">
        <v>9.6850949783866311E-2</v>
      </c>
      <c r="AB14" s="3">
        <v>6.9227714312762256E-2</v>
      </c>
      <c r="AC14" s="3">
        <v>-2.250786095635868E-3</v>
      </c>
      <c r="AD14" s="3">
        <v>6.9530090273623004E-3</v>
      </c>
      <c r="AE14" s="3">
        <v>0.1082963843164074</v>
      </c>
      <c r="AF14" s="3">
        <v>7.6843366101025087E-2</v>
      </c>
      <c r="AG14" s="3">
        <v>2.8655986331801591E-2</v>
      </c>
      <c r="AH14" s="3">
        <v>-1.011933001720745E-2</v>
      </c>
      <c r="AI14" s="3">
        <v>-2.7402985925398929E-2</v>
      </c>
      <c r="AJ14" s="3">
        <v>7.7624249253961733E-3</v>
      </c>
      <c r="AK14" s="3">
        <v>5.8451122638718933E-2</v>
      </c>
      <c r="AL14" s="3">
        <v>4.2015348377505549E-2</v>
      </c>
      <c r="AM14" s="3">
        <v>5.075574272085917E-2</v>
      </c>
      <c r="AN14" s="3">
        <v>0.1044155732278423</v>
      </c>
      <c r="AO14" s="3">
        <v>3.2604667782996637E-2</v>
      </c>
      <c r="AP14" s="3">
        <v>5.4501731434774173E-2</v>
      </c>
      <c r="AQ14" s="3">
        <v>1.9665685276977232E-2</v>
      </c>
      <c r="AR14" s="3">
        <v>6.2379456489060667E-2</v>
      </c>
      <c r="AS14" s="3">
        <v>-1.3478001554976559E-2</v>
      </c>
      <c r="AT14" s="3">
        <v>0.13781441350398549</v>
      </c>
      <c r="AU14" s="3">
        <v>0.10970669075879751</v>
      </c>
      <c r="AV14" s="3">
        <v>0.1107126743226524</v>
      </c>
      <c r="AW14" s="3">
        <v>6.5259550482450884E-2</v>
      </c>
      <c r="AX14" s="3">
        <v>4.0769983534298428E-2</v>
      </c>
      <c r="AY14" s="3">
        <v>1.71930441054381E-2</v>
      </c>
      <c r="AZ14" s="3">
        <v>5.3410775043785819E-3</v>
      </c>
      <c r="BA14" s="3">
        <v>9.1311504612641051E-2</v>
      </c>
      <c r="BB14" s="3">
        <v>7.7818593633148289E-2</v>
      </c>
      <c r="BC14" s="3">
        <v>2.052320405610537E-2</v>
      </c>
      <c r="BD14" s="3">
        <v>2.7350925499414751E-2</v>
      </c>
      <c r="BE14" s="3">
        <v>7.1812117572027559E-2</v>
      </c>
      <c r="BF14" s="3">
        <v>0.1572912263866483</v>
      </c>
      <c r="BG14" s="3">
        <v>0.12707302591464789</v>
      </c>
      <c r="BH14" s="3">
        <v>6.4711625059727329E-2</v>
      </c>
      <c r="BI14" s="3">
        <v>3.008741729199943E-2</v>
      </c>
      <c r="BJ14" s="3">
        <v>2.4895583118334039E-2</v>
      </c>
      <c r="BK14" s="3">
        <v>-2.104432704364215E-2</v>
      </c>
      <c r="BL14" s="3">
        <v>3.2503785982039207E-2</v>
      </c>
      <c r="BM14" s="3">
        <v>3.292116482344528E-2</v>
      </c>
      <c r="BN14" s="3">
        <v>1.120590310238251E-2</v>
      </c>
      <c r="BO14" s="3">
        <v>2.4215815950696402E-2</v>
      </c>
      <c r="BP14" s="3">
        <v>-4.8228295466902868E-2</v>
      </c>
      <c r="BQ14" s="3">
        <v>7.4654789912314279E-3</v>
      </c>
      <c r="BR14" s="3">
        <v>7.9846846103030542E-2</v>
      </c>
      <c r="BS14" s="3">
        <v>2.961161518074365E-2</v>
      </c>
      <c r="BT14" s="3">
        <v>-1.6902937130368952E-2</v>
      </c>
      <c r="BU14" s="3">
        <v>0.1073950379134682</v>
      </c>
      <c r="BV14" s="3">
        <v>8.1081006290671873E-2</v>
      </c>
      <c r="BW14" s="3">
        <v>9.4813186193525342E-2</v>
      </c>
      <c r="BX14" s="3">
        <v>-3.9873386003625496E-3</v>
      </c>
      <c r="BY14" s="3">
        <v>9.8203765625875183E-2</v>
      </c>
      <c r="BZ14" s="3">
        <v>8.1435134160571701E-2</v>
      </c>
      <c r="CA14" s="3">
        <v>-1.530081439883035E-2</v>
      </c>
      <c r="CB14" s="3">
        <v>0.1117942463201053</v>
      </c>
      <c r="CC14" s="3">
        <v>9.4556515578385625E-3</v>
      </c>
      <c r="CD14" s="3">
        <v>8.7991279560385216E-2</v>
      </c>
      <c r="CE14" s="3">
        <v>0.20666802382430291</v>
      </c>
      <c r="CF14" s="3">
        <v>7.7361645537265072E-2</v>
      </c>
      <c r="CG14" s="3">
        <v>6.5160968394517182E-2</v>
      </c>
      <c r="CH14" s="3">
        <v>5.8613306871574657E-2</v>
      </c>
      <c r="CI14" s="3">
        <v>0.113844214471976</v>
      </c>
      <c r="CJ14" s="3">
        <v>6.1437989896404657E-2</v>
      </c>
      <c r="CK14" s="3">
        <v>5.3942692127080083E-2</v>
      </c>
      <c r="CL14" s="3">
        <v>0.20644370301115531</v>
      </c>
      <c r="CM14" s="3">
        <v>9.007073006534988E-2</v>
      </c>
      <c r="CN14" s="3">
        <v>0.21436197134711521</v>
      </c>
      <c r="CO14" s="3">
        <v>0.17790311701942119</v>
      </c>
      <c r="CP14" s="3">
        <v>6.1247190558246081E-2</v>
      </c>
      <c r="CQ14" s="3">
        <v>1.6983985983403772E-2</v>
      </c>
      <c r="CR14" s="3">
        <v>4.9620609800332199E-2</v>
      </c>
      <c r="CS14" s="3">
        <v>1.216908669153303E-2</v>
      </c>
      <c r="CT14" s="3">
        <v>7.4203932055766031E-2</v>
      </c>
      <c r="CU14" s="3">
        <v>0.13049331926284929</v>
      </c>
      <c r="CV14" s="3">
        <v>0.13473974763177771</v>
      </c>
      <c r="CW14" s="3">
        <v>4.1207943299450843E-2</v>
      </c>
      <c r="CX14" s="3">
        <v>7.88806266203783E-2</v>
      </c>
      <c r="CY14" s="3">
        <v>0.1096716237662924</v>
      </c>
      <c r="CZ14" s="3">
        <v>6.7028483584619769E-2</v>
      </c>
      <c r="DA14" s="3">
        <v>4.7399854232221567E-2</v>
      </c>
      <c r="DB14" s="3">
        <v>8.363887939681891E-2</v>
      </c>
      <c r="DC14" s="3">
        <v>1.2420966394114521E-2</v>
      </c>
      <c r="DD14" s="3">
        <v>9.873476841909308E-2</v>
      </c>
      <c r="DE14" s="3">
        <v>5.9073402295605579E-2</v>
      </c>
      <c r="DF14" s="3">
        <v>0.16325273418346661</v>
      </c>
      <c r="DG14" s="3">
        <v>4.3741274114486028E-2</v>
      </c>
      <c r="DH14" s="3">
        <v>6.2926025887418816E-2</v>
      </c>
      <c r="DI14" s="3">
        <v>0.1289200992298529</v>
      </c>
      <c r="DJ14" s="3">
        <v>1.377716786830015E-2</v>
      </c>
      <c r="DK14" s="3">
        <v>3.5525438533042929E-2</v>
      </c>
      <c r="DL14" s="3">
        <v>3.9872633242987357E-2</v>
      </c>
      <c r="DM14" s="3">
        <v>1.911646502345786E-2</v>
      </c>
      <c r="DN14" s="3">
        <v>4.221925511219779E-2</v>
      </c>
      <c r="DO14" s="3">
        <v>6.749155499135967E-2</v>
      </c>
      <c r="DP14" s="3">
        <v>8.2099872748817915E-2</v>
      </c>
      <c r="DQ14" s="3">
        <v>3.2645533016168099E-2</v>
      </c>
      <c r="DR14" s="3">
        <v>5.3613768849205268E-2</v>
      </c>
      <c r="DS14" s="3">
        <v>5.3892648625682042E-2</v>
      </c>
      <c r="DT14" s="3">
        <v>1.512528510044751E-2</v>
      </c>
      <c r="DU14" s="3">
        <v>5.4849650188722218E-2</v>
      </c>
      <c r="DV14" s="3">
        <v>0.1049533206338409</v>
      </c>
      <c r="DW14" s="3">
        <v>7.6295079753436107E-2</v>
      </c>
      <c r="DX14" s="3">
        <v>7.1555654240635189E-2</v>
      </c>
      <c r="DY14" s="3">
        <v>0.14810313433672609</v>
      </c>
      <c r="DZ14" s="3">
        <v>1.3236454912968539E-2</v>
      </c>
      <c r="EA14" s="3">
        <v>6.8284483222967818E-2</v>
      </c>
      <c r="EB14" s="3">
        <v>8.4619816663084185E-2</v>
      </c>
      <c r="EC14" s="3">
        <v>1.747393549534236E-2</v>
      </c>
      <c r="ED14" s="3">
        <v>9.8937325993809042E-2</v>
      </c>
      <c r="EE14" s="3">
        <v>1.253499266974247E-2</v>
      </c>
      <c r="EF14" s="3">
        <v>5.9075572986686441E-2</v>
      </c>
      <c r="EG14" s="3">
        <v>0.21599686931788431</v>
      </c>
      <c r="EH14" s="3">
        <v>5.7072128080830412E-3</v>
      </c>
      <c r="EI14" s="3">
        <v>5.69536739345574E-3</v>
      </c>
      <c r="EJ14" s="3">
        <v>7.5260903055654749E-2</v>
      </c>
      <c r="EK14" s="3">
        <v>3.5700625683798178E-2</v>
      </c>
      <c r="EL14" s="3">
        <v>0.1002255065812902</v>
      </c>
      <c r="EM14">
        <f t="shared" si="11"/>
        <v>6.2235721622113847E-2</v>
      </c>
      <c r="EN14">
        <f t="shared" si="12"/>
        <v>5.1599468875852338E-2</v>
      </c>
      <c r="EO14">
        <f t="shared" si="13"/>
        <v>1.2061310509193843</v>
      </c>
    </row>
    <row r="15" spans="1:145" x14ac:dyDescent="0.3">
      <c r="A15" s="18">
        <v>110</v>
      </c>
      <c r="B15" s="18">
        <f t="shared" si="10"/>
        <v>10</v>
      </c>
      <c r="C15" s="3">
        <v>0.24155842264248281</v>
      </c>
      <c r="D15" s="3">
        <v>0.17378891286628589</v>
      </c>
      <c r="E15" s="3">
        <v>7.4569663037060918E-2</v>
      </c>
      <c r="F15" s="3">
        <v>8.1782026576160557E-2</v>
      </c>
      <c r="G15" s="3">
        <v>2.53577976603564E-3</v>
      </c>
      <c r="H15" s="3">
        <v>8.1815649923674238E-2</v>
      </c>
      <c r="I15" s="3">
        <v>0.12829638481240971</v>
      </c>
      <c r="J15" s="3">
        <v>0.13535866244314329</v>
      </c>
      <c r="K15" s="3">
        <v>3.1508098267589248E-2</v>
      </c>
      <c r="L15" s="3">
        <v>-2.275336258570668E-2</v>
      </c>
      <c r="M15" s="3">
        <v>5.629585886769306E-2</v>
      </c>
      <c r="N15" s="3">
        <v>0.24738804550209831</v>
      </c>
      <c r="O15" s="3">
        <v>-1.8896543000180489E-2</v>
      </c>
      <c r="P15" s="3">
        <v>6.9494413104580779E-2</v>
      </c>
      <c r="Q15" s="3">
        <v>-3.067761739322834E-2</v>
      </c>
      <c r="R15" s="3">
        <v>-5.307967748589041E-2</v>
      </c>
      <c r="S15" s="3">
        <v>0.1802361447281137</v>
      </c>
      <c r="T15" s="3">
        <v>5.8198486768288482E-2</v>
      </c>
      <c r="U15" s="3">
        <v>-8.4116383526341848E-2</v>
      </c>
      <c r="V15" s="3">
        <v>-1.7093662598340231E-2</v>
      </c>
      <c r="W15" s="3">
        <v>6.2669825920648098E-2</v>
      </c>
      <c r="X15" s="3">
        <v>0.20484095586740189</v>
      </c>
      <c r="Y15" s="3">
        <v>2.1717268120404979E-2</v>
      </c>
      <c r="Z15" s="3">
        <v>3.9621349909404961E-2</v>
      </c>
      <c r="AA15" s="3">
        <v>0.12890890101030661</v>
      </c>
      <c r="AB15" s="3">
        <v>7.4371814458625951E-2</v>
      </c>
      <c r="AC15" s="3">
        <v>4.8008146218288833E-2</v>
      </c>
      <c r="AD15" s="3">
        <v>1.3590293030502449E-2</v>
      </c>
      <c r="AE15" s="3">
        <v>0.17602316758642261</v>
      </c>
      <c r="AF15" s="3">
        <v>0.13248670478170749</v>
      </c>
      <c r="AG15" s="3">
        <v>2.4048005905984979E-2</v>
      </c>
      <c r="AH15" s="3">
        <v>-3.7104176384313403E-2</v>
      </c>
      <c r="AI15" s="3">
        <v>-1.8572527895701438E-2</v>
      </c>
      <c r="AJ15" s="3">
        <v>9.7728322028750314E-3</v>
      </c>
      <c r="AK15" s="3">
        <v>5.7963941149427933E-2</v>
      </c>
      <c r="AL15" s="3">
        <v>2.8443609450190841E-2</v>
      </c>
      <c r="AM15" s="3">
        <v>3.4533291566364407E-2</v>
      </c>
      <c r="AN15" s="3">
        <v>0.1187039663124473</v>
      </c>
      <c r="AO15" s="3">
        <v>4.3798347087138943E-2</v>
      </c>
      <c r="AP15" s="3">
        <v>3.7834339344812867E-2</v>
      </c>
      <c r="AQ15" s="3">
        <v>-3.8102468754567922E-2</v>
      </c>
      <c r="AR15" s="3">
        <v>4.8320119900194088E-2</v>
      </c>
      <c r="AS15" s="3">
        <v>-6.5028803619250217E-2</v>
      </c>
      <c r="AT15" s="3">
        <v>0.2078389578691365</v>
      </c>
      <c r="AU15" s="3">
        <v>0.13494561595533039</v>
      </c>
      <c r="AV15" s="3">
        <v>9.1083809565469548E-2</v>
      </c>
      <c r="AW15" s="3">
        <v>9.7211153158427099E-2</v>
      </c>
      <c r="AX15" s="3">
        <v>0.1140796931468484</v>
      </c>
      <c r="AY15" s="3">
        <v>3.013510847869931E-2</v>
      </c>
      <c r="AZ15" s="3">
        <v>3.2014301780964267E-2</v>
      </c>
      <c r="BA15" s="3">
        <v>0.16145099279938191</v>
      </c>
      <c r="BB15" s="3">
        <v>0.13503031263351001</v>
      </c>
      <c r="BC15" s="3">
        <v>6.7540883800242132E-2</v>
      </c>
      <c r="BD15" s="3">
        <v>-2.0834013336984751E-2</v>
      </c>
      <c r="BE15" s="3">
        <v>6.3332838845437306E-2</v>
      </c>
      <c r="BF15" s="3">
        <v>0.22710040348729599</v>
      </c>
      <c r="BG15" s="3">
        <v>0.10639437066419689</v>
      </c>
      <c r="BH15" s="3">
        <v>9.516212770205057E-2</v>
      </c>
      <c r="BI15" s="3">
        <v>4.4085977791574048E-2</v>
      </c>
      <c r="BJ15" s="3">
        <v>0.1065767689112363</v>
      </c>
      <c r="BK15" s="3">
        <v>-2.2584606544302409E-2</v>
      </c>
      <c r="BL15" s="3">
        <v>7.5891715934744086E-2</v>
      </c>
      <c r="BM15" s="3">
        <v>5.4492831913828248E-2</v>
      </c>
      <c r="BN15" s="3">
        <v>-3.5670619746206479E-2</v>
      </c>
      <c r="BO15" s="3">
        <v>3.139537347461429E-2</v>
      </c>
      <c r="BP15" s="3">
        <v>-9.8443455406784119E-2</v>
      </c>
      <c r="BQ15" s="3">
        <v>1.5695153147145501E-2</v>
      </c>
      <c r="BR15" s="3">
        <v>0.1100428438946212</v>
      </c>
      <c r="BS15" s="3">
        <v>3.9787779996983269E-3</v>
      </c>
      <c r="BT15" s="3">
        <v>1.2059676380787429E-2</v>
      </c>
      <c r="BU15" s="3">
        <v>5.3351350971269758E-2</v>
      </c>
      <c r="BV15" s="3">
        <v>6.3848422770407032E-2</v>
      </c>
      <c r="BW15" s="3">
        <v>0.31543556227856839</v>
      </c>
      <c r="BX15" s="3">
        <v>4.3155483784047023E-2</v>
      </c>
      <c r="BY15" s="3">
        <v>0.1170215036470855</v>
      </c>
      <c r="BZ15" s="3">
        <v>7.6955719669705741E-2</v>
      </c>
      <c r="CA15" s="3">
        <v>6.0851495681845842E-3</v>
      </c>
      <c r="CB15" s="3">
        <v>6.4451767288689149E-2</v>
      </c>
      <c r="CC15" s="3">
        <v>0.1078272568632148</v>
      </c>
      <c r="CD15" s="3">
        <v>0.1195227044223882</v>
      </c>
      <c r="CE15" s="3">
        <v>0.1205633706551868</v>
      </c>
      <c r="CF15" s="3">
        <v>7.8920461694775179E-2</v>
      </c>
      <c r="CG15" s="3">
        <v>0.10390932025663881</v>
      </c>
      <c r="CH15" s="3">
        <v>6.751977914793833E-2</v>
      </c>
      <c r="CI15" s="3">
        <v>3.7144945320355012E-2</v>
      </c>
      <c r="CJ15" s="3">
        <v>5.4874450130501198E-2</v>
      </c>
      <c r="CK15" s="3">
        <v>0.1434218267067412</v>
      </c>
      <c r="CL15" s="3">
        <v>0.29060109198450368</v>
      </c>
      <c r="CM15" s="3">
        <v>5.3281164851576093E-2</v>
      </c>
      <c r="CN15" s="3">
        <v>0.16864261290779009</v>
      </c>
      <c r="CO15" s="3">
        <v>0.1646968048922553</v>
      </c>
      <c r="CP15" s="3">
        <v>0.10300282803262339</v>
      </c>
      <c r="CQ15" s="3">
        <v>6.4482894299108936E-3</v>
      </c>
      <c r="CR15" s="3">
        <v>3.4388283639996638E-2</v>
      </c>
      <c r="CS15" s="3">
        <v>9.0012600330832485E-3</v>
      </c>
      <c r="CT15" s="3">
        <v>1.987805414315829E-2</v>
      </c>
      <c r="CU15" s="3">
        <v>0.16039605454608519</v>
      </c>
      <c r="CV15" s="3">
        <v>0.15883627528963709</v>
      </c>
      <c r="CW15" s="3">
        <v>3.1169210624073362E-2</v>
      </c>
      <c r="CX15" s="3">
        <v>6.2601100394391443E-2</v>
      </c>
      <c r="CY15" s="3">
        <v>6.8157689880564143E-2</v>
      </c>
      <c r="CZ15" s="3">
        <v>9.092379279398248E-2</v>
      </c>
      <c r="DA15" s="3">
        <v>6.8598067734650631E-2</v>
      </c>
      <c r="DB15" s="3">
        <v>3.9932392948441107E-2</v>
      </c>
      <c r="DC15" s="3">
        <v>1.7598376414005291E-2</v>
      </c>
      <c r="DD15" s="3">
        <v>6.6996804109661759E-2</v>
      </c>
      <c r="DE15" s="3">
        <v>7.737662039230872E-2</v>
      </c>
      <c r="DF15" s="3">
        <v>0.29943562896720732</v>
      </c>
      <c r="DG15" s="3">
        <v>4.017163325563592E-2</v>
      </c>
      <c r="DH15" s="3">
        <v>0.13218755394970341</v>
      </c>
      <c r="DI15" s="3">
        <v>2.0190924426962249E-2</v>
      </c>
      <c r="DJ15" s="3">
        <v>2.886359519681039E-2</v>
      </c>
      <c r="DK15" s="3">
        <v>8.3677801123215767E-2</v>
      </c>
      <c r="DL15" s="3">
        <v>4.517439390109889E-2</v>
      </c>
      <c r="DM15" s="3">
        <v>1.298329715564042E-2</v>
      </c>
      <c r="DN15" s="3">
        <v>1.1986824213629709E-2</v>
      </c>
      <c r="DO15" s="3">
        <v>4.2035732338063979E-2</v>
      </c>
      <c r="DP15" s="3">
        <v>0.14986804968749359</v>
      </c>
      <c r="DQ15" s="3">
        <v>2.5991770469525759E-2</v>
      </c>
      <c r="DR15" s="3">
        <v>2.5698175054819961E-2</v>
      </c>
      <c r="DS15" s="3">
        <v>5.2192902897275149E-2</v>
      </c>
      <c r="DT15" s="3">
        <v>2.2455456644572162E-2</v>
      </c>
      <c r="DU15" s="3">
        <v>8.3734456304266458E-2</v>
      </c>
      <c r="DV15" s="3">
        <v>0.14862276126668611</v>
      </c>
      <c r="DW15" s="3">
        <v>8.2263342124061778E-3</v>
      </c>
      <c r="DX15" s="3">
        <v>8.4800177087463693E-2</v>
      </c>
      <c r="DY15" s="3">
        <v>0.23875531521233009</v>
      </c>
      <c r="DZ15" s="3">
        <v>3.4082280835076868E-2</v>
      </c>
      <c r="EA15" s="3">
        <v>-3.746967587548293E-2</v>
      </c>
      <c r="EB15" s="3">
        <v>0.11336525352108941</v>
      </c>
      <c r="EC15" s="3">
        <v>8.2959084084229057E-2</v>
      </c>
      <c r="ED15" s="3">
        <v>0.14216139430498731</v>
      </c>
      <c r="EE15" s="3">
        <v>9.617559296918831E-3</v>
      </c>
      <c r="EF15" s="3">
        <v>4.4912949178721878E-2</v>
      </c>
      <c r="EG15" s="3">
        <v>0.34471480336630661</v>
      </c>
      <c r="EH15" s="3">
        <v>-1.495506519468544E-2</v>
      </c>
      <c r="EI15" s="3">
        <v>2.8455498797761641E-2</v>
      </c>
      <c r="EJ15" s="3">
        <v>8.3064682503916965E-2</v>
      </c>
      <c r="EK15" s="3">
        <v>3.4906710498600252E-2</v>
      </c>
      <c r="EL15" s="3">
        <v>9.7763680816827778E-2</v>
      </c>
      <c r="EM15">
        <f t="shared" si="11"/>
        <v>7.2215949927883452E-2</v>
      </c>
      <c r="EN15">
        <f t="shared" si="12"/>
        <v>7.7490328003250161E-2</v>
      </c>
      <c r="EO15">
        <f t="shared" si="13"/>
        <v>0.93193501419757208</v>
      </c>
    </row>
    <row r="16" spans="1:145" x14ac:dyDescent="0.3">
      <c r="A16" s="18">
        <v>120</v>
      </c>
      <c r="B16" s="18">
        <f t="shared" si="10"/>
        <v>9</v>
      </c>
      <c r="C16" s="3">
        <v>0.26072770983563209</v>
      </c>
      <c r="D16" s="3">
        <v>0.18425850840958</v>
      </c>
      <c r="E16" s="3">
        <v>7.4485661362278494E-2</v>
      </c>
      <c r="F16" s="3">
        <v>5.3057197033406472E-2</v>
      </c>
      <c r="G16" s="3">
        <v>8.8348382115517612E-2</v>
      </c>
      <c r="H16" s="3">
        <v>8.2581288923990526E-2</v>
      </c>
      <c r="I16" s="3">
        <v>0.1386283480312914</v>
      </c>
      <c r="J16" s="3">
        <v>0.14986077687311791</v>
      </c>
      <c r="K16" s="3">
        <v>2.9838911503494391E-2</v>
      </c>
      <c r="L16" s="3">
        <v>-2.4637175268582522E-2</v>
      </c>
      <c r="M16" s="3">
        <v>5.3926091998967099E-2</v>
      </c>
      <c r="N16" s="3">
        <v>0.2829158103387982</v>
      </c>
      <c r="O16" s="3">
        <v>-2.9371948062139708E-2</v>
      </c>
      <c r="P16" s="3">
        <v>7.1716708093754036E-2</v>
      </c>
      <c r="Q16" s="3">
        <v>-2.67626793103036E-3</v>
      </c>
      <c r="R16" s="3">
        <v>-6.2293902562806293E-2</v>
      </c>
      <c r="S16" s="3">
        <v>0.1962294625411693</v>
      </c>
      <c r="T16" s="3">
        <v>9.4226726153592844E-2</v>
      </c>
      <c r="U16" s="3">
        <v>-7.1987230887573209E-2</v>
      </c>
      <c r="V16" s="3">
        <v>-5.2208373203866537E-4</v>
      </c>
      <c r="W16" s="3">
        <v>4.8227745791451053E-2</v>
      </c>
      <c r="X16" s="3">
        <v>0.1834115625918912</v>
      </c>
      <c r="Y16" s="3">
        <v>2.6871903231725329E-2</v>
      </c>
      <c r="Z16" s="3">
        <v>2.624555249195001E-2</v>
      </c>
      <c r="AA16" s="3">
        <v>0.12915152114136599</v>
      </c>
      <c r="AB16" s="3">
        <v>8.3679343533461917E-2</v>
      </c>
      <c r="AC16" s="3">
        <v>5.9916161965010872E-2</v>
      </c>
      <c r="AD16" s="3">
        <v>1.8883824250896551E-2</v>
      </c>
      <c r="AE16" s="3">
        <v>0.19437017354429709</v>
      </c>
      <c r="AF16" s="3">
        <v>0.14270118361213019</v>
      </c>
      <c r="AG16" s="3">
        <v>3.0984762906759462E-2</v>
      </c>
      <c r="AH16" s="3">
        <v>-3.1765400449440553E-2</v>
      </c>
      <c r="AI16" s="3">
        <v>-2.515121444953191E-2</v>
      </c>
      <c r="AJ16" s="3">
        <v>-3.0488408940729989E-2</v>
      </c>
      <c r="AK16" s="3">
        <v>6.4421400832372078E-2</v>
      </c>
      <c r="AL16" s="3">
        <v>2.4777897995460239E-2</v>
      </c>
      <c r="AM16" s="3">
        <v>2.85912264822701E-2</v>
      </c>
      <c r="AN16" s="3">
        <v>0.1374029139074828</v>
      </c>
      <c r="AO16" s="3">
        <v>6.3928703055241967E-2</v>
      </c>
      <c r="AP16" s="3">
        <v>6.2955476002942351E-2</v>
      </c>
      <c r="AQ16" s="3">
        <v>-5.1655017148793933E-2</v>
      </c>
      <c r="AR16" s="3">
        <v>0.1027702416988721</v>
      </c>
      <c r="AS16" s="3">
        <v>-6.572009184837771E-2</v>
      </c>
      <c r="AT16" s="3">
        <v>0.2213208370440905</v>
      </c>
      <c r="AU16" s="3">
        <v>0.1387006490225984</v>
      </c>
      <c r="AV16" s="3">
        <v>8.9459284740005834E-2</v>
      </c>
      <c r="AW16" s="3">
        <v>0.11317970127020199</v>
      </c>
      <c r="AX16" s="3">
        <v>0.113595596911948</v>
      </c>
      <c r="AY16" s="3">
        <v>4.0307501135221191E-2</v>
      </c>
      <c r="AZ16" s="3">
        <v>2.6619999076609491E-2</v>
      </c>
      <c r="BA16" s="3">
        <v>0.15831022824999111</v>
      </c>
      <c r="BB16" s="3">
        <v>0.18136460604182511</v>
      </c>
      <c r="BC16" s="3">
        <v>6.5392330536299823E-2</v>
      </c>
      <c r="BD16" s="3">
        <v>-2.5047737019217121E-2</v>
      </c>
      <c r="BE16" s="3">
        <v>5.5749584759779952E-2</v>
      </c>
      <c r="BF16" s="3">
        <v>0.1359041050233428</v>
      </c>
      <c r="BG16" s="3">
        <v>0.1036799156161899</v>
      </c>
      <c r="BH16" s="3">
        <v>0.12147275210746999</v>
      </c>
      <c r="BI16" s="3">
        <v>4.0348434529685812E-2</v>
      </c>
      <c r="BJ16" s="3">
        <v>0.1163424196621526</v>
      </c>
      <c r="BK16" s="3">
        <v>-3.6488351201592967E-2</v>
      </c>
      <c r="BL16" s="3">
        <v>6.939639853734389E-2</v>
      </c>
      <c r="BM16" s="3">
        <v>4.4461594183894608E-2</v>
      </c>
      <c r="BN16" s="3">
        <v>-2.1653837446908231E-2</v>
      </c>
      <c r="BO16" s="3">
        <v>2.5701078886255359E-2</v>
      </c>
      <c r="BP16" s="3">
        <v>-4.4135395130594127E-2</v>
      </c>
      <c r="BQ16" s="3">
        <v>1.6526033585724551E-2</v>
      </c>
      <c r="BR16" s="3">
        <v>0.1131436380022295</v>
      </c>
      <c r="BS16" s="3">
        <v>-7.9012391770569186E-3</v>
      </c>
      <c r="BT16" s="3">
        <v>1.279770120612397E-2</v>
      </c>
      <c r="BU16" s="3">
        <v>4.2485239717766472E-2</v>
      </c>
      <c r="BV16" s="3">
        <v>3.7578374096590053E-2</v>
      </c>
      <c r="BW16" s="3">
        <v>0.33664394139979642</v>
      </c>
      <c r="BX16" s="3">
        <v>4.6677909449918273E-2</v>
      </c>
      <c r="BY16" s="3">
        <v>0.13162601291712861</v>
      </c>
      <c r="BZ16" s="3">
        <v>0.10500367639692169</v>
      </c>
      <c r="CA16" s="3">
        <v>2.2142699591408251E-2</v>
      </c>
      <c r="CB16" s="3">
        <v>6.5264696494031535E-2</v>
      </c>
      <c r="CC16" s="3">
        <v>0.1182501596229092</v>
      </c>
      <c r="CD16" s="3">
        <v>0.1157092147383794</v>
      </c>
      <c r="CE16" s="3">
        <v>6.9763241231413919E-2</v>
      </c>
      <c r="CF16" s="3">
        <v>8.2940336196751507E-2</v>
      </c>
      <c r="CG16" s="3">
        <v>0.1159768192729449</v>
      </c>
      <c r="CH16" s="3">
        <v>4.8054504545709149E-2</v>
      </c>
      <c r="CI16" s="3">
        <v>4.9089741250033729E-2</v>
      </c>
      <c r="CJ16" s="3">
        <v>3.0955416585505519E-2</v>
      </c>
      <c r="CK16" s="3">
        <v>0.1414699025513512</v>
      </c>
      <c r="CL16" s="3">
        <v>0.31154279527443551</v>
      </c>
      <c r="CM16" s="3">
        <v>5.2124070767656142E-2</v>
      </c>
      <c r="CN16" s="3">
        <v>0.1717638137861249</v>
      </c>
      <c r="CO16" s="3">
        <v>0.18300397309504651</v>
      </c>
      <c r="CP16" s="3">
        <v>0.1127396316857244</v>
      </c>
      <c r="CQ16" s="3">
        <v>7.5659968624205126E-2</v>
      </c>
      <c r="CR16" s="3">
        <v>3.0724191644627481E-2</v>
      </c>
      <c r="CS16" s="3">
        <v>1.0001400036759169E-2</v>
      </c>
      <c r="CT16" s="3">
        <v>2.8909286021341341E-2</v>
      </c>
      <c r="CU16" s="3">
        <v>0.15928631311606539</v>
      </c>
      <c r="CV16" s="3">
        <v>0.13244233189943641</v>
      </c>
      <c r="CW16" s="3">
        <v>5.5800521046015572E-2</v>
      </c>
      <c r="CX16" s="3">
        <v>5.808372813074774E-2</v>
      </c>
      <c r="CY16" s="3">
        <v>7.8936117015922208E-2</v>
      </c>
      <c r="CZ16" s="3">
        <v>0.1187113778136329</v>
      </c>
      <c r="DA16" s="3">
        <v>9.5888548540856988E-2</v>
      </c>
      <c r="DB16" s="3">
        <v>5.7360444555607203E-2</v>
      </c>
      <c r="DC16" s="3">
        <v>1.559517627743354E-2</v>
      </c>
      <c r="DD16" s="3">
        <v>8.1763272406890575E-2</v>
      </c>
      <c r="DE16" s="3">
        <v>5.2450110678124301E-2</v>
      </c>
      <c r="DF16" s="3">
        <v>0.32192975016651382</v>
      </c>
      <c r="DG16" s="3">
        <v>4.4449392942329309E-2</v>
      </c>
      <c r="DH16" s="3">
        <v>0.15270632460183189</v>
      </c>
      <c r="DI16" s="3">
        <v>4.330313126788761E-2</v>
      </c>
      <c r="DJ16" s="3">
        <v>3.8300463436286243E-2</v>
      </c>
      <c r="DK16" s="3">
        <v>8.32605938990571E-2</v>
      </c>
      <c r="DL16" s="3">
        <v>9.6269308724760989E-3</v>
      </c>
      <c r="DM16" s="3">
        <v>-3.6759747118981653E-2</v>
      </c>
      <c r="DN16" s="3">
        <v>2.2233966780175519E-2</v>
      </c>
      <c r="DO16" s="3">
        <v>5.5376440467518988E-2</v>
      </c>
      <c r="DP16" s="3">
        <v>0.14636799775100909</v>
      </c>
      <c r="DQ16" s="3">
        <v>2.4838895613820289E-2</v>
      </c>
      <c r="DR16" s="3">
        <v>3.7831496932614089E-2</v>
      </c>
      <c r="DS16" s="3">
        <v>5.2113582797309703E-2</v>
      </c>
      <c r="DT16" s="3">
        <v>5.8933335493967523E-2</v>
      </c>
      <c r="DU16" s="3">
        <v>8.5341215157011804E-2</v>
      </c>
      <c r="DV16" s="3">
        <v>0.1513881297237159</v>
      </c>
      <c r="DW16" s="3">
        <v>3.7742997455560673E-2</v>
      </c>
      <c r="DX16" s="3">
        <v>6.4285000618603108E-2</v>
      </c>
      <c r="DY16" s="3">
        <v>0.2450991639084793</v>
      </c>
      <c r="DZ16" s="3">
        <v>4.6178940834958021E-2</v>
      </c>
      <c r="EA16" s="3">
        <v>1.5304943003097531E-2</v>
      </c>
      <c r="EB16" s="3">
        <v>0.11109853543951929</v>
      </c>
      <c r="EC16" s="3">
        <v>8.2284542230439295E-2</v>
      </c>
      <c r="ED16" s="3">
        <v>0.14742156790967209</v>
      </c>
      <c r="EE16" s="3">
        <v>1.153760730163971E-2</v>
      </c>
      <c r="EF16" s="3">
        <v>6.0242639972929821E-2</v>
      </c>
      <c r="EG16" s="3">
        <v>0.39578695837248468</v>
      </c>
      <c r="EH16" s="3">
        <v>-2.327538990876241E-2</v>
      </c>
      <c r="EI16" s="3">
        <v>2.5811730105797591E-2</v>
      </c>
      <c r="EJ16" s="3">
        <v>7.7611135061907699E-2</v>
      </c>
      <c r="EK16" s="3">
        <v>3.6273530087149439E-2</v>
      </c>
      <c r="EL16" s="3">
        <v>9.4527384412567597E-2</v>
      </c>
      <c r="EM16">
        <f t="shared" si="11"/>
        <v>7.7314031522775314E-2</v>
      </c>
      <c r="EN16">
        <f t="shared" si="12"/>
        <v>8.0606755410126088E-2</v>
      </c>
      <c r="EO16">
        <f t="shared" si="13"/>
        <v>0.95915077004901839</v>
      </c>
    </row>
    <row r="17" spans="1:145" x14ac:dyDescent="0.3">
      <c r="A17" s="18">
        <v>130</v>
      </c>
      <c r="B17" s="18">
        <f t="shared" si="10"/>
        <v>8</v>
      </c>
      <c r="C17" s="3">
        <v>0.2378970514581851</v>
      </c>
      <c r="D17" s="3">
        <v>0.18133129259318301</v>
      </c>
      <c r="E17" s="3">
        <v>7.6702626423688205E-2</v>
      </c>
      <c r="F17" s="3">
        <v>5.6491026831464307E-2</v>
      </c>
      <c r="G17" s="3">
        <v>8.8781681840671589E-2</v>
      </c>
      <c r="H17" s="3">
        <v>3.995329522451764E-2</v>
      </c>
      <c r="I17" s="3">
        <v>0.15376841472222169</v>
      </c>
      <c r="J17" s="3">
        <v>0.15964101098343059</v>
      </c>
      <c r="K17" s="3">
        <v>1.6624607727713681E-2</v>
      </c>
      <c r="L17" s="3">
        <v>-7.4515064329326126E-3</v>
      </c>
      <c r="M17" s="3">
        <v>5.5237105233283269E-2</v>
      </c>
      <c r="N17" s="3">
        <v>0.31927896038533282</v>
      </c>
      <c r="O17" s="3">
        <v>-2.4067294318932831E-2</v>
      </c>
      <c r="P17" s="3">
        <v>7.783143223487253E-2</v>
      </c>
      <c r="Q17" s="3">
        <v>7.9022644963883896E-3</v>
      </c>
      <c r="R17" s="3">
        <v>-6.8471776238508975E-2</v>
      </c>
      <c r="S17" s="3">
        <v>0.24596559854622521</v>
      </c>
      <c r="T17" s="3">
        <v>9.3876727456493281E-2</v>
      </c>
      <c r="U17" s="3">
        <v>-7.3605682023133237E-2</v>
      </c>
      <c r="V17" s="3">
        <v>1.01987591307414E-2</v>
      </c>
      <c r="W17" s="3">
        <v>4.5379487880241792E-2</v>
      </c>
      <c r="X17" s="3">
        <v>0.17625245536268239</v>
      </c>
      <c r="Y17" s="3">
        <v>3.3272863783535243E-2</v>
      </c>
      <c r="Z17" s="3">
        <v>3.4849785722522841E-2</v>
      </c>
      <c r="AA17" s="3">
        <v>0.15968294389123941</v>
      </c>
      <c r="AB17" s="3">
        <v>8.5885231039272217E-2</v>
      </c>
      <c r="AC17" s="3">
        <v>5.6501261430751952E-2</v>
      </c>
      <c r="AD17" s="3">
        <v>-2.9598498033897209E-2</v>
      </c>
      <c r="AE17" s="3">
        <v>0.17483924961177291</v>
      </c>
      <c r="AF17" s="3">
        <v>0.1816171367597203</v>
      </c>
      <c r="AG17" s="3">
        <v>6.6435099043148163E-2</v>
      </c>
      <c r="AH17" s="3">
        <v>-4.943754228054096E-2</v>
      </c>
      <c r="AI17" s="3">
        <v>-1.184896128361165E-3</v>
      </c>
      <c r="AJ17" s="3">
        <v>-4.2250026986231329E-2</v>
      </c>
      <c r="AK17" s="3">
        <v>3.1812485999819867E-2</v>
      </c>
      <c r="AL17" s="3">
        <v>3.4172977367034937E-2</v>
      </c>
      <c r="AM17" s="3">
        <v>4.4527643935009492E-2</v>
      </c>
      <c r="AN17" s="3">
        <v>0.1150317075315794</v>
      </c>
      <c r="AO17" s="3">
        <v>2.9150083513395549E-2</v>
      </c>
      <c r="AP17" s="3">
        <v>8.5202770622020807E-2</v>
      </c>
      <c r="AQ17" s="3">
        <v>-3.3097297155682201E-2</v>
      </c>
      <c r="AR17" s="3">
        <v>5.4951161967654913E-2</v>
      </c>
      <c r="AS17" s="3">
        <v>-8.6099673056289988E-2</v>
      </c>
      <c r="AT17" s="3">
        <v>0.2675017318134017</v>
      </c>
      <c r="AU17" s="3">
        <v>0.13777320588584041</v>
      </c>
      <c r="AV17" s="3">
        <v>5.6706304857920872E-2</v>
      </c>
      <c r="AW17" s="3">
        <v>0.1268004650022366</v>
      </c>
      <c r="AX17" s="3">
        <v>9.6011082808542647E-2</v>
      </c>
      <c r="AY17" s="3">
        <v>3.8625850294884537E-2</v>
      </c>
      <c r="AZ17" s="3">
        <v>2.6112752622131471E-2</v>
      </c>
      <c r="BA17" s="3">
        <v>0.16834770151380041</v>
      </c>
      <c r="BB17" s="3">
        <v>0.20214347165161101</v>
      </c>
      <c r="BC17" s="3">
        <v>8.1917917659997619E-2</v>
      </c>
      <c r="BD17" s="3">
        <v>-1.5834289731736291E-2</v>
      </c>
      <c r="BE17" s="3">
        <v>7.9146428674660319E-2</v>
      </c>
      <c r="BF17" s="3">
        <v>0.1494784707301087</v>
      </c>
      <c r="BG17" s="3">
        <v>8.91046151890664E-2</v>
      </c>
      <c r="BH17" s="3">
        <v>0.1241267148019493</v>
      </c>
      <c r="BI17" s="3">
        <v>2.4448208911691249E-2</v>
      </c>
      <c r="BJ17" s="3">
        <v>0.12527426005764289</v>
      </c>
      <c r="BK17" s="3">
        <v>-4.0770554277135287E-2</v>
      </c>
      <c r="BL17" s="3">
        <v>4.3403096258777363E-2</v>
      </c>
      <c r="BM17" s="3">
        <v>2.368577340358741E-2</v>
      </c>
      <c r="BN17" s="3">
        <v>-1.7785292384900609E-2</v>
      </c>
      <c r="BO17" s="3">
        <v>1.0268629779396901E-2</v>
      </c>
      <c r="BP17" s="3">
        <v>-5.1687061175644672E-2</v>
      </c>
      <c r="BQ17" s="3">
        <v>3.9513525861328079E-2</v>
      </c>
      <c r="BR17" s="3">
        <v>0.12604134088680219</v>
      </c>
      <c r="BS17" s="3">
        <v>-9.2324973901933491E-3</v>
      </c>
      <c r="BT17" s="3">
        <v>1.2266991386464181E-3</v>
      </c>
      <c r="BU17" s="3">
        <v>7.1890941464683278E-2</v>
      </c>
      <c r="BV17" s="3">
        <v>6.590093372816222E-2</v>
      </c>
      <c r="BW17" s="3">
        <v>0.38902933208743512</v>
      </c>
      <c r="BX17" s="3">
        <v>5.1844993239461408E-2</v>
      </c>
      <c r="BY17" s="3">
        <v>9.546081973655117E-2</v>
      </c>
      <c r="BZ17" s="3">
        <v>0.1181769157776595</v>
      </c>
      <c r="CA17" s="3">
        <v>1.9416680923815231E-2</v>
      </c>
      <c r="CB17" s="3">
        <v>6.6333613323674254E-2</v>
      </c>
      <c r="CC17" s="3">
        <v>0.18432006655761579</v>
      </c>
      <c r="CD17" s="3">
        <v>0.1462312541057679</v>
      </c>
      <c r="CE17" s="3">
        <v>8.8883514367212396E-2</v>
      </c>
      <c r="CF17" s="3">
        <v>7.5392684084332307E-2</v>
      </c>
      <c r="CG17" s="3">
        <v>0.1232702825774835</v>
      </c>
      <c r="CH17" s="3">
        <v>8.287237979966898E-2</v>
      </c>
      <c r="CI17" s="3">
        <v>5.5913288806027542E-2</v>
      </c>
      <c r="CJ17" s="3">
        <v>1.7740045240233929E-2</v>
      </c>
      <c r="CK17" s="3">
        <v>0.1430434700386142</v>
      </c>
      <c r="CL17" s="3">
        <v>0.34028819532159721</v>
      </c>
      <c r="CM17" s="3">
        <v>3.8686091281142518E-2</v>
      </c>
      <c r="CN17" s="3">
        <v>0.13461177629082571</v>
      </c>
      <c r="CO17" s="3">
        <v>0.1371192271595108</v>
      </c>
      <c r="CP17" s="3">
        <v>0.1201758118118198</v>
      </c>
      <c r="CQ17" s="3">
        <v>6.6152951237496135E-2</v>
      </c>
      <c r="CR17" s="3">
        <v>2.9283680717415859E-2</v>
      </c>
      <c r="CS17" s="3">
        <v>3.2669997289126028E-2</v>
      </c>
      <c r="CT17" s="3">
        <v>3.9818933144977468E-2</v>
      </c>
      <c r="CU17" s="3">
        <v>0.1546915472850518</v>
      </c>
      <c r="CV17" s="3">
        <v>0.1227951635392554</v>
      </c>
      <c r="CW17" s="3">
        <v>6.9562239507384466E-2</v>
      </c>
      <c r="CX17" s="3">
        <v>4.9065005678958711E-2</v>
      </c>
      <c r="CY17" s="3">
        <v>4.6190210894398412E-2</v>
      </c>
      <c r="CZ17" s="3">
        <v>0.16623877981028229</v>
      </c>
      <c r="DA17" s="3">
        <v>8.4473677696731947E-2</v>
      </c>
      <c r="DB17" s="3">
        <v>5.8532682781620111E-2</v>
      </c>
      <c r="DC17" s="3">
        <v>2.5802332302496251E-2</v>
      </c>
      <c r="DD17" s="3">
        <v>9.6005186292577357E-2</v>
      </c>
      <c r="DE17" s="3">
        <v>2.0616316935895541E-2</v>
      </c>
      <c r="DF17" s="3">
        <v>0.34811952842700339</v>
      </c>
      <c r="DG17" s="3">
        <v>5.0927877609217728E-2</v>
      </c>
      <c r="DH17" s="3">
        <v>0.1770091726222508</v>
      </c>
      <c r="DI17" s="3">
        <v>5.9029959988282373E-2</v>
      </c>
      <c r="DJ17" s="3">
        <v>4.0386117821395347E-2</v>
      </c>
      <c r="DK17" s="3">
        <v>9.5776785314946766E-2</v>
      </c>
      <c r="DL17" s="3">
        <v>3.3776521632631271E-3</v>
      </c>
      <c r="DM17" s="3">
        <v>-4.3442597022706787E-2</v>
      </c>
      <c r="DN17" s="3">
        <v>5.4541208058773008E-2</v>
      </c>
      <c r="DO17" s="3">
        <v>7.5164690087662328E-2</v>
      </c>
      <c r="DP17" s="3">
        <v>0.1792571104948357</v>
      </c>
      <c r="DQ17" s="3">
        <v>4.7643837166474433E-2</v>
      </c>
      <c r="DR17" s="3">
        <v>5.3728120390811533E-2</v>
      </c>
      <c r="DS17" s="3">
        <v>4.024797734625217E-2</v>
      </c>
      <c r="DT17" s="3">
        <v>7.6728353137935593E-2</v>
      </c>
      <c r="DU17" s="3">
        <v>9.4942711204581115E-2</v>
      </c>
      <c r="DV17" s="3">
        <v>0.1677980451647639</v>
      </c>
      <c r="DW17" s="3">
        <v>2.500220119160872E-2</v>
      </c>
      <c r="DX17" s="3">
        <v>7.2360521329291189E-2</v>
      </c>
      <c r="DY17" s="3">
        <v>0.25068056022374052</v>
      </c>
      <c r="DZ17" s="3">
        <v>3.3849733520320363E-2</v>
      </c>
      <c r="EA17" s="3">
        <v>9.3961359605690044E-3</v>
      </c>
      <c r="EB17" s="3">
        <v>0.1209598200696666</v>
      </c>
      <c r="EC17" s="3">
        <v>5.6703448860551717E-2</v>
      </c>
      <c r="ED17" s="3">
        <v>0.16432986689100751</v>
      </c>
      <c r="EE17" s="3">
        <v>2.611293959404028E-2</v>
      </c>
      <c r="EF17" s="3">
        <v>7.17201196883194E-2</v>
      </c>
      <c r="EG17" s="3">
        <v>0.44216671310880312</v>
      </c>
      <c r="EH17" s="3">
        <v>-2.0238806583106821E-2</v>
      </c>
      <c r="EI17" s="3">
        <v>2.282926836822334E-2</v>
      </c>
      <c r="EJ17" s="3">
        <v>7.6872405438413505E-2</v>
      </c>
      <c r="EK17" s="3">
        <v>4.4324994732956882E-2</v>
      </c>
      <c r="EL17" s="3">
        <v>9.3526202580227064E-2</v>
      </c>
      <c r="EM17">
        <f t="shared" si="11"/>
        <v>8.1131887562336066E-2</v>
      </c>
      <c r="EN17">
        <f t="shared" si="12"/>
        <v>8.7920382552997736E-2</v>
      </c>
      <c r="EO17">
        <f t="shared" si="13"/>
        <v>0.92278815453777607</v>
      </c>
    </row>
    <row r="18" spans="1:145" x14ac:dyDescent="0.3">
      <c r="A18" s="18">
        <v>150</v>
      </c>
      <c r="B18" s="18">
        <f t="shared" si="10"/>
        <v>7</v>
      </c>
      <c r="C18" s="3">
        <v>0.24368728540115189</v>
      </c>
      <c r="D18" s="3">
        <v>0.19928275284188771</v>
      </c>
      <c r="E18" s="3">
        <v>0.1001849868838494</v>
      </c>
      <c r="F18" s="3">
        <v>2.9665957214543359E-2</v>
      </c>
      <c r="G18" s="3">
        <v>7.549066755326822E-2</v>
      </c>
      <c r="H18" s="3">
        <v>6.2052684049543103E-2</v>
      </c>
      <c r="I18" s="3">
        <v>0.14821157041136249</v>
      </c>
      <c r="J18" s="3">
        <v>0.19319962712648889</v>
      </c>
      <c r="K18" s="3">
        <v>4.5576885674027991E-2</v>
      </c>
      <c r="L18" s="3">
        <v>-4.7397900226817218E-2</v>
      </c>
      <c r="M18" s="3">
        <v>5.3938885942552348E-2</v>
      </c>
      <c r="N18" s="3">
        <v>0.36380386909963469</v>
      </c>
      <c r="O18" s="3">
        <v>-5.1258915333106045E-4</v>
      </c>
      <c r="P18" s="3">
        <v>6.4985120693923981E-2</v>
      </c>
      <c r="Q18" s="3">
        <v>-1.9624523627553441E-2</v>
      </c>
      <c r="R18" s="3">
        <v>-7.6537480253127566E-2</v>
      </c>
      <c r="S18" s="3">
        <v>0.28114321822492511</v>
      </c>
      <c r="T18" s="3">
        <v>8.8495999226994942E-2</v>
      </c>
      <c r="U18" s="3">
        <v>-6.3715020301069139E-2</v>
      </c>
      <c r="V18" s="3">
        <v>1.7150907696246741E-2</v>
      </c>
      <c r="W18" s="3">
        <v>5.0611891253042662E-2</v>
      </c>
      <c r="X18" s="3">
        <v>0.2236503524855743</v>
      </c>
      <c r="Y18" s="3">
        <v>4.1263726337171347E-2</v>
      </c>
      <c r="Z18" s="3">
        <v>7.9093474663446128E-2</v>
      </c>
      <c r="AA18" s="3">
        <v>0.14275686813834179</v>
      </c>
      <c r="AB18" s="3">
        <v>9.482142138284913E-2</v>
      </c>
      <c r="AC18" s="3">
        <v>6.8592044189663262E-2</v>
      </c>
      <c r="AD18" s="3">
        <v>-2.686636649243445E-2</v>
      </c>
      <c r="AE18" s="3">
        <v>0.20233266192506999</v>
      </c>
      <c r="AF18" s="3">
        <v>0.2335332864896679</v>
      </c>
      <c r="AG18" s="3">
        <v>5.5242557359592707E-2</v>
      </c>
      <c r="AH18" s="3">
        <v>-4.0197460968514703E-2</v>
      </c>
      <c r="AI18" s="3">
        <v>1.412698109927032E-2</v>
      </c>
      <c r="AJ18" s="3">
        <v>-4.2673162795915688E-2</v>
      </c>
      <c r="AK18" s="3">
        <v>-2.1874809686740931E-3</v>
      </c>
      <c r="AL18" s="3">
        <v>5.1371435185213962E-2</v>
      </c>
      <c r="AM18" s="3">
        <v>3.2364637877036827E-2</v>
      </c>
      <c r="AN18" s="3">
        <v>0.12728849630120859</v>
      </c>
      <c r="AO18" s="3">
        <v>1.3072200348825421E-2</v>
      </c>
      <c r="AP18" s="3">
        <v>8.6893121332880269E-2</v>
      </c>
      <c r="AQ18" s="3">
        <v>6.9686748346081823E-3</v>
      </c>
      <c r="AR18" s="3">
        <v>6.0067609304077382E-2</v>
      </c>
      <c r="AS18" s="3">
        <v>-3.4980856502051363E-2</v>
      </c>
      <c r="AT18" s="3">
        <v>0.29755359591416419</v>
      </c>
      <c r="AU18" s="3">
        <v>0.13825373607297631</v>
      </c>
      <c r="AV18" s="3">
        <v>3.6288328527260619E-2</v>
      </c>
      <c r="AW18" s="3">
        <v>0.18435776219915789</v>
      </c>
      <c r="AX18" s="3">
        <v>0.1384838600667897</v>
      </c>
      <c r="AY18" s="3">
        <v>8.733004135094001E-2</v>
      </c>
      <c r="AZ18" s="3">
        <v>4.1349640095088569E-2</v>
      </c>
      <c r="BA18" s="3">
        <v>0.1783405796011181</v>
      </c>
      <c r="BB18" s="3">
        <v>0.22902924273453421</v>
      </c>
      <c r="BC18" s="3">
        <v>8.2288825297534743E-2</v>
      </c>
      <c r="BD18" s="3">
        <v>-1.023203207894959E-2</v>
      </c>
      <c r="BE18" s="3">
        <v>7.5977969995435976E-2</v>
      </c>
      <c r="BF18" s="3">
        <v>0.14387298468636861</v>
      </c>
      <c r="BG18" s="3">
        <v>6.3329549141875704E-2</v>
      </c>
      <c r="BH18" s="3">
        <v>0.1243867568694338</v>
      </c>
      <c r="BI18" s="3">
        <v>3.8239825099776331E-2</v>
      </c>
      <c r="BJ18" s="3">
        <v>2.2765300314875621E-2</v>
      </c>
      <c r="BK18" s="3">
        <v>-4.0177172098229248E-2</v>
      </c>
      <c r="BL18" s="3">
        <v>5.9180796428692638E-2</v>
      </c>
      <c r="BM18" s="3">
        <v>4.7064733084606243E-2</v>
      </c>
      <c r="BN18" s="3">
        <v>-2.0448989190036061E-2</v>
      </c>
      <c r="BO18" s="3">
        <v>2.051646755136657E-2</v>
      </c>
      <c r="BP18" s="3">
        <v>-5.8439021041209308E-2</v>
      </c>
      <c r="BQ18" s="3">
        <v>1.6229383412170121E-2</v>
      </c>
      <c r="BR18" s="3">
        <v>0.1098375446943361</v>
      </c>
      <c r="BS18" s="3">
        <v>-8.7511588191738904E-3</v>
      </c>
      <c r="BT18" s="3">
        <v>-3.5308846230367448E-3</v>
      </c>
      <c r="BU18" s="3">
        <v>8.9383805301203045E-2</v>
      </c>
      <c r="BV18" s="3">
        <v>-9.5384602406614356E-3</v>
      </c>
      <c r="BW18" s="3">
        <v>0.43068382831693958</v>
      </c>
      <c r="BX18" s="3">
        <v>3.520983943596296E-2</v>
      </c>
      <c r="BY18" s="3">
        <v>8.7918546937779993E-2</v>
      </c>
      <c r="BZ18" s="3">
        <v>0.15079709380977091</v>
      </c>
      <c r="CA18" s="3">
        <v>2.3223983918224389E-2</v>
      </c>
      <c r="CB18" s="3">
        <v>7.8724290447068121E-2</v>
      </c>
      <c r="CC18" s="3">
        <v>0.21996524743106699</v>
      </c>
      <c r="CD18" s="3">
        <v>0.16567419379599149</v>
      </c>
      <c r="CE18" s="3">
        <v>6.9460898541899685E-2</v>
      </c>
      <c r="CF18" s="3">
        <v>9.2314423162157919E-2</v>
      </c>
      <c r="CG18" s="3">
        <v>0.17068847751891089</v>
      </c>
      <c r="CH18" s="3">
        <v>0.1081134112752155</v>
      </c>
      <c r="CI18" s="3">
        <v>3.0254409657059309E-2</v>
      </c>
      <c r="CJ18" s="3">
        <v>8.2733433378143206E-4</v>
      </c>
      <c r="CK18" s="3">
        <v>0.14910621729999041</v>
      </c>
      <c r="CL18" s="3">
        <v>0.36775011654527789</v>
      </c>
      <c r="CM18" s="3">
        <v>2.3792103108601179E-2</v>
      </c>
      <c r="CN18" s="3">
        <v>0.16871120023211819</v>
      </c>
      <c r="CO18" s="3">
        <v>0.16749635784502501</v>
      </c>
      <c r="CP18" s="3">
        <v>0.13085801479312631</v>
      </c>
      <c r="CQ18" s="3">
        <v>4.7890904898578807E-2</v>
      </c>
      <c r="CR18" s="3">
        <v>3.8174055630705833E-2</v>
      </c>
      <c r="CS18" s="3">
        <v>4.3224755098983443E-2</v>
      </c>
      <c r="CT18" s="3">
        <v>3.0788311959130909E-2</v>
      </c>
      <c r="CU18" s="3">
        <v>0.1672345640050685</v>
      </c>
      <c r="CV18" s="3">
        <v>0.1058315728417677</v>
      </c>
      <c r="CW18" s="3">
        <v>8.1713485742130165E-2</v>
      </c>
      <c r="CX18" s="3">
        <v>5.2648091262143253E-2</v>
      </c>
      <c r="CY18" s="3">
        <v>6.5170046432079493E-2</v>
      </c>
      <c r="CZ18" s="3">
        <v>0.2000288012371472</v>
      </c>
      <c r="DA18" s="3">
        <v>7.6047417049891319E-2</v>
      </c>
      <c r="DB18" s="3">
        <v>5.5546530457130143E-2</v>
      </c>
      <c r="DC18" s="3">
        <v>1.6338911009788432E-2</v>
      </c>
      <c r="DD18" s="3">
        <v>6.3134171128300498E-2</v>
      </c>
      <c r="DE18" s="3">
        <v>4.0133906781944742E-2</v>
      </c>
      <c r="DF18" s="3">
        <v>0.36199940864890767</v>
      </c>
      <c r="DG18" s="3">
        <v>6.1064662602275298E-2</v>
      </c>
      <c r="DH18" s="3">
        <v>0.2058658826236627</v>
      </c>
      <c r="DI18" s="3">
        <v>5.7437414038540469E-2</v>
      </c>
      <c r="DJ18" s="3">
        <v>4.7666266763567992E-2</v>
      </c>
      <c r="DK18" s="3">
        <v>6.7768732599097686E-2</v>
      </c>
      <c r="DL18" s="3">
        <v>3.6194321287657681E-3</v>
      </c>
      <c r="DM18" s="3">
        <v>-3.8027462014773541E-2</v>
      </c>
      <c r="DN18" s="3">
        <v>2.2669504658172419E-2</v>
      </c>
      <c r="DO18" s="3">
        <v>4.1529469731542583E-2</v>
      </c>
      <c r="DP18" s="3">
        <v>0.19308150431816359</v>
      </c>
      <c r="DQ18" s="3">
        <v>3.7166409110126891E-2</v>
      </c>
      <c r="DR18" s="3">
        <v>5.2098327962446359E-2</v>
      </c>
      <c r="DS18" s="3">
        <v>1.458528350271125E-2</v>
      </c>
      <c r="DT18" s="3">
        <v>9.5508566632489633E-2</v>
      </c>
      <c r="DU18" s="3">
        <v>0.11917142074578881</v>
      </c>
      <c r="DV18" s="3">
        <v>0.19266367578126009</v>
      </c>
      <c r="DW18" s="3">
        <v>5.7812560136279459E-2</v>
      </c>
      <c r="DX18" s="3">
        <v>6.259507811806414E-2</v>
      </c>
      <c r="DY18" s="3">
        <v>0.27859859323909258</v>
      </c>
      <c r="DZ18" s="3">
        <v>1.17147528093297E-3</v>
      </c>
      <c r="EA18" s="3">
        <v>-1.7945666366149991E-2</v>
      </c>
      <c r="EB18" s="3">
        <v>0.1090778874278253</v>
      </c>
      <c r="EC18" s="3">
        <v>5.1865240388643541E-2</v>
      </c>
      <c r="ED18" s="3">
        <v>0.16122648709016321</v>
      </c>
      <c r="EE18" s="3">
        <v>2.0407385609320341E-2</v>
      </c>
      <c r="EF18" s="3">
        <v>8.2038991713789311E-2</v>
      </c>
      <c r="EG18" s="3">
        <v>0.49174202107459353</v>
      </c>
      <c r="EH18" s="3">
        <v>-2.3474760705316278E-2</v>
      </c>
      <c r="EI18" s="3">
        <v>1.4951567267490929E-2</v>
      </c>
      <c r="EJ18" s="3">
        <v>5.2617468802211249E-2</v>
      </c>
      <c r="EK18" s="3">
        <v>4.5567284942549142E-2</v>
      </c>
      <c r="EL18" s="3">
        <v>4.4722641303668181E-2</v>
      </c>
      <c r="EM18">
        <f t="shared" si="11"/>
        <v>8.5667787833596548E-2</v>
      </c>
      <c r="EN18">
        <f t="shared" si="12"/>
        <v>9.8236877679502496E-2</v>
      </c>
      <c r="EO18">
        <f t="shared" si="13"/>
        <v>0.87205324372266224</v>
      </c>
    </row>
    <row r="19" spans="1:145" x14ac:dyDescent="0.3">
      <c r="A19" s="18">
        <v>180</v>
      </c>
      <c r="B19" s="18">
        <f t="shared" si="10"/>
        <v>6</v>
      </c>
      <c r="C19" s="3">
        <v>0.25825037374733928</v>
      </c>
      <c r="D19" s="3">
        <v>0.20816772247219481</v>
      </c>
      <c r="E19" s="3">
        <v>7.3818854031292583E-2</v>
      </c>
      <c r="F19" s="3">
        <v>1.8539269393909971E-2</v>
      </c>
      <c r="G19" s="3">
        <v>0.11281382672705779</v>
      </c>
      <c r="H19" s="3">
        <v>8.6533790412176764E-2</v>
      </c>
      <c r="I19" s="3">
        <v>0.183132986749064</v>
      </c>
      <c r="J19" s="3">
        <v>0.2060553049937506</v>
      </c>
      <c r="K19" s="3">
        <v>4.2881240495088048E-2</v>
      </c>
      <c r="L19" s="3">
        <v>-5.3179775053100967E-2</v>
      </c>
      <c r="M19" s="3">
        <v>5.6587151701981503E-2</v>
      </c>
      <c r="N19" s="3">
        <v>0.41276888051273081</v>
      </c>
      <c r="O19" s="3">
        <v>5.1189915141745167E-2</v>
      </c>
      <c r="P19" s="3">
        <v>8.090003010073446E-2</v>
      </c>
      <c r="Q19" s="3">
        <v>-5.0602909077291307E-2</v>
      </c>
      <c r="R19" s="3">
        <v>-9.0299090630856282E-2</v>
      </c>
      <c r="S19" s="3">
        <v>0.32455080850195822</v>
      </c>
      <c r="T19" s="3">
        <v>7.0706363175496681E-2</v>
      </c>
      <c r="U19" s="3">
        <v>-6.4758127497753892E-2</v>
      </c>
      <c r="V19" s="3">
        <v>5.4719784771743024E-3</v>
      </c>
      <c r="W19" s="3">
        <v>1.5187091264811809E-2</v>
      </c>
      <c r="X19" s="3">
        <v>0.22802402860092669</v>
      </c>
      <c r="Y19" s="3">
        <v>4.1111501930840899E-2</v>
      </c>
      <c r="Z19" s="3">
        <v>7.9788073669434051E-2</v>
      </c>
      <c r="AA19" s="3">
        <v>0.102419772147367</v>
      </c>
      <c r="AB19" s="3">
        <v>7.9004586334525617E-2</v>
      </c>
      <c r="AC19" s="3">
        <v>4.8961984334094558E-2</v>
      </c>
      <c r="AD19" s="3">
        <v>-4.138057090668263E-2</v>
      </c>
      <c r="AE19" s="3">
        <v>0.23675417838502649</v>
      </c>
      <c r="AF19" s="3">
        <v>0.2456999504625641</v>
      </c>
      <c r="AG19" s="3">
        <v>4.8677233877883898E-2</v>
      </c>
      <c r="AH19" s="3">
        <v>-5.6557715221703553E-2</v>
      </c>
      <c r="AI19" s="3">
        <v>3.1554436283047077E-2</v>
      </c>
      <c r="AJ19" s="3">
        <v>-4.6836086426977799E-2</v>
      </c>
      <c r="AK19" s="3">
        <v>7.5520425059527104E-3</v>
      </c>
      <c r="AL19" s="3">
        <v>5.9399001189050768E-2</v>
      </c>
      <c r="AM19" s="3">
        <v>3.258501675727029E-2</v>
      </c>
      <c r="AN19" s="3">
        <v>0.11732233838426109</v>
      </c>
      <c r="AO19" s="3">
        <v>2.3521151986376668E-2</v>
      </c>
      <c r="AP19" s="3">
        <v>9.5720650647838565E-2</v>
      </c>
      <c r="AQ19" s="3">
        <v>1.8043551058852521E-3</v>
      </c>
      <c r="AR19" s="3">
        <v>6.1340989099999792E-2</v>
      </c>
      <c r="AS19" s="3">
        <v>-5.7025232144876439E-2</v>
      </c>
      <c r="AT19" s="3">
        <v>0.33000222487138942</v>
      </c>
      <c r="AU19" s="3">
        <v>0.15211368170021031</v>
      </c>
      <c r="AV19" s="3">
        <v>4.0899918655252318E-2</v>
      </c>
      <c r="AW19" s="3">
        <v>0.20316137070783269</v>
      </c>
      <c r="AX19" s="3">
        <v>0.18062020604609161</v>
      </c>
      <c r="AY19" s="3">
        <v>9.0833526888137089E-2</v>
      </c>
      <c r="AZ19" s="3">
        <v>5.4875564024250978E-2</v>
      </c>
      <c r="BA19" s="3">
        <v>0.1845010616416142</v>
      </c>
      <c r="BB19" s="3">
        <v>0.2875566749228311</v>
      </c>
      <c r="BC19" s="3">
        <v>8.2725621214935138E-2</v>
      </c>
      <c r="BD19" s="3">
        <v>-2.037236273749906E-2</v>
      </c>
      <c r="BE19" s="3">
        <v>8.105888884626726E-2</v>
      </c>
      <c r="BF19" s="3">
        <v>0.13026631111831799</v>
      </c>
      <c r="BG19" s="3">
        <v>-1.514401469524557E-2</v>
      </c>
      <c r="BH19" s="3">
        <v>0.12966872753031139</v>
      </c>
      <c r="BI19" s="3">
        <v>6.2583964077389878E-2</v>
      </c>
      <c r="BJ19" s="3">
        <v>2.4018117912345791E-2</v>
      </c>
      <c r="BK19" s="3">
        <v>-8.9766859427346149E-2</v>
      </c>
      <c r="BL19" s="3">
        <v>6.7122935241750795E-2</v>
      </c>
      <c r="BM19" s="3">
        <v>4.9110781341881633E-2</v>
      </c>
      <c r="BN19" s="3">
        <v>-1.3391265017591461E-2</v>
      </c>
      <c r="BO19" s="3">
        <v>2.1019849988848791E-2</v>
      </c>
      <c r="BP19" s="3">
        <v>-6.8391036989210563E-2</v>
      </c>
      <c r="BQ19" s="3">
        <v>3.3457614969847158E-2</v>
      </c>
      <c r="BR19" s="3">
        <v>0.1232395346244242</v>
      </c>
      <c r="BS19" s="3">
        <v>-8.9670615801846071E-3</v>
      </c>
      <c r="BT19" s="3">
        <v>-3.5563239126725453E-2</v>
      </c>
      <c r="BU19" s="3">
        <v>9.8343719672102842E-2</v>
      </c>
      <c r="BV19" s="3">
        <v>-4.9639260373983238E-2</v>
      </c>
      <c r="BW19" s="3">
        <v>0.35651024469680431</v>
      </c>
      <c r="BX19" s="3">
        <v>1.2701725932087189E-2</v>
      </c>
      <c r="BY19" s="3">
        <v>9.4645219359794364E-2</v>
      </c>
      <c r="BZ19" s="3">
        <v>6.087201744224871E-2</v>
      </c>
      <c r="CA19" s="3">
        <v>2.238290891488591E-2</v>
      </c>
      <c r="CB19" s="3">
        <v>1.3789670800873731E-2</v>
      </c>
      <c r="CC19" s="3">
        <v>0.2417632910805583</v>
      </c>
      <c r="CD19" s="3">
        <v>0.1634233973916995</v>
      </c>
      <c r="CE19" s="3">
        <v>3.7209123435631417E-2</v>
      </c>
      <c r="CF19" s="3">
        <v>5.7049273106916203E-2</v>
      </c>
      <c r="CG19" s="3">
        <v>0.14129641998391829</v>
      </c>
      <c r="CH19" s="3">
        <v>0.12967081230693789</v>
      </c>
      <c r="CI19" s="3">
        <v>2.6363132284744802E-2</v>
      </c>
      <c r="CJ19" s="3">
        <v>1.8728496744254699E-3</v>
      </c>
      <c r="CK19" s="3">
        <v>0.15223796993137539</v>
      </c>
      <c r="CL19" s="3">
        <v>0.39173754358099672</v>
      </c>
      <c r="CM19" s="3">
        <v>2.4237295399031029E-2</v>
      </c>
      <c r="CN19" s="3">
        <v>0.203575447197685</v>
      </c>
      <c r="CO19" s="3">
        <v>0.18612997859886549</v>
      </c>
      <c r="CP19" s="3">
        <v>0.16282924258529641</v>
      </c>
      <c r="CQ19" s="3">
        <v>4.6129026068822333E-2</v>
      </c>
      <c r="CR19" s="3">
        <v>3.6247752819522333E-2</v>
      </c>
      <c r="CS19" s="3">
        <v>5.5060464824476879E-2</v>
      </c>
      <c r="CT19" s="3">
        <v>3.6441795876638698E-2</v>
      </c>
      <c r="CU19" s="3">
        <v>0.17077278897132989</v>
      </c>
      <c r="CV19" s="3">
        <v>0.13455717083029151</v>
      </c>
      <c r="CW19" s="3">
        <v>6.773106645809171E-2</v>
      </c>
      <c r="CX19" s="3">
        <v>0.11887979724664451</v>
      </c>
      <c r="CY19" s="3">
        <v>7.2991215289993056E-2</v>
      </c>
      <c r="CZ19" s="3">
        <v>0.2226851581652444</v>
      </c>
      <c r="DA19" s="3">
        <v>4.4898319176260248E-2</v>
      </c>
      <c r="DB19" s="3">
        <v>5.8652618130978502E-2</v>
      </c>
      <c r="DC19" s="3">
        <v>-5.8594248802098133E-2</v>
      </c>
      <c r="DD19" s="3">
        <v>3.2007773031956649E-2</v>
      </c>
      <c r="DE19" s="3">
        <v>8.648422729649187E-2</v>
      </c>
      <c r="DF19" s="3">
        <v>0.20002704446833819</v>
      </c>
      <c r="DG19" s="3">
        <v>6.6791453364122733E-2</v>
      </c>
      <c r="DH19" s="3">
        <v>0.24633454790181741</v>
      </c>
      <c r="DI19" s="3">
        <v>7.6023014282883078E-2</v>
      </c>
      <c r="DJ19" s="3">
        <v>5.061265825496794E-2</v>
      </c>
      <c r="DK19" s="3">
        <v>6.2506167109315031E-2</v>
      </c>
      <c r="DL19" s="3">
        <v>-5.1896576032354688E-3</v>
      </c>
      <c r="DM19" s="3">
        <v>-6.5564813975573816E-2</v>
      </c>
      <c r="DN19" s="3">
        <v>3.2923718278986588E-2</v>
      </c>
      <c r="DO19" s="3">
        <v>3.9010651523882188E-2</v>
      </c>
      <c r="DP19" s="3">
        <v>0.18722170832684559</v>
      </c>
      <c r="DQ19" s="3">
        <v>5.0447793337120753E-2</v>
      </c>
      <c r="DR19" s="3">
        <v>5.0246245988047958E-2</v>
      </c>
      <c r="DS19" s="3">
        <v>4.4112623348085972E-4</v>
      </c>
      <c r="DT19" s="3">
        <v>7.3921318815956788E-2</v>
      </c>
      <c r="DU19" s="3">
        <v>0.1159787300554177</v>
      </c>
      <c r="DV19" s="3">
        <v>0.17771197319379439</v>
      </c>
      <c r="DW19" s="3">
        <v>7.5899945785009637E-2</v>
      </c>
      <c r="DX19" s="3">
        <v>6.7368660664014535E-2</v>
      </c>
      <c r="DY19" s="3">
        <v>0.2682938562138994</v>
      </c>
      <c r="DZ19" s="3">
        <v>2.7232235020934119E-2</v>
      </c>
      <c r="EA19" s="3">
        <v>7.774740563882665E-3</v>
      </c>
      <c r="EB19" s="3">
        <v>0.12031809934960069</v>
      </c>
      <c r="EC19" s="3">
        <v>3.5933991929562342E-2</v>
      </c>
      <c r="ED19" s="3">
        <v>0.19894254760628341</v>
      </c>
      <c r="EE19" s="3">
        <v>3.0408354668542661E-2</v>
      </c>
      <c r="EF19" s="3">
        <v>7.2902631519315961E-2</v>
      </c>
      <c r="EG19" s="3">
        <v>0.58220861601410923</v>
      </c>
      <c r="EH19" s="3">
        <v>-7.1339263637775374E-2</v>
      </c>
      <c r="EI19" s="3">
        <v>-2.0693682020204301E-2</v>
      </c>
      <c r="EJ19" s="3">
        <v>5.7543775053007652E-2</v>
      </c>
      <c r="EK19" s="3">
        <v>4.1623587597981772E-2</v>
      </c>
      <c r="EL19" s="3">
        <v>4.4033341755044489E-2</v>
      </c>
      <c r="EM19">
        <f t="shared" si="11"/>
        <v>8.5123144110133303E-2</v>
      </c>
      <c r="EN19">
        <f t="shared" si="12"/>
        <v>0.10710804236228776</v>
      </c>
      <c r="EO19">
        <f t="shared" si="13"/>
        <v>0.79474091984809503</v>
      </c>
    </row>
    <row r="20" spans="1:145" x14ac:dyDescent="0.3">
      <c r="A20" s="18">
        <v>200</v>
      </c>
      <c r="B20" s="18">
        <f t="shared" si="10"/>
        <v>5</v>
      </c>
      <c r="C20" s="3">
        <v>0.241035745977561</v>
      </c>
      <c r="D20" s="3">
        <v>0.22395275743740001</v>
      </c>
      <c r="E20" s="3">
        <v>4.8815066363599169E-2</v>
      </c>
      <c r="F20" s="3">
        <v>-2.7411848517627971E-2</v>
      </c>
      <c r="G20" s="3">
        <v>0.13326717167358201</v>
      </c>
      <c r="H20" s="3">
        <v>0.12733285728101729</v>
      </c>
      <c r="I20" s="3">
        <v>0.2142284970631311</v>
      </c>
      <c r="J20" s="3">
        <v>0.22900574536443169</v>
      </c>
      <c r="K20" s="3">
        <v>8.0698573697414899E-2</v>
      </c>
      <c r="L20" s="3">
        <v>-5.774539865201879E-2</v>
      </c>
      <c r="M20" s="3">
        <v>4.3807329306204637E-2</v>
      </c>
      <c r="N20" s="3">
        <v>0.47936140033376018</v>
      </c>
      <c r="O20" s="3">
        <v>4.2734024757790479E-2</v>
      </c>
      <c r="P20" s="3">
        <v>9.4817748615924624E-2</v>
      </c>
      <c r="Q20" s="3">
        <v>-2.6830945130296449E-2</v>
      </c>
      <c r="R20" s="3">
        <v>-0.1092530556374688</v>
      </c>
      <c r="S20" s="3">
        <v>0.27746770687171862</v>
      </c>
      <c r="T20" s="3">
        <v>9.2488241977941019E-2</v>
      </c>
      <c r="U20" s="3">
        <v>-4.4860999039582378E-2</v>
      </c>
      <c r="V20" s="3">
        <v>3.3003555965583707E-2</v>
      </c>
      <c r="W20" s="3">
        <v>-5.1830150860574086E-3</v>
      </c>
      <c r="X20" s="3">
        <v>0.1929023104414854</v>
      </c>
      <c r="Y20" s="3">
        <v>4.2626995433852399E-2</v>
      </c>
      <c r="Z20" s="3">
        <v>9.1419716195751871E-2</v>
      </c>
      <c r="AA20" s="3">
        <v>9.5415528913027556E-2</v>
      </c>
      <c r="AB20" s="3">
        <v>0.1152208458850684</v>
      </c>
      <c r="AC20" s="3">
        <v>6.5352664281926792E-2</v>
      </c>
      <c r="AD20" s="3">
        <v>7.4482705424517154E-3</v>
      </c>
      <c r="AE20" s="3">
        <v>0.14193566253016249</v>
      </c>
      <c r="AF20" s="3">
        <v>0.2386840433411182</v>
      </c>
      <c r="AG20" s="3">
        <v>2.7659218539892259E-2</v>
      </c>
      <c r="AH20" s="3">
        <v>-9.0178200714782636E-2</v>
      </c>
      <c r="AI20" s="3">
        <v>3.0638748971120702E-2</v>
      </c>
      <c r="AJ20" s="3">
        <v>-6.1990034547547639E-2</v>
      </c>
      <c r="AK20" s="3">
        <v>-1.359511549600285E-2</v>
      </c>
      <c r="AL20" s="3">
        <v>6.7328439719529967E-2</v>
      </c>
      <c r="AM20" s="3">
        <v>3.535123710176763E-2</v>
      </c>
      <c r="AN20" s="3">
        <v>0.1208414664731992</v>
      </c>
      <c r="AO20" s="3">
        <v>3.3309502134405873E-2</v>
      </c>
      <c r="AP20" s="3">
        <v>8.6745238092895305E-2</v>
      </c>
      <c r="AQ20" s="3">
        <v>-2.2718043509262941E-2</v>
      </c>
      <c r="AR20" s="3">
        <v>6.2905685333613431E-2</v>
      </c>
      <c r="AS20" s="3">
        <v>-7.3246355688317957E-2</v>
      </c>
      <c r="AT20" s="3">
        <v>0.2030625906437723</v>
      </c>
      <c r="AU20" s="3">
        <v>0.1739743488425739</v>
      </c>
      <c r="AV20" s="3">
        <v>2.6086323130645791E-2</v>
      </c>
      <c r="AW20" s="3">
        <v>0.26649662239130972</v>
      </c>
      <c r="AX20" s="3">
        <v>0.1790139480206687</v>
      </c>
      <c r="AY20" s="3">
        <v>0.1122401662366181</v>
      </c>
      <c r="AZ20" s="3">
        <v>5.0576081072186342E-2</v>
      </c>
      <c r="BA20" s="3">
        <v>0.2145465460988713</v>
      </c>
      <c r="BB20" s="3">
        <v>0.29812630867494172</v>
      </c>
      <c r="BC20" s="3">
        <v>3.9522400124645321E-2</v>
      </c>
      <c r="BD20" s="3">
        <v>-1.599821355701421E-2</v>
      </c>
      <c r="BE20" s="3">
        <v>5.4207680239582348E-2</v>
      </c>
      <c r="BF20" s="3">
        <v>0.15957316783485589</v>
      </c>
      <c r="BG20" s="3">
        <v>1.2954824906421939E-3</v>
      </c>
      <c r="BH20" s="3">
        <v>9.1018860182863454E-2</v>
      </c>
      <c r="BI20" s="3">
        <v>8.9047957829847313E-2</v>
      </c>
      <c r="BJ20" s="3">
        <v>1.941823648192215E-2</v>
      </c>
      <c r="BK20" s="3">
        <v>-4.470785893660037E-2</v>
      </c>
      <c r="BL20" s="3">
        <v>7.4609523730898381E-2</v>
      </c>
      <c r="BM20" s="3">
        <v>5.6480862732913917E-2</v>
      </c>
      <c r="BN20" s="3">
        <v>-3.6520911046602517E-2</v>
      </c>
      <c r="BO20" s="3">
        <v>2.361256287382453E-2</v>
      </c>
      <c r="BP20" s="3">
        <v>-7.0586227216531267E-4</v>
      </c>
      <c r="BQ20" s="3">
        <v>4.2904946585499093E-2</v>
      </c>
      <c r="BR20" s="3">
        <v>0.15807727770591359</v>
      </c>
      <c r="BS20" s="3">
        <v>-2.4364630143780739E-2</v>
      </c>
      <c r="BT20" s="3">
        <v>-5.7929857501323068E-2</v>
      </c>
      <c r="BU20" s="3">
        <v>0.106656787346347</v>
      </c>
      <c r="BV20" s="3">
        <v>-5.7447555262872832E-2</v>
      </c>
      <c r="BW20" s="3">
        <v>0.42242581710555699</v>
      </c>
      <c r="BX20" s="3">
        <v>-1.6073796718972331E-2</v>
      </c>
      <c r="BY20" s="3">
        <v>9.2755670484487407E-2</v>
      </c>
      <c r="BZ20" s="3">
        <v>8.6739352670325481E-2</v>
      </c>
      <c r="CA20" s="3">
        <v>1.7341987931063979E-2</v>
      </c>
      <c r="CB20" s="3">
        <v>2.2364424568948878E-2</v>
      </c>
      <c r="CC20" s="3">
        <v>0.2670957339038651</v>
      </c>
      <c r="CD20" s="3">
        <v>0.1783606275069374</v>
      </c>
      <c r="CE20" s="3">
        <v>3.2857624432042237E-2</v>
      </c>
      <c r="CF20" s="3">
        <v>6.5930866054855666E-2</v>
      </c>
      <c r="CG20" s="3">
        <v>0.1317137537872772</v>
      </c>
      <c r="CH20" s="3">
        <v>0.1391514007469502</v>
      </c>
      <c r="CI20" s="3">
        <v>-4.1774733061409894E-3</v>
      </c>
      <c r="CJ20" s="3">
        <v>-5.155594518816041E-2</v>
      </c>
      <c r="CK20" s="3">
        <v>0.1133929332981321</v>
      </c>
      <c r="CL20" s="3">
        <v>0.39075318679982252</v>
      </c>
      <c r="CM20" s="3">
        <v>8.33825787759742E-3</v>
      </c>
      <c r="CN20" s="3">
        <v>0.10407991005966639</v>
      </c>
      <c r="CO20" s="3">
        <v>0.21784066550107101</v>
      </c>
      <c r="CP20" s="3">
        <v>0.15236924392328269</v>
      </c>
      <c r="CQ20" s="3">
        <v>4.5176644179017067E-2</v>
      </c>
      <c r="CR20" s="3">
        <v>4.510373772287965E-2</v>
      </c>
      <c r="CS20" s="3">
        <v>3.5040747913517453E-2</v>
      </c>
      <c r="CT20" s="3">
        <v>5.7906913371780729E-2</v>
      </c>
      <c r="CU20" s="3">
        <v>0.16194416727056149</v>
      </c>
      <c r="CV20" s="3">
        <v>0.15168960754829389</v>
      </c>
      <c r="CW20" s="3">
        <v>5.3587191859861633E-2</v>
      </c>
      <c r="CX20" s="3">
        <v>0.1206946456524317</v>
      </c>
      <c r="CY20" s="3">
        <v>9.0125293189851824E-2</v>
      </c>
      <c r="CZ20" s="3">
        <v>0.2017998631464254</v>
      </c>
      <c r="DA20" s="3">
        <v>2.204197736506024E-2</v>
      </c>
      <c r="DB20" s="3">
        <v>7.696806977078402E-2</v>
      </c>
      <c r="DC20" s="3">
        <v>-3.456113066023539E-2</v>
      </c>
      <c r="DD20" s="3">
        <v>3.4565162089503582E-2</v>
      </c>
      <c r="DE20" s="3">
        <v>6.7537504091512657E-2</v>
      </c>
      <c r="DF20" s="3">
        <v>0.22982781298180299</v>
      </c>
      <c r="DG20" s="3">
        <v>7.4371572181915813E-2</v>
      </c>
      <c r="DH20" s="3">
        <v>0.30439257378773771</v>
      </c>
      <c r="DI20" s="3">
        <v>0.1241607238732243</v>
      </c>
      <c r="DJ20" s="3">
        <v>0.1177196504705845</v>
      </c>
      <c r="DK20" s="3">
        <v>7.3309779933760713E-2</v>
      </c>
      <c r="DL20" s="3">
        <v>5.464949574950681E-3</v>
      </c>
      <c r="DM20" s="3">
        <v>-7.5266042749959619E-3</v>
      </c>
      <c r="DN20" s="3">
        <v>4.5053324742301643E-2</v>
      </c>
      <c r="DO20" s="3">
        <v>-1.7855120094467311E-2</v>
      </c>
      <c r="DP20" s="3">
        <v>0.17009871997576789</v>
      </c>
      <c r="DQ20" s="3">
        <v>4.1618122190411319E-2</v>
      </c>
      <c r="DR20" s="3">
        <v>5.8604562959139697E-2</v>
      </c>
      <c r="DS20" s="3">
        <v>-2.8698636885863309E-2</v>
      </c>
      <c r="DT20" s="3">
        <v>6.8042387127364698E-2</v>
      </c>
      <c r="DU20" s="3">
        <v>0.1160415979072815</v>
      </c>
      <c r="DV20" s="3">
        <v>0.20180048627437491</v>
      </c>
      <c r="DW20" s="3">
        <v>7.4901761912144607E-2</v>
      </c>
      <c r="DX20" s="3">
        <v>6.8670561317318912E-2</v>
      </c>
      <c r="DY20" s="3">
        <v>0.33206307106926303</v>
      </c>
      <c r="DZ20" s="3">
        <v>2.9062312077681611E-2</v>
      </c>
      <c r="EA20" s="3">
        <v>2.060182675304867E-3</v>
      </c>
      <c r="EB20" s="3">
        <v>0.13359364119037129</v>
      </c>
      <c r="EC20" s="3">
        <v>5.1561124266858049E-2</v>
      </c>
      <c r="ED20" s="3">
        <v>0.20700659420393019</v>
      </c>
      <c r="EE20" s="3">
        <v>3.4307818723682257E-2</v>
      </c>
      <c r="EF20" s="3">
        <v>8.4458715388422562E-2</v>
      </c>
      <c r="EG20" s="3">
        <v>0.64286650137419754</v>
      </c>
      <c r="EH20" s="3">
        <v>-8.6162209699737619E-2</v>
      </c>
      <c r="EI20" s="3">
        <v>-1.632278486099659E-2</v>
      </c>
      <c r="EJ20" s="3">
        <v>3.738985665286456E-2</v>
      </c>
      <c r="EK20" s="3">
        <v>4.9176621685310423E-2</v>
      </c>
      <c r="EL20" s="3">
        <v>-1.64425839450076E-2</v>
      </c>
      <c r="EM20">
        <f t="shared" si="11"/>
        <v>8.709717499897926E-2</v>
      </c>
      <c r="EN20">
        <f t="shared" si="12"/>
        <v>0.11372607691919193</v>
      </c>
      <c r="EO20">
        <f t="shared" si="13"/>
        <v>0.76585051870615539</v>
      </c>
    </row>
    <row r="21" spans="1:145" x14ac:dyDescent="0.3">
      <c r="A21" s="18">
        <v>256</v>
      </c>
      <c r="B21" s="18">
        <f t="shared" si="10"/>
        <v>4</v>
      </c>
      <c r="C21" s="3">
        <v>0.2490064650579937</v>
      </c>
      <c r="D21" s="3">
        <v>0.1872483238738703</v>
      </c>
      <c r="E21" s="3">
        <v>7.0282273894446745E-2</v>
      </c>
      <c r="F21" s="3">
        <v>6.9409277090956498E-2</v>
      </c>
      <c r="G21" s="3">
        <v>6.2455603007767313E-2</v>
      </c>
      <c r="H21" s="3">
        <v>8.3509199203109702E-2</v>
      </c>
      <c r="I21" s="3">
        <v>0.2173542762050098</v>
      </c>
      <c r="J21" s="3">
        <v>0.28503540232140601</v>
      </c>
      <c r="K21" s="3">
        <v>6.433498066950441E-2</v>
      </c>
      <c r="L21" s="3">
        <v>-4.1722739716332252E-2</v>
      </c>
      <c r="M21" s="3">
        <v>-2.9350118045452199E-2</v>
      </c>
      <c r="N21" s="3">
        <v>0.58489126462072527</v>
      </c>
      <c r="O21" s="3">
        <v>5.8855140112437657E-2</v>
      </c>
      <c r="P21" s="3">
        <v>0.11039490349323521</v>
      </c>
      <c r="Q21" s="3">
        <v>1.774400360456101E-2</v>
      </c>
      <c r="R21" s="3">
        <v>-9.5575311106630215E-2</v>
      </c>
      <c r="S21" s="3">
        <v>0.25468280250588032</v>
      </c>
      <c r="T21" s="3">
        <v>0.1157189576337045</v>
      </c>
      <c r="U21" s="3">
        <v>-1.5792011862708909E-2</v>
      </c>
      <c r="V21" s="3">
        <v>1.9105436587436481E-2</v>
      </c>
      <c r="W21" s="3">
        <v>-3.1960014967510893E-2</v>
      </c>
      <c r="X21" s="3">
        <v>0.19383701512214321</v>
      </c>
      <c r="Y21" s="3">
        <v>9.4011995810175553E-2</v>
      </c>
      <c r="Z21" s="3">
        <v>9.6457431862840171E-2</v>
      </c>
      <c r="AA21" s="3">
        <v>9.2108181599923677E-2</v>
      </c>
      <c r="AB21" s="3">
        <v>0.1167099719164395</v>
      </c>
      <c r="AC21" s="3">
        <v>6.611485951836979E-2</v>
      </c>
      <c r="AD21" s="3">
        <v>1.6979519794088922E-2</v>
      </c>
      <c r="AE21" s="3">
        <v>0.15043393360703219</v>
      </c>
      <c r="AF21" s="3">
        <v>0.24276149706013739</v>
      </c>
      <c r="AG21" s="3">
        <v>4.4302777789794079E-2</v>
      </c>
      <c r="AH21" s="3">
        <v>-0.10758136256479831</v>
      </c>
      <c r="AI21" s="3">
        <v>-2.271891412517683E-2</v>
      </c>
      <c r="AJ21" s="3">
        <v>-7.0405341946468691E-2</v>
      </c>
      <c r="AK21" s="3">
        <v>-3.064343373743127E-2</v>
      </c>
      <c r="AL21" s="3">
        <v>0.1109621461614401</v>
      </c>
      <c r="AM21" s="3">
        <v>5.1301939115901897E-2</v>
      </c>
      <c r="AN21" s="3">
        <v>0.1064311379698018</v>
      </c>
      <c r="AO21" s="3">
        <v>0.1803604878600828</v>
      </c>
      <c r="AP21" s="3">
        <v>0.1048081729015958</v>
      </c>
      <c r="AQ21" s="3">
        <v>-4.6577566106297097E-2</v>
      </c>
      <c r="AR21" s="3">
        <v>8.7781597212775175E-2</v>
      </c>
      <c r="AS21" s="3">
        <v>-0.1174173206585938</v>
      </c>
      <c r="AT21" s="3">
        <v>0.21118406973015361</v>
      </c>
      <c r="AU21" s="3">
        <v>0.1963968992369145</v>
      </c>
      <c r="AV21" s="3">
        <v>1.3890262137370921E-2</v>
      </c>
      <c r="AW21" s="3">
        <v>0.28277325166272288</v>
      </c>
      <c r="AX21" s="3">
        <v>0.15731136441856319</v>
      </c>
      <c r="AY21" s="3">
        <v>0.1389781257201739</v>
      </c>
      <c r="AZ21" s="3">
        <v>6.1468476749762538E-2</v>
      </c>
      <c r="BA21" s="3">
        <v>0.16630846854691689</v>
      </c>
      <c r="BB21" s="3">
        <v>0.41331182729103239</v>
      </c>
      <c r="BC21" s="3">
        <v>5.9896200794398398E-2</v>
      </c>
      <c r="BD21" s="3">
        <v>7.7711636134963494E-3</v>
      </c>
      <c r="BE21" s="3">
        <v>0.13674535590796441</v>
      </c>
      <c r="BF21" s="3">
        <v>0.19911721643060321</v>
      </c>
      <c r="BG21" s="3">
        <v>-9.3639108808686145E-2</v>
      </c>
      <c r="BH21" s="3">
        <v>0.1747791950102007</v>
      </c>
      <c r="BI21" s="3">
        <v>5.9055113397490817E-2</v>
      </c>
      <c r="BJ21" s="3">
        <v>2.152247519425015E-2</v>
      </c>
      <c r="BK21" s="3">
        <v>-7.2723114748713999E-2</v>
      </c>
      <c r="BL21" s="3">
        <v>9.4508282582240866E-2</v>
      </c>
      <c r="BM21" s="3">
        <v>4.0795286028720637E-2</v>
      </c>
      <c r="BN21" s="3">
        <v>-3.9097178275529887E-2</v>
      </c>
      <c r="BO21" s="3">
        <v>-0.10661704054188401</v>
      </c>
      <c r="BP21" s="3">
        <v>7.2557031154580976E-3</v>
      </c>
      <c r="BQ21" s="3">
        <v>5.8010344931967828E-2</v>
      </c>
      <c r="BR21" s="3">
        <v>0.13736323231692041</v>
      </c>
      <c r="BS21" s="3">
        <v>-2.9758592738494131E-2</v>
      </c>
      <c r="BT21" s="3">
        <v>-9.0003491632721616E-2</v>
      </c>
      <c r="BU21" s="3">
        <v>0.12746595431431471</v>
      </c>
      <c r="BV21" s="3">
        <v>-8.2098962201967898E-2</v>
      </c>
      <c r="BW21" s="3">
        <v>0.54260972749319392</v>
      </c>
      <c r="BX21" s="3">
        <v>-3.3159726271705207E-2</v>
      </c>
      <c r="BY21" s="3">
        <v>7.6881613663400933E-2</v>
      </c>
      <c r="BZ21" s="3">
        <v>9.3741645952450769E-2</v>
      </c>
      <c r="CA21" s="3">
        <v>6.4338154315686943E-2</v>
      </c>
      <c r="CB21" s="3">
        <v>3.6725782607617483E-2</v>
      </c>
      <c r="CC21" s="3">
        <v>0.17931874603036521</v>
      </c>
      <c r="CD21" s="3">
        <v>0.24407682528516991</v>
      </c>
      <c r="CE21" s="3">
        <v>3.1129961791098129E-2</v>
      </c>
      <c r="CF21" s="3">
        <v>5.4182445348750309E-2</v>
      </c>
      <c r="CG21" s="3">
        <v>0.15287279607197121</v>
      </c>
      <c r="CH21" s="3">
        <v>2.9607806844142442E-4</v>
      </c>
      <c r="CI21" s="3">
        <v>-3.003803332268698E-3</v>
      </c>
      <c r="CJ21" s="3">
        <v>-1.9661774165692179E-2</v>
      </c>
      <c r="CK21" s="3">
        <v>0.23663133235579659</v>
      </c>
      <c r="CL21" s="3">
        <v>0.46678162174246129</v>
      </c>
      <c r="CM21" s="3">
        <v>-3.8292791365956903E-2</v>
      </c>
      <c r="CN21" s="3">
        <v>0.1638513163528047</v>
      </c>
      <c r="CO21" s="3">
        <v>0.24139409744558429</v>
      </c>
      <c r="CP21" s="3">
        <v>0.1830696262257345</v>
      </c>
      <c r="CQ21" s="3">
        <v>4.7072420475831933E-2</v>
      </c>
      <c r="CR21" s="3">
        <v>4.1319888765932039E-2</v>
      </c>
      <c r="CS21" s="3">
        <v>-3.1863383103708537E-2</v>
      </c>
      <c r="CT21" s="3">
        <v>6.7406806572068129E-2</v>
      </c>
      <c r="CU21" s="3">
        <v>0.17793682006611869</v>
      </c>
      <c r="CV21" s="3">
        <v>0.20039655861827799</v>
      </c>
      <c r="CW21" s="3">
        <v>4.3841589312089903E-2</v>
      </c>
      <c r="CX21" s="3">
        <v>0.14011729413824109</v>
      </c>
      <c r="CY21" s="3">
        <v>0.1106503068143025</v>
      </c>
      <c r="CZ21" s="3">
        <v>0.29550478290626442</v>
      </c>
      <c r="DA21" s="3">
        <v>1.83356518444442E-2</v>
      </c>
      <c r="DB21" s="3">
        <v>7.1461213773998111E-2</v>
      </c>
      <c r="DC21" s="3">
        <v>-5.2448650016597861E-2</v>
      </c>
      <c r="DD21" s="3">
        <v>3.3671195797877647E-2</v>
      </c>
      <c r="DE21" s="3">
        <v>3.2131777435027223E-2</v>
      </c>
      <c r="DF21" s="3">
        <v>0.28613086332294307</v>
      </c>
      <c r="DG21" s="3">
        <v>5.0042124219812377E-2</v>
      </c>
      <c r="DH21" s="3">
        <v>0.3582116692542075</v>
      </c>
      <c r="DI21" s="3">
        <v>0.15186656880945859</v>
      </c>
      <c r="DJ21" s="3">
        <v>0.1188560793905528</v>
      </c>
      <c r="DK21" s="3">
        <v>7.6846385490234217E-2</v>
      </c>
      <c r="DL21" s="3">
        <v>2.1920188588726831E-2</v>
      </c>
      <c r="DM21" s="3">
        <v>-2.420130252777496E-2</v>
      </c>
      <c r="DN21" s="3">
        <v>2.9428370634094331E-2</v>
      </c>
      <c r="DO21" s="3">
        <v>1.4066410155289951E-2</v>
      </c>
      <c r="DP21" s="3">
        <v>0.1148991090783347</v>
      </c>
      <c r="DQ21" s="3">
        <v>0.1092082834775548</v>
      </c>
      <c r="DR21" s="3">
        <v>1.851543020035536E-2</v>
      </c>
      <c r="DS21" s="3">
        <v>-1.168244327049894E-2</v>
      </c>
      <c r="DT21" s="3">
        <v>-7.8939330138467281E-3</v>
      </c>
      <c r="DU21" s="3">
        <v>8.7036161859761402E-2</v>
      </c>
      <c r="DV21" s="3">
        <v>0.26431885060016319</v>
      </c>
      <c r="DW21" s="3">
        <v>0.10898331900535491</v>
      </c>
      <c r="DX21" s="3">
        <v>7.9471503669938631E-2</v>
      </c>
      <c r="DY21" s="3">
        <v>0.3364853633460464</v>
      </c>
      <c r="DZ21" s="3">
        <v>1.4748173723862329E-2</v>
      </c>
      <c r="EA21" s="3">
        <v>-5.3623856450899947E-2</v>
      </c>
      <c r="EB21" s="3">
        <v>8.9072392905037934E-2</v>
      </c>
      <c r="EC21" s="3">
        <v>5.4546207039917319E-2</v>
      </c>
      <c r="ED21" s="3">
        <v>9.2108522769330708E-2</v>
      </c>
      <c r="EE21" s="3">
        <v>3.1907536895362978E-2</v>
      </c>
      <c r="EF21" s="3">
        <v>8.4417239940866182E-2</v>
      </c>
      <c r="EG21" s="3">
        <v>0.76549825427919849</v>
      </c>
      <c r="EH21" s="3">
        <v>-5.3789794255250843E-2</v>
      </c>
      <c r="EI21" s="3">
        <v>-2.2718700591800949E-3</v>
      </c>
      <c r="EJ21" s="3">
        <v>2.4361895137142941E-2</v>
      </c>
      <c r="EK21" s="3">
        <v>6.8496100462680579E-2</v>
      </c>
      <c r="EL21" s="3">
        <v>2.6006531752984039E-2</v>
      </c>
      <c r="EM21">
        <f t="shared" si="11"/>
        <v>9.3149442185554751E-2</v>
      </c>
      <c r="EN21">
        <f t="shared" si="12"/>
        <v>0.13465773893619593</v>
      </c>
      <c r="EO21">
        <f t="shared" si="13"/>
        <v>0.69174963816740753</v>
      </c>
    </row>
    <row r="22" spans="1:145" x14ac:dyDescent="0.3">
      <c r="A22" s="18">
        <v>400</v>
      </c>
      <c r="B22" s="18">
        <f t="shared" si="10"/>
        <v>3</v>
      </c>
      <c r="C22" s="3">
        <v>0.28886619116808843</v>
      </c>
      <c r="D22" s="3">
        <v>3.657372240832911E-2</v>
      </c>
      <c r="E22" s="3">
        <v>-1.7355098916458981E-2</v>
      </c>
      <c r="F22" s="3">
        <v>0.13986745030938699</v>
      </c>
      <c r="G22" s="3">
        <v>0.1038843632903341</v>
      </c>
      <c r="H22" s="3">
        <v>6.8510693540499268E-2</v>
      </c>
      <c r="I22" s="3">
        <v>0.21695806010811891</v>
      </c>
      <c r="J22" s="3">
        <v>0.37609347134271992</v>
      </c>
      <c r="K22" s="3">
        <v>2.8656780116393998E-2</v>
      </c>
      <c r="L22" s="3">
        <v>3.9536714080388898E-3</v>
      </c>
      <c r="M22" s="3">
        <v>-1.6096386535256649E-2</v>
      </c>
      <c r="N22" s="3">
        <v>0.75614344311733894</v>
      </c>
      <c r="O22" s="3">
        <v>8.4166448593656545E-2</v>
      </c>
      <c r="P22" s="3">
        <v>2.6945954266884141E-2</v>
      </c>
      <c r="Q22" s="3">
        <v>3.4657141021438742E-2</v>
      </c>
      <c r="R22" s="3">
        <v>-3.6628434271588052E-2</v>
      </c>
      <c r="S22" s="3">
        <v>7.2840826515003912E-2</v>
      </c>
      <c r="T22" s="3">
        <v>0.13585714956761111</v>
      </c>
      <c r="U22" s="3">
        <v>-4.4683532009678548E-2</v>
      </c>
      <c r="V22" s="3">
        <v>5.1797092146186767E-2</v>
      </c>
      <c r="W22" s="3">
        <v>-3.2845178547310769E-2</v>
      </c>
      <c r="X22" s="3">
        <v>0.1578500516608691</v>
      </c>
      <c r="Y22" s="3">
        <v>0.14950844665838381</v>
      </c>
      <c r="Z22" s="3">
        <v>7.4601571588958276E-2</v>
      </c>
      <c r="AA22" s="3">
        <v>5.2507971845559408E-2</v>
      </c>
      <c r="AB22" s="3">
        <v>0.11750157576156529</v>
      </c>
      <c r="AC22" s="3">
        <v>9.3396379383720668E-2</v>
      </c>
      <c r="AD22" s="3">
        <v>8.9391604493573654E-3</v>
      </c>
      <c r="AE22" s="3">
        <v>0.13325425166370131</v>
      </c>
      <c r="AF22" s="3">
        <v>0.27237224992142972</v>
      </c>
      <c r="AG22" s="3">
        <v>5.2841540175733892E-2</v>
      </c>
      <c r="AH22" s="3">
        <v>-0.10586595942047269</v>
      </c>
      <c r="AI22" s="3">
        <v>2.049960797509837E-2</v>
      </c>
      <c r="AJ22" s="3">
        <v>-3.1699849326408271E-2</v>
      </c>
      <c r="AK22" s="3">
        <v>0.1012885607403957</v>
      </c>
      <c r="AL22" s="3">
        <v>3.6840806286715461E-2</v>
      </c>
      <c r="AM22" s="3">
        <v>8.4088903467703563E-2</v>
      </c>
      <c r="AN22" s="3">
        <v>0.17720720373425369</v>
      </c>
      <c r="AO22" s="3">
        <v>0.23610215360517761</v>
      </c>
      <c r="AP22" s="3">
        <v>0.18456058935382719</v>
      </c>
      <c r="AQ22" s="3">
        <v>-0.17906239408298319</v>
      </c>
      <c r="AR22" s="3">
        <v>8.2546724885988632E-2</v>
      </c>
      <c r="AS22" s="3">
        <v>-2.2170482112280659E-2</v>
      </c>
      <c r="AT22" s="3">
        <v>0.1136043448595091</v>
      </c>
      <c r="AU22" s="3">
        <v>0.27983614582712568</v>
      </c>
      <c r="AV22" s="3">
        <v>7.9203228670756201E-2</v>
      </c>
      <c r="AW22" s="3">
        <v>0.416894568719475</v>
      </c>
      <c r="AX22" s="3">
        <v>-4.7737840971480427E-2</v>
      </c>
      <c r="AY22" s="3">
        <v>0.19434249832374509</v>
      </c>
      <c r="AZ22" s="3">
        <v>6.3956460551186631E-2</v>
      </c>
      <c r="BA22" s="3">
        <v>0.17858892561027201</v>
      </c>
      <c r="BB22" s="3">
        <v>0.49016727339116178</v>
      </c>
      <c r="BC22" s="3">
        <v>-0.1155417258126869</v>
      </c>
      <c r="BD22" s="3">
        <v>3.8662233380213101E-2</v>
      </c>
      <c r="BE22" s="3">
        <v>0.12806788396565999</v>
      </c>
      <c r="BF22" s="3">
        <v>0.1991024485484385</v>
      </c>
      <c r="BG22" s="3">
        <v>-0.1429703513738661</v>
      </c>
      <c r="BH22" s="3">
        <v>0.12770700939641619</v>
      </c>
      <c r="BI22" s="3">
        <v>-1.7540795032593311E-2</v>
      </c>
      <c r="BJ22" s="3">
        <v>-1.8501599821192798E-2</v>
      </c>
      <c r="BK22" s="3">
        <v>-4.831524105166432E-2</v>
      </c>
      <c r="BL22" s="3">
        <v>0.11765694936342749</v>
      </c>
      <c r="BM22" s="3">
        <v>2.4304832455331882E-3</v>
      </c>
      <c r="BN22" s="3">
        <v>-4.5815704530467682E-2</v>
      </c>
      <c r="BO22" s="3">
        <v>-9.2277713600133218E-2</v>
      </c>
      <c r="BP22" s="3">
        <v>2.337690190819672E-3</v>
      </c>
      <c r="BQ22" s="3">
        <v>7.7351978271746183E-2</v>
      </c>
      <c r="BR22" s="3">
        <v>0.14695670382074311</v>
      </c>
      <c r="BS22" s="3">
        <v>4.4078422998684391E-2</v>
      </c>
      <c r="BT22" s="3">
        <v>-0.1052009159110476</v>
      </c>
      <c r="BU22" s="3">
        <v>0.1526674050479728</v>
      </c>
      <c r="BV22" s="3">
        <v>-4.7266464511905519E-2</v>
      </c>
      <c r="BW22" s="3">
        <v>0.31056566332134172</v>
      </c>
      <c r="BX22" s="3">
        <v>-3.1911449383790043E-2</v>
      </c>
      <c r="BY22" s="3">
        <v>5.0267437474919248E-2</v>
      </c>
      <c r="BZ22" s="3">
        <v>4.1370983212962009E-2</v>
      </c>
      <c r="CA22" s="3">
        <v>4.6015862393473828E-2</v>
      </c>
      <c r="CB22" s="3">
        <v>4.3804174111903668E-2</v>
      </c>
      <c r="CC22" s="3">
        <v>0.27544481942343019</v>
      </c>
      <c r="CD22" s="3">
        <v>0.35567309668070152</v>
      </c>
      <c r="CE22" s="3">
        <v>1.350344893247271E-2</v>
      </c>
      <c r="CF22" s="3">
        <v>0.102508103348962</v>
      </c>
      <c r="CG22" s="3">
        <v>0.32392308344577347</v>
      </c>
      <c r="CH22" s="3">
        <v>-2.6427162503829611E-2</v>
      </c>
      <c r="CI22" s="3">
        <v>-1.5860418083537709E-2</v>
      </c>
      <c r="CJ22" s="3">
        <v>-1.05407193393019E-2</v>
      </c>
      <c r="CK22" s="3">
        <v>0.17643920814984551</v>
      </c>
      <c r="CL22" s="3">
        <v>0.49541388483301863</v>
      </c>
      <c r="CM22" s="3">
        <v>-4.7372367581162061E-2</v>
      </c>
      <c r="CN22" s="3">
        <v>0.18215712511011631</v>
      </c>
      <c r="CO22" s="3">
        <v>0.17152969561420439</v>
      </c>
      <c r="CP22" s="3">
        <v>0.20656797743316491</v>
      </c>
      <c r="CQ22" s="3">
        <v>9.2165908408294861E-2</v>
      </c>
      <c r="CR22" s="3">
        <v>4.4739600323238288E-2</v>
      </c>
      <c r="CS22" s="3">
        <v>-6.8236066991472957E-2</v>
      </c>
      <c r="CT22" s="3">
        <v>9.5120869107279821E-2</v>
      </c>
      <c r="CU22" s="3">
        <v>0.19271417485125961</v>
      </c>
      <c r="CV22" s="3">
        <v>0.2362808128295201</v>
      </c>
      <c r="CW22" s="3">
        <v>-1.0226546296446719E-2</v>
      </c>
      <c r="CX22" s="3">
        <v>0.12678552669060811</v>
      </c>
      <c r="CY22" s="3">
        <v>0.13548943365441571</v>
      </c>
      <c r="CZ22" s="3">
        <v>0.35215156996889291</v>
      </c>
      <c r="DA22" s="3">
        <v>2.2473098166241889E-2</v>
      </c>
      <c r="DB22" s="3">
        <v>5.4041621710522049E-2</v>
      </c>
      <c r="DC22" s="3">
        <v>-2.4083459890003728E-2</v>
      </c>
      <c r="DD22" s="3">
        <v>0.1383546535444734</v>
      </c>
      <c r="DE22" s="3">
        <v>-1.7756503501932811E-2</v>
      </c>
      <c r="DF22" s="3">
        <v>0.38966763369412349</v>
      </c>
      <c r="DG22" s="3">
        <v>7.4791031782706352E-2</v>
      </c>
      <c r="DH22" s="3">
        <v>0.12640435016781121</v>
      </c>
      <c r="DI22" s="3">
        <v>0.22468946661427019</v>
      </c>
      <c r="DJ22" s="3">
        <v>0.1035146393093154</v>
      </c>
      <c r="DK22" s="3">
        <v>7.269613117056245E-2</v>
      </c>
      <c r="DL22" s="3">
        <v>3.31091150919431E-2</v>
      </c>
      <c r="DM22" s="3">
        <v>-2.314433577013247E-2</v>
      </c>
      <c r="DN22" s="3">
        <v>1.0117600642261439E-2</v>
      </c>
      <c r="DO22" s="3">
        <v>-6.1460673285183669E-2</v>
      </c>
      <c r="DP22" s="3">
        <v>8.8552486437397188E-2</v>
      </c>
      <c r="DQ22" s="3">
        <v>0.21106094176177309</v>
      </c>
      <c r="DR22" s="3">
        <v>-5.7297032660947191E-2</v>
      </c>
      <c r="DS22" s="3">
        <v>-3.9948517382223478E-2</v>
      </c>
      <c r="DT22" s="3">
        <v>3.8469137611300892E-2</v>
      </c>
      <c r="DU22" s="3">
        <v>0.1020190080177573</v>
      </c>
      <c r="DV22" s="3">
        <v>0.29109561598522499</v>
      </c>
      <c r="DW22" s="3">
        <v>-8.1415413379923474E-2</v>
      </c>
      <c r="DX22" s="3">
        <v>8.3184240026252868E-2</v>
      </c>
      <c r="DY22" s="3">
        <v>0.24344283400126021</v>
      </c>
      <c r="DZ22" s="3">
        <v>-2.179721616120317E-3</v>
      </c>
      <c r="EA22" s="3">
        <v>-5.4226640136078239E-2</v>
      </c>
      <c r="EB22" s="3">
        <v>0.20437536021575409</v>
      </c>
      <c r="EC22" s="3">
        <v>4.5053777898000927E-2</v>
      </c>
      <c r="ED22" s="3">
        <v>0.12755978895247419</v>
      </c>
      <c r="EE22" s="3">
        <v>1.670262802637313E-3</v>
      </c>
      <c r="EF22" s="3">
        <v>3.4354893375399979E-2</v>
      </c>
      <c r="EG22" s="3">
        <v>0.94008943856192095</v>
      </c>
      <c r="EH22" s="3">
        <v>-9.019632732011143E-2</v>
      </c>
      <c r="EI22" s="3">
        <v>9.8367297462538701E-3</v>
      </c>
      <c r="EJ22" s="3">
        <v>6.2733871692929141E-2</v>
      </c>
      <c r="EK22" s="3">
        <v>0.1079890957795992</v>
      </c>
      <c r="EL22" s="3">
        <v>4.7714946164396158E-2</v>
      </c>
      <c r="EM22">
        <f t="shared" si="11"/>
        <v>9.6036629068171772E-2</v>
      </c>
      <c r="EN22">
        <f t="shared" si="12"/>
        <v>0.15496649145199518</v>
      </c>
      <c r="EO22">
        <f t="shared" si="13"/>
        <v>0.61972513004801155</v>
      </c>
    </row>
    <row r="23" spans="1:145" x14ac:dyDescent="0.3">
      <c r="A23" s="18">
        <v>512</v>
      </c>
      <c r="B23" s="18">
        <f t="shared" si="10"/>
        <v>2</v>
      </c>
      <c r="C23" s="3">
        <v>0.28298926569632887</v>
      </c>
      <c r="D23" s="3">
        <v>2.5572738597117312E-2</v>
      </c>
      <c r="E23" s="3">
        <v>0.13300519405617101</v>
      </c>
      <c r="F23" s="3">
        <v>3.740232941910691E-3</v>
      </c>
      <c r="G23" s="3">
        <v>-2.6971568524368019E-2</v>
      </c>
      <c r="H23" s="3">
        <v>-1.8188470841484668E-2</v>
      </c>
      <c r="I23" s="3">
        <v>0.148152028600294</v>
      </c>
      <c r="J23" s="3">
        <v>0.1120353509707598</v>
      </c>
      <c r="K23" s="3">
        <v>-5.9917884508062888E-2</v>
      </c>
      <c r="L23" s="3">
        <v>-5.0770833705182927E-2</v>
      </c>
      <c r="M23" s="3">
        <v>-6.6725323868973827E-2</v>
      </c>
      <c r="N23" s="3">
        <v>0.97590144327128003</v>
      </c>
      <c r="O23" s="3">
        <v>-2.3021517522107062E-3</v>
      </c>
      <c r="P23" s="3">
        <v>3.3889195272266831E-3</v>
      </c>
      <c r="Q23" s="3">
        <v>6.7091137337957185E-2</v>
      </c>
      <c r="R23" s="3">
        <v>-5.6211143313255052E-2</v>
      </c>
      <c r="S23" s="3">
        <v>8.401148311947354E-2</v>
      </c>
      <c r="T23" s="3">
        <v>3.9614189164827618E-2</v>
      </c>
      <c r="U23" s="3">
        <v>-0.1939598632503596</v>
      </c>
      <c r="V23" s="3">
        <v>5.4692462487890163E-2</v>
      </c>
      <c r="W23" s="3">
        <v>4.1345117940638429E-3</v>
      </c>
      <c r="X23" s="3">
        <v>0.1817811857978229</v>
      </c>
      <c r="Y23" s="3">
        <v>0.23418396405485739</v>
      </c>
      <c r="Z23" s="3">
        <v>0.13179100557896559</v>
      </c>
      <c r="AA23" s="3">
        <v>0.1301052442445611</v>
      </c>
      <c r="AB23" s="3">
        <v>0.15024154796734959</v>
      </c>
      <c r="AC23" s="3">
        <v>9.7299095202937946E-2</v>
      </c>
      <c r="AD23" s="3">
        <v>4.2570963187536032E-2</v>
      </c>
      <c r="AE23" s="3">
        <v>0.15243653556779671</v>
      </c>
      <c r="AF23" s="3">
        <v>0.19177289444394499</v>
      </c>
      <c r="AG23" s="3">
        <v>9.1873657646360199E-2</v>
      </c>
      <c r="AH23" s="3">
        <v>-8.417158452318324E-2</v>
      </c>
      <c r="AI23" s="3">
        <v>3.0243744310411179E-2</v>
      </c>
      <c r="AJ23" s="3">
        <v>4.8195600190128897E-2</v>
      </c>
      <c r="AK23" s="3">
        <v>0.11411109934719101</v>
      </c>
      <c r="AL23" s="3">
        <v>5.0760011006430988E-2</v>
      </c>
      <c r="AM23" s="3">
        <v>7.769489004865255E-3</v>
      </c>
      <c r="AN23" s="3">
        <v>0.24231469935730071</v>
      </c>
      <c r="AO23" s="3">
        <v>0.24640716478248709</v>
      </c>
      <c r="AP23" s="3">
        <v>9.2917766517353895E-2</v>
      </c>
      <c r="AQ23" s="3">
        <v>-0.18719277713888691</v>
      </c>
      <c r="AR23" s="3">
        <v>0.1461361643393671</v>
      </c>
      <c r="AS23" s="3">
        <v>-6.2783843657924859E-2</v>
      </c>
      <c r="AT23" s="3">
        <v>0.1095059029649002</v>
      </c>
      <c r="AU23" s="3">
        <v>0.31867753043169111</v>
      </c>
      <c r="AV23" s="3">
        <v>0.15047651129726911</v>
      </c>
      <c r="AW23" s="3">
        <v>9.1470967172539372E-2</v>
      </c>
      <c r="AX23" s="3">
        <v>-1.4812779008540821E-2</v>
      </c>
      <c r="AY23" s="3">
        <v>0.17023398084058211</v>
      </c>
      <c r="AZ23" s="3">
        <v>7.8071576521207053E-2</v>
      </c>
      <c r="BA23" s="3">
        <v>5.3998338629857423E-2</v>
      </c>
      <c r="BB23" s="3">
        <v>0.48557915496025389</v>
      </c>
      <c r="BC23" s="3">
        <v>-0.30082824917306578</v>
      </c>
      <c r="BD23" s="3">
        <v>6.5076817165660855E-2</v>
      </c>
      <c r="BE23" s="3">
        <v>0.1242921430258994</v>
      </c>
      <c r="BF23" s="3">
        <v>0.21000911286045121</v>
      </c>
      <c r="BG23" s="3">
        <v>-0.27238301800351372</v>
      </c>
      <c r="BH23" s="3">
        <v>6.3365195703238231E-2</v>
      </c>
      <c r="BI23" s="3">
        <v>8.1416879871558698E-2</v>
      </c>
      <c r="BJ23" s="3">
        <v>-4.6193151079602618E-2</v>
      </c>
      <c r="BK23" s="3">
        <v>-4.7849323301188178E-2</v>
      </c>
      <c r="BL23" s="3">
        <v>0.11436629014166901</v>
      </c>
      <c r="BM23" s="3">
        <v>-6.9495462024450616E-2</v>
      </c>
      <c r="BN23" s="3">
        <v>-0.15467716835591211</v>
      </c>
      <c r="BO23" s="3">
        <v>-0.19280643096294561</v>
      </c>
      <c r="BP23" s="3">
        <v>-9.8630380242120431E-3</v>
      </c>
      <c r="BQ23" s="3">
        <v>0.1042594606837233</v>
      </c>
      <c r="BR23" s="3">
        <v>0.1324153313572079</v>
      </c>
      <c r="BS23" s="3">
        <v>-4.9110058236967458E-4</v>
      </c>
      <c r="BT23" s="3">
        <v>0.10807708594088331</v>
      </c>
      <c r="BU23" s="3">
        <v>0.23163287017673859</v>
      </c>
      <c r="BV23" s="3">
        <v>-5.326905055788838E-2</v>
      </c>
      <c r="BW23" s="3">
        <v>0.31868518739678781</v>
      </c>
      <c r="BX23" s="3">
        <v>-8.3160926191687107E-2</v>
      </c>
      <c r="BY23" s="3">
        <v>8.3991020616997591E-2</v>
      </c>
      <c r="BZ23" s="3">
        <v>-7.233049823802995E-2</v>
      </c>
      <c r="CA23" s="3">
        <v>0.1158479734548683</v>
      </c>
      <c r="CB23" s="3">
        <v>5.6114329539072832E-2</v>
      </c>
      <c r="CC23" s="3">
        <v>0.44318286919740241</v>
      </c>
      <c r="CD23" s="3">
        <v>0.45821457136519028</v>
      </c>
      <c r="CE23" s="3">
        <v>-1.493393869943984E-2</v>
      </c>
      <c r="CF23" s="3">
        <v>0.1676143813103263</v>
      </c>
      <c r="CG23" s="3">
        <v>0.39327674779210842</v>
      </c>
      <c r="CH23" s="3">
        <v>-7.3046097930374615E-2</v>
      </c>
      <c r="CI23" s="3">
        <v>5.6784922348380729E-3</v>
      </c>
      <c r="CJ23" s="3">
        <v>-2.1967846442895178E-3</v>
      </c>
      <c r="CK23" s="3">
        <v>0.31480429120780962</v>
      </c>
      <c r="CL23" s="3">
        <v>0.34053143333517311</v>
      </c>
      <c r="CM23" s="3">
        <v>1.9919501797121219E-2</v>
      </c>
      <c r="CN23" s="3">
        <v>0.2963228494214733</v>
      </c>
      <c r="CO23" s="3">
        <v>0.1668322517502627</v>
      </c>
      <c r="CP23" s="3">
        <v>0.23209987385840031</v>
      </c>
      <c r="CQ23" s="3">
        <v>0.11133205484913621</v>
      </c>
      <c r="CR23" s="3">
        <v>1.6288977447992781E-3</v>
      </c>
      <c r="CS23" s="3">
        <v>5.2840662182840267E-3</v>
      </c>
      <c r="CT23" s="3">
        <v>0.1038849588782232</v>
      </c>
      <c r="CU23" s="3">
        <v>0.24014428048449399</v>
      </c>
      <c r="CV23" s="3">
        <v>0.3097785048289281</v>
      </c>
      <c r="CW23" s="3">
        <v>-1.9053529099671781E-2</v>
      </c>
      <c r="CX23" s="3">
        <v>-4.2852381404584597E-2</v>
      </c>
      <c r="CY23" s="3">
        <v>0.17213840798346319</v>
      </c>
      <c r="CZ23" s="3">
        <v>0.44770534020053748</v>
      </c>
      <c r="DA23" s="3">
        <v>2.5018510994155991E-2</v>
      </c>
      <c r="DB23" s="3">
        <v>1.8747066443219641E-2</v>
      </c>
      <c r="DC23" s="3">
        <v>0.114152472901645</v>
      </c>
      <c r="DD23" s="3">
        <v>9.2798674677153081E-2</v>
      </c>
      <c r="DE23" s="3">
        <v>-6.0085947510171572E-2</v>
      </c>
      <c r="DF23" s="3">
        <v>0.40879492056092032</v>
      </c>
      <c r="DG23" s="3">
        <v>2.962550091989281E-2</v>
      </c>
      <c r="DH23" s="3">
        <v>0.1392268935121084</v>
      </c>
      <c r="DI23" s="3">
        <v>9.2924308916942908E-2</v>
      </c>
      <c r="DJ23" s="3">
        <v>5.7281999481558703E-2</v>
      </c>
      <c r="DK23" s="3">
        <v>6.3146577907403523E-2</v>
      </c>
      <c r="DL23" s="3">
        <v>5.4101277140998598E-2</v>
      </c>
      <c r="DM23" s="3">
        <v>-3.3366755709844542E-2</v>
      </c>
      <c r="DN23" s="3">
        <v>0.17592581317045269</v>
      </c>
      <c r="DO23" s="3">
        <v>-4.9077326915596242E-2</v>
      </c>
      <c r="DP23" s="3">
        <v>0.1743130082981478</v>
      </c>
      <c r="DQ23" s="3">
        <v>0.28304273574048727</v>
      </c>
      <c r="DR23" s="3">
        <v>-6.0496157088733682E-2</v>
      </c>
      <c r="DS23" s="3">
        <v>-0.1165759916669394</v>
      </c>
      <c r="DT23" s="3">
        <v>8.3862877380775525E-2</v>
      </c>
      <c r="DU23" s="3">
        <v>5.5639478708282321E-2</v>
      </c>
      <c r="DV23" s="3">
        <v>0.52435735579001019</v>
      </c>
      <c r="DW23" s="3">
        <v>2.3051820755061941E-2</v>
      </c>
      <c r="DX23" s="3">
        <v>0.1046056537459035</v>
      </c>
      <c r="DY23" s="3">
        <v>0.35963098506618763</v>
      </c>
      <c r="DZ23" s="3">
        <v>6.055537507254137E-2</v>
      </c>
      <c r="EA23" s="3">
        <v>-9.6958321364405298E-2</v>
      </c>
      <c r="EB23" s="3">
        <v>0.33153537858175969</v>
      </c>
      <c r="EC23" s="3">
        <v>1.684593676457162E-2</v>
      </c>
      <c r="ED23" s="3">
        <v>0.11627236735564089</v>
      </c>
      <c r="EE23" s="3">
        <v>2.7630932662962199E-2</v>
      </c>
      <c r="EF23" s="3">
        <v>9.0054994279120365E-2</v>
      </c>
      <c r="EG23" s="3">
        <v>1.286951019251068</v>
      </c>
      <c r="EH23" s="3">
        <v>-0.18195095066183059</v>
      </c>
      <c r="EI23" s="3">
        <v>1.410284926605136E-2</v>
      </c>
      <c r="EJ23" s="3">
        <v>-6.9451151244868392E-2</v>
      </c>
      <c r="EK23" s="3">
        <v>0.12396270835802729</v>
      </c>
      <c r="EL23" s="3">
        <v>3.7867476837468383E-2</v>
      </c>
      <c r="EM23">
        <f t="shared" si="11"/>
        <v>9.8955744438117679E-2</v>
      </c>
      <c r="EN23">
        <f t="shared" si="12"/>
        <v>0.19458880154225935</v>
      </c>
      <c r="EO23">
        <f t="shared" si="13"/>
        <v>0.50853771467741526</v>
      </c>
    </row>
    <row r="24" spans="1:145" x14ac:dyDescent="0.3">
      <c r="A24" s="18">
        <v>1051</v>
      </c>
      <c r="B24" s="18">
        <f t="shared" si="10"/>
        <v>1</v>
      </c>
      <c r="C24" s="3">
        <v>9.9113364206882743E-2</v>
      </c>
      <c r="D24" s="3">
        <v>0.1006099128992286</v>
      </c>
      <c r="E24" s="3">
        <v>0.28451249769050191</v>
      </c>
      <c r="F24" s="3">
        <v>-7.5326493831706698E-2</v>
      </c>
      <c r="G24" s="3">
        <v>-2.2622388562617651E-2</v>
      </c>
      <c r="H24" s="3">
        <v>3.5855796654956661E-2</v>
      </c>
      <c r="I24" s="3">
        <v>-2.111933203143501E-3</v>
      </c>
      <c r="J24" s="3">
        <v>-5.4302156076947827E-2</v>
      </c>
      <c r="K24" s="3">
        <v>5.3732996668234008E-2</v>
      </c>
      <c r="L24" s="3">
        <v>-9.3799693256750388E-2</v>
      </c>
      <c r="M24" s="3">
        <v>-0.14681933889950849</v>
      </c>
      <c r="N24" s="3">
        <v>1.769031369112569</v>
      </c>
      <c r="O24" s="3">
        <v>3.6648790739543732E-2</v>
      </c>
      <c r="P24" s="3">
        <v>0.1042484144089995</v>
      </c>
      <c r="Q24" s="3">
        <v>9.0144948798662944E-2</v>
      </c>
      <c r="R24" s="3">
        <v>-0.24569737077925971</v>
      </c>
      <c r="S24" s="3">
        <v>0.1008087952876474</v>
      </c>
      <c r="T24" s="3">
        <v>-7.793839649787318E-2</v>
      </c>
      <c r="U24" s="3">
        <v>-0.28585628998140078</v>
      </c>
      <c r="V24" s="3">
        <v>-0.15982629222938771</v>
      </c>
      <c r="W24" s="3">
        <v>-0.16456451758688009</v>
      </c>
      <c r="X24" s="3">
        <v>-3.6157896361251968E-2</v>
      </c>
      <c r="Y24" s="3">
        <v>-9.4770149264170878E-3</v>
      </c>
      <c r="Z24" s="3">
        <v>0.1113961829616042</v>
      </c>
      <c r="AA24" s="3">
        <v>0.28502016739769681</v>
      </c>
      <c r="AB24" s="3">
        <v>0.1953396226752438</v>
      </c>
      <c r="AC24" s="3">
        <v>-4.2768816606553178E-4</v>
      </c>
      <c r="AD24" s="3">
        <v>0.1011752992567229</v>
      </c>
      <c r="AE24" s="3">
        <v>0.1117312814238354</v>
      </c>
      <c r="AF24" s="3">
        <v>7.4833924998670837E-2</v>
      </c>
      <c r="AG24" s="3">
        <v>0.1331342505435987</v>
      </c>
      <c r="AH24" s="3">
        <v>-5.6697360067789589E-2</v>
      </c>
      <c r="AI24" s="3">
        <v>0.21453722164080699</v>
      </c>
      <c r="AJ24" s="3">
        <v>-8.089124399937539E-2</v>
      </c>
      <c r="AK24" s="3">
        <v>8.4883953068192297E-2</v>
      </c>
      <c r="AL24" s="3">
        <v>8.7173701476634946E-2</v>
      </c>
      <c r="AM24" s="3">
        <v>-1.89192814205267E-2</v>
      </c>
      <c r="AN24" s="3">
        <v>0.22118946514543131</v>
      </c>
      <c r="AO24" s="3">
        <v>0.1029057025777895</v>
      </c>
      <c r="AP24" s="3">
        <v>2.28517154890964E-2</v>
      </c>
      <c r="AQ24" s="3">
        <v>-0.29800338435896789</v>
      </c>
      <c r="AR24" s="3">
        <v>0.1708334061708256</v>
      </c>
      <c r="AS24" s="3">
        <v>-5.9514127532407722E-2</v>
      </c>
      <c r="AT24" s="3">
        <v>0.15076897992568081</v>
      </c>
      <c r="AU24" s="3">
        <v>0.47705418724240228</v>
      </c>
      <c r="AV24" s="3">
        <v>0.24768466023032751</v>
      </c>
      <c r="AW24" s="3">
        <v>0.1266311396847648</v>
      </c>
      <c r="AX24" s="3">
        <v>0.1114913369162155</v>
      </c>
      <c r="AY24" s="3">
        <v>0.16812729388488939</v>
      </c>
      <c r="AZ24" s="3">
        <v>0.11862372507117649</v>
      </c>
      <c r="BA24" s="3">
        <v>5.0491305412012258E-2</v>
      </c>
      <c r="BB24" s="3">
        <v>0.87270314910649027</v>
      </c>
      <c r="BC24" s="3">
        <v>-0.8032160130443774</v>
      </c>
      <c r="BD24" s="3">
        <v>1.8631034086863729E-2</v>
      </c>
      <c r="BE24" s="3">
        <v>-5.7380537985080138E-2</v>
      </c>
      <c r="BF24" s="3">
        <v>-6.4370420949463519E-2</v>
      </c>
      <c r="BG24" s="3">
        <v>-9.0984227707435611E-2</v>
      </c>
      <c r="BH24" s="3">
        <v>0.14767356525171971</v>
      </c>
      <c r="BI24" s="3">
        <v>0.14021392875864461</v>
      </c>
      <c r="BJ24" s="3">
        <v>-0.1073290202304986</v>
      </c>
      <c r="BK24" s="3">
        <v>-3.4827647172774007E-2</v>
      </c>
      <c r="BL24" s="3">
        <v>0.1061069201511666</v>
      </c>
      <c r="BM24" s="3">
        <v>8.4782939838988242E-2</v>
      </c>
      <c r="BN24" s="3">
        <v>0.10891326031654749</v>
      </c>
      <c r="BO24" s="3">
        <v>-0.16110969109564191</v>
      </c>
      <c r="BP24" s="3">
        <v>3.1794104329889807E-2</v>
      </c>
      <c r="BQ24" s="3">
        <v>-6.4169633330115036E-2</v>
      </c>
      <c r="BR24" s="3">
        <v>9.8920889185241626E-2</v>
      </c>
      <c r="BS24" s="3">
        <v>-0.1403201139620911</v>
      </c>
      <c r="BT24" s="3">
        <v>0.27671901614020838</v>
      </c>
      <c r="BU24" s="3">
        <v>8.7484923148454363E-3</v>
      </c>
      <c r="BV24" s="3">
        <v>-4.625870574066291E-2</v>
      </c>
      <c r="BW24" s="3">
        <v>0.15699245268746931</v>
      </c>
      <c r="BX24" s="3">
        <v>-0.2322262658885291</v>
      </c>
      <c r="BY24" s="3">
        <v>0.29033687494541688</v>
      </c>
      <c r="BZ24" s="3">
        <v>-0.20258078706182561</v>
      </c>
      <c r="CA24" s="3">
        <v>0.1087530887469883</v>
      </c>
      <c r="CB24" s="3">
        <v>5.291730705216989E-2</v>
      </c>
      <c r="CC24" s="3">
        <v>-0.2198311932012271</v>
      </c>
      <c r="CD24" s="3">
        <v>0.23904659928737521</v>
      </c>
      <c r="CE24" s="3">
        <v>-5.5004727302352542E-2</v>
      </c>
      <c r="CF24" s="3">
        <v>0.1168153946325929</v>
      </c>
      <c r="CG24" s="3">
        <v>0.64058463387261821</v>
      </c>
      <c r="CH24" s="3">
        <v>-0.10127492777931051</v>
      </c>
      <c r="CI24" s="3">
        <v>0.1211775893413336</v>
      </c>
      <c r="CJ24" s="3">
        <v>-0.43743079676752578</v>
      </c>
      <c r="CK24" s="3">
        <v>-8.7873759970029004E-3</v>
      </c>
      <c r="CL24" s="3">
        <v>0.65620131069974008</v>
      </c>
      <c r="CM24" s="3">
        <v>2.719455459781923E-3</v>
      </c>
      <c r="CN24" s="3">
        <v>0.60755967397716704</v>
      </c>
      <c r="CO24" s="3">
        <v>8.735443016623605E-2</v>
      </c>
      <c r="CP24" s="3">
        <v>0.12929403261992339</v>
      </c>
      <c r="CQ24" s="3">
        <v>0.13092719820022791</v>
      </c>
      <c r="CR24" s="3">
        <v>2.2126279793981289E-2</v>
      </c>
      <c r="CS24" s="3">
        <v>0.15934835928025581</v>
      </c>
      <c r="CT24" s="3">
        <v>0.38294619462484147</v>
      </c>
      <c r="CU24" s="3">
        <v>5.2729044813654813E-2</v>
      </c>
      <c r="CV24" s="3">
        <v>0.26202483868410642</v>
      </c>
      <c r="CW24" s="3">
        <v>-0.29572306148039179</v>
      </c>
      <c r="CX24" s="3">
        <v>0.14693641909257049</v>
      </c>
      <c r="CY24" s="3">
        <v>0.36022804676873771</v>
      </c>
      <c r="CZ24" s="3">
        <v>0.34631321415719057</v>
      </c>
      <c r="DA24" s="3">
        <v>3.3979585092453302E-2</v>
      </c>
      <c r="DB24" s="3">
        <v>-1.6501865848996312E-2</v>
      </c>
      <c r="DC24" s="3">
        <v>0.19445359829121789</v>
      </c>
      <c r="DD24" s="3">
        <v>-0.19584472218244131</v>
      </c>
      <c r="DE24" s="3">
        <v>0.13158559129553279</v>
      </c>
      <c r="DF24" s="3">
        <v>0.52558500614449799</v>
      </c>
      <c r="DG24" s="3">
        <v>0.11954528640013271</v>
      </c>
      <c r="DH24" s="3">
        <v>0.26580267599251223</v>
      </c>
      <c r="DI24" s="3">
        <v>0.14201474180538359</v>
      </c>
      <c r="DJ24" s="3">
        <v>2.108147115785142E-2</v>
      </c>
      <c r="DK24" s="3">
        <v>6.348335954134332E-2</v>
      </c>
      <c r="DL24" s="3">
        <v>4.7769086011877862E-2</v>
      </c>
      <c r="DM24" s="3">
        <v>2.5807675313727092E-2</v>
      </c>
      <c r="DN24" s="3">
        <v>0.1369604546370787</v>
      </c>
      <c r="DO24" s="3">
        <v>-4.0894289457340617E-2</v>
      </c>
      <c r="DP24" s="3">
        <v>0.33563187842004122</v>
      </c>
      <c r="DQ24" s="3">
        <v>0.34701110177349048</v>
      </c>
      <c r="DR24" s="3">
        <v>-4.6637310808330813E-2</v>
      </c>
      <c r="DS24" s="3">
        <v>-6.7362545713944635E-2</v>
      </c>
      <c r="DT24" s="3">
        <v>5.6640305677830684E-3</v>
      </c>
      <c r="DU24" s="3">
        <v>-2.1781395361230051E-2</v>
      </c>
      <c r="DV24" s="3">
        <v>0.65439619356495549</v>
      </c>
      <c r="DW24" s="3">
        <v>0.10118249665524411</v>
      </c>
      <c r="DX24" s="3">
        <v>-0.10618197747362131</v>
      </c>
      <c r="DY24" s="3">
        <v>0.34380428679820851</v>
      </c>
      <c r="DZ24" s="3">
        <v>5.0469182403116652E-2</v>
      </c>
      <c r="EA24" s="3">
        <v>-2.7229621341053521E-2</v>
      </c>
      <c r="EB24" s="3">
        <v>0.68520167421929012</v>
      </c>
      <c r="EC24" s="3">
        <v>1.368417489400252E-2</v>
      </c>
      <c r="ED24" s="3">
        <v>0.1147491015026024</v>
      </c>
      <c r="EE24" s="3">
        <v>0.10748065723441801</v>
      </c>
      <c r="EF24" s="3">
        <v>0.13408707635021461</v>
      </c>
      <c r="EG24" s="3">
        <v>2.3153612803686849</v>
      </c>
      <c r="EH24" s="3">
        <v>-0.38423031694414889</v>
      </c>
      <c r="EI24" s="3">
        <v>0.1117442810214329</v>
      </c>
      <c r="EJ24" s="3">
        <v>-8.5941735881297818E-2</v>
      </c>
      <c r="EK24" s="3">
        <v>0.1399126065533613</v>
      </c>
      <c r="EL24" s="3">
        <v>6.507702940410813E-2</v>
      </c>
      <c r="EM24">
        <f t="shared" si="11"/>
        <v>0.10171619240009577</v>
      </c>
      <c r="EN24">
        <f t="shared" si="12"/>
        <v>0.32087856789902691</v>
      </c>
      <c r="EO24">
        <f t="shared" si="13"/>
        <v>0.31699278972132383</v>
      </c>
    </row>
    <row r="25" spans="1:145" x14ac:dyDescent="0.3">
      <c r="A25" s="18" t="s">
        <v>154</v>
      </c>
      <c r="B25" s="18" t="s">
        <v>155</v>
      </c>
      <c r="C25" s="5">
        <v>-1.7446770539390338E-2</v>
      </c>
      <c r="D25" s="5">
        <v>2.070106053181563E-2</v>
      </c>
      <c r="E25" s="5">
        <v>2.3982129254766709E-2</v>
      </c>
      <c r="F25" s="5">
        <v>-6.557578972823077E-3</v>
      </c>
      <c r="G25" s="5">
        <v>3.1845129800519692E-2</v>
      </c>
      <c r="H25" s="5">
        <v>3.4348532736990518E-2</v>
      </c>
      <c r="I25" s="5">
        <v>-8.2549327813252367E-3</v>
      </c>
      <c r="J25" s="5">
        <v>1.2843524394052759E-2</v>
      </c>
      <c r="K25" s="5">
        <v>-5.1018524626790823E-2</v>
      </c>
      <c r="L25" s="5">
        <v>8.7394274103658827E-4</v>
      </c>
      <c r="M25" s="5">
        <v>2.3389575505495919E-2</v>
      </c>
      <c r="N25" s="5">
        <v>1.2988972200332851E-2</v>
      </c>
      <c r="O25" s="5">
        <v>5.8545887256348812E-3</v>
      </c>
      <c r="P25" s="5">
        <v>2.7413206571790558E-2</v>
      </c>
      <c r="Q25" s="5">
        <v>-3.7129361176928542E-3</v>
      </c>
      <c r="R25" s="5">
        <v>2.4076614047823328E-2</v>
      </c>
      <c r="S25" s="5">
        <v>-1.219002529903996E-2</v>
      </c>
      <c r="T25" s="5">
        <v>-3.9749578159589592E-2</v>
      </c>
      <c r="U25" s="5">
        <v>-7.3155449831649552E-2</v>
      </c>
      <c r="V25" s="5">
        <v>-5.8260229910114661E-2</v>
      </c>
      <c r="W25" s="5">
        <v>7.7279756550837221E-4</v>
      </c>
      <c r="X25" s="5">
        <v>4.459152113521897E-2</v>
      </c>
      <c r="Y25" s="5">
        <v>-2.7699680050213091E-2</v>
      </c>
      <c r="Z25" s="5">
        <v>2.0950059497436462E-3</v>
      </c>
      <c r="AA25" s="5">
        <v>-2.340055099256411E-2</v>
      </c>
      <c r="AB25" s="5">
        <v>3.2129371097322189E-2</v>
      </c>
      <c r="AC25" s="5">
        <v>3.890327309406643E-2</v>
      </c>
      <c r="AD25" s="5">
        <v>-4.286538217110427E-2</v>
      </c>
      <c r="AE25" s="5">
        <v>1.8647194550152159E-2</v>
      </c>
      <c r="AF25" s="5">
        <v>1.5229768322528949E-2</v>
      </c>
      <c r="AG25" s="5">
        <v>3.6016603778892417E-2</v>
      </c>
      <c r="AH25" s="5">
        <v>9.3546113853161701E-3</v>
      </c>
      <c r="AI25" s="5">
        <v>1.0748251336838139E-2</v>
      </c>
      <c r="AJ25" s="5">
        <v>1.335775405308097E-2</v>
      </c>
      <c r="AK25" s="5">
        <v>-5.3327473290953921E-3</v>
      </c>
      <c r="AL25" s="5">
        <v>1.383135807261675E-3</v>
      </c>
      <c r="AM25" s="5">
        <v>2.079592842007446E-2</v>
      </c>
      <c r="AN25" s="5">
        <v>3.1517702220390638E-2</v>
      </c>
      <c r="AO25" s="5">
        <v>6.2417165333294418E-3</v>
      </c>
      <c r="AP25" s="5">
        <v>6.1452616535713897E-3</v>
      </c>
      <c r="AQ25" s="5">
        <v>1.694635767669651E-2</v>
      </c>
      <c r="AR25" s="5">
        <v>3.4682830454308228E-2</v>
      </c>
      <c r="AS25" s="5">
        <v>3.0985886171969678E-3</v>
      </c>
      <c r="AT25" s="5">
        <v>1.508134714348611E-2</v>
      </c>
      <c r="AU25" s="5">
        <v>-1.9251209229863991E-2</v>
      </c>
      <c r="AV25" s="5">
        <v>3.8711513387631437E-2</v>
      </c>
      <c r="AW25" s="5">
        <v>-2.1856951135736599E-2</v>
      </c>
      <c r="AX25" s="5">
        <v>7.7743007097896798E-3</v>
      </c>
      <c r="AY25" s="5">
        <v>4.2397246695325942E-2</v>
      </c>
      <c r="AZ25" s="5">
        <v>-2.630897486115975E-2</v>
      </c>
      <c r="BA25" s="5">
        <v>9.5717493087162323E-3</v>
      </c>
      <c r="BB25" s="5">
        <v>-2.424974126627483E-2</v>
      </c>
      <c r="BC25" s="5">
        <v>2.0163374143915822E-2</v>
      </c>
      <c r="BD25" s="5">
        <v>-3.5049987821160239E-3</v>
      </c>
      <c r="BE25" s="5">
        <v>2.0151935098542271E-2</v>
      </c>
      <c r="BF25" s="5">
        <v>5.8133623077027128E-4</v>
      </c>
      <c r="BG25" s="5">
        <v>-5.2197009532526043E-3</v>
      </c>
      <c r="BH25" s="5">
        <v>-0.11587176140213</v>
      </c>
      <c r="BI25" s="5">
        <v>8.7252256924373536E-3</v>
      </c>
      <c r="BJ25" s="5">
        <v>-1.6377260977822151E-2</v>
      </c>
      <c r="BK25" s="5">
        <v>2.0840371600260421E-2</v>
      </c>
      <c r="BL25" s="5">
        <v>4.4975872102114713E-2</v>
      </c>
      <c r="BM25" s="5">
        <v>2.3954306081863871E-2</v>
      </c>
      <c r="BN25" s="5">
        <v>3.0239101391442601E-2</v>
      </c>
      <c r="BO25" s="5">
        <v>-4.372588759108751E-2</v>
      </c>
      <c r="BP25" s="5">
        <v>2.1889469568198618E-2</v>
      </c>
      <c r="BQ25" s="5">
        <v>8.6274302635084028E-3</v>
      </c>
      <c r="BR25" s="5">
        <v>-1.9192953994658781E-2</v>
      </c>
      <c r="BS25" s="5">
        <v>1.973512988813305E-2</v>
      </c>
      <c r="BT25" s="5">
        <v>4.7694337483699438E-2</v>
      </c>
      <c r="BU25" s="5">
        <v>1.145481680658339E-2</v>
      </c>
      <c r="BV25" s="5">
        <v>4.3228620735213191E-2</v>
      </c>
      <c r="BW25" s="5">
        <v>-4.2747430436922793E-2</v>
      </c>
      <c r="BX25" s="5">
        <v>-1.781129242779457E-2</v>
      </c>
      <c r="BY25" s="5">
        <v>-0.1511530968690756</v>
      </c>
      <c r="BZ25" s="5">
        <v>0.12422400361957529</v>
      </c>
      <c r="CA25" s="5">
        <v>-4.5572538445296431E-3</v>
      </c>
      <c r="CB25" s="5">
        <v>6.0211240204911178E-2</v>
      </c>
      <c r="CC25" s="5">
        <v>8.5992033482502284E-2</v>
      </c>
      <c r="CD25" s="5">
        <v>-5.8084795823660634E-3</v>
      </c>
      <c r="CE25" s="5">
        <v>-6.0413469889680736E-3</v>
      </c>
      <c r="CF25" s="5">
        <v>2.4523243722520739E-3</v>
      </c>
      <c r="CG25" s="5">
        <v>8.963625193702289E-2</v>
      </c>
      <c r="CH25" s="5">
        <v>7.099273252675789E-2</v>
      </c>
      <c r="CI25" s="5">
        <v>2.7170642901783448E-2</v>
      </c>
      <c r="CJ25" s="5">
        <v>5.2468428425330033E-2</v>
      </c>
      <c r="CK25" s="5">
        <v>2.9480660943049509E-2</v>
      </c>
      <c r="CL25" s="5">
        <v>6.6825081060201283E-2</v>
      </c>
      <c r="CM25" s="5">
        <v>-2.8772229019816971E-2</v>
      </c>
      <c r="CN25" s="5">
        <v>3.9462515901637851E-2</v>
      </c>
      <c r="CO25" s="5">
        <v>-2.9031086977359909E-2</v>
      </c>
      <c r="CP25" s="5">
        <v>1.3983882519467901E-2</v>
      </c>
      <c r="CQ25" s="5">
        <v>-3.2276964959333833E-2</v>
      </c>
      <c r="CR25" s="5">
        <v>3.1035766128940231E-3</v>
      </c>
      <c r="CS25" s="5">
        <v>2.5591855767083171E-2</v>
      </c>
      <c r="CT25" s="5">
        <v>4.4391886287193302E-2</v>
      </c>
      <c r="CU25" s="5">
        <v>-3.0338958549577438E-2</v>
      </c>
      <c r="CV25" s="5">
        <v>-1.2579764545717069E-3</v>
      </c>
      <c r="CW25" s="5">
        <v>2.336356455857952E-3</v>
      </c>
      <c r="CX25" s="5">
        <v>-6.4264144925906069E-2</v>
      </c>
      <c r="CY25" s="5">
        <v>1.2909779458992439E-2</v>
      </c>
      <c r="CZ25" s="5">
        <v>-0.12547709467085871</v>
      </c>
      <c r="DA25" s="5">
        <v>1.1690682939792569E-2</v>
      </c>
      <c r="DB25" s="5">
        <v>6.3378437007417512E-3</v>
      </c>
      <c r="DC25" s="5">
        <v>-0.1173053564693855</v>
      </c>
      <c r="DD25" s="5">
        <v>-3.6010872049446613E-2</v>
      </c>
      <c r="DE25" s="5">
        <v>0.1389113040722679</v>
      </c>
      <c r="DF25" s="5">
        <v>-5.1143506226105737E-2</v>
      </c>
      <c r="DG25" s="5">
        <v>7.6731447181969059E-2</v>
      </c>
      <c r="DH25" s="5">
        <v>1.550878219700816E-2</v>
      </c>
      <c r="DI25" s="5">
        <v>2.3223773674755831E-2</v>
      </c>
      <c r="DJ25" s="5">
        <v>-1.8372876361227891E-2</v>
      </c>
      <c r="DK25" s="5">
        <v>6.2199014085099431E-2</v>
      </c>
      <c r="DL25" s="5">
        <v>2.0098304486957191E-2</v>
      </c>
      <c r="DM25" s="5">
        <v>1.349893974806809E-2</v>
      </c>
      <c r="DN25" s="5">
        <v>-3.025221272842088E-2</v>
      </c>
      <c r="DO25" s="5">
        <v>-1.7022835708053841E-2</v>
      </c>
      <c r="DP25" s="5">
        <v>-2.1788523272461981E-2</v>
      </c>
      <c r="DQ25" s="5">
        <v>8.5745624585137223E-2</v>
      </c>
      <c r="DR25" s="5">
        <v>2.8106743604973752E-2</v>
      </c>
      <c r="DS25" s="5">
        <v>-2.3031598073594501E-3</v>
      </c>
      <c r="DT25" s="5">
        <v>5.8471198131487503E-2</v>
      </c>
      <c r="DU25" s="5">
        <v>6.7658949048647651E-2</v>
      </c>
      <c r="DV25" s="5">
        <v>5.0207706404322644E-3</v>
      </c>
      <c r="DW25" s="5">
        <v>3.7416183675207063E-2</v>
      </c>
      <c r="DX25" s="5">
        <v>8.4111003746042121E-2</v>
      </c>
      <c r="DY25" s="5">
        <v>-3.6832398544012837E-2</v>
      </c>
      <c r="DZ25" s="5">
        <v>3.0917028169369942E-3</v>
      </c>
      <c r="EA25" s="5">
        <v>-1.957628214294549E-3</v>
      </c>
      <c r="EB25" s="5">
        <v>2.6459103603519739E-2</v>
      </c>
      <c r="EC25" s="5">
        <v>-2.4752538760690269E-2</v>
      </c>
      <c r="ED25" s="5">
        <v>3.4115490982559941E-2</v>
      </c>
      <c r="EE25" s="5">
        <v>2.1061973989032982E-2</v>
      </c>
      <c r="EF25" s="5">
        <v>-2.0277392706005919E-2</v>
      </c>
      <c r="EG25" s="5">
        <v>-0.107868107860878</v>
      </c>
      <c r="EH25" s="5">
        <v>-2.252035211407068E-2</v>
      </c>
      <c r="EI25" s="5">
        <v>5.351000707077281E-2</v>
      </c>
      <c r="EJ25" s="5">
        <v>4.168726583756812E-2</v>
      </c>
      <c r="EK25" s="5">
        <v>5.6195614114411173E-2</v>
      </c>
      <c r="EL25" s="5">
        <v>2.8911319285108698E-2</v>
      </c>
      <c r="EM25" s="7">
        <f t="shared" si="11"/>
        <v>7.3901413334529261E-3</v>
      </c>
      <c r="EN25" s="7">
        <f t="shared" si="12"/>
        <v>4.3085790719846702E-2</v>
      </c>
      <c r="EO25" s="7">
        <f t="shared" si="13"/>
        <v>0.17152154364545036</v>
      </c>
    </row>
    <row r="26" spans="1:145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5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5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5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5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5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5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conditionalFormatting sqref="EM12:EM24">
    <cfRule type="expression" dxfId="7" priority="3">
      <formula>EM12&gt;$EM$25</formula>
    </cfRule>
  </conditionalFormatting>
  <conditionalFormatting sqref="EN12:EN24">
    <cfRule type="expression" dxfId="6" priority="2">
      <formula>EN12&lt;$EN$25</formula>
    </cfRule>
  </conditionalFormatting>
  <conditionalFormatting sqref="EO12:EO24">
    <cfRule type="expression" dxfId="5" priority="1">
      <formula>EO12&gt;$EO$25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O164"/>
  <sheetViews>
    <sheetView tabSelected="1" topLeftCell="DU8" zoomScale="130" zoomScaleNormal="130" workbookViewId="0">
      <selection activeCell="EG8" sqref="EG8"/>
    </sheetView>
  </sheetViews>
  <sheetFormatPr defaultRowHeight="14.5" x14ac:dyDescent="0.3"/>
  <cols>
    <col min="2" max="2" width="10.19921875" bestFit="1" customWidth="1"/>
    <col min="143" max="143" width="9.5" bestFit="1" customWidth="1"/>
    <col min="145" max="145" width="10.19921875" bestFit="1" customWidth="1"/>
  </cols>
  <sheetData>
    <row r="1" spans="1:145" x14ac:dyDescent="0.3">
      <c r="A1" s="6" t="s">
        <v>156</v>
      </c>
    </row>
    <row r="2" spans="1:145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5" x14ac:dyDescent="0.3">
      <c r="B3" s="6" t="s">
        <v>143</v>
      </c>
      <c r="C3" s="2">
        <v>1.4921767594186151E-2</v>
      </c>
      <c r="D3" s="2">
        <v>0.19374055664815121</v>
      </c>
      <c r="E3" s="2">
        <v>3.6641284891212558E-2</v>
      </c>
      <c r="F3" s="2">
        <v>2.720037808305234E-2</v>
      </c>
      <c r="G3" s="2">
        <v>4.1572509507104963E-2</v>
      </c>
      <c r="H3" s="2">
        <v>-3.7682778213388252E-2</v>
      </c>
      <c r="I3" s="2">
        <v>-0.14193848136906101</v>
      </c>
      <c r="J3" s="2">
        <v>0.22945654465299789</v>
      </c>
      <c r="K3" s="2">
        <v>4.3442237101088077E-2</v>
      </c>
      <c r="L3" s="2">
        <v>2.0280322863003471E-2</v>
      </c>
      <c r="M3" s="2">
        <v>5.8836120966363772E-2</v>
      </c>
      <c r="N3" s="2">
        <v>-0.15172078456838869</v>
      </c>
      <c r="O3" s="2">
        <v>0.32674605046024302</v>
      </c>
      <c r="P3" s="2">
        <v>0.15440773966925631</v>
      </c>
      <c r="Q3" s="2">
        <v>-0.1077953169647555</v>
      </c>
      <c r="R3" s="2">
        <v>-7.388217884017384E-2</v>
      </c>
      <c r="S3" s="2">
        <v>5.3466577832935007E-2</v>
      </c>
      <c r="T3" s="2">
        <v>-5.5190803448215323E-2</v>
      </c>
      <c r="U3" s="2">
        <v>-0.25838402358278728</v>
      </c>
      <c r="V3" s="2">
        <v>1.8370552657987281E-2</v>
      </c>
      <c r="W3" s="2">
        <v>0.22943515813535009</v>
      </c>
      <c r="X3" s="2">
        <v>-0.17107394554599489</v>
      </c>
      <c r="Y3" s="2">
        <v>0.22961919239615811</v>
      </c>
      <c r="Z3" s="2">
        <v>1.6609176417928001E-2</v>
      </c>
      <c r="AA3" s="2">
        <v>0.42374789292198939</v>
      </c>
      <c r="AB3" s="2">
        <v>-0.21459677754992679</v>
      </c>
      <c r="AC3" s="2">
        <v>4.4537467980128032E-2</v>
      </c>
      <c r="AD3" s="2">
        <v>0.1026363998651266</v>
      </c>
      <c r="AE3" s="2">
        <v>-5.0827700488349413E-2</v>
      </c>
      <c r="AF3" s="2">
        <v>-8.9107468044314797E-2</v>
      </c>
      <c r="AG3" s="2">
        <v>0.1222387206017722</v>
      </c>
      <c r="AH3" s="2">
        <v>-0.1126045230898728</v>
      </c>
      <c r="AI3" s="2">
        <v>0.1314139277105186</v>
      </c>
      <c r="AJ3" s="2">
        <v>0.16749207334460819</v>
      </c>
      <c r="AK3" s="2">
        <v>9.0663364527517804E-2</v>
      </c>
      <c r="AL3" s="2">
        <v>0.19313853511160101</v>
      </c>
      <c r="AM3" s="2">
        <v>7.7111193891363769E-2</v>
      </c>
      <c r="AN3" s="2">
        <v>0.25612014410100881</v>
      </c>
      <c r="AO3" s="2">
        <v>4.9003917759049262E-2</v>
      </c>
      <c r="AP3" s="2">
        <v>4.0886892136553048E-2</v>
      </c>
      <c r="AQ3" s="2">
        <v>-0.1105824318508952</v>
      </c>
      <c r="AR3" s="2">
        <v>2.295475557985116E-2</v>
      </c>
      <c r="AS3" s="2">
        <v>4.8656704163688558E-2</v>
      </c>
      <c r="AT3" s="2">
        <v>-5.42298370960584E-2</v>
      </c>
      <c r="AU3" s="2">
        <v>8.6316820243342141E-2</v>
      </c>
      <c r="AV3" s="2">
        <v>3.9564967369030882E-2</v>
      </c>
      <c r="AW3" s="2">
        <v>-0.19104490996141851</v>
      </c>
      <c r="AX3" s="2">
        <v>9.7109439791782243E-2</v>
      </c>
      <c r="AY3" s="2">
        <v>-1.9067525743759941E-2</v>
      </c>
      <c r="AZ3" s="2">
        <v>-9.1169360226394602E-2</v>
      </c>
      <c r="BA3" s="2">
        <v>0.1659581375266328</v>
      </c>
      <c r="BB3" s="2">
        <v>-4.1157026410981457E-2</v>
      </c>
      <c r="BC3" s="2">
        <v>0.1302099546908265</v>
      </c>
      <c r="BD3" s="2">
        <v>0.20026039215823041</v>
      </c>
      <c r="BE3" s="2">
        <v>-0.1061765229031819</v>
      </c>
      <c r="BF3" s="2">
        <v>3.9767282640800483E-3</v>
      </c>
      <c r="BG3" s="2">
        <v>0.33032254291108359</v>
      </c>
      <c r="BH3" s="2">
        <v>0.31722692640179961</v>
      </c>
      <c r="BI3" s="2">
        <v>1.5898229338183582E-2</v>
      </c>
      <c r="BJ3" s="2">
        <v>8.511805356647012E-2</v>
      </c>
      <c r="BK3" s="2">
        <v>8.5442583147222695E-2</v>
      </c>
      <c r="BL3" s="2">
        <v>6.0053601729861517E-2</v>
      </c>
      <c r="BM3" s="2">
        <v>7.748663263579969E-2</v>
      </c>
      <c r="BN3" s="2">
        <v>6.1035782377288413E-2</v>
      </c>
      <c r="BO3" s="2">
        <v>-0.21386733455172441</v>
      </c>
      <c r="BP3" s="2">
        <v>0.18539731380876759</v>
      </c>
      <c r="BQ3" s="2">
        <v>-5.4154026151144168E-2</v>
      </c>
      <c r="BR3" s="2">
        <v>0.28168982471721238</v>
      </c>
      <c r="BS3" s="2">
        <v>-2.3481657046590498E-2</v>
      </c>
      <c r="BT3" s="2">
        <v>8.9034674698385913E-2</v>
      </c>
      <c r="BU3" s="2">
        <v>0.12734099378758071</v>
      </c>
      <c r="BV3" s="2">
        <v>1.9220333982829459E-2</v>
      </c>
      <c r="BW3" s="2">
        <v>6.6547110474733912E-2</v>
      </c>
      <c r="BX3" s="2">
        <v>-0.1096838899370035</v>
      </c>
      <c r="BY3" s="2">
        <v>0.13853337364861401</v>
      </c>
      <c r="BZ3" s="2">
        <v>-0.10485789127282739</v>
      </c>
      <c r="CA3" s="2">
        <v>-5.0171625061092177E-2</v>
      </c>
      <c r="CB3" s="2">
        <v>-7.0239615583515547E-2</v>
      </c>
      <c r="CC3" s="2">
        <v>-6.024331497796076E-3</v>
      </c>
      <c r="CD3" s="2">
        <v>0.15997201356680449</v>
      </c>
      <c r="CE3" s="2">
        <v>0.21131661843971669</v>
      </c>
      <c r="CF3" s="2">
        <v>-0.10098227382063379</v>
      </c>
      <c r="CG3" s="2">
        <v>0.1099902345124356</v>
      </c>
      <c r="CH3" s="2">
        <v>-1.439263498621912E-2</v>
      </c>
      <c r="CI3" s="2">
        <v>0.22258294087819999</v>
      </c>
      <c r="CJ3" s="2">
        <v>-0.28268220919664089</v>
      </c>
      <c r="CK3" s="2">
        <v>-1.34784744837903E-2</v>
      </c>
      <c r="CL3" s="2">
        <v>-7.7844882578090024E-2</v>
      </c>
      <c r="CM3" s="2">
        <v>0.27379286416098292</v>
      </c>
      <c r="CN3" s="2">
        <v>-0.39000662146638571</v>
      </c>
      <c r="CO3" s="2">
        <v>-0.15858238798621049</v>
      </c>
      <c r="CP3" s="2">
        <v>-2.248687095004737E-2</v>
      </c>
      <c r="CQ3" s="2">
        <v>0.15587953569252869</v>
      </c>
      <c r="CR3" s="2">
        <v>8.1444486195923538E-2</v>
      </c>
      <c r="CS3" s="2">
        <v>-7.4204536967257373E-2</v>
      </c>
      <c r="CT3" s="2">
        <v>-9.2371279974270304E-2</v>
      </c>
      <c r="CU3" s="2">
        <v>-4.3714030096486063E-2</v>
      </c>
      <c r="CV3" s="2">
        <v>2.9888248842323439E-2</v>
      </c>
      <c r="CW3" s="2">
        <v>8.9064660675071017E-2</v>
      </c>
      <c r="CX3" s="2">
        <v>-2.461703398462101E-2</v>
      </c>
      <c r="CY3" s="2">
        <v>7.0863407701809683E-2</v>
      </c>
      <c r="CZ3" s="2">
        <v>4.0860064589465173E-2</v>
      </c>
      <c r="DA3" s="2">
        <v>0.25668575080604511</v>
      </c>
      <c r="DB3" s="2">
        <v>-0.16423592993500721</v>
      </c>
      <c r="DC3" s="2">
        <v>-0.25891871236192893</v>
      </c>
      <c r="DD3" s="2">
        <v>-3.1636234772114302E-2</v>
      </c>
      <c r="DE3" s="2">
        <v>0.16039046409100291</v>
      </c>
      <c r="DF3" s="2">
        <v>-0.1125151400819166</v>
      </c>
      <c r="DG3" s="2">
        <v>-8.2270484337237354E-2</v>
      </c>
      <c r="DH3" s="2">
        <v>-0.1046573993170693</v>
      </c>
      <c r="DI3" s="2">
        <v>4.8360523947053542E-2</v>
      </c>
      <c r="DJ3" s="2">
        <v>-5.7256595305278379E-2</v>
      </c>
      <c r="DK3" s="2">
        <v>4.4306650701811667E-2</v>
      </c>
      <c r="DL3" s="2">
        <v>-1.550485019804199E-2</v>
      </c>
      <c r="DM3" s="2">
        <v>-0.1187372546540391</v>
      </c>
      <c r="DN3" s="2">
        <v>-2.2084537220642689E-2</v>
      </c>
      <c r="DO3" s="2">
        <v>-9.3328814005851163E-2</v>
      </c>
      <c r="DP3" s="2">
        <v>0.16589996047491321</v>
      </c>
      <c r="DQ3" s="2">
        <v>0.19277347134422759</v>
      </c>
      <c r="DR3" s="2">
        <v>-5.3222765204426259E-2</v>
      </c>
      <c r="DS3" s="2">
        <v>0.1285503395605834</v>
      </c>
      <c r="DT3" s="2">
        <v>-0.1271379406682159</v>
      </c>
      <c r="DU3" s="2">
        <v>-0.1216781493648102</v>
      </c>
      <c r="DV3" s="2">
        <v>-7.3321392986254744E-2</v>
      </c>
      <c r="DW3" s="2">
        <v>5.7692105433722801E-2</v>
      </c>
      <c r="DX3" s="2">
        <v>9.0231456054620185E-2</v>
      </c>
      <c r="DY3" s="2">
        <v>-0.13571093332205969</v>
      </c>
      <c r="DZ3" s="2">
        <v>0.208838761875662</v>
      </c>
      <c r="EA3" s="2">
        <v>-0.1042137320006724</v>
      </c>
      <c r="EB3" s="2">
        <v>0.1955228574869389</v>
      </c>
      <c r="EC3" s="2">
        <v>-8.3944738981710995E-2</v>
      </c>
      <c r="ED3" s="2">
        <v>-4.1132651476077212E-2</v>
      </c>
      <c r="EE3" s="2">
        <v>-0.11014068184164311</v>
      </c>
      <c r="EF3" s="2">
        <v>-3.7066133134747589E-2</v>
      </c>
      <c r="EG3" s="2">
        <v>8.0655584908580213E-2</v>
      </c>
      <c r="EH3" s="2">
        <v>0.17418837326470191</v>
      </c>
      <c r="EI3" s="2">
        <v>0.1018806103780743</v>
      </c>
      <c r="EJ3" s="2">
        <v>-7.9899408218633464E-2</v>
      </c>
      <c r="EK3" s="2">
        <v>-0.14702487284735691</v>
      </c>
      <c r="EL3" s="2">
        <v>-0.16515913559204909</v>
      </c>
      <c r="EM3" s="2">
        <v>-0.19545450507905759</v>
      </c>
    </row>
    <row r="4" spans="1:145" x14ac:dyDescent="0.3">
      <c r="B4" s="6" t="s">
        <v>144</v>
      </c>
      <c r="C4" s="2">
        <v>-0.14934537097006381</v>
      </c>
      <c r="D4" s="2">
        <v>-0.24734382193855889</v>
      </c>
      <c r="E4" s="2">
        <v>-0.25906123854298002</v>
      </c>
      <c r="F4" s="2">
        <v>-5.5566834479314764E-3</v>
      </c>
      <c r="G4" s="2">
        <v>6.5085215638914562E-2</v>
      </c>
      <c r="H4" s="2">
        <v>-2.9077597804489489E-2</v>
      </c>
      <c r="I4" s="2">
        <v>1.7791287057486119E-2</v>
      </c>
      <c r="J4" s="2">
        <v>4.2466157631261943E-2</v>
      </c>
      <c r="K4" s="2">
        <v>-2.1006648417474238E-2</v>
      </c>
      <c r="L4" s="2">
        <v>-4.4200314609364362E-2</v>
      </c>
      <c r="M4" s="2">
        <v>-5.7877978335193703E-2</v>
      </c>
      <c r="N4" s="2">
        <v>6.4362720925714711E-4</v>
      </c>
      <c r="O4" s="2">
        <v>-0.1888809883423157</v>
      </c>
      <c r="P4" s="2">
        <v>-1.7141672241164582E-2</v>
      </c>
      <c r="Q4" s="2">
        <v>4.9706724765044903E-2</v>
      </c>
      <c r="R4" s="2">
        <v>-9.9157665911262072E-2</v>
      </c>
      <c r="S4" s="2">
        <v>-3.0410739659584959E-2</v>
      </c>
      <c r="T4" s="2">
        <v>0.114883194276155</v>
      </c>
      <c r="U4" s="2">
        <v>1.3221613108109761E-2</v>
      </c>
      <c r="V4" s="2">
        <v>4.8956470682201207E-2</v>
      </c>
      <c r="W4" s="2">
        <v>5.8935588805711703E-2</v>
      </c>
      <c r="X4" s="2">
        <v>-0.16467436985926651</v>
      </c>
      <c r="Y4" s="2">
        <v>-0.18813682472110749</v>
      </c>
      <c r="Z4" s="2">
        <v>6.9656910085143409E-2</v>
      </c>
      <c r="AA4" s="2">
        <v>-1.536607134313428E-2</v>
      </c>
      <c r="AB4" s="2">
        <v>-6.3219850439137915E-2</v>
      </c>
      <c r="AC4" s="2">
        <v>-7.8982007867882231E-2</v>
      </c>
      <c r="AD4" s="2">
        <v>-3.0272546555867311E-2</v>
      </c>
      <c r="AE4" s="2">
        <v>2.4342450678682681E-2</v>
      </c>
      <c r="AF4" s="2">
        <v>0.1338387609531928</v>
      </c>
      <c r="AG4" s="2">
        <v>-6.1601099916954283E-2</v>
      </c>
      <c r="AH4" s="2">
        <v>-9.2544715844580239E-2</v>
      </c>
      <c r="AI4" s="2">
        <v>-2.606557636825713E-2</v>
      </c>
      <c r="AJ4" s="2">
        <v>1.835980120122116E-2</v>
      </c>
      <c r="AK4" s="2">
        <v>4.9856794173347652E-2</v>
      </c>
      <c r="AL4" s="2">
        <v>-6.0623931441821099E-3</v>
      </c>
      <c r="AM4" s="2">
        <v>-0.1593670046856257</v>
      </c>
      <c r="AN4" s="2">
        <v>-3.9146401437225357E-2</v>
      </c>
      <c r="AO4" s="2">
        <v>-4.5070029117612258E-2</v>
      </c>
      <c r="AP4" s="2">
        <v>7.5288047421649296E-2</v>
      </c>
      <c r="AQ4" s="2">
        <v>-9.8196075774527714E-2</v>
      </c>
      <c r="AR4" s="2">
        <v>8.6383001174560547E-2</v>
      </c>
      <c r="AS4" s="2">
        <v>6.8813106450374306E-2</v>
      </c>
      <c r="AT4" s="2">
        <v>4.6704563833854351E-2</v>
      </c>
      <c r="AU4" s="2">
        <v>-4.2570548354721183E-2</v>
      </c>
      <c r="AV4" s="2">
        <v>-0.22195205322781139</v>
      </c>
      <c r="AW4" s="2">
        <v>8.2172494215541292E-2</v>
      </c>
      <c r="AX4" s="2">
        <v>1.6883596650064451E-2</v>
      </c>
      <c r="AY4" s="2">
        <v>0.12907394968742911</v>
      </c>
      <c r="AZ4" s="2">
        <v>1.508250262297395E-3</v>
      </c>
      <c r="BA4" s="2">
        <v>-0.1115044795953537</v>
      </c>
      <c r="BB4" s="2">
        <v>-0.21525994170681531</v>
      </c>
      <c r="BC4" s="2">
        <v>-5.7482345433534483E-2</v>
      </c>
      <c r="BD4" s="2">
        <v>1.083671471935332E-3</v>
      </c>
      <c r="BE4" s="2">
        <v>1.8778916647853802E-2</v>
      </c>
      <c r="BF4" s="2">
        <v>0.11348943166465381</v>
      </c>
      <c r="BG4" s="2">
        <v>-7.8526304322265261E-2</v>
      </c>
      <c r="BH4" s="2">
        <v>-3.2954977512261507E-2</v>
      </c>
      <c r="BI4" s="2">
        <v>-9.9003271360800227E-2</v>
      </c>
      <c r="BJ4" s="2">
        <v>-0.14670768531275341</v>
      </c>
      <c r="BK4" s="2">
        <v>-4.9944347042302439E-2</v>
      </c>
      <c r="BL4" s="2">
        <v>-2.2928882525524941E-2</v>
      </c>
      <c r="BM4" s="2">
        <v>-4.5938779058463552E-2</v>
      </c>
      <c r="BN4" s="2">
        <v>-7.3256914922144034E-3</v>
      </c>
      <c r="BO4" s="2">
        <v>8.7168037873448512E-2</v>
      </c>
      <c r="BP4" s="2">
        <v>1.6127596174072781E-2</v>
      </c>
      <c r="BQ4" s="2">
        <v>-6.7799319304640449E-2</v>
      </c>
      <c r="BR4" s="2">
        <v>-9.3122366228293174E-3</v>
      </c>
      <c r="BS4" s="2">
        <v>-6.5299244722263339E-2</v>
      </c>
      <c r="BT4" s="2">
        <v>-4.2502825413810903E-2</v>
      </c>
      <c r="BU4" s="2">
        <v>9.3104858610283614E-2</v>
      </c>
      <c r="BV4" s="2">
        <v>9.3350611010009743E-2</v>
      </c>
      <c r="BW4" s="2">
        <v>-1.348973955166066E-2</v>
      </c>
      <c r="BX4" s="2">
        <v>-7.2291287752442202E-2</v>
      </c>
      <c r="BY4" s="2">
        <v>-0.1549745966812619</v>
      </c>
      <c r="BZ4" s="2">
        <v>0.17456977446855679</v>
      </c>
      <c r="CA4" s="2">
        <v>3.7233528920198822E-2</v>
      </c>
      <c r="CB4" s="2">
        <v>5.5557309971007378E-2</v>
      </c>
      <c r="CC4" s="2">
        <v>-0.17750462011175289</v>
      </c>
      <c r="CD4" s="2">
        <v>-0.1189267299677006</v>
      </c>
      <c r="CE4" s="2">
        <v>-1.354023404963556E-2</v>
      </c>
      <c r="CF4" s="2">
        <v>-0.12741231664868199</v>
      </c>
      <c r="CG4" s="2">
        <v>7.3406859508121869E-2</v>
      </c>
      <c r="CH4" s="2">
        <v>7.2685158287379537E-2</v>
      </c>
      <c r="CI4" s="2">
        <v>-5.4480084800218258E-2</v>
      </c>
      <c r="CJ4" s="2">
        <v>3.8731428402540402E-2</v>
      </c>
      <c r="CK4" s="2">
        <v>1.4180109180314201E-2</v>
      </c>
      <c r="CL4" s="2">
        <v>-0.1089911061285367</v>
      </c>
      <c r="CM4" s="2">
        <v>-0.1233186062772607</v>
      </c>
      <c r="CN4" s="2">
        <v>0.25398200550881528</v>
      </c>
      <c r="CO4" s="2">
        <v>1.6527103051004129E-2</v>
      </c>
      <c r="CP4" s="2">
        <v>1.5216844239471781E-3</v>
      </c>
      <c r="CQ4" s="2">
        <v>-6.7959331453504745E-2</v>
      </c>
      <c r="CR4" s="2">
        <v>-0.2349573288111291</v>
      </c>
      <c r="CS4" s="2">
        <v>-0.20790819007173231</v>
      </c>
      <c r="CT4" s="2">
        <v>-1.428661144924348E-4</v>
      </c>
      <c r="CU4" s="2">
        <v>2.2028281849749479E-2</v>
      </c>
      <c r="CV4" s="2">
        <v>6.8023844934248956E-2</v>
      </c>
      <c r="CW4" s="2">
        <v>-8.8837317713291952E-2</v>
      </c>
      <c r="CX4" s="2">
        <v>5.261585949558345E-2</v>
      </c>
      <c r="CY4" s="2">
        <v>-0.14906969604344769</v>
      </c>
      <c r="CZ4" s="2">
        <v>-0.11103945205987389</v>
      </c>
      <c r="DA4" s="2">
        <v>-0.14434138369070479</v>
      </c>
      <c r="DB4" s="2">
        <v>2.7151747986042811E-3</v>
      </c>
      <c r="DC4" s="2">
        <v>-9.785482280361002E-2</v>
      </c>
      <c r="DD4" s="2">
        <v>0.10722226194647889</v>
      </c>
      <c r="DE4" s="2">
        <v>4.7121438754965439E-2</v>
      </c>
      <c r="DF4" s="2">
        <v>-1.9291062828386881E-2</v>
      </c>
      <c r="DG4" s="2">
        <v>1.7896408714275221E-3</v>
      </c>
      <c r="DH4" s="2">
        <v>0.17350442691012449</v>
      </c>
      <c r="DI4" s="2">
        <v>-3.4040341553568609E-2</v>
      </c>
      <c r="DJ4" s="2">
        <v>-9.993613472354923E-2</v>
      </c>
      <c r="DK4" s="2">
        <v>-0.1324523127849897</v>
      </c>
      <c r="DL4" s="2">
        <v>9.327990828282573E-2</v>
      </c>
      <c r="DM4" s="2">
        <v>0.1781012365160777</v>
      </c>
      <c r="DN4" s="2">
        <v>0.1328839469177652</v>
      </c>
      <c r="DO4" s="2">
        <v>-0.12491951193503149</v>
      </c>
      <c r="DP4" s="2">
        <v>-9.4650070989063195E-2</v>
      </c>
      <c r="DQ4" s="2">
        <v>-0.14995782586822409</v>
      </c>
      <c r="DR4" s="2">
        <v>4.4038724417266202E-2</v>
      </c>
      <c r="DS4" s="2">
        <v>4.5916039994949642E-2</v>
      </c>
      <c r="DT4" s="2">
        <v>-0.1600946018805747</v>
      </c>
      <c r="DU4" s="2">
        <v>1.4044107423149651E-2</v>
      </c>
      <c r="DV4" s="2">
        <v>3.474390636907998E-2</v>
      </c>
      <c r="DW4" s="2">
        <v>1.257520949773294E-2</v>
      </c>
      <c r="DX4" s="2">
        <v>-0.1453929875597364</v>
      </c>
      <c r="DY4" s="2">
        <v>6.2173227234248778E-2</v>
      </c>
      <c r="DZ4" s="2">
        <v>-5.2117914994026293E-2</v>
      </c>
      <c r="EA4" s="2">
        <v>-0.25996993215089498</v>
      </c>
      <c r="EB4" s="2">
        <v>-0.1120594852816517</v>
      </c>
      <c r="EC4" s="2">
        <v>-7.1121647901357221E-2</v>
      </c>
      <c r="ED4" s="2">
        <v>3.3989099845969761E-2</v>
      </c>
      <c r="EE4" s="2">
        <v>0.2120879988342281</v>
      </c>
      <c r="EF4" s="2">
        <v>0.17540569835811759</v>
      </c>
      <c r="EG4" s="2">
        <v>-0.1265662473774363</v>
      </c>
      <c r="EH4" s="2">
        <v>-0.14481844562859611</v>
      </c>
      <c r="EI4" s="2">
        <v>-0.15568399081828771</v>
      </c>
      <c r="EJ4" s="2">
        <v>0.20106066923392871</v>
      </c>
      <c r="EK4" s="2">
        <v>0.24000764460967791</v>
      </c>
      <c r="EL4" s="2">
        <v>0.19398234319787019</v>
      </c>
      <c r="EM4" s="2">
        <v>0.1084331645485683</v>
      </c>
    </row>
    <row r="5" spans="1:145" x14ac:dyDescent="0.3">
      <c r="B5" s="1" t="s">
        <v>145</v>
      </c>
      <c r="C5" s="2">
        <v>-0.35602255303624453</v>
      </c>
      <c r="D5" s="2">
        <v>-4.0090857958738978E-2</v>
      </c>
      <c r="E5" s="2">
        <v>0.52768591000883824</v>
      </c>
      <c r="F5" s="2">
        <v>9.1621703543451838E-2</v>
      </c>
      <c r="G5" s="2">
        <v>-0.33444541912551767</v>
      </c>
      <c r="H5" s="2">
        <v>0.35557807934338981</v>
      </c>
      <c r="I5" s="2">
        <v>0.1153369311545601</v>
      </c>
      <c r="J5" s="2">
        <v>-9.1390222966754614E-2</v>
      </c>
      <c r="K5" s="2">
        <v>0.37641590593379309</v>
      </c>
      <c r="L5" s="2">
        <v>-0.39095115876105019</v>
      </c>
      <c r="M5" s="2">
        <v>0.16570120474983141</v>
      </c>
      <c r="N5" s="2">
        <v>-0.26143467111761082</v>
      </c>
      <c r="O5" s="2">
        <v>-6.1069485866542261E-2</v>
      </c>
      <c r="P5" s="2">
        <v>0.26091415721504319</v>
      </c>
      <c r="Q5" s="2">
        <v>4.0937433053001369E-2</v>
      </c>
      <c r="R5" s="2">
        <v>-0.13738348482797161</v>
      </c>
      <c r="S5" s="2">
        <v>0.32196519062115619</v>
      </c>
      <c r="T5" s="2">
        <v>0.1577185559806982</v>
      </c>
      <c r="U5" s="2">
        <v>-3.1493048898479467E-2</v>
      </c>
      <c r="V5" s="2">
        <v>0.20272926171313391</v>
      </c>
      <c r="W5" s="2">
        <v>-0.37900040700733478</v>
      </c>
      <c r="X5" s="2">
        <v>-0.1240504049428721</v>
      </c>
      <c r="Y5" s="2">
        <v>-0.6091363947557743</v>
      </c>
      <c r="Z5" s="2">
        <v>-8.7419029003689655E-2</v>
      </c>
      <c r="AA5" s="2">
        <v>2.4492818663441569E-2</v>
      </c>
      <c r="AB5" s="2">
        <v>7.8777301474168532E-2</v>
      </c>
      <c r="AC5" s="2">
        <v>-0.1144491391906407</v>
      </c>
      <c r="AD5" s="2">
        <v>0.24384130060927259</v>
      </c>
      <c r="AE5" s="2">
        <v>8.2451056568350709E-2</v>
      </c>
      <c r="AF5" s="2">
        <v>0.18824065512069871</v>
      </c>
      <c r="AG5" s="2">
        <v>9.4710949320840843E-2</v>
      </c>
      <c r="AH5" s="2">
        <v>-0.3051658563382863</v>
      </c>
      <c r="AI5" s="2">
        <v>0.15762471600367869</v>
      </c>
      <c r="AJ5" s="2">
        <v>-0.68021373773600025</v>
      </c>
      <c r="AK5" s="2">
        <v>2.3239308843977121E-2</v>
      </c>
      <c r="AL5" s="2">
        <v>-8.7587780261718207E-2</v>
      </c>
      <c r="AM5" s="2">
        <v>0.1083584048978386</v>
      </c>
      <c r="AN5" s="2">
        <v>0.1116944474577185</v>
      </c>
      <c r="AO5" s="2">
        <v>0.25326788161785452</v>
      </c>
      <c r="AP5" s="2">
        <v>0.20792985272972619</v>
      </c>
      <c r="AQ5" s="2">
        <v>0.26625784896468052</v>
      </c>
      <c r="AR5" s="2">
        <v>9.3532219454879356E-2</v>
      </c>
      <c r="AS5" s="2">
        <v>-0.1422532223975255</v>
      </c>
      <c r="AT5" s="2">
        <v>0.16459019868234889</v>
      </c>
      <c r="AU5" s="2">
        <v>-0.29628044254228481</v>
      </c>
      <c r="AV5" s="2">
        <v>-7.967283675179572E-2</v>
      </c>
      <c r="AW5" s="2">
        <v>-2.106163766695986E-2</v>
      </c>
      <c r="AX5" s="2">
        <v>-0.16039194510643379</v>
      </c>
      <c r="AY5" s="2">
        <v>2.907561231396269E-2</v>
      </c>
      <c r="AZ5" s="2">
        <v>0.23443646192314299</v>
      </c>
      <c r="BA5" s="2">
        <v>-1.954356893773998E-2</v>
      </c>
      <c r="BB5" s="2">
        <v>5.5326597607753797E-2</v>
      </c>
      <c r="BC5" s="2">
        <v>-5.9611055683955687E-2</v>
      </c>
      <c r="BD5" s="2">
        <v>-9.5611407368703827E-2</v>
      </c>
      <c r="BE5" s="2">
        <v>0.17767650991380921</v>
      </c>
      <c r="BF5" s="2">
        <v>-0.30632321099993309</v>
      </c>
      <c r="BG5" s="2">
        <v>-0.27950975427210151</v>
      </c>
      <c r="BH5" s="2">
        <v>-6.5627292150386804E-2</v>
      </c>
      <c r="BI5" s="2">
        <v>6.7576225048905147E-2</v>
      </c>
      <c r="BJ5" s="2">
        <v>-0.377766382042375</v>
      </c>
      <c r="BK5" s="2">
        <v>0.1710576050513124</v>
      </c>
      <c r="BL5" s="2">
        <v>-0.15901657189760751</v>
      </c>
      <c r="BM5" s="2">
        <v>0.29566311964252062</v>
      </c>
      <c r="BN5" s="2">
        <v>-9.1185424305069637E-3</v>
      </c>
      <c r="BO5" s="2">
        <v>-0.18708382872534479</v>
      </c>
      <c r="BP5" s="2">
        <v>-4.4541684300456783E-2</v>
      </c>
      <c r="BQ5" s="2">
        <v>-0.2644041519976843</v>
      </c>
      <c r="BR5" s="2">
        <v>-0.17935638398747261</v>
      </c>
      <c r="BS5" s="2">
        <v>9.3255604107027268E-2</v>
      </c>
      <c r="BT5" s="2">
        <v>0.25391019577751839</v>
      </c>
      <c r="BU5" s="2">
        <v>-0.2208865037169013</v>
      </c>
      <c r="BV5" s="2">
        <v>0.1113375442569535</v>
      </c>
      <c r="BW5" s="2">
        <v>-2.6110149941585441E-2</v>
      </c>
      <c r="BX5" s="2">
        <v>7.8321917624137663E-2</v>
      </c>
      <c r="BY5" s="2">
        <v>3.6568448160119997E-2</v>
      </c>
      <c r="BZ5" s="2">
        <v>-0.1016560299453321</v>
      </c>
      <c r="CA5" s="2">
        <v>3.7823772175184511E-2</v>
      </c>
      <c r="CB5" s="2">
        <v>-1.2533175044593611E-2</v>
      </c>
      <c r="CC5" s="2">
        <v>-0.28837910471559852</v>
      </c>
      <c r="CD5" s="2">
        <v>0.34067466598778878</v>
      </c>
      <c r="CE5" s="2">
        <v>-6.0100560923931345E-4</v>
      </c>
      <c r="CF5" s="2">
        <v>-0.1296863733007578</v>
      </c>
      <c r="CG5" s="2">
        <v>0.15976746637967629</v>
      </c>
      <c r="CH5" s="2">
        <v>-0.23825235796998209</v>
      </c>
      <c r="CI5" s="2">
        <v>-2.8759770853779679E-2</v>
      </c>
      <c r="CJ5" s="2">
        <v>-0.19238587368076349</v>
      </c>
      <c r="CK5" s="2">
        <v>9.3012092996989273E-2</v>
      </c>
      <c r="CL5" s="2">
        <v>1.8732272151867381E-2</v>
      </c>
      <c r="CM5" s="2">
        <v>-1.440590191637958E-2</v>
      </c>
      <c r="CN5" s="2">
        <v>-0.24513143201832141</v>
      </c>
      <c r="CO5" s="2">
        <v>0.62382678445663653</v>
      </c>
      <c r="CP5" s="2">
        <v>9.8069367239007818E-2</v>
      </c>
      <c r="CQ5" s="2">
        <v>-0.34398023521672633</v>
      </c>
      <c r="CR5" s="2">
        <v>0.23965589513689431</v>
      </c>
      <c r="CS5" s="2">
        <v>-0.1630146077158017</v>
      </c>
      <c r="CT5" s="2">
        <v>0.20917057102557721</v>
      </c>
      <c r="CU5" s="2">
        <v>-0.13994756491628749</v>
      </c>
      <c r="CV5" s="2">
        <v>-0.14628801332363431</v>
      </c>
      <c r="CW5" s="2">
        <v>0.31017320529162662</v>
      </c>
      <c r="CX5" s="2">
        <v>0.25353915592821968</v>
      </c>
      <c r="CY5" s="2">
        <v>-0.79527742145542657</v>
      </c>
      <c r="CZ5" s="2">
        <v>0.80355177224477214</v>
      </c>
      <c r="DA5" s="2">
        <v>-7.1187531558581735E-2</v>
      </c>
      <c r="DB5" s="2">
        <v>0.14203914410752261</v>
      </c>
      <c r="DC5" s="2">
        <v>0.17684959747890239</v>
      </c>
      <c r="DD5" s="2">
        <v>-0.2347694823541964</v>
      </c>
      <c r="DE5" s="2">
        <v>-7.8915349004452157E-2</v>
      </c>
      <c r="DF5" s="2">
        <v>-0.10893182959170521</v>
      </c>
      <c r="DG5" s="2">
        <v>-0.50647317879216458</v>
      </c>
      <c r="DH5" s="2">
        <v>0.17758880086016901</v>
      </c>
      <c r="DI5" s="2">
        <v>0.24345215756039101</v>
      </c>
      <c r="DJ5" s="2">
        <v>-0.63199691128278157</v>
      </c>
      <c r="DK5" s="2">
        <v>0.76553812905546981</v>
      </c>
      <c r="DL5" s="2">
        <v>0.1134987555126632</v>
      </c>
      <c r="DM5" s="2">
        <v>-0.45407241147436012</v>
      </c>
      <c r="DN5" s="2">
        <v>0.5381646260587134</v>
      </c>
      <c r="DO5" s="2">
        <v>-0.26009015152361792</v>
      </c>
      <c r="DP5" s="2">
        <v>-6.8906334924896576E-2</v>
      </c>
      <c r="DQ5" s="2">
        <v>-0.20285821236619811</v>
      </c>
      <c r="DR5" s="2">
        <v>2.45178389892888E-2</v>
      </c>
      <c r="DS5" s="2">
        <v>-0.16671516537849729</v>
      </c>
      <c r="DT5" s="2">
        <v>0.33878844679546338</v>
      </c>
      <c r="DU5" s="2">
        <v>-0.59979946723464084</v>
      </c>
      <c r="DV5" s="2">
        <v>0.83514380187623793</v>
      </c>
      <c r="DW5" s="2">
        <v>-9.255748547327998E-2</v>
      </c>
      <c r="DX5" s="2">
        <v>-0.13301905739887071</v>
      </c>
      <c r="DY5" s="2">
        <v>0.4235750632459292</v>
      </c>
      <c r="DZ5" s="2">
        <v>0.30902986430062002</v>
      </c>
      <c r="EA5" s="2">
        <v>0.18643694757575269</v>
      </c>
      <c r="EB5" s="2">
        <v>-0.89458161361561928</v>
      </c>
      <c r="EC5" s="2">
        <v>4.6089797399945322E-2</v>
      </c>
      <c r="ED5" s="2">
        <v>-0.19737598163049891</v>
      </c>
      <c r="EE5" s="2">
        <v>0.32955546848400757</v>
      </c>
      <c r="EF5" s="2">
        <v>-0.1298161213028215</v>
      </c>
      <c r="EG5" s="2">
        <v>0.41590935608064328</v>
      </c>
      <c r="EH5" s="2">
        <v>-0.1780246200952896</v>
      </c>
      <c r="EI5" s="2">
        <v>-0.30056728540568339</v>
      </c>
      <c r="EJ5" s="2">
        <v>0.3783868000433685</v>
      </c>
      <c r="EK5" s="2">
        <v>-0.30609793068418661</v>
      </c>
      <c r="EL5" s="2">
        <v>0.1794159444225098</v>
      </c>
      <c r="EM5" s="2">
        <v>-0.61002274929031197</v>
      </c>
    </row>
    <row r="6" spans="1:145" x14ac:dyDescent="0.3">
      <c r="A6" s="20" t="s">
        <v>146</v>
      </c>
      <c r="B6" s="21"/>
      <c r="C6" s="2">
        <f t="array" ref="C6">MATCH(MAX(ABS(C3:C5)), ABS(C3:C5), 0)</f>
        <v>3</v>
      </c>
      <c r="D6" s="2">
        <f t="array" ref="D6">MATCH(MAX(ABS(D3:D5)), ABS(D3:D5), 0)</f>
        <v>2</v>
      </c>
      <c r="E6" s="2">
        <f t="array" ref="E6">MATCH(MAX(ABS(E3:E5)), ABS(E3:E5), 0)</f>
        <v>3</v>
      </c>
      <c r="F6" s="2">
        <f t="array" ref="F6">MATCH(MAX(ABS(F3:F5)), ABS(F3:F5), 0)</f>
        <v>3</v>
      </c>
      <c r="G6" s="2">
        <f t="array" ref="G6">MATCH(MAX(ABS(G3:G5)), ABS(G3:G5), 0)</f>
        <v>3</v>
      </c>
      <c r="H6" s="2">
        <f t="array" ref="H6">MATCH(MAX(ABS(H3:H5)), ABS(H3:H5), 0)</f>
        <v>3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3</v>
      </c>
      <c r="L6" s="2">
        <f t="array" ref="L6">MATCH(MAX(ABS(L3:L5)), ABS(L3:L5), 0)</f>
        <v>3</v>
      </c>
      <c r="M6" s="2">
        <f t="array" ref="M6">MATCH(MAX(ABS(M3:M5)), ABS(M3:M5), 0)</f>
        <v>3</v>
      </c>
      <c r="N6" s="2">
        <f t="array" ref="N6">MATCH(MAX(ABS(N3:N5)), ABS(N3:N5), 0)</f>
        <v>3</v>
      </c>
      <c r="O6" s="2">
        <f t="array" ref="O6">MATCH(MAX(ABS(O3:O5)), ABS(O3:O5), 0)</f>
        <v>1</v>
      </c>
      <c r="P6" s="2">
        <f t="array" ref="P6">MATCH(MAX(ABS(P3:P5)), ABS(P3:P5), 0)</f>
        <v>3</v>
      </c>
      <c r="Q6" s="2">
        <f t="array" ref="Q6">MATCH(MAX(ABS(Q3:Q5)), ABS(Q3:Q5), 0)</f>
        <v>1</v>
      </c>
      <c r="R6" s="2">
        <f t="array" ref="R6">MATCH(MAX(ABS(R3:R5)), ABS(R3:R5), 0)</f>
        <v>3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1</v>
      </c>
      <c r="V6" s="2">
        <f t="array" ref="V6">MATCH(MAX(ABS(V3:V5)), ABS(V3:V5), 0)</f>
        <v>3</v>
      </c>
      <c r="W6" s="2">
        <f t="array" ref="W6">MATCH(MAX(ABS(W3:W5)), ABS(W3:W5), 0)</f>
        <v>3</v>
      </c>
      <c r="X6" s="2">
        <f t="array" ref="X6">MATCH(MAX(ABS(X3:X5)), ABS(X3:X5), 0)</f>
        <v>1</v>
      </c>
      <c r="Y6" s="2">
        <f t="array" ref="Y6">MATCH(MAX(ABS(Y3:Y5)), ABS(Y3:Y5), 0)</f>
        <v>3</v>
      </c>
      <c r="Z6" s="2">
        <f t="array" ref="Z6">MATCH(MAX(ABS(Z3:Z5)), ABS(Z3:Z5), 0)</f>
        <v>3</v>
      </c>
      <c r="AA6" s="2">
        <f t="array" ref="AA6">MATCH(MAX(ABS(AA3:AA5)), ABS(AA3:AA5), 0)</f>
        <v>1</v>
      </c>
      <c r="AB6" s="2">
        <f t="array" ref="AB6">MATCH(MAX(ABS(AB3:AB5)), ABS(AB3:AB5), 0)</f>
        <v>1</v>
      </c>
      <c r="AC6" s="2">
        <f t="array" ref="AC6">MATCH(MAX(ABS(AC3:AC5)), ABS(AC3:AC5), 0)</f>
        <v>3</v>
      </c>
      <c r="AD6" s="2">
        <f t="array" ref="AD6">MATCH(MAX(ABS(AD3:AD5)), ABS(AD3:AD5), 0)</f>
        <v>3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3</v>
      </c>
      <c r="AI6" s="2">
        <f t="array" ref="AI6">MATCH(MAX(ABS(AI3:AI5)), ABS(AI3:AI5), 0)</f>
        <v>3</v>
      </c>
      <c r="AJ6" s="2">
        <f t="array" ref="AJ6">MATCH(MAX(ABS(AJ3:AJ5)), ABS(AJ3:AJ5), 0)</f>
        <v>3</v>
      </c>
      <c r="AK6" s="2">
        <f t="array" ref="AK6">MATCH(MAX(ABS(AK3:AK5)), ABS(AK3:AK5), 0)</f>
        <v>1</v>
      </c>
      <c r="AL6" s="2">
        <f t="array" ref="AL6">MATCH(MAX(ABS(AL3:AL5)), ABS(AL3:AL5), 0)</f>
        <v>1</v>
      </c>
      <c r="AM6" s="2">
        <f t="array" ref="AM6">MATCH(MAX(ABS(AM3:AM5)), ABS(AM3:AM5), 0)</f>
        <v>2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3</v>
      </c>
      <c r="AQ6" s="2">
        <f t="array" ref="AQ6">MATCH(MAX(ABS(AQ3:AQ5)), ABS(AQ3:AQ5), 0)</f>
        <v>3</v>
      </c>
      <c r="AR6" s="2">
        <f t="array" ref="AR6">MATCH(MAX(ABS(AR3:AR5)), ABS(AR3:AR5), 0)</f>
        <v>3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3</v>
      </c>
      <c r="AV6" s="2">
        <f t="array" ref="AV6">MATCH(MAX(ABS(AV3:AV5)), ABS(AV3:AV5), 0)</f>
        <v>2</v>
      </c>
      <c r="AW6" s="2">
        <f t="array" ref="AW6">MATCH(MAX(ABS(AW3:AW5)), ABS(AW3:AW5), 0)</f>
        <v>1</v>
      </c>
      <c r="AX6" s="2">
        <f t="array" ref="AX6">MATCH(MAX(ABS(AX3:AX5)), ABS(AX3:AX5), 0)</f>
        <v>3</v>
      </c>
      <c r="AY6" s="2">
        <f t="array" ref="AY6">MATCH(MAX(ABS(AY3:AY5)), ABS(AY3:AY5), 0)</f>
        <v>2</v>
      </c>
      <c r="AZ6" s="2">
        <f t="array" ref="AZ6">MATCH(MAX(ABS(AZ3:AZ5)), ABS(AZ3:AZ5), 0)</f>
        <v>3</v>
      </c>
      <c r="BA6" s="2">
        <f t="array" ref="BA6">MATCH(MAX(ABS(BA3:BA5)), ABS(BA3:BA5), 0)</f>
        <v>1</v>
      </c>
      <c r="BB6" s="2">
        <f t="array" ref="BB6">MATCH(MAX(ABS(BB3:BB5)), ABS(BB3:BB5), 0)</f>
        <v>2</v>
      </c>
      <c r="BC6" s="2">
        <f t="array" ref="BC6">MATCH(MAX(ABS(BC3:BC5)), ABS(BC3:BC5), 0)</f>
        <v>1</v>
      </c>
      <c r="BD6" s="2">
        <f t="array" ref="BD6">MATCH(MAX(ABS(BD3:BD5)), ABS(BD3:BD5), 0)</f>
        <v>1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1</v>
      </c>
      <c r="BH6" s="2">
        <f t="array" ref="BH6">MATCH(MAX(ABS(BH3:BH5)), ABS(BH3:BH5), 0)</f>
        <v>1</v>
      </c>
      <c r="BI6" s="2">
        <f t="array" ref="BI6">MATCH(MAX(ABS(BI3:BI5)), ABS(BI3:BI5), 0)</f>
        <v>2</v>
      </c>
      <c r="BJ6" s="2">
        <f t="array" ref="BJ6">MATCH(MAX(ABS(BJ3:BJ5)), ABS(BJ3:BJ5), 0)</f>
        <v>3</v>
      </c>
      <c r="BK6" s="2">
        <f t="array" ref="BK6">MATCH(MAX(ABS(BK3:BK5)), ABS(BK3:BK5), 0)</f>
        <v>3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1</v>
      </c>
      <c r="BO6" s="2">
        <f t="array" ref="BO6">MATCH(MAX(ABS(BO3:BO5)), ABS(BO3:BO5), 0)</f>
        <v>1</v>
      </c>
      <c r="BP6" s="2">
        <f t="array" ref="BP6">MATCH(MAX(ABS(BP3:BP5)), ABS(BP3:BP5), 0)</f>
        <v>1</v>
      </c>
      <c r="BQ6" s="2">
        <f t="array" ref="BQ6">MATCH(MAX(ABS(BQ3:BQ5)), ABS(BQ3:BQ5), 0)</f>
        <v>3</v>
      </c>
      <c r="BR6" s="2">
        <f t="array" ref="BR6">MATCH(MAX(ABS(BR3:BR5)), ABS(BR3:BR5), 0)</f>
        <v>1</v>
      </c>
      <c r="BS6" s="2">
        <f t="array" ref="BS6">MATCH(MAX(ABS(BS3:BS5)), ABS(BS3:BS5), 0)</f>
        <v>3</v>
      </c>
      <c r="BT6" s="2">
        <f t="array" ref="BT6">MATCH(MAX(ABS(BT3:BT5)), ABS(BT3:BT5), 0)</f>
        <v>3</v>
      </c>
      <c r="BU6" s="2">
        <f t="array" ref="BU6">MATCH(MAX(ABS(BU3:BU5)), ABS(BU3:BU5), 0)</f>
        <v>3</v>
      </c>
      <c r="BV6" s="2">
        <f t="array" ref="BV6">MATCH(MAX(ABS(BV3:BV5)), ABS(BV3:BV5), 0)</f>
        <v>3</v>
      </c>
      <c r="BW6" s="2">
        <f t="array" ref="BW6">MATCH(MAX(ABS(BW3:BW5)), ABS(BW3:BW5), 0)</f>
        <v>1</v>
      </c>
      <c r="BX6" s="2">
        <f t="array" ref="BX6">MATCH(MAX(ABS(BX3:BX5)), ABS(BX3:BX5), 0)</f>
        <v>1</v>
      </c>
      <c r="BY6" s="2">
        <f t="array" ref="BY6">MATCH(MAX(ABS(BY3:BY5)), ABS(BY3:BY5), 0)</f>
        <v>2</v>
      </c>
      <c r="BZ6" s="2">
        <f t="array" ref="BZ6">MATCH(MAX(ABS(BZ3:BZ5)), ABS(BZ3:BZ5), 0)</f>
        <v>2</v>
      </c>
      <c r="CA6" s="2">
        <f t="array" ref="CA6">MATCH(MAX(ABS(CA3:CA5)), ABS(CA3:CA5), 0)</f>
        <v>1</v>
      </c>
      <c r="CB6" s="2">
        <f t="array" ref="CB6">MATCH(MAX(ABS(CB3:CB5)), ABS(CB3:CB5), 0)</f>
        <v>1</v>
      </c>
      <c r="CC6" s="2">
        <f t="array" ref="CC6">MATCH(MAX(ABS(CC3:CC5)), ABS(CC3:CC5), 0)</f>
        <v>3</v>
      </c>
      <c r="CD6" s="2">
        <f t="array" ref="CD6">MATCH(MAX(ABS(CD3:CD5)), ABS(CD3:CD5), 0)</f>
        <v>3</v>
      </c>
      <c r="CE6" s="2">
        <f t="array" ref="CE6">MATCH(MAX(ABS(CE3:CE5)), ABS(CE3:CE5), 0)</f>
        <v>1</v>
      </c>
      <c r="CF6" s="2">
        <f t="array" ref="CF6">MATCH(MAX(ABS(CF3:CF5)), ABS(CF3:CF5), 0)</f>
        <v>3</v>
      </c>
      <c r="CG6" s="2">
        <f t="array" ref="CG6">MATCH(MAX(ABS(CG3:CG5)), ABS(CG3:CG5), 0)</f>
        <v>3</v>
      </c>
      <c r="CH6" s="2">
        <f t="array" ref="CH6">MATCH(MAX(ABS(CH3:CH5)), ABS(CH3:CH5), 0)</f>
        <v>3</v>
      </c>
      <c r="CI6" s="2">
        <f t="array" ref="CI6">MATCH(MAX(ABS(CI3:CI5)), ABS(CI3:CI5), 0)</f>
        <v>1</v>
      </c>
      <c r="CJ6" s="2">
        <f t="array" ref="CJ6">MATCH(MAX(ABS(CJ3:CJ5)), ABS(CJ3:CJ5), 0)</f>
        <v>1</v>
      </c>
      <c r="CK6" s="2">
        <f t="array" ref="CK6">MATCH(MAX(ABS(CK3:CK5)), ABS(CK3:CK5), 0)</f>
        <v>3</v>
      </c>
      <c r="CL6" s="2">
        <f t="array" ref="CL6">MATCH(MAX(ABS(CL3:CL5)), ABS(CL3:CL5), 0)</f>
        <v>2</v>
      </c>
      <c r="CM6" s="2">
        <f t="array" ref="CM6">MATCH(MAX(ABS(CM3:CM5)), ABS(CM3:CM5), 0)</f>
        <v>1</v>
      </c>
      <c r="CN6" s="2">
        <f t="array" ref="CN6">MATCH(MAX(ABS(CN3:CN5)), ABS(CN3:CN5), 0)</f>
        <v>1</v>
      </c>
      <c r="CO6" s="2">
        <f t="array" ref="CO6">MATCH(MAX(ABS(CO3:CO5)), ABS(CO3:CO5), 0)</f>
        <v>3</v>
      </c>
      <c r="CP6" s="2">
        <f t="array" ref="CP6">MATCH(MAX(ABS(CP3:CP5)), ABS(CP3:CP5), 0)</f>
        <v>3</v>
      </c>
      <c r="CQ6" s="2">
        <f t="array" ref="CQ6">MATCH(MAX(ABS(CQ3:CQ5)), ABS(CQ3:CQ5), 0)</f>
        <v>3</v>
      </c>
      <c r="CR6" s="2">
        <f t="array" ref="CR6">MATCH(MAX(ABS(CR3:CR5)), ABS(CR3:CR5), 0)</f>
        <v>3</v>
      </c>
      <c r="CS6" s="2">
        <f t="array" ref="CS6">MATCH(MAX(ABS(CS3:CS5)), ABS(CS3:CS5), 0)</f>
        <v>2</v>
      </c>
      <c r="CT6" s="2">
        <f t="array" ref="CT6">MATCH(MAX(ABS(CT3:CT5)), ABS(CT3:CT5), 0)</f>
        <v>3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3</v>
      </c>
      <c r="CY6" s="2">
        <f t="array" ref="CY6">MATCH(MAX(ABS(CY3:CY5)), ABS(CY3:CY5), 0)</f>
        <v>3</v>
      </c>
      <c r="CZ6" s="2">
        <f t="array" ref="CZ6">MATCH(MAX(ABS(CZ3:CZ5)), ABS(CZ3:CZ5), 0)</f>
        <v>3</v>
      </c>
      <c r="DA6" s="2">
        <f t="array" ref="DA6">MATCH(MAX(ABS(DA3:DA5)), ABS(DA3:DA5), 0)</f>
        <v>1</v>
      </c>
      <c r="DB6" s="2">
        <f t="array" ref="DB6">MATCH(MAX(ABS(DB3:DB5)), ABS(DB3:DB5), 0)</f>
        <v>1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1</v>
      </c>
      <c r="DF6" s="2">
        <f t="array" ref="DF6">MATCH(MAX(ABS(DF3:DF5)), ABS(DF3:DF5), 0)</f>
        <v>1</v>
      </c>
      <c r="DG6" s="2">
        <f t="array" ref="DG6">MATCH(MAX(ABS(DG3:DG5)), ABS(DG3:DG5), 0)</f>
        <v>3</v>
      </c>
      <c r="DH6" s="2">
        <f t="array" ref="DH6">MATCH(MAX(ABS(DH3:DH5)), ABS(DH3:DH5), 0)</f>
        <v>3</v>
      </c>
      <c r="DI6" s="2">
        <f t="array" ref="DI6">MATCH(MAX(ABS(DI3:DI5)), ABS(DI3:DI5), 0)</f>
        <v>3</v>
      </c>
      <c r="DJ6" s="2">
        <f t="array" ref="DJ6">MATCH(MAX(ABS(DJ3:DJ5)), ABS(DJ3:DJ5), 0)</f>
        <v>3</v>
      </c>
      <c r="DK6" s="2">
        <f t="array" ref="DK6">MATCH(MAX(ABS(DK3:DK5)), ABS(DK3:DK5), 0)</f>
        <v>3</v>
      </c>
      <c r="DL6" s="2">
        <f t="array" ref="DL6">MATCH(MAX(ABS(DL3:DL5)), ABS(DL3:DL5), 0)</f>
        <v>3</v>
      </c>
      <c r="DM6" s="2">
        <f t="array" ref="DM6">MATCH(MAX(ABS(DM3:DM5)), ABS(DM3:DM5), 0)</f>
        <v>3</v>
      </c>
      <c r="DN6" s="2">
        <f t="array" ref="DN6">MATCH(MAX(ABS(DN3:DN5)), ABS(DN3:DN5), 0)</f>
        <v>3</v>
      </c>
      <c r="DO6" s="2">
        <f t="array" ref="DO6">MATCH(MAX(ABS(DO3:DO5)), ABS(DO3:DO5), 0)</f>
        <v>3</v>
      </c>
      <c r="DP6" s="2">
        <f t="array" ref="DP6">MATCH(MAX(ABS(DP3:DP5)), ABS(DP3:DP5), 0)</f>
        <v>1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3</v>
      </c>
      <c r="DT6" s="2">
        <f t="array" ref="DT6">MATCH(MAX(ABS(DT3:DT5)), ABS(DT3:DT5), 0)</f>
        <v>3</v>
      </c>
      <c r="DU6" s="2">
        <f t="array" ref="DU6">MATCH(MAX(ABS(DU3:DU5)), ABS(DU3:DU5), 0)</f>
        <v>3</v>
      </c>
      <c r="DV6" s="2">
        <f t="array" ref="DV6">MATCH(MAX(ABS(DV3:DV5)), ABS(DV3:DV5), 0)</f>
        <v>3</v>
      </c>
      <c r="DW6" s="2">
        <f t="array" ref="DW6">MATCH(MAX(ABS(DW3:DW5)), ABS(DW3:DW5), 0)</f>
        <v>3</v>
      </c>
      <c r="DX6" s="2">
        <f t="array" ref="DX6">MATCH(MAX(ABS(DX3:DX5)), ABS(DX3:DX5), 0)</f>
        <v>2</v>
      </c>
      <c r="DY6" s="2">
        <f t="array" ref="DY6">MATCH(MAX(ABS(DY3:DY5)), ABS(DY3:DY5), 0)</f>
        <v>3</v>
      </c>
      <c r="DZ6" s="2">
        <f t="array" ref="DZ6">MATCH(MAX(ABS(DZ3:DZ5)), ABS(DZ3:DZ5), 0)</f>
        <v>3</v>
      </c>
      <c r="EA6" s="2">
        <f t="array" ref="EA6">MATCH(MAX(ABS(EA3:EA5)), ABS(EA3:EA5), 0)</f>
        <v>2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3</v>
      </c>
      <c r="EE6" s="2">
        <f t="array" ref="EE6">MATCH(MAX(ABS(EE3:EE5)), ABS(EE3:EE5), 0)</f>
        <v>3</v>
      </c>
      <c r="EF6" s="2">
        <f t="array" ref="EF6">MATCH(MAX(ABS(EF3:EF5)), ABS(EF3:EF5), 0)</f>
        <v>2</v>
      </c>
      <c r="EG6" s="2">
        <f t="array" ref="EG6">MATCH(MAX(ABS(EG3:EG5)), ABS(EG3:EG5), 0)</f>
        <v>3</v>
      </c>
      <c r="EH6" s="2">
        <f t="array" ref="EH6">MATCH(MAX(ABS(EH3:EH5)), ABS(EH3:EH5), 0)</f>
        <v>3</v>
      </c>
      <c r="EI6" s="2">
        <f t="array" ref="EI6">MATCH(MAX(ABS(EI3:EI5)), ABS(EI3:EI5), 0)</f>
        <v>3</v>
      </c>
      <c r="EJ6" s="2">
        <f t="array" ref="EJ6">MATCH(MAX(ABS(EJ3:EJ5)), ABS(EJ3:EJ5), 0)</f>
        <v>3</v>
      </c>
      <c r="EK6" s="2">
        <f t="array" ref="EK6">MATCH(MAX(ABS(EK3:EK5)), ABS(EK3:EK5), 0)</f>
        <v>3</v>
      </c>
      <c r="EL6" s="2">
        <f t="array" ref="EL6">MATCH(MAX(ABS(EL3:EL5)), ABS(EL3:EL5), 0)</f>
        <v>2</v>
      </c>
      <c r="EM6" s="2">
        <f t="array" ref="EM6">MATCH(MAX(ABS(EM3:EM5)), ABS(EM3:EM5), 0)</f>
        <v>3</v>
      </c>
    </row>
    <row r="7" spans="1:145" x14ac:dyDescent="0.3">
      <c r="C7" s="2" t="str">
        <f t="shared" ref="C7:AH7" si="0">IF(C6=1,"bm",IF(C6=2,"size",IF(C6=3,"mom")))</f>
        <v>mom</v>
      </c>
      <c r="D7" s="2" t="str">
        <f t="shared" si="0"/>
        <v>size</v>
      </c>
      <c r="E7" s="2" t="str">
        <f t="shared" si="0"/>
        <v>mom</v>
      </c>
      <c r="F7" s="2" t="str">
        <f t="shared" si="0"/>
        <v>mom</v>
      </c>
      <c r="G7" s="2" t="str">
        <f t="shared" si="0"/>
        <v>mom</v>
      </c>
      <c r="H7" s="2" t="str">
        <f t="shared" si="0"/>
        <v>mom</v>
      </c>
      <c r="I7" s="2" t="str">
        <f t="shared" si="0"/>
        <v>bm</v>
      </c>
      <c r="J7" s="2" t="str">
        <f t="shared" si="0"/>
        <v>bm</v>
      </c>
      <c r="K7" s="2" t="str">
        <f t="shared" si="0"/>
        <v>mom</v>
      </c>
      <c r="L7" s="2" t="str">
        <f t="shared" si="0"/>
        <v>mom</v>
      </c>
      <c r="M7" s="2" t="str">
        <f t="shared" si="0"/>
        <v>mom</v>
      </c>
      <c r="N7" s="2" t="str">
        <f t="shared" si="0"/>
        <v>mom</v>
      </c>
      <c r="O7" s="2" t="str">
        <f t="shared" si="0"/>
        <v>bm</v>
      </c>
      <c r="P7" s="2" t="str">
        <f t="shared" si="0"/>
        <v>mom</v>
      </c>
      <c r="Q7" s="2" t="str">
        <f t="shared" si="0"/>
        <v>bm</v>
      </c>
      <c r="R7" s="2" t="str">
        <f t="shared" si="0"/>
        <v>mom</v>
      </c>
      <c r="S7" s="2" t="str">
        <f t="shared" si="0"/>
        <v>mom</v>
      </c>
      <c r="T7" s="2" t="str">
        <f t="shared" si="0"/>
        <v>mom</v>
      </c>
      <c r="U7" s="2" t="str">
        <f t="shared" si="0"/>
        <v>bm</v>
      </c>
      <c r="V7" s="2" t="str">
        <f t="shared" si="0"/>
        <v>mom</v>
      </c>
      <c r="W7" s="2" t="str">
        <f t="shared" si="0"/>
        <v>mom</v>
      </c>
      <c r="X7" s="2" t="str">
        <f t="shared" si="0"/>
        <v>bm</v>
      </c>
      <c r="Y7" s="2" t="str">
        <f t="shared" si="0"/>
        <v>mom</v>
      </c>
      <c r="Z7" s="2" t="str">
        <f t="shared" si="0"/>
        <v>mom</v>
      </c>
      <c r="AA7" s="2" t="str">
        <f t="shared" si="0"/>
        <v>bm</v>
      </c>
      <c r="AB7" s="2" t="str">
        <f t="shared" si="0"/>
        <v>bm</v>
      </c>
      <c r="AC7" s="2" t="str">
        <f t="shared" si="0"/>
        <v>mom</v>
      </c>
      <c r="AD7" s="2" t="str">
        <f t="shared" si="0"/>
        <v>mom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mom</v>
      </c>
      <c r="AI7" s="2" t="str">
        <f t="shared" ref="AI7:BN7" si="1">IF(AI6=1,"bm",IF(AI6=2,"size",IF(AI6=3,"mom")))</f>
        <v>mom</v>
      </c>
      <c r="AJ7" s="2" t="str">
        <f t="shared" si="1"/>
        <v>mom</v>
      </c>
      <c r="AK7" s="2" t="str">
        <f t="shared" si="1"/>
        <v>bm</v>
      </c>
      <c r="AL7" s="2" t="str">
        <f t="shared" si="1"/>
        <v>bm</v>
      </c>
      <c r="AM7" s="2" t="str">
        <f t="shared" si="1"/>
        <v>size</v>
      </c>
      <c r="AN7" s="2" t="str">
        <f t="shared" si="1"/>
        <v>bm</v>
      </c>
      <c r="AO7" s="2" t="str">
        <f t="shared" si="1"/>
        <v>mom</v>
      </c>
      <c r="AP7" s="2" t="str">
        <f t="shared" si="1"/>
        <v>mom</v>
      </c>
      <c r="AQ7" s="2" t="str">
        <f t="shared" si="1"/>
        <v>mom</v>
      </c>
      <c r="AR7" s="2" t="str">
        <f t="shared" si="1"/>
        <v>mom</v>
      </c>
      <c r="AS7" s="2" t="str">
        <f t="shared" si="1"/>
        <v>mom</v>
      </c>
      <c r="AT7" s="2" t="str">
        <f t="shared" si="1"/>
        <v>mom</v>
      </c>
      <c r="AU7" s="2" t="str">
        <f t="shared" si="1"/>
        <v>mom</v>
      </c>
      <c r="AV7" s="2" t="str">
        <f t="shared" si="1"/>
        <v>size</v>
      </c>
      <c r="AW7" s="2" t="str">
        <f t="shared" si="1"/>
        <v>bm</v>
      </c>
      <c r="AX7" s="2" t="str">
        <f t="shared" si="1"/>
        <v>mom</v>
      </c>
      <c r="AY7" s="2" t="str">
        <f t="shared" si="1"/>
        <v>size</v>
      </c>
      <c r="AZ7" s="2" t="str">
        <f t="shared" si="1"/>
        <v>mom</v>
      </c>
      <c r="BA7" s="2" t="str">
        <f t="shared" si="1"/>
        <v>bm</v>
      </c>
      <c r="BB7" s="2" t="str">
        <f t="shared" si="1"/>
        <v>size</v>
      </c>
      <c r="BC7" s="2" t="str">
        <f t="shared" si="1"/>
        <v>bm</v>
      </c>
      <c r="BD7" s="2" t="str">
        <f t="shared" si="1"/>
        <v>bm</v>
      </c>
      <c r="BE7" s="2" t="str">
        <f t="shared" si="1"/>
        <v>mom</v>
      </c>
      <c r="BF7" s="2" t="str">
        <f t="shared" si="1"/>
        <v>mom</v>
      </c>
      <c r="BG7" s="2" t="str">
        <f t="shared" si="1"/>
        <v>bm</v>
      </c>
      <c r="BH7" s="2" t="str">
        <f t="shared" si="1"/>
        <v>bm</v>
      </c>
      <c r="BI7" s="2" t="str">
        <f t="shared" si="1"/>
        <v>size</v>
      </c>
      <c r="BJ7" s="2" t="str">
        <f t="shared" si="1"/>
        <v>mom</v>
      </c>
      <c r="BK7" s="2" t="str">
        <f t="shared" si="1"/>
        <v>mom</v>
      </c>
      <c r="BL7" s="2" t="str">
        <f t="shared" si="1"/>
        <v>mom</v>
      </c>
      <c r="BM7" s="2" t="str">
        <f t="shared" si="1"/>
        <v>mom</v>
      </c>
      <c r="BN7" s="2" t="str">
        <f t="shared" si="1"/>
        <v>bm</v>
      </c>
      <c r="BO7" s="2" t="str">
        <f t="shared" ref="BO7:CT7" si="2">IF(BO6=1,"bm",IF(BO6=2,"size",IF(BO6=3,"mom")))</f>
        <v>bm</v>
      </c>
      <c r="BP7" s="2" t="str">
        <f t="shared" si="2"/>
        <v>bm</v>
      </c>
      <c r="BQ7" s="2" t="str">
        <f t="shared" si="2"/>
        <v>mom</v>
      </c>
      <c r="BR7" s="2" t="str">
        <f t="shared" si="2"/>
        <v>bm</v>
      </c>
      <c r="BS7" s="2" t="str">
        <f t="shared" si="2"/>
        <v>mom</v>
      </c>
      <c r="BT7" s="2" t="str">
        <f t="shared" si="2"/>
        <v>mom</v>
      </c>
      <c r="BU7" s="2" t="str">
        <f t="shared" si="2"/>
        <v>mom</v>
      </c>
      <c r="BV7" s="2" t="str">
        <f t="shared" si="2"/>
        <v>mom</v>
      </c>
      <c r="BW7" s="2" t="str">
        <f t="shared" si="2"/>
        <v>bm</v>
      </c>
      <c r="BX7" s="2" t="str">
        <f t="shared" si="2"/>
        <v>bm</v>
      </c>
      <c r="BY7" s="2" t="str">
        <f t="shared" si="2"/>
        <v>size</v>
      </c>
      <c r="BZ7" s="2" t="str">
        <f t="shared" si="2"/>
        <v>size</v>
      </c>
      <c r="CA7" s="2" t="str">
        <f t="shared" si="2"/>
        <v>bm</v>
      </c>
      <c r="CB7" s="2" t="str">
        <f t="shared" si="2"/>
        <v>bm</v>
      </c>
      <c r="CC7" s="2" t="str">
        <f t="shared" si="2"/>
        <v>mom</v>
      </c>
      <c r="CD7" s="2" t="str">
        <f t="shared" si="2"/>
        <v>mom</v>
      </c>
      <c r="CE7" s="2" t="str">
        <f t="shared" si="2"/>
        <v>bm</v>
      </c>
      <c r="CF7" s="2" t="str">
        <f t="shared" si="2"/>
        <v>mom</v>
      </c>
      <c r="CG7" s="2" t="str">
        <f t="shared" si="2"/>
        <v>mom</v>
      </c>
      <c r="CH7" s="2" t="str">
        <f t="shared" si="2"/>
        <v>mom</v>
      </c>
      <c r="CI7" s="2" t="str">
        <f t="shared" si="2"/>
        <v>bm</v>
      </c>
      <c r="CJ7" s="2" t="str">
        <f t="shared" si="2"/>
        <v>bm</v>
      </c>
      <c r="CK7" s="2" t="str">
        <f t="shared" si="2"/>
        <v>mom</v>
      </c>
      <c r="CL7" s="2" t="str">
        <f t="shared" si="2"/>
        <v>size</v>
      </c>
      <c r="CM7" s="2" t="str">
        <f t="shared" si="2"/>
        <v>bm</v>
      </c>
      <c r="CN7" s="2" t="str">
        <f t="shared" si="2"/>
        <v>bm</v>
      </c>
      <c r="CO7" s="2" t="str">
        <f t="shared" si="2"/>
        <v>mom</v>
      </c>
      <c r="CP7" s="2" t="str">
        <f t="shared" si="2"/>
        <v>mom</v>
      </c>
      <c r="CQ7" s="2" t="str">
        <f t="shared" si="2"/>
        <v>mom</v>
      </c>
      <c r="CR7" s="2" t="str">
        <f t="shared" si="2"/>
        <v>mom</v>
      </c>
      <c r="CS7" s="2" t="str">
        <f t="shared" si="2"/>
        <v>size</v>
      </c>
      <c r="CT7" s="2" t="str">
        <f t="shared" si="2"/>
        <v>mom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mom</v>
      </c>
      <c r="CY7" s="2" t="str">
        <f t="shared" si="3"/>
        <v>mom</v>
      </c>
      <c r="CZ7" s="2" t="str">
        <f t="shared" si="3"/>
        <v>mom</v>
      </c>
      <c r="DA7" s="2" t="str">
        <f t="shared" si="3"/>
        <v>bm</v>
      </c>
      <c r="DB7" s="2" t="str">
        <f t="shared" si="3"/>
        <v>bm</v>
      </c>
      <c r="DC7" s="2" t="str">
        <f t="shared" si="3"/>
        <v>bm</v>
      </c>
      <c r="DD7" s="2" t="str">
        <f t="shared" si="3"/>
        <v>mom</v>
      </c>
      <c r="DE7" s="2" t="str">
        <f t="shared" si="3"/>
        <v>bm</v>
      </c>
      <c r="DF7" s="2" t="str">
        <f t="shared" si="3"/>
        <v>bm</v>
      </c>
      <c r="DG7" s="2" t="str">
        <f t="shared" si="3"/>
        <v>mom</v>
      </c>
      <c r="DH7" s="2" t="str">
        <f t="shared" si="3"/>
        <v>mom</v>
      </c>
      <c r="DI7" s="2" t="str">
        <f t="shared" si="3"/>
        <v>mom</v>
      </c>
      <c r="DJ7" s="2" t="str">
        <f t="shared" si="3"/>
        <v>mom</v>
      </c>
      <c r="DK7" s="2" t="str">
        <f t="shared" si="3"/>
        <v>mom</v>
      </c>
      <c r="DL7" s="2" t="str">
        <f t="shared" si="3"/>
        <v>mom</v>
      </c>
      <c r="DM7" s="2" t="str">
        <f t="shared" si="3"/>
        <v>mom</v>
      </c>
      <c r="DN7" s="2" t="str">
        <f t="shared" si="3"/>
        <v>mom</v>
      </c>
      <c r="DO7" s="2" t="str">
        <f t="shared" si="3"/>
        <v>mom</v>
      </c>
      <c r="DP7" s="2" t="str">
        <f t="shared" si="3"/>
        <v>bm</v>
      </c>
      <c r="DQ7" s="2" t="str">
        <f t="shared" si="3"/>
        <v>mom</v>
      </c>
      <c r="DR7" s="2" t="str">
        <f t="shared" si="3"/>
        <v>bm</v>
      </c>
      <c r="DS7" s="2" t="str">
        <f t="shared" si="3"/>
        <v>mom</v>
      </c>
      <c r="DT7" s="2" t="str">
        <f t="shared" si="3"/>
        <v>mom</v>
      </c>
      <c r="DU7" s="2" t="str">
        <f t="shared" si="3"/>
        <v>mom</v>
      </c>
      <c r="DV7" s="2" t="str">
        <f t="shared" si="3"/>
        <v>mom</v>
      </c>
      <c r="DW7" s="2" t="str">
        <f t="shared" si="3"/>
        <v>mom</v>
      </c>
      <c r="DX7" s="2" t="str">
        <f t="shared" si="3"/>
        <v>size</v>
      </c>
      <c r="DY7" s="2" t="str">
        <f t="shared" si="3"/>
        <v>mom</v>
      </c>
      <c r="DZ7" s="2" t="str">
        <f t="shared" si="3"/>
        <v>mom</v>
      </c>
      <c r="EA7" s="2" t="str">
        <f t="shared" ref="EA7:FF7" si="4">IF(EA6=1,"bm",IF(EA6=2,"size",IF(EA6=3,"mom")))</f>
        <v>size</v>
      </c>
      <c r="EB7" s="2" t="str">
        <f t="shared" si="4"/>
        <v>mom</v>
      </c>
      <c r="EC7" s="2" t="str">
        <f t="shared" si="4"/>
        <v>bm</v>
      </c>
      <c r="ED7" s="2" t="str">
        <f t="shared" si="4"/>
        <v>mom</v>
      </c>
      <c r="EE7" s="2" t="str">
        <f t="shared" si="4"/>
        <v>mom</v>
      </c>
      <c r="EF7" s="2" t="str">
        <f t="shared" si="4"/>
        <v>size</v>
      </c>
      <c r="EG7" s="2" t="str">
        <f t="shared" si="4"/>
        <v>mom</v>
      </c>
      <c r="EH7" s="2" t="str">
        <f t="shared" si="4"/>
        <v>mom</v>
      </c>
      <c r="EI7" s="2" t="str">
        <f t="shared" si="4"/>
        <v>mom</v>
      </c>
      <c r="EJ7" s="2" t="str">
        <f t="shared" si="4"/>
        <v>mom</v>
      </c>
      <c r="EK7" s="2" t="str">
        <f t="shared" si="4"/>
        <v>mom</v>
      </c>
      <c r="EL7" s="2" t="str">
        <f t="shared" si="4"/>
        <v>size</v>
      </c>
      <c r="EM7" s="2" t="str">
        <f t="shared" si="4"/>
        <v>mom</v>
      </c>
    </row>
    <row r="8" spans="1:145" x14ac:dyDescent="0.3">
      <c r="C8" s="2">
        <f t="shared" ref="C8:AH8" si="5">IF(C6=1,C3,IF(C6=2,C4,IF(C6=3,C5)))</f>
        <v>-0.35602255303624453</v>
      </c>
      <c r="D8" s="2">
        <f t="shared" si="5"/>
        <v>-0.24734382193855889</v>
      </c>
      <c r="E8" s="2">
        <f t="shared" si="5"/>
        <v>0.52768591000883824</v>
      </c>
      <c r="F8" s="2">
        <f t="shared" si="5"/>
        <v>9.1621703543451838E-2</v>
      </c>
      <c r="G8" s="2">
        <f t="shared" si="5"/>
        <v>-0.33444541912551767</v>
      </c>
      <c r="H8" s="2">
        <f t="shared" si="5"/>
        <v>0.35557807934338981</v>
      </c>
      <c r="I8" s="2">
        <f t="shared" si="5"/>
        <v>-0.14193848136906101</v>
      </c>
      <c r="J8" s="2">
        <f t="shared" si="5"/>
        <v>0.22945654465299789</v>
      </c>
      <c r="K8" s="2">
        <f t="shared" si="5"/>
        <v>0.37641590593379309</v>
      </c>
      <c r="L8" s="2">
        <f t="shared" si="5"/>
        <v>-0.39095115876105019</v>
      </c>
      <c r="M8" s="2">
        <f t="shared" si="5"/>
        <v>0.16570120474983141</v>
      </c>
      <c r="N8" s="2">
        <f t="shared" si="5"/>
        <v>-0.26143467111761082</v>
      </c>
      <c r="O8" s="2">
        <f t="shared" si="5"/>
        <v>0.32674605046024302</v>
      </c>
      <c r="P8" s="2">
        <f t="shared" si="5"/>
        <v>0.26091415721504319</v>
      </c>
      <c r="Q8" s="2">
        <f t="shared" si="5"/>
        <v>-0.1077953169647555</v>
      </c>
      <c r="R8" s="2">
        <f t="shared" si="5"/>
        <v>-0.13738348482797161</v>
      </c>
      <c r="S8" s="2">
        <f t="shared" si="5"/>
        <v>0.32196519062115619</v>
      </c>
      <c r="T8" s="2">
        <f t="shared" si="5"/>
        <v>0.1577185559806982</v>
      </c>
      <c r="U8" s="2">
        <f t="shared" si="5"/>
        <v>-0.25838402358278728</v>
      </c>
      <c r="V8" s="2">
        <f t="shared" si="5"/>
        <v>0.20272926171313391</v>
      </c>
      <c r="W8" s="2">
        <f t="shared" si="5"/>
        <v>-0.37900040700733478</v>
      </c>
      <c r="X8" s="2">
        <f t="shared" si="5"/>
        <v>-0.17107394554599489</v>
      </c>
      <c r="Y8" s="2">
        <f t="shared" si="5"/>
        <v>-0.6091363947557743</v>
      </c>
      <c r="Z8" s="2">
        <f t="shared" si="5"/>
        <v>-8.7419029003689655E-2</v>
      </c>
      <c r="AA8" s="2">
        <f t="shared" si="5"/>
        <v>0.42374789292198939</v>
      </c>
      <c r="AB8" s="2">
        <f t="shared" si="5"/>
        <v>-0.21459677754992679</v>
      </c>
      <c r="AC8" s="2">
        <f t="shared" si="5"/>
        <v>-0.1144491391906407</v>
      </c>
      <c r="AD8" s="2">
        <f t="shared" si="5"/>
        <v>0.24384130060927259</v>
      </c>
      <c r="AE8" s="2">
        <f t="shared" si="5"/>
        <v>8.2451056568350709E-2</v>
      </c>
      <c r="AF8" s="2">
        <f t="shared" si="5"/>
        <v>0.18824065512069871</v>
      </c>
      <c r="AG8" s="2">
        <f t="shared" si="5"/>
        <v>0.1222387206017722</v>
      </c>
      <c r="AH8" s="2">
        <f t="shared" si="5"/>
        <v>-0.3051658563382863</v>
      </c>
      <c r="AI8" s="2">
        <f t="shared" ref="AI8:BN8" si="6">IF(AI6=1,AI3,IF(AI6=2,AI4,IF(AI6=3,AI5)))</f>
        <v>0.15762471600367869</v>
      </c>
      <c r="AJ8" s="2">
        <f t="shared" si="6"/>
        <v>-0.68021373773600025</v>
      </c>
      <c r="AK8" s="2">
        <f t="shared" si="6"/>
        <v>9.0663364527517804E-2</v>
      </c>
      <c r="AL8" s="2">
        <f t="shared" si="6"/>
        <v>0.19313853511160101</v>
      </c>
      <c r="AM8" s="2">
        <f t="shared" si="6"/>
        <v>-0.1593670046856257</v>
      </c>
      <c r="AN8" s="2">
        <f t="shared" si="6"/>
        <v>0.25612014410100881</v>
      </c>
      <c r="AO8" s="2">
        <f t="shared" si="6"/>
        <v>0.25326788161785452</v>
      </c>
      <c r="AP8" s="2">
        <f t="shared" si="6"/>
        <v>0.20792985272972619</v>
      </c>
      <c r="AQ8" s="2">
        <f t="shared" si="6"/>
        <v>0.26625784896468052</v>
      </c>
      <c r="AR8" s="2">
        <f t="shared" si="6"/>
        <v>9.3532219454879356E-2</v>
      </c>
      <c r="AS8" s="2">
        <f t="shared" si="6"/>
        <v>-0.1422532223975255</v>
      </c>
      <c r="AT8" s="2">
        <f t="shared" si="6"/>
        <v>0.16459019868234889</v>
      </c>
      <c r="AU8" s="2">
        <f t="shared" si="6"/>
        <v>-0.29628044254228481</v>
      </c>
      <c r="AV8" s="2">
        <f t="shared" si="6"/>
        <v>-0.22195205322781139</v>
      </c>
      <c r="AW8" s="2">
        <f t="shared" si="6"/>
        <v>-0.19104490996141851</v>
      </c>
      <c r="AX8" s="2">
        <f t="shared" si="6"/>
        <v>-0.16039194510643379</v>
      </c>
      <c r="AY8" s="2">
        <f t="shared" si="6"/>
        <v>0.12907394968742911</v>
      </c>
      <c r="AZ8" s="2">
        <f t="shared" si="6"/>
        <v>0.23443646192314299</v>
      </c>
      <c r="BA8" s="2">
        <f t="shared" si="6"/>
        <v>0.1659581375266328</v>
      </c>
      <c r="BB8" s="2">
        <f t="shared" si="6"/>
        <v>-0.21525994170681531</v>
      </c>
      <c r="BC8" s="2">
        <f t="shared" si="6"/>
        <v>0.1302099546908265</v>
      </c>
      <c r="BD8" s="2">
        <f t="shared" si="6"/>
        <v>0.20026039215823041</v>
      </c>
      <c r="BE8" s="2">
        <f t="shared" si="6"/>
        <v>0.17767650991380921</v>
      </c>
      <c r="BF8" s="2">
        <f t="shared" si="6"/>
        <v>-0.30632321099993309</v>
      </c>
      <c r="BG8" s="2">
        <f t="shared" si="6"/>
        <v>0.33032254291108359</v>
      </c>
      <c r="BH8" s="2">
        <f t="shared" si="6"/>
        <v>0.31722692640179961</v>
      </c>
      <c r="BI8" s="2">
        <f t="shared" si="6"/>
        <v>-9.9003271360800227E-2</v>
      </c>
      <c r="BJ8" s="2">
        <f t="shared" si="6"/>
        <v>-0.377766382042375</v>
      </c>
      <c r="BK8" s="2">
        <f t="shared" si="6"/>
        <v>0.1710576050513124</v>
      </c>
      <c r="BL8" s="2">
        <f t="shared" si="6"/>
        <v>-0.15901657189760751</v>
      </c>
      <c r="BM8" s="2">
        <f t="shared" si="6"/>
        <v>0.29566311964252062</v>
      </c>
      <c r="BN8" s="2">
        <f t="shared" si="6"/>
        <v>6.1035782377288413E-2</v>
      </c>
      <c r="BO8" s="2">
        <f t="shared" ref="BO8:CT8" si="7">IF(BO6=1,BO3,IF(BO6=2,BO4,IF(BO6=3,BO5)))</f>
        <v>-0.21386733455172441</v>
      </c>
      <c r="BP8" s="2">
        <f t="shared" si="7"/>
        <v>0.18539731380876759</v>
      </c>
      <c r="BQ8" s="2">
        <f t="shared" si="7"/>
        <v>-0.2644041519976843</v>
      </c>
      <c r="BR8" s="2">
        <f t="shared" si="7"/>
        <v>0.28168982471721238</v>
      </c>
      <c r="BS8" s="2">
        <f t="shared" si="7"/>
        <v>9.3255604107027268E-2</v>
      </c>
      <c r="BT8" s="2">
        <f t="shared" si="7"/>
        <v>0.25391019577751839</v>
      </c>
      <c r="BU8" s="2">
        <f t="shared" si="7"/>
        <v>-0.2208865037169013</v>
      </c>
      <c r="BV8" s="2">
        <f t="shared" si="7"/>
        <v>0.1113375442569535</v>
      </c>
      <c r="BW8" s="2">
        <f t="shared" si="7"/>
        <v>6.6547110474733912E-2</v>
      </c>
      <c r="BX8" s="2">
        <f t="shared" si="7"/>
        <v>-0.1096838899370035</v>
      </c>
      <c r="BY8" s="2">
        <f t="shared" si="7"/>
        <v>-0.1549745966812619</v>
      </c>
      <c r="BZ8" s="2">
        <f t="shared" si="7"/>
        <v>0.17456977446855679</v>
      </c>
      <c r="CA8" s="2">
        <f t="shared" si="7"/>
        <v>-5.0171625061092177E-2</v>
      </c>
      <c r="CB8" s="2">
        <f t="shared" si="7"/>
        <v>-7.0239615583515547E-2</v>
      </c>
      <c r="CC8" s="2">
        <f t="shared" si="7"/>
        <v>-0.28837910471559852</v>
      </c>
      <c r="CD8" s="2">
        <f t="shared" si="7"/>
        <v>0.34067466598778878</v>
      </c>
      <c r="CE8" s="2">
        <f t="shared" si="7"/>
        <v>0.21131661843971669</v>
      </c>
      <c r="CF8" s="2">
        <f t="shared" si="7"/>
        <v>-0.1296863733007578</v>
      </c>
      <c r="CG8" s="2">
        <f t="shared" si="7"/>
        <v>0.15976746637967629</v>
      </c>
      <c r="CH8" s="2">
        <f t="shared" si="7"/>
        <v>-0.23825235796998209</v>
      </c>
      <c r="CI8" s="2">
        <f t="shared" si="7"/>
        <v>0.22258294087819999</v>
      </c>
      <c r="CJ8" s="2">
        <f t="shared" si="7"/>
        <v>-0.28268220919664089</v>
      </c>
      <c r="CK8" s="2">
        <f t="shared" si="7"/>
        <v>9.3012092996989273E-2</v>
      </c>
      <c r="CL8" s="2">
        <f t="shared" si="7"/>
        <v>-0.1089911061285367</v>
      </c>
      <c r="CM8" s="2">
        <f t="shared" si="7"/>
        <v>0.27379286416098292</v>
      </c>
      <c r="CN8" s="2">
        <f t="shared" si="7"/>
        <v>-0.39000662146638571</v>
      </c>
      <c r="CO8" s="2">
        <f t="shared" si="7"/>
        <v>0.62382678445663653</v>
      </c>
      <c r="CP8" s="2">
        <f t="shared" si="7"/>
        <v>9.8069367239007818E-2</v>
      </c>
      <c r="CQ8" s="2">
        <f t="shared" si="7"/>
        <v>-0.34398023521672633</v>
      </c>
      <c r="CR8" s="2">
        <f t="shared" si="7"/>
        <v>0.23965589513689431</v>
      </c>
      <c r="CS8" s="2">
        <f t="shared" si="7"/>
        <v>-0.20790819007173231</v>
      </c>
      <c r="CT8" s="2">
        <f t="shared" si="7"/>
        <v>0.20917057102557721</v>
      </c>
      <c r="CU8" s="2">
        <f t="shared" ref="CU8:DZ8" si="8">IF(CU6=1,CU3,IF(CU6=2,CU4,IF(CU6=3,CU5)))</f>
        <v>-0.13994756491628749</v>
      </c>
      <c r="CV8" s="2">
        <f t="shared" si="8"/>
        <v>-0.14628801332363431</v>
      </c>
      <c r="CW8" s="2">
        <f t="shared" si="8"/>
        <v>0.31017320529162662</v>
      </c>
      <c r="CX8" s="2">
        <f t="shared" si="8"/>
        <v>0.25353915592821968</v>
      </c>
      <c r="CY8" s="2">
        <f t="shared" si="8"/>
        <v>-0.79527742145542657</v>
      </c>
      <c r="CZ8" s="2">
        <f t="shared" si="8"/>
        <v>0.80355177224477214</v>
      </c>
      <c r="DA8" s="2">
        <f t="shared" si="8"/>
        <v>0.25668575080604511</v>
      </c>
      <c r="DB8" s="2">
        <f t="shared" si="8"/>
        <v>-0.16423592993500721</v>
      </c>
      <c r="DC8" s="2">
        <f t="shared" si="8"/>
        <v>-0.25891871236192893</v>
      </c>
      <c r="DD8" s="2">
        <f t="shared" si="8"/>
        <v>-0.2347694823541964</v>
      </c>
      <c r="DE8" s="2">
        <f t="shared" si="8"/>
        <v>0.16039046409100291</v>
      </c>
      <c r="DF8" s="2">
        <f t="shared" si="8"/>
        <v>-0.1125151400819166</v>
      </c>
      <c r="DG8" s="2">
        <f t="shared" si="8"/>
        <v>-0.50647317879216458</v>
      </c>
      <c r="DH8" s="2">
        <f t="shared" si="8"/>
        <v>0.17758880086016901</v>
      </c>
      <c r="DI8" s="2">
        <f t="shared" si="8"/>
        <v>0.24345215756039101</v>
      </c>
      <c r="DJ8" s="2">
        <f t="shared" si="8"/>
        <v>-0.63199691128278157</v>
      </c>
      <c r="DK8" s="2">
        <f t="shared" si="8"/>
        <v>0.76553812905546981</v>
      </c>
      <c r="DL8" s="2">
        <f t="shared" si="8"/>
        <v>0.1134987555126632</v>
      </c>
      <c r="DM8" s="2">
        <f t="shared" si="8"/>
        <v>-0.45407241147436012</v>
      </c>
      <c r="DN8" s="2">
        <f t="shared" si="8"/>
        <v>0.5381646260587134</v>
      </c>
      <c r="DO8" s="2">
        <f t="shared" si="8"/>
        <v>-0.26009015152361792</v>
      </c>
      <c r="DP8" s="2">
        <f t="shared" si="8"/>
        <v>0.16589996047491321</v>
      </c>
      <c r="DQ8" s="2">
        <f t="shared" si="8"/>
        <v>-0.20285821236619811</v>
      </c>
      <c r="DR8" s="2">
        <f t="shared" si="8"/>
        <v>-5.3222765204426259E-2</v>
      </c>
      <c r="DS8" s="2">
        <f t="shared" si="8"/>
        <v>-0.16671516537849729</v>
      </c>
      <c r="DT8" s="2">
        <f t="shared" si="8"/>
        <v>0.33878844679546338</v>
      </c>
      <c r="DU8" s="2">
        <f t="shared" si="8"/>
        <v>-0.59979946723464084</v>
      </c>
      <c r="DV8" s="2">
        <f t="shared" si="8"/>
        <v>0.83514380187623793</v>
      </c>
      <c r="DW8" s="2">
        <f t="shared" si="8"/>
        <v>-9.255748547327998E-2</v>
      </c>
      <c r="DX8" s="2">
        <f t="shared" si="8"/>
        <v>-0.1453929875597364</v>
      </c>
      <c r="DY8" s="2">
        <f t="shared" si="8"/>
        <v>0.4235750632459292</v>
      </c>
      <c r="DZ8" s="2">
        <f t="shared" si="8"/>
        <v>0.30902986430062002</v>
      </c>
      <c r="EA8" s="2">
        <f t="shared" ref="EA8:EM8" si="9">IF(EA6=1,EA3,IF(EA6=2,EA4,IF(EA6=3,EA5)))</f>
        <v>-0.25996993215089498</v>
      </c>
      <c r="EB8" s="2">
        <f t="shared" si="9"/>
        <v>-0.89458161361561928</v>
      </c>
      <c r="EC8" s="2">
        <f t="shared" si="9"/>
        <v>-8.3944738981710995E-2</v>
      </c>
      <c r="ED8" s="2">
        <f t="shared" si="9"/>
        <v>-0.19737598163049891</v>
      </c>
      <c r="EE8" s="2">
        <f t="shared" si="9"/>
        <v>0.32955546848400757</v>
      </c>
      <c r="EF8" s="2">
        <f t="shared" si="9"/>
        <v>0.17540569835811759</v>
      </c>
      <c r="EG8" s="2">
        <f t="shared" si="9"/>
        <v>0.41590935608064328</v>
      </c>
      <c r="EH8" s="2">
        <f t="shared" si="9"/>
        <v>-0.1780246200952896</v>
      </c>
      <c r="EI8" s="2">
        <f t="shared" si="9"/>
        <v>-0.30056728540568339</v>
      </c>
      <c r="EJ8" s="2">
        <f t="shared" si="9"/>
        <v>0.3783868000433685</v>
      </c>
      <c r="EK8" s="2">
        <f t="shared" si="9"/>
        <v>-0.30609793068418661</v>
      </c>
      <c r="EL8" s="2">
        <f t="shared" si="9"/>
        <v>0.19398234319787019</v>
      </c>
      <c r="EM8" s="2">
        <f t="shared" si="9"/>
        <v>-0.61002274929031197</v>
      </c>
    </row>
    <row r="10" spans="1:145" x14ac:dyDescent="0.3">
      <c r="A10" s="20" t="s">
        <v>147</v>
      </c>
      <c r="B10" s="21"/>
      <c r="C10" s="6" t="s">
        <v>148</v>
      </c>
      <c r="D10" s="6">
        <v>1051</v>
      </c>
    </row>
    <row r="11" spans="1:145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151</v>
      </c>
      <c r="EN11" s="6" t="s">
        <v>152</v>
      </c>
      <c r="EO11" s="6" t="s">
        <v>153</v>
      </c>
    </row>
    <row r="12" spans="1:145" x14ac:dyDescent="0.3">
      <c r="A12" s="18">
        <v>10</v>
      </c>
      <c r="B12" s="18">
        <f t="shared" ref="B12:B24" si="10">ROUND($D$10/A12,0)</f>
        <v>105</v>
      </c>
      <c r="C12" s="3">
        <v>6.2181404938338167E-2</v>
      </c>
      <c r="D12" s="3">
        <v>8.4264609539734137E-2</v>
      </c>
      <c r="E12" s="3">
        <v>4.1138600018141222E-3</v>
      </c>
      <c r="F12" s="3">
        <v>-3.957950029870471E-2</v>
      </c>
      <c r="G12" s="3">
        <v>-3.1496622185458831E-2</v>
      </c>
      <c r="H12" s="3">
        <v>7.8340572885959702E-3</v>
      </c>
      <c r="I12" s="3">
        <v>-4.8160827717174212E-2</v>
      </c>
      <c r="J12" s="3">
        <v>4.608764057151972E-2</v>
      </c>
      <c r="K12" s="3">
        <v>9.7630643509089808E-3</v>
      </c>
      <c r="L12" s="3">
        <v>-2.5068560509419469E-3</v>
      </c>
      <c r="M12" s="3">
        <v>1.6713260085312071E-2</v>
      </c>
      <c r="N12" s="3">
        <v>-2.4155060958695861E-2</v>
      </c>
      <c r="O12" s="3">
        <v>1.440938600654766E-2</v>
      </c>
      <c r="P12" s="3">
        <v>-3.6259864152778971E-4</v>
      </c>
      <c r="Q12" s="3">
        <v>1.467429484273091E-2</v>
      </c>
      <c r="R12" s="3">
        <v>-6.5266784038487801E-3</v>
      </c>
      <c r="S12" s="3">
        <v>3.448128282287239E-2</v>
      </c>
      <c r="T12" s="3">
        <v>5.7277504812349243E-2</v>
      </c>
      <c r="U12" s="3">
        <v>1.720424695691113E-2</v>
      </c>
      <c r="V12" s="3">
        <v>1.017696712587865E-2</v>
      </c>
      <c r="W12" s="3">
        <v>2.1207194853746409E-2</v>
      </c>
      <c r="X12" s="3">
        <v>3.2746473808823118E-2</v>
      </c>
      <c r="Y12" s="3">
        <v>-2.5938494808392231E-2</v>
      </c>
      <c r="Z12" s="3">
        <v>1.3423594960688489E-2</v>
      </c>
      <c r="AA12" s="3">
        <v>-3.4523301076138331E-2</v>
      </c>
      <c r="AB12" s="3">
        <v>-2.2175947899882129E-2</v>
      </c>
      <c r="AC12" s="3">
        <v>2.9972177286207661E-2</v>
      </c>
      <c r="AD12" s="3">
        <v>8.1252062804578265E-3</v>
      </c>
      <c r="AE12" s="3">
        <v>5.4112326143648817E-2</v>
      </c>
      <c r="AF12" s="3">
        <v>-4.1218132763302218E-2</v>
      </c>
      <c r="AG12" s="3">
        <v>3.5116666805739868E-2</v>
      </c>
      <c r="AH12" s="3">
        <v>-2.1378810375735111E-5</v>
      </c>
      <c r="AI12" s="3">
        <v>3.1185106569129539E-2</v>
      </c>
      <c r="AJ12" s="3">
        <v>3.3182792022163149E-2</v>
      </c>
      <c r="AK12" s="3">
        <v>4.4280241438419909E-2</v>
      </c>
      <c r="AL12" s="3">
        <v>2.0330995588008171E-2</v>
      </c>
      <c r="AM12" s="3">
        <v>1.637162767064395E-2</v>
      </c>
      <c r="AN12" s="3">
        <v>5.9866410334872611E-2</v>
      </c>
      <c r="AO12" s="3">
        <v>1.8048415955814419E-2</v>
      </c>
      <c r="AP12" s="3">
        <v>1.5449550207077259E-2</v>
      </c>
      <c r="AQ12" s="3">
        <v>-3.1740302329704782E-2</v>
      </c>
      <c r="AR12" s="3">
        <v>3.4844679296734869E-2</v>
      </c>
      <c r="AS12" s="3">
        <v>-1.8043914863779081E-2</v>
      </c>
      <c r="AT12" s="3">
        <v>5.4551192888708293E-2</v>
      </c>
      <c r="AU12" s="3">
        <v>3.9677397679698287E-2</v>
      </c>
      <c r="AV12" s="3">
        <v>-3.30464694244781E-2</v>
      </c>
      <c r="AW12" s="3">
        <v>-8.9232381551828631E-3</v>
      </c>
      <c r="AX12" s="3">
        <v>6.0657472722322602E-2</v>
      </c>
      <c r="AY12" s="3">
        <v>-3.8621998592913219E-3</v>
      </c>
      <c r="AZ12" s="3">
        <v>-2.4183162821939389E-2</v>
      </c>
      <c r="BA12" s="3">
        <v>5.3275165372801331E-2</v>
      </c>
      <c r="BB12" s="3">
        <v>-1.0872221872352889E-2</v>
      </c>
      <c r="BC12" s="3">
        <v>-1.074507097942776E-2</v>
      </c>
      <c r="BD12" s="3">
        <v>9.3709268156053939E-3</v>
      </c>
      <c r="BE12" s="3">
        <v>-1.9712391104442079E-2</v>
      </c>
      <c r="BF12" s="3">
        <v>8.1921768745714552E-2</v>
      </c>
      <c r="BG12" s="3">
        <v>7.7677964037342506E-2</v>
      </c>
      <c r="BH12" s="3">
        <v>3.3262575328506287E-2</v>
      </c>
      <c r="BI12" s="3">
        <v>1.77015517340758E-2</v>
      </c>
      <c r="BJ12" s="3">
        <v>2.1936183120647799E-2</v>
      </c>
      <c r="BK12" s="3">
        <v>-3.1027804274209762E-2</v>
      </c>
      <c r="BL12" s="3">
        <v>4.046423007032434E-2</v>
      </c>
      <c r="BM12" s="3">
        <v>3.6266223618135189E-2</v>
      </c>
      <c r="BN12" s="3">
        <v>-3.4957098412914097E-4</v>
      </c>
      <c r="BO12" s="3">
        <v>-2.2846429621774161E-2</v>
      </c>
      <c r="BP12" s="3">
        <v>-5.5561234318811208E-4</v>
      </c>
      <c r="BQ12" s="3">
        <v>2.163331942587585E-2</v>
      </c>
      <c r="BR12" s="3">
        <v>-2.8535840416445971E-2</v>
      </c>
      <c r="BS12" s="3">
        <v>-4.103294223807806E-3</v>
      </c>
      <c r="BT12" s="3">
        <v>-5.8024577332382865E-4</v>
      </c>
      <c r="BU12" s="3">
        <v>2.458877499902886E-3</v>
      </c>
      <c r="BV12" s="3">
        <v>-4.1449586904384238E-2</v>
      </c>
      <c r="BW12" s="3">
        <v>8.8564749814537824E-3</v>
      </c>
      <c r="BX12" s="3">
        <v>1.7394814459243989E-3</v>
      </c>
      <c r="BY12" s="3">
        <v>-6.2538321029443761E-2</v>
      </c>
      <c r="BZ12" s="3">
        <v>-4.5698475571659757E-2</v>
      </c>
      <c r="CA12" s="3">
        <v>-2.725977430257921E-3</v>
      </c>
      <c r="CB12" s="3">
        <v>-3.4526010818206318E-2</v>
      </c>
      <c r="CC12" s="3">
        <v>3.6673168247608252E-2</v>
      </c>
      <c r="CD12" s="3">
        <v>3.7891659123275377E-2</v>
      </c>
      <c r="CE12" s="3">
        <v>3.0602103606443162E-2</v>
      </c>
      <c r="CF12" s="3">
        <v>-1.197601771046469E-3</v>
      </c>
      <c r="CG12" s="3">
        <v>3.87258273149442E-3</v>
      </c>
      <c r="CH12" s="3">
        <v>8.0408767060485137E-3</v>
      </c>
      <c r="CI12" s="3">
        <v>-3.8777218089043761E-2</v>
      </c>
      <c r="CJ12" s="3">
        <v>-3.8090540177959348E-2</v>
      </c>
      <c r="CK12" s="3">
        <v>4.5198396307233248E-2</v>
      </c>
      <c r="CL12" s="3">
        <v>-2.3282744130858238E-2</v>
      </c>
      <c r="CM12" s="3">
        <v>-4.942263518384863E-2</v>
      </c>
      <c r="CN12" s="3">
        <v>-1.5856105673008689E-2</v>
      </c>
      <c r="CO12" s="3">
        <v>-1.2704380992638851E-2</v>
      </c>
      <c r="CP12" s="3">
        <v>-1.8490346270699089E-2</v>
      </c>
      <c r="CQ12" s="3">
        <v>6.9116053836142138E-2</v>
      </c>
      <c r="CR12" s="3">
        <v>4.472004562070463E-3</v>
      </c>
      <c r="CS12" s="3">
        <v>-6.9312474510201498E-3</v>
      </c>
      <c r="CT12" s="3">
        <v>-1.6549010642583729E-2</v>
      </c>
      <c r="CU12" s="3">
        <v>9.768389881200415E-2</v>
      </c>
      <c r="CV12" s="3">
        <v>-5.8495282701000823E-2</v>
      </c>
      <c r="CW12" s="3">
        <v>4.9031914305524678E-2</v>
      </c>
      <c r="CX12" s="3">
        <v>-4.1695827921404367E-2</v>
      </c>
      <c r="CY12" s="3">
        <v>-2.7883659826288879E-2</v>
      </c>
      <c r="CZ12" s="3">
        <v>1.248600170770695E-2</v>
      </c>
      <c r="DA12" s="3">
        <v>2.432487340449167E-2</v>
      </c>
      <c r="DB12" s="3">
        <v>3.2354149588240663E-2</v>
      </c>
      <c r="DC12" s="3">
        <v>-2.2718982538888249E-2</v>
      </c>
      <c r="DD12" s="3">
        <v>6.1722424004305901E-2</v>
      </c>
      <c r="DE12" s="3">
        <v>-2.2415140538990098E-3</v>
      </c>
      <c r="DF12" s="3">
        <v>3.8745966083637462E-3</v>
      </c>
      <c r="DG12" s="3">
        <v>4.4270874381062787E-2</v>
      </c>
      <c r="DH12" s="3">
        <v>-2.48266212076888E-2</v>
      </c>
      <c r="DI12" s="3">
        <v>3.1448248020990277E-2</v>
      </c>
      <c r="DJ12" s="3">
        <v>-1.384190243803205E-2</v>
      </c>
      <c r="DK12" s="3">
        <v>1.0182808136264449E-2</v>
      </c>
      <c r="DL12" s="3">
        <v>-1.34822090923448E-3</v>
      </c>
      <c r="DM12" s="3">
        <v>2.2979892928873129E-2</v>
      </c>
      <c r="DN12" s="3">
        <v>-1.536875292760163E-2</v>
      </c>
      <c r="DO12" s="3">
        <v>3.9676694570574308E-2</v>
      </c>
      <c r="DP12" s="3">
        <v>6.2926605319673173E-2</v>
      </c>
      <c r="DQ12" s="3">
        <v>-5.4413980345995587E-2</v>
      </c>
      <c r="DR12" s="3">
        <v>-1.900619262220693E-2</v>
      </c>
      <c r="DS12" s="3">
        <v>-6.0573643045062929E-2</v>
      </c>
      <c r="DT12" s="3">
        <v>4.247703523520905E-2</v>
      </c>
      <c r="DU12" s="3">
        <v>-2.871541342572494E-2</v>
      </c>
      <c r="DV12" s="3">
        <v>-1.331479967134511E-2</v>
      </c>
      <c r="DW12" s="3">
        <v>1.5853837427013131E-3</v>
      </c>
      <c r="DX12" s="3">
        <v>-1.995075988671971E-2</v>
      </c>
      <c r="DY12" s="3">
        <v>-1.103907887353147E-2</v>
      </c>
      <c r="DZ12" s="3">
        <v>-1.3564613315755191E-2</v>
      </c>
      <c r="EA12" s="3">
        <v>-2.2673952536553729E-2</v>
      </c>
      <c r="EB12" s="3">
        <v>2.9887888379338149E-2</v>
      </c>
      <c r="EC12" s="3">
        <v>-3.044456498891545E-2</v>
      </c>
      <c r="ED12" s="3">
        <v>1.7342320490148961E-2</v>
      </c>
      <c r="EE12" s="3">
        <v>-1.0682568033158651E-3</v>
      </c>
      <c r="EF12" s="3">
        <v>-1.3301352988283249E-2</v>
      </c>
      <c r="EG12" s="3">
        <v>-1.2322542760161649E-2</v>
      </c>
      <c r="EH12" s="3">
        <v>-1.6004968026353959E-2</v>
      </c>
      <c r="EI12" s="3">
        <v>-2.4021281552357499E-2</v>
      </c>
      <c r="EJ12" s="3">
        <v>3.5574823880752657E-2</v>
      </c>
      <c r="EK12" s="3">
        <v>4.2706478432582698E-2</v>
      </c>
      <c r="EL12" s="3">
        <v>-1.388977535640455E-2</v>
      </c>
      <c r="EM12" s="3">
        <v>-1.388977535640455E-2</v>
      </c>
      <c r="EN12">
        <f t="shared" ref="EN12:EN25" si="11">STDEV(C12:EL12)</f>
        <v>3.3318691485386173E-2</v>
      </c>
      <c r="EO12">
        <f t="shared" ref="EO12:EO25" si="12">EM12/EN12</f>
        <v>-0.41687637590740045</v>
      </c>
    </row>
    <row r="13" spans="1:145" x14ac:dyDescent="0.3">
      <c r="A13" s="18">
        <v>20</v>
      </c>
      <c r="B13" s="18">
        <f t="shared" si="10"/>
        <v>53</v>
      </c>
      <c r="C13" s="3">
        <v>4.4512635333242102E-2</v>
      </c>
      <c r="D13" s="3">
        <v>0.11851844322485609</v>
      </c>
      <c r="E13" s="3">
        <v>-1.050004306373652E-2</v>
      </c>
      <c r="F13" s="3">
        <v>-5.126270022000964E-3</v>
      </c>
      <c r="G13" s="3">
        <v>-4.3270715185955003E-2</v>
      </c>
      <c r="H13" s="3">
        <v>-1.309449802327738E-2</v>
      </c>
      <c r="I13" s="3">
        <v>-5.832663986314824E-2</v>
      </c>
      <c r="J13" s="3">
        <v>6.7435936163927554E-2</v>
      </c>
      <c r="K13" s="3">
        <v>1.9172696902168579E-2</v>
      </c>
      <c r="L13" s="3">
        <v>3.3152402822917699E-3</v>
      </c>
      <c r="M13" s="3">
        <v>-1.1072008473440189E-2</v>
      </c>
      <c r="N13" s="3">
        <v>-1.0020814119768499E-3</v>
      </c>
      <c r="O13" s="3">
        <v>1.9594612101946639E-2</v>
      </c>
      <c r="P13" s="3">
        <v>7.1427246845074833E-3</v>
      </c>
      <c r="Q13" s="3">
        <v>1.6050006527179899E-2</v>
      </c>
      <c r="R13" s="3">
        <v>-1.406432185474042E-2</v>
      </c>
      <c r="S13" s="3">
        <v>6.442882456980209E-2</v>
      </c>
      <c r="T13" s="3">
        <v>5.9051776690618903E-2</v>
      </c>
      <c r="U13" s="3">
        <v>7.1733003989353755E-2</v>
      </c>
      <c r="V13" s="3">
        <v>2.4458001841423809E-2</v>
      </c>
      <c r="W13" s="3">
        <v>7.1286373578602494E-3</v>
      </c>
      <c r="X13" s="3">
        <v>3.7792308986163141E-2</v>
      </c>
      <c r="Y13" s="3">
        <v>-3.4629846317314493E-2</v>
      </c>
      <c r="Z13" s="3">
        <v>1.1894756439366E-2</v>
      </c>
      <c r="AA13" s="3">
        <v>-2.164019024053716E-2</v>
      </c>
      <c r="AB13" s="3">
        <v>-2.396145181925104E-2</v>
      </c>
      <c r="AC13" s="3">
        <v>2.144142414652548E-2</v>
      </c>
      <c r="AD13" s="3">
        <v>3.7635955855267879E-3</v>
      </c>
      <c r="AE13" s="3">
        <v>7.2387982478601814E-2</v>
      </c>
      <c r="AF13" s="3">
        <v>-6.7659955541529745E-2</v>
      </c>
      <c r="AG13" s="3">
        <v>3.4277821528529782E-2</v>
      </c>
      <c r="AH13" s="3">
        <v>-9.5352935001519565E-3</v>
      </c>
      <c r="AI13" s="3">
        <v>5.5591415507863701E-2</v>
      </c>
      <c r="AJ13" s="3">
        <v>3.0749563881559531E-2</v>
      </c>
      <c r="AK13" s="3">
        <v>3.607169832883754E-2</v>
      </c>
      <c r="AL13" s="3">
        <v>2.276391569998237E-2</v>
      </c>
      <c r="AM13" s="3">
        <v>2.7877452789239039E-2</v>
      </c>
      <c r="AN13" s="3">
        <v>9.0222826152910079E-2</v>
      </c>
      <c r="AO13" s="3">
        <v>2.3419907015302461E-2</v>
      </c>
      <c r="AP13" s="3">
        <v>1.078433882432956E-2</v>
      </c>
      <c r="AQ13" s="3">
        <v>-2.4451927807664409E-2</v>
      </c>
      <c r="AR13" s="3">
        <v>6.364199169055261E-2</v>
      </c>
      <c r="AS13" s="3">
        <v>3.4890390685492581E-3</v>
      </c>
      <c r="AT13" s="3">
        <v>6.5291363396887847E-2</v>
      </c>
      <c r="AU13" s="3">
        <v>5.1188061153317921E-2</v>
      </c>
      <c r="AV13" s="3">
        <v>-2.5582900395964839E-2</v>
      </c>
      <c r="AW13" s="3">
        <v>-2.9616201286309499E-2</v>
      </c>
      <c r="AX13" s="3">
        <v>8.0504614819799883E-2</v>
      </c>
      <c r="AY13" s="3">
        <v>1.0325447329673219E-4</v>
      </c>
      <c r="AZ13" s="3">
        <v>-2.9388189033252379E-2</v>
      </c>
      <c r="BA13" s="3">
        <v>7.4556762382107247E-2</v>
      </c>
      <c r="BB13" s="3">
        <v>-1.5933302629414999E-2</v>
      </c>
      <c r="BC13" s="3">
        <v>-1.418846420592915E-2</v>
      </c>
      <c r="BD13" s="3">
        <v>3.3571558416073339E-3</v>
      </c>
      <c r="BE13" s="3">
        <v>-5.715998013428418E-2</v>
      </c>
      <c r="BF13" s="3">
        <v>0.1131570972120946</v>
      </c>
      <c r="BG13" s="3">
        <v>0.11458105806819591</v>
      </c>
      <c r="BH13" s="3">
        <v>4.7726166526024023E-2</v>
      </c>
      <c r="BI13" s="3">
        <v>5.6371363449701353E-2</v>
      </c>
      <c r="BJ13" s="3">
        <v>2.734455108763811E-2</v>
      </c>
      <c r="BK13" s="3">
        <v>-2.2384667104573951E-2</v>
      </c>
      <c r="BL13" s="3">
        <v>3.2397408753210878E-2</v>
      </c>
      <c r="BM13" s="3">
        <v>4.1815775290882373E-2</v>
      </c>
      <c r="BN13" s="3">
        <v>-1.500668251007542E-2</v>
      </c>
      <c r="BO13" s="3">
        <v>-3.593455212187964E-2</v>
      </c>
      <c r="BP13" s="3">
        <v>-4.6989496729714381E-3</v>
      </c>
      <c r="BQ13" s="3">
        <v>1.2854873173333531E-2</v>
      </c>
      <c r="BR13" s="3">
        <v>-4.307960352923574E-2</v>
      </c>
      <c r="BS13" s="3">
        <v>-8.0565574425223684E-3</v>
      </c>
      <c r="BT13" s="3">
        <v>-1.427738368727223E-2</v>
      </c>
      <c r="BU13" s="3">
        <v>3.4784584817367417E-2</v>
      </c>
      <c r="BV13" s="3">
        <v>-2.354388550713753E-2</v>
      </c>
      <c r="BW13" s="3">
        <v>1.488403654982157E-2</v>
      </c>
      <c r="BX13" s="3">
        <v>1.9205295888962009E-2</v>
      </c>
      <c r="BY13" s="3">
        <v>-8.8793156288871578E-2</v>
      </c>
      <c r="BZ13" s="3">
        <v>-4.134381753696531E-2</v>
      </c>
      <c r="CA13" s="3">
        <v>8.9506563120284495E-3</v>
      </c>
      <c r="CB13" s="3">
        <v>-2.6837325212486229E-2</v>
      </c>
      <c r="CC13" s="3">
        <v>2.9125820254374421E-2</v>
      </c>
      <c r="CD13" s="3">
        <v>6.9738009380679825E-2</v>
      </c>
      <c r="CE13" s="3">
        <v>3.289416908116409E-2</v>
      </c>
      <c r="CF13" s="3">
        <v>-8.3313059343177592E-3</v>
      </c>
      <c r="CG13" s="3">
        <v>1.846653809974549E-3</v>
      </c>
      <c r="CH13" s="3">
        <v>4.9770221898610537E-2</v>
      </c>
      <c r="CI13" s="3">
        <v>-5.1156671766665412E-2</v>
      </c>
      <c r="CJ13" s="3">
        <v>-4.1780774453733592E-2</v>
      </c>
      <c r="CK13" s="3">
        <v>4.4532609266221657E-2</v>
      </c>
      <c r="CL13" s="3">
        <v>-6.3964291848543084E-3</v>
      </c>
      <c r="CM13" s="3">
        <v>-6.7467952832711356E-2</v>
      </c>
      <c r="CN13" s="3">
        <v>-2.5590830893733939E-2</v>
      </c>
      <c r="CO13" s="3">
        <v>-4.158306841288581E-2</v>
      </c>
      <c r="CP13" s="3">
        <v>8.3802640030909425E-3</v>
      </c>
      <c r="CQ13" s="3">
        <v>7.3102287800440188E-2</v>
      </c>
      <c r="CR13" s="3">
        <v>9.9531635615753428E-3</v>
      </c>
      <c r="CS13" s="3">
        <v>-1.2340287004391151E-2</v>
      </c>
      <c r="CT13" s="3">
        <v>-3.080255398245331E-2</v>
      </c>
      <c r="CU13" s="3">
        <v>0.1089420418421707</v>
      </c>
      <c r="CV13" s="3">
        <v>-6.8426717854088007E-2</v>
      </c>
      <c r="CW13" s="3">
        <v>5.581085489798681E-2</v>
      </c>
      <c r="CX13" s="3">
        <v>-4.9259734040702649E-2</v>
      </c>
      <c r="CY13" s="3">
        <v>-5.3524105636788492E-2</v>
      </c>
      <c r="CZ13" s="3">
        <v>-2.699420138985692E-3</v>
      </c>
      <c r="DA13" s="3">
        <v>3.9549959855327582E-2</v>
      </c>
      <c r="DB13" s="3">
        <v>4.8723504918026211E-2</v>
      </c>
      <c r="DC13" s="3">
        <v>-5.5695060768887437E-2</v>
      </c>
      <c r="DD13" s="3">
        <v>8.7835875582997908E-2</v>
      </c>
      <c r="DE13" s="3">
        <v>2.6132620353247749E-2</v>
      </c>
      <c r="DF13" s="3">
        <v>-2.411427624883896E-2</v>
      </c>
      <c r="DG13" s="3">
        <v>6.9525621019932274E-2</v>
      </c>
      <c r="DH13" s="3">
        <v>-2.7941656995449499E-2</v>
      </c>
      <c r="DI13" s="3">
        <v>1.4661327919795179E-2</v>
      </c>
      <c r="DJ13" s="3">
        <v>-6.4343252381980874E-3</v>
      </c>
      <c r="DK13" s="3">
        <v>-7.5985455456702954E-3</v>
      </c>
      <c r="DL13" s="3">
        <v>1.675687477429489E-2</v>
      </c>
      <c r="DM13" s="3">
        <v>4.5940679421724182E-2</v>
      </c>
      <c r="DN13" s="3">
        <v>1.3036048522979611E-2</v>
      </c>
      <c r="DO13" s="3">
        <v>5.6902915009998882E-2</v>
      </c>
      <c r="DP13" s="3">
        <v>7.888990127768282E-2</v>
      </c>
      <c r="DQ13" s="3">
        <v>-6.4873149748164188E-2</v>
      </c>
      <c r="DR13" s="3">
        <v>-1.139661306108572E-2</v>
      </c>
      <c r="DS13" s="3">
        <v>-5.6495254744816613E-2</v>
      </c>
      <c r="DT13" s="3">
        <v>3.3064157970440898E-2</v>
      </c>
      <c r="DU13" s="3">
        <v>-8.7633787810176399E-3</v>
      </c>
      <c r="DV13" s="3">
        <v>-1.7567725436807929E-2</v>
      </c>
      <c r="DW13" s="3">
        <v>-1.660540788760996E-2</v>
      </c>
      <c r="DX13" s="3">
        <v>-1.2862976173379391E-2</v>
      </c>
      <c r="DY13" s="3">
        <v>-2.9410255868566319E-2</v>
      </c>
      <c r="DZ13" s="3">
        <v>-2.253350144104416E-2</v>
      </c>
      <c r="EA13" s="3">
        <v>-2.7510851881053389E-2</v>
      </c>
      <c r="EB13" s="3">
        <v>6.0125022674947397E-2</v>
      </c>
      <c r="EC13" s="3">
        <v>3.9656358382849158E-3</v>
      </c>
      <c r="ED13" s="3">
        <v>-1.387857143139149E-2</v>
      </c>
      <c r="EE13" s="3">
        <v>-5.0992713891046502E-3</v>
      </c>
      <c r="EF13" s="3">
        <v>-2.5811003133747901E-2</v>
      </c>
      <c r="EG13" s="3">
        <v>-4.6759802738873257E-2</v>
      </c>
      <c r="EH13" s="3">
        <v>-1.852922887175738E-2</v>
      </c>
      <c r="EI13" s="3">
        <v>-3.7931595950259703E-2</v>
      </c>
      <c r="EJ13" s="3">
        <v>4.2398041172676218E-2</v>
      </c>
      <c r="EK13" s="3">
        <v>4.1313011731264643E-2</v>
      </c>
      <c r="EL13" s="3">
        <v>5.878569935621198E-2</v>
      </c>
      <c r="EM13" s="3">
        <v>-1.388977535640455E-2</v>
      </c>
      <c r="EN13">
        <f t="shared" si="11"/>
        <v>4.3036518236870103E-2</v>
      </c>
      <c r="EO13">
        <f t="shared" si="12"/>
        <v>-0.32274393760099646</v>
      </c>
    </row>
    <row r="14" spans="1:145" x14ac:dyDescent="0.3">
      <c r="A14" s="18">
        <v>50</v>
      </c>
      <c r="B14" s="18">
        <f t="shared" si="10"/>
        <v>21</v>
      </c>
      <c r="C14" s="3">
        <v>5.339807505212063E-2</v>
      </c>
      <c r="D14" s="3">
        <v>0.15224993849987989</v>
      </c>
      <c r="E14" s="3">
        <v>-1.805419294645879E-2</v>
      </c>
      <c r="F14" s="3">
        <v>2.8875240600663921E-2</v>
      </c>
      <c r="G14" s="3">
        <v>-5.3415090963941328E-2</v>
      </c>
      <c r="H14" s="3">
        <v>1.406241444704537E-2</v>
      </c>
      <c r="I14" s="3">
        <v>-5.9680601222819422E-2</v>
      </c>
      <c r="J14" s="3">
        <v>3.667713874358626E-2</v>
      </c>
      <c r="K14" s="3">
        <v>1.9552847809390379E-2</v>
      </c>
      <c r="L14" s="3">
        <v>-4.5954585035508609E-2</v>
      </c>
      <c r="M14" s="3">
        <v>1.9628168114783229E-2</v>
      </c>
      <c r="N14" s="3">
        <v>4.9483059094380083E-2</v>
      </c>
      <c r="O14" s="3">
        <v>2.2636571346960219E-2</v>
      </c>
      <c r="P14" s="3">
        <v>3.4075951841333732E-2</v>
      </c>
      <c r="Q14" s="3">
        <v>5.85843182931296E-2</v>
      </c>
      <c r="R14" s="3">
        <v>-2.516836604892712E-2</v>
      </c>
      <c r="S14" s="3">
        <v>0.12592648417254629</v>
      </c>
      <c r="T14" s="3">
        <v>7.9800360596485487E-2</v>
      </c>
      <c r="U14" s="3">
        <v>8.0730886049748277E-2</v>
      </c>
      <c r="V14" s="3">
        <v>1.0638161666775561E-3</v>
      </c>
      <c r="W14" s="3">
        <v>8.8189113962113541E-3</v>
      </c>
      <c r="X14" s="3">
        <v>4.520665713123731E-2</v>
      </c>
      <c r="Y14" s="3">
        <v>-3.3113750811446657E-2</v>
      </c>
      <c r="Z14" s="3">
        <v>4.4145942261124872E-2</v>
      </c>
      <c r="AA14" s="3">
        <v>-4.5468325088610567E-2</v>
      </c>
      <c r="AB14" s="3">
        <v>-4.3336611675767737E-2</v>
      </c>
      <c r="AC14" s="3">
        <v>2.9123027625557771E-2</v>
      </c>
      <c r="AD14" s="3">
        <v>1.144435509853498E-2</v>
      </c>
      <c r="AE14" s="3">
        <v>0.103298516728401</v>
      </c>
      <c r="AF14" s="3">
        <v>-9.6519912608736019E-2</v>
      </c>
      <c r="AG14" s="3">
        <v>2.5255353888706152E-2</v>
      </c>
      <c r="AH14" s="3">
        <v>5.1342859623485892E-2</v>
      </c>
      <c r="AI14" s="3">
        <v>2.2297194495037639E-2</v>
      </c>
      <c r="AJ14" s="3">
        <v>5.1842475446789528E-2</v>
      </c>
      <c r="AK14" s="3">
        <v>3.1797452995946961E-2</v>
      </c>
      <c r="AL14" s="3">
        <v>1.655855487952591E-2</v>
      </c>
      <c r="AM14" s="3">
        <v>5.1225840400718453E-2</v>
      </c>
      <c r="AN14" s="3">
        <v>0.1134805839691246</v>
      </c>
      <c r="AO14" s="3">
        <v>2.7959102566283409E-2</v>
      </c>
      <c r="AP14" s="3">
        <v>6.5333767798025466E-2</v>
      </c>
      <c r="AQ14" s="3">
        <v>-2.5044719596822168E-4</v>
      </c>
      <c r="AR14" s="3">
        <v>6.997086874770686E-2</v>
      </c>
      <c r="AS14" s="3">
        <v>9.4589916927971841E-3</v>
      </c>
      <c r="AT14" s="3">
        <v>7.3453413083554728E-2</v>
      </c>
      <c r="AU14" s="3">
        <v>6.7788652247366354E-2</v>
      </c>
      <c r="AV14" s="3">
        <v>-3.6338821968340658E-2</v>
      </c>
      <c r="AW14" s="3">
        <v>-4.4872778017593991E-2</v>
      </c>
      <c r="AX14" s="3">
        <v>6.6175048301624156E-2</v>
      </c>
      <c r="AY14" s="3">
        <v>1.8904479423616269E-2</v>
      </c>
      <c r="AZ14" s="3">
        <v>-4.6018594428947471E-2</v>
      </c>
      <c r="BA14" s="3">
        <v>4.6470214790606798E-2</v>
      </c>
      <c r="BB14" s="3">
        <v>3.1674388464475199E-2</v>
      </c>
      <c r="BC14" s="3">
        <v>-3.2096028757782058E-2</v>
      </c>
      <c r="BD14" s="3">
        <v>-1.928636354502172E-2</v>
      </c>
      <c r="BE14" s="3">
        <v>-5.5812700353836682E-2</v>
      </c>
      <c r="BF14" s="3">
        <v>0.1704199065408952</v>
      </c>
      <c r="BG14" s="3">
        <v>0.1469346779136447</v>
      </c>
      <c r="BH14" s="3">
        <v>6.9340281007906401E-2</v>
      </c>
      <c r="BI14" s="3">
        <v>5.8463010837823071E-2</v>
      </c>
      <c r="BJ14" s="3">
        <v>5.0139166590515719E-2</v>
      </c>
      <c r="BK14" s="3">
        <v>-5.0531023595241531E-2</v>
      </c>
      <c r="BL14" s="3">
        <v>4.0851994457038819E-2</v>
      </c>
      <c r="BM14" s="3">
        <v>8.1939093162650772E-2</v>
      </c>
      <c r="BN14" s="3">
        <v>2.2149447050471088E-2</v>
      </c>
      <c r="BO14" s="3">
        <v>-1.586433083675906E-3</v>
      </c>
      <c r="BP14" s="3">
        <v>-8.1157998000167993E-3</v>
      </c>
      <c r="BQ14" s="3">
        <v>-7.2715650121551942E-3</v>
      </c>
      <c r="BR14" s="3">
        <v>-7.6355764538532808E-2</v>
      </c>
      <c r="BS14" s="3">
        <v>-2.3986475779539801E-2</v>
      </c>
      <c r="BT14" s="3">
        <v>-2.809573396420751E-2</v>
      </c>
      <c r="BU14" s="3">
        <v>4.1529536866991693E-2</v>
      </c>
      <c r="BV14" s="3">
        <v>-1.7683060938360862E-2</v>
      </c>
      <c r="BW14" s="3">
        <v>2.1958050758596179E-2</v>
      </c>
      <c r="BX14" s="3">
        <v>3.1561703969227077E-2</v>
      </c>
      <c r="BY14" s="3">
        <v>-0.13469968032979979</v>
      </c>
      <c r="BZ14" s="3">
        <v>-6.7169287472087211E-2</v>
      </c>
      <c r="CA14" s="3">
        <v>-3.0257733350986249E-2</v>
      </c>
      <c r="CB14" s="3">
        <v>-4.6464934460336969E-2</v>
      </c>
      <c r="CC14" s="3">
        <v>5.1343997959985843E-2</v>
      </c>
      <c r="CD14" s="3">
        <v>2.5926053044820641E-2</v>
      </c>
      <c r="CE14" s="3">
        <v>7.7881009677518209E-2</v>
      </c>
      <c r="CF14" s="3">
        <v>-3.7792622584952577E-2</v>
      </c>
      <c r="CG14" s="3">
        <v>-7.9720902532600807E-2</v>
      </c>
      <c r="CH14" s="3">
        <v>7.0984374014275597E-2</v>
      </c>
      <c r="CI14" s="3">
        <v>-8.9848694972706589E-2</v>
      </c>
      <c r="CJ14" s="3">
        <v>-4.6196325231988182E-2</v>
      </c>
      <c r="CK14" s="3">
        <v>0.1027705443444395</v>
      </c>
      <c r="CL14" s="3">
        <v>2.6865491291615209E-2</v>
      </c>
      <c r="CM14" s="3">
        <v>-0.1062726266427091</v>
      </c>
      <c r="CN14" s="3">
        <v>-4.2812810606177511E-2</v>
      </c>
      <c r="CO14" s="3">
        <v>-9.9981424369607608E-2</v>
      </c>
      <c r="CP14" s="3">
        <v>2.7096935392725729E-2</v>
      </c>
      <c r="CQ14" s="3">
        <v>3.8111127923060421E-2</v>
      </c>
      <c r="CR14" s="3">
        <v>8.7168362785951595E-4</v>
      </c>
      <c r="CS14" s="3">
        <v>8.4313007890230787E-3</v>
      </c>
      <c r="CT14" s="3">
        <v>2.3352893946928129E-2</v>
      </c>
      <c r="CU14" s="3">
        <v>9.5997619948834712E-2</v>
      </c>
      <c r="CV14" s="3">
        <v>-6.1063243759061692E-2</v>
      </c>
      <c r="CW14" s="3">
        <v>5.1449927648520438E-2</v>
      </c>
      <c r="CX14" s="3">
        <v>-5.5324823660416182E-2</v>
      </c>
      <c r="CY14" s="3">
        <v>-7.234977861060593E-2</v>
      </c>
      <c r="CZ14" s="3">
        <v>-3.4034383313095828E-2</v>
      </c>
      <c r="DA14" s="3">
        <v>9.78721079550951E-4</v>
      </c>
      <c r="DB14" s="3">
        <v>0.1146609402853635</v>
      </c>
      <c r="DC14" s="3">
        <v>-6.7358148668805462E-2</v>
      </c>
      <c r="DD14" s="3">
        <v>0.1222614985176875</v>
      </c>
      <c r="DE14" s="3">
        <v>3.3691629146761597E-2</v>
      </c>
      <c r="DF14" s="3">
        <v>-2.668980902007579E-2</v>
      </c>
      <c r="DG14" s="3">
        <v>9.4889577413427462E-2</v>
      </c>
      <c r="DH14" s="3">
        <v>-4.2902081076981187E-2</v>
      </c>
      <c r="DI14" s="3">
        <v>5.009965338985882E-2</v>
      </c>
      <c r="DJ14" s="3">
        <v>2.1379859605859759E-2</v>
      </c>
      <c r="DK14" s="3">
        <v>-5.787961192480829E-2</v>
      </c>
      <c r="DL14" s="3">
        <v>4.0093698168450868E-2</v>
      </c>
      <c r="DM14" s="3">
        <v>2.4892423892316148E-2</v>
      </c>
      <c r="DN14" s="3">
        <v>8.1744954428813202E-2</v>
      </c>
      <c r="DO14" s="3">
        <v>0.14341275305502571</v>
      </c>
      <c r="DP14" s="3">
        <v>9.7841445301699595E-2</v>
      </c>
      <c r="DQ14" s="3">
        <v>-5.4345784236354167E-2</v>
      </c>
      <c r="DR14" s="3">
        <v>5.7588625959822531E-3</v>
      </c>
      <c r="DS14" s="3">
        <v>-0.1034042888135444</v>
      </c>
      <c r="DT14" s="3">
        <v>4.7120593796784009E-3</v>
      </c>
      <c r="DU14" s="3">
        <v>-6.5641286653048303E-2</v>
      </c>
      <c r="DV14" s="3">
        <v>-1.9254202825253391E-2</v>
      </c>
      <c r="DW14" s="3">
        <v>-1.3582078054513389E-2</v>
      </c>
      <c r="DX14" s="3">
        <v>-3.572661524817447E-2</v>
      </c>
      <c r="DY14" s="3">
        <v>-4.2836982248521192E-2</v>
      </c>
      <c r="DZ14" s="3">
        <v>-1.5809666178005499E-2</v>
      </c>
      <c r="EA14" s="3">
        <v>-1.3780389247798E-2</v>
      </c>
      <c r="EB14" s="3">
        <v>0.1206634189987762</v>
      </c>
      <c r="EC14" s="3">
        <v>2.737606642543224E-3</v>
      </c>
      <c r="ED14" s="3">
        <v>-6.1685050136271423E-2</v>
      </c>
      <c r="EE14" s="3">
        <v>-7.4209984500431519E-3</v>
      </c>
      <c r="EF14" s="3">
        <v>1.6810433326628451E-3</v>
      </c>
      <c r="EG14" s="3">
        <v>-0.10589422847181509</v>
      </c>
      <c r="EH14" s="3">
        <v>-1.3842175940722569E-2</v>
      </c>
      <c r="EI14" s="3">
        <v>-5.2000211463428717E-2</v>
      </c>
      <c r="EJ14" s="3">
        <v>5.3660081401527379E-2</v>
      </c>
      <c r="EK14" s="3">
        <v>0.1057130699304938</v>
      </c>
      <c r="EL14" s="3">
        <v>5.945152411277347E-2</v>
      </c>
      <c r="EM14" s="3">
        <v>-1.388977535640455E-2</v>
      </c>
      <c r="EN14">
        <f t="shared" si="11"/>
        <v>6.0715776178613318E-2</v>
      </c>
      <c r="EO14">
        <f t="shared" si="12"/>
        <v>-0.22876715461140923</v>
      </c>
    </row>
    <row r="15" spans="1:145" x14ac:dyDescent="0.3">
      <c r="A15" s="18">
        <v>110</v>
      </c>
      <c r="B15" s="18">
        <f t="shared" si="10"/>
        <v>10</v>
      </c>
      <c r="C15" s="3">
        <v>8.3776485757540556E-2</v>
      </c>
      <c r="D15" s="3">
        <v>0.16967048626425091</v>
      </c>
      <c r="E15" s="3">
        <v>-3.6669623914648272E-2</v>
      </c>
      <c r="F15" s="3">
        <v>8.3836255216386199E-2</v>
      </c>
      <c r="G15" s="3">
        <v>-4.5328848677319789E-2</v>
      </c>
      <c r="H15" s="3">
        <v>3.3302741367041207E-2</v>
      </c>
      <c r="I15" s="3">
        <v>-1.9659743308123E-2</v>
      </c>
      <c r="J15" s="3">
        <v>3.872325589222915E-2</v>
      </c>
      <c r="K15" s="3">
        <v>5.5009550088099858E-2</v>
      </c>
      <c r="L15" s="3">
        <v>-5.1655558095818073E-2</v>
      </c>
      <c r="M15" s="3">
        <v>-4.5281506593413609E-2</v>
      </c>
      <c r="N15" s="3">
        <v>6.9086304547236341E-2</v>
      </c>
      <c r="O15" s="3">
        <v>2.2995673429955329E-2</v>
      </c>
      <c r="P15" s="3">
        <v>3.5338740769727262E-2</v>
      </c>
      <c r="Q15" s="3">
        <v>1.7811945397644548E-2</v>
      </c>
      <c r="R15" s="3">
        <v>1.1312307213879011E-2</v>
      </c>
      <c r="S15" s="3">
        <v>0.19571833418459161</v>
      </c>
      <c r="T15" s="3">
        <v>9.0757629606170342E-2</v>
      </c>
      <c r="U15" s="3">
        <v>9.6282137474130766E-2</v>
      </c>
      <c r="V15" s="3">
        <v>-5.6373871216421713E-2</v>
      </c>
      <c r="W15" s="3">
        <v>3.3507054867040503E-2</v>
      </c>
      <c r="X15" s="3">
        <v>7.7212242743979212E-2</v>
      </c>
      <c r="Y15" s="3">
        <v>-5.6376405408833437E-2</v>
      </c>
      <c r="Z15" s="3">
        <v>6.0358044935475932E-2</v>
      </c>
      <c r="AA15" s="3">
        <v>-2.698358162124807E-2</v>
      </c>
      <c r="AB15" s="3">
        <v>-4.4811717472854659E-2</v>
      </c>
      <c r="AC15" s="3">
        <v>3.7209161210253958E-2</v>
      </c>
      <c r="AD15" s="3">
        <v>2.3116253575864509E-2</v>
      </c>
      <c r="AE15" s="3">
        <v>0.111504833424746</v>
      </c>
      <c r="AF15" s="3">
        <v>-0.1267412882617894</v>
      </c>
      <c r="AG15" s="3">
        <v>6.5990278156044663E-3</v>
      </c>
      <c r="AH15" s="3">
        <v>4.3605931771995732E-2</v>
      </c>
      <c r="AI15" s="3">
        <v>3.780397510695243E-2</v>
      </c>
      <c r="AJ15" s="3">
        <v>9.2316745314370757E-2</v>
      </c>
      <c r="AK15" s="3">
        <v>7.9487074918672823E-2</v>
      </c>
      <c r="AL15" s="3">
        <v>8.1421356335441529E-3</v>
      </c>
      <c r="AM15" s="3">
        <v>5.6670637196345137E-2</v>
      </c>
      <c r="AN15" s="3">
        <v>0.1094467007784008</v>
      </c>
      <c r="AO15" s="3">
        <v>8.5358421334677859E-2</v>
      </c>
      <c r="AP15" s="3">
        <v>5.9014347936825959E-2</v>
      </c>
      <c r="AQ15" s="3">
        <v>7.2252077304827524E-3</v>
      </c>
      <c r="AR15" s="3">
        <v>7.1636268775258055E-2</v>
      </c>
      <c r="AS15" s="3">
        <v>9.2331517387623324E-2</v>
      </c>
      <c r="AT15" s="3">
        <v>0.13527799043337149</v>
      </c>
      <c r="AU15" s="3">
        <v>0.12021385179381119</v>
      </c>
      <c r="AV15" s="3">
        <v>-7.1424123158329023E-2</v>
      </c>
      <c r="AW15" s="3">
        <v>-3.7260898478423982E-2</v>
      </c>
      <c r="AX15" s="3">
        <v>0.1111703530328895</v>
      </c>
      <c r="AY15" s="3">
        <v>7.9419526884501081E-3</v>
      </c>
      <c r="AZ15" s="3">
        <v>-6.1234678972312787E-2</v>
      </c>
      <c r="BA15" s="3">
        <v>1.839259908755116E-2</v>
      </c>
      <c r="BB15" s="3">
        <v>8.2642159009585797E-2</v>
      </c>
      <c r="BC15" s="3">
        <v>-6.8957224911349313E-4</v>
      </c>
      <c r="BD15" s="3">
        <v>-9.615247755571249E-2</v>
      </c>
      <c r="BE15" s="3">
        <v>-5.3568067728673778E-2</v>
      </c>
      <c r="BF15" s="3">
        <v>0.23241616833768231</v>
      </c>
      <c r="BG15" s="3">
        <v>0.1521236706761234</v>
      </c>
      <c r="BH15" s="3">
        <v>0.14929124172984279</v>
      </c>
      <c r="BI15" s="3">
        <v>2.471810171908858E-2</v>
      </c>
      <c r="BJ15" s="3">
        <v>5.8487861479659287E-2</v>
      </c>
      <c r="BK15" s="3">
        <v>-6.8653635652239101E-2</v>
      </c>
      <c r="BL15" s="3">
        <v>6.1788429648022523E-2</v>
      </c>
      <c r="BM15" s="3">
        <v>4.1257978559779612E-2</v>
      </c>
      <c r="BN15" s="3">
        <v>1.480153566617305E-2</v>
      </c>
      <c r="BO15" s="3">
        <v>-1.695556209770523E-2</v>
      </c>
      <c r="BP15" s="3">
        <v>-3.4997258352031442E-2</v>
      </c>
      <c r="BQ15" s="3">
        <v>1.3053195281842319E-3</v>
      </c>
      <c r="BR15" s="3">
        <v>-0.1038628243380867</v>
      </c>
      <c r="BS15" s="3">
        <v>-5.8822479001167979E-2</v>
      </c>
      <c r="BT15" s="3">
        <v>9.9233080363645473E-4</v>
      </c>
      <c r="BU15" s="3">
        <v>4.9351269145156307E-2</v>
      </c>
      <c r="BV15" s="3">
        <v>4.9441336890412996E-3</v>
      </c>
      <c r="BW15" s="3">
        <v>1.9121608335074931E-2</v>
      </c>
      <c r="BX15" s="3">
        <v>-1.196326826847274E-2</v>
      </c>
      <c r="BY15" s="3">
        <v>-0.15228315243597981</v>
      </c>
      <c r="BZ15" s="3">
        <v>-7.5465070893887834E-2</v>
      </c>
      <c r="CA15" s="3">
        <v>-4.7154201372649709E-2</v>
      </c>
      <c r="CB15" s="3">
        <v>-6.6863466638284325E-2</v>
      </c>
      <c r="CC15" s="3">
        <v>3.3277827500198441E-2</v>
      </c>
      <c r="CD15" s="3">
        <v>-2.4390027541472459E-2</v>
      </c>
      <c r="CE15" s="3">
        <v>6.9396134957331032E-2</v>
      </c>
      <c r="CF15" s="3">
        <v>9.8782099074546312E-3</v>
      </c>
      <c r="CG15" s="3">
        <v>-8.2057353671259214E-2</v>
      </c>
      <c r="CH15" s="3">
        <v>0.1181777385862775</v>
      </c>
      <c r="CI15" s="3">
        <v>-8.7370642637691537E-2</v>
      </c>
      <c r="CJ15" s="3">
        <v>-2.833782866162822E-2</v>
      </c>
      <c r="CK15" s="3">
        <v>0.147414378298664</v>
      </c>
      <c r="CL15" s="3">
        <v>0.1126449381857319</v>
      </c>
      <c r="CM15" s="3">
        <v>-5.1359602970654679E-2</v>
      </c>
      <c r="CN15" s="3">
        <v>-2.19252197453529E-2</v>
      </c>
      <c r="CO15" s="3">
        <v>-0.19595246071669789</v>
      </c>
      <c r="CP15" s="3">
        <v>7.5621083908320605E-2</v>
      </c>
      <c r="CQ15" s="3">
        <v>0.104713336785973</v>
      </c>
      <c r="CR15" s="3">
        <v>-1.556988073867705E-2</v>
      </c>
      <c r="CS15" s="3">
        <v>-4.0650783181409911E-2</v>
      </c>
      <c r="CT15" s="3">
        <v>4.4499939410988502E-2</v>
      </c>
      <c r="CU15" s="3">
        <v>0.1132556854201397</v>
      </c>
      <c r="CV15" s="3">
        <v>-4.1652380721521692E-2</v>
      </c>
      <c r="CW15" s="3">
        <v>8.2020700675579802E-2</v>
      </c>
      <c r="CX15" s="3">
        <v>-5.0149914465121598E-2</v>
      </c>
      <c r="CY15" s="3">
        <v>-0.1193768660184362</v>
      </c>
      <c r="CZ15" s="3">
        <v>-1.9595807329756711E-2</v>
      </c>
      <c r="DA15" s="3">
        <v>-3.9873673717731067E-2</v>
      </c>
      <c r="DB15" s="3">
        <v>0.17164235638933861</v>
      </c>
      <c r="DC15" s="3">
        <v>-3.1862574555468287E-2</v>
      </c>
      <c r="DD15" s="3">
        <v>0.1549630950454696</v>
      </c>
      <c r="DE15" s="3">
        <v>6.2497015407125107E-2</v>
      </c>
      <c r="DF15" s="3">
        <v>-0.1088074928880676</v>
      </c>
      <c r="DG15" s="3">
        <v>0.10915898688531631</v>
      </c>
      <c r="DH15" s="3">
        <v>-0.1206844083728154</v>
      </c>
      <c r="DI15" s="3">
        <v>3.401505470450053E-3</v>
      </c>
      <c r="DJ15" s="3">
        <v>1.30253645949819E-2</v>
      </c>
      <c r="DK15" s="3">
        <v>-4.6564330753429188E-2</v>
      </c>
      <c r="DL15" s="3">
        <v>2.8962085254291121E-2</v>
      </c>
      <c r="DM15" s="3">
        <v>6.8225472672366061E-3</v>
      </c>
      <c r="DN15" s="3">
        <v>9.3612867555316642E-2</v>
      </c>
      <c r="DO15" s="3">
        <v>0.24870836340801861</v>
      </c>
      <c r="DP15" s="3">
        <v>8.4432756380279986E-2</v>
      </c>
      <c r="DQ15" s="3">
        <v>-5.8497545906301067E-2</v>
      </c>
      <c r="DR15" s="3">
        <v>1.052333384850616E-2</v>
      </c>
      <c r="DS15" s="3">
        <v>-0.1696368076024326</v>
      </c>
      <c r="DT15" s="3">
        <v>-6.6954288579559604E-3</v>
      </c>
      <c r="DU15" s="3">
        <v>-0.13273409852675891</v>
      </c>
      <c r="DV15" s="3">
        <v>3.133765530375567E-3</v>
      </c>
      <c r="DW15" s="3">
        <v>4.190646732607993E-2</v>
      </c>
      <c r="DX15" s="3">
        <v>-2.948901543417258E-2</v>
      </c>
      <c r="DY15" s="3">
        <v>-0.10292821907627669</v>
      </c>
      <c r="DZ15" s="3">
        <v>1.0669440976498331E-2</v>
      </c>
      <c r="EA15" s="3">
        <v>-2.5099871217972549E-2</v>
      </c>
      <c r="EB15" s="3">
        <v>0.166640321009213</v>
      </c>
      <c r="EC15" s="3">
        <v>1.8771072469715031E-2</v>
      </c>
      <c r="ED15" s="3">
        <v>-7.3539709525366065E-2</v>
      </c>
      <c r="EE15" s="3">
        <v>-1.653347106852433E-2</v>
      </c>
      <c r="EF15" s="3">
        <v>-4.1645489183100667E-2</v>
      </c>
      <c r="EG15" s="3">
        <v>-0.23562642419935911</v>
      </c>
      <c r="EH15" s="3">
        <v>3.060534326512427E-2</v>
      </c>
      <c r="EI15" s="3">
        <v>-5.9347558343408838E-2</v>
      </c>
      <c r="EJ15" s="3">
        <v>5.7462117297293218E-2</v>
      </c>
      <c r="EK15" s="3">
        <v>0.14013898244605019</v>
      </c>
      <c r="EL15" s="3">
        <v>0.10927675906485999</v>
      </c>
      <c r="EM15" s="3">
        <v>-1.388977535640455E-2</v>
      </c>
      <c r="EN15">
        <f t="shared" si="11"/>
        <v>8.3836088695528513E-2</v>
      </c>
      <c r="EO15">
        <f t="shared" si="12"/>
        <v>-0.1656777596918757</v>
      </c>
    </row>
    <row r="16" spans="1:145" x14ac:dyDescent="0.3">
      <c r="A16" s="18">
        <v>120</v>
      </c>
      <c r="B16" s="18">
        <f t="shared" si="10"/>
        <v>9</v>
      </c>
      <c r="C16" s="3">
        <v>8.1093510092812238E-2</v>
      </c>
      <c r="D16" s="3">
        <v>0.16834500744188491</v>
      </c>
      <c r="E16" s="3">
        <v>-2.7090647196160729E-2</v>
      </c>
      <c r="F16" s="3">
        <v>7.6196323317753403E-2</v>
      </c>
      <c r="G16" s="3">
        <v>-3.8985691085440893E-2</v>
      </c>
      <c r="H16" s="3">
        <v>4.2650549955116732E-2</v>
      </c>
      <c r="I16" s="3">
        <v>-1.792956851623561E-2</v>
      </c>
      <c r="J16" s="3">
        <v>1.209552232264713E-2</v>
      </c>
      <c r="K16" s="3">
        <v>5.8036581833697087E-2</v>
      </c>
      <c r="L16" s="3">
        <v>-5.9331633504719657E-2</v>
      </c>
      <c r="M16" s="3">
        <v>-5.5699949025702147E-2</v>
      </c>
      <c r="N16" s="3">
        <v>7.4567099499100148E-2</v>
      </c>
      <c r="O16" s="3">
        <v>2.2934090366477481E-2</v>
      </c>
      <c r="P16" s="3">
        <v>5.0276837794747203E-2</v>
      </c>
      <c r="Q16" s="3">
        <v>1.457850980955867E-2</v>
      </c>
      <c r="R16" s="3">
        <v>2.65089210550821E-2</v>
      </c>
      <c r="S16" s="3">
        <v>0.22341458861213739</v>
      </c>
      <c r="T16" s="3">
        <v>9.0614345034568014E-2</v>
      </c>
      <c r="U16" s="3">
        <v>9.2206794242246218E-2</v>
      </c>
      <c r="V16" s="3">
        <v>-6.1807473470570133E-2</v>
      </c>
      <c r="W16" s="3">
        <v>6.7291705458811871E-2</v>
      </c>
      <c r="X16" s="3">
        <v>9.6478954761987423E-2</v>
      </c>
      <c r="Y16" s="3">
        <v>-6.4801941112958894E-2</v>
      </c>
      <c r="Z16" s="3">
        <v>4.9529712321599667E-2</v>
      </c>
      <c r="AA16" s="3">
        <v>-2.2608973794279081E-2</v>
      </c>
      <c r="AB16" s="3">
        <v>-2.583326434012595E-2</v>
      </c>
      <c r="AC16" s="3">
        <v>3.498755037134816E-2</v>
      </c>
      <c r="AD16" s="3">
        <v>2.148421215905091E-2</v>
      </c>
      <c r="AE16" s="3">
        <v>7.7622984123770583E-2</v>
      </c>
      <c r="AF16" s="3">
        <v>-0.1430480496224476</v>
      </c>
      <c r="AG16" s="3">
        <v>1.32842339118569E-2</v>
      </c>
      <c r="AH16" s="3">
        <v>5.7620132349680874E-3</v>
      </c>
      <c r="AI16" s="3">
        <v>4.4306780794323757E-2</v>
      </c>
      <c r="AJ16" s="3">
        <v>0.1190131123544135</v>
      </c>
      <c r="AK16" s="3">
        <v>7.3244889321819676E-2</v>
      </c>
      <c r="AL16" s="3">
        <v>1.4361707767308831E-2</v>
      </c>
      <c r="AM16" s="3">
        <v>5.2019950398173961E-2</v>
      </c>
      <c r="AN16" s="3">
        <v>0.1183627159658952</v>
      </c>
      <c r="AO16" s="3">
        <v>9.201061740540098E-2</v>
      </c>
      <c r="AP16" s="3">
        <v>5.651421249100911E-2</v>
      </c>
      <c r="AQ16" s="3">
        <v>8.4830404753236874E-3</v>
      </c>
      <c r="AR16" s="3">
        <v>4.8948242883273187E-2</v>
      </c>
      <c r="AS16" s="3">
        <v>0.12580790264017919</v>
      </c>
      <c r="AT16" s="3">
        <v>0.14349822522778921</v>
      </c>
      <c r="AU16" s="3">
        <v>0.13233850115479351</v>
      </c>
      <c r="AV16" s="3">
        <v>-7.7180924814125473E-2</v>
      </c>
      <c r="AW16" s="3">
        <v>-3.9826122375797197E-2</v>
      </c>
      <c r="AX16" s="3">
        <v>0.112786230467122</v>
      </c>
      <c r="AY16" s="3">
        <v>1.671865202123667E-3</v>
      </c>
      <c r="AZ16" s="3">
        <v>-6.3668598895561604E-2</v>
      </c>
      <c r="BA16" s="3">
        <v>1.1205201952964631E-2</v>
      </c>
      <c r="BB16" s="3">
        <v>7.7571953902687715E-2</v>
      </c>
      <c r="BC16" s="3">
        <v>2.1364909925416162E-3</v>
      </c>
      <c r="BD16" s="3">
        <v>-9.5658227604816487E-2</v>
      </c>
      <c r="BE16" s="3">
        <v>-6.3789291148026533E-2</v>
      </c>
      <c r="BF16" s="3">
        <v>0.2326305997182487</v>
      </c>
      <c r="BG16" s="3">
        <v>0.15394648113415149</v>
      </c>
      <c r="BH16" s="3">
        <v>0.14357121067479911</v>
      </c>
      <c r="BI16" s="3">
        <v>1.301937626423025E-2</v>
      </c>
      <c r="BJ16" s="3">
        <v>6.6759343136133659E-2</v>
      </c>
      <c r="BK16" s="3">
        <v>-5.1679378102837001E-2</v>
      </c>
      <c r="BL16" s="3">
        <v>5.0763614030335739E-2</v>
      </c>
      <c r="BM16" s="3">
        <v>7.292181934787946E-2</v>
      </c>
      <c r="BN16" s="3">
        <v>1.805992442080499E-2</v>
      </c>
      <c r="BO16" s="3">
        <v>-1.822931848338186E-2</v>
      </c>
      <c r="BP16" s="3">
        <v>-2.8905678014214519E-2</v>
      </c>
      <c r="BQ16" s="3">
        <v>1.8718949837745351E-2</v>
      </c>
      <c r="BR16" s="3">
        <v>-0.1114502270781844</v>
      </c>
      <c r="BS16" s="3">
        <v>-6.1330150557803567E-2</v>
      </c>
      <c r="BT16" s="3">
        <v>-8.6780628773525711E-4</v>
      </c>
      <c r="BU16" s="3">
        <v>5.3801618072264093E-2</v>
      </c>
      <c r="BV16" s="3">
        <v>3.7621295914207133E-2</v>
      </c>
      <c r="BW16" s="3">
        <v>1.8684278998972279E-2</v>
      </c>
      <c r="BX16" s="3">
        <v>6.7450019191640481E-2</v>
      </c>
      <c r="BY16" s="3">
        <v>-0.16546794238675749</v>
      </c>
      <c r="BZ16" s="3">
        <v>-0.10643222027249589</v>
      </c>
      <c r="CA16" s="3">
        <v>-5.9173958208536513E-2</v>
      </c>
      <c r="CB16" s="3">
        <v>-6.4850193472269238E-2</v>
      </c>
      <c r="CC16" s="3">
        <v>5.3106221239185951E-2</v>
      </c>
      <c r="CD16" s="3">
        <v>-3.5999399406620738E-2</v>
      </c>
      <c r="CE16" s="3">
        <v>7.5496369725545645E-2</v>
      </c>
      <c r="CF16" s="3">
        <v>1.108424015849151E-2</v>
      </c>
      <c r="CG16" s="3">
        <v>-7.7700439414350342E-2</v>
      </c>
      <c r="CH16" s="3">
        <v>8.7176031724768455E-2</v>
      </c>
      <c r="CI16" s="3">
        <v>-8.8927965341913329E-2</v>
      </c>
      <c r="CJ16" s="3">
        <v>-1.260416842369436E-2</v>
      </c>
      <c r="CK16" s="3">
        <v>0.1369438243847502</v>
      </c>
      <c r="CL16" s="3">
        <v>0.15257070162290859</v>
      </c>
      <c r="CM16" s="3">
        <v>-4.1663927197824233E-2</v>
      </c>
      <c r="CN16" s="3">
        <v>-2.9024502738447922E-2</v>
      </c>
      <c r="CO16" s="3">
        <v>-0.19679861958369621</v>
      </c>
      <c r="CP16" s="3">
        <v>8.9295119054396646E-2</v>
      </c>
      <c r="CQ16" s="3">
        <v>0.12818607037085181</v>
      </c>
      <c r="CR16" s="3">
        <v>1.9418236007844269E-2</v>
      </c>
      <c r="CS16" s="3">
        <v>-4.857406056135545E-2</v>
      </c>
      <c r="CT16" s="3">
        <v>4.9526541875741632E-2</v>
      </c>
      <c r="CU16" s="3">
        <v>0.11476248197959769</v>
      </c>
      <c r="CV16" s="3">
        <v>-5.9468535285101293E-2</v>
      </c>
      <c r="CW16" s="3">
        <v>8.3279726296166035E-2</v>
      </c>
      <c r="CX16" s="3">
        <v>-4.9193840705960362E-2</v>
      </c>
      <c r="CY16" s="3">
        <v>-9.958158792106328E-2</v>
      </c>
      <c r="CZ16" s="3">
        <v>-1.424495816342927E-2</v>
      </c>
      <c r="DA16" s="3">
        <v>-1.8377301036176401E-2</v>
      </c>
      <c r="DB16" s="3">
        <v>0.16989442041580391</v>
      </c>
      <c r="DC16" s="3">
        <v>-5.2257207722799737E-2</v>
      </c>
      <c r="DD16" s="3">
        <v>0.15294179920180309</v>
      </c>
      <c r="DE16" s="3">
        <v>6.0684425165152558E-2</v>
      </c>
      <c r="DF16" s="3">
        <v>-0.1135072676594704</v>
      </c>
      <c r="DG16" s="3">
        <v>0.1149261925665529</v>
      </c>
      <c r="DH16" s="3">
        <v>-0.13838923965310049</v>
      </c>
      <c r="DI16" s="3">
        <v>-2.4678574112718159E-2</v>
      </c>
      <c r="DJ16" s="3">
        <v>1.541707497318786E-2</v>
      </c>
      <c r="DK16" s="3">
        <v>-3.3433755020301187E-2</v>
      </c>
      <c r="DL16" s="3">
        <v>4.3550208097587279E-2</v>
      </c>
      <c r="DM16" s="3">
        <v>-1.344986206059268E-2</v>
      </c>
      <c r="DN16" s="3">
        <v>0.10579552456235281</v>
      </c>
      <c r="DO16" s="3">
        <v>0.25907528939859498</v>
      </c>
      <c r="DP16" s="3">
        <v>6.8174011387424766E-2</v>
      </c>
      <c r="DQ16" s="3">
        <v>-5.9147195536079188E-2</v>
      </c>
      <c r="DR16" s="3">
        <v>1.6690800336962752E-2</v>
      </c>
      <c r="DS16" s="3">
        <v>-0.17212544095679261</v>
      </c>
      <c r="DT16" s="3">
        <v>-2.0654714710369548E-3</v>
      </c>
      <c r="DU16" s="3">
        <v>-0.14986221793642771</v>
      </c>
      <c r="DV16" s="3">
        <v>-9.7632521411614367E-3</v>
      </c>
      <c r="DW16" s="3">
        <v>4.3366324397138542E-2</v>
      </c>
      <c r="DX16" s="3">
        <v>-3.5791936213939363E-2</v>
      </c>
      <c r="DY16" s="3">
        <v>-0.1208430755768769</v>
      </c>
      <c r="DZ16" s="3">
        <v>-1.2311342839350909E-2</v>
      </c>
      <c r="EA16" s="3">
        <v>-3.1063177306982499E-2</v>
      </c>
      <c r="EB16" s="3">
        <v>0.1806481169445987</v>
      </c>
      <c r="EC16" s="3">
        <v>1.956505348824061E-2</v>
      </c>
      <c r="ED16" s="3">
        <v>-8.0323159805758007E-2</v>
      </c>
      <c r="EE16" s="3">
        <v>-1.901114657791201E-2</v>
      </c>
      <c r="EF16" s="3">
        <v>-5.5811822238041653E-2</v>
      </c>
      <c r="EG16" s="3">
        <v>-0.24382102915346199</v>
      </c>
      <c r="EH16" s="3">
        <v>3.1235862447244699E-2</v>
      </c>
      <c r="EI16" s="3">
        <v>-6.1337599285546128E-2</v>
      </c>
      <c r="EJ16" s="3">
        <v>4.8907686877159899E-2</v>
      </c>
      <c r="EK16" s="3">
        <v>0.15118605581068961</v>
      </c>
      <c r="EL16" s="3">
        <v>0.1032584815351657</v>
      </c>
      <c r="EM16" s="3">
        <v>-1.388977535640455E-2</v>
      </c>
      <c r="EN16">
        <f t="shared" si="11"/>
        <v>8.7738682497226841E-2</v>
      </c>
      <c r="EO16">
        <f t="shared" si="12"/>
        <v>-0.15830845598625856</v>
      </c>
    </row>
    <row r="17" spans="1:145" x14ac:dyDescent="0.3">
      <c r="A17" s="18">
        <v>130</v>
      </c>
      <c r="B17" s="18">
        <f t="shared" si="10"/>
        <v>8</v>
      </c>
      <c r="C17" s="3">
        <v>7.4137848482184326E-2</v>
      </c>
      <c r="D17" s="3">
        <v>0.18803857213423469</v>
      </c>
      <c r="E17" s="3">
        <v>-1.4096348841241229E-2</v>
      </c>
      <c r="F17" s="3">
        <v>8.9436537278916595E-2</v>
      </c>
      <c r="G17" s="3">
        <v>-2.1123253093939101E-2</v>
      </c>
      <c r="H17" s="3">
        <v>2.869672530965681E-2</v>
      </c>
      <c r="I17" s="3">
        <v>-3.8502157491442442E-3</v>
      </c>
      <c r="J17" s="3">
        <v>3.38923170873765E-2</v>
      </c>
      <c r="K17" s="3">
        <v>5.2247767175549173E-2</v>
      </c>
      <c r="L17" s="3">
        <v>-4.1432365138616617E-2</v>
      </c>
      <c r="M17" s="3">
        <v>-5.5861423094707992E-2</v>
      </c>
      <c r="N17" s="3">
        <v>8.8689021695678633E-2</v>
      </c>
      <c r="O17" s="3">
        <v>1.881956806006168E-2</v>
      </c>
      <c r="P17" s="3">
        <v>6.0741051590012252E-2</v>
      </c>
      <c r="Q17" s="3">
        <v>1.7184525162452929E-2</v>
      </c>
      <c r="R17" s="3">
        <v>2.7480227503536649E-2</v>
      </c>
      <c r="S17" s="3">
        <v>0.23440019933609441</v>
      </c>
      <c r="T17" s="3">
        <v>8.3403904820209082E-2</v>
      </c>
      <c r="U17" s="3">
        <v>0.1207953079881202</v>
      </c>
      <c r="V17" s="3">
        <v>-6.1749150853757359E-2</v>
      </c>
      <c r="W17" s="3">
        <v>0.11137095812486909</v>
      </c>
      <c r="X17" s="3">
        <v>7.4980214709850418E-2</v>
      </c>
      <c r="Y17" s="3">
        <v>-6.2174936277591589E-2</v>
      </c>
      <c r="Z17" s="3">
        <v>6.2437056446626941E-2</v>
      </c>
      <c r="AA17" s="3">
        <v>-3.2203374648687888E-2</v>
      </c>
      <c r="AB17" s="3">
        <v>-5.2730239727054477E-2</v>
      </c>
      <c r="AC17" s="3">
        <v>3.5809206790268971E-2</v>
      </c>
      <c r="AD17" s="3">
        <v>1.738886337542473E-2</v>
      </c>
      <c r="AE17" s="3">
        <v>8.7684513946257342E-2</v>
      </c>
      <c r="AF17" s="3">
        <v>-0.17972601892727491</v>
      </c>
      <c r="AG17" s="3">
        <v>1.056244234329198E-2</v>
      </c>
      <c r="AH17" s="3">
        <v>1.1704588475390759E-3</v>
      </c>
      <c r="AI17" s="3">
        <v>5.851427903328877E-2</v>
      </c>
      <c r="AJ17" s="3">
        <v>0.12529794637826061</v>
      </c>
      <c r="AK17" s="3">
        <v>6.9149754428876692E-2</v>
      </c>
      <c r="AL17" s="3">
        <v>7.947277216146964E-3</v>
      </c>
      <c r="AM17" s="3">
        <v>5.470961180141453E-2</v>
      </c>
      <c r="AN17" s="3">
        <v>0.1286388187213873</v>
      </c>
      <c r="AO17" s="3">
        <v>0.10896001534226921</v>
      </c>
      <c r="AP17" s="3">
        <v>8.8659422620735326E-2</v>
      </c>
      <c r="AQ17" s="3">
        <v>1.4156301489970219E-3</v>
      </c>
      <c r="AR17" s="3">
        <v>4.9405931991885442E-2</v>
      </c>
      <c r="AS17" s="3">
        <v>0.1128467832082196</v>
      </c>
      <c r="AT17" s="3">
        <v>0.14295237949045611</v>
      </c>
      <c r="AU17" s="3">
        <v>0.1304227934860491</v>
      </c>
      <c r="AV17" s="3">
        <v>-6.6767373605398972E-2</v>
      </c>
      <c r="AW17" s="3">
        <v>-3.8507737514300033E-2</v>
      </c>
      <c r="AX17" s="3">
        <v>0.116899768281782</v>
      </c>
      <c r="AY17" s="3">
        <v>-5.9721105084097129E-3</v>
      </c>
      <c r="AZ17" s="3">
        <v>4.3623492238497069E-2</v>
      </c>
      <c r="BA17" s="3">
        <v>1.272093294962167E-2</v>
      </c>
      <c r="BB17" s="3">
        <v>7.2858473365853091E-2</v>
      </c>
      <c r="BC17" s="3">
        <v>9.4790438361665258E-2</v>
      </c>
      <c r="BD17" s="3">
        <v>-7.3224760275545975E-2</v>
      </c>
      <c r="BE17" s="3">
        <v>-0.10012190398795991</v>
      </c>
      <c r="BF17" s="3">
        <v>0.23284706530356661</v>
      </c>
      <c r="BG17" s="3">
        <v>0.1413820696185597</v>
      </c>
      <c r="BH17" s="3">
        <v>0.12777734134074489</v>
      </c>
      <c r="BI17" s="3">
        <v>2.8024466513801059E-2</v>
      </c>
      <c r="BJ17" s="3">
        <v>8.0166060301865988E-2</v>
      </c>
      <c r="BK17" s="3">
        <v>-3.4845831889931893E-2</v>
      </c>
      <c r="BL17" s="3">
        <v>5.5118330844219923E-2</v>
      </c>
      <c r="BM17" s="3">
        <v>5.6398076652303161E-2</v>
      </c>
      <c r="BN17" s="3">
        <v>-1.8840956571164E-2</v>
      </c>
      <c r="BO17" s="3">
        <v>-2.1495839386005019E-2</v>
      </c>
      <c r="BP17" s="3">
        <v>-2.677422513035033E-2</v>
      </c>
      <c r="BQ17" s="3">
        <v>-1.2091849394298941E-2</v>
      </c>
      <c r="BR17" s="3">
        <v>-0.10932482460424441</v>
      </c>
      <c r="BS17" s="3">
        <v>-4.5956943496794883E-2</v>
      </c>
      <c r="BT17" s="3">
        <v>1.476527256603204E-3</v>
      </c>
      <c r="BU17" s="3">
        <v>6.0199091483249978E-2</v>
      </c>
      <c r="BV17" s="3">
        <v>4.3843896521860867E-2</v>
      </c>
      <c r="BW17" s="3">
        <v>2.2217955919508651E-2</v>
      </c>
      <c r="BX17" s="3">
        <v>8.0871677292190344E-2</v>
      </c>
      <c r="BY17" s="3">
        <v>-0.18339869906096101</v>
      </c>
      <c r="BZ17" s="3">
        <v>-0.1224902880694988</v>
      </c>
      <c r="CA17" s="3">
        <v>-4.1981916203846788E-2</v>
      </c>
      <c r="CB17" s="3">
        <v>-6.6736079508043222E-2</v>
      </c>
      <c r="CC17" s="3">
        <v>4.7298156781894668E-2</v>
      </c>
      <c r="CD17" s="3">
        <v>-5.9024397384258943E-2</v>
      </c>
      <c r="CE17" s="3">
        <v>9.1919605828787193E-2</v>
      </c>
      <c r="CF17" s="3">
        <v>1.403679053071475E-2</v>
      </c>
      <c r="CG17" s="3">
        <v>-9.0994327151588533E-2</v>
      </c>
      <c r="CH17" s="3">
        <v>7.8940391028679779E-2</v>
      </c>
      <c r="CI17" s="3">
        <v>-9.8660120765665937E-2</v>
      </c>
      <c r="CJ17" s="3">
        <v>-1.4774107830145921E-2</v>
      </c>
      <c r="CK17" s="3">
        <v>0.14669734958604169</v>
      </c>
      <c r="CL17" s="3">
        <v>0.15778812263131131</v>
      </c>
      <c r="CM17" s="3">
        <v>-4.635936665041572E-2</v>
      </c>
      <c r="CN17" s="3">
        <v>-4.2837069966680248E-2</v>
      </c>
      <c r="CO17" s="3">
        <v>-0.2341402542790556</v>
      </c>
      <c r="CP17" s="3">
        <v>8.5534926249738547E-2</v>
      </c>
      <c r="CQ17" s="3">
        <v>0.12995249552299321</v>
      </c>
      <c r="CR17" s="3">
        <v>1.283195436415481E-2</v>
      </c>
      <c r="CS17" s="3">
        <v>-4.2928124127562577E-2</v>
      </c>
      <c r="CT17" s="3">
        <v>4.171151391280379E-2</v>
      </c>
      <c r="CU17" s="3">
        <v>0.147013512311538</v>
      </c>
      <c r="CV17" s="3">
        <v>-6.5451021251697425E-2</v>
      </c>
      <c r="CW17" s="3">
        <v>9.2577721100410321E-2</v>
      </c>
      <c r="CX17" s="3">
        <v>-1.9577378880817051E-2</v>
      </c>
      <c r="CY17" s="3">
        <v>-9.7962594361711938E-2</v>
      </c>
      <c r="CZ17" s="3">
        <v>-2.287963218410316E-2</v>
      </c>
      <c r="DA17" s="3">
        <v>-2.8049477789367099E-2</v>
      </c>
      <c r="DB17" s="3">
        <v>0.18234387946471231</v>
      </c>
      <c r="DC17" s="3">
        <v>-4.9456637400641552E-2</v>
      </c>
      <c r="DD17" s="3">
        <v>0.13876075219762071</v>
      </c>
      <c r="DE17" s="3">
        <v>6.8865911883613629E-2</v>
      </c>
      <c r="DF17" s="3">
        <v>-0.11339306788981041</v>
      </c>
      <c r="DG17" s="3">
        <v>0.10367807673892861</v>
      </c>
      <c r="DH17" s="3">
        <v>-0.14268119156264031</v>
      </c>
      <c r="DI17" s="3">
        <v>-4.1009755502402351E-2</v>
      </c>
      <c r="DJ17" s="3">
        <v>1.1789101409237571E-2</v>
      </c>
      <c r="DK17" s="3">
        <v>-5.5561496619311486E-3</v>
      </c>
      <c r="DL17" s="3">
        <v>4.5876782757244917E-2</v>
      </c>
      <c r="DM17" s="3">
        <v>-3.888098200147809E-2</v>
      </c>
      <c r="DN17" s="3">
        <v>8.4583920773102089E-2</v>
      </c>
      <c r="DO17" s="3">
        <v>0.29127999271409499</v>
      </c>
      <c r="DP17" s="3">
        <v>8.4632599279944654E-2</v>
      </c>
      <c r="DQ17" s="3">
        <v>-5.7512734103883523E-2</v>
      </c>
      <c r="DR17" s="3">
        <v>1.5780455080786029E-2</v>
      </c>
      <c r="DS17" s="3">
        <v>-0.15580763799935821</v>
      </c>
      <c r="DT17" s="3">
        <v>-2.1569103493945752E-2</v>
      </c>
      <c r="DU17" s="3">
        <v>-0.16887889427560671</v>
      </c>
      <c r="DV17" s="3">
        <v>-3.5973702979916859E-3</v>
      </c>
      <c r="DW17" s="3">
        <v>3.5027854199569997E-2</v>
      </c>
      <c r="DX17" s="3">
        <v>-8.0100412227943202E-2</v>
      </c>
      <c r="DY17" s="3">
        <v>-0.12681778262747789</v>
      </c>
      <c r="DZ17" s="3">
        <v>-4.4014361360792162E-2</v>
      </c>
      <c r="EA17" s="3">
        <v>-2.4762623835347601E-2</v>
      </c>
      <c r="EB17" s="3">
        <v>0.1997728941315782</v>
      </c>
      <c r="EC17" s="3">
        <v>3.7608332065093238E-2</v>
      </c>
      <c r="ED17" s="3">
        <v>-0.1127637334636916</v>
      </c>
      <c r="EE17" s="3">
        <v>-1.7016553022649782E-2</v>
      </c>
      <c r="EF17" s="3">
        <v>-7.2254441226828212E-2</v>
      </c>
      <c r="EG17" s="3">
        <v>-0.31398101477274121</v>
      </c>
      <c r="EH17" s="3">
        <v>4.7624527915541108E-2</v>
      </c>
      <c r="EI17" s="3">
        <v>-5.3340700084205897E-2</v>
      </c>
      <c r="EJ17" s="3">
        <v>3.7631283057715563E-2</v>
      </c>
      <c r="EK17" s="3">
        <v>0.1039016755433675</v>
      </c>
      <c r="EL17" s="3">
        <v>5.9357436390700638E-2</v>
      </c>
      <c r="EM17" s="3">
        <v>-1.388977535640455E-2</v>
      </c>
      <c r="EN17">
        <f t="shared" si="11"/>
        <v>9.3839067664230474E-2</v>
      </c>
      <c r="EO17">
        <f t="shared" si="12"/>
        <v>-0.14801697951757301</v>
      </c>
    </row>
    <row r="18" spans="1:145" x14ac:dyDescent="0.3">
      <c r="A18" s="18">
        <v>150</v>
      </c>
      <c r="B18" s="18">
        <f t="shared" si="10"/>
        <v>7</v>
      </c>
      <c r="C18" s="3">
        <v>6.1072734045999423E-2</v>
      </c>
      <c r="D18" s="3">
        <v>0.1905209613348946</v>
      </c>
      <c r="E18" s="3">
        <v>-5.9570828111966637E-2</v>
      </c>
      <c r="F18" s="3">
        <v>6.5985821996023916E-2</v>
      </c>
      <c r="G18" s="3">
        <v>-4.0345027686073037E-2</v>
      </c>
      <c r="H18" s="3">
        <v>1.8917999682007951E-2</v>
      </c>
      <c r="I18" s="3">
        <v>5.9161055737887852E-3</v>
      </c>
      <c r="J18" s="3">
        <v>3.1564852377907952E-2</v>
      </c>
      <c r="K18" s="3">
        <v>6.1555077462900162E-2</v>
      </c>
      <c r="L18" s="3">
        <v>1.3364095007368629E-2</v>
      </c>
      <c r="M18" s="3">
        <v>-7.0956077616985885E-2</v>
      </c>
      <c r="N18" s="3">
        <v>0.16337901166432281</v>
      </c>
      <c r="O18" s="3">
        <v>1.0693194280192121E-2</v>
      </c>
      <c r="P18" s="3">
        <v>5.3279484760820117E-2</v>
      </c>
      <c r="Q18" s="3">
        <v>3.1621404088183688E-2</v>
      </c>
      <c r="R18" s="3">
        <v>-2.51126195421357E-4</v>
      </c>
      <c r="S18" s="3">
        <v>0.27497364166369032</v>
      </c>
      <c r="T18" s="3">
        <v>0.10055959621786011</v>
      </c>
      <c r="U18" s="3">
        <v>9.8699975636287393E-2</v>
      </c>
      <c r="V18" s="3">
        <v>-3.6605971358914968E-2</v>
      </c>
      <c r="W18" s="3">
        <v>0.1184070796675219</v>
      </c>
      <c r="X18" s="3">
        <v>9.8292211090433373E-2</v>
      </c>
      <c r="Y18" s="3">
        <v>-6.2734716392919082E-2</v>
      </c>
      <c r="Z18" s="3">
        <v>5.9255619537173919E-2</v>
      </c>
      <c r="AA18" s="3">
        <v>-2.83248555181204E-2</v>
      </c>
      <c r="AB18" s="3">
        <v>-7.485819973668012E-2</v>
      </c>
      <c r="AC18" s="3">
        <v>6.6102742987588892E-2</v>
      </c>
      <c r="AD18" s="3">
        <v>-2.48992452979691E-3</v>
      </c>
      <c r="AE18" s="3">
        <v>8.8529469678635328E-2</v>
      </c>
      <c r="AF18" s="3">
        <v>-0.14926763248130889</v>
      </c>
      <c r="AG18" s="3">
        <v>6.3612206003357749E-3</v>
      </c>
      <c r="AH18" s="3">
        <v>-6.9478802212885361E-3</v>
      </c>
      <c r="AI18" s="3">
        <v>5.9653376136949827E-2</v>
      </c>
      <c r="AJ18" s="3">
        <v>0.16061942225605291</v>
      </c>
      <c r="AK18" s="3">
        <v>6.7131428355821074E-2</v>
      </c>
      <c r="AL18" s="3">
        <v>3.3524414123146662E-2</v>
      </c>
      <c r="AM18" s="3">
        <v>6.6579380254448442E-2</v>
      </c>
      <c r="AN18" s="3">
        <v>0.13621216496057389</v>
      </c>
      <c r="AO18" s="3">
        <v>7.8827966525851764E-2</v>
      </c>
      <c r="AP18" s="3">
        <v>0.1173222919872466</v>
      </c>
      <c r="AQ18" s="3">
        <v>6.8151747282506961E-3</v>
      </c>
      <c r="AR18" s="3">
        <v>5.7740995853413191E-2</v>
      </c>
      <c r="AS18" s="3">
        <v>6.2197863104129787E-2</v>
      </c>
      <c r="AT18" s="3">
        <v>0.17264025735701741</v>
      </c>
      <c r="AU18" s="3">
        <v>0.14076550111028791</v>
      </c>
      <c r="AV18" s="3">
        <v>-6.7077494668144902E-2</v>
      </c>
      <c r="AW18" s="3">
        <v>-4.5431375036708382E-2</v>
      </c>
      <c r="AX18" s="3">
        <v>0.14214464497955939</v>
      </c>
      <c r="AY18" s="3">
        <v>-1.095548090169229E-2</v>
      </c>
      <c r="AZ18" s="3">
        <v>7.4376062635236259E-2</v>
      </c>
      <c r="BA18" s="3">
        <v>1.3272914555180589E-2</v>
      </c>
      <c r="BB18" s="3">
        <v>8.4378031608028967E-2</v>
      </c>
      <c r="BC18" s="3">
        <v>0.1087806605278962</v>
      </c>
      <c r="BD18" s="3">
        <v>-4.1195100630585693E-2</v>
      </c>
      <c r="BE18" s="3">
        <v>-0.1073541197637891</v>
      </c>
      <c r="BF18" s="3">
        <v>0.2425501857603688</v>
      </c>
      <c r="BG18" s="3">
        <v>0.13988415190028419</v>
      </c>
      <c r="BH18" s="3">
        <v>0.15101142474451121</v>
      </c>
      <c r="BI18" s="3">
        <v>1.845374078658411E-2</v>
      </c>
      <c r="BJ18" s="3">
        <v>8.5430943230878992E-2</v>
      </c>
      <c r="BK18" s="3">
        <v>-3.9823807874207882E-2</v>
      </c>
      <c r="BL18" s="3">
        <v>6.1533494370806512E-2</v>
      </c>
      <c r="BM18" s="3">
        <v>6.5748089085620312E-2</v>
      </c>
      <c r="BN18" s="3">
        <v>-1.6199465297106651E-2</v>
      </c>
      <c r="BO18" s="3">
        <v>-3.7277652753044919E-2</v>
      </c>
      <c r="BP18" s="3">
        <v>1.090910430978871E-2</v>
      </c>
      <c r="BQ18" s="3">
        <v>-2.3503564773908209E-2</v>
      </c>
      <c r="BR18" s="3">
        <v>-0.10372400025667131</v>
      </c>
      <c r="BS18" s="3">
        <v>-3.8578536904808218E-2</v>
      </c>
      <c r="BT18" s="3">
        <v>1.0137637458602231E-2</v>
      </c>
      <c r="BU18" s="3">
        <v>3.9235717424499272E-2</v>
      </c>
      <c r="BV18" s="3">
        <v>5.5244058823309933E-2</v>
      </c>
      <c r="BW18" s="3">
        <v>3.1658422812337043E-2</v>
      </c>
      <c r="BX18" s="3">
        <v>6.8733410514261739E-2</v>
      </c>
      <c r="BY18" s="3">
        <v>-0.19858691159980371</v>
      </c>
      <c r="BZ18" s="3">
        <v>-0.1297426827348194</v>
      </c>
      <c r="CA18" s="3">
        <v>-5.2017966224147089E-2</v>
      </c>
      <c r="CB18" s="3">
        <v>-8.7766173701490507E-2</v>
      </c>
      <c r="CC18" s="3">
        <v>3.0860093950535031E-2</v>
      </c>
      <c r="CD18" s="3">
        <v>-7.7659881438977479E-2</v>
      </c>
      <c r="CE18" s="3">
        <v>9.2078628381730893E-2</v>
      </c>
      <c r="CF18" s="3">
        <v>3.031681450779497E-2</v>
      </c>
      <c r="CG18" s="3">
        <v>3.5368222061772037E-2</v>
      </c>
      <c r="CH18" s="3">
        <v>7.7276374527758346E-2</v>
      </c>
      <c r="CI18" s="3">
        <v>-0.10349896084577261</v>
      </c>
      <c r="CJ18" s="3">
        <v>9.820294157323689E-3</v>
      </c>
      <c r="CK18" s="3">
        <v>0.13522837416218239</v>
      </c>
      <c r="CL18" s="3">
        <v>0.15210642037531091</v>
      </c>
      <c r="CM18" s="3">
        <v>-5.4091142240469722E-2</v>
      </c>
      <c r="CN18" s="3">
        <v>-3.5190266356539178E-2</v>
      </c>
      <c r="CO18" s="3">
        <v>-0.22871877491547679</v>
      </c>
      <c r="CP18" s="3">
        <v>0.1073482712076906</v>
      </c>
      <c r="CQ18" s="3">
        <v>0.13694383240159921</v>
      </c>
      <c r="CR18" s="3">
        <v>1.4652276364736219E-2</v>
      </c>
      <c r="CS18" s="3">
        <v>-2.465971812692556E-3</v>
      </c>
      <c r="CT18" s="3">
        <v>4.0967732148286633E-2</v>
      </c>
      <c r="CU18" s="3">
        <v>0.15067179391603411</v>
      </c>
      <c r="CV18" s="3">
        <v>-0.11192078510604229</v>
      </c>
      <c r="CW18" s="3">
        <v>7.4171036412826935E-2</v>
      </c>
      <c r="CX18" s="3">
        <v>-4.6737763063855881E-3</v>
      </c>
      <c r="CY18" s="3">
        <v>-0.1071706110699492</v>
      </c>
      <c r="CZ18" s="3">
        <v>-3.1883656525082182E-2</v>
      </c>
      <c r="DA18" s="3">
        <v>-3.4213999127115133E-2</v>
      </c>
      <c r="DB18" s="3">
        <v>0.11523940122985921</v>
      </c>
      <c r="DC18" s="3">
        <v>-7.0082383721195157E-2</v>
      </c>
      <c r="DD18" s="3">
        <v>0.1411645284160343</v>
      </c>
      <c r="DE18" s="3">
        <v>4.6814205050645943E-2</v>
      </c>
      <c r="DF18" s="3">
        <v>-0.13584070594553871</v>
      </c>
      <c r="DG18" s="3">
        <v>0.1102533477477617</v>
      </c>
      <c r="DH18" s="3">
        <v>-0.1612092591861618</v>
      </c>
      <c r="DI18" s="3">
        <v>-4.6712844381578328E-2</v>
      </c>
      <c r="DJ18" s="3">
        <v>4.6043366941242302E-2</v>
      </c>
      <c r="DK18" s="3">
        <v>-3.119490376531648E-2</v>
      </c>
      <c r="DL18" s="3">
        <v>5.6538247883703548E-2</v>
      </c>
      <c r="DM18" s="3">
        <v>-5.3820837156575867E-2</v>
      </c>
      <c r="DN18" s="3">
        <v>0.11066414487313769</v>
      </c>
      <c r="DO18" s="3">
        <v>0.34854038560695799</v>
      </c>
      <c r="DP18" s="3">
        <v>0.1165063304663172</v>
      </c>
      <c r="DQ18" s="3">
        <v>-8.3438847929762194E-2</v>
      </c>
      <c r="DR18" s="3">
        <v>2.0153224912462391E-2</v>
      </c>
      <c r="DS18" s="3">
        <v>-0.178687710116047</v>
      </c>
      <c r="DT18" s="3">
        <v>1.3756719624546431E-2</v>
      </c>
      <c r="DU18" s="3">
        <v>-0.1548972052602644</v>
      </c>
      <c r="DV18" s="3">
        <v>1.6455658403359521E-2</v>
      </c>
      <c r="DW18" s="3">
        <v>3.996203484519005E-2</v>
      </c>
      <c r="DX18" s="3">
        <v>-7.1827339603791437E-2</v>
      </c>
      <c r="DY18" s="3">
        <v>-0.15706431495745521</v>
      </c>
      <c r="DZ18" s="3">
        <v>-7.5709927485115361E-2</v>
      </c>
      <c r="EA18" s="3">
        <v>-1.168971584440617E-2</v>
      </c>
      <c r="EB18" s="3">
        <v>0.1493112408280525</v>
      </c>
      <c r="EC18" s="3">
        <v>1.004631932896961E-2</v>
      </c>
      <c r="ED18" s="3">
        <v>-0.1149296725211168</v>
      </c>
      <c r="EE18" s="3">
        <v>8.0478188953818572E-3</v>
      </c>
      <c r="EF18" s="3">
        <v>-7.0487273233711095E-2</v>
      </c>
      <c r="EG18" s="3">
        <v>-0.3522740921119164</v>
      </c>
      <c r="EH18" s="3">
        <v>6.0625664725182819E-2</v>
      </c>
      <c r="EI18" s="3">
        <v>-5.7641232736356407E-2</v>
      </c>
      <c r="EJ18" s="3">
        <v>3.2640413444615352E-2</v>
      </c>
      <c r="EK18" s="3">
        <v>0.11403777589760281</v>
      </c>
      <c r="EL18" s="3">
        <v>8.006249853306098E-2</v>
      </c>
      <c r="EM18" s="3">
        <v>-1.388977535640455E-2</v>
      </c>
      <c r="EN18">
        <f t="shared" si="11"/>
        <v>9.9740037588320285E-2</v>
      </c>
      <c r="EO18">
        <f t="shared" si="12"/>
        <v>-0.13925977663789316</v>
      </c>
    </row>
    <row r="19" spans="1:145" x14ac:dyDescent="0.3">
      <c r="A19" s="18">
        <v>180</v>
      </c>
      <c r="B19" s="18">
        <f t="shared" si="10"/>
        <v>6</v>
      </c>
      <c r="C19" s="3">
        <v>3.6648118732524007E-2</v>
      </c>
      <c r="D19" s="3">
        <v>0.20727062540597621</v>
      </c>
      <c r="E19" s="3">
        <v>-6.323095204389112E-2</v>
      </c>
      <c r="F19" s="3">
        <v>0.1153920006817003</v>
      </c>
      <c r="G19" s="3">
        <v>-3.048905466992111E-2</v>
      </c>
      <c r="H19" s="3">
        <v>3.6133644221662757E-2</v>
      </c>
      <c r="I19" s="3">
        <v>-9.4693009173388715E-3</v>
      </c>
      <c r="J19" s="3">
        <v>2.861151543241755E-2</v>
      </c>
      <c r="K19" s="3">
        <v>0.12836313714558589</v>
      </c>
      <c r="L19" s="3">
        <v>-7.0044467686532982E-3</v>
      </c>
      <c r="M19" s="3">
        <v>1.147813159354266E-2</v>
      </c>
      <c r="N19" s="3">
        <v>0.13074611919085671</v>
      </c>
      <c r="O19" s="3">
        <v>1.414634387720601E-2</v>
      </c>
      <c r="P19" s="3">
        <v>4.9151201228163272E-2</v>
      </c>
      <c r="Q19" s="3">
        <v>5.0087913356002593E-2</v>
      </c>
      <c r="R19" s="3">
        <v>1.3830557514523509E-2</v>
      </c>
      <c r="S19" s="3">
        <v>0.2183447672796521</v>
      </c>
      <c r="T19" s="3">
        <v>0.1135581032190193</v>
      </c>
      <c r="U19" s="3">
        <v>8.8386171775181294E-2</v>
      </c>
      <c r="V19" s="3">
        <v>-7.2837910977625417E-2</v>
      </c>
      <c r="W19" s="3">
        <v>0.10527503782766021</v>
      </c>
      <c r="X19" s="3">
        <v>0.1111798155498686</v>
      </c>
      <c r="Y19" s="3">
        <v>-9.0996632018985252E-2</v>
      </c>
      <c r="Z19" s="3">
        <v>4.049813729726888E-2</v>
      </c>
      <c r="AA19" s="3">
        <v>-2.8441616205566369E-2</v>
      </c>
      <c r="AB19" s="3">
        <v>-7.426384779908006E-2</v>
      </c>
      <c r="AC19" s="3">
        <v>8.2706188608206194E-2</v>
      </c>
      <c r="AD19" s="3">
        <v>-2.154718966031274E-2</v>
      </c>
      <c r="AE19" s="3">
        <v>8.0505505603384334E-2</v>
      </c>
      <c r="AF19" s="3">
        <v>-6.8204361019257226E-2</v>
      </c>
      <c r="AG19" s="3">
        <v>-1.7265566114927799E-2</v>
      </c>
      <c r="AH19" s="3">
        <v>2.1542788967358801E-2</v>
      </c>
      <c r="AI19" s="3">
        <v>6.5585765258247872E-2</v>
      </c>
      <c r="AJ19" s="3">
        <v>0.13119616944125301</v>
      </c>
      <c r="AK19" s="3">
        <v>4.5860141287116761E-2</v>
      </c>
      <c r="AL19" s="3">
        <v>2.7164877945130821E-2</v>
      </c>
      <c r="AM19" s="3">
        <v>6.5801249277136625E-2</v>
      </c>
      <c r="AN19" s="3">
        <v>0.15405421669901981</v>
      </c>
      <c r="AO19" s="3">
        <v>8.0868444365037956E-2</v>
      </c>
      <c r="AP19" s="3">
        <v>0.1632362780065908</v>
      </c>
      <c r="AQ19" s="3">
        <v>-5.7655377456653563E-2</v>
      </c>
      <c r="AR19" s="3">
        <v>6.8372470118881548E-2</v>
      </c>
      <c r="AS19" s="3">
        <v>7.09687663042258E-2</v>
      </c>
      <c r="AT19" s="3">
        <v>0.2072216623890176</v>
      </c>
      <c r="AU19" s="3">
        <v>0.16041607922463311</v>
      </c>
      <c r="AV19" s="3">
        <v>-7.9287748378482931E-2</v>
      </c>
      <c r="AW19" s="3">
        <v>-2.7112216931514201E-2</v>
      </c>
      <c r="AX19" s="3">
        <v>0.13764503115414831</v>
      </c>
      <c r="AY19" s="3">
        <v>-1.9061838746868839E-2</v>
      </c>
      <c r="AZ19" s="3">
        <v>-1.440523957734779E-3</v>
      </c>
      <c r="BA19" s="3">
        <v>1.2752765351764631E-2</v>
      </c>
      <c r="BB19" s="3">
        <v>0.10501690474826381</v>
      </c>
      <c r="BC19" s="3">
        <v>9.868453422792238E-2</v>
      </c>
      <c r="BD19" s="3">
        <v>-5.167336584748379E-2</v>
      </c>
      <c r="BE19" s="3">
        <v>-0.1183989534252495</v>
      </c>
      <c r="BF19" s="3">
        <v>0.26507679349938329</v>
      </c>
      <c r="BG19" s="3">
        <v>0.14185847578500399</v>
      </c>
      <c r="BH19" s="3">
        <v>0.17200405603058341</v>
      </c>
      <c r="BI19" s="3">
        <v>2.8473614904864209E-2</v>
      </c>
      <c r="BJ19" s="3">
        <v>9.5411142798360757E-2</v>
      </c>
      <c r="BK19" s="3">
        <v>-2.2844308831258181E-2</v>
      </c>
      <c r="BL19" s="3">
        <v>6.6379685576495512E-2</v>
      </c>
      <c r="BM19" s="3">
        <v>6.1051259430039383E-2</v>
      </c>
      <c r="BN19" s="3">
        <v>-2.1680479628134072E-2</v>
      </c>
      <c r="BO19" s="3">
        <v>-2.3399704921009061E-2</v>
      </c>
      <c r="BP19" s="3">
        <v>-2.1574649860409338E-3</v>
      </c>
      <c r="BQ19" s="3">
        <v>1.7549059426011739E-2</v>
      </c>
      <c r="BR19" s="3">
        <v>-7.9503252217496739E-2</v>
      </c>
      <c r="BS19" s="3">
        <v>-5.0549894396561608E-2</v>
      </c>
      <c r="BT19" s="3">
        <v>9.1067777812086047E-3</v>
      </c>
      <c r="BU19" s="3">
        <v>8.8066755198857288E-2</v>
      </c>
      <c r="BV19" s="3">
        <v>8.7444311268744954E-2</v>
      </c>
      <c r="BW19" s="3">
        <v>0.1053648614102157</v>
      </c>
      <c r="BX19" s="3">
        <v>9.494623699085028E-2</v>
      </c>
      <c r="BY19" s="3">
        <v>-0.1812866499197914</v>
      </c>
      <c r="BZ19" s="3">
        <v>-0.1215061789048225</v>
      </c>
      <c r="CA19" s="3">
        <v>-6.9500252602829576E-2</v>
      </c>
      <c r="CB19" s="3">
        <v>-8.6532658583905353E-2</v>
      </c>
      <c r="CC19" s="3">
        <v>6.8810567784029539E-2</v>
      </c>
      <c r="CD19" s="3">
        <v>-0.1425752837928177</v>
      </c>
      <c r="CE19" s="3">
        <v>0.11269144176093179</v>
      </c>
      <c r="CF19" s="3">
        <v>7.5871720285900076E-3</v>
      </c>
      <c r="CG19" s="3">
        <v>-3.548511961936672E-2</v>
      </c>
      <c r="CH19" s="3">
        <v>6.9428480161510778E-2</v>
      </c>
      <c r="CI19" s="3">
        <v>-9.6049779222477955E-2</v>
      </c>
      <c r="CJ19" s="3">
        <v>2.552322785823416E-2</v>
      </c>
      <c r="CK19" s="3">
        <v>0.18212856317725809</v>
      </c>
      <c r="CL19" s="3">
        <v>0.14413495637183041</v>
      </c>
      <c r="CM19" s="3">
        <v>-4.3990673541092623E-3</v>
      </c>
      <c r="CN19" s="3">
        <v>-3.7732562551546937E-2</v>
      </c>
      <c r="CO19" s="3">
        <v>-0.25050207048675771</v>
      </c>
      <c r="CP19" s="3">
        <v>0.1204363179077758</v>
      </c>
      <c r="CQ19" s="3">
        <v>0.1360178956997069</v>
      </c>
      <c r="CR19" s="3">
        <v>7.8406002128255659E-3</v>
      </c>
      <c r="CS19" s="3">
        <v>-6.892301630985892E-3</v>
      </c>
      <c r="CT19" s="3">
        <v>1.21754724160487E-2</v>
      </c>
      <c r="CU19" s="3">
        <v>0.1457612901208413</v>
      </c>
      <c r="CV19" s="3">
        <v>-0.1360349129181076</v>
      </c>
      <c r="CW19" s="3">
        <v>6.2280462072344459E-2</v>
      </c>
      <c r="CX19" s="3">
        <v>1.4244174757561149E-2</v>
      </c>
      <c r="CY19" s="3">
        <v>-9.3090936786097242E-2</v>
      </c>
      <c r="CZ19" s="3">
        <v>-7.7397278045132634E-4</v>
      </c>
      <c r="DA19" s="3">
        <v>-2.5653633764796041E-2</v>
      </c>
      <c r="DB19" s="3">
        <v>0.1393899977180631</v>
      </c>
      <c r="DC19" s="3">
        <v>-5.9820095908367288E-2</v>
      </c>
      <c r="DD19" s="3">
        <v>0.12963667336568549</v>
      </c>
      <c r="DE19" s="3">
        <v>4.3821593799933008E-2</v>
      </c>
      <c r="DF19" s="3">
        <v>-0.15298846000002661</v>
      </c>
      <c r="DG19" s="3">
        <v>0.101847199258599</v>
      </c>
      <c r="DH19" s="3">
        <v>-0.1780360416922174</v>
      </c>
      <c r="DI19" s="3">
        <v>-5.1271738463032082E-2</v>
      </c>
      <c r="DJ19" s="3">
        <v>4.9835329041169302E-2</v>
      </c>
      <c r="DK19" s="3">
        <v>-4.0703047861148783E-3</v>
      </c>
      <c r="DL19" s="3">
        <v>1.335059432225094E-2</v>
      </c>
      <c r="DM19" s="3">
        <v>-7.588311743360561E-2</v>
      </c>
      <c r="DN19" s="3">
        <v>0.13107553815143611</v>
      </c>
      <c r="DO19" s="3">
        <v>0.37873408648789492</v>
      </c>
      <c r="DP19" s="3">
        <v>0.11990134406907001</v>
      </c>
      <c r="DQ19" s="3">
        <v>-7.2959490368823626E-2</v>
      </c>
      <c r="DR19" s="3">
        <v>1.609669504164013E-2</v>
      </c>
      <c r="DS19" s="3">
        <v>-8.119199887270756E-2</v>
      </c>
      <c r="DT19" s="3">
        <v>2.0743925316376591E-2</v>
      </c>
      <c r="DU19" s="3">
        <v>-0.20101788040820431</v>
      </c>
      <c r="DV19" s="3">
        <v>7.4949917446083536E-4</v>
      </c>
      <c r="DW19" s="3">
        <v>5.7418662716391219E-2</v>
      </c>
      <c r="DX19" s="3">
        <v>-6.0471083943221503E-2</v>
      </c>
      <c r="DY19" s="3">
        <v>-0.18729048287853839</v>
      </c>
      <c r="DZ19" s="3">
        <v>6.4112581661193574E-3</v>
      </c>
      <c r="EA19" s="3">
        <v>-7.0059029055267799E-3</v>
      </c>
      <c r="EB19" s="3">
        <v>0.1341155566981585</v>
      </c>
      <c r="EC19" s="3">
        <v>2.343523340663772E-2</v>
      </c>
      <c r="ED19" s="3">
        <v>-7.5342438536797618E-2</v>
      </c>
      <c r="EE19" s="3">
        <v>2.493015211961758E-2</v>
      </c>
      <c r="EF19" s="3">
        <v>-9.0999278667163092E-2</v>
      </c>
      <c r="EG19" s="3">
        <v>-0.40668512680459029</v>
      </c>
      <c r="EH19" s="3">
        <v>6.0276946434231801E-2</v>
      </c>
      <c r="EI19" s="3">
        <v>-6.8677706190422572E-2</v>
      </c>
      <c r="EJ19" s="3">
        <v>3.3989106926928747E-2</v>
      </c>
      <c r="EK19" s="3">
        <v>6.6182062816460038E-2</v>
      </c>
      <c r="EL19" s="3">
        <v>7.3552637875947777E-2</v>
      </c>
      <c r="EM19" s="3">
        <v>-1.388977535640455E-2</v>
      </c>
      <c r="EN19">
        <f t="shared" si="11"/>
        <v>0.10408323855396172</v>
      </c>
      <c r="EO19">
        <f t="shared" si="12"/>
        <v>-0.13344872382312958</v>
      </c>
    </row>
    <row r="20" spans="1:145" x14ac:dyDescent="0.3">
      <c r="A20" s="18">
        <v>200</v>
      </c>
      <c r="B20" s="18">
        <f t="shared" si="10"/>
        <v>5</v>
      </c>
      <c r="C20" s="3">
        <v>0.10038821825765221</v>
      </c>
      <c r="D20" s="3">
        <v>0.2330711283201515</v>
      </c>
      <c r="E20" s="3">
        <v>-7.5226278623772028E-2</v>
      </c>
      <c r="F20" s="3">
        <v>0.18824807573110119</v>
      </c>
      <c r="G20" s="3">
        <v>-0.13326717167358201</v>
      </c>
      <c r="H20" s="3">
        <v>1.5020853647836859E-3</v>
      </c>
      <c r="I20" s="3">
        <v>2.9591231586662759E-2</v>
      </c>
      <c r="J20" s="3">
        <v>4.5362883466581738E-3</v>
      </c>
      <c r="K20" s="3">
        <v>0.1090072940348538</v>
      </c>
      <c r="L20" s="3">
        <v>-6.3366714195723928E-2</v>
      </c>
      <c r="M20" s="3">
        <v>-4.4167373994653723E-2</v>
      </c>
      <c r="N20" s="3">
        <v>8.8600556557190069E-2</v>
      </c>
      <c r="O20" s="3">
        <v>1.781011219650068E-2</v>
      </c>
      <c r="P20" s="3">
        <v>4.5877372278780401E-2</v>
      </c>
      <c r="Q20" s="3">
        <v>3.9156291552009101E-2</v>
      </c>
      <c r="R20" s="3">
        <v>2.0981394834799189E-2</v>
      </c>
      <c r="S20" s="3">
        <v>0.25929259032442681</v>
      </c>
      <c r="T20" s="3">
        <v>6.7523693405294766E-2</v>
      </c>
      <c r="U20" s="3">
        <v>8.3408378286778828E-2</v>
      </c>
      <c r="V20" s="3">
        <v>-6.6496722022896443E-2</v>
      </c>
      <c r="W20" s="3">
        <v>9.726714488363021E-2</v>
      </c>
      <c r="X20" s="3">
        <v>0.18146961157135749</v>
      </c>
      <c r="Y20" s="3">
        <v>-0.1062078941932437</v>
      </c>
      <c r="Z20" s="3">
        <v>3.0213833248861292E-3</v>
      </c>
      <c r="AA20" s="3">
        <v>-1.532511208180486E-2</v>
      </c>
      <c r="AB20" s="3">
        <v>-5.2539971407738979E-2</v>
      </c>
      <c r="AC20" s="3">
        <v>6.0203832406759063E-2</v>
      </c>
      <c r="AD20" s="3">
        <v>-6.1738005630791272E-2</v>
      </c>
      <c r="AE20" s="3">
        <v>0.1074267194230356</v>
      </c>
      <c r="AF20" s="3">
        <v>-5.6045596195469519E-2</v>
      </c>
      <c r="AG20" s="3">
        <v>-1.9832198825289818E-3</v>
      </c>
      <c r="AH20" s="3">
        <v>3.5750295740210672E-3</v>
      </c>
      <c r="AI20" s="3">
        <v>8.351602534103883E-2</v>
      </c>
      <c r="AJ20" s="3">
        <v>0.14658805967860711</v>
      </c>
      <c r="AK20" s="3">
        <v>5.6195920975382299E-2</v>
      </c>
      <c r="AL20" s="3">
        <v>-1.192063352391113E-2</v>
      </c>
      <c r="AM20" s="3">
        <v>7.6991470481814706E-2</v>
      </c>
      <c r="AN20" s="3">
        <v>0.17787294394279021</v>
      </c>
      <c r="AO20" s="3">
        <v>0.124942464996356</v>
      </c>
      <c r="AP20" s="3">
        <v>0.17046889693798631</v>
      </c>
      <c r="AQ20" s="3">
        <v>-2.0624865770414062E-2</v>
      </c>
      <c r="AR20" s="3">
        <v>2.359079277975561E-2</v>
      </c>
      <c r="AS20" s="3">
        <v>0.1053812893294605</v>
      </c>
      <c r="AT20" s="3">
        <v>0.22776995189569921</v>
      </c>
      <c r="AU20" s="3">
        <v>0.13739414346241</v>
      </c>
      <c r="AV20" s="3">
        <v>-9.3013305791201817E-2</v>
      </c>
      <c r="AW20" s="3">
        <v>-3.5990737505261237E-2</v>
      </c>
      <c r="AX20" s="3">
        <v>0.1919599179009831</v>
      </c>
      <c r="AY20" s="3">
        <v>-9.7389751336000793E-3</v>
      </c>
      <c r="AZ20" s="3">
        <v>3.3362406295547757E-2</v>
      </c>
      <c r="BA20" s="3">
        <v>-1.368921303607544E-2</v>
      </c>
      <c r="BB20" s="3">
        <v>0.20621206323978539</v>
      </c>
      <c r="BC20" s="3">
        <v>0.117139385401323</v>
      </c>
      <c r="BD20" s="3">
        <v>-4.8412134142875908E-2</v>
      </c>
      <c r="BE20" s="3">
        <v>-7.5375767273964916E-2</v>
      </c>
      <c r="BF20" s="3">
        <v>0.1085187342666851</v>
      </c>
      <c r="BG20" s="3">
        <v>0.1421826199072399</v>
      </c>
      <c r="BH20" s="3">
        <v>0.19868745171215249</v>
      </c>
      <c r="BI20" s="3">
        <v>5.0009193354597012E-3</v>
      </c>
      <c r="BJ20" s="3">
        <v>0.10558794573670829</v>
      </c>
      <c r="BK20" s="3">
        <v>-5.0467211574285777E-3</v>
      </c>
      <c r="BL20" s="3">
        <v>7.7307836784259384E-2</v>
      </c>
      <c r="BM20" s="3">
        <v>7.0809436438703216E-2</v>
      </c>
      <c r="BN20" s="3">
        <v>-2.833186864328327E-2</v>
      </c>
      <c r="BO20" s="3">
        <v>-2.4552732321380281E-2</v>
      </c>
      <c r="BP20" s="3">
        <v>1.103332718858006E-2</v>
      </c>
      <c r="BQ20" s="3">
        <v>1.07611281269536E-2</v>
      </c>
      <c r="BR20" s="3">
        <v>-4.183644491838874E-2</v>
      </c>
      <c r="BS20" s="3">
        <v>-6.2450169662382968E-2</v>
      </c>
      <c r="BT20" s="3">
        <v>2.4558463671186199E-2</v>
      </c>
      <c r="BU20" s="3">
        <v>8.7873114297053884E-2</v>
      </c>
      <c r="BV20" s="3">
        <v>9.8370817166154395E-2</v>
      </c>
      <c r="BW20" s="3">
        <v>0.15467237598789421</v>
      </c>
      <c r="BX20" s="3">
        <v>0.12912951162474301</v>
      </c>
      <c r="BY20" s="3">
        <v>-0.13185236408118631</v>
      </c>
      <c r="BZ20" s="3">
        <v>-0.17525001192793321</v>
      </c>
      <c r="CA20" s="3">
        <v>-1.0146904409477679E-2</v>
      </c>
      <c r="CB20" s="3">
        <v>-8.7976523449989186E-2</v>
      </c>
      <c r="CC20" s="3">
        <v>2.9800718666287751E-2</v>
      </c>
      <c r="CD20" s="3">
        <v>-0.23717483295374031</v>
      </c>
      <c r="CE20" s="3">
        <v>0.10763028238798369</v>
      </c>
      <c r="CF20" s="3">
        <v>5.1422723549542713E-2</v>
      </c>
      <c r="CG20" s="3">
        <v>-5.9718306635793431E-2</v>
      </c>
      <c r="CH20" s="3">
        <v>2.570406852526139E-2</v>
      </c>
      <c r="CI20" s="3">
        <v>-0.1188447890181786</v>
      </c>
      <c r="CJ20" s="3">
        <v>4.1588971495707949E-2</v>
      </c>
      <c r="CK20" s="3">
        <v>0.14926164519319141</v>
      </c>
      <c r="CL20" s="3">
        <v>9.3801284301125054E-2</v>
      </c>
      <c r="CM20" s="3">
        <v>1.1597541029595799E-2</v>
      </c>
      <c r="CN20" s="3">
        <v>-2.499851464907725E-2</v>
      </c>
      <c r="CO20" s="3">
        <v>-0.28663326181220211</v>
      </c>
      <c r="CP20" s="3">
        <v>0.1684376746349458</v>
      </c>
      <c r="CQ20" s="3">
        <v>0.1218645825354277</v>
      </c>
      <c r="CR20" s="3">
        <v>1.582218286256876E-2</v>
      </c>
      <c r="CS20" s="3">
        <v>-6.3029265113695318E-2</v>
      </c>
      <c r="CT20" s="3">
        <v>-7.3988851115915364E-3</v>
      </c>
      <c r="CU20" s="3">
        <v>0.16112217729086589</v>
      </c>
      <c r="CV20" s="3">
        <v>-0.1699304615644239</v>
      </c>
      <c r="CW20" s="3">
        <v>5.5721263880841553E-2</v>
      </c>
      <c r="CX20" s="3">
        <v>-1.6022019635336119E-2</v>
      </c>
      <c r="CY20" s="3">
        <v>-7.7058953903181127E-2</v>
      </c>
      <c r="CZ20" s="3">
        <v>1.418166849600745E-2</v>
      </c>
      <c r="DA20" s="3">
        <v>-2.641723777160937E-2</v>
      </c>
      <c r="DB20" s="3">
        <v>0.17185778385878461</v>
      </c>
      <c r="DC20" s="3">
        <v>-6.4034330963070679E-2</v>
      </c>
      <c r="DD20" s="3">
        <v>0.1760928871782447</v>
      </c>
      <c r="DE20" s="3">
        <v>-7.093318711985494E-2</v>
      </c>
      <c r="DF20" s="3">
        <v>-0.14619336349157011</v>
      </c>
      <c r="DG20" s="3">
        <v>0.13953381174537599</v>
      </c>
      <c r="DH20" s="3">
        <v>-0.2039891117755199</v>
      </c>
      <c r="DI20" s="3">
        <v>-2.4744206713561701E-2</v>
      </c>
      <c r="DJ20" s="3">
        <v>0.1012748086950498</v>
      </c>
      <c r="DK20" s="3">
        <v>-5.7788579845246199E-3</v>
      </c>
      <c r="DL20" s="3">
        <v>3.5094000589159978E-2</v>
      </c>
      <c r="DM20" s="3">
        <v>-5.4917865304742991E-2</v>
      </c>
      <c r="DN20" s="3">
        <v>0.10739022949248871</v>
      </c>
      <c r="DO20" s="3">
        <v>0.21784125867287699</v>
      </c>
      <c r="DP20" s="3">
        <v>0.1528226865518777</v>
      </c>
      <c r="DQ20" s="3">
        <v>-7.3159670587872871E-2</v>
      </c>
      <c r="DR20" s="3">
        <v>1.289632462969709E-2</v>
      </c>
      <c r="DS20" s="3">
        <v>-6.4987825710851516E-2</v>
      </c>
      <c r="DT20" s="3">
        <v>-7.9225476589953187E-3</v>
      </c>
      <c r="DU20" s="3">
        <v>-0.22812072887989901</v>
      </c>
      <c r="DV20" s="3">
        <v>-2.6204740600013009E-2</v>
      </c>
      <c r="DW20" s="3">
        <v>9.2358669139119665E-2</v>
      </c>
      <c r="DX20" s="3">
        <v>-3.5607762247480683E-2</v>
      </c>
      <c r="DY20" s="3">
        <v>-0.1984452649213094</v>
      </c>
      <c r="DZ20" s="3">
        <v>3.6412655409789732E-2</v>
      </c>
      <c r="EA20" s="3">
        <v>-4.6994573981931707E-2</v>
      </c>
      <c r="EB20" s="3">
        <v>0.14987391974587869</v>
      </c>
      <c r="EC20" s="3">
        <v>5.1038374261867032E-2</v>
      </c>
      <c r="ED20" s="3">
        <v>-5.5132738082055127E-2</v>
      </c>
      <c r="EE20" s="3">
        <v>2.7595523752946001E-2</v>
      </c>
      <c r="EF20" s="3">
        <v>-5.6578467794676179E-2</v>
      </c>
      <c r="EG20" s="3">
        <v>-0.51130693647362169</v>
      </c>
      <c r="EH20" s="3">
        <v>7.6787397521571543E-2</v>
      </c>
      <c r="EI20" s="3">
        <v>-8.1912092397009084E-2</v>
      </c>
      <c r="EJ20" s="3">
        <v>8.0963138144001696E-3</v>
      </c>
      <c r="EK20" s="3">
        <v>9.6947936791503209E-2</v>
      </c>
      <c r="EL20" s="3">
        <v>9.6605263167411387E-2</v>
      </c>
      <c r="EM20" s="3">
        <v>-1.388977535640455E-2</v>
      </c>
      <c r="EN20">
        <f t="shared" si="11"/>
        <v>0.11324005385899472</v>
      </c>
      <c r="EO20">
        <f t="shared" si="12"/>
        <v>-0.12265779539190212</v>
      </c>
    </row>
    <row r="21" spans="1:145" x14ac:dyDescent="0.3">
      <c r="A21" s="18">
        <v>256</v>
      </c>
      <c r="B21" s="18">
        <f t="shared" si="10"/>
        <v>4</v>
      </c>
      <c r="C21" s="3">
        <v>0.1383497531465899</v>
      </c>
      <c r="D21" s="3">
        <v>0.27310875250040872</v>
      </c>
      <c r="E21" s="3">
        <v>-0.1117949517622516</v>
      </c>
      <c r="F21" s="3">
        <v>0.18403858160612999</v>
      </c>
      <c r="G21" s="3">
        <v>-0.103965008172214</v>
      </c>
      <c r="H21" s="3">
        <v>-5.2945065547031503E-2</v>
      </c>
      <c r="I21" s="3">
        <v>5.5532902186733749E-2</v>
      </c>
      <c r="J21" s="3">
        <v>7.8018192061333341E-4</v>
      </c>
      <c r="K21" s="3">
        <v>7.4733513845610458E-2</v>
      </c>
      <c r="L21" s="3">
        <v>-6.0612953436118597E-2</v>
      </c>
      <c r="M21" s="3">
        <v>5.9956941922065521E-3</v>
      </c>
      <c r="N21" s="3">
        <v>9.451650760778596E-2</v>
      </c>
      <c r="O21" s="3">
        <v>3.0131122951155789E-2</v>
      </c>
      <c r="P21" s="3">
        <v>2.746551314938615E-2</v>
      </c>
      <c r="Q21" s="3">
        <v>5.0396838919869243E-2</v>
      </c>
      <c r="R21" s="3">
        <v>2.485145126450258E-2</v>
      </c>
      <c r="S21" s="3">
        <v>0.25468280250588032</v>
      </c>
      <c r="T21" s="3">
        <v>0.1024341765425497</v>
      </c>
      <c r="U21" s="3">
        <v>0.1120120732770517</v>
      </c>
      <c r="V21" s="3">
        <v>-2.9483313114115679E-2</v>
      </c>
      <c r="W21" s="3">
        <v>0.1592442325537114</v>
      </c>
      <c r="X21" s="3">
        <v>0.1255558513990245</v>
      </c>
      <c r="Y21" s="3">
        <v>-0.19515744022224621</v>
      </c>
      <c r="Z21" s="3">
        <v>-4.2624857323646601E-3</v>
      </c>
      <c r="AA21" s="3">
        <v>2.0341427094086781E-3</v>
      </c>
      <c r="AB21" s="3">
        <v>-4.2794280697959708E-2</v>
      </c>
      <c r="AC21" s="3">
        <v>-2.2544713313365859E-2</v>
      </c>
      <c r="AD21" s="3">
        <v>-1.77055830055198E-2</v>
      </c>
      <c r="AE21" s="3">
        <v>0.1173810612699264</v>
      </c>
      <c r="AF21" s="3">
        <v>-7.3044128528482299E-2</v>
      </c>
      <c r="AG21" s="3">
        <v>-3.6405881838358953E-2</v>
      </c>
      <c r="AH21" s="3">
        <v>-0.2131296265265179</v>
      </c>
      <c r="AI21" s="3">
        <v>6.3265310762836258E-2</v>
      </c>
      <c r="AJ21" s="3">
        <v>-3.9317419594852319E-2</v>
      </c>
      <c r="AK21" s="3">
        <v>6.5657616552178791E-2</v>
      </c>
      <c r="AL21" s="3">
        <v>-1.4303420055543539E-2</v>
      </c>
      <c r="AM21" s="3">
        <v>2.276872050526103E-2</v>
      </c>
      <c r="AN21" s="3">
        <v>0.21985381243548879</v>
      </c>
      <c r="AO21" s="3">
        <v>0.19677398041544211</v>
      </c>
      <c r="AP21" s="3">
        <v>0.15232178313704739</v>
      </c>
      <c r="AQ21" s="3">
        <v>-7.7494557950618954E-3</v>
      </c>
      <c r="AR21" s="3">
        <v>4.3561470047791213E-2</v>
      </c>
      <c r="AS21" s="3">
        <v>0.14213170182999491</v>
      </c>
      <c r="AT21" s="3">
        <v>0.29525565037700457</v>
      </c>
      <c r="AU21" s="3">
        <v>0.1245657541788972</v>
      </c>
      <c r="AV21" s="3">
        <v>-0.12217474710182009</v>
      </c>
      <c r="AW21" s="3">
        <v>-5.4182456453277177E-2</v>
      </c>
      <c r="AX21" s="3">
        <v>0.19515150066027909</v>
      </c>
      <c r="AY21" s="3">
        <v>-1.5847563811557799E-2</v>
      </c>
      <c r="AZ21" s="3">
        <v>3.8559157525266778E-3</v>
      </c>
      <c r="BA21" s="3">
        <v>1.4141266859158289E-2</v>
      </c>
      <c r="BB21" s="3">
        <v>0.2440792457900158</v>
      </c>
      <c r="BC21" s="3">
        <v>0.15411820216381461</v>
      </c>
      <c r="BD21" s="3">
        <v>-6.7632096587859819E-2</v>
      </c>
      <c r="BE21" s="3">
        <v>-0.1342607977373661</v>
      </c>
      <c r="BF21" s="3">
        <v>8.5858037814082036E-2</v>
      </c>
      <c r="BG21" s="3">
        <v>0.11742764797939841</v>
      </c>
      <c r="BH21" s="3">
        <v>0.14388473465233301</v>
      </c>
      <c r="BI21" s="3">
        <v>-1.379696426479095E-2</v>
      </c>
      <c r="BJ21" s="3">
        <v>0.13241716184516311</v>
      </c>
      <c r="BK21" s="3">
        <v>1.2357963083047469E-3</v>
      </c>
      <c r="BL21" s="3">
        <v>0.1073834188735381</v>
      </c>
      <c r="BM21" s="3">
        <v>0.14520932222232341</v>
      </c>
      <c r="BN21" s="3">
        <v>-1.9497412679213299E-2</v>
      </c>
      <c r="BO21" s="3">
        <v>-6.5448841448711631E-2</v>
      </c>
      <c r="BP21" s="3">
        <v>7.9437859151868961E-2</v>
      </c>
      <c r="BQ21" s="3">
        <v>3.0344766366873312E-2</v>
      </c>
      <c r="BR21" s="3">
        <v>-5.1210863476967711E-2</v>
      </c>
      <c r="BS21" s="3">
        <v>-7.0065761478904143E-2</v>
      </c>
      <c r="BT21" s="3">
        <v>7.7448623860067456E-2</v>
      </c>
      <c r="BU21" s="3">
        <v>7.6517278416854656E-2</v>
      </c>
      <c r="BV21" s="3">
        <v>9.7391347627008518E-2</v>
      </c>
      <c r="BW21" s="3">
        <v>0.14872440559841879</v>
      </c>
      <c r="BX21" s="3">
        <v>0.13322945308983519</v>
      </c>
      <c r="BY21" s="3">
        <v>-9.0961642079744831E-2</v>
      </c>
      <c r="BZ21" s="3">
        <v>-0.1743819161371134</v>
      </c>
      <c r="CA21" s="3">
        <v>-3.4540035953871742E-2</v>
      </c>
      <c r="CB21" s="3">
        <v>-0.10089633964232909</v>
      </c>
      <c r="CC21" s="3">
        <v>-0.1064846259916027</v>
      </c>
      <c r="CD21" s="3">
        <v>-0.34088079305285018</v>
      </c>
      <c r="CE21" s="3">
        <v>4.1571161238002682E-2</v>
      </c>
      <c r="CF21" s="3">
        <v>0.12208202291540229</v>
      </c>
      <c r="CG21" s="3">
        <v>-9.7786941630787744E-2</v>
      </c>
      <c r="CH21" s="3">
        <v>0.13277716768546399</v>
      </c>
      <c r="CI21" s="3">
        <v>-0.1041443435301599</v>
      </c>
      <c r="CJ21" s="3">
        <v>6.6117750976819198E-2</v>
      </c>
      <c r="CK21" s="3">
        <v>0.1548547713304752</v>
      </c>
      <c r="CL21" s="3">
        <v>6.2750135133292417E-2</v>
      </c>
      <c r="CM21" s="3">
        <v>9.2299428589426191E-2</v>
      </c>
      <c r="CN21" s="3">
        <v>2.14223485186287E-3</v>
      </c>
      <c r="CO21" s="3">
        <v>-0.40746967302597681</v>
      </c>
      <c r="CP21" s="3">
        <v>0.13641262682989211</v>
      </c>
      <c r="CQ21" s="3">
        <v>0.1004208869747235</v>
      </c>
      <c r="CR21" s="3">
        <v>3.4792082401530838E-2</v>
      </c>
      <c r="CS21" s="3">
        <v>-0.12165776648947201</v>
      </c>
      <c r="CT21" s="3">
        <v>1.3906365964238859E-2</v>
      </c>
      <c r="CU21" s="3">
        <v>0.15763291925102821</v>
      </c>
      <c r="CV21" s="3">
        <v>-0.17945630474403251</v>
      </c>
      <c r="CW21" s="3">
        <v>5.3874687520893888E-2</v>
      </c>
      <c r="CX21" s="3">
        <v>-1.338180833038531E-2</v>
      </c>
      <c r="CY21" s="3">
        <v>-0.1073820061231828</v>
      </c>
      <c r="CZ21" s="3">
        <v>-4.0560035394811553E-2</v>
      </c>
      <c r="DA21" s="3">
        <v>-2.695935877593509E-2</v>
      </c>
      <c r="DB21" s="3">
        <v>0.17463700489230841</v>
      </c>
      <c r="DC21" s="3">
        <v>-8.1756410360877024E-2</v>
      </c>
      <c r="DD21" s="3">
        <v>0.17455458294091569</v>
      </c>
      <c r="DE21" s="3">
        <v>-6.1261509279833308E-2</v>
      </c>
      <c r="DF21" s="3">
        <v>-0.1266251906324255</v>
      </c>
      <c r="DG21" s="3">
        <v>0.14785167784411829</v>
      </c>
      <c r="DH21" s="3">
        <v>4.1693247974083567E-3</v>
      </c>
      <c r="DI21" s="3">
        <v>-2.86872831535636E-2</v>
      </c>
      <c r="DJ21" s="3">
        <v>4.4402126103467172E-2</v>
      </c>
      <c r="DK21" s="3">
        <v>1.543617689018446E-2</v>
      </c>
      <c r="DL21" s="3">
        <v>1.635198024668157E-2</v>
      </c>
      <c r="DM21" s="3">
        <v>-5.4782180209926083E-2</v>
      </c>
      <c r="DN21" s="3">
        <v>0.14299941919382911</v>
      </c>
      <c r="DO21" s="3">
        <v>0.26247453458086728</v>
      </c>
      <c r="DP21" s="3">
        <v>0.13448213350574059</v>
      </c>
      <c r="DQ21" s="3">
        <v>-7.8299822807022343E-2</v>
      </c>
      <c r="DR21" s="3">
        <v>4.6923341793009173E-2</v>
      </c>
      <c r="DS21" s="3">
        <v>-8.2487371623118366E-2</v>
      </c>
      <c r="DT21" s="3">
        <v>-2.5346895166092249E-2</v>
      </c>
      <c r="DU21" s="3">
        <v>-0.28799497104507799</v>
      </c>
      <c r="DV21" s="3">
        <v>-6.3172505617114239E-3</v>
      </c>
      <c r="DW21" s="3">
        <v>5.7122011030472292E-2</v>
      </c>
      <c r="DX21" s="3">
        <v>-8.5210342000957562E-3</v>
      </c>
      <c r="DY21" s="3">
        <v>-0.2235669257440118</v>
      </c>
      <c r="DZ21" s="3">
        <v>-2.5640599813124419E-3</v>
      </c>
      <c r="EA21" s="3">
        <v>-0.11774347478943301</v>
      </c>
      <c r="EB21" s="3">
        <v>0.10512497621215081</v>
      </c>
      <c r="EC21" s="3">
        <v>0.12055055499313461</v>
      </c>
      <c r="ED21" s="3">
        <v>7.8450794856179118E-2</v>
      </c>
      <c r="EE21" s="3">
        <v>4.7914909422335568E-2</v>
      </c>
      <c r="EF21" s="3">
        <v>-3.8233501229273992E-2</v>
      </c>
      <c r="EG21" s="3">
        <v>-0.63872216971594065</v>
      </c>
      <c r="EH21" s="3">
        <v>0.1017366602347806</v>
      </c>
      <c r="EI21" s="3">
        <v>-3.258165299142201E-3</v>
      </c>
      <c r="EJ21" s="3">
        <v>-3.5066439566817841E-2</v>
      </c>
      <c r="EK21" s="3">
        <v>0.10244924694207309</v>
      </c>
      <c r="EL21" s="3">
        <v>7.4115968290056553E-2</v>
      </c>
      <c r="EM21" s="3">
        <v>-1.388977535640455E-2</v>
      </c>
      <c r="EN21">
        <f t="shared" si="11"/>
        <v>0.13040857749313278</v>
      </c>
      <c r="EO21">
        <f t="shared" si="12"/>
        <v>-0.10650967615328812</v>
      </c>
    </row>
    <row r="22" spans="1:145" x14ac:dyDescent="0.3">
      <c r="A22" s="18">
        <v>400</v>
      </c>
      <c r="B22" s="18">
        <f t="shared" si="10"/>
        <v>3</v>
      </c>
      <c r="C22" s="3">
        <v>0.22792469461665441</v>
      </c>
      <c r="D22" s="3">
        <v>0.32519822016920918</v>
      </c>
      <c r="E22" s="3">
        <v>-0.117926665482948</v>
      </c>
      <c r="F22" s="3">
        <v>6.7831060921277567E-2</v>
      </c>
      <c r="G22" s="3">
        <v>-0.1082975929237347</v>
      </c>
      <c r="H22" s="3">
        <v>-0.22980554449140059</v>
      </c>
      <c r="I22" s="3">
        <v>9.5193099567549011E-2</v>
      </c>
      <c r="J22" s="3">
        <v>-5.5198392351907592E-2</v>
      </c>
      <c r="K22" s="3">
        <v>0.1006611454503521</v>
      </c>
      <c r="L22" s="3">
        <v>-0.14211920816610341</v>
      </c>
      <c r="M22" s="3">
        <v>6.0498174159137143E-2</v>
      </c>
      <c r="N22" s="3">
        <v>6.8596975329334731E-2</v>
      </c>
      <c r="O22" s="3">
        <v>6.0431814052004443E-2</v>
      </c>
      <c r="P22" s="3">
        <v>4.0381523393238791E-2</v>
      </c>
      <c r="Q22" s="3">
        <v>7.8172073720949253E-2</v>
      </c>
      <c r="R22" s="3">
        <v>9.8149205946332072E-2</v>
      </c>
      <c r="S22" s="3">
        <v>0.32274389890581878</v>
      </c>
      <c r="T22" s="3">
        <v>3.7471811905296679E-2</v>
      </c>
      <c r="U22" s="3">
        <v>0.1663887413096857</v>
      </c>
      <c r="V22" s="3">
        <v>-1.5102402802679301E-2</v>
      </c>
      <c r="W22" s="3">
        <v>0.16193021919193809</v>
      </c>
      <c r="X22" s="3">
        <v>0.19895296846798269</v>
      </c>
      <c r="Y22" s="3">
        <v>-0.12664189818403221</v>
      </c>
      <c r="Z22" s="3">
        <v>-2.3502672763485971E-2</v>
      </c>
      <c r="AA22" s="3">
        <v>-1.622785088739026E-2</v>
      </c>
      <c r="AB22" s="3">
        <v>-1.7173480697374201E-2</v>
      </c>
      <c r="AC22" s="3">
        <v>-8.6228346846555642E-3</v>
      </c>
      <c r="AD22" s="3">
        <v>-4.1660224934317397E-2</v>
      </c>
      <c r="AE22" s="3">
        <v>8.3911655192441592E-2</v>
      </c>
      <c r="AF22" s="3">
        <v>-2.3036066913246701E-2</v>
      </c>
      <c r="AG22" s="3">
        <v>-4.5639151003569883E-2</v>
      </c>
      <c r="AH22" s="3">
        <v>-0.29571086890322318</v>
      </c>
      <c r="AI22" s="3">
        <v>8.6361553497710297E-2</v>
      </c>
      <c r="AJ22" s="3">
        <v>-3.4922978271147147E-2</v>
      </c>
      <c r="AK22" s="3">
        <v>4.6637169261753729E-2</v>
      </c>
      <c r="AL22" s="3">
        <v>-4.1864588419674963E-2</v>
      </c>
      <c r="AM22" s="3">
        <v>2.9910786403055979E-2</v>
      </c>
      <c r="AN22" s="3">
        <v>0.23977129510145959</v>
      </c>
      <c r="AO22" s="3">
        <v>0.2272394276209575</v>
      </c>
      <c r="AP22" s="3">
        <v>0.32170746386315918</v>
      </c>
      <c r="AQ22" s="3">
        <v>2.1188868584530291E-3</v>
      </c>
      <c r="AR22" s="3">
        <v>-0.13118216201326771</v>
      </c>
      <c r="AS22" s="3">
        <v>5.3856652264489671E-2</v>
      </c>
      <c r="AT22" s="3">
        <v>4.2691811870118598E-2</v>
      </c>
      <c r="AU22" s="3">
        <v>0.14996121099777951</v>
      </c>
      <c r="AV22" s="3">
        <v>-0.14978406646138001</v>
      </c>
      <c r="AW22" s="3">
        <v>-9.46023293006404E-2</v>
      </c>
      <c r="AX22" s="3">
        <v>0.29484476576300722</v>
      </c>
      <c r="AY22" s="3">
        <v>-6.0189156782256517E-2</v>
      </c>
      <c r="AZ22" s="3">
        <v>-1.162325881145611E-2</v>
      </c>
      <c r="BA22" s="3">
        <v>2.6251348952789619E-2</v>
      </c>
      <c r="BB22" s="3">
        <v>0.33116774262182469</v>
      </c>
      <c r="BC22" s="3">
        <v>-5.6431601236543748E-2</v>
      </c>
      <c r="BD22" s="3">
        <v>-2.101628599979703E-3</v>
      </c>
      <c r="BE22" s="3">
        <v>-0.14586355773366369</v>
      </c>
      <c r="BF22" s="3">
        <v>0.10714901527243879</v>
      </c>
      <c r="BG22" s="3">
        <v>-1.753436128017315E-2</v>
      </c>
      <c r="BH22" s="3">
        <v>0.2159232684566863</v>
      </c>
      <c r="BI22" s="3">
        <v>-3.2932370562305323E-2</v>
      </c>
      <c r="BJ22" s="3">
        <v>5.5127309419171343E-2</v>
      </c>
      <c r="BK22" s="3">
        <v>4.2167005193549517E-2</v>
      </c>
      <c r="BL22" s="3">
        <v>0.11765694936342749</v>
      </c>
      <c r="BM22" s="3">
        <v>0.14837379905571299</v>
      </c>
      <c r="BN22" s="3">
        <v>-2.8868064584331621E-3</v>
      </c>
      <c r="BO22" s="3">
        <v>-8.1293477738519401E-2</v>
      </c>
      <c r="BP22" s="3">
        <v>4.6626843292844902E-2</v>
      </c>
      <c r="BQ22" s="3">
        <v>2.032476293937802E-2</v>
      </c>
      <c r="BR22" s="3">
        <v>-9.0040295415617935E-2</v>
      </c>
      <c r="BS22" s="3">
        <v>-8.3133173066983201E-2</v>
      </c>
      <c r="BT22" s="3">
        <v>6.5892110118287814E-2</v>
      </c>
      <c r="BU22" s="3">
        <v>-1.274877515911192E-2</v>
      </c>
      <c r="BV22" s="3">
        <v>0.13036813324105351</v>
      </c>
      <c r="BW22" s="3">
        <v>0.18884244020590499</v>
      </c>
      <c r="BX22" s="3">
        <v>2.5949183674911731E-2</v>
      </c>
      <c r="BY22" s="3">
        <v>-4.9932582303550702E-2</v>
      </c>
      <c r="BZ22" s="3">
        <v>-0.16283367588162681</v>
      </c>
      <c r="CA22" s="3">
        <v>-5.6366210457254526E-3</v>
      </c>
      <c r="CB22" s="3">
        <v>-0.1318622102585425</v>
      </c>
      <c r="CC22" s="3">
        <v>-0.12032832306467291</v>
      </c>
      <c r="CD22" s="3">
        <v>-3.392831189629774E-2</v>
      </c>
      <c r="CE22" s="3">
        <v>5.3566691580531678E-2</v>
      </c>
      <c r="CF22" s="3">
        <v>-3.4101070924220163E-2</v>
      </c>
      <c r="CG22" s="3">
        <v>-1.58962194105304E-3</v>
      </c>
      <c r="CH22" s="3">
        <v>9.1001118831310623E-2</v>
      </c>
      <c r="CI22" s="3">
        <v>-0.18236853309384499</v>
      </c>
      <c r="CJ22" s="3">
        <v>6.6253219487619433E-2</v>
      </c>
      <c r="CK22" s="3">
        <v>0.26625518985906532</v>
      </c>
      <c r="CL22" s="3">
        <v>6.4298841883776228E-2</v>
      </c>
      <c r="CM22" s="3">
        <v>6.5702255209592775E-2</v>
      </c>
      <c r="CN22" s="3">
        <v>2.7749676671664159E-2</v>
      </c>
      <c r="CO22" s="3">
        <v>-0.40281884348616209</v>
      </c>
      <c r="CP22" s="3">
        <v>0.21852930022888059</v>
      </c>
      <c r="CQ22" s="3">
        <v>9.4317098425059531E-2</v>
      </c>
      <c r="CR22" s="3">
        <v>5.736601764170491E-2</v>
      </c>
      <c r="CS22" s="3">
        <v>-0.1706564953038498</v>
      </c>
      <c r="CT22" s="3">
        <v>3.5678294333547772E-3</v>
      </c>
      <c r="CU22" s="3">
        <v>9.7894617346372975E-2</v>
      </c>
      <c r="CV22" s="3">
        <v>-6.6973036330259972E-2</v>
      </c>
      <c r="CW22" s="3">
        <v>-2.4684900538872071E-2</v>
      </c>
      <c r="CX22" s="3">
        <v>-2.5168713346772179E-2</v>
      </c>
      <c r="CY22" s="3">
        <v>-0.15834969990159939</v>
      </c>
      <c r="CZ22" s="3">
        <v>-7.6377907865519679E-3</v>
      </c>
      <c r="DA22" s="3">
        <v>-6.586443083151157E-2</v>
      </c>
      <c r="DB22" s="3">
        <v>0.20701525969933349</v>
      </c>
      <c r="DC22" s="3">
        <v>-0.10115567967579631</v>
      </c>
      <c r="DD22" s="3">
        <v>0.18175773866291639</v>
      </c>
      <c r="DE22" s="3">
        <v>-2.0187237508466349E-3</v>
      </c>
      <c r="DF22" s="3">
        <v>-0.12272456180084899</v>
      </c>
      <c r="DG22" s="3">
        <v>0.1848371904930898</v>
      </c>
      <c r="DH22" s="3">
        <v>4.7291089842725134E-3</v>
      </c>
      <c r="DI22" s="3">
        <v>-6.4327202436596426E-2</v>
      </c>
      <c r="DJ22" s="3">
        <v>2.7864997684244751E-3</v>
      </c>
      <c r="DK22" s="3">
        <v>1.5935733238985401E-2</v>
      </c>
      <c r="DL22" s="3">
        <v>2.984932172756696E-2</v>
      </c>
      <c r="DM22" s="3">
        <v>2.609182141967507E-2</v>
      </c>
      <c r="DN22" s="3">
        <v>0.23156072608844</v>
      </c>
      <c r="DO22" s="3">
        <v>0.29125780884092611</v>
      </c>
      <c r="DP22" s="3">
        <v>0.13217744484845309</v>
      </c>
      <c r="DQ22" s="3">
        <v>-0.10140927247959659</v>
      </c>
      <c r="DR22" s="3">
        <v>2.1537037998511099E-2</v>
      </c>
      <c r="DS22" s="3">
        <v>3.7784248172744029E-3</v>
      </c>
      <c r="DT22" s="3">
        <v>-3.6752623580360938E-2</v>
      </c>
      <c r="DU22" s="3">
        <v>-0.33032039933182372</v>
      </c>
      <c r="DV22" s="3">
        <v>-2.0063572307683079E-2</v>
      </c>
      <c r="DW22" s="3">
        <v>0.24182238439145709</v>
      </c>
      <c r="DX22" s="3">
        <v>-2.5389936095939699E-2</v>
      </c>
      <c r="DY22" s="3">
        <v>-0.22474636912826029</v>
      </c>
      <c r="DZ22" s="3">
        <v>-5.9257775235701707E-2</v>
      </c>
      <c r="EA22" s="3">
        <v>-0.10450215556815989</v>
      </c>
      <c r="EB22" s="3">
        <v>0.1994462433934128</v>
      </c>
      <c r="EC22" s="3">
        <v>0.14126556733399709</v>
      </c>
      <c r="ED22" s="3">
        <v>7.7703682830238222E-2</v>
      </c>
      <c r="EE22" s="3">
        <v>5.8296880546682042E-2</v>
      </c>
      <c r="EF22" s="3">
        <v>-6.7105519884721517E-3</v>
      </c>
      <c r="EG22" s="3">
        <v>-8.1276698887988663E-2</v>
      </c>
      <c r="EH22" s="3">
        <v>0.1268319651397688</v>
      </c>
      <c r="EI22" s="3">
        <v>-7.0546869749196703E-2</v>
      </c>
      <c r="EJ22" s="3">
        <v>-5.9890254528528558E-2</v>
      </c>
      <c r="EK22" s="3">
        <v>7.8686077960945941E-2</v>
      </c>
      <c r="EL22" s="3">
        <v>2.0706191795824381E-2</v>
      </c>
      <c r="EM22" s="3">
        <v>-1.388977535640455E-2</v>
      </c>
      <c r="EN22">
        <f t="shared" si="11"/>
        <v>0.13144627653089941</v>
      </c>
      <c r="EO22">
        <f t="shared" si="12"/>
        <v>-0.10566883842570805</v>
      </c>
    </row>
    <row r="23" spans="1:145" x14ac:dyDescent="0.3">
      <c r="A23" s="18">
        <v>512</v>
      </c>
      <c r="B23" s="18">
        <f t="shared" si="10"/>
        <v>2</v>
      </c>
      <c r="C23" s="3">
        <v>1.815434795426098E-2</v>
      </c>
      <c r="D23" s="3">
        <v>0.16228884503787341</v>
      </c>
      <c r="E23" s="3">
        <v>-0.1095598971417296</v>
      </c>
      <c r="F23" s="3">
        <v>-1.22994103379032E-3</v>
      </c>
      <c r="G23" s="3">
        <v>2.035172407426715E-2</v>
      </c>
      <c r="H23" s="3">
        <v>-0.2628102412014528</v>
      </c>
      <c r="I23" s="3">
        <v>0.1588448868367118</v>
      </c>
      <c r="J23" s="3">
        <v>-3.2083514907808752E-2</v>
      </c>
      <c r="K23" s="3">
        <v>0.14148271525764719</v>
      </c>
      <c r="L23" s="3">
        <v>-0.23244436104246219</v>
      </c>
      <c r="M23" s="3">
        <v>2.9051291419480891E-2</v>
      </c>
      <c r="N23" s="3">
        <v>4.7568920939527172E-2</v>
      </c>
      <c r="O23" s="3">
        <v>7.8990695612363326E-2</v>
      </c>
      <c r="P23" s="3">
        <v>1.7483973541846332E-2</v>
      </c>
      <c r="Q23" s="3">
        <v>2.077596194477032E-2</v>
      </c>
      <c r="R23" s="3">
        <v>0.15711688160174661</v>
      </c>
      <c r="S23" s="3">
        <v>8.401148311947354E-2</v>
      </c>
      <c r="T23" s="3">
        <v>-0.1118609809084751</v>
      </c>
      <c r="U23" s="3">
        <v>0.1400406186986787</v>
      </c>
      <c r="V23" s="3">
        <v>-2.7740456824659601E-2</v>
      </c>
      <c r="W23" s="3">
        <v>4.4584787132051253E-2</v>
      </c>
      <c r="X23" s="3">
        <v>0.17577056525792389</v>
      </c>
      <c r="Y23" s="3">
        <v>-0.17386435042495579</v>
      </c>
      <c r="Z23" s="3">
        <v>-2.4712453281726499E-2</v>
      </c>
      <c r="AA23" s="3">
        <v>6.6062919694702682E-3</v>
      </c>
      <c r="AB23" s="3">
        <v>-0.10760439554307159</v>
      </c>
      <c r="AC23" s="3">
        <v>-1.673357311609339E-2</v>
      </c>
      <c r="AD23" s="3">
        <v>-1.7187803589621329E-2</v>
      </c>
      <c r="AE23" s="3">
        <v>0.13320212062533959</v>
      </c>
      <c r="AF23" s="3">
        <v>5.0829172819408814E-3</v>
      </c>
      <c r="AG23" s="3">
        <v>-0.129464025430123</v>
      </c>
      <c r="AH23" s="3">
        <v>-0.1715129361952881</v>
      </c>
      <c r="AI23" s="3">
        <v>0.10035632713561191</v>
      </c>
      <c r="AJ23" s="3">
        <v>8.0980386382207628E-3</v>
      </c>
      <c r="AK23" s="3">
        <v>1.9285225231907201E-2</v>
      </c>
      <c r="AL23" s="3">
        <v>5.9570033165202492E-2</v>
      </c>
      <c r="AM23" s="3">
        <v>6.0209594499013603E-3</v>
      </c>
      <c r="AN23" s="3">
        <v>0.28286254498853503</v>
      </c>
      <c r="AO23" s="3">
        <v>0.2002860906954384</v>
      </c>
      <c r="AP23" s="3">
        <v>5.5204069778565373E-2</v>
      </c>
      <c r="AQ23" s="3">
        <v>3.3615617206710839E-3</v>
      </c>
      <c r="AR23" s="3">
        <v>-2.9392512395438362E-2</v>
      </c>
      <c r="AS23" s="3">
        <v>1.422554849226952E-2</v>
      </c>
      <c r="AT23" s="3">
        <v>-0.1086428009282128</v>
      </c>
      <c r="AU23" s="3">
        <v>0.19889606958964939</v>
      </c>
      <c r="AV23" s="3">
        <v>-9.6757250400133471E-2</v>
      </c>
      <c r="AW23" s="3">
        <v>-9.8580427707390339E-2</v>
      </c>
      <c r="AX23" s="3">
        <v>0.47054492788429569</v>
      </c>
      <c r="AY23" s="3">
        <v>0.18623716844827759</v>
      </c>
      <c r="AZ23" s="3">
        <v>-2.5855499127443931E-2</v>
      </c>
      <c r="BA23" s="3">
        <v>-4.0804646139478387E-2</v>
      </c>
      <c r="BB23" s="3">
        <v>0.56682652604744033</v>
      </c>
      <c r="BC23" s="3">
        <v>-0.1311434649698468</v>
      </c>
      <c r="BD23" s="3">
        <v>5.4414951186409218E-2</v>
      </c>
      <c r="BE23" s="3">
        <v>-0.17445038807224281</v>
      </c>
      <c r="BF23" s="3">
        <v>4.7357979874632673E-2</v>
      </c>
      <c r="BG23" s="3">
        <v>0.1664099616127743</v>
      </c>
      <c r="BH23" s="3">
        <v>0.25860833879703471</v>
      </c>
      <c r="BI23" s="3">
        <v>-3.903835236854281E-3</v>
      </c>
      <c r="BJ23" s="3">
        <v>-5.6128765771151362E-3</v>
      </c>
      <c r="BK23" s="3">
        <v>3.4802366254955412E-2</v>
      </c>
      <c r="BL23" s="3">
        <v>0.11436629014166901</v>
      </c>
      <c r="BM23" s="3">
        <v>-6.9495462024450616E-2</v>
      </c>
      <c r="BN23" s="3">
        <v>-9.0931544195773234E-2</v>
      </c>
      <c r="BO23" s="3">
        <v>-1.0683005289454839E-2</v>
      </c>
      <c r="BP23" s="3">
        <v>5.5953338918064317E-2</v>
      </c>
      <c r="BQ23" s="3">
        <v>-3.7791728116801662E-2</v>
      </c>
      <c r="BR23" s="3">
        <v>-2.8838616177470602E-2</v>
      </c>
      <c r="BS23" s="3">
        <v>-3.8370608358852969E-2</v>
      </c>
      <c r="BT23" s="3">
        <v>0.2797923000199351</v>
      </c>
      <c r="BU23" s="3">
        <v>7.7257024390116169E-2</v>
      </c>
      <c r="BV23" s="3">
        <v>0.1411765265524354</v>
      </c>
      <c r="BW23" s="3">
        <v>0.18905617156183771</v>
      </c>
      <c r="BX23" s="3">
        <v>0.13257604525829539</v>
      </c>
      <c r="BY23" s="3">
        <v>-9.9228088469035941E-2</v>
      </c>
      <c r="BZ23" s="3">
        <v>-8.571410491623227E-2</v>
      </c>
      <c r="CA23" s="3">
        <v>6.9906967484304611E-4</v>
      </c>
      <c r="CB23" s="3">
        <v>-0.1594884909466078</v>
      </c>
      <c r="CC23" s="3">
        <v>-8.4927792274528791E-2</v>
      </c>
      <c r="CD23" s="3">
        <v>-2.9804554868436941E-2</v>
      </c>
      <c r="CE23" s="3">
        <v>7.7862007354823166E-3</v>
      </c>
      <c r="CF23" s="3">
        <v>-0.1068530115789765</v>
      </c>
      <c r="CG23" s="3">
        <v>-4.3778146165363803E-2</v>
      </c>
      <c r="CH23" s="3">
        <v>2.1067258047611049E-2</v>
      </c>
      <c r="CI23" s="3">
        <v>-0.18359557256983811</v>
      </c>
      <c r="CJ23" s="3">
        <v>0.14287408993843481</v>
      </c>
      <c r="CK23" s="3">
        <v>0.31480429120780962</v>
      </c>
      <c r="CL23" s="3">
        <v>7.0678478086629318E-2</v>
      </c>
      <c r="CM23" s="3">
        <v>4.3954581005114228E-2</v>
      </c>
      <c r="CN23" s="3">
        <v>1.5775165399648589E-2</v>
      </c>
      <c r="CO23" s="3">
        <v>-0.4369130189375362</v>
      </c>
      <c r="CP23" s="3">
        <v>0.21780803514148719</v>
      </c>
      <c r="CQ23" s="3">
        <v>0.22157047095133961</v>
      </c>
      <c r="CR23" s="3">
        <v>5.0738411018109851E-2</v>
      </c>
      <c r="CS23" s="3">
        <v>-0.13441948162952211</v>
      </c>
      <c r="CT23" s="3">
        <v>-6.7257268674894566E-3</v>
      </c>
      <c r="CU23" s="3">
        <v>8.8188625011923483E-3</v>
      </c>
      <c r="CV23" s="3">
        <v>-7.4543119147355313E-2</v>
      </c>
      <c r="CW23" s="3">
        <v>-2.0858722893959559E-2</v>
      </c>
      <c r="CX23" s="3">
        <v>-6.1859993147280662E-2</v>
      </c>
      <c r="CY23" s="3">
        <v>-0.14017263756056589</v>
      </c>
      <c r="CZ23" s="3">
        <v>5.6072102877543432E-2</v>
      </c>
      <c r="DA23" s="3">
        <v>-9.8451951091847567E-2</v>
      </c>
      <c r="DB23" s="3">
        <v>0.40923605761348719</v>
      </c>
      <c r="DC23" s="3">
        <v>-7.7128338226118476E-2</v>
      </c>
      <c r="DD23" s="3">
        <v>0.15393995874925659</v>
      </c>
      <c r="DE23" s="3">
        <v>3.1613256653504757E-2</v>
      </c>
      <c r="DF23" s="3">
        <v>-0.1079996364437935</v>
      </c>
      <c r="DG23" s="3">
        <v>0.24857362281119699</v>
      </c>
      <c r="DH23" s="3">
        <v>-6.2127664516499079E-2</v>
      </c>
      <c r="DI23" s="3">
        <v>2.9161842220836579E-2</v>
      </c>
      <c r="DJ23" s="3">
        <v>6.7169651082917697E-2</v>
      </c>
      <c r="DK23" s="3">
        <v>1.494709708167566E-2</v>
      </c>
      <c r="DL23" s="3">
        <v>2.763213003388235E-2</v>
      </c>
      <c r="DM23" s="3">
        <v>-1.502031543357989E-2</v>
      </c>
      <c r="DN23" s="3">
        <v>0.33284158973413008</v>
      </c>
      <c r="DO23" s="3">
        <v>0.17936822914389741</v>
      </c>
      <c r="DP23" s="3">
        <v>0.1057815783688386</v>
      </c>
      <c r="DQ23" s="3">
        <v>-0.1300172399658524</v>
      </c>
      <c r="DR23" s="3">
        <v>6.6609044979453705E-2</v>
      </c>
      <c r="DS23" s="3">
        <v>9.1731827679827765E-3</v>
      </c>
      <c r="DT23" s="3">
        <v>-0.11343852962043199</v>
      </c>
      <c r="DU23" s="3">
        <v>-0.45781899713787733</v>
      </c>
      <c r="DV23" s="3">
        <v>2.136964639749328E-2</v>
      </c>
      <c r="DW23" s="3">
        <v>0.47074022471258642</v>
      </c>
      <c r="DX23" s="3">
        <v>1.1960355888032761E-2</v>
      </c>
      <c r="DY23" s="3">
        <v>-0.36849980914152491</v>
      </c>
      <c r="DZ23" s="3">
        <v>-0.114541750010678</v>
      </c>
      <c r="EA23" s="3">
        <v>-5.3638657599965112E-2</v>
      </c>
      <c r="EB23" s="3">
        <v>0.32083043296800101</v>
      </c>
      <c r="EC23" s="3">
        <v>-8.7366337472136429E-2</v>
      </c>
      <c r="ED23" s="3">
        <v>0.194323278521919</v>
      </c>
      <c r="EE23" s="3">
        <v>0.1246416455214308</v>
      </c>
      <c r="EF23" s="3">
        <v>-5.2576474123347462E-2</v>
      </c>
      <c r="EG23" s="3">
        <v>-8.8429098052823979E-2</v>
      </c>
      <c r="EH23" s="3">
        <v>0.16593932743497131</v>
      </c>
      <c r="EI23" s="3">
        <v>-0.1088744854753347</v>
      </c>
      <c r="EJ23" s="3">
        <v>2.2075262057560802E-2</v>
      </c>
      <c r="EK23" s="3">
        <v>6.1534270491642958E-2</v>
      </c>
      <c r="EL23" s="3">
        <v>-4.7242220085656199E-2</v>
      </c>
      <c r="EM23" s="3">
        <v>-1.388977535640455E-2</v>
      </c>
      <c r="EN23">
        <f t="shared" si="11"/>
        <v>0.15456599753600742</v>
      </c>
      <c r="EO23">
        <f t="shared" si="12"/>
        <v>-8.9863071942254402E-2</v>
      </c>
    </row>
    <row r="24" spans="1:145" x14ac:dyDescent="0.3">
      <c r="A24" s="18">
        <v>1051</v>
      </c>
      <c r="B24" s="18">
        <f t="shared" si="10"/>
        <v>1</v>
      </c>
      <c r="C24" s="3">
        <v>9.3068933213617269E-2</v>
      </c>
      <c r="D24" s="3">
        <v>0.20643218633729929</v>
      </c>
      <c r="E24" s="3">
        <v>-3.847670504115884E-2</v>
      </c>
      <c r="F24" s="3">
        <v>0.20154571887164621</v>
      </c>
      <c r="G24" s="3">
        <v>2.2622388562617651E-2</v>
      </c>
      <c r="H24" s="3">
        <v>-0.35082219133103881</v>
      </c>
      <c r="I24" s="3">
        <v>4.6802122160960108E-2</v>
      </c>
      <c r="J24" s="3">
        <v>8.1562959893794945E-2</v>
      </c>
      <c r="K24" s="3">
        <v>5.0444335993488708E-2</v>
      </c>
      <c r="L24" s="3">
        <v>-0.33375944447564659</v>
      </c>
      <c r="M24" s="3">
        <v>-6.2577351652347651E-2</v>
      </c>
      <c r="N24" s="3">
        <v>0.1051917107958454</v>
      </c>
      <c r="O24" s="3">
        <v>6.2303883336154837E-2</v>
      </c>
      <c r="P24" s="3">
        <v>7.7736485854057236E-2</v>
      </c>
      <c r="Q24" s="3">
        <v>3.7863810300377707E-2</v>
      </c>
      <c r="R24" s="3">
        <v>0.14952356740569861</v>
      </c>
      <c r="S24" s="3">
        <v>0.1008087952876474</v>
      </c>
      <c r="T24" s="3">
        <v>-8.8277039732943041E-2</v>
      </c>
      <c r="U24" s="3">
        <v>0.17662353567931691</v>
      </c>
      <c r="V24" s="3">
        <v>0.11654031671685081</v>
      </c>
      <c r="W24" s="3">
        <v>0.64293352860565944</v>
      </c>
      <c r="X24" s="3">
        <v>0.27618769302604568</v>
      </c>
      <c r="Y24" s="3">
        <v>-0.29311060699900471</v>
      </c>
      <c r="Z24" s="3">
        <v>-7.8375340052646181E-2</v>
      </c>
      <c r="AA24" s="3">
        <v>-1.2759032502768081E-2</v>
      </c>
      <c r="AB24" s="3">
        <v>-0.15860888047210561</v>
      </c>
      <c r="AC24" s="3">
        <v>0.12818528571802651</v>
      </c>
      <c r="AD24" s="3">
        <v>-0.46807019051584892</v>
      </c>
      <c r="AE24" s="3">
        <v>4.8825534569876788E-2</v>
      </c>
      <c r="AF24" s="3">
        <v>2.3181307634789889E-2</v>
      </c>
      <c r="AG24" s="3">
        <v>-0.1510690132898502</v>
      </c>
      <c r="AH24" s="3">
        <v>-0.19909989937403469</v>
      </c>
      <c r="AI24" s="3">
        <v>9.2762568785966171E-2</v>
      </c>
      <c r="AJ24" s="3">
        <v>-1.8825641884350749E-2</v>
      </c>
      <c r="AK24" s="3">
        <v>2.697541956192246E-2</v>
      </c>
      <c r="AL24" s="3">
        <v>4.8884752335410363E-2</v>
      </c>
      <c r="AM24" s="3">
        <v>3.077858773732282E-2</v>
      </c>
      <c r="AN24" s="3">
        <v>0.19886861963036809</v>
      </c>
      <c r="AO24" s="3">
        <v>0.38990862698718481</v>
      </c>
      <c r="AP24" s="3">
        <v>5.8350761279460532E-2</v>
      </c>
      <c r="AQ24" s="3">
        <v>0.16358999287639009</v>
      </c>
      <c r="AR24" s="3">
        <v>2.0727038136856991E-2</v>
      </c>
      <c r="AS24" s="3">
        <v>8.7884824661623284E-2</v>
      </c>
      <c r="AT24" s="3">
        <v>-0.1326841612335119</v>
      </c>
      <c r="AU24" s="3">
        <v>0.20954208203751129</v>
      </c>
      <c r="AV24" s="3">
        <v>-1.952221442252405E-2</v>
      </c>
      <c r="AW24" s="3">
        <v>-7.7513985579301781E-2</v>
      </c>
      <c r="AX24" s="3">
        <v>5.7381631685547677E-2</v>
      </c>
      <c r="AY24" s="3">
        <v>6.6381222052653788E-2</v>
      </c>
      <c r="AZ24" s="3">
        <v>-2.5091033472773281E-2</v>
      </c>
      <c r="BA24" s="3">
        <v>-2.0930804212408009E-2</v>
      </c>
      <c r="BB24" s="3">
        <v>0.69077653138067185</v>
      </c>
      <c r="BC24" s="3">
        <v>0.27570396656013407</v>
      </c>
      <c r="BD24" s="3">
        <v>9.6522978318091063E-2</v>
      </c>
      <c r="BE24" s="3">
        <v>-0.2158777007891966</v>
      </c>
      <c r="BF24" s="3">
        <v>8.0187859186355348E-2</v>
      </c>
      <c r="BG24" s="3">
        <v>-3.7453901348419881E-2</v>
      </c>
      <c r="BH24" s="3">
        <v>0.15495689642069249</v>
      </c>
      <c r="BI24" s="3">
        <v>2.0146624859986299E-2</v>
      </c>
      <c r="BJ24" s="3">
        <v>-6.5154095179785917E-2</v>
      </c>
      <c r="BK24" s="3">
        <v>8.6330421439800645E-2</v>
      </c>
      <c r="BL24" s="3">
        <v>0.1061069201511666</v>
      </c>
      <c r="BM24" s="3">
        <v>8.4782939838988242E-2</v>
      </c>
      <c r="BN24" s="3">
        <v>-0.13896385773583039</v>
      </c>
      <c r="BO24" s="3">
        <v>1.246806243687207E-2</v>
      </c>
      <c r="BP24" s="3">
        <v>7.6855263397081222E-2</v>
      </c>
      <c r="BQ24" s="3">
        <v>1.385746642413632E-2</v>
      </c>
      <c r="BR24" s="3">
        <v>-0.13115998391340941</v>
      </c>
      <c r="BS24" s="3">
        <v>-0.10589994139246919</v>
      </c>
      <c r="BT24" s="3">
        <v>0.29946444334326322</v>
      </c>
      <c r="BU24" s="3">
        <v>0.17177784062505991</v>
      </c>
      <c r="BV24" s="3">
        <v>0.20330415183045039</v>
      </c>
      <c r="BW24" s="3">
        <v>-2.2467459002847089E-2</v>
      </c>
      <c r="BX24" s="3">
        <v>0.14506796525293891</v>
      </c>
      <c r="BY24" s="3">
        <v>-2.0710948904457571E-2</v>
      </c>
      <c r="BZ24" s="3">
        <v>-0.13499231326419761</v>
      </c>
      <c r="CA24" s="3">
        <v>-0.10736119313405371</v>
      </c>
      <c r="CB24" s="3">
        <v>-0.16391839681819789</v>
      </c>
      <c r="CC24" s="3">
        <v>-0.1006435257796873</v>
      </c>
      <c r="CD24" s="3">
        <v>1.104563841813336E-2</v>
      </c>
      <c r="CE24" s="3">
        <v>5.9915623701668492E-3</v>
      </c>
      <c r="CF24" s="3">
        <v>-0.1674434927677754</v>
      </c>
      <c r="CG24" s="3">
        <v>-0.2190780701609962</v>
      </c>
      <c r="CH24" s="3">
        <v>3.0530752201922608E-2</v>
      </c>
      <c r="CI24" s="3">
        <v>-0.19543104221337429</v>
      </c>
      <c r="CJ24" s="3">
        <v>0.24759641391249329</v>
      </c>
      <c r="CK24" s="3">
        <v>0.24648965284354379</v>
      </c>
      <c r="CL24" s="3">
        <v>0.1646811201923625</v>
      </c>
      <c r="CM24" s="3">
        <v>-8.6846154400410408E-2</v>
      </c>
      <c r="CN24" s="3">
        <v>4.4348090110238998E-2</v>
      </c>
      <c r="CO24" s="3">
        <v>-0.71572900872536049</v>
      </c>
      <c r="CP24" s="3">
        <v>0.26545893566707068</v>
      </c>
      <c r="CQ24" s="3">
        <v>0.25797282554074719</v>
      </c>
      <c r="CR24" s="3">
        <v>0.1226675090158586</v>
      </c>
      <c r="CS24" s="3">
        <v>-0.15934835928025581</v>
      </c>
      <c r="CT24" s="3">
        <v>0.1828965872921165</v>
      </c>
      <c r="CU24" s="3">
        <v>-3.5091319811270123E-2</v>
      </c>
      <c r="CV24" s="3">
        <v>-3.515555769203893E-2</v>
      </c>
      <c r="CW24" s="3">
        <v>0.25400561569247271</v>
      </c>
      <c r="CX24" s="3">
        <v>2.297463937572616E-2</v>
      </c>
      <c r="CY24" s="3">
        <v>-0.36022804676873771</v>
      </c>
      <c r="CZ24" s="3">
        <v>0.34110396002214938</v>
      </c>
      <c r="DA24" s="3">
        <v>-0.17015977911526151</v>
      </c>
      <c r="DB24" s="3">
        <v>0.79948283037597789</v>
      </c>
      <c r="DC24" s="3">
        <v>-0.39296675002183828</v>
      </c>
      <c r="DD24" s="3">
        <v>-0.18631772722706719</v>
      </c>
      <c r="DE24" s="3">
        <v>0.1179084718728237</v>
      </c>
      <c r="DF24" s="3">
        <v>-7.0522459170817633E-3</v>
      </c>
      <c r="DG24" s="3">
        <v>0.24855826288916391</v>
      </c>
      <c r="DH24" s="3">
        <v>-2.643939717935289E-2</v>
      </c>
      <c r="DI24" s="3">
        <v>-0.36477511528666579</v>
      </c>
      <c r="DJ24" s="3">
        <v>0.24842466295311089</v>
      </c>
      <c r="DK24" s="3">
        <v>6.773654734651148E-2</v>
      </c>
      <c r="DL24" s="3">
        <v>8.6262808937260585E-3</v>
      </c>
      <c r="DM24" s="3">
        <v>2.5807675313727092E-2</v>
      </c>
      <c r="DN24" s="3">
        <v>0.66708867560199003</v>
      </c>
      <c r="DO24" s="3">
        <v>0.17164331115511919</v>
      </c>
      <c r="DP24" s="3">
        <v>-2.766748866515667E-2</v>
      </c>
      <c r="DQ24" s="3">
        <v>-0.21335554494804679</v>
      </c>
      <c r="DR24" s="3">
        <v>2.0879617984008361E-2</v>
      </c>
      <c r="DS24" s="3">
        <v>5.6421086617604567E-2</v>
      </c>
      <c r="DT24" s="3">
        <v>-7.9336345337965797E-2</v>
      </c>
      <c r="DU24" s="3">
        <v>-0.75093836081020182</v>
      </c>
      <c r="DV24" s="3">
        <v>-0.22962495612622619</v>
      </c>
      <c r="DW24" s="3">
        <v>0.31831904191367077</v>
      </c>
      <c r="DX24" s="3">
        <v>0.28592948388289841</v>
      </c>
      <c r="DY24" s="3">
        <v>-0.23262229526875361</v>
      </c>
      <c r="DZ24" s="3">
        <v>-0.14605781412454991</v>
      </c>
      <c r="EA24" s="3">
        <v>-7.8049509224128261E-2</v>
      </c>
      <c r="EB24" s="3">
        <v>0.68520167421929012</v>
      </c>
      <c r="EC24" s="3">
        <v>-1.0700236684894671E-2</v>
      </c>
      <c r="ED24" s="3">
        <v>-3.5093512144413072E-2</v>
      </c>
      <c r="EE24" s="3">
        <v>0.1115666820172357</v>
      </c>
      <c r="EF24" s="3">
        <v>-9.2038006168866926E-2</v>
      </c>
      <c r="EG24" s="3">
        <v>7.0451324384900899E-2</v>
      </c>
      <c r="EH24" s="3">
        <v>-8.3631214940178777E-2</v>
      </c>
      <c r="EI24" s="3">
        <v>-0.15479485409866839</v>
      </c>
      <c r="EJ24" s="3">
        <v>3.3359233152854467E-2</v>
      </c>
      <c r="EK24" s="3">
        <v>7.452577909121666E-2</v>
      </c>
      <c r="EL24" s="3">
        <v>-1.049878409821957E-2</v>
      </c>
      <c r="EM24" s="3">
        <v>-1.388977535640455E-2</v>
      </c>
      <c r="EN24">
        <f t="shared" si="11"/>
        <v>0.22347711745235802</v>
      </c>
      <c r="EO24">
        <f t="shared" si="12"/>
        <v>-6.2153009286803791E-2</v>
      </c>
    </row>
    <row r="25" spans="1:145" x14ac:dyDescent="0.3">
      <c r="A25" s="18" t="s">
        <v>154</v>
      </c>
      <c r="B25" s="18" t="s">
        <v>155</v>
      </c>
      <c r="C25" s="5">
        <v>-1.7446770539390338E-2</v>
      </c>
      <c r="D25" s="5">
        <v>2.070106053181563E-2</v>
      </c>
      <c r="E25" s="5">
        <v>2.3982129254766709E-2</v>
      </c>
      <c r="F25" s="5">
        <v>-6.557578972823077E-3</v>
      </c>
      <c r="G25" s="5">
        <v>3.1845129800519692E-2</v>
      </c>
      <c r="H25" s="5">
        <v>3.4348532736990518E-2</v>
      </c>
      <c r="I25" s="5">
        <v>-8.2549327813252367E-3</v>
      </c>
      <c r="J25" s="5">
        <v>1.2843524394052759E-2</v>
      </c>
      <c r="K25" s="5">
        <v>-5.1018524626790823E-2</v>
      </c>
      <c r="L25" s="5">
        <v>8.7394274103658827E-4</v>
      </c>
      <c r="M25" s="5">
        <v>2.3389575505495919E-2</v>
      </c>
      <c r="N25" s="5">
        <v>1.2988972200332851E-2</v>
      </c>
      <c r="O25" s="5">
        <v>5.8545887256348812E-3</v>
      </c>
      <c r="P25" s="5">
        <v>2.7413206571790558E-2</v>
      </c>
      <c r="Q25" s="5">
        <v>-3.7129361176928542E-3</v>
      </c>
      <c r="R25" s="5">
        <v>2.4076614047823328E-2</v>
      </c>
      <c r="S25" s="5">
        <v>-1.219002529903996E-2</v>
      </c>
      <c r="T25" s="5">
        <v>-3.9749578159589592E-2</v>
      </c>
      <c r="U25" s="5">
        <v>-7.3155449831649552E-2</v>
      </c>
      <c r="V25" s="5">
        <v>-5.8260229910114661E-2</v>
      </c>
      <c r="W25" s="5">
        <v>7.7279756550837221E-4</v>
      </c>
      <c r="X25" s="5">
        <v>4.459152113521897E-2</v>
      </c>
      <c r="Y25" s="5">
        <v>-2.7699680050213091E-2</v>
      </c>
      <c r="Z25" s="5">
        <v>2.0950059497436462E-3</v>
      </c>
      <c r="AA25" s="5">
        <v>-2.340055099256411E-2</v>
      </c>
      <c r="AB25" s="5">
        <v>3.2129371097322189E-2</v>
      </c>
      <c r="AC25" s="5">
        <v>3.890327309406643E-2</v>
      </c>
      <c r="AD25" s="5">
        <v>-4.286538217110427E-2</v>
      </c>
      <c r="AE25" s="5">
        <v>1.8647194550152159E-2</v>
      </c>
      <c r="AF25" s="5">
        <v>1.5229768322528949E-2</v>
      </c>
      <c r="AG25" s="5">
        <v>3.6016603778892417E-2</v>
      </c>
      <c r="AH25" s="5">
        <v>9.3546113853161701E-3</v>
      </c>
      <c r="AI25" s="5">
        <v>1.0748251336838139E-2</v>
      </c>
      <c r="AJ25" s="5">
        <v>1.335775405308097E-2</v>
      </c>
      <c r="AK25" s="5">
        <v>-5.3327473290953921E-3</v>
      </c>
      <c r="AL25" s="5">
        <v>1.383135807261675E-3</v>
      </c>
      <c r="AM25" s="5">
        <v>2.079592842007446E-2</v>
      </c>
      <c r="AN25" s="5">
        <v>3.1517702220390638E-2</v>
      </c>
      <c r="AO25" s="5">
        <v>6.2417165333294418E-3</v>
      </c>
      <c r="AP25" s="5">
        <v>6.1452616535713897E-3</v>
      </c>
      <c r="AQ25" s="5">
        <v>1.694635767669651E-2</v>
      </c>
      <c r="AR25" s="5">
        <v>3.4682830454308228E-2</v>
      </c>
      <c r="AS25" s="5">
        <v>3.0985886171969678E-3</v>
      </c>
      <c r="AT25" s="5">
        <v>1.508134714348611E-2</v>
      </c>
      <c r="AU25" s="5">
        <v>-1.9251209229863991E-2</v>
      </c>
      <c r="AV25" s="5">
        <v>3.8711513387631437E-2</v>
      </c>
      <c r="AW25" s="5">
        <v>-2.1856951135736599E-2</v>
      </c>
      <c r="AX25" s="5">
        <v>7.7743007097896798E-3</v>
      </c>
      <c r="AY25" s="5">
        <v>4.2397246695325942E-2</v>
      </c>
      <c r="AZ25" s="5">
        <v>-2.630897486115975E-2</v>
      </c>
      <c r="BA25" s="5">
        <v>9.5717493087162323E-3</v>
      </c>
      <c r="BB25" s="5">
        <v>-2.424974126627483E-2</v>
      </c>
      <c r="BC25" s="5">
        <v>2.0163374143915822E-2</v>
      </c>
      <c r="BD25" s="5">
        <v>-3.5049987821160239E-3</v>
      </c>
      <c r="BE25" s="5">
        <v>2.0151935098542271E-2</v>
      </c>
      <c r="BF25" s="5">
        <v>5.8133623077027128E-4</v>
      </c>
      <c r="BG25" s="5">
        <v>-5.2197009532526043E-3</v>
      </c>
      <c r="BH25" s="5">
        <v>-0.11587176140213</v>
      </c>
      <c r="BI25" s="5">
        <v>8.7252256924373536E-3</v>
      </c>
      <c r="BJ25" s="5">
        <v>-1.6377260977822151E-2</v>
      </c>
      <c r="BK25" s="5">
        <v>2.0840371600260421E-2</v>
      </c>
      <c r="BL25" s="5">
        <v>4.4975872102114713E-2</v>
      </c>
      <c r="BM25" s="5">
        <v>2.3954306081863871E-2</v>
      </c>
      <c r="BN25" s="5">
        <v>3.0239101391442601E-2</v>
      </c>
      <c r="BO25" s="5">
        <v>-4.372588759108751E-2</v>
      </c>
      <c r="BP25" s="5">
        <v>2.1889469568198618E-2</v>
      </c>
      <c r="BQ25" s="5">
        <v>8.6274302635084028E-3</v>
      </c>
      <c r="BR25" s="5">
        <v>-1.9192953994658781E-2</v>
      </c>
      <c r="BS25" s="5">
        <v>1.973512988813305E-2</v>
      </c>
      <c r="BT25" s="5">
        <v>4.7694337483699438E-2</v>
      </c>
      <c r="BU25" s="5">
        <v>1.145481680658339E-2</v>
      </c>
      <c r="BV25" s="5">
        <v>4.3228620735213191E-2</v>
      </c>
      <c r="BW25" s="5">
        <v>-4.2747430436922793E-2</v>
      </c>
      <c r="BX25" s="5">
        <v>-1.781129242779457E-2</v>
      </c>
      <c r="BY25" s="5">
        <v>-0.1511530968690756</v>
      </c>
      <c r="BZ25" s="5">
        <v>0.12422400361957529</v>
      </c>
      <c r="CA25" s="5">
        <v>-4.5572538445296431E-3</v>
      </c>
      <c r="CB25" s="5">
        <v>6.0211240204911178E-2</v>
      </c>
      <c r="CC25" s="5">
        <v>8.5992033482502284E-2</v>
      </c>
      <c r="CD25" s="5">
        <v>-5.8084795823660634E-3</v>
      </c>
      <c r="CE25" s="5">
        <v>-6.0413469889680736E-3</v>
      </c>
      <c r="CF25" s="5">
        <v>2.4523243722520739E-3</v>
      </c>
      <c r="CG25" s="5">
        <v>8.963625193702289E-2</v>
      </c>
      <c r="CH25" s="5">
        <v>7.099273252675789E-2</v>
      </c>
      <c r="CI25" s="5">
        <v>2.7170642901783448E-2</v>
      </c>
      <c r="CJ25" s="5">
        <v>5.2468428425330033E-2</v>
      </c>
      <c r="CK25" s="5">
        <v>2.9480660943049509E-2</v>
      </c>
      <c r="CL25" s="5">
        <v>6.6825081060201283E-2</v>
      </c>
      <c r="CM25" s="5">
        <v>-2.8772229019816971E-2</v>
      </c>
      <c r="CN25" s="5">
        <v>3.9462515901637851E-2</v>
      </c>
      <c r="CO25" s="5">
        <v>-2.9031086977359909E-2</v>
      </c>
      <c r="CP25" s="5">
        <v>1.3983882519467901E-2</v>
      </c>
      <c r="CQ25" s="5">
        <v>-3.2276964959333833E-2</v>
      </c>
      <c r="CR25" s="5">
        <v>3.1035766128940231E-3</v>
      </c>
      <c r="CS25" s="5">
        <v>2.5591855767083171E-2</v>
      </c>
      <c r="CT25" s="5">
        <v>4.4391886287193302E-2</v>
      </c>
      <c r="CU25" s="5">
        <v>-3.0338958549577438E-2</v>
      </c>
      <c r="CV25" s="5">
        <v>-1.2579764545717069E-3</v>
      </c>
      <c r="CW25" s="5">
        <v>2.336356455857952E-3</v>
      </c>
      <c r="CX25" s="5">
        <v>-6.4264144925906069E-2</v>
      </c>
      <c r="CY25" s="5">
        <v>1.2909779458992439E-2</v>
      </c>
      <c r="CZ25" s="5">
        <v>-0.12547709467085871</v>
      </c>
      <c r="DA25" s="5">
        <v>1.1690682939792569E-2</v>
      </c>
      <c r="DB25" s="5">
        <v>6.3378437007417512E-3</v>
      </c>
      <c r="DC25" s="5">
        <v>-0.1173053564693855</v>
      </c>
      <c r="DD25" s="5">
        <v>-3.6010872049446613E-2</v>
      </c>
      <c r="DE25" s="5">
        <v>0.1389113040722679</v>
      </c>
      <c r="DF25" s="5">
        <v>-5.1143506226105737E-2</v>
      </c>
      <c r="DG25" s="5">
        <v>7.6731447181969059E-2</v>
      </c>
      <c r="DH25" s="5">
        <v>1.550878219700816E-2</v>
      </c>
      <c r="DI25" s="5">
        <v>2.3223773674755831E-2</v>
      </c>
      <c r="DJ25" s="5">
        <v>-1.8372876361227891E-2</v>
      </c>
      <c r="DK25" s="5">
        <v>6.2199014085099431E-2</v>
      </c>
      <c r="DL25" s="5">
        <v>2.0098304486957191E-2</v>
      </c>
      <c r="DM25" s="5">
        <v>1.349893974806809E-2</v>
      </c>
      <c r="DN25" s="5">
        <v>-3.025221272842088E-2</v>
      </c>
      <c r="DO25" s="5">
        <v>-1.7022835708053841E-2</v>
      </c>
      <c r="DP25" s="5">
        <v>-2.1788523272461981E-2</v>
      </c>
      <c r="DQ25" s="5">
        <v>8.5745624585137223E-2</v>
      </c>
      <c r="DR25" s="5">
        <v>2.8106743604973752E-2</v>
      </c>
      <c r="DS25" s="5">
        <v>-2.3031598073594501E-3</v>
      </c>
      <c r="DT25" s="5">
        <v>5.8471198131487503E-2</v>
      </c>
      <c r="DU25" s="5">
        <v>6.7658949048647651E-2</v>
      </c>
      <c r="DV25" s="5">
        <v>5.0207706404322644E-3</v>
      </c>
      <c r="DW25" s="5">
        <v>3.7416183675207063E-2</v>
      </c>
      <c r="DX25" s="5">
        <v>8.4111003746042121E-2</v>
      </c>
      <c r="DY25" s="5">
        <v>-3.6832398544012837E-2</v>
      </c>
      <c r="DZ25" s="5">
        <v>3.0917028169369942E-3</v>
      </c>
      <c r="EA25" s="5">
        <v>-1.957628214294549E-3</v>
      </c>
      <c r="EB25" s="5">
        <v>2.6459103603519739E-2</v>
      </c>
      <c r="EC25" s="5">
        <v>-2.4752538760690269E-2</v>
      </c>
      <c r="ED25" s="5">
        <v>3.4115490982559941E-2</v>
      </c>
      <c r="EE25" s="5">
        <v>2.1061973989032982E-2</v>
      </c>
      <c r="EF25" s="5">
        <v>-2.0277392706005919E-2</v>
      </c>
      <c r="EG25" s="5">
        <v>-0.107868107860878</v>
      </c>
      <c r="EH25" s="5">
        <v>-2.252035211407068E-2</v>
      </c>
      <c r="EI25" s="5">
        <v>5.351000707077281E-2</v>
      </c>
      <c r="EJ25" s="5">
        <v>4.168726583756812E-2</v>
      </c>
      <c r="EK25" s="5">
        <v>5.6195614114411173E-2</v>
      </c>
      <c r="EL25" s="5">
        <v>2.8911319285108698E-2</v>
      </c>
      <c r="EM25" s="7">
        <f>AVERAGE(C25:EL25)</f>
        <v>7.3901413334529261E-3</v>
      </c>
      <c r="EN25" s="7">
        <f t="shared" si="11"/>
        <v>4.3085790719846702E-2</v>
      </c>
      <c r="EO25" s="7">
        <f t="shared" si="12"/>
        <v>0.17152154364545036</v>
      </c>
    </row>
    <row r="26" spans="1:145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5" x14ac:dyDescent="0.3">
      <c r="B27" s="17" t="s">
        <v>157</v>
      </c>
      <c r="C27" s="4" t="s">
        <v>158</v>
      </c>
      <c r="D27" s="4" t="s">
        <v>159</v>
      </c>
      <c r="E27" s="4" t="s">
        <v>160</v>
      </c>
      <c r="F27" s="4" t="s">
        <v>160</v>
      </c>
      <c r="G27" s="4" t="s">
        <v>160</v>
      </c>
      <c r="H27" s="4" t="s">
        <v>160</v>
      </c>
      <c r="I27" s="4" t="s">
        <v>161</v>
      </c>
      <c r="J27" s="4" t="s">
        <v>161</v>
      </c>
      <c r="K27" s="4" t="s">
        <v>162</v>
      </c>
      <c r="L27" s="4" t="s">
        <v>162</v>
      </c>
      <c r="M27" s="4" t="s">
        <v>162</v>
      </c>
      <c r="N27" s="4" t="s">
        <v>162</v>
      </c>
      <c r="O27" s="4" t="s">
        <v>159</v>
      </c>
      <c r="P27" s="4" t="s">
        <v>163</v>
      </c>
      <c r="Q27" s="4" t="s">
        <v>159</v>
      </c>
      <c r="R27" s="4" t="s">
        <v>162</v>
      </c>
      <c r="S27" s="4" t="s">
        <v>164</v>
      </c>
      <c r="T27" s="4" t="s">
        <v>164</v>
      </c>
      <c r="U27" s="4" t="s">
        <v>165</v>
      </c>
      <c r="V27" s="4" t="s">
        <v>163</v>
      </c>
      <c r="W27" s="4" t="s">
        <v>166</v>
      </c>
      <c r="X27" s="4" t="s">
        <v>167</v>
      </c>
      <c r="Y27" s="4" t="s">
        <v>168</v>
      </c>
      <c r="Z27" s="4" t="s">
        <v>169</v>
      </c>
      <c r="AA27" s="4" t="s">
        <v>167</v>
      </c>
      <c r="AB27" s="4" t="s">
        <v>167</v>
      </c>
      <c r="AC27" s="4" t="s">
        <v>170</v>
      </c>
      <c r="AD27" s="4" t="s">
        <v>170</v>
      </c>
      <c r="AE27" s="4" t="s">
        <v>171</v>
      </c>
      <c r="AF27" s="4" t="s">
        <v>172</v>
      </c>
      <c r="AG27" s="4" t="s">
        <v>167</v>
      </c>
      <c r="AH27" s="4" t="s">
        <v>172</v>
      </c>
      <c r="AI27" s="4" t="s">
        <v>172</v>
      </c>
      <c r="AJ27" s="4" t="s">
        <v>172</v>
      </c>
      <c r="AK27" s="4" t="s">
        <v>167</v>
      </c>
      <c r="AL27" s="4" t="s">
        <v>167</v>
      </c>
      <c r="AM27" s="4" t="s">
        <v>173</v>
      </c>
      <c r="AN27" s="4" t="s">
        <v>167</v>
      </c>
      <c r="AO27" s="4" t="s">
        <v>169</v>
      </c>
      <c r="AP27" s="4" t="s">
        <v>174</v>
      </c>
      <c r="AQ27" s="4" t="s">
        <v>175</v>
      </c>
      <c r="AR27" s="4" t="s">
        <v>175</v>
      </c>
      <c r="AS27" s="4" t="s">
        <v>175</v>
      </c>
      <c r="AT27" s="4" t="s">
        <v>174</v>
      </c>
      <c r="AU27" s="4" t="s">
        <v>174</v>
      </c>
      <c r="AV27" s="4" t="s">
        <v>173</v>
      </c>
      <c r="AW27" s="4" t="s">
        <v>158</v>
      </c>
      <c r="AX27" s="4" t="s">
        <v>174</v>
      </c>
      <c r="AY27" s="4" t="s">
        <v>173</v>
      </c>
      <c r="AZ27" s="4" t="s">
        <v>176</v>
      </c>
      <c r="BA27" s="4" t="s">
        <v>167</v>
      </c>
      <c r="BB27" s="4" t="s">
        <v>173</v>
      </c>
      <c r="BC27" s="4" t="s">
        <v>167</v>
      </c>
      <c r="BD27" s="4" t="s">
        <v>167</v>
      </c>
      <c r="BE27" s="4" t="s">
        <v>177</v>
      </c>
      <c r="BF27" s="4" t="s">
        <v>177</v>
      </c>
      <c r="BG27" s="4" t="s">
        <v>167</v>
      </c>
      <c r="BH27" s="4" t="s">
        <v>167</v>
      </c>
      <c r="BI27" s="4" t="s">
        <v>178</v>
      </c>
      <c r="BJ27" s="4" t="s">
        <v>178</v>
      </c>
      <c r="BK27" s="4" t="s">
        <v>179</v>
      </c>
      <c r="BL27" s="4" t="s">
        <v>179</v>
      </c>
      <c r="BM27" s="4" t="s">
        <v>179</v>
      </c>
      <c r="BN27" s="4" t="s">
        <v>167</v>
      </c>
      <c r="BO27" s="4" t="s">
        <v>167</v>
      </c>
      <c r="BP27" s="4" t="s">
        <v>167</v>
      </c>
      <c r="BQ27" s="4" t="s">
        <v>179</v>
      </c>
      <c r="BR27" s="4" t="s">
        <v>167</v>
      </c>
      <c r="BS27" s="4" t="s">
        <v>180</v>
      </c>
      <c r="BT27" s="4" t="s">
        <v>180</v>
      </c>
      <c r="BU27" s="4" t="s">
        <v>181</v>
      </c>
      <c r="BV27" s="4" t="s">
        <v>180</v>
      </c>
      <c r="BW27" s="4" t="s">
        <v>167</v>
      </c>
      <c r="BX27" s="4" t="s">
        <v>167</v>
      </c>
      <c r="BY27" s="4" t="s">
        <v>178</v>
      </c>
      <c r="BZ27" s="4" t="s">
        <v>178</v>
      </c>
      <c r="CA27" s="4" t="s">
        <v>167</v>
      </c>
      <c r="CB27" s="4" t="s">
        <v>167</v>
      </c>
      <c r="CC27" s="4" t="s">
        <v>182</v>
      </c>
      <c r="CD27" s="4" t="s">
        <v>180</v>
      </c>
      <c r="CE27" s="4" t="s">
        <v>167</v>
      </c>
      <c r="CF27" s="4" t="s">
        <v>183</v>
      </c>
      <c r="CG27" s="4" t="s">
        <v>183</v>
      </c>
      <c r="CH27" s="4" t="s">
        <v>183</v>
      </c>
      <c r="CI27" s="4" t="s">
        <v>184</v>
      </c>
      <c r="CJ27" s="4" t="s">
        <v>184</v>
      </c>
      <c r="CK27" s="4" t="s">
        <v>183</v>
      </c>
      <c r="CL27" s="4" t="s">
        <v>185</v>
      </c>
      <c r="CM27" s="4" t="s">
        <v>184</v>
      </c>
      <c r="CN27" s="4" t="s">
        <v>184</v>
      </c>
      <c r="CO27" s="4" t="s">
        <v>186</v>
      </c>
      <c r="CP27" s="4" t="s">
        <v>186</v>
      </c>
      <c r="CQ27" s="4" t="s">
        <v>186</v>
      </c>
      <c r="CR27" s="4" t="s">
        <v>186</v>
      </c>
      <c r="CS27" s="4" t="s">
        <v>187</v>
      </c>
      <c r="CT27" s="4" t="s">
        <v>188</v>
      </c>
      <c r="CU27" s="4" t="s">
        <v>174</v>
      </c>
      <c r="CV27" s="4" t="s">
        <v>189</v>
      </c>
      <c r="CW27" s="4" t="s">
        <v>190</v>
      </c>
      <c r="CX27" s="4" t="s">
        <v>190</v>
      </c>
      <c r="CY27" s="4" t="s">
        <v>191</v>
      </c>
      <c r="CZ27" s="4" t="s">
        <v>189</v>
      </c>
      <c r="DA27" s="4" t="s">
        <v>167</v>
      </c>
      <c r="DB27" s="4" t="s">
        <v>184</v>
      </c>
      <c r="DC27" s="4" t="s">
        <v>167</v>
      </c>
      <c r="DD27" s="4" t="s">
        <v>192</v>
      </c>
      <c r="DE27" s="4" t="s">
        <v>167</v>
      </c>
      <c r="DF27" s="4" t="s">
        <v>174</v>
      </c>
      <c r="DG27" s="4" t="s">
        <v>182</v>
      </c>
      <c r="DH27" s="4" t="s">
        <v>193</v>
      </c>
      <c r="DI27" s="4" t="s">
        <v>193</v>
      </c>
      <c r="DJ27" s="4" t="s">
        <v>193</v>
      </c>
      <c r="DK27" s="4" t="s">
        <v>194</v>
      </c>
      <c r="DL27" s="4" t="s">
        <v>193</v>
      </c>
      <c r="DM27" s="4" t="s">
        <v>193</v>
      </c>
      <c r="DN27" s="4" t="s">
        <v>193</v>
      </c>
      <c r="DO27" s="4" t="s">
        <v>193</v>
      </c>
      <c r="DP27" s="4" t="s">
        <v>195</v>
      </c>
      <c r="DQ27" s="4" t="s">
        <v>193</v>
      </c>
      <c r="DR27" s="4" t="s">
        <v>195</v>
      </c>
      <c r="DS27" s="4" t="s">
        <v>196</v>
      </c>
      <c r="DT27" s="4" t="s">
        <v>197</v>
      </c>
      <c r="DU27" s="4" t="s">
        <v>198</v>
      </c>
      <c r="DV27" s="4" t="s">
        <v>199</v>
      </c>
      <c r="DW27" s="4" t="s">
        <v>199</v>
      </c>
      <c r="DX27" s="4" t="s">
        <v>185</v>
      </c>
      <c r="DY27" s="4" t="s">
        <v>199</v>
      </c>
      <c r="DZ27" s="4" t="s">
        <v>173</v>
      </c>
      <c r="EA27" s="4" t="s">
        <v>200</v>
      </c>
      <c r="EB27" s="4" t="s">
        <v>201</v>
      </c>
      <c r="EC27" s="4" t="s">
        <v>202</v>
      </c>
      <c r="ED27" s="4" t="s">
        <v>173</v>
      </c>
      <c r="EE27" s="4" t="s">
        <v>191</v>
      </c>
      <c r="EF27" s="4" t="s">
        <v>200</v>
      </c>
      <c r="EG27" s="4" t="s">
        <v>203</v>
      </c>
      <c r="EH27" s="4" t="s">
        <v>203</v>
      </c>
      <c r="EI27" s="4" t="s">
        <v>204</v>
      </c>
      <c r="EJ27" s="4" t="s">
        <v>204</v>
      </c>
      <c r="EK27" s="4" t="s">
        <v>205</v>
      </c>
      <c r="EL27" s="4" t="s">
        <v>200</v>
      </c>
      <c r="EM27" t="s">
        <v>206</v>
      </c>
    </row>
    <row r="28" spans="1:145" x14ac:dyDescent="0.3">
      <c r="B28" s="17" t="s">
        <v>207</v>
      </c>
      <c r="C28" s="4" t="s">
        <v>208</v>
      </c>
      <c r="D28" s="4" t="s">
        <v>209</v>
      </c>
      <c r="E28" s="4" t="s">
        <v>210</v>
      </c>
      <c r="F28" s="4" t="s">
        <v>210</v>
      </c>
      <c r="G28" s="4" t="s">
        <v>210</v>
      </c>
      <c r="H28" s="4" t="s">
        <v>210</v>
      </c>
      <c r="I28" s="4" t="s">
        <v>211</v>
      </c>
      <c r="J28" s="4" t="s">
        <v>211</v>
      </c>
      <c r="K28" s="4" t="s">
        <v>212</v>
      </c>
      <c r="L28" s="4" t="s">
        <v>212</v>
      </c>
      <c r="M28" s="4" t="s">
        <v>212</v>
      </c>
      <c r="N28" s="4" t="s">
        <v>212</v>
      </c>
      <c r="O28" s="4" t="s">
        <v>209</v>
      </c>
      <c r="P28" s="4" t="s">
        <v>213</v>
      </c>
      <c r="Q28" s="4" t="s">
        <v>209</v>
      </c>
      <c r="R28" s="4" t="s">
        <v>212</v>
      </c>
      <c r="S28" s="4" t="s">
        <v>214</v>
      </c>
      <c r="T28" s="4" t="s">
        <v>214</v>
      </c>
      <c r="U28" s="4" t="s">
        <v>215</v>
      </c>
      <c r="V28" s="4" t="s">
        <v>213</v>
      </c>
      <c r="W28" s="4" t="s">
        <v>216</v>
      </c>
      <c r="X28" s="4" t="s">
        <v>217</v>
      </c>
      <c r="Y28" s="4" t="s">
        <v>218</v>
      </c>
      <c r="Z28" s="4" t="s">
        <v>219</v>
      </c>
      <c r="AA28" s="4" t="s">
        <v>217</v>
      </c>
      <c r="AB28" s="4" t="s">
        <v>217</v>
      </c>
      <c r="AC28" s="4" t="s">
        <v>220</v>
      </c>
      <c r="AD28" s="4" t="s">
        <v>220</v>
      </c>
      <c r="AE28" s="4" t="s">
        <v>221</v>
      </c>
      <c r="AF28" s="4" t="s">
        <v>222</v>
      </c>
      <c r="AG28" s="4" t="s">
        <v>217</v>
      </c>
      <c r="AH28" s="4" t="s">
        <v>222</v>
      </c>
      <c r="AI28" s="4" t="s">
        <v>222</v>
      </c>
      <c r="AJ28" s="4" t="s">
        <v>222</v>
      </c>
      <c r="AK28" s="4" t="s">
        <v>217</v>
      </c>
      <c r="AL28" s="4" t="s">
        <v>217</v>
      </c>
      <c r="AM28" s="4" t="s">
        <v>223</v>
      </c>
      <c r="AN28" s="4" t="s">
        <v>217</v>
      </c>
      <c r="AO28" s="4" t="s">
        <v>219</v>
      </c>
      <c r="AP28" s="4" t="s">
        <v>224</v>
      </c>
      <c r="AQ28" s="4" t="s">
        <v>225</v>
      </c>
      <c r="AR28" s="4" t="s">
        <v>225</v>
      </c>
      <c r="AS28" s="4" t="s">
        <v>225</v>
      </c>
      <c r="AT28" s="4" t="s">
        <v>224</v>
      </c>
      <c r="AU28" s="4" t="s">
        <v>224</v>
      </c>
      <c r="AV28" s="4" t="s">
        <v>223</v>
      </c>
      <c r="AW28" s="4" t="s">
        <v>208</v>
      </c>
      <c r="AX28" s="4" t="s">
        <v>224</v>
      </c>
      <c r="AY28" s="4" t="s">
        <v>223</v>
      </c>
      <c r="AZ28" s="4" t="s">
        <v>226</v>
      </c>
      <c r="BA28" s="4" t="s">
        <v>217</v>
      </c>
      <c r="BB28" s="4" t="s">
        <v>223</v>
      </c>
      <c r="BC28" s="4" t="s">
        <v>217</v>
      </c>
      <c r="BD28" s="4" t="s">
        <v>217</v>
      </c>
      <c r="BE28" s="4" t="s">
        <v>227</v>
      </c>
      <c r="BF28" s="4" t="s">
        <v>227</v>
      </c>
      <c r="BG28" s="4" t="s">
        <v>217</v>
      </c>
      <c r="BH28" s="4" t="s">
        <v>217</v>
      </c>
      <c r="BI28" s="4" t="s">
        <v>228</v>
      </c>
      <c r="BJ28" s="4" t="s">
        <v>228</v>
      </c>
      <c r="BK28" s="4" t="s">
        <v>229</v>
      </c>
      <c r="BL28" s="4" t="s">
        <v>229</v>
      </c>
      <c r="BM28" s="4" t="s">
        <v>229</v>
      </c>
      <c r="BN28" s="4" t="s">
        <v>217</v>
      </c>
      <c r="BO28" s="4" t="s">
        <v>217</v>
      </c>
      <c r="BP28" s="4" t="s">
        <v>217</v>
      </c>
      <c r="BQ28" s="4" t="s">
        <v>229</v>
      </c>
      <c r="BR28" s="4" t="s">
        <v>217</v>
      </c>
      <c r="BS28" s="4" t="s">
        <v>230</v>
      </c>
      <c r="BT28" s="4" t="s">
        <v>230</v>
      </c>
      <c r="BU28" s="4" t="s">
        <v>231</v>
      </c>
      <c r="BV28" s="4" t="s">
        <v>230</v>
      </c>
      <c r="BW28" s="4" t="s">
        <v>217</v>
      </c>
      <c r="BX28" s="4" t="s">
        <v>217</v>
      </c>
      <c r="BY28" s="4" t="s">
        <v>228</v>
      </c>
      <c r="BZ28" s="4" t="s">
        <v>228</v>
      </c>
      <c r="CA28" s="4" t="s">
        <v>217</v>
      </c>
      <c r="CB28" s="4" t="s">
        <v>217</v>
      </c>
      <c r="CC28" s="4" t="s">
        <v>232</v>
      </c>
      <c r="CD28" s="4" t="s">
        <v>230</v>
      </c>
      <c r="CE28" s="4" t="s">
        <v>217</v>
      </c>
      <c r="CF28" s="4" t="s">
        <v>233</v>
      </c>
      <c r="CG28" s="4" t="s">
        <v>233</v>
      </c>
      <c r="CH28" s="4" t="s">
        <v>233</v>
      </c>
      <c r="CI28" s="4" t="s">
        <v>234</v>
      </c>
      <c r="CJ28" s="4" t="s">
        <v>234</v>
      </c>
      <c r="CK28" s="4" t="s">
        <v>233</v>
      </c>
      <c r="CL28" s="4" t="s">
        <v>235</v>
      </c>
      <c r="CM28" s="4" t="s">
        <v>234</v>
      </c>
      <c r="CN28" s="4" t="s">
        <v>234</v>
      </c>
      <c r="CO28" s="4" t="s">
        <v>236</v>
      </c>
      <c r="CP28" s="4" t="s">
        <v>236</v>
      </c>
      <c r="CQ28" s="4" t="s">
        <v>236</v>
      </c>
      <c r="CR28" s="4" t="s">
        <v>236</v>
      </c>
      <c r="CS28" s="4" t="s">
        <v>237</v>
      </c>
      <c r="CT28" s="4" t="s">
        <v>238</v>
      </c>
      <c r="CU28" s="4" t="s">
        <v>224</v>
      </c>
      <c r="CV28" s="4" t="s">
        <v>239</v>
      </c>
      <c r="CW28" s="4" t="s">
        <v>240</v>
      </c>
      <c r="CX28" s="4" t="s">
        <v>240</v>
      </c>
      <c r="CY28" s="4" t="s">
        <v>241</v>
      </c>
      <c r="CZ28" s="4" t="s">
        <v>239</v>
      </c>
      <c r="DA28" s="4" t="s">
        <v>217</v>
      </c>
      <c r="DB28" s="4" t="s">
        <v>234</v>
      </c>
      <c r="DC28" s="4" t="s">
        <v>217</v>
      </c>
      <c r="DD28" s="4" t="s">
        <v>242</v>
      </c>
      <c r="DE28" s="4" t="s">
        <v>217</v>
      </c>
      <c r="DF28" s="4" t="s">
        <v>224</v>
      </c>
      <c r="DG28" s="4" t="s">
        <v>232</v>
      </c>
      <c r="DH28" s="4" t="s">
        <v>243</v>
      </c>
      <c r="DI28" s="4" t="s">
        <v>243</v>
      </c>
      <c r="DJ28" s="4" t="s">
        <v>243</v>
      </c>
      <c r="DK28" s="4" t="s">
        <v>244</v>
      </c>
      <c r="DL28" s="4" t="s">
        <v>243</v>
      </c>
      <c r="DM28" s="4" t="s">
        <v>243</v>
      </c>
      <c r="DN28" s="4" t="s">
        <v>243</v>
      </c>
      <c r="DO28" s="4" t="s">
        <v>243</v>
      </c>
      <c r="DP28" s="4" t="s">
        <v>245</v>
      </c>
      <c r="DQ28" s="4" t="s">
        <v>243</v>
      </c>
      <c r="DR28" s="4" t="s">
        <v>245</v>
      </c>
      <c r="DS28" s="4" t="s">
        <v>246</v>
      </c>
      <c r="DT28" s="4" t="s">
        <v>247</v>
      </c>
      <c r="DU28" s="4" t="s">
        <v>248</v>
      </c>
      <c r="DV28" s="4" t="s">
        <v>249</v>
      </c>
      <c r="DW28" s="4" t="s">
        <v>249</v>
      </c>
      <c r="DX28" s="4" t="s">
        <v>235</v>
      </c>
      <c r="DY28" s="4" t="s">
        <v>249</v>
      </c>
      <c r="DZ28" s="4" t="s">
        <v>223</v>
      </c>
      <c r="EA28" s="4" t="s">
        <v>250</v>
      </c>
      <c r="EB28" s="4" t="s">
        <v>251</v>
      </c>
      <c r="EC28" s="4" t="s">
        <v>252</v>
      </c>
      <c r="ED28" s="4" t="s">
        <v>223</v>
      </c>
      <c r="EE28" s="4" t="s">
        <v>241</v>
      </c>
      <c r="EF28" s="4" t="s">
        <v>250</v>
      </c>
      <c r="EG28" s="4" t="s">
        <v>253</v>
      </c>
      <c r="EH28" s="4" t="s">
        <v>253</v>
      </c>
      <c r="EI28" s="4" t="s">
        <v>254</v>
      </c>
      <c r="EJ28" s="4" t="s">
        <v>254</v>
      </c>
      <c r="EK28" s="4" t="s">
        <v>255</v>
      </c>
      <c r="EL28" s="4" t="s">
        <v>250</v>
      </c>
      <c r="EM28" t="s">
        <v>256</v>
      </c>
    </row>
    <row r="29" spans="1:145" x14ac:dyDescent="0.3">
      <c r="B29" s="17" t="s">
        <v>257</v>
      </c>
      <c r="C29" s="4" t="s">
        <v>258</v>
      </c>
      <c r="D29" s="4" t="s">
        <v>259</v>
      </c>
      <c r="E29" s="4" t="s">
        <v>198</v>
      </c>
      <c r="F29" s="4" t="s">
        <v>198</v>
      </c>
      <c r="G29" s="4" t="s">
        <v>198</v>
      </c>
      <c r="H29" s="4" t="s">
        <v>198</v>
      </c>
      <c r="I29" s="4" t="s">
        <v>260</v>
      </c>
      <c r="J29" s="4" t="s">
        <v>260</v>
      </c>
      <c r="K29" s="4" t="s">
        <v>198</v>
      </c>
      <c r="L29" s="4" t="s">
        <v>261</v>
      </c>
      <c r="M29" s="4" t="s">
        <v>198</v>
      </c>
      <c r="N29" s="4" t="s">
        <v>198</v>
      </c>
      <c r="O29" s="4" t="s">
        <v>260</v>
      </c>
      <c r="P29" s="4" t="s">
        <v>262</v>
      </c>
      <c r="Q29" s="4" t="s">
        <v>260</v>
      </c>
      <c r="R29" s="4" t="s">
        <v>262</v>
      </c>
      <c r="S29" s="4" t="s">
        <v>262</v>
      </c>
      <c r="T29" s="4" t="s">
        <v>262</v>
      </c>
      <c r="U29" s="4" t="s">
        <v>260</v>
      </c>
      <c r="V29" s="4" t="s">
        <v>262</v>
      </c>
      <c r="W29" s="4" t="s">
        <v>159</v>
      </c>
      <c r="X29" s="4" t="s">
        <v>260</v>
      </c>
      <c r="Y29" s="4" t="s">
        <v>175</v>
      </c>
      <c r="Z29" s="4" t="s">
        <v>175</v>
      </c>
      <c r="AA29" s="4" t="s">
        <v>260</v>
      </c>
      <c r="AB29" s="4" t="s">
        <v>260</v>
      </c>
      <c r="AC29" s="4" t="s">
        <v>175</v>
      </c>
      <c r="AD29" s="4" t="s">
        <v>175</v>
      </c>
      <c r="AE29" s="4" t="s">
        <v>175</v>
      </c>
      <c r="AF29" s="4" t="s">
        <v>263</v>
      </c>
      <c r="AG29" s="4" t="s">
        <v>260</v>
      </c>
      <c r="AH29" s="4" t="s">
        <v>263</v>
      </c>
      <c r="AI29" s="4" t="s">
        <v>263</v>
      </c>
      <c r="AJ29" s="4" t="s">
        <v>263</v>
      </c>
      <c r="AK29" s="4" t="s">
        <v>260</v>
      </c>
      <c r="AL29" s="4" t="s">
        <v>260</v>
      </c>
      <c r="AM29" s="4" t="s">
        <v>259</v>
      </c>
      <c r="AN29" s="4" t="s">
        <v>260</v>
      </c>
      <c r="AO29" s="4" t="s">
        <v>264</v>
      </c>
      <c r="AP29" s="4" t="s">
        <v>265</v>
      </c>
      <c r="AQ29" s="4" t="s">
        <v>265</v>
      </c>
      <c r="AR29" s="4" t="s">
        <v>266</v>
      </c>
      <c r="AS29" s="4" t="s">
        <v>266</v>
      </c>
      <c r="AT29" s="4" t="s">
        <v>266</v>
      </c>
      <c r="AU29" s="4" t="s">
        <v>266</v>
      </c>
      <c r="AV29" s="4" t="s">
        <v>259</v>
      </c>
      <c r="AW29" s="4" t="s">
        <v>267</v>
      </c>
      <c r="AX29" s="4" t="s">
        <v>268</v>
      </c>
      <c r="AY29" s="4" t="s">
        <v>259</v>
      </c>
      <c r="AZ29" s="4" t="s">
        <v>179</v>
      </c>
      <c r="BA29" s="4" t="s">
        <v>267</v>
      </c>
      <c r="BB29" s="4" t="s">
        <v>259</v>
      </c>
      <c r="BC29" s="4" t="s">
        <v>269</v>
      </c>
      <c r="BD29" s="4" t="s">
        <v>269</v>
      </c>
      <c r="BE29" s="4" t="s">
        <v>270</v>
      </c>
      <c r="BF29" s="4" t="s">
        <v>270</v>
      </c>
      <c r="BG29" s="4" t="s">
        <v>269</v>
      </c>
      <c r="BH29" s="4" t="s">
        <v>269</v>
      </c>
      <c r="BI29" s="4" t="s">
        <v>259</v>
      </c>
      <c r="BJ29" s="4" t="s">
        <v>271</v>
      </c>
      <c r="BK29" s="4" t="s">
        <v>271</v>
      </c>
      <c r="BL29" s="4" t="s">
        <v>272</v>
      </c>
      <c r="BM29" s="4" t="s">
        <v>272</v>
      </c>
      <c r="BN29" s="4" t="s">
        <v>273</v>
      </c>
      <c r="BO29" s="4" t="s">
        <v>273</v>
      </c>
      <c r="BP29" s="4" t="s">
        <v>273</v>
      </c>
      <c r="BQ29" s="4" t="s">
        <v>272</v>
      </c>
      <c r="BR29" s="4" t="s">
        <v>274</v>
      </c>
      <c r="BS29" s="4" t="s">
        <v>272</v>
      </c>
      <c r="BT29" s="4" t="s">
        <v>272</v>
      </c>
      <c r="BU29" s="4" t="s">
        <v>272</v>
      </c>
      <c r="BV29" s="4" t="s">
        <v>272</v>
      </c>
      <c r="BW29" s="4" t="s">
        <v>267</v>
      </c>
      <c r="BX29" s="4" t="s">
        <v>267</v>
      </c>
      <c r="BY29" s="4" t="s">
        <v>259</v>
      </c>
      <c r="BZ29" s="4" t="s">
        <v>259</v>
      </c>
      <c r="CA29" s="4" t="s">
        <v>275</v>
      </c>
      <c r="CB29" s="4" t="s">
        <v>275</v>
      </c>
      <c r="CC29" s="4" t="s">
        <v>188</v>
      </c>
      <c r="CD29" s="4" t="s">
        <v>189</v>
      </c>
      <c r="CE29" s="4" t="s">
        <v>276</v>
      </c>
      <c r="CF29" s="4" t="s">
        <v>189</v>
      </c>
      <c r="CG29" s="4" t="s">
        <v>189</v>
      </c>
      <c r="CH29" s="4" t="s">
        <v>189</v>
      </c>
      <c r="CI29" s="4" t="s">
        <v>267</v>
      </c>
      <c r="CJ29" s="4" t="s">
        <v>267</v>
      </c>
      <c r="CK29" s="4" t="s">
        <v>190</v>
      </c>
      <c r="CL29" s="4" t="s">
        <v>259</v>
      </c>
      <c r="CM29" s="4" t="s">
        <v>267</v>
      </c>
      <c r="CN29" s="4" t="s">
        <v>267</v>
      </c>
      <c r="CO29" s="4" t="s">
        <v>277</v>
      </c>
      <c r="CP29" s="4" t="s">
        <v>277</v>
      </c>
      <c r="CQ29" s="4" t="s">
        <v>182</v>
      </c>
      <c r="CR29" s="4" t="s">
        <v>277</v>
      </c>
      <c r="CS29" s="4" t="s">
        <v>259</v>
      </c>
      <c r="CT29" s="4" t="s">
        <v>182</v>
      </c>
      <c r="CU29" s="4" t="s">
        <v>182</v>
      </c>
      <c r="CV29" s="4" t="s">
        <v>182</v>
      </c>
      <c r="CW29" s="4" t="s">
        <v>182</v>
      </c>
      <c r="CX29" s="4" t="s">
        <v>182</v>
      </c>
      <c r="CY29" s="4" t="s">
        <v>278</v>
      </c>
      <c r="CZ29" s="4" t="s">
        <v>278</v>
      </c>
      <c r="DA29" s="4" t="s">
        <v>276</v>
      </c>
      <c r="DB29" s="4" t="s">
        <v>269</v>
      </c>
      <c r="DC29" s="4" t="s">
        <v>279</v>
      </c>
      <c r="DD29" s="4" t="s">
        <v>278</v>
      </c>
      <c r="DE29" s="4" t="s">
        <v>260</v>
      </c>
      <c r="DF29" s="4" t="s">
        <v>260</v>
      </c>
      <c r="DG29" s="4" t="s">
        <v>172</v>
      </c>
      <c r="DH29" s="4" t="s">
        <v>172</v>
      </c>
      <c r="DI29" s="4" t="s">
        <v>172</v>
      </c>
      <c r="DJ29" s="4" t="s">
        <v>172</v>
      </c>
      <c r="DK29" s="4" t="s">
        <v>172</v>
      </c>
      <c r="DL29" s="4" t="s">
        <v>158</v>
      </c>
      <c r="DM29" s="4" t="s">
        <v>172</v>
      </c>
      <c r="DN29" s="4" t="s">
        <v>158</v>
      </c>
      <c r="DO29" s="4" t="s">
        <v>172</v>
      </c>
      <c r="DP29" s="4" t="s">
        <v>280</v>
      </c>
      <c r="DQ29" s="4" t="s">
        <v>204</v>
      </c>
      <c r="DR29" s="4" t="s">
        <v>269</v>
      </c>
      <c r="DS29" s="4" t="s">
        <v>202</v>
      </c>
      <c r="DT29" s="4" t="s">
        <v>281</v>
      </c>
      <c r="DU29" s="4" t="s">
        <v>204</v>
      </c>
      <c r="DV29" s="4" t="s">
        <v>204</v>
      </c>
      <c r="DW29" s="4" t="s">
        <v>204</v>
      </c>
      <c r="DX29" s="4" t="s">
        <v>259</v>
      </c>
      <c r="DY29" s="4" t="s">
        <v>204</v>
      </c>
      <c r="DZ29" s="4" t="s">
        <v>204</v>
      </c>
      <c r="EA29" s="4" t="s">
        <v>259</v>
      </c>
      <c r="EB29" s="4" t="s">
        <v>282</v>
      </c>
      <c r="EC29" s="4" t="s">
        <v>276</v>
      </c>
      <c r="ED29" s="4" t="s">
        <v>174</v>
      </c>
      <c r="EE29" s="4" t="s">
        <v>174</v>
      </c>
      <c r="EF29" s="4" t="s">
        <v>259</v>
      </c>
      <c r="EG29" s="4" t="s">
        <v>283</v>
      </c>
      <c r="EH29" s="4" t="s">
        <v>283</v>
      </c>
      <c r="EI29" s="4" t="s">
        <v>283</v>
      </c>
      <c r="EJ29" s="4" t="s">
        <v>283</v>
      </c>
      <c r="EK29" s="4" t="s">
        <v>283</v>
      </c>
      <c r="EL29" s="4" t="s">
        <v>259</v>
      </c>
      <c r="EM29" t="s">
        <v>284</v>
      </c>
    </row>
    <row r="30" spans="1:145" x14ac:dyDescent="0.3">
      <c r="B30" s="17" t="s">
        <v>207</v>
      </c>
      <c r="C30" s="4" t="s">
        <v>285</v>
      </c>
      <c r="D30" s="4" t="s">
        <v>286</v>
      </c>
      <c r="E30" s="4" t="s">
        <v>248</v>
      </c>
      <c r="F30" s="4" t="s">
        <v>248</v>
      </c>
      <c r="G30" s="4" t="s">
        <v>248</v>
      </c>
      <c r="H30" s="4" t="s">
        <v>248</v>
      </c>
      <c r="I30" s="4" t="s">
        <v>287</v>
      </c>
      <c r="J30" s="4" t="s">
        <v>287</v>
      </c>
      <c r="K30" s="4" t="s">
        <v>248</v>
      </c>
      <c r="L30" s="4" t="s">
        <v>288</v>
      </c>
      <c r="M30" s="4" t="s">
        <v>248</v>
      </c>
      <c r="N30" s="4" t="s">
        <v>248</v>
      </c>
      <c r="O30" s="4" t="s">
        <v>287</v>
      </c>
      <c r="P30" s="4" t="s">
        <v>289</v>
      </c>
      <c r="Q30" s="4" t="s">
        <v>287</v>
      </c>
      <c r="R30" s="4" t="s">
        <v>289</v>
      </c>
      <c r="S30" s="4" t="s">
        <v>289</v>
      </c>
      <c r="T30" s="4" t="s">
        <v>289</v>
      </c>
      <c r="U30" s="4" t="s">
        <v>287</v>
      </c>
      <c r="V30" s="4" t="s">
        <v>289</v>
      </c>
      <c r="W30" s="4" t="s">
        <v>209</v>
      </c>
      <c r="X30" s="4" t="s">
        <v>287</v>
      </c>
      <c r="Y30" s="4" t="s">
        <v>225</v>
      </c>
      <c r="Z30" s="4" t="s">
        <v>225</v>
      </c>
      <c r="AA30" s="4" t="s">
        <v>287</v>
      </c>
      <c r="AB30" s="4" t="s">
        <v>287</v>
      </c>
      <c r="AC30" s="4" t="s">
        <v>225</v>
      </c>
      <c r="AD30" s="4" t="s">
        <v>225</v>
      </c>
      <c r="AE30" s="4" t="s">
        <v>225</v>
      </c>
      <c r="AF30" s="4" t="s">
        <v>290</v>
      </c>
      <c r="AG30" s="4" t="s">
        <v>287</v>
      </c>
      <c r="AH30" s="4" t="s">
        <v>290</v>
      </c>
      <c r="AI30" s="4" t="s">
        <v>290</v>
      </c>
      <c r="AJ30" s="4" t="s">
        <v>290</v>
      </c>
      <c r="AK30" s="4" t="s">
        <v>287</v>
      </c>
      <c r="AL30" s="4" t="s">
        <v>287</v>
      </c>
      <c r="AM30" s="4" t="s">
        <v>286</v>
      </c>
      <c r="AN30" s="4" t="s">
        <v>287</v>
      </c>
      <c r="AO30" s="4" t="s">
        <v>291</v>
      </c>
      <c r="AP30" s="4" t="s">
        <v>292</v>
      </c>
      <c r="AQ30" s="4" t="s">
        <v>292</v>
      </c>
      <c r="AR30" s="4" t="s">
        <v>293</v>
      </c>
      <c r="AS30" s="4" t="s">
        <v>293</v>
      </c>
      <c r="AT30" s="4" t="s">
        <v>293</v>
      </c>
      <c r="AU30" s="4" t="s">
        <v>293</v>
      </c>
      <c r="AV30" s="4" t="s">
        <v>286</v>
      </c>
      <c r="AW30" s="4" t="s">
        <v>294</v>
      </c>
      <c r="AX30" s="4" t="s">
        <v>295</v>
      </c>
      <c r="AY30" s="4" t="s">
        <v>286</v>
      </c>
      <c r="AZ30" s="4" t="s">
        <v>229</v>
      </c>
      <c r="BA30" s="4" t="s">
        <v>294</v>
      </c>
      <c r="BB30" s="4" t="s">
        <v>286</v>
      </c>
      <c r="BC30" s="4" t="s">
        <v>296</v>
      </c>
      <c r="BD30" s="4" t="s">
        <v>296</v>
      </c>
      <c r="BE30" s="4" t="s">
        <v>297</v>
      </c>
      <c r="BF30" s="4" t="s">
        <v>297</v>
      </c>
      <c r="BG30" s="4" t="s">
        <v>296</v>
      </c>
      <c r="BH30" s="4" t="s">
        <v>296</v>
      </c>
      <c r="BI30" s="4" t="s">
        <v>286</v>
      </c>
      <c r="BJ30" s="4" t="s">
        <v>298</v>
      </c>
      <c r="BK30" s="4" t="s">
        <v>298</v>
      </c>
      <c r="BL30" s="4" t="s">
        <v>299</v>
      </c>
      <c r="BM30" s="4" t="s">
        <v>299</v>
      </c>
      <c r="BN30" s="4" t="s">
        <v>300</v>
      </c>
      <c r="BO30" s="4" t="s">
        <v>300</v>
      </c>
      <c r="BP30" s="4" t="s">
        <v>300</v>
      </c>
      <c r="BQ30" s="4" t="s">
        <v>299</v>
      </c>
      <c r="BR30" s="4" t="s">
        <v>301</v>
      </c>
      <c r="BS30" s="4" t="s">
        <v>299</v>
      </c>
      <c r="BT30" s="4" t="s">
        <v>299</v>
      </c>
      <c r="BU30" s="4" t="s">
        <v>299</v>
      </c>
      <c r="BV30" s="4" t="s">
        <v>299</v>
      </c>
      <c r="BW30" s="4" t="s">
        <v>294</v>
      </c>
      <c r="BX30" s="4" t="s">
        <v>294</v>
      </c>
      <c r="BY30" s="4" t="s">
        <v>286</v>
      </c>
      <c r="BZ30" s="4" t="s">
        <v>286</v>
      </c>
      <c r="CA30" s="4" t="s">
        <v>302</v>
      </c>
      <c r="CB30" s="4" t="s">
        <v>302</v>
      </c>
      <c r="CC30" s="4" t="s">
        <v>238</v>
      </c>
      <c r="CD30" s="4" t="s">
        <v>239</v>
      </c>
      <c r="CE30" s="4" t="s">
        <v>303</v>
      </c>
      <c r="CF30" s="4" t="s">
        <v>239</v>
      </c>
      <c r="CG30" s="4" t="s">
        <v>239</v>
      </c>
      <c r="CH30" s="4" t="s">
        <v>239</v>
      </c>
      <c r="CI30" s="4" t="s">
        <v>294</v>
      </c>
      <c r="CJ30" s="4" t="s">
        <v>294</v>
      </c>
      <c r="CK30" s="4" t="s">
        <v>240</v>
      </c>
      <c r="CL30" s="4" t="s">
        <v>286</v>
      </c>
      <c r="CM30" s="4" t="s">
        <v>294</v>
      </c>
      <c r="CN30" s="4" t="s">
        <v>294</v>
      </c>
      <c r="CO30" s="4" t="s">
        <v>304</v>
      </c>
      <c r="CP30" s="4" t="s">
        <v>304</v>
      </c>
      <c r="CQ30" s="4" t="s">
        <v>232</v>
      </c>
      <c r="CR30" s="4" t="s">
        <v>304</v>
      </c>
      <c r="CS30" s="4" t="s">
        <v>286</v>
      </c>
      <c r="CT30" s="4" t="s">
        <v>232</v>
      </c>
      <c r="CU30" s="4" t="s">
        <v>232</v>
      </c>
      <c r="CV30" s="4" t="s">
        <v>232</v>
      </c>
      <c r="CW30" s="4" t="s">
        <v>232</v>
      </c>
      <c r="CX30" s="4" t="s">
        <v>232</v>
      </c>
      <c r="CY30" s="4" t="s">
        <v>305</v>
      </c>
      <c r="CZ30" s="4" t="s">
        <v>305</v>
      </c>
      <c r="DA30" s="4" t="s">
        <v>303</v>
      </c>
      <c r="DB30" s="4" t="s">
        <v>296</v>
      </c>
      <c r="DC30" s="4" t="s">
        <v>306</v>
      </c>
      <c r="DD30" s="4" t="s">
        <v>305</v>
      </c>
      <c r="DE30" s="4" t="s">
        <v>287</v>
      </c>
      <c r="DF30" s="4" t="s">
        <v>287</v>
      </c>
      <c r="DG30" s="4" t="s">
        <v>222</v>
      </c>
      <c r="DH30" s="4" t="s">
        <v>222</v>
      </c>
      <c r="DI30" s="4" t="s">
        <v>222</v>
      </c>
      <c r="DJ30" s="4" t="s">
        <v>222</v>
      </c>
      <c r="DK30" s="4" t="s">
        <v>222</v>
      </c>
      <c r="DL30" s="4" t="s">
        <v>208</v>
      </c>
      <c r="DM30" s="4" t="s">
        <v>222</v>
      </c>
      <c r="DN30" s="4" t="s">
        <v>208</v>
      </c>
      <c r="DO30" s="4" t="s">
        <v>222</v>
      </c>
      <c r="DP30" s="4" t="s">
        <v>307</v>
      </c>
      <c r="DQ30" s="4" t="s">
        <v>254</v>
      </c>
      <c r="DR30" s="4" t="s">
        <v>296</v>
      </c>
      <c r="DS30" s="4" t="s">
        <v>252</v>
      </c>
      <c r="DT30" s="4" t="s">
        <v>308</v>
      </c>
      <c r="DU30" s="4" t="s">
        <v>254</v>
      </c>
      <c r="DV30" s="4" t="s">
        <v>254</v>
      </c>
      <c r="DW30" s="4" t="s">
        <v>254</v>
      </c>
      <c r="DX30" s="4" t="s">
        <v>286</v>
      </c>
      <c r="DY30" s="4" t="s">
        <v>254</v>
      </c>
      <c r="DZ30" s="4" t="s">
        <v>254</v>
      </c>
      <c r="EA30" s="4" t="s">
        <v>286</v>
      </c>
      <c r="EB30" s="4" t="s">
        <v>309</v>
      </c>
      <c r="EC30" s="4" t="s">
        <v>303</v>
      </c>
      <c r="ED30" s="4" t="s">
        <v>224</v>
      </c>
      <c r="EE30" s="4" t="s">
        <v>224</v>
      </c>
      <c r="EF30" s="4" t="s">
        <v>286</v>
      </c>
      <c r="EG30" s="4" t="s">
        <v>310</v>
      </c>
      <c r="EH30" s="4" t="s">
        <v>310</v>
      </c>
      <c r="EI30" s="4" t="s">
        <v>310</v>
      </c>
      <c r="EJ30" s="4" t="s">
        <v>310</v>
      </c>
      <c r="EK30" s="4" t="s">
        <v>310</v>
      </c>
      <c r="EL30" s="4" t="s">
        <v>286</v>
      </c>
      <c r="EM30" t="s">
        <v>311</v>
      </c>
    </row>
    <row r="31" spans="1:145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5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conditionalFormatting sqref="EN12:EN24">
    <cfRule type="expression" dxfId="4" priority="5">
      <formula>EN12&lt;$EN$25</formula>
    </cfRule>
  </conditionalFormatting>
  <conditionalFormatting sqref="EO12:EO24">
    <cfRule type="expression" dxfId="3" priority="4">
      <formula>EO12&gt;$EO$25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N163"/>
  <sheetViews>
    <sheetView topLeftCell="DT3" zoomScale="130" zoomScaleNormal="130" workbookViewId="0">
      <selection activeCell="EN6" sqref="EN6"/>
    </sheetView>
  </sheetViews>
  <sheetFormatPr defaultRowHeight="14.5" x14ac:dyDescent="0.3"/>
  <cols>
    <col min="2" max="2" width="10.19921875" bestFit="1" customWidth="1"/>
    <col min="143" max="143" width="9.5" bestFit="1" customWidth="1"/>
  </cols>
  <sheetData>
    <row r="1" spans="1:144" x14ac:dyDescent="0.3">
      <c r="A1" s="6" t="s">
        <v>0</v>
      </c>
    </row>
    <row r="2" spans="1:144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4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  <c r="EM3" s="2" t="e">
        <v>#NUM!</v>
      </c>
    </row>
    <row r="4" spans="1:144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  <c r="EM4" s="2" t="e">
        <v>#NUM!</v>
      </c>
    </row>
    <row r="5" spans="1:144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  <c r="EM5" s="2" t="e">
        <v>#NUM!</v>
      </c>
    </row>
    <row r="6" spans="1:144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  <c r="EM6" s="2" t="e">
        <f t="array" ref="EM6">MATCH(MAX(ABS(EM3:EM5)), ABS(EM3:EM5), 0)</f>
        <v>#NUM!</v>
      </c>
    </row>
    <row r="7" spans="1:144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  <c r="EM7" s="2" t="e">
        <f t="shared" si="4"/>
        <v>#NUM!</v>
      </c>
    </row>
    <row r="8" spans="1:144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M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  <c r="EM8" s="2" t="e">
        <f t="shared" si="9"/>
        <v>#NUM!</v>
      </c>
    </row>
    <row r="10" spans="1:144" x14ac:dyDescent="0.3">
      <c r="A10" s="20" t="s">
        <v>147</v>
      </c>
      <c r="B10" s="21"/>
      <c r="C10" s="6" t="s">
        <v>148</v>
      </c>
      <c r="D10" s="6">
        <v>1051</v>
      </c>
    </row>
    <row r="11" spans="1:144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312</v>
      </c>
      <c r="EN11" s="6" t="s">
        <v>313</v>
      </c>
    </row>
    <row r="12" spans="1:144" x14ac:dyDescent="0.3">
      <c r="A12" s="18">
        <v>10</v>
      </c>
      <c r="B12" s="18">
        <f t="shared" ref="B12:B24" si="10">ROUND($D$10/A12,0)</f>
        <v>105</v>
      </c>
      <c r="C12" s="10">
        <f>IF(預測IC!C12&gt;預測IC!C$25,1,0)</f>
        <v>1</v>
      </c>
      <c r="D12" s="10">
        <f>IF(預測IC!D12&gt;預測IC!D$25,1,0)</f>
        <v>1</v>
      </c>
      <c r="E12" s="10">
        <f>IF(預測IC!E12&gt;預測IC!E$25,1,0)</f>
        <v>0</v>
      </c>
      <c r="F12" s="10">
        <f>IF(預測IC!F12&gt;預測IC!F$25,1,0)</f>
        <v>0</v>
      </c>
      <c r="G12" s="10">
        <f>IF(預測IC!G12&gt;預測IC!G$25,1,0)</f>
        <v>0</v>
      </c>
      <c r="H12" s="10">
        <f>IF(預測IC!H12&gt;預測IC!H$25,1,0)</f>
        <v>0</v>
      </c>
      <c r="I12" s="10">
        <f>IF(預測IC!I12&gt;預測IC!I$25,1,0)</f>
        <v>0</v>
      </c>
      <c r="J12" s="10">
        <f>IF(預測IC!J12&gt;預測IC!J$25,1,0)</f>
        <v>1</v>
      </c>
      <c r="K12" s="10">
        <f>IF(預測IC!K12&gt;預測IC!K$25,1,0)</f>
        <v>1</v>
      </c>
      <c r="L12" s="10">
        <f>IF(預測IC!L12&gt;預測IC!L$25,1,0)</f>
        <v>0</v>
      </c>
      <c r="M12" s="10">
        <f>IF(預測IC!M12&gt;預測IC!M$25,1,0)</f>
        <v>0</v>
      </c>
      <c r="N12" s="10">
        <f>IF(預測IC!N12&gt;預測IC!N$25,1,0)</f>
        <v>0</v>
      </c>
      <c r="O12" s="10">
        <f>IF(預測IC!O12&gt;預測IC!O$25,1,0)</f>
        <v>1</v>
      </c>
      <c r="P12" s="10">
        <f>IF(預測IC!P12&gt;預測IC!P$25,1,0)</f>
        <v>0</v>
      </c>
      <c r="Q12" s="10">
        <f>IF(預測IC!Q12&gt;預測IC!Q$25,1,0)</f>
        <v>1</v>
      </c>
      <c r="R12" s="10">
        <f>IF(預測IC!R12&gt;預測IC!R$25,1,0)</f>
        <v>0</v>
      </c>
      <c r="S12" s="10">
        <f>IF(預測IC!S12&gt;預測IC!S$25,1,0)</f>
        <v>1</v>
      </c>
      <c r="T12" s="10">
        <f>IF(預測IC!T12&gt;預測IC!T$25,1,0)</f>
        <v>1</v>
      </c>
      <c r="U12" s="10">
        <f>IF(預測IC!U12&gt;預測IC!U$25,1,0)</f>
        <v>1</v>
      </c>
      <c r="V12" s="10">
        <f>IF(預測IC!V12&gt;預測IC!V$25,1,0)</f>
        <v>1</v>
      </c>
      <c r="W12" s="10">
        <f>IF(預測IC!W12&gt;預測IC!W$25,1,0)</f>
        <v>1</v>
      </c>
      <c r="X12" s="10">
        <f>IF(預測IC!X12&gt;預測IC!X$25,1,0)</f>
        <v>0</v>
      </c>
      <c r="Y12" s="10">
        <f>IF(預測IC!Y12&gt;預測IC!Y$25,1,0)</f>
        <v>1</v>
      </c>
      <c r="Z12" s="10">
        <f>IF(預測IC!Z12&gt;預測IC!Z$25,1,0)</f>
        <v>1</v>
      </c>
      <c r="AA12" s="10">
        <f>IF(預測IC!AA12&gt;預測IC!AA$25,1,0)</f>
        <v>0</v>
      </c>
      <c r="AB12" s="10">
        <f>IF(預測IC!AB12&gt;預測IC!AB$25,1,0)</f>
        <v>0</v>
      </c>
      <c r="AC12" s="10">
        <f>IF(預測IC!AC12&gt;預測IC!AC$25,1,0)</f>
        <v>0</v>
      </c>
      <c r="AD12" s="10">
        <f>IF(預測IC!AD12&gt;預測IC!AD$25,1,0)</f>
        <v>1</v>
      </c>
      <c r="AE12" s="10">
        <f>IF(預測IC!AE12&gt;預測IC!AE$25,1,0)</f>
        <v>1</v>
      </c>
      <c r="AF12" s="10">
        <f>IF(預測IC!AF12&gt;預測IC!AF$25,1,0)</f>
        <v>0</v>
      </c>
      <c r="AG12" s="10">
        <f>IF(預測IC!AG12&gt;預測IC!AG$25,1,0)</f>
        <v>0</v>
      </c>
      <c r="AH12" s="10">
        <f>IF(預測IC!AH12&gt;預測IC!AH$25,1,0)</f>
        <v>0</v>
      </c>
      <c r="AI12" s="10">
        <f>IF(預測IC!AI12&gt;預測IC!AI$25,1,0)</f>
        <v>1</v>
      </c>
      <c r="AJ12" s="10">
        <f>IF(預測IC!AJ12&gt;預測IC!AJ$25,1,0)</f>
        <v>1</v>
      </c>
      <c r="AK12" s="10">
        <f>IF(預測IC!AK12&gt;預測IC!AK$25,1,0)</f>
        <v>1</v>
      </c>
      <c r="AL12" s="10">
        <f>IF(預測IC!AL12&gt;預測IC!AL$25,1,0)</f>
        <v>1</v>
      </c>
      <c r="AM12" s="10">
        <f>IF(預測IC!AM12&gt;預測IC!AM$25,1,0)</f>
        <v>0</v>
      </c>
      <c r="AN12" s="10">
        <f>IF(預測IC!AN12&gt;預測IC!AN$25,1,0)</f>
        <v>1</v>
      </c>
      <c r="AO12" s="10">
        <f>IF(預測IC!AO12&gt;預測IC!AO$25,1,0)</f>
        <v>1</v>
      </c>
      <c r="AP12" s="10">
        <f>IF(預測IC!AP12&gt;預測IC!AP$25,1,0)</f>
        <v>1</v>
      </c>
      <c r="AQ12" s="10">
        <f>IF(預測IC!AQ12&gt;預測IC!AQ$25,1,0)</f>
        <v>0</v>
      </c>
      <c r="AR12" s="10">
        <f>IF(預測IC!AR12&gt;預測IC!AR$25,1,0)</f>
        <v>1</v>
      </c>
      <c r="AS12" s="10">
        <f>IF(預測IC!AS12&gt;預測IC!AS$25,1,0)</f>
        <v>0</v>
      </c>
      <c r="AT12" s="10">
        <f>IF(預測IC!AT12&gt;預測IC!AT$25,1,0)</f>
        <v>1</v>
      </c>
      <c r="AU12" s="10">
        <f>IF(預測IC!AU12&gt;預測IC!AU$25,1,0)</f>
        <v>1</v>
      </c>
      <c r="AV12" s="10">
        <f>IF(預測IC!AV12&gt;預測IC!AV$25,1,0)</f>
        <v>0</v>
      </c>
      <c r="AW12" s="10">
        <f>IF(預測IC!AW12&gt;預測IC!AW$25,1,0)</f>
        <v>1</v>
      </c>
      <c r="AX12" s="10">
        <f>IF(預測IC!AX12&gt;預測IC!AX$25,1,0)</f>
        <v>1</v>
      </c>
      <c r="AY12" s="10">
        <f>IF(預測IC!AY12&gt;預測IC!AY$25,1,0)</f>
        <v>0</v>
      </c>
      <c r="AZ12" s="10">
        <f>IF(預測IC!AZ12&gt;預測IC!AZ$25,1,0)</f>
        <v>1</v>
      </c>
      <c r="BA12" s="10">
        <f>IF(預測IC!BA12&gt;預測IC!BA$25,1,0)</f>
        <v>1</v>
      </c>
      <c r="BB12" s="10">
        <f>IF(預測IC!BB12&gt;預測IC!BB$25,1,0)</f>
        <v>1</v>
      </c>
      <c r="BC12" s="10">
        <f>IF(預測IC!BC12&gt;預測IC!BC$25,1,0)</f>
        <v>0</v>
      </c>
      <c r="BD12" s="10">
        <f>IF(預測IC!BD12&gt;預測IC!BD$25,1,0)</f>
        <v>1</v>
      </c>
      <c r="BE12" s="10">
        <f>IF(預測IC!BE12&gt;預測IC!BE$25,1,0)</f>
        <v>0</v>
      </c>
      <c r="BF12" s="10">
        <f>IF(預測IC!BF12&gt;預測IC!BF$25,1,0)</f>
        <v>1</v>
      </c>
      <c r="BG12" s="10">
        <f>IF(預測IC!BG12&gt;預測IC!BG$25,1,0)</f>
        <v>1</v>
      </c>
      <c r="BH12" s="10">
        <f>IF(預測IC!BH12&gt;預測IC!BH$25,1,0)</f>
        <v>1</v>
      </c>
      <c r="BI12" s="10">
        <f>IF(預測IC!BI12&gt;預測IC!BI$25,1,0)</f>
        <v>1</v>
      </c>
      <c r="BJ12" s="10">
        <f>IF(預測IC!BJ12&gt;預測IC!BJ$25,1,0)</f>
        <v>1</v>
      </c>
      <c r="BK12" s="10">
        <f>IF(預測IC!BK12&gt;預測IC!BK$25,1,0)</f>
        <v>0</v>
      </c>
      <c r="BL12" s="10">
        <f>IF(預測IC!BL12&gt;預測IC!BL$25,1,0)</f>
        <v>0</v>
      </c>
      <c r="BM12" s="10">
        <f>IF(預測IC!BM12&gt;預測IC!BM$25,1,0)</f>
        <v>1</v>
      </c>
      <c r="BN12" s="10">
        <f>IF(預測IC!BN12&gt;預測IC!BN$25,1,0)</f>
        <v>0</v>
      </c>
      <c r="BO12" s="10">
        <f>IF(預測IC!BO12&gt;預測IC!BO$25,1,0)</f>
        <v>1</v>
      </c>
      <c r="BP12" s="10">
        <f>IF(預測IC!BP12&gt;預測IC!BP$25,1,0)</f>
        <v>0</v>
      </c>
      <c r="BQ12" s="10">
        <f>IF(預測IC!BQ12&gt;預測IC!BQ$25,1,0)</f>
        <v>1</v>
      </c>
      <c r="BR12" s="10">
        <f>IF(預測IC!BR12&gt;預測IC!BR$25,1,0)</f>
        <v>0</v>
      </c>
      <c r="BS12" s="10">
        <f>IF(預測IC!BS12&gt;預測IC!BS$25,1,0)</f>
        <v>0</v>
      </c>
      <c r="BT12" s="10">
        <f>IF(預測IC!BT12&gt;預測IC!BT$25,1,0)</f>
        <v>0</v>
      </c>
      <c r="BU12" s="10">
        <f>IF(預測IC!BU12&gt;預測IC!BU$25,1,0)</f>
        <v>0</v>
      </c>
      <c r="BV12" s="10">
        <f>IF(預測IC!BV12&gt;預測IC!BV$25,1,0)</f>
        <v>0</v>
      </c>
      <c r="BW12" s="10">
        <f>IF(預測IC!BW12&gt;預測IC!BW$25,1,0)</f>
        <v>1</v>
      </c>
      <c r="BX12" s="10">
        <f>IF(預測IC!BX12&gt;預測IC!BX$25,1,0)</f>
        <v>1</v>
      </c>
      <c r="BY12" s="10">
        <f>IF(預測IC!BY12&gt;預測IC!BY$25,1,0)</f>
        <v>1</v>
      </c>
      <c r="BZ12" s="10">
        <f>IF(預測IC!BZ12&gt;預測IC!BZ$25,1,0)</f>
        <v>0</v>
      </c>
      <c r="CA12" s="10">
        <f>IF(預測IC!CA12&gt;預測IC!CA$25,1,0)</f>
        <v>1</v>
      </c>
      <c r="CB12" s="10">
        <f>IF(預測IC!CB12&gt;預測IC!CB$25,1,0)</f>
        <v>0</v>
      </c>
      <c r="CC12" s="10">
        <f>IF(預測IC!CC12&gt;預測IC!CC$25,1,0)</f>
        <v>0</v>
      </c>
      <c r="CD12" s="10">
        <f>IF(預測IC!CD12&gt;預測IC!CD$25,1,0)</f>
        <v>1</v>
      </c>
      <c r="CE12" s="10">
        <f>IF(預測IC!CE12&gt;預測IC!CE$25,1,0)</f>
        <v>1</v>
      </c>
      <c r="CF12" s="10">
        <f>IF(預測IC!CF12&gt;預測IC!CF$25,1,0)</f>
        <v>0</v>
      </c>
      <c r="CG12" s="10">
        <f>IF(預測IC!CG12&gt;預測IC!CG$25,1,0)</f>
        <v>0</v>
      </c>
      <c r="CH12" s="10">
        <f>IF(預測IC!CH12&gt;預測IC!CH$25,1,0)</f>
        <v>0</v>
      </c>
      <c r="CI12" s="10">
        <f>IF(預測IC!CI12&gt;預測IC!CI$25,1,0)</f>
        <v>0</v>
      </c>
      <c r="CJ12" s="10">
        <f>IF(預測IC!CJ12&gt;預測IC!CJ$25,1,0)</f>
        <v>0</v>
      </c>
      <c r="CK12" s="10">
        <f>IF(預測IC!CK12&gt;預測IC!CK$25,1,0)</f>
        <v>1</v>
      </c>
      <c r="CL12" s="10">
        <f>IF(預測IC!CL12&gt;預測IC!CL$25,1,0)</f>
        <v>0</v>
      </c>
      <c r="CM12" s="10">
        <f>IF(預測IC!CM12&gt;預測IC!CM$25,1,0)</f>
        <v>0</v>
      </c>
      <c r="CN12" s="10">
        <f>IF(預測IC!CN12&gt;預測IC!CN$25,1,0)</f>
        <v>0</v>
      </c>
      <c r="CO12" s="10">
        <f>IF(預測IC!CO12&gt;預測IC!CO$25,1,0)</f>
        <v>1</v>
      </c>
      <c r="CP12" s="10">
        <f>IF(預測IC!CP12&gt;預測IC!CP$25,1,0)</f>
        <v>0</v>
      </c>
      <c r="CQ12" s="10">
        <f>IF(預測IC!CQ12&gt;預測IC!CQ$25,1,0)</f>
        <v>1</v>
      </c>
      <c r="CR12" s="10">
        <f>IF(預測IC!CR12&gt;預測IC!CR$25,1,0)</f>
        <v>1</v>
      </c>
      <c r="CS12" s="10">
        <f>IF(預測IC!CS12&gt;預測IC!CS$25,1,0)</f>
        <v>0</v>
      </c>
      <c r="CT12" s="10">
        <f>IF(預測IC!CT12&gt;預測IC!CT$25,1,0)</f>
        <v>0</v>
      </c>
      <c r="CU12" s="10">
        <f>IF(預測IC!CU12&gt;預測IC!CU$25,1,0)</f>
        <v>1</v>
      </c>
      <c r="CV12" s="10">
        <f>IF(預測IC!CV12&gt;預測IC!CV$25,1,0)</f>
        <v>0</v>
      </c>
      <c r="CW12" s="10">
        <f>IF(預測IC!CW12&gt;預測IC!CW$25,1,0)</f>
        <v>1</v>
      </c>
      <c r="CX12" s="10">
        <f>IF(預測IC!CX12&gt;預測IC!CX$25,1,0)</f>
        <v>1</v>
      </c>
      <c r="CY12" s="10">
        <f>IF(預測IC!CY12&gt;預測IC!CY$25,1,0)</f>
        <v>0</v>
      </c>
      <c r="CZ12" s="10">
        <f>IF(預測IC!CZ12&gt;預測IC!CZ$25,1,0)</f>
        <v>1</v>
      </c>
      <c r="DA12" s="10">
        <f>IF(預測IC!DA12&gt;預測IC!DA$25,1,0)</f>
        <v>1</v>
      </c>
      <c r="DB12" s="10">
        <f>IF(預測IC!DB12&gt;預測IC!DB$25,1,0)</f>
        <v>1</v>
      </c>
      <c r="DC12" s="10">
        <f>IF(預測IC!DC12&gt;預測IC!DC$25,1,0)</f>
        <v>1</v>
      </c>
      <c r="DD12" s="10">
        <f>IF(預測IC!DD12&gt;預測IC!DD$25,1,0)</f>
        <v>1</v>
      </c>
      <c r="DE12" s="10">
        <f>IF(預測IC!DE12&gt;預測IC!DE$25,1,0)</f>
        <v>0</v>
      </c>
      <c r="DF12" s="10">
        <f>IF(預測IC!DF12&gt;預測IC!DF$25,1,0)</f>
        <v>1</v>
      </c>
      <c r="DG12" s="10">
        <f>IF(預測IC!DG12&gt;預測IC!DG$25,1,0)</f>
        <v>0</v>
      </c>
      <c r="DH12" s="10">
        <f>IF(預測IC!DH12&gt;預測IC!DH$25,1,0)</f>
        <v>0</v>
      </c>
      <c r="DI12" s="10">
        <f>IF(預測IC!DI12&gt;預測IC!DI$25,1,0)</f>
        <v>1</v>
      </c>
      <c r="DJ12" s="10">
        <f>IF(預測IC!DJ12&gt;預測IC!DJ$25,1,0)</f>
        <v>1</v>
      </c>
      <c r="DK12" s="10">
        <f>IF(預測IC!DK12&gt;預測IC!DK$25,1,0)</f>
        <v>0</v>
      </c>
      <c r="DL12" s="10">
        <f>IF(預測IC!DL12&gt;預測IC!DL$25,1,0)</f>
        <v>0</v>
      </c>
      <c r="DM12" s="10">
        <f>IF(預測IC!DM12&gt;預測IC!DM$25,1,0)</f>
        <v>1</v>
      </c>
      <c r="DN12" s="10">
        <f>IF(預測IC!DN12&gt;預測IC!DN$25,1,0)</f>
        <v>1</v>
      </c>
      <c r="DO12" s="10">
        <f>IF(預測IC!DO12&gt;預測IC!DO$25,1,0)</f>
        <v>1</v>
      </c>
      <c r="DP12" s="10">
        <f>IF(預測IC!DP12&gt;預測IC!DP$25,1,0)</f>
        <v>1</v>
      </c>
      <c r="DQ12" s="10">
        <f>IF(預測IC!DQ12&gt;預測IC!DQ$25,1,0)</f>
        <v>0</v>
      </c>
      <c r="DR12" s="10">
        <f>IF(預測IC!DR12&gt;預測IC!DR$25,1,0)</f>
        <v>0</v>
      </c>
      <c r="DS12" s="10">
        <f>IF(預測IC!DS12&gt;預測IC!DS$25,1,0)</f>
        <v>0</v>
      </c>
      <c r="DT12" s="10">
        <f>IF(預測IC!DT12&gt;預測IC!DT$25,1,0)</f>
        <v>0</v>
      </c>
      <c r="DU12" s="10">
        <f>IF(預測IC!DU12&gt;預測IC!DU$25,1,0)</f>
        <v>0</v>
      </c>
      <c r="DV12" s="10">
        <f>IF(預測IC!DV12&gt;預測IC!DV$25,1,0)</f>
        <v>0</v>
      </c>
      <c r="DW12" s="10">
        <f>IF(預測IC!DW12&gt;預測IC!DW$25,1,0)</f>
        <v>0</v>
      </c>
      <c r="DX12" s="10">
        <f>IF(預測IC!DX12&gt;預測IC!DX$25,1,0)</f>
        <v>0</v>
      </c>
      <c r="DY12" s="10">
        <f>IF(預測IC!DY12&gt;預測IC!DY$25,1,0)</f>
        <v>1</v>
      </c>
      <c r="DZ12" s="10">
        <f>IF(預測IC!DZ12&gt;預測IC!DZ$25,1,0)</f>
        <v>0</v>
      </c>
      <c r="EA12" s="10">
        <f>IF(預測IC!EA12&gt;預測IC!EA$25,1,0)</f>
        <v>0</v>
      </c>
      <c r="EB12" s="10">
        <f>IF(預測IC!EB12&gt;預測IC!EB$25,1,0)</f>
        <v>1</v>
      </c>
      <c r="EC12" s="10">
        <f>IF(預測IC!EC12&gt;預測IC!EC$25,1,0)</f>
        <v>0</v>
      </c>
      <c r="ED12" s="10">
        <f>IF(預測IC!ED12&gt;預測IC!ED$25,1,0)</f>
        <v>0</v>
      </c>
      <c r="EE12" s="10">
        <f>IF(預測IC!EE12&gt;預測IC!EE$25,1,0)</f>
        <v>0</v>
      </c>
      <c r="EF12" s="10">
        <f>IF(預測IC!EF12&gt;預測IC!EF$25,1,0)</f>
        <v>1</v>
      </c>
      <c r="EG12" s="10">
        <f>IF(預測IC!EG12&gt;預測IC!EG$25,1,0)</f>
        <v>1</v>
      </c>
      <c r="EH12" s="10">
        <f>IF(預測IC!EH12&gt;預測IC!EH$25,1,0)</f>
        <v>1</v>
      </c>
      <c r="EI12" s="10">
        <f>IF(預測IC!EI12&gt;預測IC!EI$25,1,0)</f>
        <v>0</v>
      </c>
      <c r="EJ12" s="10">
        <f>IF(預測IC!EJ12&gt;預測IC!EJ$25,1,0)</f>
        <v>0</v>
      </c>
      <c r="EK12" s="10">
        <f>IF(預測IC!EK12&gt;預測IC!EK$25,1,0)</f>
        <v>0</v>
      </c>
      <c r="EL12" s="10">
        <f>IF(預測IC!EL12&gt;預測IC!EL$25,1,0)</f>
        <v>0</v>
      </c>
      <c r="EM12" s="6">
        <f t="shared" ref="EM12:EM24" si="11">SUM(C12:EL12)</f>
        <v>69</v>
      </c>
      <c r="EN12" s="19">
        <f t="shared" ref="EN12:EN24" si="12">EM12/140</f>
        <v>0.49285714285714288</v>
      </c>
    </row>
    <row r="13" spans="1:144" x14ac:dyDescent="0.3">
      <c r="A13" s="18">
        <v>20</v>
      </c>
      <c r="B13" s="18">
        <f t="shared" si="10"/>
        <v>53</v>
      </c>
      <c r="C13" s="10">
        <f>IF(預測IC!C13&gt;預測IC!C$25,1,0)</f>
        <v>1</v>
      </c>
      <c r="D13" s="10">
        <f>IF(預測IC!D13&gt;預測IC!D$25,1,0)</f>
        <v>1</v>
      </c>
      <c r="E13" s="10">
        <f>IF(預測IC!E13&gt;預測IC!E$25,1,0)</f>
        <v>0</v>
      </c>
      <c r="F13" s="10">
        <f>IF(預測IC!F13&gt;預測IC!F$25,1,0)</f>
        <v>1</v>
      </c>
      <c r="G13" s="10">
        <f>IF(預測IC!G13&gt;預測IC!G$25,1,0)</f>
        <v>0</v>
      </c>
      <c r="H13" s="10">
        <f>IF(預測IC!H13&gt;預測IC!H$25,1,0)</f>
        <v>0</v>
      </c>
      <c r="I13" s="10">
        <f>IF(預測IC!I13&gt;預測IC!I$25,1,0)</f>
        <v>0</v>
      </c>
      <c r="J13" s="10">
        <f>IF(預測IC!J13&gt;預測IC!J$25,1,0)</f>
        <v>1</v>
      </c>
      <c r="K13" s="10">
        <f>IF(預測IC!K13&gt;預測IC!K$25,1,0)</f>
        <v>1</v>
      </c>
      <c r="L13" s="10">
        <f>IF(預測IC!L13&gt;預測IC!L$25,1,0)</f>
        <v>1</v>
      </c>
      <c r="M13" s="10">
        <f>IF(預測IC!M13&gt;預測IC!M$25,1,0)</f>
        <v>0</v>
      </c>
      <c r="N13" s="10">
        <f>IF(預測IC!N13&gt;預測IC!N$25,1,0)</f>
        <v>0</v>
      </c>
      <c r="O13" s="10">
        <f>IF(預測IC!O13&gt;預測IC!O$25,1,0)</f>
        <v>1</v>
      </c>
      <c r="P13" s="10">
        <f>IF(預測IC!P13&gt;預測IC!P$25,1,0)</f>
        <v>0</v>
      </c>
      <c r="Q13" s="10">
        <f>IF(預測IC!Q13&gt;預測IC!Q$25,1,0)</f>
        <v>1</v>
      </c>
      <c r="R13" s="10">
        <f>IF(預測IC!R13&gt;預測IC!R$25,1,0)</f>
        <v>0</v>
      </c>
      <c r="S13" s="10">
        <f>IF(預測IC!S13&gt;預測IC!S$25,1,0)</f>
        <v>1</v>
      </c>
      <c r="T13" s="10">
        <f>IF(預測IC!T13&gt;預測IC!T$25,1,0)</f>
        <v>1</v>
      </c>
      <c r="U13" s="10">
        <f>IF(預測IC!U13&gt;預測IC!U$25,1,0)</f>
        <v>1</v>
      </c>
      <c r="V13" s="10">
        <f>IF(預測IC!V13&gt;預測IC!V$25,1,0)</f>
        <v>1</v>
      </c>
      <c r="W13" s="10">
        <f>IF(預測IC!W13&gt;預測IC!W$25,1,0)</f>
        <v>1</v>
      </c>
      <c r="X13" s="10">
        <f>IF(預測IC!X13&gt;預測IC!X$25,1,0)</f>
        <v>0</v>
      </c>
      <c r="Y13" s="10">
        <f>IF(預測IC!Y13&gt;預測IC!Y$25,1,0)</f>
        <v>0</v>
      </c>
      <c r="Z13" s="10">
        <f>IF(預測IC!Z13&gt;預測IC!Z$25,1,0)</f>
        <v>1</v>
      </c>
      <c r="AA13" s="10">
        <f>IF(預測IC!AA13&gt;預測IC!AA$25,1,0)</f>
        <v>1</v>
      </c>
      <c r="AB13" s="10">
        <f>IF(預測IC!AB13&gt;預測IC!AB$25,1,0)</f>
        <v>0</v>
      </c>
      <c r="AC13" s="10">
        <f>IF(預測IC!AC13&gt;預測IC!AC$25,1,0)</f>
        <v>0</v>
      </c>
      <c r="AD13" s="10">
        <f>IF(預測IC!AD13&gt;預測IC!AD$25,1,0)</f>
        <v>1</v>
      </c>
      <c r="AE13" s="10">
        <f>IF(預測IC!AE13&gt;預測IC!AE$25,1,0)</f>
        <v>1</v>
      </c>
      <c r="AF13" s="10">
        <f>IF(預測IC!AF13&gt;預測IC!AF$25,1,0)</f>
        <v>0</v>
      </c>
      <c r="AG13" s="10">
        <f>IF(預測IC!AG13&gt;預測IC!AG$25,1,0)</f>
        <v>0</v>
      </c>
      <c r="AH13" s="10">
        <f>IF(預測IC!AH13&gt;預測IC!AH$25,1,0)</f>
        <v>0</v>
      </c>
      <c r="AI13" s="10">
        <f>IF(預測IC!AI13&gt;預測IC!AI$25,1,0)</f>
        <v>1</v>
      </c>
      <c r="AJ13" s="10">
        <f>IF(預測IC!AJ13&gt;預測IC!AJ$25,1,0)</f>
        <v>1</v>
      </c>
      <c r="AK13" s="10">
        <f>IF(預測IC!AK13&gt;預測IC!AK$25,1,0)</f>
        <v>1</v>
      </c>
      <c r="AL13" s="10">
        <f>IF(預測IC!AL13&gt;預測IC!AL$25,1,0)</f>
        <v>1</v>
      </c>
      <c r="AM13" s="10">
        <f>IF(預測IC!AM13&gt;預測IC!AM$25,1,0)</f>
        <v>1</v>
      </c>
      <c r="AN13" s="10">
        <f>IF(預測IC!AN13&gt;預測IC!AN$25,1,0)</f>
        <v>1</v>
      </c>
      <c r="AO13" s="10">
        <f>IF(預測IC!AO13&gt;預測IC!AO$25,1,0)</f>
        <v>1</v>
      </c>
      <c r="AP13" s="10">
        <f>IF(預測IC!AP13&gt;預測IC!AP$25,1,0)</f>
        <v>1</v>
      </c>
      <c r="AQ13" s="10">
        <f>IF(預測IC!AQ13&gt;預測IC!AQ$25,1,0)</f>
        <v>0</v>
      </c>
      <c r="AR13" s="10">
        <f>IF(預測IC!AR13&gt;預測IC!AR$25,1,0)</f>
        <v>1</v>
      </c>
      <c r="AS13" s="10">
        <f>IF(預測IC!AS13&gt;預測IC!AS$25,1,0)</f>
        <v>1</v>
      </c>
      <c r="AT13" s="10">
        <f>IF(預測IC!AT13&gt;預測IC!AT$25,1,0)</f>
        <v>1</v>
      </c>
      <c r="AU13" s="10">
        <f>IF(預測IC!AU13&gt;預測IC!AU$25,1,0)</f>
        <v>1</v>
      </c>
      <c r="AV13" s="10">
        <f>IF(預測IC!AV13&gt;預測IC!AV$25,1,0)</f>
        <v>0</v>
      </c>
      <c r="AW13" s="10">
        <f>IF(預測IC!AW13&gt;預測IC!AW$25,1,0)</f>
        <v>0</v>
      </c>
      <c r="AX13" s="10">
        <f>IF(預測IC!AX13&gt;預測IC!AX$25,1,0)</f>
        <v>1</v>
      </c>
      <c r="AY13" s="10">
        <f>IF(預測IC!AY13&gt;預測IC!AY$25,1,0)</f>
        <v>0</v>
      </c>
      <c r="AZ13" s="10">
        <f>IF(預測IC!AZ13&gt;預測IC!AZ$25,1,0)</f>
        <v>0</v>
      </c>
      <c r="BA13" s="10">
        <f>IF(預測IC!BA13&gt;預測IC!BA$25,1,0)</f>
        <v>1</v>
      </c>
      <c r="BB13" s="10">
        <f>IF(預測IC!BB13&gt;預測IC!BB$25,1,0)</f>
        <v>1</v>
      </c>
      <c r="BC13" s="10">
        <f>IF(預測IC!BC13&gt;預測IC!BC$25,1,0)</f>
        <v>0</v>
      </c>
      <c r="BD13" s="10">
        <f>IF(預測IC!BD13&gt;預測IC!BD$25,1,0)</f>
        <v>1</v>
      </c>
      <c r="BE13" s="10">
        <f>IF(預測IC!BE13&gt;預測IC!BE$25,1,0)</f>
        <v>0</v>
      </c>
      <c r="BF13" s="10">
        <f>IF(預測IC!BF13&gt;預測IC!BF$25,1,0)</f>
        <v>1</v>
      </c>
      <c r="BG13" s="10">
        <f>IF(預測IC!BG13&gt;預測IC!BG$25,1,0)</f>
        <v>1</v>
      </c>
      <c r="BH13" s="10">
        <f>IF(預測IC!BH13&gt;預測IC!BH$25,1,0)</f>
        <v>1</v>
      </c>
      <c r="BI13" s="10">
        <f>IF(預測IC!BI13&gt;預測IC!BI$25,1,0)</f>
        <v>1</v>
      </c>
      <c r="BJ13" s="10">
        <f>IF(預測IC!BJ13&gt;預測IC!BJ$25,1,0)</f>
        <v>1</v>
      </c>
      <c r="BK13" s="10">
        <f>IF(預測IC!BK13&gt;預測IC!BK$25,1,0)</f>
        <v>0</v>
      </c>
      <c r="BL13" s="10">
        <f>IF(預測IC!BL13&gt;預測IC!BL$25,1,0)</f>
        <v>0</v>
      </c>
      <c r="BM13" s="10">
        <f>IF(預測IC!BM13&gt;預測IC!BM$25,1,0)</f>
        <v>1</v>
      </c>
      <c r="BN13" s="10">
        <f>IF(預測IC!BN13&gt;預測IC!BN$25,1,0)</f>
        <v>0</v>
      </c>
      <c r="BO13" s="10">
        <f>IF(預測IC!BO13&gt;預測IC!BO$25,1,0)</f>
        <v>1</v>
      </c>
      <c r="BP13" s="10">
        <f>IF(預測IC!BP13&gt;預測IC!BP$25,1,0)</f>
        <v>0</v>
      </c>
      <c r="BQ13" s="10">
        <f>IF(預測IC!BQ13&gt;預測IC!BQ$25,1,0)</f>
        <v>1</v>
      </c>
      <c r="BR13" s="10">
        <f>IF(預測IC!BR13&gt;預測IC!BR$25,1,0)</f>
        <v>0</v>
      </c>
      <c r="BS13" s="10">
        <f>IF(預測IC!BS13&gt;預測IC!BS$25,1,0)</f>
        <v>0</v>
      </c>
      <c r="BT13" s="10">
        <f>IF(預測IC!BT13&gt;預測IC!BT$25,1,0)</f>
        <v>0</v>
      </c>
      <c r="BU13" s="10">
        <f>IF(預測IC!BU13&gt;預測IC!BU$25,1,0)</f>
        <v>1</v>
      </c>
      <c r="BV13" s="10">
        <f>IF(預測IC!BV13&gt;預測IC!BV$25,1,0)</f>
        <v>0</v>
      </c>
      <c r="BW13" s="10">
        <f>IF(預測IC!BW13&gt;預測IC!BW$25,1,0)</f>
        <v>1</v>
      </c>
      <c r="BX13" s="10">
        <f>IF(預測IC!BX13&gt;預測IC!BX$25,1,0)</f>
        <v>1</v>
      </c>
      <c r="BY13" s="10">
        <f>IF(預測IC!BY13&gt;預測IC!BY$25,1,0)</f>
        <v>1</v>
      </c>
      <c r="BZ13" s="10">
        <f>IF(預測IC!BZ13&gt;預測IC!BZ$25,1,0)</f>
        <v>0</v>
      </c>
      <c r="CA13" s="10">
        <f>IF(預測IC!CA13&gt;預測IC!CA$25,1,0)</f>
        <v>1</v>
      </c>
      <c r="CB13" s="10">
        <f>IF(預測IC!CB13&gt;預測IC!CB$25,1,0)</f>
        <v>0</v>
      </c>
      <c r="CC13" s="10">
        <f>IF(預測IC!CC13&gt;預測IC!CC$25,1,0)</f>
        <v>0</v>
      </c>
      <c r="CD13" s="10">
        <f>IF(預測IC!CD13&gt;預測IC!CD$25,1,0)</f>
        <v>1</v>
      </c>
      <c r="CE13" s="10">
        <f>IF(預測IC!CE13&gt;預測IC!CE$25,1,0)</f>
        <v>1</v>
      </c>
      <c r="CF13" s="10">
        <f>IF(預測IC!CF13&gt;預測IC!CF$25,1,0)</f>
        <v>0</v>
      </c>
      <c r="CG13" s="10">
        <f>IF(預測IC!CG13&gt;預測IC!CG$25,1,0)</f>
        <v>0</v>
      </c>
      <c r="CH13" s="10">
        <f>IF(預測IC!CH13&gt;預測IC!CH$25,1,0)</f>
        <v>0</v>
      </c>
      <c r="CI13" s="10">
        <f>IF(預測IC!CI13&gt;預測IC!CI$25,1,0)</f>
        <v>0</v>
      </c>
      <c r="CJ13" s="10">
        <f>IF(預測IC!CJ13&gt;預測IC!CJ$25,1,0)</f>
        <v>0</v>
      </c>
      <c r="CK13" s="10">
        <f>IF(預測IC!CK13&gt;預測IC!CK$25,1,0)</f>
        <v>1</v>
      </c>
      <c r="CL13" s="10">
        <f>IF(預測IC!CL13&gt;預測IC!CL$25,1,0)</f>
        <v>0</v>
      </c>
      <c r="CM13" s="10">
        <f>IF(預測IC!CM13&gt;預測IC!CM$25,1,0)</f>
        <v>0</v>
      </c>
      <c r="CN13" s="10">
        <f>IF(預測IC!CN13&gt;預測IC!CN$25,1,0)</f>
        <v>0</v>
      </c>
      <c r="CO13" s="10">
        <f>IF(預測IC!CO13&gt;預測IC!CO$25,1,0)</f>
        <v>0</v>
      </c>
      <c r="CP13" s="10">
        <f>IF(預測IC!CP13&gt;預測IC!CP$25,1,0)</f>
        <v>0</v>
      </c>
      <c r="CQ13" s="10">
        <f>IF(預測IC!CQ13&gt;預測IC!CQ$25,1,0)</f>
        <v>1</v>
      </c>
      <c r="CR13" s="10">
        <f>IF(預測IC!CR13&gt;預測IC!CR$25,1,0)</f>
        <v>1</v>
      </c>
      <c r="CS13" s="10">
        <f>IF(預測IC!CS13&gt;預測IC!CS$25,1,0)</f>
        <v>0</v>
      </c>
      <c r="CT13" s="10">
        <f>IF(預測IC!CT13&gt;預測IC!CT$25,1,0)</f>
        <v>0</v>
      </c>
      <c r="CU13" s="10">
        <f>IF(預測IC!CU13&gt;預測IC!CU$25,1,0)</f>
        <v>1</v>
      </c>
      <c r="CV13" s="10">
        <f>IF(預測IC!CV13&gt;預測IC!CV$25,1,0)</f>
        <v>0</v>
      </c>
      <c r="CW13" s="10">
        <f>IF(預測IC!CW13&gt;預測IC!CW$25,1,0)</f>
        <v>1</v>
      </c>
      <c r="CX13" s="10">
        <f>IF(預測IC!CX13&gt;預測IC!CX$25,1,0)</f>
        <v>1</v>
      </c>
      <c r="CY13" s="10">
        <f>IF(預測IC!CY13&gt;預測IC!CY$25,1,0)</f>
        <v>0</v>
      </c>
      <c r="CZ13" s="10">
        <f>IF(預測IC!CZ13&gt;預測IC!CZ$25,1,0)</f>
        <v>1</v>
      </c>
      <c r="DA13" s="10">
        <f>IF(預測IC!DA13&gt;預測IC!DA$25,1,0)</f>
        <v>1</v>
      </c>
      <c r="DB13" s="10">
        <f>IF(預測IC!DB13&gt;預測IC!DB$25,1,0)</f>
        <v>1</v>
      </c>
      <c r="DC13" s="10">
        <f>IF(預測IC!DC13&gt;預測IC!DC$25,1,0)</f>
        <v>1</v>
      </c>
      <c r="DD13" s="10">
        <f>IF(預測IC!DD13&gt;預測IC!DD$25,1,0)</f>
        <v>1</v>
      </c>
      <c r="DE13" s="10">
        <f>IF(預測IC!DE13&gt;預測IC!DE$25,1,0)</f>
        <v>0</v>
      </c>
      <c r="DF13" s="10">
        <f>IF(預測IC!DF13&gt;預測IC!DF$25,1,0)</f>
        <v>1</v>
      </c>
      <c r="DG13" s="10">
        <f>IF(預測IC!DG13&gt;預測IC!DG$25,1,0)</f>
        <v>0</v>
      </c>
      <c r="DH13" s="10">
        <f>IF(預測IC!DH13&gt;預測IC!DH$25,1,0)</f>
        <v>0</v>
      </c>
      <c r="DI13" s="10">
        <f>IF(預測IC!DI13&gt;預測IC!DI$25,1,0)</f>
        <v>0</v>
      </c>
      <c r="DJ13" s="10">
        <f>IF(預測IC!DJ13&gt;預測IC!DJ$25,1,0)</f>
        <v>1</v>
      </c>
      <c r="DK13" s="10">
        <f>IF(預測IC!DK13&gt;預測IC!DK$25,1,0)</f>
        <v>0</v>
      </c>
      <c r="DL13" s="10">
        <f>IF(預測IC!DL13&gt;預測IC!DL$25,1,0)</f>
        <v>0</v>
      </c>
      <c r="DM13" s="10">
        <f>IF(預測IC!DM13&gt;預測IC!DM$25,1,0)</f>
        <v>1</v>
      </c>
      <c r="DN13" s="10">
        <f>IF(預測IC!DN13&gt;預測IC!DN$25,1,0)</f>
        <v>1</v>
      </c>
      <c r="DO13" s="10">
        <f>IF(預測IC!DO13&gt;預測IC!DO$25,1,0)</f>
        <v>1</v>
      </c>
      <c r="DP13" s="10">
        <f>IF(預測IC!DP13&gt;預測IC!DP$25,1,0)</f>
        <v>1</v>
      </c>
      <c r="DQ13" s="10">
        <f>IF(預測IC!DQ13&gt;預測IC!DQ$25,1,0)</f>
        <v>0</v>
      </c>
      <c r="DR13" s="10">
        <f>IF(預測IC!DR13&gt;預測IC!DR$25,1,0)</f>
        <v>0</v>
      </c>
      <c r="DS13" s="10">
        <f>IF(預測IC!DS13&gt;預測IC!DS$25,1,0)</f>
        <v>0</v>
      </c>
      <c r="DT13" s="10">
        <f>IF(預測IC!DT13&gt;預測IC!DT$25,1,0)</f>
        <v>0</v>
      </c>
      <c r="DU13" s="10">
        <f>IF(預測IC!DU13&gt;預測IC!DU$25,1,0)</f>
        <v>0</v>
      </c>
      <c r="DV13" s="10">
        <f>IF(預測IC!DV13&gt;預測IC!DV$25,1,0)</f>
        <v>0</v>
      </c>
      <c r="DW13" s="10">
        <f>IF(預測IC!DW13&gt;預測IC!DW$25,1,0)</f>
        <v>0</v>
      </c>
      <c r="DX13" s="10">
        <f>IF(預測IC!DX13&gt;預測IC!DX$25,1,0)</f>
        <v>0</v>
      </c>
      <c r="DY13" s="10">
        <f>IF(預測IC!DY13&gt;預測IC!DY$25,1,0)</f>
        <v>1</v>
      </c>
      <c r="DZ13" s="10">
        <f>IF(預測IC!DZ13&gt;預測IC!DZ$25,1,0)</f>
        <v>0</v>
      </c>
      <c r="EA13" s="10">
        <f>IF(預測IC!EA13&gt;預測IC!EA$25,1,0)</f>
        <v>0</v>
      </c>
      <c r="EB13" s="10">
        <f>IF(預測IC!EB13&gt;預測IC!EB$25,1,0)</f>
        <v>1</v>
      </c>
      <c r="EC13" s="10">
        <f>IF(預測IC!EC13&gt;預測IC!EC$25,1,0)</f>
        <v>1</v>
      </c>
      <c r="ED13" s="10">
        <f>IF(預測IC!ED13&gt;預測IC!ED$25,1,0)</f>
        <v>0</v>
      </c>
      <c r="EE13" s="10">
        <f>IF(預測IC!EE13&gt;預測IC!EE$25,1,0)</f>
        <v>0</v>
      </c>
      <c r="EF13" s="10">
        <f>IF(預測IC!EF13&gt;預測IC!EF$25,1,0)</f>
        <v>0</v>
      </c>
      <c r="EG13" s="10">
        <f>IF(預測IC!EG13&gt;預測IC!EG$25,1,0)</f>
        <v>1</v>
      </c>
      <c r="EH13" s="10">
        <f>IF(預測IC!EH13&gt;預測IC!EH$25,1,0)</f>
        <v>1</v>
      </c>
      <c r="EI13" s="10">
        <f>IF(預測IC!EI13&gt;預測IC!EI$25,1,0)</f>
        <v>0</v>
      </c>
      <c r="EJ13" s="10">
        <f>IF(預測IC!EJ13&gt;預測IC!EJ$25,1,0)</f>
        <v>1</v>
      </c>
      <c r="EK13" s="10">
        <f>IF(預測IC!EK13&gt;預測IC!EK$25,1,0)</f>
        <v>0</v>
      </c>
      <c r="EL13" s="10">
        <f>IF(預測IC!EL13&gt;預測IC!EL$25,1,0)</f>
        <v>1</v>
      </c>
      <c r="EM13" s="6">
        <f t="shared" si="11"/>
        <v>72</v>
      </c>
      <c r="EN13" s="19">
        <f t="shared" si="12"/>
        <v>0.51428571428571423</v>
      </c>
    </row>
    <row r="14" spans="1:144" x14ac:dyDescent="0.3">
      <c r="A14" s="18">
        <v>50</v>
      </c>
      <c r="B14" s="18">
        <f t="shared" si="10"/>
        <v>21</v>
      </c>
      <c r="C14" s="10">
        <f>IF(預測IC!C14&gt;預測IC!C$25,1,0)</f>
        <v>1</v>
      </c>
      <c r="D14" s="10">
        <f>IF(預測IC!D14&gt;預測IC!D$25,1,0)</f>
        <v>1</v>
      </c>
      <c r="E14" s="10">
        <f>IF(預測IC!E14&gt;預測IC!E$25,1,0)</f>
        <v>0</v>
      </c>
      <c r="F14" s="10">
        <f>IF(預測IC!F14&gt;預測IC!F$25,1,0)</f>
        <v>1</v>
      </c>
      <c r="G14" s="10">
        <f>IF(預測IC!G14&gt;預測IC!G$25,1,0)</f>
        <v>0</v>
      </c>
      <c r="H14" s="10">
        <f>IF(預測IC!H14&gt;預測IC!H$25,1,0)</f>
        <v>0</v>
      </c>
      <c r="I14" s="10">
        <f>IF(預測IC!I14&gt;預測IC!I$25,1,0)</f>
        <v>0</v>
      </c>
      <c r="J14" s="10">
        <f>IF(預測IC!J14&gt;預測IC!J$25,1,0)</f>
        <v>1</v>
      </c>
      <c r="K14" s="10">
        <f>IF(預測IC!K14&gt;預測IC!K$25,1,0)</f>
        <v>1</v>
      </c>
      <c r="L14" s="10">
        <f>IF(預測IC!L14&gt;預測IC!L$25,1,0)</f>
        <v>0</v>
      </c>
      <c r="M14" s="10">
        <f>IF(預測IC!M14&gt;預測IC!M$25,1,0)</f>
        <v>0</v>
      </c>
      <c r="N14" s="10">
        <f>IF(預測IC!N14&gt;預測IC!N$25,1,0)</f>
        <v>1</v>
      </c>
      <c r="O14" s="10">
        <f>IF(預測IC!O14&gt;預測IC!O$25,1,0)</f>
        <v>1</v>
      </c>
      <c r="P14" s="10">
        <f>IF(預測IC!P14&gt;預測IC!P$25,1,0)</f>
        <v>1</v>
      </c>
      <c r="Q14" s="10">
        <f>IF(預測IC!Q14&gt;預測IC!Q$25,1,0)</f>
        <v>1</v>
      </c>
      <c r="R14" s="10">
        <f>IF(預測IC!R14&gt;預測IC!R$25,1,0)</f>
        <v>0</v>
      </c>
      <c r="S14" s="10">
        <f>IF(預測IC!S14&gt;預測IC!S$25,1,0)</f>
        <v>1</v>
      </c>
      <c r="T14" s="10">
        <f>IF(預測IC!T14&gt;預測IC!T$25,1,0)</f>
        <v>1</v>
      </c>
      <c r="U14" s="10">
        <f>IF(預測IC!U14&gt;預測IC!U$25,1,0)</f>
        <v>1</v>
      </c>
      <c r="V14" s="10">
        <f>IF(預測IC!V14&gt;預測IC!V$25,1,0)</f>
        <v>1</v>
      </c>
      <c r="W14" s="10">
        <f>IF(預測IC!W14&gt;預測IC!W$25,1,0)</f>
        <v>1</v>
      </c>
      <c r="X14" s="10">
        <f>IF(預測IC!X14&gt;預測IC!X$25,1,0)</f>
        <v>1</v>
      </c>
      <c r="Y14" s="10">
        <f>IF(預測IC!Y14&gt;預測IC!Y$25,1,0)</f>
        <v>0</v>
      </c>
      <c r="Z14" s="10">
        <f>IF(預測IC!Z14&gt;預測IC!Z$25,1,0)</f>
        <v>1</v>
      </c>
      <c r="AA14" s="10">
        <f>IF(預測IC!AA14&gt;預測IC!AA$25,1,0)</f>
        <v>0</v>
      </c>
      <c r="AB14" s="10">
        <f>IF(預測IC!AB14&gt;預測IC!AB$25,1,0)</f>
        <v>0</v>
      </c>
      <c r="AC14" s="10">
        <f>IF(預測IC!AC14&gt;預測IC!AC$25,1,0)</f>
        <v>0</v>
      </c>
      <c r="AD14" s="10">
        <f>IF(預測IC!AD14&gt;預測IC!AD$25,1,0)</f>
        <v>1</v>
      </c>
      <c r="AE14" s="10">
        <f>IF(預測IC!AE14&gt;預測IC!AE$25,1,0)</f>
        <v>1</v>
      </c>
      <c r="AF14" s="10">
        <f>IF(預測IC!AF14&gt;預測IC!AF$25,1,0)</f>
        <v>0</v>
      </c>
      <c r="AG14" s="10">
        <f>IF(預測IC!AG14&gt;預測IC!AG$25,1,0)</f>
        <v>0</v>
      </c>
      <c r="AH14" s="10">
        <f>IF(預測IC!AH14&gt;預測IC!AH$25,1,0)</f>
        <v>1</v>
      </c>
      <c r="AI14" s="10">
        <f>IF(預測IC!AI14&gt;預測IC!AI$25,1,0)</f>
        <v>1</v>
      </c>
      <c r="AJ14" s="10">
        <f>IF(預測IC!AJ14&gt;預測IC!AJ$25,1,0)</f>
        <v>1</v>
      </c>
      <c r="AK14" s="10">
        <f>IF(預測IC!AK14&gt;預測IC!AK$25,1,0)</f>
        <v>1</v>
      </c>
      <c r="AL14" s="10">
        <f>IF(預測IC!AL14&gt;預測IC!AL$25,1,0)</f>
        <v>1</v>
      </c>
      <c r="AM14" s="10">
        <f>IF(預測IC!AM14&gt;預測IC!AM$25,1,0)</f>
        <v>1</v>
      </c>
      <c r="AN14" s="10">
        <f>IF(預測IC!AN14&gt;預測IC!AN$25,1,0)</f>
        <v>1</v>
      </c>
      <c r="AO14" s="10">
        <f>IF(預測IC!AO14&gt;預測IC!AO$25,1,0)</f>
        <v>1</v>
      </c>
      <c r="AP14" s="10">
        <f>IF(預測IC!AP14&gt;預測IC!AP$25,1,0)</f>
        <v>1</v>
      </c>
      <c r="AQ14" s="10">
        <f>IF(預測IC!AQ14&gt;預測IC!AQ$25,1,0)</f>
        <v>0</v>
      </c>
      <c r="AR14" s="10">
        <f>IF(預測IC!AR14&gt;預測IC!AR$25,1,0)</f>
        <v>1</v>
      </c>
      <c r="AS14" s="10">
        <f>IF(預測IC!AS14&gt;預測IC!AS$25,1,0)</f>
        <v>1</v>
      </c>
      <c r="AT14" s="10">
        <f>IF(預測IC!AT14&gt;預測IC!AT$25,1,0)</f>
        <v>1</v>
      </c>
      <c r="AU14" s="10">
        <f>IF(預測IC!AU14&gt;預測IC!AU$25,1,0)</f>
        <v>1</v>
      </c>
      <c r="AV14" s="10">
        <f>IF(預測IC!AV14&gt;預測IC!AV$25,1,0)</f>
        <v>0</v>
      </c>
      <c r="AW14" s="10">
        <f>IF(預測IC!AW14&gt;預測IC!AW$25,1,0)</f>
        <v>0</v>
      </c>
      <c r="AX14" s="10">
        <f>IF(預測IC!AX14&gt;預測IC!AX$25,1,0)</f>
        <v>1</v>
      </c>
      <c r="AY14" s="10">
        <f>IF(預測IC!AY14&gt;預測IC!AY$25,1,0)</f>
        <v>0</v>
      </c>
      <c r="AZ14" s="10">
        <f>IF(預測IC!AZ14&gt;預測IC!AZ$25,1,0)</f>
        <v>0</v>
      </c>
      <c r="BA14" s="10">
        <f>IF(預測IC!BA14&gt;預測IC!BA$25,1,0)</f>
        <v>1</v>
      </c>
      <c r="BB14" s="10">
        <f>IF(預測IC!BB14&gt;預測IC!BB$25,1,0)</f>
        <v>1</v>
      </c>
      <c r="BC14" s="10">
        <f>IF(預測IC!BC14&gt;預測IC!BC$25,1,0)</f>
        <v>0</v>
      </c>
      <c r="BD14" s="10">
        <f>IF(預測IC!BD14&gt;預測IC!BD$25,1,0)</f>
        <v>0</v>
      </c>
      <c r="BE14" s="10">
        <f>IF(預測IC!BE14&gt;預測IC!BE$25,1,0)</f>
        <v>0</v>
      </c>
      <c r="BF14" s="10">
        <f>IF(預測IC!BF14&gt;預測IC!BF$25,1,0)</f>
        <v>1</v>
      </c>
      <c r="BG14" s="10">
        <f>IF(預測IC!BG14&gt;預測IC!BG$25,1,0)</f>
        <v>1</v>
      </c>
      <c r="BH14" s="10">
        <f>IF(預測IC!BH14&gt;預測IC!BH$25,1,0)</f>
        <v>1</v>
      </c>
      <c r="BI14" s="10">
        <f>IF(預測IC!BI14&gt;預測IC!BI$25,1,0)</f>
        <v>1</v>
      </c>
      <c r="BJ14" s="10">
        <f>IF(預測IC!BJ14&gt;預測IC!BJ$25,1,0)</f>
        <v>1</v>
      </c>
      <c r="BK14" s="10">
        <f>IF(預測IC!BK14&gt;預測IC!BK$25,1,0)</f>
        <v>0</v>
      </c>
      <c r="BL14" s="10">
        <f>IF(預測IC!BL14&gt;預測IC!BL$25,1,0)</f>
        <v>0</v>
      </c>
      <c r="BM14" s="10">
        <f>IF(預測IC!BM14&gt;預測IC!BM$25,1,0)</f>
        <v>1</v>
      </c>
      <c r="BN14" s="10">
        <f>IF(預測IC!BN14&gt;預測IC!BN$25,1,0)</f>
        <v>0</v>
      </c>
      <c r="BO14" s="10">
        <f>IF(預測IC!BO14&gt;預測IC!BO$25,1,0)</f>
        <v>1</v>
      </c>
      <c r="BP14" s="10">
        <f>IF(預測IC!BP14&gt;預測IC!BP$25,1,0)</f>
        <v>0</v>
      </c>
      <c r="BQ14" s="10">
        <f>IF(預測IC!BQ14&gt;預測IC!BQ$25,1,0)</f>
        <v>0</v>
      </c>
      <c r="BR14" s="10">
        <f>IF(預測IC!BR14&gt;預測IC!BR$25,1,0)</f>
        <v>0</v>
      </c>
      <c r="BS14" s="10">
        <f>IF(預測IC!BS14&gt;預測IC!BS$25,1,0)</f>
        <v>0</v>
      </c>
      <c r="BT14" s="10">
        <f>IF(預測IC!BT14&gt;預測IC!BT$25,1,0)</f>
        <v>0</v>
      </c>
      <c r="BU14" s="10">
        <f>IF(預測IC!BU14&gt;預測IC!BU$25,1,0)</f>
        <v>1</v>
      </c>
      <c r="BV14" s="10">
        <f>IF(預測IC!BV14&gt;預測IC!BV$25,1,0)</f>
        <v>0</v>
      </c>
      <c r="BW14" s="10">
        <f>IF(預測IC!BW14&gt;預測IC!BW$25,1,0)</f>
        <v>1</v>
      </c>
      <c r="BX14" s="10">
        <f>IF(預測IC!BX14&gt;預測IC!BX$25,1,0)</f>
        <v>1</v>
      </c>
      <c r="BY14" s="10">
        <f>IF(預測IC!BY14&gt;預測IC!BY$25,1,0)</f>
        <v>1</v>
      </c>
      <c r="BZ14" s="10">
        <f>IF(預測IC!BZ14&gt;預測IC!BZ$25,1,0)</f>
        <v>0</v>
      </c>
      <c r="CA14" s="10">
        <f>IF(預測IC!CA14&gt;預測IC!CA$25,1,0)</f>
        <v>0</v>
      </c>
      <c r="CB14" s="10">
        <f>IF(預測IC!CB14&gt;預測IC!CB$25,1,0)</f>
        <v>0</v>
      </c>
      <c r="CC14" s="10">
        <f>IF(預測IC!CC14&gt;預測IC!CC$25,1,0)</f>
        <v>0</v>
      </c>
      <c r="CD14" s="10">
        <f>IF(預測IC!CD14&gt;預測IC!CD$25,1,0)</f>
        <v>1</v>
      </c>
      <c r="CE14" s="10">
        <f>IF(預測IC!CE14&gt;預測IC!CE$25,1,0)</f>
        <v>1</v>
      </c>
      <c r="CF14" s="10">
        <f>IF(預測IC!CF14&gt;預測IC!CF$25,1,0)</f>
        <v>0</v>
      </c>
      <c r="CG14" s="10">
        <f>IF(預測IC!CG14&gt;預測IC!CG$25,1,0)</f>
        <v>0</v>
      </c>
      <c r="CH14" s="10">
        <f>IF(預測IC!CH14&gt;預測IC!CH$25,1,0)</f>
        <v>0</v>
      </c>
      <c r="CI14" s="10">
        <f>IF(預測IC!CI14&gt;預測IC!CI$25,1,0)</f>
        <v>0</v>
      </c>
      <c r="CJ14" s="10">
        <f>IF(預測IC!CJ14&gt;預測IC!CJ$25,1,0)</f>
        <v>0</v>
      </c>
      <c r="CK14" s="10">
        <f>IF(預測IC!CK14&gt;預測IC!CK$25,1,0)</f>
        <v>1</v>
      </c>
      <c r="CL14" s="10">
        <f>IF(預測IC!CL14&gt;預測IC!CL$25,1,0)</f>
        <v>0</v>
      </c>
      <c r="CM14" s="10">
        <f>IF(預測IC!CM14&gt;預測IC!CM$25,1,0)</f>
        <v>0</v>
      </c>
      <c r="CN14" s="10">
        <f>IF(預測IC!CN14&gt;預測IC!CN$25,1,0)</f>
        <v>0</v>
      </c>
      <c r="CO14" s="10">
        <f>IF(預測IC!CO14&gt;預測IC!CO$25,1,0)</f>
        <v>0</v>
      </c>
      <c r="CP14" s="10">
        <f>IF(預測IC!CP14&gt;預測IC!CP$25,1,0)</f>
        <v>1</v>
      </c>
      <c r="CQ14" s="10">
        <f>IF(預測IC!CQ14&gt;預測IC!CQ$25,1,0)</f>
        <v>1</v>
      </c>
      <c r="CR14" s="10">
        <f>IF(預測IC!CR14&gt;預測IC!CR$25,1,0)</f>
        <v>0</v>
      </c>
      <c r="CS14" s="10">
        <f>IF(預測IC!CS14&gt;預測IC!CS$25,1,0)</f>
        <v>0</v>
      </c>
      <c r="CT14" s="10">
        <f>IF(預測IC!CT14&gt;預測IC!CT$25,1,0)</f>
        <v>0</v>
      </c>
      <c r="CU14" s="10">
        <f>IF(預測IC!CU14&gt;預測IC!CU$25,1,0)</f>
        <v>1</v>
      </c>
      <c r="CV14" s="10">
        <f>IF(預測IC!CV14&gt;預測IC!CV$25,1,0)</f>
        <v>0</v>
      </c>
      <c r="CW14" s="10">
        <f>IF(預測IC!CW14&gt;預測IC!CW$25,1,0)</f>
        <v>1</v>
      </c>
      <c r="CX14" s="10">
        <f>IF(預測IC!CX14&gt;預測IC!CX$25,1,0)</f>
        <v>1</v>
      </c>
      <c r="CY14" s="10">
        <f>IF(預測IC!CY14&gt;預測IC!CY$25,1,0)</f>
        <v>0</v>
      </c>
      <c r="CZ14" s="10">
        <f>IF(預測IC!CZ14&gt;預測IC!CZ$25,1,0)</f>
        <v>1</v>
      </c>
      <c r="DA14" s="10">
        <f>IF(預測IC!DA14&gt;預測IC!DA$25,1,0)</f>
        <v>0</v>
      </c>
      <c r="DB14" s="10">
        <f>IF(預測IC!DB14&gt;預測IC!DB$25,1,0)</f>
        <v>1</v>
      </c>
      <c r="DC14" s="10">
        <f>IF(預測IC!DC14&gt;預測IC!DC$25,1,0)</f>
        <v>1</v>
      </c>
      <c r="DD14" s="10">
        <f>IF(預測IC!DD14&gt;預測IC!DD$25,1,0)</f>
        <v>1</v>
      </c>
      <c r="DE14" s="10">
        <f>IF(預測IC!DE14&gt;預測IC!DE$25,1,0)</f>
        <v>0</v>
      </c>
      <c r="DF14" s="10">
        <f>IF(預測IC!DF14&gt;預測IC!DF$25,1,0)</f>
        <v>1</v>
      </c>
      <c r="DG14" s="10">
        <f>IF(預測IC!DG14&gt;預測IC!DG$25,1,0)</f>
        <v>1</v>
      </c>
      <c r="DH14" s="10">
        <f>IF(預測IC!DH14&gt;預測IC!DH$25,1,0)</f>
        <v>0</v>
      </c>
      <c r="DI14" s="10">
        <f>IF(預測IC!DI14&gt;預測IC!DI$25,1,0)</f>
        <v>1</v>
      </c>
      <c r="DJ14" s="10">
        <f>IF(預測IC!DJ14&gt;預測IC!DJ$25,1,0)</f>
        <v>1</v>
      </c>
      <c r="DK14" s="10">
        <f>IF(預測IC!DK14&gt;預測IC!DK$25,1,0)</f>
        <v>0</v>
      </c>
      <c r="DL14" s="10">
        <f>IF(預測IC!DL14&gt;預測IC!DL$25,1,0)</f>
        <v>1</v>
      </c>
      <c r="DM14" s="10">
        <f>IF(預測IC!DM14&gt;預測IC!DM$25,1,0)</f>
        <v>1</v>
      </c>
      <c r="DN14" s="10">
        <f>IF(預測IC!DN14&gt;預測IC!DN$25,1,0)</f>
        <v>1</v>
      </c>
      <c r="DO14" s="10">
        <f>IF(預測IC!DO14&gt;預測IC!DO$25,1,0)</f>
        <v>1</v>
      </c>
      <c r="DP14" s="10">
        <f>IF(預測IC!DP14&gt;預測IC!DP$25,1,0)</f>
        <v>1</v>
      </c>
      <c r="DQ14" s="10">
        <f>IF(預測IC!DQ14&gt;預測IC!DQ$25,1,0)</f>
        <v>0</v>
      </c>
      <c r="DR14" s="10">
        <f>IF(預測IC!DR14&gt;預測IC!DR$25,1,0)</f>
        <v>0</v>
      </c>
      <c r="DS14" s="10">
        <f>IF(預測IC!DS14&gt;預測IC!DS$25,1,0)</f>
        <v>0</v>
      </c>
      <c r="DT14" s="10">
        <f>IF(預測IC!DT14&gt;預測IC!DT$25,1,0)</f>
        <v>0</v>
      </c>
      <c r="DU14" s="10">
        <f>IF(預測IC!DU14&gt;預測IC!DU$25,1,0)</f>
        <v>0</v>
      </c>
      <c r="DV14" s="10">
        <f>IF(預測IC!DV14&gt;預測IC!DV$25,1,0)</f>
        <v>0</v>
      </c>
      <c r="DW14" s="10">
        <f>IF(預測IC!DW14&gt;預測IC!DW$25,1,0)</f>
        <v>0</v>
      </c>
      <c r="DX14" s="10">
        <f>IF(預測IC!DX14&gt;預測IC!DX$25,1,0)</f>
        <v>0</v>
      </c>
      <c r="DY14" s="10">
        <f>IF(預測IC!DY14&gt;預測IC!DY$25,1,0)</f>
        <v>0</v>
      </c>
      <c r="DZ14" s="10">
        <f>IF(預測IC!DZ14&gt;預測IC!DZ$25,1,0)</f>
        <v>0</v>
      </c>
      <c r="EA14" s="10">
        <f>IF(預測IC!EA14&gt;預測IC!EA$25,1,0)</f>
        <v>0</v>
      </c>
      <c r="EB14" s="10">
        <f>IF(預測IC!EB14&gt;預測IC!EB$25,1,0)</f>
        <v>1</v>
      </c>
      <c r="EC14" s="10">
        <f>IF(預測IC!EC14&gt;預測IC!EC$25,1,0)</f>
        <v>1</v>
      </c>
      <c r="ED14" s="10">
        <f>IF(預測IC!ED14&gt;預測IC!ED$25,1,0)</f>
        <v>0</v>
      </c>
      <c r="EE14" s="10">
        <f>IF(預測IC!EE14&gt;預測IC!EE$25,1,0)</f>
        <v>0</v>
      </c>
      <c r="EF14" s="10">
        <f>IF(預測IC!EF14&gt;預測IC!EF$25,1,0)</f>
        <v>1</v>
      </c>
      <c r="EG14" s="10">
        <f>IF(預測IC!EG14&gt;預測IC!EG$25,1,0)</f>
        <v>1</v>
      </c>
      <c r="EH14" s="10">
        <f>IF(預測IC!EH14&gt;預測IC!EH$25,1,0)</f>
        <v>1</v>
      </c>
      <c r="EI14" s="10">
        <f>IF(預測IC!EI14&gt;預測IC!EI$25,1,0)</f>
        <v>0</v>
      </c>
      <c r="EJ14" s="10">
        <f>IF(預測IC!EJ14&gt;預測IC!EJ$25,1,0)</f>
        <v>1</v>
      </c>
      <c r="EK14" s="10">
        <f>IF(預測IC!EK14&gt;預測IC!EK$25,1,0)</f>
        <v>1</v>
      </c>
      <c r="EL14" s="10">
        <f>IF(預測IC!EL14&gt;預測IC!EL$25,1,0)</f>
        <v>1</v>
      </c>
      <c r="EM14" s="6">
        <f t="shared" si="11"/>
        <v>74</v>
      </c>
      <c r="EN14" s="19">
        <f t="shared" si="12"/>
        <v>0.52857142857142858</v>
      </c>
    </row>
    <row r="15" spans="1:144" x14ac:dyDescent="0.3">
      <c r="A15" s="18">
        <v>110</v>
      </c>
      <c r="B15" s="18">
        <f t="shared" si="10"/>
        <v>10</v>
      </c>
      <c r="C15" s="10">
        <f>IF(預測IC!C15&gt;預測IC!C$25,1,0)</f>
        <v>1</v>
      </c>
      <c r="D15" s="10">
        <f>IF(預測IC!D15&gt;預測IC!D$25,1,0)</f>
        <v>1</v>
      </c>
      <c r="E15" s="10">
        <f>IF(預測IC!E15&gt;預測IC!E$25,1,0)</f>
        <v>0</v>
      </c>
      <c r="F15" s="10">
        <f>IF(預測IC!F15&gt;預測IC!F$25,1,0)</f>
        <v>1</v>
      </c>
      <c r="G15" s="10">
        <f>IF(預測IC!G15&gt;預測IC!G$25,1,0)</f>
        <v>0</v>
      </c>
      <c r="H15" s="10">
        <f>IF(預測IC!H15&gt;預測IC!H$25,1,0)</f>
        <v>0</v>
      </c>
      <c r="I15" s="10">
        <f>IF(預測IC!I15&gt;預測IC!I$25,1,0)</f>
        <v>0</v>
      </c>
      <c r="J15" s="10">
        <f>IF(預測IC!J15&gt;預測IC!J$25,1,0)</f>
        <v>1</v>
      </c>
      <c r="K15" s="10">
        <f>IF(預測IC!K15&gt;預測IC!K$25,1,0)</f>
        <v>1</v>
      </c>
      <c r="L15" s="10">
        <f>IF(預測IC!L15&gt;預測IC!L$25,1,0)</f>
        <v>0</v>
      </c>
      <c r="M15" s="10">
        <f>IF(預測IC!M15&gt;預測IC!M$25,1,0)</f>
        <v>0</v>
      </c>
      <c r="N15" s="10">
        <f>IF(預測IC!N15&gt;預測IC!N$25,1,0)</f>
        <v>1</v>
      </c>
      <c r="O15" s="10">
        <f>IF(預測IC!O15&gt;預測IC!O$25,1,0)</f>
        <v>1</v>
      </c>
      <c r="P15" s="10">
        <f>IF(預測IC!P15&gt;預測IC!P$25,1,0)</f>
        <v>1</v>
      </c>
      <c r="Q15" s="10">
        <f>IF(預測IC!Q15&gt;預測IC!Q$25,1,0)</f>
        <v>1</v>
      </c>
      <c r="R15" s="10">
        <f>IF(預測IC!R15&gt;預測IC!R$25,1,0)</f>
        <v>0</v>
      </c>
      <c r="S15" s="10">
        <f>IF(預測IC!S15&gt;預測IC!S$25,1,0)</f>
        <v>1</v>
      </c>
      <c r="T15" s="10">
        <f>IF(預測IC!T15&gt;預測IC!T$25,1,0)</f>
        <v>1</v>
      </c>
      <c r="U15" s="10">
        <f>IF(預測IC!U15&gt;預測IC!U$25,1,0)</f>
        <v>1</v>
      </c>
      <c r="V15" s="10">
        <f>IF(預測IC!V15&gt;預測IC!V$25,1,0)</f>
        <v>1</v>
      </c>
      <c r="W15" s="10">
        <f>IF(預測IC!W15&gt;預測IC!W$25,1,0)</f>
        <v>1</v>
      </c>
      <c r="X15" s="10">
        <f>IF(預測IC!X15&gt;預測IC!X$25,1,0)</f>
        <v>1</v>
      </c>
      <c r="Y15" s="10">
        <f>IF(預測IC!Y15&gt;預測IC!Y$25,1,0)</f>
        <v>0</v>
      </c>
      <c r="Z15" s="10">
        <f>IF(預測IC!Z15&gt;預測IC!Z$25,1,0)</f>
        <v>1</v>
      </c>
      <c r="AA15" s="10">
        <f>IF(預測IC!AA15&gt;預測IC!AA$25,1,0)</f>
        <v>0</v>
      </c>
      <c r="AB15" s="10">
        <f>IF(預測IC!AB15&gt;預測IC!AB$25,1,0)</f>
        <v>0</v>
      </c>
      <c r="AC15" s="10">
        <f>IF(預測IC!AC15&gt;預測IC!AC$25,1,0)</f>
        <v>0</v>
      </c>
      <c r="AD15" s="10">
        <f>IF(預測IC!AD15&gt;預測IC!AD$25,1,0)</f>
        <v>1</v>
      </c>
      <c r="AE15" s="10">
        <f>IF(預測IC!AE15&gt;預測IC!AE$25,1,0)</f>
        <v>1</v>
      </c>
      <c r="AF15" s="10">
        <f>IF(預測IC!AF15&gt;預測IC!AF$25,1,0)</f>
        <v>0</v>
      </c>
      <c r="AG15" s="10">
        <f>IF(預測IC!AG15&gt;預測IC!AG$25,1,0)</f>
        <v>0</v>
      </c>
      <c r="AH15" s="10">
        <f>IF(預測IC!AH15&gt;預測IC!AH$25,1,0)</f>
        <v>1</v>
      </c>
      <c r="AI15" s="10">
        <f>IF(預測IC!AI15&gt;預測IC!AI$25,1,0)</f>
        <v>1</v>
      </c>
      <c r="AJ15" s="10">
        <f>IF(預測IC!AJ15&gt;預測IC!AJ$25,1,0)</f>
        <v>1</v>
      </c>
      <c r="AK15" s="10">
        <f>IF(預測IC!AK15&gt;預測IC!AK$25,1,0)</f>
        <v>1</v>
      </c>
      <c r="AL15" s="10">
        <f>IF(預測IC!AL15&gt;預測IC!AL$25,1,0)</f>
        <v>1</v>
      </c>
      <c r="AM15" s="10">
        <f>IF(預測IC!AM15&gt;預測IC!AM$25,1,0)</f>
        <v>1</v>
      </c>
      <c r="AN15" s="10">
        <f>IF(預測IC!AN15&gt;預測IC!AN$25,1,0)</f>
        <v>1</v>
      </c>
      <c r="AO15" s="10">
        <f>IF(預測IC!AO15&gt;預測IC!AO$25,1,0)</f>
        <v>1</v>
      </c>
      <c r="AP15" s="10">
        <f>IF(預測IC!AP15&gt;預測IC!AP$25,1,0)</f>
        <v>1</v>
      </c>
      <c r="AQ15" s="10">
        <f>IF(預測IC!AQ15&gt;預測IC!AQ$25,1,0)</f>
        <v>0</v>
      </c>
      <c r="AR15" s="10">
        <f>IF(預測IC!AR15&gt;預測IC!AR$25,1,0)</f>
        <v>1</v>
      </c>
      <c r="AS15" s="10">
        <f>IF(預測IC!AS15&gt;預測IC!AS$25,1,0)</f>
        <v>1</v>
      </c>
      <c r="AT15" s="10">
        <f>IF(預測IC!AT15&gt;預測IC!AT$25,1,0)</f>
        <v>1</v>
      </c>
      <c r="AU15" s="10">
        <f>IF(預測IC!AU15&gt;預測IC!AU$25,1,0)</f>
        <v>1</v>
      </c>
      <c r="AV15" s="10">
        <f>IF(預測IC!AV15&gt;預測IC!AV$25,1,0)</f>
        <v>0</v>
      </c>
      <c r="AW15" s="10">
        <f>IF(預測IC!AW15&gt;預測IC!AW$25,1,0)</f>
        <v>0</v>
      </c>
      <c r="AX15" s="10">
        <f>IF(預測IC!AX15&gt;預測IC!AX$25,1,0)</f>
        <v>1</v>
      </c>
      <c r="AY15" s="10">
        <f>IF(預測IC!AY15&gt;預測IC!AY$25,1,0)</f>
        <v>0</v>
      </c>
      <c r="AZ15" s="10">
        <f>IF(預測IC!AZ15&gt;預測IC!AZ$25,1,0)</f>
        <v>0</v>
      </c>
      <c r="BA15" s="10">
        <f>IF(預測IC!BA15&gt;預測IC!BA$25,1,0)</f>
        <v>1</v>
      </c>
      <c r="BB15" s="10">
        <f>IF(預測IC!BB15&gt;預測IC!BB$25,1,0)</f>
        <v>1</v>
      </c>
      <c r="BC15" s="10">
        <f>IF(預測IC!BC15&gt;預測IC!BC$25,1,0)</f>
        <v>0</v>
      </c>
      <c r="BD15" s="10">
        <f>IF(預測IC!BD15&gt;預測IC!BD$25,1,0)</f>
        <v>0</v>
      </c>
      <c r="BE15" s="10">
        <f>IF(預測IC!BE15&gt;預測IC!BE$25,1,0)</f>
        <v>0</v>
      </c>
      <c r="BF15" s="10">
        <f>IF(預測IC!BF15&gt;預測IC!BF$25,1,0)</f>
        <v>1</v>
      </c>
      <c r="BG15" s="10">
        <f>IF(預測IC!BG15&gt;預測IC!BG$25,1,0)</f>
        <v>1</v>
      </c>
      <c r="BH15" s="10">
        <f>IF(預測IC!BH15&gt;預測IC!BH$25,1,0)</f>
        <v>1</v>
      </c>
      <c r="BI15" s="10">
        <f>IF(預測IC!BI15&gt;預測IC!BI$25,1,0)</f>
        <v>1</v>
      </c>
      <c r="BJ15" s="10">
        <f>IF(預測IC!BJ15&gt;預測IC!BJ$25,1,0)</f>
        <v>1</v>
      </c>
      <c r="BK15" s="10">
        <f>IF(預測IC!BK15&gt;預測IC!BK$25,1,0)</f>
        <v>0</v>
      </c>
      <c r="BL15" s="10">
        <f>IF(預測IC!BL15&gt;預測IC!BL$25,1,0)</f>
        <v>1</v>
      </c>
      <c r="BM15" s="10">
        <f>IF(預測IC!BM15&gt;預測IC!BM$25,1,0)</f>
        <v>1</v>
      </c>
      <c r="BN15" s="10">
        <f>IF(預測IC!BN15&gt;預測IC!BN$25,1,0)</f>
        <v>0</v>
      </c>
      <c r="BO15" s="10">
        <f>IF(預測IC!BO15&gt;預測IC!BO$25,1,0)</f>
        <v>1</v>
      </c>
      <c r="BP15" s="10">
        <f>IF(預測IC!BP15&gt;預測IC!BP$25,1,0)</f>
        <v>0</v>
      </c>
      <c r="BQ15" s="10">
        <f>IF(預測IC!BQ15&gt;預測IC!BQ$25,1,0)</f>
        <v>0</v>
      </c>
      <c r="BR15" s="10">
        <f>IF(預測IC!BR15&gt;預測IC!BR$25,1,0)</f>
        <v>0</v>
      </c>
      <c r="BS15" s="10">
        <f>IF(預測IC!BS15&gt;預測IC!BS$25,1,0)</f>
        <v>0</v>
      </c>
      <c r="BT15" s="10">
        <f>IF(預測IC!BT15&gt;預測IC!BT$25,1,0)</f>
        <v>0</v>
      </c>
      <c r="BU15" s="10">
        <f>IF(預測IC!BU15&gt;預測IC!BU$25,1,0)</f>
        <v>1</v>
      </c>
      <c r="BV15" s="10">
        <f>IF(預測IC!BV15&gt;預測IC!BV$25,1,0)</f>
        <v>0</v>
      </c>
      <c r="BW15" s="10">
        <f>IF(預測IC!BW15&gt;預測IC!BW$25,1,0)</f>
        <v>1</v>
      </c>
      <c r="BX15" s="10">
        <f>IF(預測IC!BX15&gt;預測IC!BX$25,1,0)</f>
        <v>1</v>
      </c>
      <c r="BY15" s="10">
        <f>IF(預測IC!BY15&gt;預測IC!BY$25,1,0)</f>
        <v>0</v>
      </c>
      <c r="BZ15" s="10">
        <f>IF(預測IC!BZ15&gt;預測IC!BZ$25,1,0)</f>
        <v>0</v>
      </c>
      <c r="CA15" s="10">
        <f>IF(預測IC!CA15&gt;預測IC!CA$25,1,0)</f>
        <v>0</v>
      </c>
      <c r="CB15" s="10">
        <f>IF(預測IC!CB15&gt;預測IC!CB$25,1,0)</f>
        <v>0</v>
      </c>
      <c r="CC15" s="10">
        <f>IF(預測IC!CC15&gt;預測IC!CC$25,1,0)</f>
        <v>0</v>
      </c>
      <c r="CD15" s="10">
        <f>IF(預測IC!CD15&gt;預測IC!CD$25,1,0)</f>
        <v>0</v>
      </c>
      <c r="CE15" s="10">
        <f>IF(預測IC!CE15&gt;預測IC!CE$25,1,0)</f>
        <v>1</v>
      </c>
      <c r="CF15" s="10">
        <f>IF(預測IC!CF15&gt;預測IC!CF$25,1,0)</f>
        <v>1</v>
      </c>
      <c r="CG15" s="10">
        <f>IF(預測IC!CG15&gt;預測IC!CG$25,1,0)</f>
        <v>0</v>
      </c>
      <c r="CH15" s="10">
        <f>IF(預測IC!CH15&gt;預測IC!CH$25,1,0)</f>
        <v>1</v>
      </c>
      <c r="CI15" s="10">
        <f>IF(預測IC!CI15&gt;預測IC!CI$25,1,0)</f>
        <v>0</v>
      </c>
      <c r="CJ15" s="10">
        <f>IF(預測IC!CJ15&gt;預測IC!CJ$25,1,0)</f>
        <v>0</v>
      </c>
      <c r="CK15" s="10">
        <f>IF(預測IC!CK15&gt;預測IC!CK$25,1,0)</f>
        <v>1</v>
      </c>
      <c r="CL15" s="10">
        <f>IF(預測IC!CL15&gt;預測IC!CL$25,1,0)</f>
        <v>1</v>
      </c>
      <c r="CM15" s="10">
        <f>IF(預測IC!CM15&gt;預測IC!CM$25,1,0)</f>
        <v>0</v>
      </c>
      <c r="CN15" s="10">
        <f>IF(預測IC!CN15&gt;預測IC!CN$25,1,0)</f>
        <v>0</v>
      </c>
      <c r="CO15" s="10">
        <f>IF(預測IC!CO15&gt;預測IC!CO$25,1,0)</f>
        <v>0</v>
      </c>
      <c r="CP15" s="10">
        <f>IF(預測IC!CP15&gt;預測IC!CP$25,1,0)</f>
        <v>1</v>
      </c>
      <c r="CQ15" s="10">
        <f>IF(預測IC!CQ15&gt;預測IC!CQ$25,1,0)</f>
        <v>1</v>
      </c>
      <c r="CR15" s="10">
        <f>IF(預測IC!CR15&gt;預測IC!CR$25,1,0)</f>
        <v>0</v>
      </c>
      <c r="CS15" s="10">
        <f>IF(預測IC!CS15&gt;預測IC!CS$25,1,0)</f>
        <v>0</v>
      </c>
      <c r="CT15" s="10">
        <f>IF(預測IC!CT15&gt;預測IC!CT$25,1,0)</f>
        <v>1</v>
      </c>
      <c r="CU15" s="10">
        <f>IF(預測IC!CU15&gt;預測IC!CU$25,1,0)</f>
        <v>1</v>
      </c>
      <c r="CV15" s="10">
        <f>IF(預測IC!CV15&gt;預測IC!CV$25,1,0)</f>
        <v>0</v>
      </c>
      <c r="CW15" s="10">
        <f>IF(預測IC!CW15&gt;預測IC!CW$25,1,0)</f>
        <v>1</v>
      </c>
      <c r="CX15" s="10">
        <f>IF(預測IC!CX15&gt;預測IC!CX$25,1,0)</f>
        <v>1</v>
      </c>
      <c r="CY15" s="10">
        <f>IF(預測IC!CY15&gt;預測IC!CY$25,1,0)</f>
        <v>0</v>
      </c>
      <c r="CZ15" s="10">
        <f>IF(預測IC!CZ15&gt;預測IC!CZ$25,1,0)</f>
        <v>1</v>
      </c>
      <c r="DA15" s="10">
        <f>IF(預測IC!DA15&gt;預測IC!DA$25,1,0)</f>
        <v>0</v>
      </c>
      <c r="DB15" s="10">
        <f>IF(預測IC!DB15&gt;預測IC!DB$25,1,0)</f>
        <v>1</v>
      </c>
      <c r="DC15" s="10">
        <f>IF(預測IC!DC15&gt;預測IC!DC$25,1,0)</f>
        <v>1</v>
      </c>
      <c r="DD15" s="10">
        <f>IF(預測IC!DD15&gt;預測IC!DD$25,1,0)</f>
        <v>1</v>
      </c>
      <c r="DE15" s="10">
        <f>IF(預測IC!DE15&gt;預測IC!DE$25,1,0)</f>
        <v>0</v>
      </c>
      <c r="DF15" s="10">
        <f>IF(預測IC!DF15&gt;預測IC!DF$25,1,0)</f>
        <v>0</v>
      </c>
      <c r="DG15" s="10">
        <f>IF(預測IC!DG15&gt;預測IC!DG$25,1,0)</f>
        <v>1</v>
      </c>
      <c r="DH15" s="10">
        <f>IF(預測IC!DH15&gt;預測IC!DH$25,1,0)</f>
        <v>0</v>
      </c>
      <c r="DI15" s="10">
        <f>IF(預測IC!DI15&gt;預測IC!DI$25,1,0)</f>
        <v>0</v>
      </c>
      <c r="DJ15" s="10">
        <f>IF(預測IC!DJ15&gt;預測IC!DJ$25,1,0)</f>
        <v>1</v>
      </c>
      <c r="DK15" s="10">
        <f>IF(預測IC!DK15&gt;預測IC!DK$25,1,0)</f>
        <v>0</v>
      </c>
      <c r="DL15" s="10">
        <f>IF(預測IC!DL15&gt;預測IC!DL$25,1,0)</f>
        <v>1</v>
      </c>
      <c r="DM15" s="10">
        <f>IF(預測IC!DM15&gt;預測IC!DM$25,1,0)</f>
        <v>0</v>
      </c>
      <c r="DN15" s="10">
        <f>IF(預測IC!DN15&gt;預測IC!DN$25,1,0)</f>
        <v>1</v>
      </c>
      <c r="DO15" s="10">
        <f>IF(預測IC!DO15&gt;預測IC!DO$25,1,0)</f>
        <v>1</v>
      </c>
      <c r="DP15" s="10">
        <f>IF(預測IC!DP15&gt;預測IC!DP$25,1,0)</f>
        <v>1</v>
      </c>
      <c r="DQ15" s="10">
        <f>IF(預測IC!DQ15&gt;預測IC!DQ$25,1,0)</f>
        <v>0</v>
      </c>
      <c r="DR15" s="10">
        <f>IF(預測IC!DR15&gt;預測IC!DR$25,1,0)</f>
        <v>0</v>
      </c>
      <c r="DS15" s="10">
        <f>IF(預測IC!DS15&gt;預測IC!DS$25,1,0)</f>
        <v>0</v>
      </c>
      <c r="DT15" s="10">
        <f>IF(預測IC!DT15&gt;預測IC!DT$25,1,0)</f>
        <v>0</v>
      </c>
      <c r="DU15" s="10">
        <f>IF(預測IC!DU15&gt;預測IC!DU$25,1,0)</f>
        <v>0</v>
      </c>
      <c r="DV15" s="10">
        <f>IF(預測IC!DV15&gt;預測IC!DV$25,1,0)</f>
        <v>0</v>
      </c>
      <c r="DW15" s="10">
        <f>IF(預測IC!DW15&gt;預測IC!DW$25,1,0)</f>
        <v>1</v>
      </c>
      <c r="DX15" s="10">
        <f>IF(預測IC!DX15&gt;預測IC!DX$25,1,0)</f>
        <v>0</v>
      </c>
      <c r="DY15" s="10">
        <f>IF(預測IC!DY15&gt;預測IC!DY$25,1,0)</f>
        <v>0</v>
      </c>
      <c r="DZ15" s="10">
        <f>IF(預測IC!DZ15&gt;預測IC!DZ$25,1,0)</f>
        <v>1</v>
      </c>
      <c r="EA15" s="10">
        <f>IF(預測IC!EA15&gt;預測IC!EA$25,1,0)</f>
        <v>0</v>
      </c>
      <c r="EB15" s="10">
        <f>IF(預測IC!EB15&gt;預測IC!EB$25,1,0)</f>
        <v>1</v>
      </c>
      <c r="EC15" s="10">
        <f>IF(預測IC!EC15&gt;預測IC!EC$25,1,0)</f>
        <v>1</v>
      </c>
      <c r="ED15" s="10">
        <f>IF(預測IC!ED15&gt;預測IC!ED$25,1,0)</f>
        <v>0</v>
      </c>
      <c r="EE15" s="10">
        <f>IF(預測IC!EE15&gt;預測IC!EE$25,1,0)</f>
        <v>0</v>
      </c>
      <c r="EF15" s="10">
        <f>IF(預測IC!EF15&gt;預測IC!EF$25,1,0)</f>
        <v>0</v>
      </c>
      <c r="EG15" s="10">
        <f>IF(預測IC!EG15&gt;預測IC!EG$25,1,0)</f>
        <v>0</v>
      </c>
      <c r="EH15" s="10">
        <f>IF(預測IC!EH15&gt;預測IC!EH$25,1,0)</f>
        <v>1</v>
      </c>
      <c r="EI15" s="10">
        <f>IF(預測IC!EI15&gt;預測IC!EI$25,1,0)</f>
        <v>0</v>
      </c>
      <c r="EJ15" s="10">
        <f>IF(預測IC!EJ15&gt;預測IC!EJ$25,1,0)</f>
        <v>1</v>
      </c>
      <c r="EK15" s="10">
        <f>IF(預測IC!EK15&gt;預測IC!EK$25,1,0)</f>
        <v>1</v>
      </c>
      <c r="EL15" s="10">
        <f>IF(預測IC!EL15&gt;預測IC!EL$25,1,0)</f>
        <v>1</v>
      </c>
      <c r="EM15" s="6">
        <f t="shared" si="11"/>
        <v>74</v>
      </c>
      <c r="EN15" s="19">
        <f t="shared" si="12"/>
        <v>0.52857142857142858</v>
      </c>
    </row>
    <row r="16" spans="1:144" x14ac:dyDescent="0.3">
      <c r="A16" s="18">
        <v>120</v>
      </c>
      <c r="B16" s="18">
        <f t="shared" si="10"/>
        <v>9</v>
      </c>
      <c r="C16" s="10">
        <f>IF(預測IC!C16&gt;預測IC!C$25,1,0)</f>
        <v>1</v>
      </c>
      <c r="D16" s="10">
        <f>IF(預測IC!D16&gt;預測IC!D$25,1,0)</f>
        <v>1</v>
      </c>
      <c r="E16" s="10">
        <f>IF(預測IC!E16&gt;預測IC!E$25,1,0)</f>
        <v>0</v>
      </c>
      <c r="F16" s="10">
        <f>IF(預測IC!F16&gt;預測IC!F$25,1,0)</f>
        <v>1</v>
      </c>
      <c r="G16" s="10">
        <f>IF(預測IC!G16&gt;預測IC!G$25,1,0)</f>
        <v>0</v>
      </c>
      <c r="H16" s="10">
        <f>IF(預測IC!H16&gt;預測IC!H$25,1,0)</f>
        <v>1</v>
      </c>
      <c r="I16" s="10">
        <f>IF(預測IC!I16&gt;預測IC!I$25,1,0)</f>
        <v>0</v>
      </c>
      <c r="J16" s="10">
        <f>IF(預測IC!J16&gt;預測IC!J$25,1,0)</f>
        <v>0</v>
      </c>
      <c r="K16" s="10">
        <f>IF(預測IC!K16&gt;預測IC!K$25,1,0)</f>
        <v>1</v>
      </c>
      <c r="L16" s="10">
        <f>IF(預測IC!L16&gt;預測IC!L$25,1,0)</f>
        <v>0</v>
      </c>
      <c r="M16" s="10">
        <f>IF(預測IC!M16&gt;預測IC!M$25,1,0)</f>
        <v>0</v>
      </c>
      <c r="N16" s="10">
        <f>IF(預測IC!N16&gt;預測IC!N$25,1,0)</f>
        <v>1</v>
      </c>
      <c r="O16" s="10">
        <f>IF(預測IC!O16&gt;預測IC!O$25,1,0)</f>
        <v>1</v>
      </c>
      <c r="P16" s="10">
        <f>IF(預測IC!P16&gt;預測IC!P$25,1,0)</f>
        <v>1</v>
      </c>
      <c r="Q16" s="10">
        <f>IF(預測IC!Q16&gt;預測IC!Q$25,1,0)</f>
        <v>1</v>
      </c>
      <c r="R16" s="10">
        <f>IF(預測IC!R16&gt;預測IC!R$25,1,0)</f>
        <v>1</v>
      </c>
      <c r="S16" s="10">
        <f>IF(預測IC!S16&gt;預測IC!S$25,1,0)</f>
        <v>1</v>
      </c>
      <c r="T16" s="10">
        <f>IF(預測IC!T16&gt;預測IC!T$25,1,0)</f>
        <v>1</v>
      </c>
      <c r="U16" s="10">
        <f>IF(預測IC!U16&gt;預測IC!U$25,1,0)</f>
        <v>1</v>
      </c>
      <c r="V16" s="10">
        <f>IF(預測IC!V16&gt;預測IC!V$25,1,0)</f>
        <v>0</v>
      </c>
      <c r="W16" s="10">
        <f>IF(預測IC!W16&gt;預測IC!W$25,1,0)</f>
        <v>1</v>
      </c>
      <c r="X16" s="10">
        <f>IF(預測IC!X16&gt;預測IC!X$25,1,0)</f>
        <v>1</v>
      </c>
      <c r="Y16" s="10">
        <f>IF(預測IC!Y16&gt;預測IC!Y$25,1,0)</f>
        <v>0</v>
      </c>
      <c r="Z16" s="10">
        <f>IF(預測IC!Z16&gt;預測IC!Z$25,1,0)</f>
        <v>1</v>
      </c>
      <c r="AA16" s="10">
        <f>IF(預測IC!AA16&gt;預測IC!AA$25,1,0)</f>
        <v>1</v>
      </c>
      <c r="AB16" s="10">
        <f>IF(預測IC!AB16&gt;預測IC!AB$25,1,0)</f>
        <v>0</v>
      </c>
      <c r="AC16" s="10">
        <f>IF(預測IC!AC16&gt;預測IC!AC$25,1,0)</f>
        <v>0</v>
      </c>
      <c r="AD16" s="10">
        <f>IF(預測IC!AD16&gt;預測IC!AD$25,1,0)</f>
        <v>1</v>
      </c>
      <c r="AE16" s="10">
        <f>IF(預測IC!AE16&gt;預測IC!AE$25,1,0)</f>
        <v>1</v>
      </c>
      <c r="AF16" s="10">
        <f>IF(預測IC!AF16&gt;預測IC!AF$25,1,0)</f>
        <v>0</v>
      </c>
      <c r="AG16" s="10">
        <f>IF(預測IC!AG16&gt;預測IC!AG$25,1,0)</f>
        <v>0</v>
      </c>
      <c r="AH16" s="10">
        <f>IF(預測IC!AH16&gt;預測IC!AH$25,1,0)</f>
        <v>0</v>
      </c>
      <c r="AI16" s="10">
        <f>IF(預測IC!AI16&gt;預測IC!AI$25,1,0)</f>
        <v>1</v>
      </c>
      <c r="AJ16" s="10">
        <f>IF(預測IC!AJ16&gt;預測IC!AJ$25,1,0)</f>
        <v>1</v>
      </c>
      <c r="AK16" s="10">
        <f>IF(預測IC!AK16&gt;預測IC!AK$25,1,0)</f>
        <v>1</v>
      </c>
      <c r="AL16" s="10">
        <f>IF(預測IC!AL16&gt;預測IC!AL$25,1,0)</f>
        <v>1</v>
      </c>
      <c r="AM16" s="10">
        <f>IF(預測IC!AM16&gt;預測IC!AM$25,1,0)</f>
        <v>1</v>
      </c>
      <c r="AN16" s="10">
        <f>IF(預測IC!AN16&gt;預測IC!AN$25,1,0)</f>
        <v>1</v>
      </c>
      <c r="AO16" s="10">
        <f>IF(預測IC!AO16&gt;預測IC!AO$25,1,0)</f>
        <v>1</v>
      </c>
      <c r="AP16" s="10">
        <f>IF(預測IC!AP16&gt;預測IC!AP$25,1,0)</f>
        <v>1</v>
      </c>
      <c r="AQ16" s="10">
        <f>IF(預測IC!AQ16&gt;預測IC!AQ$25,1,0)</f>
        <v>0</v>
      </c>
      <c r="AR16" s="10">
        <f>IF(預測IC!AR16&gt;預測IC!AR$25,1,0)</f>
        <v>1</v>
      </c>
      <c r="AS16" s="10">
        <f>IF(預測IC!AS16&gt;預測IC!AS$25,1,0)</f>
        <v>1</v>
      </c>
      <c r="AT16" s="10">
        <f>IF(預測IC!AT16&gt;預測IC!AT$25,1,0)</f>
        <v>1</v>
      </c>
      <c r="AU16" s="10">
        <f>IF(預測IC!AU16&gt;預測IC!AU$25,1,0)</f>
        <v>1</v>
      </c>
      <c r="AV16" s="10">
        <f>IF(預測IC!AV16&gt;預測IC!AV$25,1,0)</f>
        <v>0</v>
      </c>
      <c r="AW16" s="10">
        <f>IF(預測IC!AW16&gt;預測IC!AW$25,1,0)</f>
        <v>0</v>
      </c>
      <c r="AX16" s="10">
        <f>IF(預測IC!AX16&gt;預測IC!AX$25,1,0)</f>
        <v>1</v>
      </c>
      <c r="AY16" s="10">
        <f>IF(預測IC!AY16&gt;預測IC!AY$25,1,0)</f>
        <v>0</v>
      </c>
      <c r="AZ16" s="10">
        <f>IF(預測IC!AZ16&gt;預測IC!AZ$25,1,0)</f>
        <v>0</v>
      </c>
      <c r="BA16" s="10">
        <f>IF(預測IC!BA16&gt;預測IC!BA$25,1,0)</f>
        <v>1</v>
      </c>
      <c r="BB16" s="10">
        <f>IF(預測IC!BB16&gt;預測IC!BB$25,1,0)</f>
        <v>1</v>
      </c>
      <c r="BC16" s="10">
        <f>IF(預測IC!BC16&gt;預測IC!BC$25,1,0)</f>
        <v>0</v>
      </c>
      <c r="BD16" s="10">
        <f>IF(預測IC!BD16&gt;預測IC!BD$25,1,0)</f>
        <v>0</v>
      </c>
      <c r="BE16" s="10">
        <f>IF(預測IC!BE16&gt;預測IC!BE$25,1,0)</f>
        <v>0</v>
      </c>
      <c r="BF16" s="10">
        <f>IF(預測IC!BF16&gt;預測IC!BF$25,1,0)</f>
        <v>1</v>
      </c>
      <c r="BG16" s="10">
        <f>IF(預測IC!BG16&gt;預測IC!BG$25,1,0)</f>
        <v>1</v>
      </c>
      <c r="BH16" s="10">
        <f>IF(預測IC!BH16&gt;預測IC!BH$25,1,0)</f>
        <v>1</v>
      </c>
      <c r="BI16" s="10">
        <f>IF(預測IC!BI16&gt;預測IC!BI$25,1,0)</f>
        <v>1</v>
      </c>
      <c r="BJ16" s="10">
        <f>IF(預測IC!BJ16&gt;預測IC!BJ$25,1,0)</f>
        <v>1</v>
      </c>
      <c r="BK16" s="10">
        <f>IF(預測IC!BK16&gt;預測IC!BK$25,1,0)</f>
        <v>0</v>
      </c>
      <c r="BL16" s="10">
        <f>IF(預測IC!BL16&gt;預測IC!BL$25,1,0)</f>
        <v>1</v>
      </c>
      <c r="BM16" s="10">
        <f>IF(預測IC!BM16&gt;預測IC!BM$25,1,0)</f>
        <v>1</v>
      </c>
      <c r="BN16" s="10">
        <f>IF(預測IC!BN16&gt;預測IC!BN$25,1,0)</f>
        <v>0</v>
      </c>
      <c r="BO16" s="10">
        <f>IF(預測IC!BO16&gt;預測IC!BO$25,1,0)</f>
        <v>1</v>
      </c>
      <c r="BP16" s="10">
        <f>IF(預測IC!BP16&gt;預測IC!BP$25,1,0)</f>
        <v>0</v>
      </c>
      <c r="BQ16" s="10">
        <f>IF(預測IC!BQ16&gt;預測IC!BQ$25,1,0)</f>
        <v>1</v>
      </c>
      <c r="BR16" s="10">
        <f>IF(預測IC!BR16&gt;預測IC!BR$25,1,0)</f>
        <v>0</v>
      </c>
      <c r="BS16" s="10">
        <f>IF(預測IC!BS16&gt;預測IC!BS$25,1,0)</f>
        <v>0</v>
      </c>
      <c r="BT16" s="10">
        <f>IF(預測IC!BT16&gt;預測IC!BT$25,1,0)</f>
        <v>0</v>
      </c>
      <c r="BU16" s="10">
        <f>IF(預測IC!BU16&gt;預測IC!BU$25,1,0)</f>
        <v>1</v>
      </c>
      <c r="BV16" s="10">
        <f>IF(預測IC!BV16&gt;預測IC!BV$25,1,0)</f>
        <v>0</v>
      </c>
      <c r="BW16" s="10">
        <f>IF(預測IC!BW16&gt;預測IC!BW$25,1,0)</f>
        <v>1</v>
      </c>
      <c r="BX16" s="10">
        <f>IF(預測IC!BX16&gt;預測IC!BX$25,1,0)</f>
        <v>1</v>
      </c>
      <c r="BY16" s="10">
        <f>IF(預測IC!BY16&gt;預測IC!BY$25,1,0)</f>
        <v>0</v>
      </c>
      <c r="BZ16" s="10">
        <f>IF(預測IC!BZ16&gt;預測IC!BZ$25,1,0)</f>
        <v>0</v>
      </c>
      <c r="CA16" s="10">
        <f>IF(預測IC!CA16&gt;預測IC!CA$25,1,0)</f>
        <v>0</v>
      </c>
      <c r="CB16" s="10">
        <f>IF(預測IC!CB16&gt;預測IC!CB$25,1,0)</f>
        <v>0</v>
      </c>
      <c r="CC16" s="10">
        <f>IF(預測IC!CC16&gt;預測IC!CC$25,1,0)</f>
        <v>0</v>
      </c>
      <c r="CD16" s="10">
        <f>IF(預測IC!CD16&gt;預測IC!CD$25,1,0)</f>
        <v>0</v>
      </c>
      <c r="CE16" s="10">
        <f>IF(預測IC!CE16&gt;預測IC!CE$25,1,0)</f>
        <v>1</v>
      </c>
      <c r="CF16" s="10">
        <f>IF(預測IC!CF16&gt;預測IC!CF$25,1,0)</f>
        <v>1</v>
      </c>
      <c r="CG16" s="10">
        <f>IF(預測IC!CG16&gt;預測IC!CG$25,1,0)</f>
        <v>0</v>
      </c>
      <c r="CH16" s="10">
        <f>IF(預測IC!CH16&gt;預測IC!CH$25,1,0)</f>
        <v>1</v>
      </c>
      <c r="CI16" s="10">
        <f>IF(預測IC!CI16&gt;預測IC!CI$25,1,0)</f>
        <v>0</v>
      </c>
      <c r="CJ16" s="10">
        <f>IF(預測IC!CJ16&gt;預測IC!CJ$25,1,0)</f>
        <v>0</v>
      </c>
      <c r="CK16" s="10">
        <f>IF(預測IC!CK16&gt;預測IC!CK$25,1,0)</f>
        <v>1</v>
      </c>
      <c r="CL16" s="10">
        <f>IF(預測IC!CL16&gt;預測IC!CL$25,1,0)</f>
        <v>1</v>
      </c>
      <c r="CM16" s="10">
        <f>IF(預測IC!CM16&gt;預測IC!CM$25,1,0)</f>
        <v>0</v>
      </c>
      <c r="CN16" s="10">
        <f>IF(預測IC!CN16&gt;預測IC!CN$25,1,0)</f>
        <v>0</v>
      </c>
      <c r="CO16" s="10">
        <f>IF(預測IC!CO16&gt;預測IC!CO$25,1,0)</f>
        <v>0</v>
      </c>
      <c r="CP16" s="10">
        <f>IF(預測IC!CP16&gt;預測IC!CP$25,1,0)</f>
        <v>1</v>
      </c>
      <c r="CQ16" s="10">
        <f>IF(預測IC!CQ16&gt;預測IC!CQ$25,1,0)</f>
        <v>1</v>
      </c>
      <c r="CR16" s="10">
        <f>IF(預測IC!CR16&gt;預測IC!CR$25,1,0)</f>
        <v>1</v>
      </c>
      <c r="CS16" s="10">
        <f>IF(預測IC!CS16&gt;預測IC!CS$25,1,0)</f>
        <v>0</v>
      </c>
      <c r="CT16" s="10">
        <f>IF(預測IC!CT16&gt;預測IC!CT$25,1,0)</f>
        <v>1</v>
      </c>
      <c r="CU16" s="10">
        <f>IF(預測IC!CU16&gt;預測IC!CU$25,1,0)</f>
        <v>1</v>
      </c>
      <c r="CV16" s="10">
        <f>IF(預測IC!CV16&gt;預測IC!CV$25,1,0)</f>
        <v>0</v>
      </c>
      <c r="CW16" s="10">
        <f>IF(預測IC!CW16&gt;預測IC!CW$25,1,0)</f>
        <v>1</v>
      </c>
      <c r="CX16" s="10">
        <f>IF(預測IC!CX16&gt;預測IC!CX$25,1,0)</f>
        <v>1</v>
      </c>
      <c r="CY16" s="10">
        <f>IF(預測IC!CY16&gt;預測IC!CY$25,1,0)</f>
        <v>0</v>
      </c>
      <c r="CZ16" s="10">
        <f>IF(預測IC!CZ16&gt;預測IC!CZ$25,1,0)</f>
        <v>1</v>
      </c>
      <c r="DA16" s="10">
        <f>IF(預測IC!DA16&gt;預測IC!DA$25,1,0)</f>
        <v>0</v>
      </c>
      <c r="DB16" s="10">
        <f>IF(預測IC!DB16&gt;預測IC!DB$25,1,0)</f>
        <v>1</v>
      </c>
      <c r="DC16" s="10">
        <f>IF(預測IC!DC16&gt;預測IC!DC$25,1,0)</f>
        <v>1</v>
      </c>
      <c r="DD16" s="10">
        <f>IF(預測IC!DD16&gt;預測IC!DD$25,1,0)</f>
        <v>1</v>
      </c>
      <c r="DE16" s="10">
        <f>IF(預測IC!DE16&gt;預測IC!DE$25,1,0)</f>
        <v>0</v>
      </c>
      <c r="DF16" s="10">
        <f>IF(預測IC!DF16&gt;預測IC!DF$25,1,0)</f>
        <v>0</v>
      </c>
      <c r="DG16" s="10">
        <f>IF(預測IC!DG16&gt;預測IC!DG$25,1,0)</f>
        <v>1</v>
      </c>
      <c r="DH16" s="10">
        <f>IF(預測IC!DH16&gt;預測IC!DH$25,1,0)</f>
        <v>0</v>
      </c>
      <c r="DI16" s="10">
        <f>IF(預測IC!DI16&gt;預測IC!DI$25,1,0)</f>
        <v>0</v>
      </c>
      <c r="DJ16" s="10">
        <f>IF(預測IC!DJ16&gt;預測IC!DJ$25,1,0)</f>
        <v>1</v>
      </c>
      <c r="DK16" s="10">
        <f>IF(預測IC!DK16&gt;預測IC!DK$25,1,0)</f>
        <v>0</v>
      </c>
      <c r="DL16" s="10">
        <f>IF(預測IC!DL16&gt;預測IC!DL$25,1,0)</f>
        <v>1</v>
      </c>
      <c r="DM16" s="10">
        <f>IF(預測IC!DM16&gt;預測IC!DM$25,1,0)</f>
        <v>0</v>
      </c>
      <c r="DN16" s="10">
        <f>IF(預測IC!DN16&gt;預測IC!DN$25,1,0)</f>
        <v>1</v>
      </c>
      <c r="DO16" s="10">
        <f>IF(預測IC!DO16&gt;預測IC!DO$25,1,0)</f>
        <v>1</v>
      </c>
      <c r="DP16" s="10">
        <f>IF(預測IC!DP16&gt;預測IC!DP$25,1,0)</f>
        <v>1</v>
      </c>
      <c r="DQ16" s="10">
        <f>IF(預測IC!DQ16&gt;預測IC!DQ$25,1,0)</f>
        <v>0</v>
      </c>
      <c r="DR16" s="10">
        <f>IF(預測IC!DR16&gt;預測IC!DR$25,1,0)</f>
        <v>0</v>
      </c>
      <c r="DS16" s="10">
        <f>IF(預測IC!DS16&gt;預測IC!DS$25,1,0)</f>
        <v>0</v>
      </c>
      <c r="DT16" s="10">
        <f>IF(預測IC!DT16&gt;預測IC!DT$25,1,0)</f>
        <v>0</v>
      </c>
      <c r="DU16" s="10">
        <f>IF(預測IC!DU16&gt;預測IC!DU$25,1,0)</f>
        <v>0</v>
      </c>
      <c r="DV16" s="10">
        <f>IF(預測IC!DV16&gt;預測IC!DV$25,1,0)</f>
        <v>0</v>
      </c>
      <c r="DW16" s="10">
        <f>IF(預測IC!DW16&gt;預測IC!DW$25,1,0)</f>
        <v>1</v>
      </c>
      <c r="DX16" s="10">
        <f>IF(預測IC!DX16&gt;預測IC!DX$25,1,0)</f>
        <v>0</v>
      </c>
      <c r="DY16" s="10">
        <f>IF(預測IC!DY16&gt;預測IC!DY$25,1,0)</f>
        <v>0</v>
      </c>
      <c r="DZ16" s="10">
        <f>IF(預測IC!DZ16&gt;預測IC!DZ$25,1,0)</f>
        <v>0</v>
      </c>
      <c r="EA16" s="10">
        <f>IF(預測IC!EA16&gt;預測IC!EA$25,1,0)</f>
        <v>0</v>
      </c>
      <c r="EB16" s="10">
        <f>IF(預測IC!EB16&gt;預測IC!EB$25,1,0)</f>
        <v>1</v>
      </c>
      <c r="EC16" s="10">
        <f>IF(預測IC!EC16&gt;預測IC!EC$25,1,0)</f>
        <v>1</v>
      </c>
      <c r="ED16" s="10">
        <f>IF(預測IC!ED16&gt;預測IC!ED$25,1,0)</f>
        <v>0</v>
      </c>
      <c r="EE16" s="10">
        <f>IF(預測IC!EE16&gt;預測IC!EE$25,1,0)</f>
        <v>0</v>
      </c>
      <c r="EF16" s="10">
        <f>IF(預測IC!EF16&gt;預測IC!EF$25,1,0)</f>
        <v>0</v>
      </c>
      <c r="EG16" s="10">
        <f>IF(預測IC!EG16&gt;預測IC!EG$25,1,0)</f>
        <v>0</v>
      </c>
      <c r="EH16" s="10">
        <f>IF(預測IC!EH16&gt;預測IC!EH$25,1,0)</f>
        <v>1</v>
      </c>
      <c r="EI16" s="10">
        <f>IF(預測IC!EI16&gt;預測IC!EI$25,1,0)</f>
        <v>0</v>
      </c>
      <c r="EJ16" s="10">
        <f>IF(預測IC!EJ16&gt;預測IC!EJ$25,1,0)</f>
        <v>1</v>
      </c>
      <c r="EK16" s="10">
        <f>IF(預測IC!EK16&gt;預測IC!EK$25,1,0)</f>
        <v>1</v>
      </c>
      <c r="EL16" s="10">
        <f>IF(預測IC!EL16&gt;預測IC!EL$25,1,0)</f>
        <v>1</v>
      </c>
      <c r="EM16" s="6">
        <f t="shared" si="11"/>
        <v>75</v>
      </c>
      <c r="EN16" s="19">
        <f t="shared" si="12"/>
        <v>0.5357142857142857</v>
      </c>
    </row>
    <row r="17" spans="1:144" x14ac:dyDescent="0.3">
      <c r="A17" s="18">
        <v>130</v>
      </c>
      <c r="B17" s="18">
        <f t="shared" si="10"/>
        <v>8</v>
      </c>
      <c r="C17" s="10">
        <f>IF(預測IC!C17&gt;預測IC!C$25,1,0)</f>
        <v>1</v>
      </c>
      <c r="D17" s="10">
        <f>IF(預測IC!D17&gt;預測IC!D$25,1,0)</f>
        <v>1</v>
      </c>
      <c r="E17" s="10">
        <f>IF(預測IC!E17&gt;預測IC!E$25,1,0)</f>
        <v>0</v>
      </c>
      <c r="F17" s="10">
        <f>IF(預測IC!F17&gt;預測IC!F$25,1,0)</f>
        <v>1</v>
      </c>
      <c r="G17" s="10">
        <f>IF(預測IC!G17&gt;預測IC!G$25,1,0)</f>
        <v>0</v>
      </c>
      <c r="H17" s="10">
        <f>IF(預測IC!H17&gt;預測IC!H$25,1,0)</f>
        <v>0</v>
      </c>
      <c r="I17" s="10">
        <f>IF(預測IC!I17&gt;預測IC!I$25,1,0)</f>
        <v>1</v>
      </c>
      <c r="J17" s="10">
        <f>IF(預測IC!J17&gt;預測IC!J$25,1,0)</f>
        <v>1</v>
      </c>
      <c r="K17" s="10">
        <f>IF(預測IC!K17&gt;預測IC!K$25,1,0)</f>
        <v>1</v>
      </c>
      <c r="L17" s="10">
        <f>IF(預測IC!L17&gt;預測IC!L$25,1,0)</f>
        <v>0</v>
      </c>
      <c r="M17" s="10">
        <f>IF(預測IC!M17&gt;預測IC!M$25,1,0)</f>
        <v>0</v>
      </c>
      <c r="N17" s="10">
        <f>IF(預測IC!N17&gt;預測IC!N$25,1,0)</f>
        <v>1</v>
      </c>
      <c r="O17" s="10">
        <f>IF(預測IC!O17&gt;預測IC!O$25,1,0)</f>
        <v>1</v>
      </c>
      <c r="P17" s="10">
        <f>IF(預測IC!P17&gt;預測IC!P$25,1,0)</f>
        <v>1</v>
      </c>
      <c r="Q17" s="10">
        <f>IF(預測IC!Q17&gt;預測IC!Q$25,1,0)</f>
        <v>1</v>
      </c>
      <c r="R17" s="10">
        <f>IF(預測IC!R17&gt;預測IC!R$25,1,0)</f>
        <v>1</v>
      </c>
      <c r="S17" s="10">
        <f>IF(預測IC!S17&gt;預測IC!S$25,1,0)</f>
        <v>1</v>
      </c>
      <c r="T17" s="10">
        <f>IF(預測IC!T17&gt;預測IC!T$25,1,0)</f>
        <v>1</v>
      </c>
      <c r="U17" s="10">
        <f>IF(預測IC!U17&gt;預測IC!U$25,1,0)</f>
        <v>1</v>
      </c>
      <c r="V17" s="10">
        <f>IF(預測IC!V17&gt;預測IC!V$25,1,0)</f>
        <v>0</v>
      </c>
      <c r="W17" s="10">
        <f>IF(預測IC!W17&gt;預測IC!W$25,1,0)</f>
        <v>1</v>
      </c>
      <c r="X17" s="10">
        <f>IF(預測IC!X17&gt;預測IC!X$25,1,0)</f>
        <v>1</v>
      </c>
      <c r="Y17" s="10">
        <f>IF(預測IC!Y17&gt;預測IC!Y$25,1,0)</f>
        <v>0</v>
      </c>
      <c r="Z17" s="10">
        <f>IF(預測IC!Z17&gt;預測IC!Z$25,1,0)</f>
        <v>1</v>
      </c>
      <c r="AA17" s="10">
        <f>IF(預測IC!AA17&gt;預測IC!AA$25,1,0)</f>
        <v>0</v>
      </c>
      <c r="AB17" s="10">
        <f>IF(預測IC!AB17&gt;預測IC!AB$25,1,0)</f>
        <v>0</v>
      </c>
      <c r="AC17" s="10">
        <f>IF(預測IC!AC17&gt;預測IC!AC$25,1,0)</f>
        <v>0</v>
      </c>
      <c r="AD17" s="10">
        <f>IF(預測IC!AD17&gt;預測IC!AD$25,1,0)</f>
        <v>1</v>
      </c>
      <c r="AE17" s="10">
        <f>IF(預測IC!AE17&gt;預測IC!AE$25,1,0)</f>
        <v>1</v>
      </c>
      <c r="AF17" s="10">
        <f>IF(預測IC!AF17&gt;預測IC!AF$25,1,0)</f>
        <v>0</v>
      </c>
      <c r="AG17" s="10">
        <f>IF(預測IC!AG17&gt;預測IC!AG$25,1,0)</f>
        <v>0</v>
      </c>
      <c r="AH17" s="10">
        <f>IF(預測IC!AH17&gt;預測IC!AH$25,1,0)</f>
        <v>0</v>
      </c>
      <c r="AI17" s="10">
        <f>IF(預測IC!AI17&gt;預測IC!AI$25,1,0)</f>
        <v>1</v>
      </c>
      <c r="AJ17" s="10">
        <f>IF(預測IC!AJ17&gt;預測IC!AJ$25,1,0)</f>
        <v>1</v>
      </c>
      <c r="AK17" s="10">
        <f>IF(預測IC!AK17&gt;預測IC!AK$25,1,0)</f>
        <v>1</v>
      </c>
      <c r="AL17" s="10">
        <f>IF(預測IC!AL17&gt;預測IC!AL$25,1,0)</f>
        <v>1</v>
      </c>
      <c r="AM17" s="10">
        <f>IF(預測IC!AM17&gt;預測IC!AM$25,1,0)</f>
        <v>1</v>
      </c>
      <c r="AN17" s="10">
        <f>IF(預測IC!AN17&gt;預測IC!AN$25,1,0)</f>
        <v>1</v>
      </c>
      <c r="AO17" s="10">
        <f>IF(預測IC!AO17&gt;預測IC!AO$25,1,0)</f>
        <v>1</v>
      </c>
      <c r="AP17" s="10">
        <f>IF(預測IC!AP17&gt;預測IC!AP$25,1,0)</f>
        <v>1</v>
      </c>
      <c r="AQ17" s="10">
        <f>IF(預測IC!AQ17&gt;預測IC!AQ$25,1,0)</f>
        <v>0</v>
      </c>
      <c r="AR17" s="10">
        <f>IF(預測IC!AR17&gt;預測IC!AR$25,1,0)</f>
        <v>1</v>
      </c>
      <c r="AS17" s="10">
        <f>IF(預測IC!AS17&gt;預測IC!AS$25,1,0)</f>
        <v>1</v>
      </c>
      <c r="AT17" s="10">
        <f>IF(預測IC!AT17&gt;預測IC!AT$25,1,0)</f>
        <v>1</v>
      </c>
      <c r="AU17" s="10">
        <f>IF(預測IC!AU17&gt;預測IC!AU$25,1,0)</f>
        <v>1</v>
      </c>
      <c r="AV17" s="10">
        <f>IF(預測IC!AV17&gt;預測IC!AV$25,1,0)</f>
        <v>0</v>
      </c>
      <c r="AW17" s="10">
        <f>IF(預測IC!AW17&gt;預測IC!AW$25,1,0)</f>
        <v>0</v>
      </c>
      <c r="AX17" s="10">
        <f>IF(預測IC!AX17&gt;預測IC!AX$25,1,0)</f>
        <v>1</v>
      </c>
      <c r="AY17" s="10">
        <f>IF(預測IC!AY17&gt;預測IC!AY$25,1,0)</f>
        <v>0</v>
      </c>
      <c r="AZ17" s="10">
        <f>IF(預測IC!AZ17&gt;預測IC!AZ$25,1,0)</f>
        <v>1</v>
      </c>
      <c r="BA17" s="10">
        <f>IF(預測IC!BA17&gt;預測IC!BA$25,1,0)</f>
        <v>1</v>
      </c>
      <c r="BB17" s="10">
        <f>IF(預測IC!BB17&gt;預測IC!BB$25,1,0)</f>
        <v>1</v>
      </c>
      <c r="BC17" s="10">
        <f>IF(預測IC!BC17&gt;預測IC!BC$25,1,0)</f>
        <v>1</v>
      </c>
      <c r="BD17" s="10">
        <f>IF(預測IC!BD17&gt;預測IC!BD$25,1,0)</f>
        <v>0</v>
      </c>
      <c r="BE17" s="10">
        <f>IF(預測IC!BE17&gt;預測IC!BE$25,1,0)</f>
        <v>0</v>
      </c>
      <c r="BF17" s="10">
        <f>IF(預測IC!BF17&gt;預測IC!BF$25,1,0)</f>
        <v>1</v>
      </c>
      <c r="BG17" s="10">
        <f>IF(預測IC!BG17&gt;預測IC!BG$25,1,0)</f>
        <v>1</v>
      </c>
      <c r="BH17" s="10">
        <f>IF(預測IC!BH17&gt;預測IC!BH$25,1,0)</f>
        <v>1</v>
      </c>
      <c r="BI17" s="10">
        <f>IF(預測IC!BI17&gt;預測IC!BI$25,1,0)</f>
        <v>1</v>
      </c>
      <c r="BJ17" s="10">
        <f>IF(預測IC!BJ17&gt;預測IC!BJ$25,1,0)</f>
        <v>1</v>
      </c>
      <c r="BK17" s="10">
        <f>IF(預測IC!BK17&gt;預測IC!BK$25,1,0)</f>
        <v>0</v>
      </c>
      <c r="BL17" s="10">
        <f>IF(預測IC!BL17&gt;預測IC!BL$25,1,0)</f>
        <v>1</v>
      </c>
      <c r="BM17" s="10">
        <f>IF(預測IC!BM17&gt;預測IC!BM$25,1,0)</f>
        <v>1</v>
      </c>
      <c r="BN17" s="10">
        <f>IF(預測IC!BN17&gt;預測IC!BN$25,1,0)</f>
        <v>0</v>
      </c>
      <c r="BO17" s="10">
        <f>IF(預測IC!BO17&gt;預測IC!BO$25,1,0)</f>
        <v>1</v>
      </c>
      <c r="BP17" s="10">
        <f>IF(預測IC!BP17&gt;預測IC!BP$25,1,0)</f>
        <v>0</v>
      </c>
      <c r="BQ17" s="10">
        <f>IF(預測IC!BQ17&gt;預測IC!BQ$25,1,0)</f>
        <v>0</v>
      </c>
      <c r="BR17" s="10">
        <f>IF(預測IC!BR17&gt;預測IC!BR$25,1,0)</f>
        <v>0</v>
      </c>
      <c r="BS17" s="10">
        <f>IF(預測IC!BS17&gt;預測IC!BS$25,1,0)</f>
        <v>0</v>
      </c>
      <c r="BT17" s="10">
        <f>IF(預測IC!BT17&gt;預測IC!BT$25,1,0)</f>
        <v>0</v>
      </c>
      <c r="BU17" s="10">
        <f>IF(預測IC!BU17&gt;預測IC!BU$25,1,0)</f>
        <v>1</v>
      </c>
      <c r="BV17" s="10">
        <f>IF(預測IC!BV17&gt;預測IC!BV$25,1,0)</f>
        <v>1</v>
      </c>
      <c r="BW17" s="10">
        <f>IF(預測IC!BW17&gt;預測IC!BW$25,1,0)</f>
        <v>1</v>
      </c>
      <c r="BX17" s="10">
        <f>IF(預測IC!BX17&gt;預測IC!BX$25,1,0)</f>
        <v>1</v>
      </c>
      <c r="BY17" s="10">
        <f>IF(預測IC!BY17&gt;預測IC!BY$25,1,0)</f>
        <v>0</v>
      </c>
      <c r="BZ17" s="10">
        <f>IF(預測IC!BZ17&gt;預測IC!BZ$25,1,0)</f>
        <v>0</v>
      </c>
      <c r="CA17" s="10">
        <f>IF(預測IC!CA17&gt;預測IC!CA$25,1,0)</f>
        <v>0</v>
      </c>
      <c r="CB17" s="10">
        <f>IF(預測IC!CB17&gt;預測IC!CB$25,1,0)</f>
        <v>0</v>
      </c>
      <c r="CC17" s="10">
        <f>IF(預測IC!CC17&gt;預測IC!CC$25,1,0)</f>
        <v>0</v>
      </c>
      <c r="CD17" s="10">
        <f>IF(預測IC!CD17&gt;預測IC!CD$25,1,0)</f>
        <v>0</v>
      </c>
      <c r="CE17" s="10">
        <f>IF(預測IC!CE17&gt;預測IC!CE$25,1,0)</f>
        <v>1</v>
      </c>
      <c r="CF17" s="10">
        <f>IF(預測IC!CF17&gt;預測IC!CF$25,1,0)</f>
        <v>1</v>
      </c>
      <c r="CG17" s="10">
        <f>IF(預測IC!CG17&gt;預測IC!CG$25,1,0)</f>
        <v>0</v>
      </c>
      <c r="CH17" s="10">
        <f>IF(預測IC!CH17&gt;預測IC!CH$25,1,0)</f>
        <v>1</v>
      </c>
      <c r="CI17" s="10">
        <f>IF(預測IC!CI17&gt;預測IC!CI$25,1,0)</f>
        <v>0</v>
      </c>
      <c r="CJ17" s="10">
        <f>IF(預測IC!CJ17&gt;預測IC!CJ$25,1,0)</f>
        <v>0</v>
      </c>
      <c r="CK17" s="10">
        <f>IF(預測IC!CK17&gt;預測IC!CK$25,1,0)</f>
        <v>1</v>
      </c>
      <c r="CL17" s="10">
        <f>IF(預測IC!CL17&gt;預測IC!CL$25,1,0)</f>
        <v>1</v>
      </c>
      <c r="CM17" s="10">
        <f>IF(預測IC!CM17&gt;預測IC!CM$25,1,0)</f>
        <v>0</v>
      </c>
      <c r="CN17" s="10">
        <f>IF(預測IC!CN17&gt;預測IC!CN$25,1,0)</f>
        <v>0</v>
      </c>
      <c r="CO17" s="10">
        <f>IF(預測IC!CO17&gt;預測IC!CO$25,1,0)</f>
        <v>0</v>
      </c>
      <c r="CP17" s="10">
        <f>IF(預測IC!CP17&gt;預測IC!CP$25,1,0)</f>
        <v>1</v>
      </c>
      <c r="CQ17" s="10">
        <f>IF(預測IC!CQ17&gt;預測IC!CQ$25,1,0)</f>
        <v>1</v>
      </c>
      <c r="CR17" s="10">
        <f>IF(預測IC!CR17&gt;預測IC!CR$25,1,0)</f>
        <v>1</v>
      </c>
      <c r="CS17" s="10">
        <f>IF(預測IC!CS17&gt;預測IC!CS$25,1,0)</f>
        <v>0</v>
      </c>
      <c r="CT17" s="10">
        <f>IF(預測IC!CT17&gt;預測IC!CT$25,1,0)</f>
        <v>0</v>
      </c>
      <c r="CU17" s="10">
        <f>IF(預測IC!CU17&gt;預測IC!CU$25,1,0)</f>
        <v>1</v>
      </c>
      <c r="CV17" s="10">
        <f>IF(預測IC!CV17&gt;預測IC!CV$25,1,0)</f>
        <v>0</v>
      </c>
      <c r="CW17" s="10">
        <f>IF(預測IC!CW17&gt;預測IC!CW$25,1,0)</f>
        <v>1</v>
      </c>
      <c r="CX17" s="10">
        <f>IF(預測IC!CX17&gt;預測IC!CX$25,1,0)</f>
        <v>1</v>
      </c>
      <c r="CY17" s="10">
        <f>IF(預測IC!CY17&gt;預測IC!CY$25,1,0)</f>
        <v>0</v>
      </c>
      <c r="CZ17" s="10">
        <f>IF(預測IC!CZ17&gt;預測IC!CZ$25,1,0)</f>
        <v>1</v>
      </c>
      <c r="DA17" s="10">
        <f>IF(預測IC!DA17&gt;預測IC!DA$25,1,0)</f>
        <v>0</v>
      </c>
      <c r="DB17" s="10">
        <f>IF(預測IC!DB17&gt;預測IC!DB$25,1,0)</f>
        <v>1</v>
      </c>
      <c r="DC17" s="10">
        <f>IF(預測IC!DC17&gt;預測IC!DC$25,1,0)</f>
        <v>1</v>
      </c>
      <c r="DD17" s="10">
        <f>IF(預測IC!DD17&gt;預測IC!DD$25,1,0)</f>
        <v>1</v>
      </c>
      <c r="DE17" s="10">
        <f>IF(預測IC!DE17&gt;預測IC!DE$25,1,0)</f>
        <v>0</v>
      </c>
      <c r="DF17" s="10">
        <f>IF(預測IC!DF17&gt;預測IC!DF$25,1,0)</f>
        <v>0</v>
      </c>
      <c r="DG17" s="10">
        <f>IF(預測IC!DG17&gt;預測IC!DG$25,1,0)</f>
        <v>1</v>
      </c>
      <c r="DH17" s="10">
        <f>IF(預測IC!DH17&gt;預測IC!DH$25,1,0)</f>
        <v>0</v>
      </c>
      <c r="DI17" s="10">
        <f>IF(預測IC!DI17&gt;預測IC!DI$25,1,0)</f>
        <v>0</v>
      </c>
      <c r="DJ17" s="10">
        <f>IF(預測IC!DJ17&gt;預測IC!DJ$25,1,0)</f>
        <v>1</v>
      </c>
      <c r="DK17" s="10">
        <f>IF(預測IC!DK17&gt;預測IC!DK$25,1,0)</f>
        <v>0</v>
      </c>
      <c r="DL17" s="10">
        <f>IF(預測IC!DL17&gt;預測IC!DL$25,1,0)</f>
        <v>1</v>
      </c>
      <c r="DM17" s="10">
        <f>IF(預測IC!DM17&gt;預測IC!DM$25,1,0)</f>
        <v>0</v>
      </c>
      <c r="DN17" s="10">
        <f>IF(預測IC!DN17&gt;預測IC!DN$25,1,0)</f>
        <v>1</v>
      </c>
      <c r="DO17" s="10">
        <f>IF(預測IC!DO17&gt;預測IC!DO$25,1,0)</f>
        <v>1</v>
      </c>
      <c r="DP17" s="10">
        <f>IF(預測IC!DP17&gt;預測IC!DP$25,1,0)</f>
        <v>1</v>
      </c>
      <c r="DQ17" s="10">
        <f>IF(預測IC!DQ17&gt;預測IC!DQ$25,1,0)</f>
        <v>0</v>
      </c>
      <c r="DR17" s="10">
        <f>IF(預測IC!DR17&gt;預測IC!DR$25,1,0)</f>
        <v>0</v>
      </c>
      <c r="DS17" s="10">
        <f>IF(預測IC!DS17&gt;預測IC!DS$25,1,0)</f>
        <v>0</v>
      </c>
      <c r="DT17" s="10">
        <f>IF(預測IC!DT17&gt;預測IC!DT$25,1,0)</f>
        <v>0</v>
      </c>
      <c r="DU17" s="10">
        <f>IF(預測IC!DU17&gt;預測IC!DU$25,1,0)</f>
        <v>0</v>
      </c>
      <c r="DV17" s="10">
        <f>IF(預測IC!DV17&gt;預測IC!DV$25,1,0)</f>
        <v>0</v>
      </c>
      <c r="DW17" s="10">
        <f>IF(預測IC!DW17&gt;預測IC!DW$25,1,0)</f>
        <v>0</v>
      </c>
      <c r="DX17" s="10">
        <f>IF(預測IC!DX17&gt;預測IC!DX$25,1,0)</f>
        <v>0</v>
      </c>
      <c r="DY17" s="10">
        <f>IF(預測IC!DY17&gt;預測IC!DY$25,1,0)</f>
        <v>0</v>
      </c>
      <c r="DZ17" s="10">
        <f>IF(預測IC!DZ17&gt;預測IC!DZ$25,1,0)</f>
        <v>0</v>
      </c>
      <c r="EA17" s="10">
        <f>IF(預測IC!EA17&gt;預測IC!EA$25,1,0)</f>
        <v>0</v>
      </c>
      <c r="EB17" s="10">
        <f>IF(預測IC!EB17&gt;預測IC!EB$25,1,0)</f>
        <v>1</v>
      </c>
      <c r="EC17" s="10">
        <f>IF(預測IC!EC17&gt;預測IC!EC$25,1,0)</f>
        <v>1</v>
      </c>
      <c r="ED17" s="10">
        <f>IF(預測IC!ED17&gt;預測IC!ED$25,1,0)</f>
        <v>0</v>
      </c>
      <c r="EE17" s="10">
        <f>IF(預測IC!EE17&gt;預測IC!EE$25,1,0)</f>
        <v>0</v>
      </c>
      <c r="EF17" s="10">
        <f>IF(預測IC!EF17&gt;預測IC!EF$25,1,0)</f>
        <v>0</v>
      </c>
      <c r="EG17" s="10">
        <f>IF(預測IC!EG17&gt;預測IC!EG$25,1,0)</f>
        <v>0</v>
      </c>
      <c r="EH17" s="10">
        <f>IF(預測IC!EH17&gt;預測IC!EH$25,1,0)</f>
        <v>1</v>
      </c>
      <c r="EI17" s="10">
        <f>IF(預測IC!EI17&gt;預測IC!EI$25,1,0)</f>
        <v>0</v>
      </c>
      <c r="EJ17" s="10">
        <f>IF(預測IC!EJ17&gt;預測IC!EJ$25,1,0)</f>
        <v>0</v>
      </c>
      <c r="EK17" s="10">
        <f>IF(預測IC!EK17&gt;預測IC!EK$25,1,0)</f>
        <v>1</v>
      </c>
      <c r="EL17" s="10">
        <f>IF(預測IC!EL17&gt;預測IC!EL$25,1,0)</f>
        <v>1</v>
      </c>
      <c r="EM17" s="6">
        <f t="shared" si="11"/>
        <v>74</v>
      </c>
      <c r="EN17" s="19">
        <f t="shared" si="12"/>
        <v>0.52857142857142858</v>
      </c>
    </row>
    <row r="18" spans="1:144" x14ac:dyDescent="0.3">
      <c r="A18" s="18">
        <v>150</v>
      </c>
      <c r="B18" s="18">
        <f t="shared" si="10"/>
        <v>7</v>
      </c>
      <c r="C18" s="10">
        <f>IF(預測IC!C18&gt;預測IC!C$25,1,0)</f>
        <v>1</v>
      </c>
      <c r="D18" s="10">
        <f>IF(預測IC!D18&gt;預測IC!D$25,1,0)</f>
        <v>1</v>
      </c>
      <c r="E18" s="10">
        <f>IF(預測IC!E18&gt;預測IC!E$25,1,0)</f>
        <v>0</v>
      </c>
      <c r="F18" s="10">
        <f>IF(預測IC!F18&gt;預測IC!F$25,1,0)</f>
        <v>1</v>
      </c>
      <c r="G18" s="10">
        <f>IF(預測IC!G18&gt;預測IC!G$25,1,0)</f>
        <v>0</v>
      </c>
      <c r="H18" s="10">
        <f>IF(預測IC!H18&gt;預測IC!H$25,1,0)</f>
        <v>0</v>
      </c>
      <c r="I18" s="10">
        <f>IF(預測IC!I18&gt;預測IC!I$25,1,0)</f>
        <v>1</v>
      </c>
      <c r="J18" s="10">
        <f>IF(預測IC!J18&gt;預測IC!J$25,1,0)</f>
        <v>1</v>
      </c>
      <c r="K18" s="10">
        <f>IF(預測IC!K18&gt;預測IC!K$25,1,0)</f>
        <v>1</v>
      </c>
      <c r="L18" s="10">
        <f>IF(預測IC!L18&gt;預測IC!L$25,1,0)</f>
        <v>1</v>
      </c>
      <c r="M18" s="10">
        <f>IF(預測IC!M18&gt;預測IC!M$25,1,0)</f>
        <v>0</v>
      </c>
      <c r="N18" s="10">
        <f>IF(預測IC!N18&gt;預測IC!N$25,1,0)</f>
        <v>1</v>
      </c>
      <c r="O18" s="10">
        <f>IF(預測IC!O18&gt;預測IC!O$25,1,0)</f>
        <v>1</v>
      </c>
      <c r="P18" s="10">
        <f>IF(預測IC!P18&gt;預測IC!P$25,1,0)</f>
        <v>1</v>
      </c>
      <c r="Q18" s="10">
        <f>IF(預測IC!Q18&gt;預測IC!Q$25,1,0)</f>
        <v>1</v>
      </c>
      <c r="R18" s="10">
        <f>IF(預測IC!R18&gt;預測IC!R$25,1,0)</f>
        <v>0</v>
      </c>
      <c r="S18" s="10">
        <f>IF(預測IC!S18&gt;預測IC!S$25,1,0)</f>
        <v>1</v>
      </c>
      <c r="T18" s="10">
        <f>IF(預測IC!T18&gt;預測IC!T$25,1,0)</f>
        <v>1</v>
      </c>
      <c r="U18" s="10">
        <f>IF(預測IC!U18&gt;預測IC!U$25,1,0)</f>
        <v>1</v>
      </c>
      <c r="V18" s="10">
        <f>IF(預測IC!V18&gt;預測IC!V$25,1,0)</f>
        <v>1</v>
      </c>
      <c r="W18" s="10">
        <f>IF(預測IC!W18&gt;預測IC!W$25,1,0)</f>
        <v>1</v>
      </c>
      <c r="X18" s="10">
        <f>IF(預測IC!X18&gt;預測IC!X$25,1,0)</f>
        <v>1</v>
      </c>
      <c r="Y18" s="10">
        <f>IF(預測IC!Y18&gt;預測IC!Y$25,1,0)</f>
        <v>0</v>
      </c>
      <c r="Z18" s="10">
        <f>IF(預測IC!Z18&gt;預測IC!Z$25,1,0)</f>
        <v>1</v>
      </c>
      <c r="AA18" s="10">
        <f>IF(預測IC!AA18&gt;預測IC!AA$25,1,0)</f>
        <v>0</v>
      </c>
      <c r="AB18" s="10">
        <f>IF(預測IC!AB18&gt;預測IC!AB$25,1,0)</f>
        <v>0</v>
      </c>
      <c r="AC18" s="10">
        <f>IF(預測IC!AC18&gt;預測IC!AC$25,1,0)</f>
        <v>1</v>
      </c>
      <c r="AD18" s="10">
        <f>IF(預測IC!AD18&gt;預測IC!AD$25,1,0)</f>
        <v>1</v>
      </c>
      <c r="AE18" s="10">
        <f>IF(預測IC!AE18&gt;預測IC!AE$25,1,0)</f>
        <v>1</v>
      </c>
      <c r="AF18" s="10">
        <f>IF(預測IC!AF18&gt;預測IC!AF$25,1,0)</f>
        <v>0</v>
      </c>
      <c r="AG18" s="10">
        <f>IF(預測IC!AG18&gt;預測IC!AG$25,1,0)</f>
        <v>0</v>
      </c>
      <c r="AH18" s="10">
        <f>IF(預測IC!AH18&gt;預測IC!AH$25,1,0)</f>
        <v>0</v>
      </c>
      <c r="AI18" s="10">
        <f>IF(預測IC!AI18&gt;預測IC!AI$25,1,0)</f>
        <v>1</v>
      </c>
      <c r="AJ18" s="10">
        <f>IF(預測IC!AJ18&gt;預測IC!AJ$25,1,0)</f>
        <v>1</v>
      </c>
      <c r="AK18" s="10">
        <f>IF(預測IC!AK18&gt;預測IC!AK$25,1,0)</f>
        <v>1</v>
      </c>
      <c r="AL18" s="10">
        <f>IF(預測IC!AL18&gt;預測IC!AL$25,1,0)</f>
        <v>1</v>
      </c>
      <c r="AM18" s="10">
        <f>IF(預測IC!AM18&gt;預測IC!AM$25,1,0)</f>
        <v>1</v>
      </c>
      <c r="AN18" s="10">
        <f>IF(預測IC!AN18&gt;預測IC!AN$25,1,0)</f>
        <v>1</v>
      </c>
      <c r="AO18" s="10">
        <f>IF(預測IC!AO18&gt;預測IC!AO$25,1,0)</f>
        <v>1</v>
      </c>
      <c r="AP18" s="10">
        <f>IF(預測IC!AP18&gt;預測IC!AP$25,1,0)</f>
        <v>1</v>
      </c>
      <c r="AQ18" s="10">
        <f>IF(預測IC!AQ18&gt;預測IC!AQ$25,1,0)</f>
        <v>0</v>
      </c>
      <c r="AR18" s="10">
        <f>IF(預測IC!AR18&gt;預測IC!AR$25,1,0)</f>
        <v>1</v>
      </c>
      <c r="AS18" s="10">
        <f>IF(預測IC!AS18&gt;預測IC!AS$25,1,0)</f>
        <v>1</v>
      </c>
      <c r="AT18" s="10">
        <f>IF(預測IC!AT18&gt;預測IC!AT$25,1,0)</f>
        <v>1</v>
      </c>
      <c r="AU18" s="10">
        <f>IF(預測IC!AU18&gt;預測IC!AU$25,1,0)</f>
        <v>1</v>
      </c>
      <c r="AV18" s="10">
        <f>IF(預測IC!AV18&gt;預測IC!AV$25,1,0)</f>
        <v>0</v>
      </c>
      <c r="AW18" s="10">
        <f>IF(預測IC!AW18&gt;預測IC!AW$25,1,0)</f>
        <v>0</v>
      </c>
      <c r="AX18" s="10">
        <f>IF(預測IC!AX18&gt;預測IC!AX$25,1,0)</f>
        <v>1</v>
      </c>
      <c r="AY18" s="10">
        <f>IF(預測IC!AY18&gt;預測IC!AY$25,1,0)</f>
        <v>0</v>
      </c>
      <c r="AZ18" s="10">
        <f>IF(預測IC!AZ18&gt;預測IC!AZ$25,1,0)</f>
        <v>1</v>
      </c>
      <c r="BA18" s="10">
        <f>IF(預測IC!BA18&gt;預測IC!BA$25,1,0)</f>
        <v>1</v>
      </c>
      <c r="BB18" s="10">
        <f>IF(預測IC!BB18&gt;預測IC!BB$25,1,0)</f>
        <v>1</v>
      </c>
      <c r="BC18" s="10">
        <f>IF(預測IC!BC18&gt;預測IC!BC$25,1,0)</f>
        <v>1</v>
      </c>
      <c r="BD18" s="10">
        <f>IF(預測IC!BD18&gt;預測IC!BD$25,1,0)</f>
        <v>0</v>
      </c>
      <c r="BE18" s="10">
        <f>IF(預測IC!BE18&gt;預測IC!BE$25,1,0)</f>
        <v>0</v>
      </c>
      <c r="BF18" s="10">
        <f>IF(預測IC!BF18&gt;預測IC!BF$25,1,0)</f>
        <v>1</v>
      </c>
      <c r="BG18" s="10">
        <f>IF(預測IC!BG18&gt;預測IC!BG$25,1,0)</f>
        <v>1</v>
      </c>
      <c r="BH18" s="10">
        <f>IF(預測IC!BH18&gt;預測IC!BH$25,1,0)</f>
        <v>1</v>
      </c>
      <c r="BI18" s="10">
        <f>IF(預測IC!BI18&gt;預測IC!BI$25,1,0)</f>
        <v>1</v>
      </c>
      <c r="BJ18" s="10">
        <f>IF(預測IC!BJ18&gt;預測IC!BJ$25,1,0)</f>
        <v>1</v>
      </c>
      <c r="BK18" s="10">
        <f>IF(預測IC!BK18&gt;預測IC!BK$25,1,0)</f>
        <v>0</v>
      </c>
      <c r="BL18" s="10">
        <f>IF(預測IC!BL18&gt;預測IC!BL$25,1,0)</f>
        <v>1</v>
      </c>
      <c r="BM18" s="10">
        <f>IF(預測IC!BM18&gt;預測IC!BM$25,1,0)</f>
        <v>1</v>
      </c>
      <c r="BN18" s="10">
        <f>IF(預測IC!BN18&gt;預測IC!BN$25,1,0)</f>
        <v>0</v>
      </c>
      <c r="BO18" s="10">
        <f>IF(預測IC!BO18&gt;預測IC!BO$25,1,0)</f>
        <v>1</v>
      </c>
      <c r="BP18" s="10">
        <f>IF(預測IC!BP18&gt;預測IC!BP$25,1,0)</f>
        <v>0</v>
      </c>
      <c r="BQ18" s="10">
        <f>IF(預測IC!BQ18&gt;預測IC!BQ$25,1,0)</f>
        <v>0</v>
      </c>
      <c r="BR18" s="10">
        <f>IF(預測IC!BR18&gt;預測IC!BR$25,1,0)</f>
        <v>0</v>
      </c>
      <c r="BS18" s="10">
        <f>IF(預測IC!BS18&gt;預測IC!BS$25,1,0)</f>
        <v>0</v>
      </c>
      <c r="BT18" s="10">
        <f>IF(預測IC!BT18&gt;預測IC!BT$25,1,0)</f>
        <v>0</v>
      </c>
      <c r="BU18" s="10">
        <f>IF(預測IC!BU18&gt;預測IC!BU$25,1,0)</f>
        <v>1</v>
      </c>
      <c r="BV18" s="10">
        <f>IF(預測IC!BV18&gt;預測IC!BV$25,1,0)</f>
        <v>1</v>
      </c>
      <c r="BW18" s="10">
        <f>IF(預測IC!BW18&gt;預測IC!BW$25,1,0)</f>
        <v>1</v>
      </c>
      <c r="BX18" s="10">
        <f>IF(預測IC!BX18&gt;預測IC!BX$25,1,0)</f>
        <v>1</v>
      </c>
      <c r="BY18" s="10">
        <f>IF(預測IC!BY18&gt;預測IC!BY$25,1,0)</f>
        <v>0</v>
      </c>
      <c r="BZ18" s="10">
        <f>IF(預測IC!BZ18&gt;預測IC!BZ$25,1,0)</f>
        <v>0</v>
      </c>
      <c r="CA18" s="10">
        <f>IF(預測IC!CA18&gt;預測IC!CA$25,1,0)</f>
        <v>0</v>
      </c>
      <c r="CB18" s="10">
        <f>IF(預測IC!CB18&gt;預測IC!CB$25,1,0)</f>
        <v>0</v>
      </c>
      <c r="CC18" s="10">
        <f>IF(預測IC!CC18&gt;預測IC!CC$25,1,0)</f>
        <v>0</v>
      </c>
      <c r="CD18" s="10">
        <f>IF(預測IC!CD18&gt;預測IC!CD$25,1,0)</f>
        <v>0</v>
      </c>
      <c r="CE18" s="10">
        <f>IF(預測IC!CE18&gt;預測IC!CE$25,1,0)</f>
        <v>1</v>
      </c>
      <c r="CF18" s="10">
        <f>IF(預測IC!CF18&gt;預測IC!CF$25,1,0)</f>
        <v>1</v>
      </c>
      <c r="CG18" s="10">
        <f>IF(預測IC!CG18&gt;預測IC!CG$25,1,0)</f>
        <v>0</v>
      </c>
      <c r="CH18" s="10">
        <f>IF(預測IC!CH18&gt;預測IC!CH$25,1,0)</f>
        <v>1</v>
      </c>
      <c r="CI18" s="10">
        <f>IF(預測IC!CI18&gt;預測IC!CI$25,1,0)</f>
        <v>0</v>
      </c>
      <c r="CJ18" s="10">
        <f>IF(預測IC!CJ18&gt;預測IC!CJ$25,1,0)</f>
        <v>0</v>
      </c>
      <c r="CK18" s="10">
        <f>IF(預測IC!CK18&gt;預測IC!CK$25,1,0)</f>
        <v>1</v>
      </c>
      <c r="CL18" s="10">
        <f>IF(預測IC!CL18&gt;預測IC!CL$25,1,0)</f>
        <v>1</v>
      </c>
      <c r="CM18" s="10">
        <f>IF(預測IC!CM18&gt;預測IC!CM$25,1,0)</f>
        <v>0</v>
      </c>
      <c r="CN18" s="10">
        <f>IF(預測IC!CN18&gt;預測IC!CN$25,1,0)</f>
        <v>0</v>
      </c>
      <c r="CO18" s="10">
        <f>IF(預測IC!CO18&gt;預測IC!CO$25,1,0)</f>
        <v>0</v>
      </c>
      <c r="CP18" s="10">
        <f>IF(預測IC!CP18&gt;預測IC!CP$25,1,0)</f>
        <v>1</v>
      </c>
      <c r="CQ18" s="10">
        <f>IF(預測IC!CQ18&gt;預測IC!CQ$25,1,0)</f>
        <v>1</v>
      </c>
      <c r="CR18" s="10">
        <f>IF(預測IC!CR18&gt;預測IC!CR$25,1,0)</f>
        <v>1</v>
      </c>
      <c r="CS18" s="10">
        <f>IF(預測IC!CS18&gt;預測IC!CS$25,1,0)</f>
        <v>0</v>
      </c>
      <c r="CT18" s="10">
        <f>IF(預測IC!CT18&gt;預測IC!CT$25,1,0)</f>
        <v>0</v>
      </c>
      <c r="CU18" s="10">
        <f>IF(預測IC!CU18&gt;預測IC!CU$25,1,0)</f>
        <v>1</v>
      </c>
      <c r="CV18" s="10">
        <f>IF(預測IC!CV18&gt;預測IC!CV$25,1,0)</f>
        <v>0</v>
      </c>
      <c r="CW18" s="10">
        <f>IF(預測IC!CW18&gt;預測IC!CW$25,1,0)</f>
        <v>1</v>
      </c>
      <c r="CX18" s="10">
        <f>IF(預測IC!CX18&gt;預測IC!CX$25,1,0)</f>
        <v>1</v>
      </c>
      <c r="CY18" s="10">
        <f>IF(預測IC!CY18&gt;預測IC!CY$25,1,0)</f>
        <v>0</v>
      </c>
      <c r="CZ18" s="10">
        <f>IF(預測IC!CZ18&gt;預測IC!CZ$25,1,0)</f>
        <v>1</v>
      </c>
      <c r="DA18" s="10">
        <f>IF(預測IC!DA18&gt;預測IC!DA$25,1,0)</f>
        <v>0</v>
      </c>
      <c r="DB18" s="10">
        <f>IF(預測IC!DB18&gt;預測IC!DB$25,1,0)</f>
        <v>1</v>
      </c>
      <c r="DC18" s="10">
        <f>IF(預測IC!DC18&gt;預測IC!DC$25,1,0)</f>
        <v>1</v>
      </c>
      <c r="DD18" s="10">
        <f>IF(預測IC!DD18&gt;預測IC!DD$25,1,0)</f>
        <v>1</v>
      </c>
      <c r="DE18" s="10">
        <f>IF(預測IC!DE18&gt;預測IC!DE$25,1,0)</f>
        <v>0</v>
      </c>
      <c r="DF18" s="10">
        <f>IF(預測IC!DF18&gt;預測IC!DF$25,1,0)</f>
        <v>0</v>
      </c>
      <c r="DG18" s="10">
        <f>IF(預測IC!DG18&gt;預測IC!DG$25,1,0)</f>
        <v>1</v>
      </c>
      <c r="DH18" s="10">
        <f>IF(預測IC!DH18&gt;預測IC!DH$25,1,0)</f>
        <v>0</v>
      </c>
      <c r="DI18" s="10">
        <f>IF(預測IC!DI18&gt;預測IC!DI$25,1,0)</f>
        <v>0</v>
      </c>
      <c r="DJ18" s="10">
        <f>IF(預測IC!DJ18&gt;預測IC!DJ$25,1,0)</f>
        <v>1</v>
      </c>
      <c r="DK18" s="10">
        <f>IF(預測IC!DK18&gt;預測IC!DK$25,1,0)</f>
        <v>0</v>
      </c>
      <c r="DL18" s="10">
        <f>IF(預測IC!DL18&gt;預測IC!DL$25,1,0)</f>
        <v>1</v>
      </c>
      <c r="DM18" s="10">
        <f>IF(預測IC!DM18&gt;預測IC!DM$25,1,0)</f>
        <v>0</v>
      </c>
      <c r="DN18" s="10">
        <f>IF(預測IC!DN18&gt;預測IC!DN$25,1,0)</f>
        <v>1</v>
      </c>
      <c r="DO18" s="10">
        <f>IF(預測IC!DO18&gt;預測IC!DO$25,1,0)</f>
        <v>1</v>
      </c>
      <c r="DP18" s="10">
        <f>IF(預測IC!DP18&gt;預測IC!DP$25,1,0)</f>
        <v>1</v>
      </c>
      <c r="DQ18" s="10">
        <f>IF(預測IC!DQ18&gt;預測IC!DQ$25,1,0)</f>
        <v>0</v>
      </c>
      <c r="DR18" s="10">
        <f>IF(預測IC!DR18&gt;預測IC!DR$25,1,0)</f>
        <v>0</v>
      </c>
      <c r="DS18" s="10">
        <f>IF(預測IC!DS18&gt;預測IC!DS$25,1,0)</f>
        <v>0</v>
      </c>
      <c r="DT18" s="10">
        <f>IF(預測IC!DT18&gt;預測IC!DT$25,1,0)</f>
        <v>0</v>
      </c>
      <c r="DU18" s="10">
        <f>IF(預測IC!DU18&gt;預測IC!DU$25,1,0)</f>
        <v>0</v>
      </c>
      <c r="DV18" s="10">
        <f>IF(預測IC!DV18&gt;預測IC!DV$25,1,0)</f>
        <v>1</v>
      </c>
      <c r="DW18" s="10">
        <f>IF(預測IC!DW18&gt;預測IC!DW$25,1,0)</f>
        <v>1</v>
      </c>
      <c r="DX18" s="10">
        <f>IF(預測IC!DX18&gt;預測IC!DX$25,1,0)</f>
        <v>0</v>
      </c>
      <c r="DY18" s="10">
        <f>IF(預測IC!DY18&gt;預測IC!DY$25,1,0)</f>
        <v>0</v>
      </c>
      <c r="DZ18" s="10">
        <f>IF(預測IC!DZ18&gt;預測IC!DZ$25,1,0)</f>
        <v>0</v>
      </c>
      <c r="EA18" s="10">
        <f>IF(預測IC!EA18&gt;預測IC!EA$25,1,0)</f>
        <v>0</v>
      </c>
      <c r="EB18" s="10">
        <f>IF(預測IC!EB18&gt;預測IC!EB$25,1,0)</f>
        <v>1</v>
      </c>
      <c r="EC18" s="10">
        <f>IF(預測IC!EC18&gt;預測IC!EC$25,1,0)</f>
        <v>1</v>
      </c>
      <c r="ED18" s="10">
        <f>IF(預測IC!ED18&gt;預測IC!ED$25,1,0)</f>
        <v>0</v>
      </c>
      <c r="EE18" s="10">
        <f>IF(預測IC!EE18&gt;預測IC!EE$25,1,0)</f>
        <v>0</v>
      </c>
      <c r="EF18" s="10">
        <f>IF(預測IC!EF18&gt;預測IC!EF$25,1,0)</f>
        <v>0</v>
      </c>
      <c r="EG18" s="10">
        <f>IF(預測IC!EG18&gt;預測IC!EG$25,1,0)</f>
        <v>0</v>
      </c>
      <c r="EH18" s="10">
        <f>IF(預測IC!EH18&gt;預測IC!EH$25,1,0)</f>
        <v>1</v>
      </c>
      <c r="EI18" s="10">
        <f>IF(預測IC!EI18&gt;預測IC!EI$25,1,0)</f>
        <v>0</v>
      </c>
      <c r="EJ18" s="10">
        <f>IF(預測IC!EJ18&gt;預測IC!EJ$25,1,0)</f>
        <v>0</v>
      </c>
      <c r="EK18" s="10">
        <f>IF(預測IC!EK18&gt;預測IC!EK$25,1,0)</f>
        <v>1</v>
      </c>
      <c r="EL18" s="10">
        <f>IF(預測IC!EL18&gt;預測IC!EL$25,1,0)</f>
        <v>1</v>
      </c>
      <c r="EM18" s="6">
        <f t="shared" si="11"/>
        <v>78</v>
      </c>
      <c r="EN18" s="19">
        <f t="shared" si="12"/>
        <v>0.55714285714285716</v>
      </c>
    </row>
    <row r="19" spans="1:144" x14ac:dyDescent="0.3">
      <c r="A19" s="18">
        <v>180</v>
      </c>
      <c r="B19" s="18">
        <f t="shared" si="10"/>
        <v>6</v>
      </c>
      <c r="C19" s="10">
        <f>IF(預測IC!C19&gt;預測IC!C$25,1,0)</f>
        <v>1</v>
      </c>
      <c r="D19" s="10">
        <f>IF(預測IC!D19&gt;預測IC!D$25,1,0)</f>
        <v>1</v>
      </c>
      <c r="E19" s="10">
        <f>IF(預測IC!E19&gt;預測IC!E$25,1,0)</f>
        <v>0</v>
      </c>
      <c r="F19" s="10">
        <f>IF(預測IC!F19&gt;預測IC!F$25,1,0)</f>
        <v>1</v>
      </c>
      <c r="G19" s="10">
        <f>IF(預測IC!G19&gt;預測IC!G$25,1,0)</f>
        <v>0</v>
      </c>
      <c r="H19" s="10">
        <f>IF(預測IC!H19&gt;預測IC!H$25,1,0)</f>
        <v>1</v>
      </c>
      <c r="I19" s="10">
        <f>IF(預測IC!I19&gt;預測IC!I$25,1,0)</f>
        <v>0</v>
      </c>
      <c r="J19" s="10">
        <f>IF(預測IC!J19&gt;預測IC!J$25,1,0)</f>
        <v>1</v>
      </c>
      <c r="K19" s="10">
        <f>IF(預測IC!K19&gt;預測IC!K$25,1,0)</f>
        <v>1</v>
      </c>
      <c r="L19" s="10">
        <f>IF(預測IC!L19&gt;預測IC!L$25,1,0)</f>
        <v>0</v>
      </c>
      <c r="M19" s="10">
        <f>IF(預測IC!M19&gt;預測IC!M$25,1,0)</f>
        <v>0</v>
      </c>
      <c r="N19" s="10">
        <f>IF(預測IC!N19&gt;預測IC!N$25,1,0)</f>
        <v>1</v>
      </c>
      <c r="O19" s="10">
        <f>IF(預測IC!O19&gt;預測IC!O$25,1,0)</f>
        <v>1</v>
      </c>
      <c r="P19" s="10">
        <f>IF(預測IC!P19&gt;預測IC!P$25,1,0)</f>
        <v>1</v>
      </c>
      <c r="Q19" s="10">
        <f>IF(預測IC!Q19&gt;預測IC!Q$25,1,0)</f>
        <v>1</v>
      </c>
      <c r="R19" s="10">
        <f>IF(預測IC!R19&gt;預測IC!R$25,1,0)</f>
        <v>0</v>
      </c>
      <c r="S19" s="10">
        <f>IF(預測IC!S19&gt;預測IC!S$25,1,0)</f>
        <v>1</v>
      </c>
      <c r="T19" s="10">
        <f>IF(預測IC!T19&gt;預測IC!T$25,1,0)</f>
        <v>1</v>
      </c>
      <c r="U19" s="10">
        <f>IF(預測IC!U19&gt;預測IC!U$25,1,0)</f>
        <v>1</v>
      </c>
      <c r="V19" s="10">
        <f>IF(預測IC!V19&gt;預測IC!V$25,1,0)</f>
        <v>0</v>
      </c>
      <c r="W19" s="10">
        <f>IF(預測IC!W19&gt;預測IC!W$25,1,0)</f>
        <v>1</v>
      </c>
      <c r="X19" s="10">
        <f>IF(預測IC!X19&gt;預測IC!X$25,1,0)</f>
        <v>1</v>
      </c>
      <c r="Y19" s="10">
        <f>IF(預測IC!Y19&gt;預測IC!Y$25,1,0)</f>
        <v>0</v>
      </c>
      <c r="Z19" s="10">
        <f>IF(預測IC!Z19&gt;預測IC!Z$25,1,0)</f>
        <v>1</v>
      </c>
      <c r="AA19" s="10">
        <f>IF(預測IC!AA19&gt;預測IC!AA$25,1,0)</f>
        <v>0</v>
      </c>
      <c r="AB19" s="10">
        <f>IF(預測IC!AB19&gt;預測IC!AB$25,1,0)</f>
        <v>0</v>
      </c>
      <c r="AC19" s="10">
        <f>IF(預測IC!AC19&gt;預測IC!AC$25,1,0)</f>
        <v>1</v>
      </c>
      <c r="AD19" s="10">
        <f>IF(預測IC!AD19&gt;預測IC!AD$25,1,0)</f>
        <v>1</v>
      </c>
      <c r="AE19" s="10">
        <f>IF(預測IC!AE19&gt;預測IC!AE$25,1,0)</f>
        <v>1</v>
      </c>
      <c r="AF19" s="10">
        <f>IF(預測IC!AF19&gt;預測IC!AF$25,1,0)</f>
        <v>0</v>
      </c>
      <c r="AG19" s="10">
        <f>IF(預測IC!AG19&gt;預測IC!AG$25,1,0)</f>
        <v>0</v>
      </c>
      <c r="AH19" s="10">
        <f>IF(預測IC!AH19&gt;預測IC!AH$25,1,0)</f>
        <v>1</v>
      </c>
      <c r="AI19" s="10">
        <f>IF(預測IC!AI19&gt;預測IC!AI$25,1,0)</f>
        <v>1</v>
      </c>
      <c r="AJ19" s="10">
        <f>IF(預測IC!AJ19&gt;預測IC!AJ$25,1,0)</f>
        <v>1</v>
      </c>
      <c r="AK19" s="10">
        <f>IF(預測IC!AK19&gt;預測IC!AK$25,1,0)</f>
        <v>1</v>
      </c>
      <c r="AL19" s="10">
        <f>IF(預測IC!AL19&gt;預測IC!AL$25,1,0)</f>
        <v>1</v>
      </c>
      <c r="AM19" s="10">
        <f>IF(預測IC!AM19&gt;預測IC!AM$25,1,0)</f>
        <v>1</v>
      </c>
      <c r="AN19" s="10">
        <f>IF(預測IC!AN19&gt;預測IC!AN$25,1,0)</f>
        <v>1</v>
      </c>
      <c r="AO19" s="10">
        <f>IF(預測IC!AO19&gt;預測IC!AO$25,1,0)</f>
        <v>1</v>
      </c>
      <c r="AP19" s="10">
        <f>IF(預測IC!AP19&gt;預測IC!AP$25,1,0)</f>
        <v>1</v>
      </c>
      <c r="AQ19" s="10">
        <f>IF(預測IC!AQ19&gt;預測IC!AQ$25,1,0)</f>
        <v>0</v>
      </c>
      <c r="AR19" s="10">
        <f>IF(預測IC!AR19&gt;預測IC!AR$25,1,0)</f>
        <v>1</v>
      </c>
      <c r="AS19" s="10">
        <f>IF(預測IC!AS19&gt;預測IC!AS$25,1,0)</f>
        <v>1</v>
      </c>
      <c r="AT19" s="10">
        <f>IF(預測IC!AT19&gt;預測IC!AT$25,1,0)</f>
        <v>1</v>
      </c>
      <c r="AU19" s="10">
        <f>IF(預測IC!AU19&gt;預測IC!AU$25,1,0)</f>
        <v>1</v>
      </c>
      <c r="AV19" s="10">
        <f>IF(預測IC!AV19&gt;預測IC!AV$25,1,0)</f>
        <v>0</v>
      </c>
      <c r="AW19" s="10">
        <f>IF(預測IC!AW19&gt;預測IC!AW$25,1,0)</f>
        <v>0</v>
      </c>
      <c r="AX19" s="10">
        <f>IF(預測IC!AX19&gt;預測IC!AX$25,1,0)</f>
        <v>1</v>
      </c>
      <c r="AY19" s="10">
        <f>IF(預測IC!AY19&gt;預測IC!AY$25,1,0)</f>
        <v>0</v>
      </c>
      <c r="AZ19" s="10">
        <f>IF(預測IC!AZ19&gt;預測IC!AZ$25,1,0)</f>
        <v>1</v>
      </c>
      <c r="BA19" s="10">
        <f>IF(預測IC!BA19&gt;預測IC!BA$25,1,0)</f>
        <v>1</v>
      </c>
      <c r="BB19" s="10">
        <f>IF(預測IC!BB19&gt;預測IC!BB$25,1,0)</f>
        <v>1</v>
      </c>
      <c r="BC19" s="10">
        <f>IF(預測IC!BC19&gt;預測IC!BC$25,1,0)</f>
        <v>1</v>
      </c>
      <c r="BD19" s="10">
        <f>IF(預測IC!BD19&gt;預測IC!BD$25,1,0)</f>
        <v>0</v>
      </c>
      <c r="BE19" s="10">
        <f>IF(預測IC!BE19&gt;預測IC!BE$25,1,0)</f>
        <v>0</v>
      </c>
      <c r="BF19" s="10">
        <f>IF(預測IC!BF19&gt;預測IC!BF$25,1,0)</f>
        <v>1</v>
      </c>
      <c r="BG19" s="10">
        <f>IF(預測IC!BG19&gt;預測IC!BG$25,1,0)</f>
        <v>1</v>
      </c>
      <c r="BH19" s="10">
        <f>IF(預測IC!BH19&gt;預測IC!BH$25,1,0)</f>
        <v>1</v>
      </c>
      <c r="BI19" s="10">
        <f>IF(預測IC!BI19&gt;預測IC!BI$25,1,0)</f>
        <v>1</v>
      </c>
      <c r="BJ19" s="10">
        <f>IF(預測IC!BJ19&gt;預測IC!BJ$25,1,0)</f>
        <v>1</v>
      </c>
      <c r="BK19" s="10">
        <f>IF(預測IC!BK19&gt;預測IC!BK$25,1,0)</f>
        <v>0</v>
      </c>
      <c r="BL19" s="10">
        <f>IF(預測IC!BL19&gt;預測IC!BL$25,1,0)</f>
        <v>1</v>
      </c>
      <c r="BM19" s="10">
        <f>IF(預測IC!BM19&gt;預測IC!BM$25,1,0)</f>
        <v>1</v>
      </c>
      <c r="BN19" s="10">
        <f>IF(預測IC!BN19&gt;預測IC!BN$25,1,0)</f>
        <v>0</v>
      </c>
      <c r="BO19" s="10">
        <f>IF(預測IC!BO19&gt;預測IC!BO$25,1,0)</f>
        <v>1</v>
      </c>
      <c r="BP19" s="10">
        <f>IF(預測IC!BP19&gt;預測IC!BP$25,1,0)</f>
        <v>0</v>
      </c>
      <c r="BQ19" s="10">
        <f>IF(預測IC!BQ19&gt;預測IC!BQ$25,1,0)</f>
        <v>1</v>
      </c>
      <c r="BR19" s="10">
        <f>IF(預測IC!BR19&gt;預測IC!BR$25,1,0)</f>
        <v>0</v>
      </c>
      <c r="BS19" s="10">
        <f>IF(預測IC!BS19&gt;預測IC!BS$25,1,0)</f>
        <v>0</v>
      </c>
      <c r="BT19" s="10">
        <f>IF(預測IC!BT19&gt;預測IC!BT$25,1,0)</f>
        <v>0</v>
      </c>
      <c r="BU19" s="10">
        <f>IF(預測IC!BU19&gt;預測IC!BU$25,1,0)</f>
        <v>1</v>
      </c>
      <c r="BV19" s="10">
        <f>IF(預測IC!BV19&gt;預測IC!BV$25,1,0)</f>
        <v>1</v>
      </c>
      <c r="BW19" s="10">
        <f>IF(預測IC!BW19&gt;預測IC!BW$25,1,0)</f>
        <v>1</v>
      </c>
      <c r="BX19" s="10">
        <f>IF(預測IC!BX19&gt;預測IC!BX$25,1,0)</f>
        <v>1</v>
      </c>
      <c r="BY19" s="10">
        <f>IF(預測IC!BY19&gt;預測IC!BY$25,1,0)</f>
        <v>0</v>
      </c>
      <c r="BZ19" s="10">
        <f>IF(預測IC!BZ19&gt;預測IC!BZ$25,1,0)</f>
        <v>0</v>
      </c>
      <c r="CA19" s="10">
        <f>IF(預測IC!CA19&gt;預測IC!CA$25,1,0)</f>
        <v>0</v>
      </c>
      <c r="CB19" s="10">
        <f>IF(預測IC!CB19&gt;預測IC!CB$25,1,0)</f>
        <v>0</v>
      </c>
      <c r="CC19" s="10">
        <f>IF(預測IC!CC19&gt;預測IC!CC$25,1,0)</f>
        <v>0</v>
      </c>
      <c r="CD19" s="10">
        <f>IF(預測IC!CD19&gt;預測IC!CD$25,1,0)</f>
        <v>0</v>
      </c>
      <c r="CE19" s="10">
        <f>IF(預測IC!CE19&gt;預測IC!CE$25,1,0)</f>
        <v>1</v>
      </c>
      <c r="CF19" s="10">
        <f>IF(預測IC!CF19&gt;預測IC!CF$25,1,0)</f>
        <v>1</v>
      </c>
      <c r="CG19" s="10">
        <f>IF(預測IC!CG19&gt;預測IC!CG$25,1,0)</f>
        <v>0</v>
      </c>
      <c r="CH19" s="10">
        <f>IF(預測IC!CH19&gt;預測IC!CH$25,1,0)</f>
        <v>0</v>
      </c>
      <c r="CI19" s="10">
        <f>IF(預測IC!CI19&gt;預測IC!CI$25,1,0)</f>
        <v>0</v>
      </c>
      <c r="CJ19" s="10">
        <f>IF(預測IC!CJ19&gt;預測IC!CJ$25,1,0)</f>
        <v>0</v>
      </c>
      <c r="CK19" s="10">
        <f>IF(預測IC!CK19&gt;預測IC!CK$25,1,0)</f>
        <v>1</v>
      </c>
      <c r="CL19" s="10">
        <f>IF(預測IC!CL19&gt;預測IC!CL$25,1,0)</f>
        <v>1</v>
      </c>
      <c r="CM19" s="10">
        <f>IF(預測IC!CM19&gt;預測IC!CM$25,1,0)</f>
        <v>1</v>
      </c>
      <c r="CN19" s="10">
        <f>IF(預測IC!CN19&gt;預測IC!CN$25,1,0)</f>
        <v>0</v>
      </c>
      <c r="CO19" s="10">
        <f>IF(預測IC!CO19&gt;預測IC!CO$25,1,0)</f>
        <v>0</v>
      </c>
      <c r="CP19" s="10">
        <f>IF(預測IC!CP19&gt;預測IC!CP$25,1,0)</f>
        <v>1</v>
      </c>
      <c r="CQ19" s="10">
        <f>IF(預測IC!CQ19&gt;預測IC!CQ$25,1,0)</f>
        <v>1</v>
      </c>
      <c r="CR19" s="10">
        <f>IF(預測IC!CR19&gt;預測IC!CR$25,1,0)</f>
        <v>1</v>
      </c>
      <c r="CS19" s="10">
        <f>IF(預測IC!CS19&gt;預測IC!CS$25,1,0)</f>
        <v>0</v>
      </c>
      <c r="CT19" s="10">
        <f>IF(預測IC!CT19&gt;預測IC!CT$25,1,0)</f>
        <v>0</v>
      </c>
      <c r="CU19" s="10">
        <f>IF(預測IC!CU19&gt;預測IC!CU$25,1,0)</f>
        <v>1</v>
      </c>
      <c r="CV19" s="10">
        <f>IF(預測IC!CV19&gt;預測IC!CV$25,1,0)</f>
        <v>0</v>
      </c>
      <c r="CW19" s="10">
        <f>IF(預測IC!CW19&gt;預測IC!CW$25,1,0)</f>
        <v>1</v>
      </c>
      <c r="CX19" s="10">
        <f>IF(預測IC!CX19&gt;預測IC!CX$25,1,0)</f>
        <v>1</v>
      </c>
      <c r="CY19" s="10">
        <f>IF(預測IC!CY19&gt;預測IC!CY$25,1,0)</f>
        <v>0</v>
      </c>
      <c r="CZ19" s="10">
        <f>IF(預測IC!CZ19&gt;預測IC!CZ$25,1,0)</f>
        <v>1</v>
      </c>
      <c r="DA19" s="10">
        <f>IF(預測IC!DA19&gt;預測IC!DA$25,1,0)</f>
        <v>0</v>
      </c>
      <c r="DB19" s="10">
        <f>IF(預測IC!DB19&gt;預測IC!DB$25,1,0)</f>
        <v>1</v>
      </c>
      <c r="DC19" s="10">
        <f>IF(預測IC!DC19&gt;預測IC!DC$25,1,0)</f>
        <v>1</v>
      </c>
      <c r="DD19" s="10">
        <f>IF(預測IC!DD19&gt;預測IC!DD$25,1,0)</f>
        <v>1</v>
      </c>
      <c r="DE19" s="10">
        <f>IF(預測IC!DE19&gt;預測IC!DE$25,1,0)</f>
        <v>0</v>
      </c>
      <c r="DF19" s="10">
        <f>IF(預測IC!DF19&gt;預測IC!DF$25,1,0)</f>
        <v>0</v>
      </c>
      <c r="DG19" s="10">
        <f>IF(預測IC!DG19&gt;預測IC!DG$25,1,0)</f>
        <v>1</v>
      </c>
      <c r="DH19" s="10">
        <f>IF(預測IC!DH19&gt;預測IC!DH$25,1,0)</f>
        <v>0</v>
      </c>
      <c r="DI19" s="10">
        <f>IF(預測IC!DI19&gt;預測IC!DI$25,1,0)</f>
        <v>0</v>
      </c>
      <c r="DJ19" s="10">
        <f>IF(預測IC!DJ19&gt;預測IC!DJ$25,1,0)</f>
        <v>1</v>
      </c>
      <c r="DK19" s="10">
        <f>IF(預測IC!DK19&gt;預測IC!DK$25,1,0)</f>
        <v>0</v>
      </c>
      <c r="DL19" s="10">
        <f>IF(預測IC!DL19&gt;預測IC!DL$25,1,0)</f>
        <v>0</v>
      </c>
      <c r="DM19" s="10">
        <f>IF(預測IC!DM19&gt;預測IC!DM$25,1,0)</f>
        <v>0</v>
      </c>
      <c r="DN19" s="10">
        <f>IF(預測IC!DN19&gt;預測IC!DN$25,1,0)</f>
        <v>1</v>
      </c>
      <c r="DO19" s="10">
        <f>IF(預測IC!DO19&gt;預測IC!DO$25,1,0)</f>
        <v>1</v>
      </c>
      <c r="DP19" s="10">
        <f>IF(預測IC!DP19&gt;預測IC!DP$25,1,0)</f>
        <v>1</v>
      </c>
      <c r="DQ19" s="10">
        <f>IF(預測IC!DQ19&gt;預測IC!DQ$25,1,0)</f>
        <v>0</v>
      </c>
      <c r="DR19" s="10">
        <f>IF(預測IC!DR19&gt;預測IC!DR$25,1,0)</f>
        <v>0</v>
      </c>
      <c r="DS19" s="10">
        <f>IF(預測IC!DS19&gt;預測IC!DS$25,1,0)</f>
        <v>0</v>
      </c>
      <c r="DT19" s="10">
        <f>IF(預測IC!DT19&gt;預測IC!DT$25,1,0)</f>
        <v>0</v>
      </c>
      <c r="DU19" s="10">
        <f>IF(預測IC!DU19&gt;預測IC!DU$25,1,0)</f>
        <v>0</v>
      </c>
      <c r="DV19" s="10">
        <f>IF(預測IC!DV19&gt;預測IC!DV$25,1,0)</f>
        <v>0</v>
      </c>
      <c r="DW19" s="10">
        <f>IF(預測IC!DW19&gt;預測IC!DW$25,1,0)</f>
        <v>1</v>
      </c>
      <c r="DX19" s="10">
        <f>IF(預測IC!DX19&gt;預測IC!DX$25,1,0)</f>
        <v>0</v>
      </c>
      <c r="DY19" s="10">
        <f>IF(預測IC!DY19&gt;預測IC!DY$25,1,0)</f>
        <v>0</v>
      </c>
      <c r="DZ19" s="10">
        <f>IF(預測IC!DZ19&gt;預測IC!DZ$25,1,0)</f>
        <v>1</v>
      </c>
      <c r="EA19" s="10">
        <f>IF(預測IC!EA19&gt;預測IC!EA$25,1,0)</f>
        <v>0</v>
      </c>
      <c r="EB19" s="10">
        <f>IF(預測IC!EB19&gt;預測IC!EB$25,1,0)</f>
        <v>1</v>
      </c>
      <c r="EC19" s="10">
        <f>IF(預測IC!EC19&gt;預測IC!EC$25,1,0)</f>
        <v>1</v>
      </c>
      <c r="ED19" s="10">
        <f>IF(預測IC!ED19&gt;預測IC!ED$25,1,0)</f>
        <v>0</v>
      </c>
      <c r="EE19" s="10">
        <f>IF(預測IC!EE19&gt;預測IC!EE$25,1,0)</f>
        <v>1</v>
      </c>
      <c r="EF19" s="10">
        <f>IF(預測IC!EF19&gt;預測IC!EF$25,1,0)</f>
        <v>0</v>
      </c>
      <c r="EG19" s="10">
        <f>IF(預測IC!EG19&gt;預測IC!EG$25,1,0)</f>
        <v>0</v>
      </c>
      <c r="EH19" s="10">
        <f>IF(預測IC!EH19&gt;預測IC!EH$25,1,0)</f>
        <v>1</v>
      </c>
      <c r="EI19" s="10">
        <f>IF(預測IC!EI19&gt;預測IC!EI$25,1,0)</f>
        <v>0</v>
      </c>
      <c r="EJ19" s="10">
        <f>IF(預測IC!EJ19&gt;預測IC!EJ$25,1,0)</f>
        <v>0</v>
      </c>
      <c r="EK19" s="10">
        <f>IF(預測IC!EK19&gt;預測IC!EK$25,1,0)</f>
        <v>1</v>
      </c>
      <c r="EL19" s="10">
        <f>IF(預測IC!EL19&gt;預測IC!EL$25,1,0)</f>
        <v>1</v>
      </c>
      <c r="EM19" s="6">
        <f t="shared" si="11"/>
        <v>78</v>
      </c>
      <c r="EN19" s="19">
        <f t="shared" si="12"/>
        <v>0.55714285714285716</v>
      </c>
    </row>
    <row r="20" spans="1:144" x14ac:dyDescent="0.3">
      <c r="A20" s="18">
        <v>200</v>
      </c>
      <c r="B20" s="18">
        <f t="shared" si="10"/>
        <v>5</v>
      </c>
      <c r="C20" s="10">
        <f>IF(預測IC!C20&gt;預測IC!C$25,1,0)</f>
        <v>1</v>
      </c>
      <c r="D20" s="10">
        <f>IF(預測IC!D20&gt;預測IC!D$25,1,0)</f>
        <v>1</v>
      </c>
      <c r="E20" s="10">
        <f>IF(預測IC!E20&gt;預測IC!E$25,1,0)</f>
        <v>0</v>
      </c>
      <c r="F20" s="10">
        <f>IF(預測IC!F20&gt;預測IC!F$25,1,0)</f>
        <v>1</v>
      </c>
      <c r="G20" s="10">
        <f>IF(預測IC!G20&gt;預測IC!G$25,1,0)</f>
        <v>0</v>
      </c>
      <c r="H20" s="10">
        <f>IF(預測IC!H20&gt;預測IC!H$25,1,0)</f>
        <v>0</v>
      </c>
      <c r="I20" s="10">
        <f>IF(預測IC!I20&gt;預測IC!I$25,1,0)</f>
        <v>1</v>
      </c>
      <c r="J20" s="10">
        <f>IF(預測IC!J20&gt;預測IC!J$25,1,0)</f>
        <v>0</v>
      </c>
      <c r="K20" s="10">
        <f>IF(預測IC!K20&gt;預測IC!K$25,1,0)</f>
        <v>1</v>
      </c>
      <c r="L20" s="10">
        <f>IF(預測IC!L20&gt;預測IC!L$25,1,0)</f>
        <v>0</v>
      </c>
      <c r="M20" s="10">
        <f>IF(預測IC!M20&gt;預測IC!M$25,1,0)</f>
        <v>0</v>
      </c>
      <c r="N20" s="10">
        <f>IF(預測IC!N20&gt;預測IC!N$25,1,0)</f>
        <v>1</v>
      </c>
      <c r="O20" s="10">
        <f>IF(預測IC!O20&gt;預測IC!O$25,1,0)</f>
        <v>1</v>
      </c>
      <c r="P20" s="10">
        <f>IF(預測IC!P20&gt;預測IC!P$25,1,0)</f>
        <v>1</v>
      </c>
      <c r="Q20" s="10">
        <f>IF(預測IC!Q20&gt;預測IC!Q$25,1,0)</f>
        <v>1</v>
      </c>
      <c r="R20" s="10">
        <f>IF(預測IC!R20&gt;預測IC!R$25,1,0)</f>
        <v>0</v>
      </c>
      <c r="S20" s="10">
        <f>IF(預測IC!S20&gt;預測IC!S$25,1,0)</f>
        <v>1</v>
      </c>
      <c r="T20" s="10">
        <f>IF(預測IC!T20&gt;預測IC!T$25,1,0)</f>
        <v>1</v>
      </c>
      <c r="U20" s="10">
        <f>IF(預測IC!U20&gt;預測IC!U$25,1,0)</f>
        <v>1</v>
      </c>
      <c r="V20" s="10">
        <f>IF(預測IC!V20&gt;預測IC!V$25,1,0)</f>
        <v>0</v>
      </c>
      <c r="W20" s="10">
        <f>IF(預測IC!W20&gt;預測IC!W$25,1,0)</f>
        <v>1</v>
      </c>
      <c r="X20" s="10">
        <f>IF(預測IC!X20&gt;預測IC!X$25,1,0)</f>
        <v>1</v>
      </c>
      <c r="Y20" s="10">
        <f>IF(預測IC!Y20&gt;預測IC!Y$25,1,0)</f>
        <v>0</v>
      </c>
      <c r="Z20" s="10">
        <f>IF(預測IC!Z20&gt;預測IC!Z$25,1,0)</f>
        <v>1</v>
      </c>
      <c r="AA20" s="10">
        <f>IF(預測IC!AA20&gt;預測IC!AA$25,1,0)</f>
        <v>1</v>
      </c>
      <c r="AB20" s="10">
        <f>IF(預測IC!AB20&gt;預測IC!AB$25,1,0)</f>
        <v>0</v>
      </c>
      <c r="AC20" s="10">
        <f>IF(預測IC!AC20&gt;預測IC!AC$25,1,0)</f>
        <v>1</v>
      </c>
      <c r="AD20" s="10">
        <f>IF(預測IC!AD20&gt;預測IC!AD$25,1,0)</f>
        <v>0</v>
      </c>
      <c r="AE20" s="10">
        <f>IF(預測IC!AE20&gt;預測IC!AE$25,1,0)</f>
        <v>1</v>
      </c>
      <c r="AF20" s="10">
        <f>IF(預測IC!AF20&gt;預測IC!AF$25,1,0)</f>
        <v>0</v>
      </c>
      <c r="AG20" s="10">
        <f>IF(預測IC!AG20&gt;預測IC!AG$25,1,0)</f>
        <v>0</v>
      </c>
      <c r="AH20" s="10">
        <f>IF(預測IC!AH20&gt;預測IC!AH$25,1,0)</f>
        <v>0</v>
      </c>
      <c r="AI20" s="10">
        <f>IF(預測IC!AI20&gt;預測IC!AI$25,1,0)</f>
        <v>1</v>
      </c>
      <c r="AJ20" s="10">
        <f>IF(預測IC!AJ20&gt;預測IC!AJ$25,1,0)</f>
        <v>1</v>
      </c>
      <c r="AK20" s="10">
        <f>IF(預測IC!AK20&gt;預測IC!AK$25,1,0)</f>
        <v>1</v>
      </c>
      <c r="AL20" s="10">
        <f>IF(預測IC!AL20&gt;預測IC!AL$25,1,0)</f>
        <v>0</v>
      </c>
      <c r="AM20" s="10">
        <f>IF(預測IC!AM20&gt;預測IC!AM$25,1,0)</f>
        <v>1</v>
      </c>
      <c r="AN20" s="10">
        <f>IF(預測IC!AN20&gt;預測IC!AN$25,1,0)</f>
        <v>1</v>
      </c>
      <c r="AO20" s="10">
        <f>IF(預測IC!AO20&gt;預測IC!AO$25,1,0)</f>
        <v>1</v>
      </c>
      <c r="AP20" s="10">
        <f>IF(預測IC!AP20&gt;預測IC!AP$25,1,0)</f>
        <v>1</v>
      </c>
      <c r="AQ20" s="10">
        <f>IF(預測IC!AQ20&gt;預測IC!AQ$25,1,0)</f>
        <v>0</v>
      </c>
      <c r="AR20" s="10">
        <f>IF(預測IC!AR20&gt;預測IC!AR$25,1,0)</f>
        <v>0</v>
      </c>
      <c r="AS20" s="10">
        <f>IF(預測IC!AS20&gt;預測IC!AS$25,1,0)</f>
        <v>1</v>
      </c>
      <c r="AT20" s="10">
        <f>IF(預測IC!AT20&gt;預測IC!AT$25,1,0)</f>
        <v>1</v>
      </c>
      <c r="AU20" s="10">
        <f>IF(預測IC!AU20&gt;預測IC!AU$25,1,0)</f>
        <v>1</v>
      </c>
      <c r="AV20" s="10">
        <f>IF(預測IC!AV20&gt;預測IC!AV$25,1,0)</f>
        <v>0</v>
      </c>
      <c r="AW20" s="10">
        <f>IF(預測IC!AW20&gt;預測IC!AW$25,1,0)</f>
        <v>0</v>
      </c>
      <c r="AX20" s="10">
        <f>IF(預測IC!AX20&gt;預測IC!AX$25,1,0)</f>
        <v>1</v>
      </c>
      <c r="AY20" s="10">
        <f>IF(預測IC!AY20&gt;預測IC!AY$25,1,0)</f>
        <v>0</v>
      </c>
      <c r="AZ20" s="10">
        <f>IF(預測IC!AZ20&gt;預測IC!AZ$25,1,0)</f>
        <v>1</v>
      </c>
      <c r="BA20" s="10">
        <f>IF(預測IC!BA20&gt;預測IC!BA$25,1,0)</f>
        <v>0</v>
      </c>
      <c r="BB20" s="10">
        <f>IF(預測IC!BB20&gt;預測IC!BB$25,1,0)</f>
        <v>1</v>
      </c>
      <c r="BC20" s="10">
        <f>IF(預測IC!BC20&gt;預測IC!BC$25,1,0)</f>
        <v>1</v>
      </c>
      <c r="BD20" s="10">
        <f>IF(預測IC!BD20&gt;預測IC!BD$25,1,0)</f>
        <v>0</v>
      </c>
      <c r="BE20" s="10">
        <f>IF(預測IC!BE20&gt;預測IC!BE$25,1,0)</f>
        <v>0</v>
      </c>
      <c r="BF20" s="10">
        <f>IF(預測IC!BF20&gt;預測IC!BF$25,1,0)</f>
        <v>1</v>
      </c>
      <c r="BG20" s="10">
        <f>IF(預測IC!BG20&gt;預測IC!BG$25,1,0)</f>
        <v>1</v>
      </c>
      <c r="BH20" s="10">
        <f>IF(預測IC!BH20&gt;預測IC!BH$25,1,0)</f>
        <v>1</v>
      </c>
      <c r="BI20" s="10">
        <f>IF(預測IC!BI20&gt;預測IC!BI$25,1,0)</f>
        <v>0</v>
      </c>
      <c r="BJ20" s="10">
        <f>IF(預測IC!BJ20&gt;預測IC!BJ$25,1,0)</f>
        <v>1</v>
      </c>
      <c r="BK20" s="10">
        <f>IF(預測IC!BK20&gt;預測IC!BK$25,1,0)</f>
        <v>0</v>
      </c>
      <c r="BL20" s="10">
        <f>IF(預測IC!BL20&gt;預測IC!BL$25,1,0)</f>
        <v>1</v>
      </c>
      <c r="BM20" s="10">
        <f>IF(預測IC!BM20&gt;預測IC!BM$25,1,0)</f>
        <v>1</v>
      </c>
      <c r="BN20" s="10">
        <f>IF(預測IC!BN20&gt;預測IC!BN$25,1,0)</f>
        <v>0</v>
      </c>
      <c r="BO20" s="10">
        <f>IF(預測IC!BO20&gt;預測IC!BO$25,1,0)</f>
        <v>1</v>
      </c>
      <c r="BP20" s="10">
        <f>IF(預測IC!BP20&gt;預測IC!BP$25,1,0)</f>
        <v>0</v>
      </c>
      <c r="BQ20" s="10">
        <f>IF(預測IC!BQ20&gt;預測IC!BQ$25,1,0)</f>
        <v>1</v>
      </c>
      <c r="BR20" s="10">
        <f>IF(預測IC!BR20&gt;預測IC!BR$25,1,0)</f>
        <v>0</v>
      </c>
      <c r="BS20" s="10">
        <f>IF(預測IC!BS20&gt;預測IC!BS$25,1,0)</f>
        <v>0</v>
      </c>
      <c r="BT20" s="10">
        <f>IF(預測IC!BT20&gt;預測IC!BT$25,1,0)</f>
        <v>0</v>
      </c>
      <c r="BU20" s="10">
        <f>IF(預測IC!BU20&gt;預測IC!BU$25,1,0)</f>
        <v>1</v>
      </c>
      <c r="BV20" s="10">
        <f>IF(預測IC!BV20&gt;預測IC!BV$25,1,0)</f>
        <v>1</v>
      </c>
      <c r="BW20" s="10">
        <f>IF(預測IC!BW20&gt;預測IC!BW$25,1,0)</f>
        <v>1</v>
      </c>
      <c r="BX20" s="10">
        <f>IF(預測IC!BX20&gt;預測IC!BX$25,1,0)</f>
        <v>1</v>
      </c>
      <c r="BY20" s="10">
        <f>IF(預測IC!BY20&gt;預測IC!BY$25,1,0)</f>
        <v>1</v>
      </c>
      <c r="BZ20" s="10">
        <f>IF(預測IC!BZ20&gt;預測IC!BZ$25,1,0)</f>
        <v>0</v>
      </c>
      <c r="CA20" s="10">
        <f>IF(預測IC!CA20&gt;預測IC!CA$25,1,0)</f>
        <v>0</v>
      </c>
      <c r="CB20" s="10">
        <f>IF(預測IC!CB20&gt;預測IC!CB$25,1,0)</f>
        <v>0</v>
      </c>
      <c r="CC20" s="10">
        <f>IF(預測IC!CC20&gt;預測IC!CC$25,1,0)</f>
        <v>0</v>
      </c>
      <c r="CD20" s="10">
        <f>IF(預測IC!CD20&gt;預測IC!CD$25,1,0)</f>
        <v>0</v>
      </c>
      <c r="CE20" s="10">
        <f>IF(預測IC!CE20&gt;預測IC!CE$25,1,0)</f>
        <v>1</v>
      </c>
      <c r="CF20" s="10">
        <f>IF(預測IC!CF20&gt;預測IC!CF$25,1,0)</f>
        <v>1</v>
      </c>
      <c r="CG20" s="10">
        <f>IF(預測IC!CG20&gt;預測IC!CG$25,1,0)</f>
        <v>0</v>
      </c>
      <c r="CH20" s="10">
        <f>IF(預測IC!CH20&gt;預測IC!CH$25,1,0)</f>
        <v>0</v>
      </c>
      <c r="CI20" s="10">
        <f>IF(預測IC!CI20&gt;預測IC!CI$25,1,0)</f>
        <v>0</v>
      </c>
      <c r="CJ20" s="10">
        <f>IF(預測IC!CJ20&gt;預測IC!CJ$25,1,0)</f>
        <v>0</v>
      </c>
      <c r="CK20" s="10">
        <f>IF(預測IC!CK20&gt;預測IC!CK$25,1,0)</f>
        <v>1</v>
      </c>
      <c r="CL20" s="10">
        <f>IF(預測IC!CL20&gt;預測IC!CL$25,1,0)</f>
        <v>1</v>
      </c>
      <c r="CM20" s="10">
        <f>IF(預測IC!CM20&gt;預測IC!CM$25,1,0)</f>
        <v>1</v>
      </c>
      <c r="CN20" s="10">
        <f>IF(預測IC!CN20&gt;預測IC!CN$25,1,0)</f>
        <v>0</v>
      </c>
      <c r="CO20" s="10">
        <f>IF(預測IC!CO20&gt;預測IC!CO$25,1,0)</f>
        <v>0</v>
      </c>
      <c r="CP20" s="10">
        <f>IF(預測IC!CP20&gt;預測IC!CP$25,1,0)</f>
        <v>1</v>
      </c>
      <c r="CQ20" s="10">
        <f>IF(預測IC!CQ20&gt;預測IC!CQ$25,1,0)</f>
        <v>1</v>
      </c>
      <c r="CR20" s="10">
        <f>IF(預測IC!CR20&gt;預測IC!CR$25,1,0)</f>
        <v>1</v>
      </c>
      <c r="CS20" s="10">
        <f>IF(預測IC!CS20&gt;預測IC!CS$25,1,0)</f>
        <v>0</v>
      </c>
      <c r="CT20" s="10">
        <f>IF(預測IC!CT20&gt;預測IC!CT$25,1,0)</f>
        <v>0</v>
      </c>
      <c r="CU20" s="10">
        <f>IF(預測IC!CU20&gt;預測IC!CU$25,1,0)</f>
        <v>1</v>
      </c>
      <c r="CV20" s="10">
        <f>IF(預測IC!CV20&gt;預測IC!CV$25,1,0)</f>
        <v>0</v>
      </c>
      <c r="CW20" s="10">
        <f>IF(預測IC!CW20&gt;預測IC!CW$25,1,0)</f>
        <v>1</v>
      </c>
      <c r="CX20" s="10">
        <f>IF(預測IC!CX20&gt;預測IC!CX$25,1,0)</f>
        <v>1</v>
      </c>
      <c r="CY20" s="10">
        <f>IF(預測IC!CY20&gt;預測IC!CY$25,1,0)</f>
        <v>0</v>
      </c>
      <c r="CZ20" s="10">
        <f>IF(預測IC!CZ20&gt;預測IC!CZ$25,1,0)</f>
        <v>1</v>
      </c>
      <c r="DA20" s="10">
        <f>IF(預測IC!DA20&gt;預測IC!DA$25,1,0)</f>
        <v>0</v>
      </c>
      <c r="DB20" s="10">
        <f>IF(預測IC!DB20&gt;預測IC!DB$25,1,0)</f>
        <v>1</v>
      </c>
      <c r="DC20" s="10">
        <f>IF(預測IC!DC20&gt;預測IC!DC$25,1,0)</f>
        <v>1</v>
      </c>
      <c r="DD20" s="10">
        <f>IF(預測IC!DD20&gt;預測IC!DD$25,1,0)</f>
        <v>1</v>
      </c>
      <c r="DE20" s="10">
        <f>IF(預測IC!DE20&gt;預測IC!DE$25,1,0)</f>
        <v>0</v>
      </c>
      <c r="DF20" s="10">
        <f>IF(預測IC!DF20&gt;預測IC!DF$25,1,0)</f>
        <v>0</v>
      </c>
      <c r="DG20" s="10">
        <f>IF(預測IC!DG20&gt;預測IC!DG$25,1,0)</f>
        <v>1</v>
      </c>
      <c r="DH20" s="10">
        <f>IF(預測IC!DH20&gt;預測IC!DH$25,1,0)</f>
        <v>0</v>
      </c>
      <c r="DI20" s="10">
        <f>IF(預測IC!DI20&gt;預測IC!DI$25,1,0)</f>
        <v>0</v>
      </c>
      <c r="DJ20" s="10">
        <f>IF(預測IC!DJ20&gt;預測IC!DJ$25,1,0)</f>
        <v>1</v>
      </c>
      <c r="DK20" s="10">
        <f>IF(預測IC!DK20&gt;預測IC!DK$25,1,0)</f>
        <v>0</v>
      </c>
      <c r="DL20" s="10">
        <f>IF(預測IC!DL20&gt;預測IC!DL$25,1,0)</f>
        <v>1</v>
      </c>
      <c r="DM20" s="10">
        <f>IF(預測IC!DM20&gt;預測IC!DM$25,1,0)</f>
        <v>0</v>
      </c>
      <c r="DN20" s="10">
        <f>IF(預測IC!DN20&gt;預測IC!DN$25,1,0)</f>
        <v>1</v>
      </c>
      <c r="DO20" s="10">
        <f>IF(預測IC!DO20&gt;預測IC!DO$25,1,0)</f>
        <v>1</v>
      </c>
      <c r="DP20" s="10">
        <f>IF(預測IC!DP20&gt;預測IC!DP$25,1,0)</f>
        <v>1</v>
      </c>
      <c r="DQ20" s="10">
        <f>IF(預測IC!DQ20&gt;預測IC!DQ$25,1,0)</f>
        <v>0</v>
      </c>
      <c r="DR20" s="10">
        <f>IF(預測IC!DR20&gt;預測IC!DR$25,1,0)</f>
        <v>0</v>
      </c>
      <c r="DS20" s="10">
        <f>IF(預測IC!DS20&gt;預測IC!DS$25,1,0)</f>
        <v>0</v>
      </c>
      <c r="DT20" s="10">
        <f>IF(預測IC!DT20&gt;預測IC!DT$25,1,0)</f>
        <v>0</v>
      </c>
      <c r="DU20" s="10">
        <f>IF(預測IC!DU20&gt;預測IC!DU$25,1,0)</f>
        <v>0</v>
      </c>
      <c r="DV20" s="10">
        <f>IF(預測IC!DV20&gt;預測IC!DV$25,1,0)</f>
        <v>0</v>
      </c>
      <c r="DW20" s="10">
        <f>IF(預測IC!DW20&gt;預測IC!DW$25,1,0)</f>
        <v>1</v>
      </c>
      <c r="DX20" s="10">
        <f>IF(預測IC!DX20&gt;預測IC!DX$25,1,0)</f>
        <v>0</v>
      </c>
      <c r="DY20" s="10">
        <f>IF(預測IC!DY20&gt;預測IC!DY$25,1,0)</f>
        <v>0</v>
      </c>
      <c r="DZ20" s="10">
        <f>IF(預測IC!DZ20&gt;預測IC!DZ$25,1,0)</f>
        <v>1</v>
      </c>
      <c r="EA20" s="10">
        <f>IF(預測IC!EA20&gt;預測IC!EA$25,1,0)</f>
        <v>0</v>
      </c>
      <c r="EB20" s="10">
        <f>IF(預測IC!EB20&gt;預測IC!EB$25,1,0)</f>
        <v>1</v>
      </c>
      <c r="EC20" s="10">
        <f>IF(預測IC!EC20&gt;預測IC!EC$25,1,0)</f>
        <v>1</v>
      </c>
      <c r="ED20" s="10">
        <f>IF(預測IC!ED20&gt;預測IC!ED$25,1,0)</f>
        <v>0</v>
      </c>
      <c r="EE20" s="10">
        <f>IF(預測IC!EE20&gt;預測IC!EE$25,1,0)</f>
        <v>1</v>
      </c>
      <c r="EF20" s="10">
        <f>IF(預測IC!EF20&gt;預測IC!EF$25,1,0)</f>
        <v>0</v>
      </c>
      <c r="EG20" s="10">
        <f>IF(預測IC!EG20&gt;預測IC!EG$25,1,0)</f>
        <v>0</v>
      </c>
      <c r="EH20" s="10">
        <f>IF(預測IC!EH20&gt;預測IC!EH$25,1,0)</f>
        <v>1</v>
      </c>
      <c r="EI20" s="10">
        <f>IF(預測IC!EI20&gt;預測IC!EI$25,1,0)</f>
        <v>0</v>
      </c>
      <c r="EJ20" s="10">
        <f>IF(預測IC!EJ20&gt;預測IC!EJ$25,1,0)</f>
        <v>0</v>
      </c>
      <c r="EK20" s="10">
        <f>IF(預測IC!EK20&gt;預測IC!EK$25,1,0)</f>
        <v>1</v>
      </c>
      <c r="EL20" s="10">
        <f>IF(預測IC!EL20&gt;預測IC!EL$25,1,0)</f>
        <v>1</v>
      </c>
      <c r="EM20" s="6">
        <f t="shared" si="11"/>
        <v>74</v>
      </c>
      <c r="EN20" s="19">
        <f t="shared" si="12"/>
        <v>0.52857142857142858</v>
      </c>
    </row>
    <row r="21" spans="1:144" x14ac:dyDescent="0.3">
      <c r="A21" s="18">
        <v>256</v>
      </c>
      <c r="B21" s="18">
        <f t="shared" si="10"/>
        <v>4</v>
      </c>
      <c r="C21" s="10">
        <f>IF(預測IC!C21&gt;預測IC!C$25,1,0)</f>
        <v>1</v>
      </c>
      <c r="D21" s="10">
        <f>IF(預測IC!D21&gt;預測IC!D$25,1,0)</f>
        <v>1</v>
      </c>
      <c r="E21" s="10">
        <f>IF(預測IC!E21&gt;預測IC!E$25,1,0)</f>
        <v>0</v>
      </c>
      <c r="F21" s="10">
        <f>IF(預測IC!F21&gt;預測IC!F$25,1,0)</f>
        <v>1</v>
      </c>
      <c r="G21" s="10">
        <f>IF(預測IC!G21&gt;預測IC!G$25,1,0)</f>
        <v>0</v>
      </c>
      <c r="H21" s="10">
        <f>IF(預測IC!H21&gt;預測IC!H$25,1,0)</f>
        <v>0</v>
      </c>
      <c r="I21" s="10">
        <f>IF(預測IC!I21&gt;預測IC!I$25,1,0)</f>
        <v>1</v>
      </c>
      <c r="J21" s="10">
        <f>IF(預測IC!J21&gt;預測IC!J$25,1,0)</f>
        <v>0</v>
      </c>
      <c r="K21" s="10">
        <f>IF(預測IC!K21&gt;預測IC!K$25,1,0)</f>
        <v>1</v>
      </c>
      <c r="L21" s="10">
        <f>IF(預測IC!L21&gt;預測IC!L$25,1,0)</f>
        <v>0</v>
      </c>
      <c r="M21" s="10">
        <f>IF(預測IC!M21&gt;預測IC!M$25,1,0)</f>
        <v>0</v>
      </c>
      <c r="N21" s="10">
        <f>IF(預測IC!N21&gt;預測IC!N$25,1,0)</f>
        <v>1</v>
      </c>
      <c r="O21" s="10">
        <f>IF(預測IC!O21&gt;預測IC!O$25,1,0)</f>
        <v>1</v>
      </c>
      <c r="P21" s="10">
        <f>IF(預測IC!P21&gt;預測IC!P$25,1,0)</f>
        <v>1</v>
      </c>
      <c r="Q21" s="10">
        <f>IF(預測IC!Q21&gt;預測IC!Q$25,1,0)</f>
        <v>1</v>
      </c>
      <c r="R21" s="10">
        <f>IF(預測IC!R21&gt;預測IC!R$25,1,0)</f>
        <v>1</v>
      </c>
      <c r="S21" s="10">
        <f>IF(預測IC!S21&gt;預測IC!S$25,1,0)</f>
        <v>1</v>
      </c>
      <c r="T21" s="10">
        <f>IF(預測IC!T21&gt;預測IC!T$25,1,0)</f>
        <v>1</v>
      </c>
      <c r="U21" s="10">
        <f>IF(預測IC!U21&gt;預測IC!U$25,1,0)</f>
        <v>1</v>
      </c>
      <c r="V21" s="10">
        <f>IF(預測IC!V21&gt;預測IC!V$25,1,0)</f>
        <v>1</v>
      </c>
      <c r="W21" s="10">
        <f>IF(預測IC!W21&gt;預測IC!W$25,1,0)</f>
        <v>1</v>
      </c>
      <c r="X21" s="10">
        <f>IF(預測IC!X21&gt;預測IC!X$25,1,0)</f>
        <v>1</v>
      </c>
      <c r="Y21" s="10">
        <f>IF(預測IC!Y21&gt;預測IC!Y$25,1,0)</f>
        <v>0</v>
      </c>
      <c r="Z21" s="10">
        <f>IF(預測IC!Z21&gt;預測IC!Z$25,1,0)</f>
        <v>0</v>
      </c>
      <c r="AA21" s="10">
        <f>IF(預測IC!AA21&gt;預測IC!AA$25,1,0)</f>
        <v>1</v>
      </c>
      <c r="AB21" s="10">
        <f>IF(預測IC!AB21&gt;預測IC!AB$25,1,0)</f>
        <v>0</v>
      </c>
      <c r="AC21" s="10">
        <f>IF(預測IC!AC21&gt;預測IC!AC$25,1,0)</f>
        <v>0</v>
      </c>
      <c r="AD21" s="10">
        <f>IF(預測IC!AD21&gt;預測IC!AD$25,1,0)</f>
        <v>1</v>
      </c>
      <c r="AE21" s="10">
        <f>IF(預測IC!AE21&gt;預測IC!AE$25,1,0)</f>
        <v>1</v>
      </c>
      <c r="AF21" s="10">
        <f>IF(預測IC!AF21&gt;預測IC!AF$25,1,0)</f>
        <v>0</v>
      </c>
      <c r="AG21" s="10">
        <f>IF(預測IC!AG21&gt;預測IC!AG$25,1,0)</f>
        <v>0</v>
      </c>
      <c r="AH21" s="10">
        <f>IF(預測IC!AH21&gt;預測IC!AH$25,1,0)</f>
        <v>0</v>
      </c>
      <c r="AI21" s="10">
        <f>IF(預測IC!AI21&gt;預測IC!AI$25,1,0)</f>
        <v>1</v>
      </c>
      <c r="AJ21" s="10">
        <f>IF(預測IC!AJ21&gt;預測IC!AJ$25,1,0)</f>
        <v>0</v>
      </c>
      <c r="AK21" s="10">
        <f>IF(預測IC!AK21&gt;預測IC!AK$25,1,0)</f>
        <v>1</v>
      </c>
      <c r="AL21" s="10">
        <f>IF(預測IC!AL21&gt;預測IC!AL$25,1,0)</f>
        <v>0</v>
      </c>
      <c r="AM21" s="10">
        <f>IF(預測IC!AM21&gt;預測IC!AM$25,1,0)</f>
        <v>1</v>
      </c>
      <c r="AN21" s="10">
        <f>IF(預測IC!AN21&gt;預測IC!AN$25,1,0)</f>
        <v>1</v>
      </c>
      <c r="AO21" s="10">
        <f>IF(預測IC!AO21&gt;預測IC!AO$25,1,0)</f>
        <v>1</v>
      </c>
      <c r="AP21" s="10">
        <f>IF(預測IC!AP21&gt;預測IC!AP$25,1,0)</f>
        <v>1</v>
      </c>
      <c r="AQ21" s="10">
        <f>IF(預測IC!AQ21&gt;預測IC!AQ$25,1,0)</f>
        <v>0</v>
      </c>
      <c r="AR21" s="10">
        <f>IF(預測IC!AR21&gt;預測IC!AR$25,1,0)</f>
        <v>1</v>
      </c>
      <c r="AS21" s="10">
        <f>IF(預測IC!AS21&gt;預測IC!AS$25,1,0)</f>
        <v>1</v>
      </c>
      <c r="AT21" s="10">
        <f>IF(預測IC!AT21&gt;預測IC!AT$25,1,0)</f>
        <v>1</v>
      </c>
      <c r="AU21" s="10">
        <f>IF(預測IC!AU21&gt;預測IC!AU$25,1,0)</f>
        <v>1</v>
      </c>
      <c r="AV21" s="10">
        <f>IF(預測IC!AV21&gt;預測IC!AV$25,1,0)</f>
        <v>0</v>
      </c>
      <c r="AW21" s="10">
        <f>IF(預測IC!AW21&gt;預測IC!AW$25,1,0)</f>
        <v>0</v>
      </c>
      <c r="AX21" s="10">
        <f>IF(預測IC!AX21&gt;預測IC!AX$25,1,0)</f>
        <v>1</v>
      </c>
      <c r="AY21" s="10">
        <f>IF(預測IC!AY21&gt;預測IC!AY$25,1,0)</f>
        <v>0</v>
      </c>
      <c r="AZ21" s="10">
        <f>IF(預測IC!AZ21&gt;預測IC!AZ$25,1,0)</f>
        <v>1</v>
      </c>
      <c r="BA21" s="10">
        <f>IF(預測IC!BA21&gt;預測IC!BA$25,1,0)</f>
        <v>1</v>
      </c>
      <c r="BB21" s="10">
        <f>IF(預測IC!BB21&gt;預測IC!BB$25,1,0)</f>
        <v>1</v>
      </c>
      <c r="BC21" s="10">
        <f>IF(預測IC!BC21&gt;預測IC!BC$25,1,0)</f>
        <v>1</v>
      </c>
      <c r="BD21" s="10">
        <f>IF(預測IC!BD21&gt;預測IC!BD$25,1,0)</f>
        <v>0</v>
      </c>
      <c r="BE21" s="10">
        <f>IF(預測IC!BE21&gt;預測IC!BE$25,1,0)</f>
        <v>0</v>
      </c>
      <c r="BF21" s="10">
        <f>IF(預測IC!BF21&gt;預測IC!BF$25,1,0)</f>
        <v>1</v>
      </c>
      <c r="BG21" s="10">
        <f>IF(預測IC!BG21&gt;預測IC!BG$25,1,0)</f>
        <v>1</v>
      </c>
      <c r="BH21" s="10">
        <f>IF(預測IC!BH21&gt;預測IC!BH$25,1,0)</f>
        <v>1</v>
      </c>
      <c r="BI21" s="10">
        <f>IF(預測IC!BI21&gt;預測IC!BI$25,1,0)</f>
        <v>0</v>
      </c>
      <c r="BJ21" s="10">
        <f>IF(預測IC!BJ21&gt;預測IC!BJ$25,1,0)</f>
        <v>1</v>
      </c>
      <c r="BK21" s="10">
        <f>IF(預測IC!BK21&gt;預測IC!BK$25,1,0)</f>
        <v>0</v>
      </c>
      <c r="BL21" s="10">
        <f>IF(預測IC!BL21&gt;預測IC!BL$25,1,0)</f>
        <v>1</v>
      </c>
      <c r="BM21" s="10">
        <f>IF(預測IC!BM21&gt;預測IC!BM$25,1,0)</f>
        <v>1</v>
      </c>
      <c r="BN21" s="10">
        <f>IF(預測IC!BN21&gt;預測IC!BN$25,1,0)</f>
        <v>0</v>
      </c>
      <c r="BO21" s="10">
        <f>IF(預測IC!BO21&gt;預測IC!BO$25,1,0)</f>
        <v>0</v>
      </c>
      <c r="BP21" s="10">
        <f>IF(預測IC!BP21&gt;預測IC!BP$25,1,0)</f>
        <v>1</v>
      </c>
      <c r="BQ21" s="10">
        <f>IF(預測IC!BQ21&gt;預測IC!BQ$25,1,0)</f>
        <v>1</v>
      </c>
      <c r="BR21" s="10">
        <f>IF(預測IC!BR21&gt;預測IC!BR$25,1,0)</f>
        <v>0</v>
      </c>
      <c r="BS21" s="10">
        <f>IF(預測IC!BS21&gt;預測IC!BS$25,1,0)</f>
        <v>0</v>
      </c>
      <c r="BT21" s="10">
        <f>IF(預測IC!BT21&gt;預測IC!BT$25,1,0)</f>
        <v>1</v>
      </c>
      <c r="BU21" s="10">
        <f>IF(預測IC!BU21&gt;預測IC!BU$25,1,0)</f>
        <v>1</v>
      </c>
      <c r="BV21" s="10">
        <f>IF(預測IC!BV21&gt;預測IC!BV$25,1,0)</f>
        <v>1</v>
      </c>
      <c r="BW21" s="10">
        <f>IF(預測IC!BW21&gt;預測IC!BW$25,1,0)</f>
        <v>1</v>
      </c>
      <c r="BX21" s="10">
        <f>IF(預測IC!BX21&gt;預測IC!BX$25,1,0)</f>
        <v>1</v>
      </c>
      <c r="BY21" s="10">
        <f>IF(預測IC!BY21&gt;預測IC!BY$25,1,0)</f>
        <v>1</v>
      </c>
      <c r="BZ21" s="10">
        <f>IF(預測IC!BZ21&gt;預測IC!BZ$25,1,0)</f>
        <v>0</v>
      </c>
      <c r="CA21" s="10">
        <f>IF(預測IC!CA21&gt;預測IC!CA$25,1,0)</f>
        <v>0</v>
      </c>
      <c r="CB21" s="10">
        <f>IF(預測IC!CB21&gt;預測IC!CB$25,1,0)</f>
        <v>0</v>
      </c>
      <c r="CC21" s="10">
        <f>IF(預測IC!CC21&gt;預測IC!CC$25,1,0)</f>
        <v>0</v>
      </c>
      <c r="CD21" s="10">
        <f>IF(預測IC!CD21&gt;預測IC!CD$25,1,0)</f>
        <v>0</v>
      </c>
      <c r="CE21" s="10">
        <f>IF(預測IC!CE21&gt;預測IC!CE$25,1,0)</f>
        <v>1</v>
      </c>
      <c r="CF21" s="10">
        <f>IF(預測IC!CF21&gt;預測IC!CF$25,1,0)</f>
        <v>1</v>
      </c>
      <c r="CG21" s="10">
        <f>IF(預測IC!CG21&gt;預測IC!CG$25,1,0)</f>
        <v>0</v>
      </c>
      <c r="CH21" s="10">
        <f>IF(預測IC!CH21&gt;預測IC!CH$25,1,0)</f>
        <v>1</v>
      </c>
      <c r="CI21" s="10">
        <f>IF(預測IC!CI21&gt;預測IC!CI$25,1,0)</f>
        <v>0</v>
      </c>
      <c r="CJ21" s="10">
        <f>IF(預測IC!CJ21&gt;預測IC!CJ$25,1,0)</f>
        <v>1</v>
      </c>
      <c r="CK21" s="10">
        <f>IF(預測IC!CK21&gt;預測IC!CK$25,1,0)</f>
        <v>1</v>
      </c>
      <c r="CL21" s="10">
        <f>IF(預測IC!CL21&gt;預測IC!CL$25,1,0)</f>
        <v>0</v>
      </c>
      <c r="CM21" s="10">
        <f>IF(預測IC!CM21&gt;預測IC!CM$25,1,0)</f>
        <v>1</v>
      </c>
      <c r="CN21" s="10">
        <f>IF(預測IC!CN21&gt;預測IC!CN$25,1,0)</f>
        <v>0</v>
      </c>
      <c r="CO21" s="10">
        <f>IF(預測IC!CO21&gt;預測IC!CO$25,1,0)</f>
        <v>0</v>
      </c>
      <c r="CP21" s="10">
        <f>IF(預測IC!CP21&gt;預測IC!CP$25,1,0)</f>
        <v>1</v>
      </c>
      <c r="CQ21" s="10">
        <f>IF(預測IC!CQ21&gt;預測IC!CQ$25,1,0)</f>
        <v>1</v>
      </c>
      <c r="CR21" s="10">
        <f>IF(預測IC!CR21&gt;預測IC!CR$25,1,0)</f>
        <v>1</v>
      </c>
      <c r="CS21" s="10">
        <f>IF(預測IC!CS21&gt;預測IC!CS$25,1,0)</f>
        <v>0</v>
      </c>
      <c r="CT21" s="10">
        <f>IF(預測IC!CT21&gt;預測IC!CT$25,1,0)</f>
        <v>0</v>
      </c>
      <c r="CU21" s="10">
        <f>IF(預測IC!CU21&gt;預測IC!CU$25,1,0)</f>
        <v>1</v>
      </c>
      <c r="CV21" s="10">
        <f>IF(預測IC!CV21&gt;預測IC!CV$25,1,0)</f>
        <v>0</v>
      </c>
      <c r="CW21" s="10">
        <f>IF(預測IC!CW21&gt;預測IC!CW$25,1,0)</f>
        <v>1</v>
      </c>
      <c r="CX21" s="10">
        <f>IF(預測IC!CX21&gt;預測IC!CX$25,1,0)</f>
        <v>1</v>
      </c>
      <c r="CY21" s="10">
        <f>IF(預測IC!CY21&gt;預測IC!CY$25,1,0)</f>
        <v>0</v>
      </c>
      <c r="CZ21" s="10">
        <f>IF(預測IC!CZ21&gt;預測IC!CZ$25,1,0)</f>
        <v>1</v>
      </c>
      <c r="DA21" s="10">
        <f>IF(預測IC!DA21&gt;預測IC!DA$25,1,0)</f>
        <v>0</v>
      </c>
      <c r="DB21" s="10">
        <f>IF(預測IC!DB21&gt;預測IC!DB$25,1,0)</f>
        <v>1</v>
      </c>
      <c r="DC21" s="10">
        <f>IF(預測IC!DC21&gt;預測IC!DC$25,1,0)</f>
        <v>1</v>
      </c>
      <c r="DD21" s="10">
        <f>IF(預測IC!DD21&gt;預測IC!DD$25,1,0)</f>
        <v>1</v>
      </c>
      <c r="DE21" s="10">
        <f>IF(預測IC!DE21&gt;預測IC!DE$25,1,0)</f>
        <v>0</v>
      </c>
      <c r="DF21" s="10">
        <f>IF(預測IC!DF21&gt;預測IC!DF$25,1,0)</f>
        <v>0</v>
      </c>
      <c r="DG21" s="10">
        <f>IF(預測IC!DG21&gt;預測IC!DG$25,1,0)</f>
        <v>1</v>
      </c>
      <c r="DH21" s="10">
        <f>IF(預測IC!DH21&gt;預測IC!DH$25,1,0)</f>
        <v>0</v>
      </c>
      <c r="DI21" s="10">
        <f>IF(預測IC!DI21&gt;預測IC!DI$25,1,0)</f>
        <v>0</v>
      </c>
      <c r="DJ21" s="10">
        <f>IF(預測IC!DJ21&gt;預測IC!DJ$25,1,0)</f>
        <v>1</v>
      </c>
      <c r="DK21" s="10">
        <f>IF(預測IC!DK21&gt;預測IC!DK$25,1,0)</f>
        <v>0</v>
      </c>
      <c r="DL21" s="10">
        <f>IF(預測IC!DL21&gt;預測IC!DL$25,1,0)</f>
        <v>0</v>
      </c>
      <c r="DM21" s="10">
        <f>IF(預測IC!DM21&gt;預測IC!DM$25,1,0)</f>
        <v>0</v>
      </c>
      <c r="DN21" s="10">
        <f>IF(預測IC!DN21&gt;預測IC!DN$25,1,0)</f>
        <v>1</v>
      </c>
      <c r="DO21" s="10">
        <f>IF(預測IC!DO21&gt;預測IC!DO$25,1,0)</f>
        <v>1</v>
      </c>
      <c r="DP21" s="10">
        <f>IF(預測IC!DP21&gt;預測IC!DP$25,1,0)</f>
        <v>1</v>
      </c>
      <c r="DQ21" s="10">
        <f>IF(預測IC!DQ21&gt;預測IC!DQ$25,1,0)</f>
        <v>0</v>
      </c>
      <c r="DR21" s="10">
        <f>IF(預測IC!DR21&gt;預測IC!DR$25,1,0)</f>
        <v>1</v>
      </c>
      <c r="DS21" s="10">
        <f>IF(預測IC!DS21&gt;預測IC!DS$25,1,0)</f>
        <v>0</v>
      </c>
      <c r="DT21" s="10">
        <f>IF(預測IC!DT21&gt;預測IC!DT$25,1,0)</f>
        <v>0</v>
      </c>
      <c r="DU21" s="10">
        <f>IF(預測IC!DU21&gt;預測IC!DU$25,1,0)</f>
        <v>0</v>
      </c>
      <c r="DV21" s="10">
        <f>IF(預測IC!DV21&gt;預測IC!DV$25,1,0)</f>
        <v>0</v>
      </c>
      <c r="DW21" s="10">
        <f>IF(預測IC!DW21&gt;預測IC!DW$25,1,0)</f>
        <v>1</v>
      </c>
      <c r="DX21" s="10">
        <f>IF(預測IC!DX21&gt;預測IC!DX$25,1,0)</f>
        <v>0</v>
      </c>
      <c r="DY21" s="10">
        <f>IF(預測IC!DY21&gt;預測IC!DY$25,1,0)</f>
        <v>0</v>
      </c>
      <c r="DZ21" s="10">
        <f>IF(預測IC!DZ21&gt;預測IC!DZ$25,1,0)</f>
        <v>0</v>
      </c>
      <c r="EA21" s="10">
        <f>IF(預測IC!EA21&gt;預測IC!EA$25,1,0)</f>
        <v>0</v>
      </c>
      <c r="EB21" s="10">
        <f>IF(預測IC!EB21&gt;預測IC!EB$25,1,0)</f>
        <v>1</v>
      </c>
      <c r="EC21" s="10">
        <f>IF(預測IC!EC21&gt;預測IC!EC$25,1,0)</f>
        <v>1</v>
      </c>
      <c r="ED21" s="10">
        <f>IF(預測IC!ED21&gt;預測IC!ED$25,1,0)</f>
        <v>1</v>
      </c>
      <c r="EE21" s="10">
        <f>IF(預測IC!EE21&gt;預測IC!EE$25,1,0)</f>
        <v>1</v>
      </c>
      <c r="EF21" s="10">
        <f>IF(預測IC!EF21&gt;預測IC!EF$25,1,0)</f>
        <v>0</v>
      </c>
      <c r="EG21" s="10">
        <f>IF(預測IC!EG21&gt;預測IC!EG$25,1,0)</f>
        <v>0</v>
      </c>
      <c r="EH21" s="10">
        <f>IF(預測IC!EH21&gt;預測IC!EH$25,1,0)</f>
        <v>1</v>
      </c>
      <c r="EI21" s="10">
        <f>IF(預測IC!EI21&gt;預測IC!EI$25,1,0)</f>
        <v>0</v>
      </c>
      <c r="EJ21" s="10">
        <f>IF(預測IC!EJ21&gt;預測IC!EJ$25,1,0)</f>
        <v>0</v>
      </c>
      <c r="EK21" s="10">
        <f>IF(預測IC!EK21&gt;預測IC!EK$25,1,0)</f>
        <v>1</v>
      </c>
      <c r="EL21" s="10">
        <f>IF(預測IC!EL21&gt;預測IC!EL$25,1,0)</f>
        <v>1</v>
      </c>
      <c r="EM21" s="6">
        <f t="shared" si="11"/>
        <v>78</v>
      </c>
      <c r="EN21" s="19">
        <f t="shared" si="12"/>
        <v>0.55714285714285716</v>
      </c>
    </row>
    <row r="22" spans="1:144" x14ac:dyDescent="0.3">
      <c r="A22" s="18">
        <v>400</v>
      </c>
      <c r="B22" s="18">
        <f t="shared" si="10"/>
        <v>3</v>
      </c>
      <c r="C22" s="10">
        <f>IF(預測IC!C22&gt;預測IC!C$25,1,0)</f>
        <v>1</v>
      </c>
      <c r="D22" s="10">
        <f>IF(預測IC!D22&gt;預測IC!D$25,1,0)</f>
        <v>1</v>
      </c>
      <c r="E22" s="10">
        <f>IF(預測IC!E22&gt;預測IC!E$25,1,0)</f>
        <v>0</v>
      </c>
      <c r="F22" s="10">
        <f>IF(預測IC!F22&gt;預測IC!F$25,1,0)</f>
        <v>1</v>
      </c>
      <c r="G22" s="10">
        <f>IF(預測IC!G22&gt;預測IC!G$25,1,0)</f>
        <v>0</v>
      </c>
      <c r="H22" s="10">
        <f>IF(預測IC!H22&gt;預測IC!H$25,1,0)</f>
        <v>0</v>
      </c>
      <c r="I22" s="10">
        <f>IF(預測IC!I22&gt;預測IC!I$25,1,0)</f>
        <v>1</v>
      </c>
      <c r="J22" s="10">
        <f>IF(預測IC!J22&gt;預測IC!J$25,1,0)</f>
        <v>0</v>
      </c>
      <c r="K22" s="10">
        <f>IF(預測IC!K22&gt;預測IC!K$25,1,0)</f>
        <v>1</v>
      </c>
      <c r="L22" s="10">
        <f>IF(預測IC!L22&gt;預測IC!L$25,1,0)</f>
        <v>0</v>
      </c>
      <c r="M22" s="10">
        <f>IF(預測IC!M22&gt;預測IC!M$25,1,0)</f>
        <v>1</v>
      </c>
      <c r="N22" s="10">
        <f>IF(預測IC!N22&gt;預測IC!N$25,1,0)</f>
        <v>1</v>
      </c>
      <c r="O22" s="10">
        <f>IF(預測IC!O22&gt;預測IC!O$25,1,0)</f>
        <v>1</v>
      </c>
      <c r="P22" s="10">
        <f>IF(預測IC!P22&gt;預測IC!P$25,1,0)</f>
        <v>1</v>
      </c>
      <c r="Q22" s="10">
        <f>IF(預測IC!Q22&gt;預測IC!Q$25,1,0)</f>
        <v>1</v>
      </c>
      <c r="R22" s="10">
        <f>IF(預測IC!R22&gt;預測IC!R$25,1,0)</f>
        <v>1</v>
      </c>
      <c r="S22" s="10">
        <f>IF(預測IC!S22&gt;預測IC!S$25,1,0)</f>
        <v>1</v>
      </c>
      <c r="T22" s="10">
        <f>IF(預測IC!T22&gt;預測IC!T$25,1,0)</f>
        <v>1</v>
      </c>
      <c r="U22" s="10">
        <f>IF(預測IC!U22&gt;預測IC!U$25,1,0)</f>
        <v>1</v>
      </c>
      <c r="V22" s="10">
        <f>IF(預測IC!V22&gt;預測IC!V$25,1,0)</f>
        <v>1</v>
      </c>
      <c r="W22" s="10">
        <f>IF(預測IC!W22&gt;預測IC!W$25,1,0)</f>
        <v>1</v>
      </c>
      <c r="X22" s="10">
        <f>IF(預測IC!X22&gt;預測IC!X$25,1,0)</f>
        <v>1</v>
      </c>
      <c r="Y22" s="10">
        <f>IF(預測IC!Y22&gt;預測IC!Y$25,1,0)</f>
        <v>0</v>
      </c>
      <c r="Z22" s="10">
        <f>IF(預測IC!Z22&gt;預測IC!Z$25,1,0)</f>
        <v>0</v>
      </c>
      <c r="AA22" s="10">
        <f>IF(預測IC!AA22&gt;預測IC!AA$25,1,0)</f>
        <v>1</v>
      </c>
      <c r="AB22" s="10">
        <f>IF(預測IC!AB22&gt;預測IC!AB$25,1,0)</f>
        <v>0</v>
      </c>
      <c r="AC22" s="10">
        <f>IF(預測IC!AC22&gt;預測IC!AC$25,1,0)</f>
        <v>0</v>
      </c>
      <c r="AD22" s="10">
        <f>IF(預測IC!AD22&gt;預測IC!AD$25,1,0)</f>
        <v>1</v>
      </c>
      <c r="AE22" s="10">
        <f>IF(預測IC!AE22&gt;預測IC!AE$25,1,0)</f>
        <v>1</v>
      </c>
      <c r="AF22" s="10">
        <f>IF(預測IC!AF22&gt;預測IC!AF$25,1,0)</f>
        <v>0</v>
      </c>
      <c r="AG22" s="10">
        <f>IF(預測IC!AG22&gt;預測IC!AG$25,1,0)</f>
        <v>0</v>
      </c>
      <c r="AH22" s="10">
        <f>IF(預測IC!AH22&gt;預測IC!AH$25,1,0)</f>
        <v>0</v>
      </c>
      <c r="AI22" s="10">
        <f>IF(預測IC!AI22&gt;預測IC!AI$25,1,0)</f>
        <v>1</v>
      </c>
      <c r="AJ22" s="10">
        <f>IF(預測IC!AJ22&gt;預測IC!AJ$25,1,0)</f>
        <v>0</v>
      </c>
      <c r="AK22" s="10">
        <f>IF(預測IC!AK22&gt;預測IC!AK$25,1,0)</f>
        <v>1</v>
      </c>
      <c r="AL22" s="10">
        <f>IF(預測IC!AL22&gt;預測IC!AL$25,1,0)</f>
        <v>0</v>
      </c>
      <c r="AM22" s="10">
        <f>IF(預測IC!AM22&gt;預測IC!AM$25,1,0)</f>
        <v>1</v>
      </c>
      <c r="AN22" s="10">
        <f>IF(預測IC!AN22&gt;預測IC!AN$25,1,0)</f>
        <v>1</v>
      </c>
      <c r="AO22" s="10">
        <f>IF(預測IC!AO22&gt;預測IC!AO$25,1,0)</f>
        <v>1</v>
      </c>
      <c r="AP22" s="10">
        <f>IF(預測IC!AP22&gt;預測IC!AP$25,1,0)</f>
        <v>1</v>
      </c>
      <c r="AQ22" s="10">
        <f>IF(預測IC!AQ22&gt;預測IC!AQ$25,1,0)</f>
        <v>0</v>
      </c>
      <c r="AR22" s="10">
        <f>IF(預測IC!AR22&gt;預測IC!AR$25,1,0)</f>
        <v>0</v>
      </c>
      <c r="AS22" s="10">
        <f>IF(預測IC!AS22&gt;預測IC!AS$25,1,0)</f>
        <v>1</v>
      </c>
      <c r="AT22" s="10">
        <f>IF(預測IC!AT22&gt;預測IC!AT$25,1,0)</f>
        <v>1</v>
      </c>
      <c r="AU22" s="10">
        <f>IF(預測IC!AU22&gt;預測IC!AU$25,1,0)</f>
        <v>1</v>
      </c>
      <c r="AV22" s="10">
        <f>IF(預測IC!AV22&gt;預測IC!AV$25,1,0)</f>
        <v>0</v>
      </c>
      <c r="AW22" s="10">
        <f>IF(預測IC!AW22&gt;預測IC!AW$25,1,0)</f>
        <v>0</v>
      </c>
      <c r="AX22" s="10">
        <f>IF(預測IC!AX22&gt;預測IC!AX$25,1,0)</f>
        <v>1</v>
      </c>
      <c r="AY22" s="10">
        <f>IF(預測IC!AY22&gt;預測IC!AY$25,1,0)</f>
        <v>0</v>
      </c>
      <c r="AZ22" s="10">
        <f>IF(預測IC!AZ22&gt;預測IC!AZ$25,1,0)</f>
        <v>1</v>
      </c>
      <c r="BA22" s="10">
        <f>IF(預測IC!BA22&gt;預測IC!BA$25,1,0)</f>
        <v>1</v>
      </c>
      <c r="BB22" s="10">
        <f>IF(預測IC!BB22&gt;預測IC!BB$25,1,0)</f>
        <v>1</v>
      </c>
      <c r="BC22" s="10">
        <f>IF(預測IC!BC22&gt;預測IC!BC$25,1,0)</f>
        <v>0</v>
      </c>
      <c r="BD22" s="10">
        <f>IF(預測IC!BD22&gt;預測IC!BD$25,1,0)</f>
        <v>1</v>
      </c>
      <c r="BE22" s="10">
        <f>IF(預測IC!BE22&gt;預測IC!BE$25,1,0)</f>
        <v>0</v>
      </c>
      <c r="BF22" s="10">
        <f>IF(預測IC!BF22&gt;預測IC!BF$25,1,0)</f>
        <v>1</v>
      </c>
      <c r="BG22" s="10">
        <f>IF(預測IC!BG22&gt;預測IC!BG$25,1,0)</f>
        <v>0</v>
      </c>
      <c r="BH22" s="10">
        <f>IF(預測IC!BH22&gt;預測IC!BH$25,1,0)</f>
        <v>1</v>
      </c>
      <c r="BI22" s="10">
        <f>IF(預測IC!BI22&gt;預測IC!BI$25,1,0)</f>
        <v>0</v>
      </c>
      <c r="BJ22" s="10">
        <f>IF(預測IC!BJ22&gt;預測IC!BJ$25,1,0)</f>
        <v>1</v>
      </c>
      <c r="BK22" s="10">
        <f>IF(預測IC!BK22&gt;預測IC!BK$25,1,0)</f>
        <v>1</v>
      </c>
      <c r="BL22" s="10">
        <f>IF(預測IC!BL22&gt;預測IC!BL$25,1,0)</f>
        <v>1</v>
      </c>
      <c r="BM22" s="10">
        <f>IF(預測IC!BM22&gt;預測IC!BM$25,1,0)</f>
        <v>1</v>
      </c>
      <c r="BN22" s="10">
        <f>IF(預測IC!BN22&gt;預測IC!BN$25,1,0)</f>
        <v>0</v>
      </c>
      <c r="BO22" s="10">
        <f>IF(預測IC!BO22&gt;預測IC!BO$25,1,0)</f>
        <v>0</v>
      </c>
      <c r="BP22" s="10">
        <f>IF(預測IC!BP22&gt;預測IC!BP$25,1,0)</f>
        <v>1</v>
      </c>
      <c r="BQ22" s="10">
        <f>IF(預測IC!BQ22&gt;預測IC!BQ$25,1,0)</f>
        <v>1</v>
      </c>
      <c r="BR22" s="10">
        <f>IF(預測IC!BR22&gt;預測IC!BR$25,1,0)</f>
        <v>0</v>
      </c>
      <c r="BS22" s="10">
        <f>IF(預測IC!BS22&gt;預測IC!BS$25,1,0)</f>
        <v>0</v>
      </c>
      <c r="BT22" s="10">
        <f>IF(預測IC!BT22&gt;預測IC!BT$25,1,0)</f>
        <v>1</v>
      </c>
      <c r="BU22" s="10">
        <f>IF(預測IC!BU22&gt;預測IC!BU$25,1,0)</f>
        <v>0</v>
      </c>
      <c r="BV22" s="10">
        <f>IF(預測IC!BV22&gt;預測IC!BV$25,1,0)</f>
        <v>1</v>
      </c>
      <c r="BW22" s="10">
        <f>IF(預測IC!BW22&gt;預測IC!BW$25,1,0)</f>
        <v>1</v>
      </c>
      <c r="BX22" s="10">
        <f>IF(預測IC!BX22&gt;預測IC!BX$25,1,0)</f>
        <v>1</v>
      </c>
      <c r="BY22" s="10">
        <f>IF(預測IC!BY22&gt;預測IC!BY$25,1,0)</f>
        <v>1</v>
      </c>
      <c r="BZ22" s="10">
        <f>IF(預測IC!BZ22&gt;預測IC!BZ$25,1,0)</f>
        <v>0</v>
      </c>
      <c r="CA22" s="10">
        <f>IF(預測IC!CA22&gt;預測IC!CA$25,1,0)</f>
        <v>0</v>
      </c>
      <c r="CB22" s="10">
        <f>IF(預測IC!CB22&gt;預測IC!CB$25,1,0)</f>
        <v>0</v>
      </c>
      <c r="CC22" s="10">
        <f>IF(預測IC!CC22&gt;預測IC!CC$25,1,0)</f>
        <v>0</v>
      </c>
      <c r="CD22" s="10">
        <f>IF(預測IC!CD22&gt;預測IC!CD$25,1,0)</f>
        <v>0</v>
      </c>
      <c r="CE22" s="10">
        <f>IF(預測IC!CE22&gt;預測IC!CE$25,1,0)</f>
        <v>1</v>
      </c>
      <c r="CF22" s="10">
        <f>IF(預測IC!CF22&gt;預測IC!CF$25,1,0)</f>
        <v>0</v>
      </c>
      <c r="CG22" s="10">
        <f>IF(預測IC!CG22&gt;預測IC!CG$25,1,0)</f>
        <v>0</v>
      </c>
      <c r="CH22" s="10">
        <f>IF(預測IC!CH22&gt;預測IC!CH$25,1,0)</f>
        <v>1</v>
      </c>
      <c r="CI22" s="10">
        <f>IF(預測IC!CI22&gt;預測IC!CI$25,1,0)</f>
        <v>0</v>
      </c>
      <c r="CJ22" s="10">
        <f>IF(預測IC!CJ22&gt;預測IC!CJ$25,1,0)</f>
        <v>1</v>
      </c>
      <c r="CK22" s="10">
        <f>IF(預測IC!CK22&gt;預測IC!CK$25,1,0)</f>
        <v>1</v>
      </c>
      <c r="CL22" s="10">
        <f>IF(預測IC!CL22&gt;預測IC!CL$25,1,0)</f>
        <v>0</v>
      </c>
      <c r="CM22" s="10">
        <f>IF(預測IC!CM22&gt;預測IC!CM$25,1,0)</f>
        <v>1</v>
      </c>
      <c r="CN22" s="10">
        <f>IF(預測IC!CN22&gt;預測IC!CN$25,1,0)</f>
        <v>0</v>
      </c>
      <c r="CO22" s="10">
        <f>IF(預測IC!CO22&gt;預測IC!CO$25,1,0)</f>
        <v>0</v>
      </c>
      <c r="CP22" s="10">
        <f>IF(預測IC!CP22&gt;預測IC!CP$25,1,0)</f>
        <v>1</v>
      </c>
      <c r="CQ22" s="10">
        <f>IF(預測IC!CQ22&gt;預測IC!CQ$25,1,0)</f>
        <v>1</v>
      </c>
      <c r="CR22" s="10">
        <f>IF(預測IC!CR22&gt;預測IC!CR$25,1,0)</f>
        <v>1</v>
      </c>
      <c r="CS22" s="10">
        <f>IF(預測IC!CS22&gt;預測IC!CS$25,1,0)</f>
        <v>0</v>
      </c>
      <c r="CT22" s="10">
        <f>IF(預測IC!CT22&gt;預測IC!CT$25,1,0)</f>
        <v>0</v>
      </c>
      <c r="CU22" s="10">
        <f>IF(預測IC!CU22&gt;預測IC!CU$25,1,0)</f>
        <v>1</v>
      </c>
      <c r="CV22" s="10">
        <f>IF(預測IC!CV22&gt;預測IC!CV$25,1,0)</f>
        <v>0</v>
      </c>
      <c r="CW22" s="10">
        <f>IF(預測IC!CW22&gt;預測IC!CW$25,1,0)</f>
        <v>0</v>
      </c>
      <c r="CX22" s="10">
        <f>IF(預測IC!CX22&gt;預測IC!CX$25,1,0)</f>
        <v>1</v>
      </c>
      <c r="CY22" s="10">
        <f>IF(預測IC!CY22&gt;預測IC!CY$25,1,0)</f>
        <v>0</v>
      </c>
      <c r="CZ22" s="10">
        <f>IF(預測IC!CZ22&gt;預測IC!CZ$25,1,0)</f>
        <v>1</v>
      </c>
      <c r="DA22" s="10">
        <f>IF(預測IC!DA22&gt;預測IC!DA$25,1,0)</f>
        <v>0</v>
      </c>
      <c r="DB22" s="10">
        <f>IF(預測IC!DB22&gt;預測IC!DB$25,1,0)</f>
        <v>1</v>
      </c>
      <c r="DC22" s="10">
        <f>IF(預測IC!DC22&gt;預測IC!DC$25,1,0)</f>
        <v>1</v>
      </c>
      <c r="DD22" s="10">
        <f>IF(預測IC!DD22&gt;預測IC!DD$25,1,0)</f>
        <v>1</v>
      </c>
      <c r="DE22" s="10">
        <f>IF(預測IC!DE22&gt;預測IC!DE$25,1,0)</f>
        <v>0</v>
      </c>
      <c r="DF22" s="10">
        <f>IF(預測IC!DF22&gt;預測IC!DF$25,1,0)</f>
        <v>0</v>
      </c>
      <c r="DG22" s="10">
        <f>IF(預測IC!DG22&gt;預測IC!DG$25,1,0)</f>
        <v>1</v>
      </c>
      <c r="DH22" s="10">
        <f>IF(預測IC!DH22&gt;預測IC!DH$25,1,0)</f>
        <v>0</v>
      </c>
      <c r="DI22" s="10">
        <f>IF(預測IC!DI22&gt;預測IC!DI$25,1,0)</f>
        <v>0</v>
      </c>
      <c r="DJ22" s="10">
        <f>IF(預測IC!DJ22&gt;預測IC!DJ$25,1,0)</f>
        <v>1</v>
      </c>
      <c r="DK22" s="10">
        <f>IF(預測IC!DK22&gt;預測IC!DK$25,1,0)</f>
        <v>0</v>
      </c>
      <c r="DL22" s="10">
        <f>IF(預測IC!DL22&gt;預測IC!DL$25,1,0)</f>
        <v>1</v>
      </c>
      <c r="DM22" s="10">
        <f>IF(預測IC!DM22&gt;預測IC!DM$25,1,0)</f>
        <v>1</v>
      </c>
      <c r="DN22" s="10">
        <f>IF(預測IC!DN22&gt;預測IC!DN$25,1,0)</f>
        <v>1</v>
      </c>
      <c r="DO22" s="10">
        <f>IF(預測IC!DO22&gt;預測IC!DO$25,1,0)</f>
        <v>1</v>
      </c>
      <c r="DP22" s="10">
        <f>IF(預測IC!DP22&gt;預測IC!DP$25,1,0)</f>
        <v>1</v>
      </c>
      <c r="DQ22" s="10">
        <f>IF(預測IC!DQ22&gt;預測IC!DQ$25,1,0)</f>
        <v>0</v>
      </c>
      <c r="DR22" s="10">
        <f>IF(預測IC!DR22&gt;預測IC!DR$25,1,0)</f>
        <v>0</v>
      </c>
      <c r="DS22" s="10">
        <f>IF(預測IC!DS22&gt;預測IC!DS$25,1,0)</f>
        <v>1</v>
      </c>
      <c r="DT22" s="10">
        <f>IF(預測IC!DT22&gt;預測IC!DT$25,1,0)</f>
        <v>0</v>
      </c>
      <c r="DU22" s="10">
        <f>IF(預測IC!DU22&gt;預測IC!DU$25,1,0)</f>
        <v>0</v>
      </c>
      <c r="DV22" s="10">
        <f>IF(預測IC!DV22&gt;預測IC!DV$25,1,0)</f>
        <v>0</v>
      </c>
      <c r="DW22" s="10">
        <f>IF(預測IC!DW22&gt;預測IC!DW$25,1,0)</f>
        <v>1</v>
      </c>
      <c r="DX22" s="10">
        <f>IF(預測IC!DX22&gt;預測IC!DX$25,1,0)</f>
        <v>0</v>
      </c>
      <c r="DY22" s="10">
        <f>IF(預測IC!DY22&gt;預測IC!DY$25,1,0)</f>
        <v>0</v>
      </c>
      <c r="DZ22" s="10">
        <f>IF(預測IC!DZ22&gt;預測IC!DZ$25,1,0)</f>
        <v>0</v>
      </c>
      <c r="EA22" s="10">
        <f>IF(預測IC!EA22&gt;預測IC!EA$25,1,0)</f>
        <v>0</v>
      </c>
      <c r="EB22" s="10">
        <f>IF(預測IC!EB22&gt;預測IC!EB$25,1,0)</f>
        <v>1</v>
      </c>
      <c r="EC22" s="10">
        <f>IF(預測IC!EC22&gt;預測IC!EC$25,1,0)</f>
        <v>1</v>
      </c>
      <c r="ED22" s="10">
        <f>IF(預測IC!ED22&gt;預測IC!ED$25,1,0)</f>
        <v>1</v>
      </c>
      <c r="EE22" s="10">
        <f>IF(預測IC!EE22&gt;預測IC!EE$25,1,0)</f>
        <v>1</v>
      </c>
      <c r="EF22" s="10">
        <f>IF(預測IC!EF22&gt;預測IC!EF$25,1,0)</f>
        <v>1</v>
      </c>
      <c r="EG22" s="10">
        <f>IF(預測IC!EG22&gt;預測IC!EG$25,1,0)</f>
        <v>1</v>
      </c>
      <c r="EH22" s="10">
        <f>IF(預測IC!EH22&gt;預測IC!EH$25,1,0)</f>
        <v>1</v>
      </c>
      <c r="EI22" s="10">
        <f>IF(預測IC!EI22&gt;預測IC!EI$25,1,0)</f>
        <v>0</v>
      </c>
      <c r="EJ22" s="10">
        <f>IF(預測IC!EJ22&gt;預測IC!EJ$25,1,0)</f>
        <v>0</v>
      </c>
      <c r="EK22" s="10">
        <f>IF(預測IC!EK22&gt;預測IC!EK$25,1,0)</f>
        <v>1</v>
      </c>
      <c r="EL22" s="10">
        <f>IF(預測IC!EL22&gt;預測IC!EL$25,1,0)</f>
        <v>0</v>
      </c>
      <c r="EM22" s="6">
        <f t="shared" si="11"/>
        <v>78</v>
      </c>
      <c r="EN22" s="19">
        <f t="shared" si="12"/>
        <v>0.55714285714285716</v>
      </c>
    </row>
    <row r="23" spans="1:144" x14ac:dyDescent="0.3">
      <c r="A23" s="18">
        <v>512</v>
      </c>
      <c r="B23" s="18">
        <f t="shared" si="10"/>
        <v>2</v>
      </c>
      <c r="C23" s="10">
        <f>IF(預測IC!C23&gt;預測IC!C$25,1,0)</f>
        <v>1</v>
      </c>
      <c r="D23" s="10">
        <f>IF(預測IC!D23&gt;預測IC!D$25,1,0)</f>
        <v>1</v>
      </c>
      <c r="E23" s="10">
        <f>IF(預測IC!E23&gt;預測IC!E$25,1,0)</f>
        <v>0</v>
      </c>
      <c r="F23" s="10">
        <f>IF(預測IC!F23&gt;預測IC!F$25,1,0)</f>
        <v>1</v>
      </c>
      <c r="G23" s="10">
        <f>IF(預測IC!G23&gt;預測IC!G$25,1,0)</f>
        <v>0</v>
      </c>
      <c r="H23" s="10">
        <f>IF(預測IC!H23&gt;預測IC!H$25,1,0)</f>
        <v>0</v>
      </c>
      <c r="I23" s="10">
        <f>IF(預測IC!I23&gt;預測IC!I$25,1,0)</f>
        <v>1</v>
      </c>
      <c r="J23" s="10">
        <f>IF(預測IC!J23&gt;預測IC!J$25,1,0)</f>
        <v>0</v>
      </c>
      <c r="K23" s="10">
        <f>IF(預測IC!K23&gt;預測IC!K$25,1,0)</f>
        <v>1</v>
      </c>
      <c r="L23" s="10">
        <f>IF(預測IC!L23&gt;預測IC!L$25,1,0)</f>
        <v>0</v>
      </c>
      <c r="M23" s="10">
        <f>IF(預測IC!M23&gt;預測IC!M$25,1,0)</f>
        <v>1</v>
      </c>
      <c r="N23" s="10">
        <f>IF(預測IC!N23&gt;預測IC!N$25,1,0)</f>
        <v>1</v>
      </c>
      <c r="O23" s="10">
        <f>IF(預測IC!O23&gt;預測IC!O$25,1,0)</f>
        <v>1</v>
      </c>
      <c r="P23" s="10">
        <f>IF(預測IC!P23&gt;預測IC!P$25,1,0)</f>
        <v>0</v>
      </c>
      <c r="Q23" s="10">
        <f>IF(預測IC!Q23&gt;預測IC!Q$25,1,0)</f>
        <v>1</v>
      </c>
      <c r="R23" s="10">
        <f>IF(預測IC!R23&gt;預測IC!R$25,1,0)</f>
        <v>1</v>
      </c>
      <c r="S23" s="10">
        <f>IF(預測IC!S23&gt;預測IC!S$25,1,0)</f>
        <v>1</v>
      </c>
      <c r="T23" s="10">
        <f>IF(預測IC!T23&gt;預測IC!T$25,1,0)</f>
        <v>0</v>
      </c>
      <c r="U23" s="10">
        <f>IF(預測IC!U23&gt;預測IC!U$25,1,0)</f>
        <v>1</v>
      </c>
      <c r="V23" s="10">
        <f>IF(預測IC!V23&gt;預測IC!V$25,1,0)</f>
        <v>1</v>
      </c>
      <c r="W23" s="10">
        <f>IF(預測IC!W23&gt;預測IC!W$25,1,0)</f>
        <v>1</v>
      </c>
      <c r="X23" s="10">
        <f>IF(預測IC!X23&gt;預測IC!X$25,1,0)</f>
        <v>1</v>
      </c>
      <c r="Y23" s="10">
        <f>IF(預測IC!Y23&gt;預測IC!Y$25,1,0)</f>
        <v>0</v>
      </c>
      <c r="Z23" s="10">
        <f>IF(預測IC!Z23&gt;預測IC!Z$25,1,0)</f>
        <v>0</v>
      </c>
      <c r="AA23" s="10">
        <f>IF(預測IC!AA23&gt;預測IC!AA$25,1,0)</f>
        <v>1</v>
      </c>
      <c r="AB23" s="10">
        <f>IF(預測IC!AB23&gt;預測IC!AB$25,1,0)</f>
        <v>0</v>
      </c>
      <c r="AC23" s="10">
        <f>IF(預測IC!AC23&gt;預測IC!AC$25,1,0)</f>
        <v>0</v>
      </c>
      <c r="AD23" s="10">
        <f>IF(預測IC!AD23&gt;預測IC!AD$25,1,0)</f>
        <v>1</v>
      </c>
      <c r="AE23" s="10">
        <f>IF(預測IC!AE23&gt;預測IC!AE$25,1,0)</f>
        <v>1</v>
      </c>
      <c r="AF23" s="10">
        <f>IF(預測IC!AF23&gt;預測IC!AF$25,1,0)</f>
        <v>0</v>
      </c>
      <c r="AG23" s="10">
        <f>IF(預測IC!AG23&gt;預測IC!AG$25,1,0)</f>
        <v>0</v>
      </c>
      <c r="AH23" s="10">
        <f>IF(預測IC!AH23&gt;預測IC!AH$25,1,0)</f>
        <v>0</v>
      </c>
      <c r="AI23" s="10">
        <f>IF(預測IC!AI23&gt;預測IC!AI$25,1,0)</f>
        <v>1</v>
      </c>
      <c r="AJ23" s="10">
        <f>IF(預測IC!AJ23&gt;預測IC!AJ$25,1,0)</f>
        <v>0</v>
      </c>
      <c r="AK23" s="10">
        <f>IF(預測IC!AK23&gt;預測IC!AK$25,1,0)</f>
        <v>1</v>
      </c>
      <c r="AL23" s="10">
        <f>IF(預測IC!AL23&gt;預測IC!AL$25,1,0)</f>
        <v>1</v>
      </c>
      <c r="AM23" s="10">
        <f>IF(預測IC!AM23&gt;預測IC!AM$25,1,0)</f>
        <v>0</v>
      </c>
      <c r="AN23" s="10">
        <f>IF(預測IC!AN23&gt;預測IC!AN$25,1,0)</f>
        <v>1</v>
      </c>
      <c r="AO23" s="10">
        <f>IF(預測IC!AO23&gt;預測IC!AO$25,1,0)</f>
        <v>1</v>
      </c>
      <c r="AP23" s="10">
        <f>IF(預測IC!AP23&gt;預測IC!AP$25,1,0)</f>
        <v>1</v>
      </c>
      <c r="AQ23" s="10">
        <f>IF(預測IC!AQ23&gt;預測IC!AQ$25,1,0)</f>
        <v>0</v>
      </c>
      <c r="AR23" s="10">
        <f>IF(預測IC!AR23&gt;預測IC!AR$25,1,0)</f>
        <v>0</v>
      </c>
      <c r="AS23" s="10">
        <f>IF(預測IC!AS23&gt;預測IC!AS$25,1,0)</f>
        <v>1</v>
      </c>
      <c r="AT23" s="10">
        <f>IF(預測IC!AT23&gt;預測IC!AT$25,1,0)</f>
        <v>0</v>
      </c>
      <c r="AU23" s="10">
        <f>IF(預測IC!AU23&gt;預測IC!AU$25,1,0)</f>
        <v>1</v>
      </c>
      <c r="AV23" s="10">
        <f>IF(預測IC!AV23&gt;預測IC!AV$25,1,0)</f>
        <v>0</v>
      </c>
      <c r="AW23" s="10">
        <f>IF(預測IC!AW23&gt;預測IC!AW$25,1,0)</f>
        <v>0</v>
      </c>
      <c r="AX23" s="10">
        <f>IF(預測IC!AX23&gt;預測IC!AX$25,1,0)</f>
        <v>1</v>
      </c>
      <c r="AY23" s="10">
        <f>IF(預測IC!AY23&gt;預測IC!AY$25,1,0)</f>
        <v>1</v>
      </c>
      <c r="AZ23" s="10">
        <f>IF(預測IC!AZ23&gt;預測IC!AZ$25,1,0)</f>
        <v>1</v>
      </c>
      <c r="BA23" s="10">
        <f>IF(預測IC!BA23&gt;預測IC!BA$25,1,0)</f>
        <v>0</v>
      </c>
      <c r="BB23" s="10">
        <f>IF(預測IC!BB23&gt;預測IC!BB$25,1,0)</f>
        <v>1</v>
      </c>
      <c r="BC23" s="10">
        <f>IF(預測IC!BC23&gt;預測IC!BC$25,1,0)</f>
        <v>0</v>
      </c>
      <c r="BD23" s="10">
        <f>IF(預測IC!BD23&gt;預測IC!BD$25,1,0)</f>
        <v>1</v>
      </c>
      <c r="BE23" s="10">
        <f>IF(預測IC!BE23&gt;預測IC!BE$25,1,0)</f>
        <v>0</v>
      </c>
      <c r="BF23" s="10">
        <f>IF(預測IC!BF23&gt;預測IC!BF$25,1,0)</f>
        <v>1</v>
      </c>
      <c r="BG23" s="10">
        <f>IF(預測IC!BG23&gt;預測IC!BG$25,1,0)</f>
        <v>1</v>
      </c>
      <c r="BH23" s="10">
        <f>IF(預測IC!BH23&gt;預測IC!BH$25,1,0)</f>
        <v>1</v>
      </c>
      <c r="BI23" s="10">
        <f>IF(預測IC!BI23&gt;預測IC!BI$25,1,0)</f>
        <v>0</v>
      </c>
      <c r="BJ23" s="10">
        <f>IF(預測IC!BJ23&gt;預測IC!BJ$25,1,0)</f>
        <v>1</v>
      </c>
      <c r="BK23" s="10">
        <f>IF(預測IC!BK23&gt;預測IC!BK$25,1,0)</f>
        <v>1</v>
      </c>
      <c r="BL23" s="10">
        <f>IF(預測IC!BL23&gt;預測IC!BL$25,1,0)</f>
        <v>1</v>
      </c>
      <c r="BM23" s="10">
        <f>IF(預測IC!BM23&gt;預測IC!BM$25,1,0)</f>
        <v>0</v>
      </c>
      <c r="BN23" s="10">
        <f>IF(預測IC!BN23&gt;預測IC!BN$25,1,0)</f>
        <v>0</v>
      </c>
      <c r="BO23" s="10">
        <f>IF(預測IC!BO23&gt;預測IC!BO$25,1,0)</f>
        <v>1</v>
      </c>
      <c r="BP23" s="10">
        <f>IF(預測IC!BP23&gt;預測IC!BP$25,1,0)</f>
        <v>1</v>
      </c>
      <c r="BQ23" s="10">
        <f>IF(預測IC!BQ23&gt;預測IC!BQ$25,1,0)</f>
        <v>0</v>
      </c>
      <c r="BR23" s="10">
        <f>IF(預測IC!BR23&gt;預測IC!BR$25,1,0)</f>
        <v>0</v>
      </c>
      <c r="BS23" s="10">
        <f>IF(預測IC!BS23&gt;預測IC!BS$25,1,0)</f>
        <v>0</v>
      </c>
      <c r="BT23" s="10">
        <f>IF(預測IC!BT23&gt;預測IC!BT$25,1,0)</f>
        <v>1</v>
      </c>
      <c r="BU23" s="10">
        <f>IF(預測IC!BU23&gt;預測IC!BU$25,1,0)</f>
        <v>1</v>
      </c>
      <c r="BV23" s="10">
        <f>IF(預測IC!BV23&gt;預測IC!BV$25,1,0)</f>
        <v>1</v>
      </c>
      <c r="BW23" s="10">
        <f>IF(預測IC!BW23&gt;預測IC!BW$25,1,0)</f>
        <v>1</v>
      </c>
      <c r="BX23" s="10">
        <f>IF(預測IC!BX23&gt;預測IC!BX$25,1,0)</f>
        <v>1</v>
      </c>
      <c r="BY23" s="10">
        <f>IF(預測IC!BY23&gt;預測IC!BY$25,1,0)</f>
        <v>1</v>
      </c>
      <c r="BZ23" s="10">
        <f>IF(預測IC!BZ23&gt;預測IC!BZ$25,1,0)</f>
        <v>0</v>
      </c>
      <c r="CA23" s="10">
        <f>IF(預測IC!CA23&gt;預測IC!CA$25,1,0)</f>
        <v>1</v>
      </c>
      <c r="CB23" s="10">
        <f>IF(預測IC!CB23&gt;預測IC!CB$25,1,0)</f>
        <v>0</v>
      </c>
      <c r="CC23" s="10">
        <f>IF(預測IC!CC23&gt;預測IC!CC$25,1,0)</f>
        <v>0</v>
      </c>
      <c r="CD23" s="10">
        <f>IF(預測IC!CD23&gt;預測IC!CD$25,1,0)</f>
        <v>0</v>
      </c>
      <c r="CE23" s="10">
        <f>IF(預測IC!CE23&gt;預測IC!CE$25,1,0)</f>
        <v>1</v>
      </c>
      <c r="CF23" s="10">
        <f>IF(預測IC!CF23&gt;預測IC!CF$25,1,0)</f>
        <v>0</v>
      </c>
      <c r="CG23" s="10">
        <f>IF(預測IC!CG23&gt;預測IC!CG$25,1,0)</f>
        <v>0</v>
      </c>
      <c r="CH23" s="10">
        <f>IF(預測IC!CH23&gt;預測IC!CH$25,1,0)</f>
        <v>0</v>
      </c>
      <c r="CI23" s="10">
        <f>IF(預測IC!CI23&gt;預測IC!CI$25,1,0)</f>
        <v>0</v>
      </c>
      <c r="CJ23" s="10">
        <f>IF(預測IC!CJ23&gt;預測IC!CJ$25,1,0)</f>
        <v>1</v>
      </c>
      <c r="CK23" s="10">
        <f>IF(預測IC!CK23&gt;預測IC!CK$25,1,0)</f>
        <v>1</v>
      </c>
      <c r="CL23" s="10">
        <f>IF(預測IC!CL23&gt;預測IC!CL$25,1,0)</f>
        <v>1</v>
      </c>
      <c r="CM23" s="10">
        <f>IF(預測IC!CM23&gt;預測IC!CM$25,1,0)</f>
        <v>1</v>
      </c>
      <c r="CN23" s="10">
        <f>IF(預測IC!CN23&gt;預測IC!CN$25,1,0)</f>
        <v>0</v>
      </c>
      <c r="CO23" s="10">
        <f>IF(預測IC!CO23&gt;預測IC!CO$25,1,0)</f>
        <v>0</v>
      </c>
      <c r="CP23" s="10">
        <f>IF(預測IC!CP23&gt;預測IC!CP$25,1,0)</f>
        <v>1</v>
      </c>
      <c r="CQ23" s="10">
        <f>IF(預測IC!CQ23&gt;預測IC!CQ$25,1,0)</f>
        <v>1</v>
      </c>
      <c r="CR23" s="10">
        <f>IF(預測IC!CR23&gt;預測IC!CR$25,1,0)</f>
        <v>1</v>
      </c>
      <c r="CS23" s="10">
        <f>IF(預測IC!CS23&gt;預測IC!CS$25,1,0)</f>
        <v>0</v>
      </c>
      <c r="CT23" s="10">
        <f>IF(預測IC!CT23&gt;預測IC!CT$25,1,0)</f>
        <v>0</v>
      </c>
      <c r="CU23" s="10">
        <f>IF(預測IC!CU23&gt;預測IC!CU$25,1,0)</f>
        <v>1</v>
      </c>
      <c r="CV23" s="10">
        <f>IF(預測IC!CV23&gt;預測IC!CV$25,1,0)</f>
        <v>0</v>
      </c>
      <c r="CW23" s="10">
        <f>IF(預測IC!CW23&gt;預測IC!CW$25,1,0)</f>
        <v>0</v>
      </c>
      <c r="CX23" s="10">
        <f>IF(預測IC!CX23&gt;預測IC!CX$25,1,0)</f>
        <v>1</v>
      </c>
      <c r="CY23" s="10">
        <f>IF(預測IC!CY23&gt;預測IC!CY$25,1,0)</f>
        <v>0</v>
      </c>
      <c r="CZ23" s="10">
        <f>IF(預測IC!CZ23&gt;預測IC!CZ$25,1,0)</f>
        <v>1</v>
      </c>
      <c r="DA23" s="10">
        <f>IF(預測IC!DA23&gt;預測IC!DA$25,1,0)</f>
        <v>0</v>
      </c>
      <c r="DB23" s="10">
        <f>IF(預測IC!DB23&gt;預測IC!DB$25,1,0)</f>
        <v>1</v>
      </c>
      <c r="DC23" s="10">
        <f>IF(預測IC!DC23&gt;預測IC!DC$25,1,0)</f>
        <v>1</v>
      </c>
      <c r="DD23" s="10">
        <f>IF(預測IC!DD23&gt;預測IC!DD$25,1,0)</f>
        <v>1</v>
      </c>
      <c r="DE23" s="10">
        <f>IF(預測IC!DE23&gt;預測IC!DE$25,1,0)</f>
        <v>0</v>
      </c>
      <c r="DF23" s="10">
        <f>IF(預測IC!DF23&gt;預測IC!DF$25,1,0)</f>
        <v>0</v>
      </c>
      <c r="DG23" s="10">
        <f>IF(預測IC!DG23&gt;預測IC!DG$25,1,0)</f>
        <v>1</v>
      </c>
      <c r="DH23" s="10">
        <f>IF(預測IC!DH23&gt;預測IC!DH$25,1,0)</f>
        <v>0</v>
      </c>
      <c r="DI23" s="10">
        <f>IF(預測IC!DI23&gt;預測IC!DI$25,1,0)</f>
        <v>1</v>
      </c>
      <c r="DJ23" s="10">
        <f>IF(預測IC!DJ23&gt;預測IC!DJ$25,1,0)</f>
        <v>1</v>
      </c>
      <c r="DK23" s="10">
        <f>IF(預測IC!DK23&gt;預測IC!DK$25,1,0)</f>
        <v>0</v>
      </c>
      <c r="DL23" s="10">
        <f>IF(預測IC!DL23&gt;預測IC!DL$25,1,0)</f>
        <v>1</v>
      </c>
      <c r="DM23" s="10">
        <f>IF(預測IC!DM23&gt;預測IC!DM$25,1,0)</f>
        <v>0</v>
      </c>
      <c r="DN23" s="10">
        <f>IF(預測IC!DN23&gt;預測IC!DN$25,1,0)</f>
        <v>1</v>
      </c>
      <c r="DO23" s="10">
        <f>IF(預測IC!DO23&gt;預測IC!DO$25,1,0)</f>
        <v>1</v>
      </c>
      <c r="DP23" s="10">
        <f>IF(預測IC!DP23&gt;預測IC!DP$25,1,0)</f>
        <v>1</v>
      </c>
      <c r="DQ23" s="10">
        <f>IF(預測IC!DQ23&gt;預測IC!DQ$25,1,0)</f>
        <v>0</v>
      </c>
      <c r="DR23" s="10">
        <f>IF(預測IC!DR23&gt;預測IC!DR$25,1,0)</f>
        <v>1</v>
      </c>
      <c r="DS23" s="10">
        <f>IF(預測IC!DS23&gt;預測IC!DS$25,1,0)</f>
        <v>1</v>
      </c>
      <c r="DT23" s="10">
        <f>IF(預測IC!DT23&gt;預測IC!DT$25,1,0)</f>
        <v>0</v>
      </c>
      <c r="DU23" s="10">
        <f>IF(預測IC!DU23&gt;預測IC!DU$25,1,0)</f>
        <v>0</v>
      </c>
      <c r="DV23" s="10">
        <f>IF(預測IC!DV23&gt;預測IC!DV$25,1,0)</f>
        <v>1</v>
      </c>
      <c r="DW23" s="10">
        <f>IF(預測IC!DW23&gt;預測IC!DW$25,1,0)</f>
        <v>1</v>
      </c>
      <c r="DX23" s="10">
        <f>IF(預測IC!DX23&gt;預測IC!DX$25,1,0)</f>
        <v>0</v>
      </c>
      <c r="DY23" s="10">
        <f>IF(預測IC!DY23&gt;預測IC!DY$25,1,0)</f>
        <v>0</v>
      </c>
      <c r="DZ23" s="10">
        <f>IF(預測IC!DZ23&gt;預測IC!DZ$25,1,0)</f>
        <v>0</v>
      </c>
      <c r="EA23" s="10">
        <f>IF(預測IC!EA23&gt;預測IC!EA$25,1,0)</f>
        <v>0</v>
      </c>
      <c r="EB23" s="10">
        <f>IF(預測IC!EB23&gt;預測IC!EB$25,1,0)</f>
        <v>1</v>
      </c>
      <c r="EC23" s="10">
        <f>IF(預測IC!EC23&gt;預測IC!EC$25,1,0)</f>
        <v>0</v>
      </c>
      <c r="ED23" s="10">
        <f>IF(預測IC!ED23&gt;預測IC!ED$25,1,0)</f>
        <v>1</v>
      </c>
      <c r="EE23" s="10">
        <f>IF(預測IC!EE23&gt;預測IC!EE$25,1,0)</f>
        <v>1</v>
      </c>
      <c r="EF23" s="10">
        <f>IF(預測IC!EF23&gt;預測IC!EF$25,1,0)</f>
        <v>0</v>
      </c>
      <c r="EG23" s="10">
        <f>IF(預測IC!EG23&gt;預測IC!EG$25,1,0)</f>
        <v>1</v>
      </c>
      <c r="EH23" s="10">
        <f>IF(預測IC!EH23&gt;預測IC!EH$25,1,0)</f>
        <v>1</v>
      </c>
      <c r="EI23" s="10">
        <f>IF(預測IC!EI23&gt;預測IC!EI$25,1,0)</f>
        <v>0</v>
      </c>
      <c r="EJ23" s="10">
        <f>IF(預測IC!EJ23&gt;預測IC!EJ$25,1,0)</f>
        <v>0</v>
      </c>
      <c r="EK23" s="10">
        <f>IF(預測IC!EK23&gt;預測IC!EK$25,1,0)</f>
        <v>1</v>
      </c>
      <c r="EL23" s="10">
        <f>IF(預測IC!EL23&gt;預測IC!EL$25,1,0)</f>
        <v>0</v>
      </c>
      <c r="EM23" s="6">
        <f t="shared" si="11"/>
        <v>77</v>
      </c>
      <c r="EN23" s="19">
        <f t="shared" si="12"/>
        <v>0.55000000000000004</v>
      </c>
    </row>
    <row r="24" spans="1:144" x14ac:dyDescent="0.3">
      <c r="A24" s="18">
        <v>1051</v>
      </c>
      <c r="B24" s="18">
        <f t="shared" si="10"/>
        <v>1</v>
      </c>
      <c r="C24" s="10">
        <f>IF(預測IC!C24&gt;預測IC!C$25,1,0)</f>
        <v>1</v>
      </c>
      <c r="D24" s="10">
        <f>IF(預測IC!D24&gt;預測IC!D$25,1,0)</f>
        <v>1</v>
      </c>
      <c r="E24" s="10">
        <f>IF(預測IC!E24&gt;預測IC!E$25,1,0)</f>
        <v>0</v>
      </c>
      <c r="F24" s="10">
        <f>IF(預測IC!F24&gt;預測IC!F$25,1,0)</f>
        <v>1</v>
      </c>
      <c r="G24" s="10">
        <f>IF(預測IC!G24&gt;預測IC!G$25,1,0)</f>
        <v>0</v>
      </c>
      <c r="H24" s="10">
        <f>IF(預測IC!H24&gt;預測IC!H$25,1,0)</f>
        <v>0</v>
      </c>
      <c r="I24" s="10">
        <f>IF(預測IC!I24&gt;預測IC!I$25,1,0)</f>
        <v>1</v>
      </c>
      <c r="J24" s="10">
        <f>IF(預測IC!J24&gt;預測IC!J$25,1,0)</f>
        <v>1</v>
      </c>
      <c r="K24" s="10">
        <f>IF(預測IC!K24&gt;預測IC!K$25,1,0)</f>
        <v>1</v>
      </c>
      <c r="L24" s="10">
        <f>IF(預測IC!L24&gt;預測IC!L$25,1,0)</f>
        <v>0</v>
      </c>
      <c r="M24" s="10">
        <f>IF(預測IC!M24&gt;預測IC!M$25,1,0)</f>
        <v>0</v>
      </c>
      <c r="N24" s="10">
        <f>IF(預測IC!N24&gt;預測IC!N$25,1,0)</f>
        <v>1</v>
      </c>
      <c r="O24" s="10">
        <f>IF(預測IC!O24&gt;預測IC!O$25,1,0)</f>
        <v>1</v>
      </c>
      <c r="P24" s="10">
        <f>IF(預測IC!P24&gt;預測IC!P$25,1,0)</f>
        <v>1</v>
      </c>
      <c r="Q24" s="10">
        <f>IF(預測IC!Q24&gt;預測IC!Q$25,1,0)</f>
        <v>1</v>
      </c>
      <c r="R24" s="10">
        <f>IF(預測IC!R24&gt;預測IC!R$25,1,0)</f>
        <v>1</v>
      </c>
      <c r="S24" s="10">
        <f>IF(預測IC!S24&gt;預測IC!S$25,1,0)</f>
        <v>1</v>
      </c>
      <c r="T24" s="10">
        <f>IF(預測IC!T24&gt;預測IC!T$25,1,0)</f>
        <v>0</v>
      </c>
      <c r="U24" s="10">
        <f>IF(預測IC!U24&gt;預測IC!U$25,1,0)</f>
        <v>1</v>
      </c>
      <c r="V24" s="10">
        <f>IF(預測IC!V24&gt;預測IC!V$25,1,0)</f>
        <v>1</v>
      </c>
      <c r="W24" s="10">
        <f>IF(預測IC!W24&gt;預測IC!W$25,1,0)</f>
        <v>1</v>
      </c>
      <c r="X24" s="10">
        <f>IF(預測IC!X24&gt;預測IC!X$25,1,0)</f>
        <v>1</v>
      </c>
      <c r="Y24" s="10">
        <f>IF(預測IC!Y24&gt;預測IC!Y$25,1,0)</f>
        <v>0</v>
      </c>
      <c r="Z24" s="10">
        <f>IF(預測IC!Z24&gt;預測IC!Z$25,1,0)</f>
        <v>0</v>
      </c>
      <c r="AA24" s="10">
        <f>IF(預測IC!AA24&gt;預測IC!AA$25,1,0)</f>
        <v>1</v>
      </c>
      <c r="AB24" s="10">
        <f>IF(預測IC!AB24&gt;預測IC!AB$25,1,0)</f>
        <v>0</v>
      </c>
      <c r="AC24" s="10">
        <f>IF(預測IC!AC24&gt;預測IC!AC$25,1,0)</f>
        <v>1</v>
      </c>
      <c r="AD24" s="10">
        <f>IF(預測IC!AD24&gt;預測IC!AD$25,1,0)</f>
        <v>0</v>
      </c>
      <c r="AE24" s="10">
        <f>IF(預測IC!AE24&gt;預測IC!AE$25,1,0)</f>
        <v>1</v>
      </c>
      <c r="AF24" s="10">
        <f>IF(預測IC!AF24&gt;預測IC!AF$25,1,0)</f>
        <v>1</v>
      </c>
      <c r="AG24" s="10">
        <f>IF(預測IC!AG24&gt;預測IC!AG$25,1,0)</f>
        <v>0</v>
      </c>
      <c r="AH24" s="10">
        <f>IF(預測IC!AH24&gt;預測IC!AH$25,1,0)</f>
        <v>0</v>
      </c>
      <c r="AI24" s="10">
        <f>IF(預測IC!AI24&gt;預測IC!AI$25,1,0)</f>
        <v>1</v>
      </c>
      <c r="AJ24" s="10">
        <f>IF(預測IC!AJ24&gt;預測IC!AJ$25,1,0)</f>
        <v>0</v>
      </c>
      <c r="AK24" s="10">
        <f>IF(預測IC!AK24&gt;預測IC!AK$25,1,0)</f>
        <v>1</v>
      </c>
      <c r="AL24" s="10">
        <f>IF(預測IC!AL24&gt;預測IC!AL$25,1,0)</f>
        <v>1</v>
      </c>
      <c r="AM24" s="10">
        <f>IF(預測IC!AM24&gt;預測IC!AM$25,1,0)</f>
        <v>1</v>
      </c>
      <c r="AN24" s="10">
        <f>IF(預測IC!AN24&gt;預測IC!AN$25,1,0)</f>
        <v>1</v>
      </c>
      <c r="AO24" s="10">
        <f>IF(預測IC!AO24&gt;預測IC!AO$25,1,0)</f>
        <v>1</v>
      </c>
      <c r="AP24" s="10">
        <f>IF(預測IC!AP24&gt;預測IC!AP$25,1,0)</f>
        <v>1</v>
      </c>
      <c r="AQ24" s="10">
        <f>IF(預測IC!AQ24&gt;預測IC!AQ$25,1,0)</f>
        <v>1</v>
      </c>
      <c r="AR24" s="10">
        <f>IF(預測IC!AR24&gt;預測IC!AR$25,1,0)</f>
        <v>0</v>
      </c>
      <c r="AS24" s="10">
        <f>IF(預測IC!AS24&gt;預測IC!AS$25,1,0)</f>
        <v>1</v>
      </c>
      <c r="AT24" s="10">
        <f>IF(預測IC!AT24&gt;預測IC!AT$25,1,0)</f>
        <v>0</v>
      </c>
      <c r="AU24" s="10">
        <f>IF(預測IC!AU24&gt;預測IC!AU$25,1,0)</f>
        <v>1</v>
      </c>
      <c r="AV24" s="10">
        <f>IF(預測IC!AV24&gt;預測IC!AV$25,1,0)</f>
        <v>0</v>
      </c>
      <c r="AW24" s="10">
        <f>IF(預測IC!AW24&gt;預測IC!AW$25,1,0)</f>
        <v>0</v>
      </c>
      <c r="AX24" s="10">
        <f>IF(預測IC!AX24&gt;預測IC!AX$25,1,0)</f>
        <v>1</v>
      </c>
      <c r="AY24" s="10">
        <f>IF(預測IC!AY24&gt;預測IC!AY$25,1,0)</f>
        <v>1</v>
      </c>
      <c r="AZ24" s="10">
        <f>IF(預測IC!AZ24&gt;預測IC!AZ$25,1,0)</f>
        <v>1</v>
      </c>
      <c r="BA24" s="10">
        <f>IF(預測IC!BA24&gt;預測IC!BA$25,1,0)</f>
        <v>0</v>
      </c>
      <c r="BB24" s="10">
        <f>IF(預測IC!BB24&gt;預測IC!BB$25,1,0)</f>
        <v>1</v>
      </c>
      <c r="BC24" s="10">
        <f>IF(預測IC!BC24&gt;預測IC!BC$25,1,0)</f>
        <v>1</v>
      </c>
      <c r="BD24" s="10">
        <f>IF(預測IC!BD24&gt;預測IC!BD$25,1,0)</f>
        <v>1</v>
      </c>
      <c r="BE24" s="10">
        <f>IF(預測IC!BE24&gt;預測IC!BE$25,1,0)</f>
        <v>0</v>
      </c>
      <c r="BF24" s="10">
        <f>IF(預測IC!BF24&gt;預測IC!BF$25,1,0)</f>
        <v>1</v>
      </c>
      <c r="BG24" s="10">
        <f>IF(預測IC!BG24&gt;預測IC!BG$25,1,0)</f>
        <v>0</v>
      </c>
      <c r="BH24" s="10">
        <f>IF(預測IC!BH24&gt;預測IC!BH$25,1,0)</f>
        <v>1</v>
      </c>
      <c r="BI24" s="10">
        <f>IF(預測IC!BI24&gt;預測IC!BI$25,1,0)</f>
        <v>1</v>
      </c>
      <c r="BJ24" s="10">
        <f>IF(預測IC!BJ24&gt;預測IC!BJ$25,1,0)</f>
        <v>0</v>
      </c>
      <c r="BK24" s="10">
        <f>IF(預測IC!BK24&gt;預測IC!BK$25,1,0)</f>
        <v>1</v>
      </c>
      <c r="BL24" s="10">
        <f>IF(預測IC!BL24&gt;預測IC!BL$25,1,0)</f>
        <v>1</v>
      </c>
      <c r="BM24" s="10">
        <f>IF(預測IC!BM24&gt;預測IC!BM$25,1,0)</f>
        <v>1</v>
      </c>
      <c r="BN24" s="10">
        <f>IF(預測IC!BN24&gt;預測IC!BN$25,1,0)</f>
        <v>0</v>
      </c>
      <c r="BO24" s="10">
        <f>IF(預測IC!BO24&gt;預測IC!BO$25,1,0)</f>
        <v>1</v>
      </c>
      <c r="BP24" s="10">
        <f>IF(預測IC!BP24&gt;預測IC!BP$25,1,0)</f>
        <v>1</v>
      </c>
      <c r="BQ24" s="10">
        <f>IF(預測IC!BQ24&gt;預測IC!BQ$25,1,0)</f>
        <v>1</v>
      </c>
      <c r="BR24" s="10">
        <f>IF(預測IC!BR24&gt;預測IC!BR$25,1,0)</f>
        <v>0</v>
      </c>
      <c r="BS24" s="10">
        <f>IF(預測IC!BS24&gt;預測IC!BS$25,1,0)</f>
        <v>0</v>
      </c>
      <c r="BT24" s="10">
        <f>IF(預測IC!BT24&gt;預測IC!BT$25,1,0)</f>
        <v>1</v>
      </c>
      <c r="BU24" s="10">
        <f>IF(預測IC!BU24&gt;預測IC!BU$25,1,0)</f>
        <v>1</v>
      </c>
      <c r="BV24" s="10">
        <f>IF(預測IC!BV24&gt;預測IC!BV$25,1,0)</f>
        <v>1</v>
      </c>
      <c r="BW24" s="10">
        <f>IF(預測IC!BW24&gt;預測IC!BW$25,1,0)</f>
        <v>1</v>
      </c>
      <c r="BX24" s="10">
        <f>IF(預測IC!BX24&gt;預測IC!BX$25,1,0)</f>
        <v>1</v>
      </c>
      <c r="BY24" s="10">
        <f>IF(預測IC!BY24&gt;預測IC!BY$25,1,0)</f>
        <v>1</v>
      </c>
      <c r="BZ24" s="10">
        <f>IF(預測IC!BZ24&gt;預測IC!BZ$25,1,0)</f>
        <v>0</v>
      </c>
      <c r="CA24" s="10">
        <f>IF(預測IC!CA24&gt;預測IC!CA$25,1,0)</f>
        <v>0</v>
      </c>
      <c r="CB24" s="10">
        <f>IF(預測IC!CB24&gt;預測IC!CB$25,1,0)</f>
        <v>0</v>
      </c>
      <c r="CC24" s="10">
        <f>IF(預測IC!CC24&gt;預測IC!CC$25,1,0)</f>
        <v>0</v>
      </c>
      <c r="CD24" s="10">
        <f>IF(預測IC!CD24&gt;預測IC!CD$25,1,0)</f>
        <v>1</v>
      </c>
      <c r="CE24" s="10">
        <f>IF(預測IC!CE24&gt;預測IC!CE$25,1,0)</f>
        <v>1</v>
      </c>
      <c r="CF24" s="10">
        <f>IF(預測IC!CF24&gt;預測IC!CF$25,1,0)</f>
        <v>0</v>
      </c>
      <c r="CG24" s="10">
        <f>IF(預測IC!CG24&gt;預測IC!CG$25,1,0)</f>
        <v>0</v>
      </c>
      <c r="CH24" s="10">
        <f>IF(預測IC!CH24&gt;預測IC!CH$25,1,0)</f>
        <v>0</v>
      </c>
      <c r="CI24" s="10">
        <f>IF(預測IC!CI24&gt;預測IC!CI$25,1,0)</f>
        <v>0</v>
      </c>
      <c r="CJ24" s="10">
        <f>IF(預測IC!CJ24&gt;預測IC!CJ$25,1,0)</f>
        <v>1</v>
      </c>
      <c r="CK24" s="10">
        <f>IF(預測IC!CK24&gt;預測IC!CK$25,1,0)</f>
        <v>1</v>
      </c>
      <c r="CL24" s="10">
        <f>IF(預測IC!CL24&gt;預測IC!CL$25,1,0)</f>
        <v>1</v>
      </c>
      <c r="CM24" s="10">
        <f>IF(預測IC!CM24&gt;預測IC!CM$25,1,0)</f>
        <v>0</v>
      </c>
      <c r="CN24" s="10">
        <f>IF(預測IC!CN24&gt;預測IC!CN$25,1,0)</f>
        <v>1</v>
      </c>
      <c r="CO24" s="10">
        <f>IF(預測IC!CO24&gt;預測IC!CO$25,1,0)</f>
        <v>0</v>
      </c>
      <c r="CP24" s="10">
        <f>IF(預測IC!CP24&gt;預測IC!CP$25,1,0)</f>
        <v>1</v>
      </c>
      <c r="CQ24" s="10">
        <f>IF(預測IC!CQ24&gt;預測IC!CQ$25,1,0)</f>
        <v>1</v>
      </c>
      <c r="CR24" s="10">
        <f>IF(預測IC!CR24&gt;預測IC!CR$25,1,0)</f>
        <v>1</v>
      </c>
      <c r="CS24" s="10">
        <f>IF(預測IC!CS24&gt;預測IC!CS$25,1,0)</f>
        <v>0</v>
      </c>
      <c r="CT24" s="10">
        <f>IF(預測IC!CT24&gt;預測IC!CT$25,1,0)</f>
        <v>1</v>
      </c>
      <c r="CU24" s="10">
        <f>IF(預測IC!CU24&gt;預測IC!CU$25,1,0)</f>
        <v>0</v>
      </c>
      <c r="CV24" s="10">
        <f>IF(預測IC!CV24&gt;預測IC!CV$25,1,0)</f>
        <v>0</v>
      </c>
      <c r="CW24" s="10">
        <f>IF(預測IC!CW24&gt;預測IC!CW$25,1,0)</f>
        <v>1</v>
      </c>
      <c r="CX24" s="10">
        <f>IF(預測IC!CX24&gt;預測IC!CX$25,1,0)</f>
        <v>1</v>
      </c>
      <c r="CY24" s="10">
        <f>IF(預測IC!CY24&gt;預測IC!CY$25,1,0)</f>
        <v>0</v>
      </c>
      <c r="CZ24" s="10">
        <f>IF(預測IC!CZ24&gt;預測IC!CZ$25,1,0)</f>
        <v>1</v>
      </c>
      <c r="DA24" s="10">
        <f>IF(預測IC!DA24&gt;預測IC!DA$25,1,0)</f>
        <v>0</v>
      </c>
      <c r="DB24" s="10">
        <f>IF(預測IC!DB24&gt;預測IC!DB$25,1,0)</f>
        <v>1</v>
      </c>
      <c r="DC24" s="10">
        <f>IF(預測IC!DC24&gt;預測IC!DC$25,1,0)</f>
        <v>0</v>
      </c>
      <c r="DD24" s="10">
        <f>IF(預測IC!DD24&gt;預測IC!DD$25,1,0)</f>
        <v>0</v>
      </c>
      <c r="DE24" s="10">
        <f>IF(預測IC!DE24&gt;預測IC!DE$25,1,0)</f>
        <v>0</v>
      </c>
      <c r="DF24" s="10">
        <f>IF(預測IC!DF24&gt;預測IC!DF$25,1,0)</f>
        <v>1</v>
      </c>
      <c r="DG24" s="10">
        <f>IF(預測IC!DG24&gt;預測IC!DG$25,1,0)</f>
        <v>1</v>
      </c>
      <c r="DH24" s="10">
        <f>IF(預測IC!DH24&gt;預測IC!DH$25,1,0)</f>
        <v>0</v>
      </c>
      <c r="DI24" s="10">
        <f>IF(預測IC!DI24&gt;預測IC!DI$25,1,0)</f>
        <v>0</v>
      </c>
      <c r="DJ24" s="10">
        <f>IF(預測IC!DJ24&gt;預測IC!DJ$25,1,0)</f>
        <v>1</v>
      </c>
      <c r="DK24" s="10">
        <f>IF(預測IC!DK24&gt;預測IC!DK$25,1,0)</f>
        <v>1</v>
      </c>
      <c r="DL24" s="10">
        <f>IF(預測IC!DL24&gt;預測IC!DL$25,1,0)</f>
        <v>0</v>
      </c>
      <c r="DM24" s="10">
        <f>IF(預測IC!DM24&gt;預測IC!DM$25,1,0)</f>
        <v>1</v>
      </c>
      <c r="DN24" s="10">
        <f>IF(預測IC!DN24&gt;預測IC!DN$25,1,0)</f>
        <v>1</v>
      </c>
      <c r="DO24" s="10">
        <f>IF(預測IC!DO24&gt;預測IC!DO$25,1,0)</f>
        <v>1</v>
      </c>
      <c r="DP24" s="10">
        <f>IF(預測IC!DP24&gt;預測IC!DP$25,1,0)</f>
        <v>0</v>
      </c>
      <c r="DQ24" s="10">
        <f>IF(預測IC!DQ24&gt;預測IC!DQ$25,1,0)</f>
        <v>0</v>
      </c>
      <c r="DR24" s="10">
        <f>IF(預測IC!DR24&gt;預測IC!DR$25,1,0)</f>
        <v>0</v>
      </c>
      <c r="DS24" s="10">
        <f>IF(預測IC!DS24&gt;預測IC!DS$25,1,0)</f>
        <v>1</v>
      </c>
      <c r="DT24" s="10">
        <f>IF(預測IC!DT24&gt;預測IC!DT$25,1,0)</f>
        <v>0</v>
      </c>
      <c r="DU24" s="10">
        <f>IF(預測IC!DU24&gt;預測IC!DU$25,1,0)</f>
        <v>0</v>
      </c>
      <c r="DV24" s="10">
        <f>IF(預測IC!DV24&gt;預測IC!DV$25,1,0)</f>
        <v>0</v>
      </c>
      <c r="DW24" s="10">
        <f>IF(預測IC!DW24&gt;預測IC!DW$25,1,0)</f>
        <v>1</v>
      </c>
      <c r="DX24" s="10">
        <f>IF(預測IC!DX24&gt;預測IC!DX$25,1,0)</f>
        <v>1</v>
      </c>
      <c r="DY24" s="10">
        <f>IF(預測IC!DY24&gt;預測IC!DY$25,1,0)</f>
        <v>0</v>
      </c>
      <c r="DZ24" s="10">
        <f>IF(預測IC!DZ24&gt;預測IC!DZ$25,1,0)</f>
        <v>0</v>
      </c>
      <c r="EA24" s="10">
        <f>IF(預測IC!EA24&gt;預測IC!EA$25,1,0)</f>
        <v>0</v>
      </c>
      <c r="EB24" s="10">
        <f>IF(預測IC!EB24&gt;預測IC!EB$25,1,0)</f>
        <v>1</v>
      </c>
      <c r="EC24" s="10">
        <f>IF(預測IC!EC24&gt;預測IC!EC$25,1,0)</f>
        <v>1</v>
      </c>
      <c r="ED24" s="10">
        <f>IF(預測IC!ED24&gt;預測IC!ED$25,1,0)</f>
        <v>0</v>
      </c>
      <c r="EE24" s="10">
        <f>IF(預測IC!EE24&gt;預測IC!EE$25,1,0)</f>
        <v>1</v>
      </c>
      <c r="EF24" s="10">
        <f>IF(預測IC!EF24&gt;預測IC!EF$25,1,0)</f>
        <v>0</v>
      </c>
      <c r="EG24" s="10">
        <f>IF(預測IC!EG24&gt;預測IC!EG$25,1,0)</f>
        <v>1</v>
      </c>
      <c r="EH24" s="10">
        <f>IF(預測IC!EH24&gt;預測IC!EH$25,1,0)</f>
        <v>0</v>
      </c>
      <c r="EI24" s="10">
        <f>IF(預測IC!EI24&gt;預測IC!EI$25,1,0)</f>
        <v>0</v>
      </c>
      <c r="EJ24" s="10">
        <f>IF(預測IC!EJ24&gt;預測IC!EJ$25,1,0)</f>
        <v>0</v>
      </c>
      <c r="EK24" s="10">
        <f>IF(預測IC!EK24&gt;預測IC!EK$25,1,0)</f>
        <v>1</v>
      </c>
      <c r="EL24" s="10">
        <f>IF(預測IC!EL24&gt;預測IC!EL$25,1,0)</f>
        <v>0</v>
      </c>
      <c r="EM24" s="6">
        <f t="shared" si="11"/>
        <v>80</v>
      </c>
      <c r="EN24" s="19">
        <f t="shared" si="12"/>
        <v>0.5714285714285714</v>
      </c>
    </row>
    <row r="25" spans="1:144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</row>
    <row r="26" spans="1:144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4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4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4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4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4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4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</sheetData>
  <mergeCells count="2">
    <mergeCell ref="A6:B6"/>
    <mergeCell ref="A10:B10"/>
  </mergeCells>
  <phoneticPr fontId="1" type="noConversion"/>
  <conditionalFormatting sqref="EM12:EM24">
    <cfRule type="expression" dxfId="1" priority="5">
      <formula>EM12&gt;#REF!</formula>
    </cfRule>
  </conditionalFormatting>
  <conditionalFormatting sqref="EN12:EN24">
    <cfRule type="colorScale" priority="1">
      <colorScale>
        <cfvo type="min"/>
        <cfvo type="max"/>
        <color theme="7" tint="0.79998168889431442"/>
        <color theme="9" tint="0.39997558519241921"/>
      </colorScale>
    </cfRule>
    <cfRule type="expression" dxfId="0" priority="6">
      <formula>EN12&lt;#REF!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L164"/>
  <sheetViews>
    <sheetView topLeftCell="DW6" zoomScale="130" zoomScaleNormal="130" workbookViewId="0">
      <selection activeCell="EL24" sqref="EL24"/>
    </sheetView>
  </sheetViews>
  <sheetFormatPr defaultRowHeight="14.5" x14ac:dyDescent="0.3"/>
  <cols>
    <col min="2" max="2" width="10.19921875" bestFit="1" customWidth="1"/>
  </cols>
  <sheetData>
    <row r="1" spans="1:142" x14ac:dyDescent="0.3">
      <c r="A1" s="6" t="s">
        <v>0</v>
      </c>
    </row>
    <row r="2" spans="1:142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</row>
    <row r="3" spans="1:142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</row>
    <row r="4" spans="1:142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</row>
    <row r="5" spans="1:142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</row>
    <row r="6" spans="1:142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</row>
    <row r="7" spans="1:142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</row>
    <row r="8" spans="1:142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L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</row>
    <row r="10" spans="1:142" x14ac:dyDescent="0.3">
      <c r="A10" s="20" t="s">
        <v>147</v>
      </c>
      <c r="B10" s="21"/>
      <c r="C10" s="6" t="s">
        <v>148</v>
      </c>
      <c r="D10" s="6">
        <v>1051</v>
      </c>
    </row>
    <row r="11" spans="1:142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</row>
    <row r="12" spans="1:142" x14ac:dyDescent="0.3">
      <c r="A12" s="18">
        <v>10</v>
      </c>
      <c r="B12" s="18">
        <f t="shared" ref="B12:B24" si="10">ROUND($D$10/A12,0)</f>
        <v>105</v>
      </c>
      <c r="C12" s="2">
        <v>8.0850794339180423E-3</v>
      </c>
      <c r="D12" s="2">
        <f>C12+預測IC!D12</f>
        <v>9.2349688973652172E-2</v>
      </c>
      <c r="E12" s="2">
        <f>D12+預測IC!E12</f>
        <v>9.6463548975466301E-2</v>
      </c>
      <c r="F12" s="2">
        <f>E12+預測IC!F12</f>
        <v>5.6884048676761591E-2</v>
      </c>
      <c r="G12" s="2">
        <f>F12+預測IC!G12</f>
        <v>2.538742649130276E-2</v>
      </c>
      <c r="H12" s="2">
        <f>G12+預測IC!H12</f>
        <v>3.3221483779898732E-2</v>
      </c>
      <c r="I12" s="2">
        <f>H12+預測IC!I12</f>
        <v>-1.493934393727548E-2</v>
      </c>
      <c r="J12" s="2">
        <f>I12+預測IC!J12</f>
        <v>3.1148296634244239E-2</v>
      </c>
      <c r="K12" s="2">
        <f>J12+預測IC!K12</f>
        <v>4.0911360985153217E-2</v>
      </c>
      <c r="L12" s="2">
        <f>K12+預測IC!L12</f>
        <v>3.840450493421127E-2</v>
      </c>
      <c r="M12" s="2">
        <f>L12+預測IC!M12</f>
        <v>5.511776501952334E-2</v>
      </c>
      <c r="N12" s="2">
        <f>M12+預測IC!N12</f>
        <v>3.0962704060827479E-2</v>
      </c>
      <c r="O12" s="2">
        <f>N12+預測IC!O12</f>
        <v>4.5372090067375137E-2</v>
      </c>
      <c r="P12" s="2">
        <f>O12+預測IC!P12</f>
        <v>4.5009491425847349E-2</v>
      </c>
      <c r="Q12" s="2">
        <f>P12+預測IC!Q12</f>
        <v>5.9683786268578259E-2</v>
      </c>
      <c r="R12" s="2">
        <f>Q12+預測IC!R12</f>
        <v>5.3157107864729478E-2</v>
      </c>
      <c r="S12" s="2">
        <f>R12+預測IC!S12</f>
        <v>8.7638390687601875E-2</v>
      </c>
      <c r="T12" s="2">
        <f>S12+預測IC!T12</f>
        <v>0.14491589549995113</v>
      </c>
      <c r="U12" s="2">
        <f>T12+預測IC!U12</f>
        <v>0.16212014245686227</v>
      </c>
      <c r="V12" s="2">
        <f>U12+預測IC!V12</f>
        <v>0.17229710958274091</v>
      </c>
      <c r="W12" s="2">
        <f>V12+預測IC!W12</f>
        <v>0.19350430443648733</v>
      </c>
      <c r="X12" s="2">
        <f>W12+預測IC!X12</f>
        <v>0.22625077824531045</v>
      </c>
      <c r="Y12" s="2">
        <f>X12+預測IC!Y12</f>
        <v>0.20031228343691823</v>
      </c>
      <c r="Z12" s="2">
        <f>Y12+預測IC!Z12</f>
        <v>0.21373587839760672</v>
      </c>
      <c r="AA12" s="2">
        <f>Z12+預測IC!AA12</f>
        <v>0.17921257732146839</v>
      </c>
      <c r="AB12" s="2">
        <f>AA12+預測IC!AB12</f>
        <v>0.15703662942158625</v>
      </c>
      <c r="AC12" s="2">
        <f>AB12+預測IC!AC12</f>
        <v>0.18700880670779391</v>
      </c>
      <c r="AD12" s="2">
        <f>AC12+預測IC!AD12</f>
        <v>0.19513401298825173</v>
      </c>
      <c r="AE12" s="2">
        <f>AD12+預測IC!AE12</f>
        <v>0.24924633913190053</v>
      </c>
      <c r="AF12" s="2">
        <f>AE12+預測IC!AF12</f>
        <v>0.20802820636859831</v>
      </c>
      <c r="AG12" s="2">
        <f>AF12+預測IC!AG12</f>
        <v>0.24314487317433819</v>
      </c>
      <c r="AH12" s="2">
        <f>AG12+預測IC!AH12</f>
        <v>0.24312349436396247</v>
      </c>
      <c r="AI12" s="2">
        <f>AH12+預測IC!AI12</f>
        <v>0.27430860093309201</v>
      </c>
      <c r="AJ12" s="2">
        <f>AI12+預測IC!AJ12</f>
        <v>0.30749139295525518</v>
      </c>
      <c r="AK12" s="2">
        <f>AJ12+預測IC!AK12</f>
        <v>0.35177163439367509</v>
      </c>
      <c r="AL12" s="2">
        <f>AK12+預測IC!AL12</f>
        <v>0.37210262998168325</v>
      </c>
      <c r="AM12" s="2">
        <f>AL12+預測IC!AM12</f>
        <v>0.38847425765232718</v>
      </c>
      <c r="AN12" s="2">
        <f>AM12+預測IC!AN12</f>
        <v>0.44834066798719979</v>
      </c>
      <c r="AO12" s="2">
        <f>AN12+預測IC!AO12</f>
        <v>0.4663890839430142</v>
      </c>
      <c r="AP12" s="2">
        <f>AO12+預測IC!AP12</f>
        <v>0.48183863415009148</v>
      </c>
      <c r="AQ12" s="2">
        <f>AP12+預測IC!AQ12</f>
        <v>0.45009833182038672</v>
      </c>
      <c r="AR12" s="2">
        <f>AQ12+預測IC!AR12</f>
        <v>0.48494301111712157</v>
      </c>
      <c r="AS12" s="2">
        <f>AR12+預測IC!AS12</f>
        <v>0.46689909625334247</v>
      </c>
      <c r="AT12" s="2">
        <f>AS12+預測IC!AT12</f>
        <v>0.52145028914205072</v>
      </c>
      <c r="AU12" s="2">
        <f>AT12+預測IC!AU12</f>
        <v>0.56112768682174896</v>
      </c>
      <c r="AV12" s="2">
        <f>AU12+預測IC!AV12</f>
        <v>0.52808121739727087</v>
      </c>
      <c r="AW12" s="2">
        <f>AV12+預測IC!AW12</f>
        <v>0.51915797924208806</v>
      </c>
      <c r="AX12" s="2">
        <f>AW12+預測IC!AX12</f>
        <v>0.57981545196441064</v>
      </c>
      <c r="AY12" s="2">
        <f>AX12+預測IC!AY12</f>
        <v>0.57595325210511927</v>
      </c>
      <c r="AZ12" s="2">
        <f>AY12+預測IC!AZ12</f>
        <v>0.55177008928317983</v>
      </c>
      <c r="BA12" s="2">
        <f>AZ12+預測IC!BA12</f>
        <v>0.60504525465598114</v>
      </c>
      <c r="BB12" s="2">
        <f>BA12+預測IC!BB12</f>
        <v>0.59417303278362821</v>
      </c>
      <c r="BC12" s="2">
        <f>BB12+預測IC!BC12</f>
        <v>0.58342796180420042</v>
      </c>
      <c r="BD12" s="2">
        <f>BC12+預測IC!BD12</f>
        <v>0.59279888861980579</v>
      </c>
      <c r="BE12" s="2">
        <f>BD12+預測IC!BE12</f>
        <v>0.57308649751536367</v>
      </c>
      <c r="BF12" s="2">
        <f>BE12+預測IC!BF12</f>
        <v>0.65500826626107822</v>
      </c>
      <c r="BG12" s="2">
        <f>BF12+預測IC!BG12</f>
        <v>0.73268623029842073</v>
      </c>
      <c r="BH12" s="2">
        <f>BG12+預測IC!BH12</f>
        <v>0.76594880562692702</v>
      </c>
      <c r="BI12" s="2">
        <f>BH12+預測IC!BI12</f>
        <v>0.78365035736100286</v>
      </c>
      <c r="BJ12" s="2">
        <f>BI12+預測IC!BJ12</f>
        <v>0.80558654048165068</v>
      </c>
      <c r="BK12" s="2">
        <f>BJ12+預測IC!BK12</f>
        <v>0.77455873620744087</v>
      </c>
      <c r="BL12" s="2">
        <f>BK12+預測IC!BL12</f>
        <v>0.81502296627776516</v>
      </c>
      <c r="BM12" s="2">
        <f>BL12+預測IC!BM12</f>
        <v>0.8512891898959003</v>
      </c>
      <c r="BN12" s="2">
        <f>BM12+預測IC!BN12</f>
        <v>0.85093961891177117</v>
      </c>
      <c r="BO12" s="2">
        <f>BN12+預測IC!BO12</f>
        <v>0.82809318928999698</v>
      </c>
      <c r="BP12" s="2">
        <f>BO12+預測IC!BP12</f>
        <v>0.82753757694680885</v>
      </c>
      <c r="BQ12" s="2">
        <f>BP12+預測IC!BQ12</f>
        <v>0.84917089637268472</v>
      </c>
      <c r="BR12" s="2">
        <f>BQ12+預測IC!BR12</f>
        <v>0.82063505595623876</v>
      </c>
      <c r="BS12" s="2">
        <f>BR12+預測IC!BS12</f>
        <v>0.81653176173243092</v>
      </c>
      <c r="BT12" s="2">
        <f>BS12+預測IC!BT12</f>
        <v>0.81595151595910709</v>
      </c>
      <c r="BU12" s="2">
        <f>BT12+預測IC!BU12</f>
        <v>0.81841039345901001</v>
      </c>
      <c r="BV12" s="2">
        <f>BU12+預測IC!BV12</f>
        <v>0.77696080655462574</v>
      </c>
      <c r="BW12" s="2">
        <f>BV12+預測IC!BW12</f>
        <v>0.78581728153607955</v>
      </c>
      <c r="BX12" s="2">
        <f>BW12+預測IC!BX12</f>
        <v>0.78755676298200394</v>
      </c>
      <c r="BY12" s="2">
        <f>BX12+預測IC!BY12</f>
        <v>0.72501844195256016</v>
      </c>
      <c r="BZ12" s="2">
        <f>BY12+預測IC!BZ12</f>
        <v>0.67931996638090042</v>
      </c>
      <c r="CA12" s="2">
        <f>BZ12+預測IC!CA12</f>
        <v>0.67659398895064249</v>
      </c>
      <c r="CB12" s="2">
        <f>CA12+預測IC!CB12</f>
        <v>0.64206797813243621</v>
      </c>
      <c r="CC12" s="2">
        <f>CB12+預測IC!CC12</f>
        <v>0.67874114638004446</v>
      </c>
      <c r="CD12" s="2">
        <f>CC12+預測IC!CD12</f>
        <v>0.71663280550331987</v>
      </c>
      <c r="CE12" s="2">
        <f>CD12+預測IC!CE12</f>
        <v>0.74723490910976298</v>
      </c>
      <c r="CF12" s="2">
        <f>CE12+預測IC!CF12</f>
        <v>0.74603730733871654</v>
      </c>
      <c r="CG12" s="2">
        <f>CF12+預測IC!CG12</f>
        <v>0.74990989007021092</v>
      </c>
      <c r="CH12" s="2">
        <f>CG12+預測IC!CH12</f>
        <v>0.75795076677625939</v>
      </c>
      <c r="CI12" s="2">
        <f>CH12+預測IC!CI12</f>
        <v>0.71917354868721561</v>
      </c>
      <c r="CJ12" s="2">
        <f>CI12+預測IC!CJ12</f>
        <v>0.68108300850925629</v>
      </c>
      <c r="CK12" s="2">
        <f>CJ12+預測IC!CK12</f>
        <v>0.72628140481648951</v>
      </c>
      <c r="CL12" s="2">
        <f>CK12+預測IC!CL12</f>
        <v>0.70299866068563122</v>
      </c>
      <c r="CM12" s="2">
        <f>CL12+預測IC!CM12</f>
        <v>0.65357602550178262</v>
      </c>
      <c r="CN12" s="2">
        <f>CM12+預測IC!CN12</f>
        <v>0.63771991982877396</v>
      </c>
      <c r="CO12" s="2">
        <f>CN12+預測IC!CO12</f>
        <v>0.62501553883613514</v>
      </c>
      <c r="CP12" s="2">
        <f>CO12+預測IC!CP12</f>
        <v>0.60652519256543602</v>
      </c>
      <c r="CQ12" s="2">
        <f>CP12+預測IC!CQ12</f>
        <v>0.67564124640157819</v>
      </c>
      <c r="CR12" s="2">
        <f>CQ12+預測IC!CR12</f>
        <v>0.68011325096364861</v>
      </c>
      <c r="CS12" s="2">
        <f>CR12+預測IC!CS12</f>
        <v>0.67318200351262847</v>
      </c>
      <c r="CT12" s="2">
        <f>CS12+預測IC!CT12</f>
        <v>0.65663299287004473</v>
      </c>
      <c r="CU12" s="2">
        <f>CT12+預測IC!CU12</f>
        <v>0.75431689168204885</v>
      </c>
      <c r="CV12" s="2">
        <f>CU12+預測IC!CV12</f>
        <v>0.69582160898104806</v>
      </c>
      <c r="CW12" s="2">
        <f>CV12+預測IC!CW12</f>
        <v>0.74485352328657273</v>
      </c>
      <c r="CX12" s="2">
        <f>CW12+預測IC!CX12</f>
        <v>0.70315769536516837</v>
      </c>
      <c r="CY12" s="2">
        <f>CX12+預測IC!CY12</f>
        <v>0.67527403553887944</v>
      </c>
      <c r="CZ12" s="2">
        <f>CY12+預測IC!CZ12</f>
        <v>0.68776003724658641</v>
      </c>
      <c r="DA12" s="2">
        <f>CZ12+預測IC!DA12</f>
        <v>0.71208491065107804</v>
      </c>
      <c r="DB12" s="2">
        <f>DA12+預測IC!DB12</f>
        <v>0.74443906023931872</v>
      </c>
      <c r="DC12" s="2">
        <f>DB12+預測IC!DC12</f>
        <v>0.72172007770043045</v>
      </c>
      <c r="DD12" s="2">
        <f>DC12+預測IC!DD12</f>
        <v>0.78344250170473639</v>
      </c>
      <c r="DE12" s="2">
        <f>DD12+預測IC!DE12</f>
        <v>0.78120098765083734</v>
      </c>
      <c r="DF12" s="2">
        <f>DE12+預測IC!DF12</f>
        <v>0.7850755842592011</v>
      </c>
      <c r="DG12" s="2">
        <f>DF12+預測IC!DG12</f>
        <v>0.82934645864026391</v>
      </c>
      <c r="DH12" s="2">
        <f>DG12+預測IC!DH12</f>
        <v>0.80451983743257516</v>
      </c>
      <c r="DI12" s="2">
        <f>DH12+預測IC!DI12</f>
        <v>0.83596808545356538</v>
      </c>
      <c r="DJ12" s="2">
        <f>DI12+預測IC!DJ12</f>
        <v>0.82212618301553331</v>
      </c>
      <c r="DK12" s="2">
        <f>DJ12+預測IC!DK12</f>
        <v>0.83230899115179779</v>
      </c>
      <c r="DL12" s="2">
        <f>DK12+預測IC!DL12</f>
        <v>0.83096077024256332</v>
      </c>
      <c r="DM12" s="2">
        <f>DL12+預測IC!DM12</f>
        <v>0.85394066317143646</v>
      </c>
      <c r="DN12" s="2">
        <f>DM12+預測IC!DN12</f>
        <v>0.83857191024383482</v>
      </c>
      <c r="DO12" s="2">
        <f>DN12+預測IC!DO12</f>
        <v>0.87824860481440914</v>
      </c>
      <c r="DP12" s="2">
        <f>DO12+預測IC!DP12</f>
        <v>0.94117521013408234</v>
      </c>
      <c r="DQ12" s="2">
        <f>DP12+預測IC!DQ12</f>
        <v>0.8867612297880868</v>
      </c>
      <c r="DR12" s="2">
        <f>DQ12+預測IC!DR12</f>
        <v>0.86775503716587987</v>
      </c>
      <c r="DS12" s="2">
        <f>DR12+預測IC!DS12</f>
        <v>0.80718139412081691</v>
      </c>
      <c r="DT12" s="2">
        <f>DS12+預測IC!DT12</f>
        <v>0.84965842935602598</v>
      </c>
      <c r="DU12" s="2">
        <f>DT12+預測IC!DU12</f>
        <v>0.82094301593030106</v>
      </c>
      <c r="DV12" s="2">
        <f>DU12+預測IC!DV12</f>
        <v>0.80762821625895598</v>
      </c>
      <c r="DW12" s="2">
        <f>DV12+預測IC!DW12</f>
        <v>0.80921360000165732</v>
      </c>
      <c r="DX12" s="2">
        <f>DW12+預測IC!DX12</f>
        <v>0.78926284011493764</v>
      </c>
      <c r="DY12" s="2">
        <f>DX12+預測IC!DY12</f>
        <v>0.77822376124140613</v>
      </c>
      <c r="DZ12" s="2">
        <f>DY12+預測IC!DZ12</f>
        <v>0.76465914792565093</v>
      </c>
      <c r="EA12" s="2">
        <f>DZ12+預測IC!EA12</f>
        <v>0.74198519538909724</v>
      </c>
      <c r="EB12" s="2">
        <f>EA12+預測IC!EB12</f>
        <v>0.77187308376843544</v>
      </c>
      <c r="EC12" s="2">
        <f>EB12+預測IC!EC12</f>
        <v>0.74142851877951998</v>
      </c>
      <c r="ED12" s="2">
        <f>EC12+預測IC!ED12</f>
        <v>0.75877083926966893</v>
      </c>
      <c r="EE12" s="2">
        <f>ED12+預測IC!EE12</f>
        <v>0.75770258246635303</v>
      </c>
      <c r="EF12" s="2">
        <f>EE12+預測IC!EF12</f>
        <v>0.74440122947806975</v>
      </c>
      <c r="EG12" s="2">
        <f>EF12+預測IC!EG12</f>
        <v>0.7320786867179081</v>
      </c>
      <c r="EH12" s="2">
        <f>EG12+預測IC!EH12</f>
        <v>0.71607371869155412</v>
      </c>
      <c r="EI12" s="2">
        <f>EH12+預測IC!EI12</f>
        <v>0.69205243713919662</v>
      </c>
      <c r="EJ12" s="2">
        <f>EI12+預測IC!EJ12</f>
        <v>0.72762726101994923</v>
      </c>
      <c r="EK12" s="2">
        <f>EJ12+預測IC!EK12</f>
        <v>0.77033373945253192</v>
      </c>
      <c r="EL12" s="2">
        <f>EK12+預測IC!EL12</f>
        <v>0.75644396409612735</v>
      </c>
    </row>
    <row r="13" spans="1:142" x14ac:dyDescent="0.3">
      <c r="A13" s="18">
        <v>20</v>
      </c>
      <c r="B13" s="18">
        <f t="shared" si="10"/>
        <v>53</v>
      </c>
      <c r="C13" s="2">
        <v>-2.950459453302642E-2</v>
      </c>
      <c r="D13" s="2">
        <f>C13+預測IC!D13</f>
        <v>8.901384869182967E-2</v>
      </c>
      <c r="E13" s="2">
        <f>D13+預測IC!E13</f>
        <v>7.8513805628093153E-2</v>
      </c>
      <c r="F13" s="2">
        <f>E13+預測IC!F13</f>
        <v>7.3387535606092194E-2</v>
      </c>
      <c r="G13" s="2">
        <f>F13+預測IC!G13</f>
        <v>3.0116820420137191E-2</v>
      </c>
      <c r="H13" s="2">
        <f>G13+預測IC!H13</f>
        <v>1.7022322396859812E-2</v>
      </c>
      <c r="I13" s="2">
        <f>H13+預測IC!I13</f>
        <v>-4.1304317466288432E-2</v>
      </c>
      <c r="J13" s="2">
        <f>I13+預測IC!J13</f>
        <v>2.6131618697639122E-2</v>
      </c>
      <c r="K13" s="2">
        <f>J13+預測IC!K13</f>
        <v>4.5304315599807701E-2</v>
      </c>
      <c r="L13" s="2">
        <f>K13+預測IC!L13</f>
        <v>4.8619555882099472E-2</v>
      </c>
      <c r="M13" s="2">
        <f>L13+預測IC!M13</f>
        <v>3.7547547408659281E-2</v>
      </c>
      <c r="N13" s="2">
        <f>M13+預測IC!N13</f>
        <v>3.654546599668243E-2</v>
      </c>
      <c r="O13" s="2">
        <f>N13+預測IC!O13</f>
        <v>5.6140078098629073E-2</v>
      </c>
      <c r="P13" s="2">
        <f>O13+預測IC!P13</f>
        <v>6.3282802783136555E-2</v>
      </c>
      <c r="Q13" s="2">
        <f>P13+預測IC!Q13</f>
        <v>7.9332809310316457E-2</v>
      </c>
      <c r="R13" s="2">
        <f>Q13+預測IC!R13</f>
        <v>6.5268487455576035E-2</v>
      </c>
      <c r="S13" s="2">
        <f>R13+預測IC!S13</f>
        <v>0.12969731202537813</v>
      </c>
      <c r="T13" s="2">
        <f>S13+預測IC!T13</f>
        <v>0.18874908871599702</v>
      </c>
      <c r="U13" s="2">
        <f>T13+預測IC!U13</f>
        <v>0.26048209270535078</v>
      </c>
      <c r="V13" s="2">
        <f>U13+預測IC!V13</f>
        <v>0.2849400945467746</v>
      </c>
      <c r="W13" s="2">
        <f>V13+預測IC!W13</f>
        <v>0.29206873190463484</v>
      </c>
      <c r="X13" s="2">
        <f>W13+預測IC!X13</f>
        <v>0.32986104089079799</v>
      </c>
      <c r="Y13" s="2">
        <f>X13+預測IC!Y13</f>
        <v>0.29523119457348351</v>
      </c>
      <c r="Z13" s="2">
        <f>Y13+預測IC!Z13</f>
        <v>0.30712595101284951</v>
      </c>
      <c r="AA13" s="2">
        <f>Z13+預測IC!AA13</f>
        <v>0.28548576077231236</v>
      </c>
      <c r="AB13" s="2">
        <f>AA13+預測IC!AB13</f>
        <v>0.26152430895306134</v>
      </c>
      <c r="AC13" s="2">
        <f>AB13+預測IC!AC13</f>
        <v>0.28296573309958684</v>
      </c>
      <c r="AD13" s="2">
        <f>AC13+預測IC!AD13</f>
        <v>0.28672932868511364</v>
      </c>
      <c r="AE13" s="2">
        <f>AD13+預測IC!AE13</f>
        <v>0.35911731116371548</v>
      </c>
      <c r="AF13" s="2">
        <f>AE13+預測IC!AF13</f>
        <v>0.29145735562218572</v>
      </c>
      <c r="AG13" s="2">
        <f>AF13+預測IC!AG13</f>
        <v>0.32573517715071548</v>
      </c>
      <c r="AH13" s="2">
        <f>AG13+預測IC!AH13</f>
        <v>0.31619988365056351</v>
      </c>
      <c r="AI13" s="2">
        <f>AH13+預測IC!AI13</f>
        <v>0.37179129915842724</v>
      </c>
      <c r="AJ13" s="2">
        <f>AI13+預測IC!AJ13</f>
        <v>0.40254086303998676</v>
      </c>
      <c r="AK13" s="2">
        <f>AJ13+預測IC!AK13</f>
        <v>0.43861256136882432</v>
      </c>
      <c r="AL13" s="2">
        <f>AK13+預測IC!AL13</f>
        <v>0.46137647706880669</v>
      </c>
      <c r="AM13" s="2">
        <f>AL13+預測IC!AM13</f>
        <v>0.48925392985804572</v>
      </c>
      <c r="AN13" s="2">
        <f>AM13+預測IC!AN13</f>
        <v>0.57947675601095583</v>
      </c>
      <c r="AO13" s="2">
        <f>AN13+預測IC!AO13</f>
        <v>0.60289666302625833</v>
      </c>
      <c r="AP13" s="2">
        <f>AO13+預測IC!AP13</f>
        <v>0.61368100185058794</v>
      </c>
      <c r="AQ13" s="2">
        <f>AP13+預測IC!AQ13</f>
        <v>0.58922907404292357</v>
      </c>
      <c r="AR13" s="2">
        <f>AQ13+預測IC!AR13</f>
        <v>0.6528710657334762</v>
      </c>
      <c r="AS13" s="2">
        <f>AR13+預測IC!AS13</f>
        <v>0.65636010480202545</v>
      </c>
      <c r="AT13" s="2">
        <f>AS13+預測IC!AT13</f>
        <v>0.72165146819891324</v>
      </c>
      <c r="AU13" s="2">
        <f>AT13+預測IC!AU13</f>
        <v>0.77283952935223121</v>
      </c>
      <c r="AV13" s="2">
        <f>AU13+預測IC!AV13</f>
        <v>0.74725662895626632</v>
      </c>
      <c r="AW13" s="2">
        <f>AV13+預測IC!AW13</f>
        <v>0.71764042766995684</v>
      </c>
      <c r="AX13" s="2">
        <f>AW13+預測IC!AX13</f>
        <v>0.79814504248975671</v>
      </c>
      <c r="AY13" s="2">
        <f>AX13+預測IC!AY13</f>
        <v>0.79824829696305344</v>
      </c>
      <c r="AZ13" s="2">
        <f>AY13+預測IC!AZ13</f>
        <v>0.76886010792980108</v>
      </c>
      <c r="BA13" s="2">
        <f>AZ13+預測IC!BA13</f>
        <v>0.84341687031190837</v>
      </c>
      <c r="BB13" s="2">
        <f>BA13+預測IC!BB13</f>
        <v>0.82748356768249343</v>
      </c>
      <c r="BC13" s="2">
        <f>BB13+預測IC!BC13</f>
        <v>0.81329510347656431</v>
      </c>
      <c r="BD13" s="2">
        <f>BC13+預測IC!BD13</f>
        <v>0.81665225931817165</v>
      </c>
      <c r="BE13" s="2">
        <f>BD13+預測IC!BE13</f>
        <v>0.75949227918388751</v>
      </c>
      <c r="BF13" s="2">
        <f>BE13+預測IC!BF13</f>
        <v>0.87264937639598217</v>
      </c>
      <c r="BG13" s="2">
        <f>BF13+預測IC!BG13</f>
        <v>0.98723043446417802</v>
      </c>
      <c r="BH13" s="2">
        <f>BG13+預測IC!BH13</f>
        <v>1.034956600990202</v>
      </c>
      <c r="BI13" s="2">
        <f>BH13+預測IC!BI13</f>
        <v>1.0913279644399034</v>
      </c>
      <c r="BJ13" s="2">
        <f>BI13+預測IC!BJ13</f>
        <v>1.1186725155275414</v>
      </c>
      <c r="BK13" s="2">
        <f>BJ13+預測IC!BK13</f>
        <v>1.0962878484229674</v>
      </c>
      <c r="BL13" s="2">
        <f>BK13+預測IC!BL13</f>
        <v>1.1286852571761783</v>
      </c>
      <c r="BM13" s="2">
        <f>BL13+預測IC!BM13</f>
        <v>1.1705010324670606</v>
      </c>
      <c r="BN13" s="2">
        <f>BM13+預測IC!BN13</f>
        <v>1.1554943499569852</v>
      </c>
      <c r="BO13" s="2">
        <f>BN13+預測IC!BO13</f>
        <v>1.1195597978351055</v>
      </c>
      <c r="BP13" s="2">
        <f>BO13+預測IC!BP13</f>
        <v>1.114860848162134</v>
      </c>
      <c r="BQ13" s="2">
        <f>BP13+預測IC!BQ13</f>
        <v>1.1277157213354676</v>
      </c>
      <c r="BR13" s="2">
        <f>BQ13+預測IC!BR13</f>
        <v>1.0846361178062318</v>
      </c>
      <c r="BS13" s="2">
        <f>BR13+預測IC!BS13</f>
        <v>1.0765795603637094</v>
      </c>
      <c r="BT13" s="2">
        <f>BS13+預測IC!BT13</f>
        <v>1.0623021766764371</v>
      </c>
      <c r="BU13" s="2">
        <f>BT13+預測IC!BU13</f>
        <v>1.0970867614938045</v>
      </c>
      <c r="BV13" s="2">
        <f>BU13+預測IC!BV13</f>
        <v>1.073542875986667</v>
      </c>
      <c r="BW13" s="2">
        <f>BV13+預測IC!BW13</f>
        <v>1.0884269125364885</v>
      </c>
      <c r="BX13" s="2">
        <f>BW13+預測IC!BX13</f>
        <v>1.1076322084254504</v>
      </c>
      <c r="BY13" s="2">
        <f>BX13+預測IC!BY13</f>
        <v>1.0188390521365789</v>
      </c>
      <c r="BZ13" s="2">
        <f>BY13+預測IC!BZ13</f>
        <v>0.97749523459961352</v>
      </c>
      <c r="CA13" s="2">
        <f>BZ13+預測IC!CA13</f>
        <v>0.98644589091164192</v>
      </c>
      <c r="CB13" s="2">
        <f>CA13+預測IC!CB13</f>
        <v>0.95960856569915565</v>
      </c>
      <c r="CC13" s="2">
        <f>CB13+預測IC!CC13</f>
        <v>0.98873438595353003</v>
      </c>
      <c r="CD13" s="2">
        <f>CC13+預測IC!CD13</f>
        <v>1.0584723953342099</v>
      </c>
      <c r="CE13" s="2">
        <f>CD13+預測IC!CE13</f>
        <v>1.0913665644153741</v>
      </c>
      <c r="CF13" s="2">
        <f>CE13+預測IC!CF13</f>
        <v>1.0830352584810563</v>
      </c>
      <c r="CG13" s="2">
        <f>CF13+預測IC!CG13</f>
        <v>1.0848819122910309</v>
      </c>
      <c r="CH13" s="2">
        <f>CG13+預測IC!CH13</f>
        <v>1.1346521341896414</v>
      </c>
      <c r="CI13" s="2">
        <f>CH13+預測IC!CI13</f>
        <v>1.083495462422976</v>
      </c>
      <c r="CJ13" s="2">
        <f>CI13+預測IC!CJ13</f>
        <v>1.0417146879692425</v>
      </c>
      <c r="CK13" s="2">
        <f>CJ13+預測IC!CK13</f>
        <v>1.0862472972354642</v>
      </c>
      <c r="CL13" s="2">
        <f>CK13+預測IC!CL13</f>
        <v>1.0798508680506098</v>
      </c>
      <c r="CM13" s="2">
        <f>CL13+預測IC!CM13</f>
        <v>1.0123829152178985</v>
      </c>
      <c r="CN13" s="2">
        <f>CM13+預測IC!CN13</f>
        <v>0.98679208432416454</v>
      </c>
      <c r="CO13" s="2">
        <f>CN13+預測IC!CO13</f>
        <v>0.9452090159112787</v>
      </c>
      <c r="CP13" s="2">
        <f>CO13+預測IC!CP13</f>
        <v>0.9535892799143697</v>
      </c>
      <c r="CQ13" s="2">
        <f>CP13+預測IC!CQ13</f>
        <v>1.0266915677148098</v>
      </c>
      <c r="CR13" s="2">
        <f>CQ13+預測IC!CR13</f>
        <v>1.0366447312763851</v>
      </c>
      <c r="CS13" s="2">
        <f>CR13+預測IC!CS13</f>
        <v>1.024304444271994</v>
      </c>
      <c r="CT13" s="2">
        <f>CS13+預測IC!CT13</f>
        <v>0.99350189028954061</v>
      </c>
      <c r="CU13" s="2">
        <f>CT13+預測IC!CU13</f>
        <v>1.1024439321317112</v>
      </c>
      <c r="CV13" s="2">
        <f>CU13+預測IC!CV13</f>
        <v>1.0340172142776232</v>
      </c>
      <c r="CW13" s="2">
        <f>CV13+預測IC!CW13</f>
        <v>1.0898280691756099</v>
      </c>
      <c r="CX13" s="2">
        <f>CW13+預測IC!CX13</f>
        <v>1.0405683351349073</v>
      </c>
      <c r="CY13" s="2">
        <f>CX13+預測IC!CY13</f>
        <v>0.98704422949811887</v>
      </c>
      <c r="CZ13" s="2">
        <f>CY13+預測IC!CZ13</f>
        <v>0.98434480935913315</v>
      </c>
      <c r="DA13" s="2">
        <f>CZ13+預測IC!DA13</f>
        <v>1.0238947692144607</v>
      </c>
      <c r="DB13" s="2">
        <f>DA13+預測IC!DB13</f>
        <v>1.0726182741324868</v>
      </c>
      <c r="DC13" s="2">
        <f>DB13+預測IC!DC13</f>
        <v>1.0169232133635993</v>
      </c>
      <c r="DD13" s="2">
        <f>DC13+預測IC!DD13</f>
        <v>1.1047590889465972</v>
      </c>
      <c r="DE13" s="2">
        <f>DD13+預測IC!DE13</f>
        <v>1.1308917092998449</v>
      </c>
      <c r="DF13" s="2">
        <f>DE13+預測IC!DF13</f>
        <v>1.1067774330510061</v>
      </c>
      <c r="DG13" s="2">
        <f>DF13+預測IC!DG13</f>
        <v>1.1763030540709383</v>
      </c>
      <c r="DH13" s="2">
        <f>DG13+預測IC!DH13</f>
        <v>1.1483613970754887</v>
      </c>
      <c r="DI13" s="2">
        <f>DH13+預測IC!DI13</f>
        <v>1.1630227249952838</v>
      </c>
      <c r="DJ13" s="2">
        <f>DI13+預測IC!DJ13</f>
        <v>1.1565883997570858</v>
      </c>
      <c r="DK13" s="2">
        <f>DJ13+預測IC!DK13</f>
        <v>1.1489898542114156</v>
      </c>
      <c r="DL13" s="2">
        <f>DK13+預測IC!DL13</f>
        <v>1.1657467289857106</v>
      </c>
      <c r="DM13" s="2">
        <f>DL13+預測IC!DM13</f>
        <v>1.2116874084074347</v>
      </c>
      <c r="DN13" s="2">
        <f>DM13+預測IC!DN13</f>
        <v>1.2247234569304144</v>
      </c>
      <c r="DO13" s="2">
        <f>DN13+預測IC!DO13</f>
        <v>1.2816263719404133</v>
      </c>
      <c r="DP13" s="2">
        <f>DO13+預測IC!DP13</f>
        <v>1.3605162732180962</v>
      </c>
      <c r="DQ13" s="2">
        <f>DP13+預測IC!DQ13</f>
        <v>1.2956431234699319</v>
      </c>
      <c r="DR13" s="2">
        <f>DQ13+預測IC!DR13</f>
        <v>1.2842465104088463</v>
      </c>
      <c r="DS13" s="2">
        <f>DR13+預測IC!DS13</f>
        <v>1.2277512556640298</v>
      </c>
      <c r="DT13" s="2">
        <f>DS13+預測IC!DT13</f>
        <v>1.2608154136344707</v>
      </c>
      <c r="DU13" s="2">
        <f>DT13+預測IC!DU13</f>
        <v>1.252052034853453</v>
      </c>
      <c r="DV13" s="2">
        <f>DU13+預測IC!DV13</f>
        <v>1.2344843094166451</v>
      </c>
      <c r="DW13" s="2">
        <f>DV13+預測IC!DW13</f>
        <v>1.2178789015290352</v>
      </c>
      <c r="DX13" s="2">
        <f>DW13+預測IC!DX13</f>
        <v>1.2050159253556558</v>
      </c>
      <c r="DY13" s="2">
        <f>DX13+預測IC!DY13</f>
        <v>1.1756056694870896</v>
      </c>
      <c r="DZ13" s="2">
        <f>DY13+預測IC!DZ13</f>
        <v>1.1530721680460454</v>
      </c>
      <c r="EA13" s="2">
        <f>DZ13+預測IC!EA13</f>
        <v>1.125561316164992</v>
      </c>
      <c r="EB13" s="2">
        <f>EA13+預測IC!EB13</f>
        <v>1.1856863388399395</v>
      </c>
      <c r="EC13" s="2">
        <f>EB13+預測IC!EC13</f>
        <v>1.1896519746782244</v>
      </c>
      <c r="ED13" s="2">
        <f>EC13+預測IC!ED13</f>
        <v>1.1757734032468328</v>
      </c>
      <c r="EE13" s="2">
        <f>ED13+預測IC!EE13</f>
        <v>1.1706741318577281</v>
      </c>
      <c r="EF13" s="2">
        <f>EE13+預測IC!EF13</f>
        <v>1.1448631287239801</v>
      </c>
      <c r="EG13" s="2">
        <f>EF13+預測IC!EG13</f>
        <v>1.098103325985107</v>
      </c>
      <c r="EH13" s="2">
        <f>EG13+預測IC!EH13</f>
        <v>1.0795740971133496</v>
      </c>
      <c r="EI13" s="2">
        <f>EH13+預測IC!EI13</f>
        <v>1.0416425011630899</v>
      </c>
      <c r="EJ13" s="2">
        <f>EI13+預測IC!EJ13</f>
        <v>1.0840405423357662</v>
      </c>
      <c r="EK13" s="2">
        <f>EJ13+預測IC!EK13</f>
        <v>1.1253535540670307</v>
      </c>
      <c r="EL13" s="2">
        <f>EK13+預測IC!EL13</f>
        <v>1.1841392534232427</v>
      </c>
    </row>
    <row r="14" spans="1:142" x14ac:dyDescent="0.3">
      <c r="A14" s="18">
        <v>50</v>
      </c>
      <c r="B14" s="18">
        <f t="shared" si="10"/>
        <v>21</v>
      </c>
      <c r="C14" s="2">
        <v>-5.6853263530549307E-2</v>
      </c>
      <c r="D14" s="2">
        <f>C14+預測IC!D14</f>
        <v>9.5396674969330575E-2</v>
      </c>
      <c r="E14" s="2">
        <f>D14+預測IC!E14</f>
        <v>7.7342482022871778E-2</v>
      </c>
      <c r="F14" s="2">
        <f>E14+預測IC!F14</f>
        <v>0.1062177226235357</v>
      </c>
      <c r="G14" s="2">
        <f>F14+預測IC!G14</f>
        <v>5.2802631659594368E-2</v>
      </c>
      <c r="H14" s="2">
        <f>G14+預測IC!H14</f>
        <v>6.6865046106639736E-2</v>
      </c>
      <c r="I14" s="2">
        <f>H14+預測IC!I14</f>
        <v>7.1844448838203137E-3</v>
      </c>
      <c r="J14" s="2">
        <f>I14+預測IC!J14</f>
        <v>4.3861583627406574E-2</v>
      </c>
      <c r="K14" s="2">
        <f>J14+預測IC!K14</f>
        <v>6.3414431436796953E-2</v>
      </c>
      <c r="L14" s="2">
        <f>K14+預測IC!L14</f>
        <v>1.7459846401288344E-2</v>
      </c>
      <c r="M14" s="2">
        <f>L14+預測IC!M14</f>
        <v>3.7088014516071577E-2</v>
      </c>
      <c r="N14" s="2">
        <f>M14+預測IC!N14</f>
        <v>8.657107361045166E-2</v>
      </c>
      <c r="O14" s="2">
        <f>N14+預測IC!O14</f>
        <v>0.10920764495741188</v>
      </c>
      <c r="P14" s="2">
        <f>O14+預測IC!P14</f>
        <v>0.14328359679874561</v>
      </c>
      <c r="Q14" s="2">
        <f>P14+預測IC!Q14</f>
        <v>0.20186791509187521</v>
      </c>
      <c r="R14" s="2">
        <f>Q14+預測IC!R14</f>
        <v>0.1766995490429481</v>
      </c>
      <c r="S14" s="2">
        <f>R14+預測IC!S14</f>
        <v>0.30262603321549442</v>
      </c>
      <c r="T14" s="2">
        <f>S14+預測IC!T14</f>
        <v>0.3824263938119799</v>
      </c>
      <c r="U14" s="2">
        <f>T14+預測IC!U14</f>
        <v>0.46315727986172817</v>
      </c>
      <c r="V14" s="2">
        <f>U14+預測IC!V14</f>
        <v>0.46422109602840572</v>
      </c>
      <c r="W14" s="2">
        <f>V14+預測IC!W14</f>
        <v>0.47304000742461705</v>
      </c>
      <c r="X14" s="2">
        <f>W14+預測IC!X14</f>
        <v>0.51824666455585433</v>
      </c>
      <c r="Y14" s="2">
        <f>X14+預測IC!Y14</f>
        <v>0.4851329137444077</v>
      </c>
      <c r="Z14" s="2">
        <f>Y14+預測IC!Z14</f>
        <v>0.52927885600553259</v>
      </c>
      <c r="AA14" s="2">
        <f>Z14+預測IC!AA14</f>
        <v>0.48381053091692205</v>
      </c>
      <c r="AB14" s="2">
        <f>AA14+預測IC!AB14</f>
        <v>0.44047391924115431</v>
      </c>
      <c r="AC14" s="2">
        <f>AB14+預測IC!AC14</f>
        <v>0.46959694686671211</v>
      </c>
      <c r="AD14" s="2">
        <f>AC14+預測IC!AD14</f>
        <v>0.48104130196524708</v>
      </c>
      <c r="AE14" s="2">
        <f>AD14+預測IC!AE14</f>
        <v>0.58433981869364804</v>
      </c>
      <c r="AF14" s="2">
        <f>AE14+預測IC!AF14</f>
        <v>0.48781990608491199</v>
      </c>
      <c r="AG14" s="2">
        <f>AF14+預測IC!AG14</f>
        <v>0.51307525997361814</v>
      </c>
      <c r="AH14" s="2">
        <f>AG14+預測IC!AH14</f>
        <v>0.56441811959710408</v>
      </c>
      <c r="AI14" s="2">
        <f>AH14+預測IC!AI14</f>
        <v>0.58671531409214173</v>
      </c>
      <c r="AJ14" s="2">
        <f>AI14+預測IC!AJ14</f>
        <v>0.63855778953893128</v>
      </c>
      <c r="AK14" s="2">
        <f>AJ14+預測IC!AK14</f>
        <v>0.67035524253487822</v>
      </c>
      <c r="AL14" s="2">
        <f>AK14+預測IC!AL14</f>
        <v>0.68691379741440417</v>
      </c>
      <c r="AM14" s="2">
        <f>AL14+預測IC!AM14</f>
        <v>0.7381396378151226</v>
      </c>
      <c r="AN14" s="2">
        <f>AM14+預測IC!AN14</f>
        <v>0.85162022178424723</v>
      </c>
      <c r="AO14" s="2">
        <f>AN14+預測IC!AO14</f>
        <v>0.87957932435053066</v>
      </c>
      <c r="AP14" s="2">
        <f>AO14+預測IC!AP14</f>
        <v>0.94491309214855612</v>
      </c>
      <c r="AQ14" s="2">
        <f>AP14+預測IC!AQ14</f>
        <v>0.94466264495258789</v>
      </c>
      <c r="AR14" s="2">
        <f>AQ14+預測IC!AR14</f>
        <v>1.0146335137002946</v>
      </c>
      <c r="AS14" s="2">
        <f>AR14+預測IC!AS14</f>
        <v>1.0240925053930918</v>
      </c>
      <c r="AT14" s="2">
        <f>AS14+預測IC!AT14</f>
        <v>1.0975459184766465</v>
      </c>
      <c r="AU14" s="2">
        <f>AT14+預測IC!AU14</f>
        <v>1.1653345707240128</v>
      </c>
      <c r="AV14" s="2">
        <f>AU14+預測IC!AV14</f>
        <v>1.1289957487556721</v>
      </c>
      <c r="AW14" s="2">
        <f>AV14+預測IC!AW14</f>
        <v>1.0841229707380782</v>
      </c>
      <c r="AX14" s="2">
        <f>AW14+預測IC!AX14</f>
        <v>1.1502980190397023</v>
      </c>
      <c r="AY14" s="2">
        <f>AX14+預測IC!AY14</f>
        <v>1.1692024984633185</v>
      </c>
      <c r="AZ14" s="2">
        <f>AY14+預測IC!AZ14</f>
        <v>1.123183904034371</v>
      </c>
      <c r="BA14" s="2">
        <f>AZ14+預測IC!BA14</f>
        <v>1.1696541188249778</v>
      </c>
      <c r="BB14" s="2">
        <f>BA14+預測IC!BB14</f>
        <v>1.2013285072894531</v>
      </c>
      <c r="BC14" s="2">
        <f>BB14+預測IC!BC14</f>
        <v>1.169232478531671</v>
      </c>
      <c r="BD14" s="2">
        <f>BC14+預測IC!BD14</f>
        <v>1.1499461149866492</v>
      </c>
      <c r="BE14" s="2">
        <f>BD14+預測IC!BE14</f>
        <v>1.0941334146328126</v>
      </c>
      <c r="BF14" s="2">
        <f>BE14+預測IC!BF14</f>
        <v>1.2645533211737077</v>
      </c>
      <c r="BG14" s="2">
        <f>BF14+預測IC!BG14</f>
        <v>1.4114879990873523</v>
      </c>
      <c r="BH14" s="2">
        <f>BG14+預測IC!BH14</f>
        <v>1.4808282800952588</v>
      </c>
      <c r="BI14" s="2">
        <f>BH14+預測IC!BI14</f>
        <v>1.5392912909330818</v>
      </c>
      <c r="BJ14" s="2">
        <f>BI14+預測IC!BJ14</f>
        <v>1.5894304575235976</v>
      </c>
      <c r="BK14" s="2">
        <f>BJ14+預測IC!BK14</f>
        <v>1.5388994339283562</v>
      </c>
      <c r="BL14" s="2">
        <f>BK14+預測IC!BL14</f>
        <v>1.5797514283853951</v>
      </c>
      <c r="BM14" s="2">
        <f>BL14+預測IC!BM14</f>
        <v>1.6616905215480458</v>
      </c>
      <c r="BN14" s="2">
        <f>BM14+預測IC!BN14</f>
        <v>1.6838399685985168</v>
      </c>
      <c r="BO14" s="2">
        <f>BN14+預測IC!BO14</f>
        <v>1.6822535355148409</v>
      </c>
      <c r="BP14" s="2">
        <f>BO14+預測IC!BP14</f>
        <v>1.6741377357148242</v>
      </c>
      <c r="BQ14" s="2">
        <f>BP14+預測IC!BQ14</f>
        <v>1.6668661707026691</v>
      </c>
      <c r="BR14" s="2">
        <f>BQ14+預測IC!BR14</f>
        <v>1.5905104061641362</v>
      </c>
      <c r="BS14" s="2">
        <f>BR14+預測IC!BS14</f>
        <v>1.5665239303845964</v>
      </c>
      <c r="BT14" s="2">
        <f>BS14+預測IC!BT14</f>
        <v>1.5384281964203887</v>
      </c>
      <c r="BU14" s="2">
        <f>BT14+預測IC!BU14</f>
        <v>1.5799577332873804</v>
      </c>
      <c r="BV14" s="2">
        <f>BU14+預測IC!BV14</f>
        <v>1.5622746723490195</v>
      </c>
      <c r="BW14" s="2">
        <f>BV14+預測IC!BW14</f>
        <v>1.5842327231076156</v>
      </c>
      <c r="BX14" s="2">
        <f>BW14+預測IC!BX14</f>
        <v>1.6157944270768427</v>
      </c>
      <c r="BY14" s="2">
        <f>BX14+預測IC!BY14</f>
        <v>1.481094746747043</v>
      </c>
      <c r="BZ14" s="2">
        <f>BY14+預測IC!BZ14</f>
        <v>1.4139254592749557</v>
      </c>
      <c r="CA14" s="2">
        <f>BZ14+預測IC!CA14</f>
        <v>1.3836677259239694</v>
      </c>
      <c r="CB14" s="2">
        <f>CA14+預測IC!CB14</f>
        <v>1.3372027914636324</v>
      </c>
      <c r="CC14" s="2">
        <f>CB14+預測IC!CC14</f>
        <v>1.3885467894236183</v>
      </c>
      <c r="CD14" s="2">
        <f>CC14+預測IC!CD14</f>
        <v>1.414472842468439</v>
      </c>
      <c r="CE14" s="2">
        <f>CD14+預測IC!CE14</f>
        <v>1.4923538521459572</v>
      </c>
      <c r="CF14" s="2">
        <f>CE14+預測IC!CF14</f>
        <v>1.4545612295610046</v>
      </c>
      <c r="CG14" s="2">
        <f>CF14+預測IC!CG14</f>
        <v>1.3748403270284038</v>
      </c>
      <c r="CH14" s="2">
        <f>CG14+預測IC!CH14</f>
        <v>1.4458247010426795</v>
      </c>
      <c r="CI14" s="2">
        <f>CH14+預測IC!CI14</f>
        <v>1.3559760060699728</v>
      </c>
      <c r="CJ14" s="2">
        <f>CI14+預測IC!CJ14</f>
        <v>1.3097796808379847</v>
      </c>
      <c r="CK14" s="2">
        <f>CJ14+預測IC!CK14</f>
        <v>1.4125502251824242</v>
      </c>
      <c r="CL14" s="2">
        <f>CK14+預測IC!CL14</f>
        <v>1.4394157164740395</v>
      </c>
      <c r="CM14" s="2">
        <f>CL14+預測IC!CM14</f>
        <v>1.3331430898313303</v>
      </c>
      <c r="CN14" s="2">
        <f>CM14+預測IC!CN14</f>
        <v>1.2903302792251528</v>
      </c>
      <c r="CO14" s="2">
        <f>CN14+預測IC!CO14</f>
        <v>1.1903488548555452</v>
      </c>
      <c r="CP14" s="2">
        <f>CO14+預測IC!CP14</f>
        <v>1.2174457902482709</v>
      </c>
      <c r="CQ14" s="2">
        <f>CP14+預測IC!CQ14</f>
        <v>1.2555569181713313</v>
      </c>
      <c r="CR14" s="2">
        <f>CQ14+預測IC!CR14</f>
        <v>1.2564286017991908</v>
      </c>
      <c r="CS14" s="2">
        <f>CR14+預測IC!CS14</f>
        <v>1.2648599025882139</v>
      </c>
      <c r="CT14" s="2">
        <f>CS14+預測IC!CT14</f>
        <v>1.288212796535142</v>
      </c>
      <c r="CU14" s="2">
        <f>CT14+預測IC!CU14</f>
        <v>1.3842104164839766</v>
      </c>
      <c r="CV14" s="2">
        <f>CU14+預測IC!CV14</f>
        <v>1.3231471727249149</v>
      </c>
      <c r="CW14" s="2">
        <f>CV14+預測IC!CW14</f>
        <v>1.3745971003734354</v>
      </c>
      <c r="CX14" s="2">
        <f>CW14+預測IC!CX14</f>
        <v>1.3192722767130192</v>
      </c>
      <c r="CY14" s="2">
        <f>CX14+預測IC!CY14</f>
        <v>1.2469224981024132</v>
      </c>
      <c r="CZ14" s="2">
        <f>CY14+預測IC!CZ14</f>
        <v>1.2128881147893174</v>
      </c>
      <c r="DA14" s="2">
        <f>CZ14+預測IC!DA14</f>
        <v>1.2138668358688682</v>
      </c>
      <c r="DB14" s="2">
        <f>DA14+預測IC!DB14</f>
        <v>1.3285277761542318</v>
      </c>
      <c r="DC14" s="2">
        <f>DB14+預測IC!DC14</f>
        <v>1.2611696274854263</v>
      </c>
      <c r="DD14" s="2">
        <f>DC14+預測IC!DD14</f>
        <v>1.3834311260031138</v>
      </c>
      <c r="DE14" s="2">
        <f>DD14+預測IC!DE14</f>
        <v>1.4171227551498753</v>
      </c>
      <c r="DF14" s="2">
        <f>DE14+預測IC!DF14</f>
        <v>1.3904329461297995</v>
      </c>
      <c r="DG14" s="2">
        <f>DF14+預測IC!DG14</f>
        <v>1.485322523543227</v>
      </c>
      <c r="DH14" s="2">
        <f>DG14+預測IC!DH14</f>
        <v>1.4424204424662459</v>
      </c>
      <c r="DI14" s="2">
        <f>DH14+預測IC!DI14</f>
        <v>1.4925200958561047</v>
      </c>
      <c r="DJ14" s="2">
        <f>DI14+預測IC!DJ14</f>
        <v>1.5138999554619645</v>
      </c>
      <c r="DK14" s="2">
        <f>DJ14+預測IC!DK14</f>
        <v>1.4560203435371561</v>
      </c>
      <c r="DL14" s="2">
        <f>DK14+預測IC!DL14</f>
        <v>1.4961140417056069</v>
      </c>
      <c r="DM14" s="2">
        <f>DL14+預測IC!DM14</f>
        <v>1.521006465597923</v>
      </c>
      <c r="DN14" s="2">
        <f>DM14+預測IC!DN14</f>
        <v>1.6027514200267361</v>
      </c>
      <c r="DO14" s="2">
        <f>DN14+預測IC!DO14</f>
        <v>1.7461641730817619</v>
      </c>
      <c r="DP14" s="2">
        <f>DO14+預測IC!DP14</f>
        <v>1.8440056183834614</v>
      </c>
      <c r="DQ14" s="2">
        <f>DP14+預測IC!DQ14</f>
        <v>1.7896598341471073</v>
      </c>
      <c r="DR14" s="2">
        <f>DQ14+預測IC!DR14</f>
        <v>1.7954186967430896</v>
      </c>
      <c r="DS14" s="2">
        <f>DR14+預測IC!DS14</f>
        <v>1.6920144079295452</v>
      </c>
      <c r="DT14" s="2">
        <f>DS14+預測IC!DT14</f>
        <v>1.6967264673092235</v>
      </c>
      <c r="DU14" s="2">
        <f>DT14+預測IC!DU14</f>
        <v>1.6310851806561752</v>
      </c>
      <c r="DV14" s="2">
        <f>DU14+預測IC!DV14</f>
        <v>1.6118309778309219</v>
      </c>
      <c r="DW14" s="2">
        <f>DV14+預測IC!DW14</f>
        <v>1.5982488997764086</v>
      </c>
      <c r="DX14" s="2">
        <f>DW14+預測IC!DX14</f>
        <v>1.5625222845282341</v>
      </c>
      <c r="DY14" s="2">
        <f>DX14+預測IC!DY14</f>
        <v>1.5196853022797128</v>
      </c>
      <c r="DZ14" s="2">
        <f>DY14+預測IC!DZ14</f>
        <v>1.5038756361017072</v>
      </c>
      <c r="EA14" s="2">
        <f>DZ14+預測IC!EA14</f>
        <v>1.4900952468539093</v>
      </c>
      <c r="EB14" s="2">
        <f>EA14+預測IC!EB14</f>
        <v>1.6107586658526856</v>
      </c>
      <c r="EC14" s="2">
        <f>EB14+預測IC!EC14</f>
        <v>1.6134962724952289</v>
      </c>
      <c r="ED14" s="2">
        <f>EC14+預測IC!ED14</f>
        <v>1.5518112223589575</v>
      </c>
      <c r="EE14" s="2">
        <f>ED14+預測IC!EE14</f>
        <v>1.5443902239089145</v>
      </c>
      <c r="EF14" s="2">
        <f>EE14+預測IC!EF14</f>
        <v>1.5460712672415773</v>
      </c>
      <c r="EG14" s="2">
        <f>EF14+預測IC!EG14</f>
        <v>1.4401770387697621</v>
      </c>
      <c r="EH14" s="2">
        <f>EG14+預測IC!EH14</f>
        <v>1.4263348628290395</v>
      </c>
      <c r="EI14" s="2">
        <f>EH14+預測IC!EI14</f>
        <v>1.3743346513656107</v>
      </c>
      <c r="EJ14" s="2">
        <f>EI14+預測IC!EJ14</f>
        <v>1.4279947327671381</v>
      </c>
      <c r="EK14" s="2">
        <f>EJ14+預測IC!EK14</f>
        <v>1.5337078026976319</v>
      </c>
      <c r="EL14" s="2">
        <f>EK14+預測IC!EL14</f>
        <v>1.5931593268104054</v>
      </c>
    </row>
    <row r="15" spans="1:142" x14ac:dyDescent="0.3">
      <c r="A15" s="18">
        <v>110</v>
      </c>
      <c r="B15" s="18">
        <f t="shared" si="10"/>
        <v>10</v>
      </c>
      <c r="C15" s="2">
        <v>-9.5037535583778296E-2</v>
      </c>
      <c r="D15" s="2">
        <f>C15+預測IC!D15</f>
        <v>7.4632950680472612E-2</v>
      </c>
      <c r="E15" s="2">
        <f>D15+預測IC!E15</f>
        <v>3.796332676582434E-2</v>
      </c>
      <c r="F15" s="2">
        <f>E15+預測IC!F15</f>
        <v>0.12179958198221054</v>
      </c>
      <c r="G15" s="2">
        <f>F15+預測IC!G15</f>
        <v>7.6470733304890751E-2</v>
      </c>
      <c r="H15" s="2">
        <f>G15+預測IC!H15</f>
        <v>0.10977347467193196</v>
      </c>
      <c r="I15" s="2">
        <f>H15+預測IC!I15</f>
        <v>9.0113731363808958E-2</v>
      </c>
      <c r="J15" s="2">
        <f>I15+預測IC!J15</f>
        <v>0.12883698725603809</v>
      </c>
      <c r="K15" s="2">
        <f>J15+預測IC!K15</f>
        <v>0.18384653734413794</v>
      </c>
      <c r="L15" s="2">
        <f>K15+預測IC!L15</f>
        <v>0.13219097924831988</v>
      </c>
      <c r="M15" s="2">
        <f>L15+預測IC!M15</f>
        <v>8.690947265490627E-2</v>
      </c>
      <c r="N15" s="2">
        <f>M15+預測IC!N15</f>
        <v>0.15599577720214261</v>
      </c>
      <c r="O15" s="2">
        <f>N15+預測IC!O15</f>
        <v>0.17899145063209793</v>
      </c>
      <c r="P15" s="2">
        <f>O15+預測IC!P15</f>
        <v>0.21433019140182519</v>
      </c>
      <c r="Q15" s="2">
        <f>P15+預測IC!Q15</f>
        <v>0.23214213679946974</v>
      </c>
      <c r="R15" s="2">
        <f>Q15+預測IC!R15</f>
        <v>0.24345444401334876</v>
      </c>
      <c r="S15" s="2">
        <f>R15+預測IC!S15</f>
        <v>0.43917277819794037</v>
      </c>
      <c r="T15" s="2">
        <f>S15+預測IC!T15</f>
        <v>0.52993040780411071</v>
      </c>
      <c r="U15" s="2">
        <f>T15+預測IC!U15</f>
        <v>0.62621254527824144</v>
      </c>
      <c r="V15" s="2">
        <f>U15+預測IC!V15</f>
        <v>0.56983867406181976</v>
      </c>
      <c r="W15" s="2">
        <f>V15+預測IC!W15</f>
        <v>0.60334572892886029</v>
      </c>
      <c r="X15" s="2">
        <f>W15+預測IC!X15</f>
        <v>0.68055797167283949</v>
      </c>
      <c r="Y15" s="2">
        <f>X15+預測IC!Y15</f>
        <v>0.624181566264006</v>
      </c>
      <c r="Z15" s="2">
        <f>Y15+預測IC!Z15</f>
        <v>0.68453961119948192</v>
      </c>
      <c r="AA15" s="2">
        <f>Z15+預測IC!AA15</f>
        <v>0.65755602957823389</v>
      </c>
      <c r="AB15" s="2">
        <f>AA15+預測IC!AB15</f>
        <v>0.61274431210537927</v>
      </c>
      <c r="AC15" s="2">
        <f>AB15+預測IC!AC15</f>
        <v>0.64995347331563325</v>
      </c>
      <c r="AD15" s="2">
        <f>AC15+預測IC!AD15</f>
        <v>0.6730697268914978</v>
      </c>
      <c r="AE15" s="2">
        <f>AD15+預測IC!AE15</f>
        <v>0.78457456031624384</v>
      </c>
      <c r="AF15" s="2">
        <f>AE15+預測IC!AF15</f>
        <v>0.65783327205445441</v>
      </c>
      <c r="AG15" s="2">
        <f>AF15+預測IC!AG15</f>
        <v>0.66443229987005892</v>
      </c>
      <c r="AH15" s="2">
        <f>AG15+預測IC!AH15</f>
        <v>0.70803823164205459</v>
      </c>
      <c r="AI15" s="2">
        <f>AH15+預測IC!AI15</f>
        <v>0.74584220674900703</v>
      </c>
      <c r="AJ15" s="2">
        <f>AI15+預測IC!AJ15</f>
        <v>0.83815895206337776</v>
      </c>
      <c r="AK15" s="2">
        <f>AJ15+預測IC!AK15</f>
        <v>0.91764602698205056</v>
      </c>
      <c r="AL15" s="2">
        <f>AK15+預測IC!AL15</f>
        <v>0.92578816261559471</v>
      </c>
      <c r="AM15" s="2">
        <f>AL15+預測IC!AM15</f>
        <v>0.98245879981193984</v>
      </c>
      <c r="AN15" s="2">
        <f>AM15+預測IC!AN15</f>
        <v>1.0919055005903406</v>
      </c>
      <c r="AO15" s="2">
        <f>AN15+預測IC!AO15</f>
        <v>1.1772639219250185</v>
      </c>
      <c r="AP15" s="2">
        <f>AO15+預測IC!AP15</f>
        <v>1.2362782698618444</v>
      </c>
      <c r="AQ15" s="2">
        <f>AP15+預測IC!AQ15</f>
        <v>1.2435034775923273</v>
      </c>
      <c r="AR15" s="2">
        <f>AQ15+預測IC!AR15</f>
        <v>1.3151397463675853</v>
      </c>
      <c r="AS15" s="2">
        <f>AR15+預測IC!AS15</f>
        <v>1.4074712637552087</v>
      </c>
      <c r="AT15" s="2">
        <f>AS15+預測IC!AT15</f>
        <v>1.5427492541885801</v>
      </c>
      <c r="AU15" s="2">
        <f>AT15+預測IC!AU15</f>
        <v>1.6629631059823913</v>
      </c>
      <c r="AV15" s="2">
        <f>AU15+預測IC!AV15</f>
        <v>1.5915389828240623</v>
      </c>
      <c r="AW15" s="2">
        <f>AV15+預測IC!AW15</f>
        <v>1.5542780843456383</v>
      </c>
      <c r="AX15" s="2">
        <f>AW15+預測IC!AX15</f>
        <v>1.6654484373785279</v>
      </c>
      <c r="AY15" s="2">
        <f>AX15+預測IC!AY15</f>
        <v>1.673390390066978</v>
      </c>
      <c r="AZ15" s="2">
        <f>AY15+預測IC!AZ15</f>
        <v>1.6121557110946652</v>
      </c>
      <c r="BA15" s="2">
        <f>AZ15+預測IC!BA15</f>
        <v>1.6305483101822162</v>
      </c>
      <c r="BB15" s="2">
        <f>BA15+預測IC!BB15</f>
        <v>1.7131904691918021</v>
      </c>
      <c r="BC15" s="2">
        <f>BB15+預測IC!BC15</f>
        <v>1.7125008969426885</v>
      </c>
      <c r="BD15" s="2">
        <f>BC15+預測IC!BD15</f>
        <v>1.6163484193869759</v>
      </c>
      <c r="BE15" s="2">
        <f>BD15+預測IC!BE15</f>
        <v>1.5627803516583021</v>
      </c>
      <c r="BF15" s="2">
        <f>BE15+預測IC!BF15</f>
        <v>1.7951965199959843</v>
      </c>
      <c r="BG15" s="2">
        <f>BF15+預測IC!BG15</f>
        <v>1.9473201906721076</v>
      </c>
      <c r="BH15" s="2">
        <f>BG15+預測IC!BH15</f>
        <v>2.0966114324019505</v>
      </c>
      <c r="BI15" s="2">
        <f>BH15+預測IC!BI15</f>
        <v>2.1213295341210392</v>
      </c>
      <c r="BJ15" s="2">
        <f>BI15+預測IC!BJ15</f>
        <v>2.1798173956006983</v>
      </c>
      <c r="BK15" s="2">
        <f>BJ15+預測IC!BK15</f>
        <v>2.1111637599484592</v>
      </c>
      <c r="BL15" s="2">
        <f>BK15+預測IC!BL15</f>
        <v>2.1729521895964816</v>
      </c>
      <c r="BM15" s="2">
        <f>BL15+預測IC!BM15</f>
        <v>2.2142101681562614</v>
      </c>
      <c r="BN15" s="2">
        <f>BM15+預測IC!BN15</f>
        <v>2.2290117038224344</v>
      </c>
      <c r="BO15" s="2">
        <f>BN15+預測IC!BO15</f>
        <v>2.2120561417247293</v>
      </c>
      <c r="BP15" s="2">
        <f>BO15+預測IC!BP15</f>
        <v>2.1770588833726978</v>
      </c>
      <c r="BQ15" s="2">
        <f>BP15+預測IC!BQ15</f>
        <v>2.1783642029008821</v>
      </c>
      <c r="BR15" s="2">
        <f>BQ15+預測IC!BR15</f>
        <v>2.0745013785627955</v>
      </c>
      <c r="BS15" s="2">
        <f>BR15+預測IC!BS15</f>
        <v>2.0156788995616277</v>
      </c>
      <c r="BT15" s="2">
        <f>BS15+預測IC!BT15</f>
        <v>2.0166712303652643</v>
      </c>
      <c r="BU15" s="2">
        <f>BT15+預測IC!BU15</f>
        <v>2.0660224995104208</v>
      </c>
      <c r="BV15" s="2">
        <f>BU15+預測IC!BV15</f>
        <v>2.0709666331994621</v>
      </c>
      <c r="BW15" s="2">
        <f>BV15+預測IC!BW15</f>
        <v>2.090088241534537</v>
      </c>
      <c r="BX15" s="2">
        <f>BW15+預測IC!BX15</f>
        <v>2.078124973266064</v>
      </c>
      <c r="BY15" s="2">
        <f>BX15+預測IC!BY15</f>
        <v>1.9258418208300843</v>
      </c>
      <c r="BZ15" s="2">
        <f>BY15+預測IC!BZ15</f>
        <v>1.8503767499361965</v>
      </c>
      <c r="CA15" s="2">
        <f>BZ15+預測IC!CA15</f>
        <v>1.8032225485635467</v>
      </c>
      <c r="CB15" s="2">
        <f>CA15+預測IC!CB15</f>
        <v>1.7363590819252623</v>
      </c>
      <c r="CC15" s="2">
        <f>CB15+預測IC!CC15</f>
        <v>1.7696369094254607</v>
      </c>
      <c r="CD15" s="2">
        <f>CC15+預測IC!CD15</f>
        <v>1.7452468818839884</v>
      </c>
      <c r="CE15" s="2">
        <f>CD15+預測IC!CE15</f>
        <v>1.8146430168413195</v>
      </c>
      <c r="CF15" s="2">
        <f>CE15+預測IC!CF15</f>
        <v>1.824521226748774</v>
      </c>
      <c r="CG15" s="2">
        <f>CF15+預測IC!CG15</f>
        <v>1.7424638730775148</v>
      </c>
      <c r="CH15" s="2">
        <f>CG15+預測IC!CH15</f>
        <v>1.8606416116637923</v>
      </c>
      <c r="CI15" s="2">
        <f>CH15+預測IC!CI15</f>
        <v>1.7732709690261008</v>
      </c>
      <c r="CJ15" s="2">
        <f>CI15+預測IC!CJ15</f>
        <v>1.7449331403644726</v>
      </c>
      <c r="CK15" s="2">
        <f>CJ15+預測IC!CK15</f>
        <v>1.8923475186631364</v>
      </c>
      <c r="CL15" s="2">
        <f>CK15+預測IC!CL15</f>
        <v>2.0049924568488682</v>
      </c>
      <c r="CM15" s="2">
        <f>CL15+預測IC!CM15</f>
        <v>1.9536328538782135</v>
      </c>
      <c r="CN15" s="2">
        <f>CM15+預測IC!CN15</f>
        <v>1.9317076341328605</v>
      </c>
      <c r="CO15" s="2">
        <f>CN15+預測IC!CO15</f>
        <v>1.7357551734161627</v>
      </c>
      <c r="CP15" s="2">
        <f>CO15+預測IC!CP15</f>
        <v>1.8113762573244834</v>
      </c>
      <c r="CQ15" s="2">
        <f>CP15+預測IC!CQ15</f>
        <v>1.9160895941104563</v>
      </c>
      <c r="CR15" s="2">
        <f>CQ15+預測IC!CR15</f>
        <v>1.9005197133717793</v>
      </c>
      <c r="CS15" s="2">
        <f>CR15+預測IC!CS15</f>
        <v>1.8598689301903693</v>
      </c>
      <c r="CT15" s="2">
        <f>CS15+預測IC!CT15</f>
        <v>1.9043688696013577</v>
      </c>
      <c r="CU15" s="2">
        <f>CT15+預測IC!CU15</f>
        <v>2.0176245550214973</v>
      </c>
      <c r="CV15" s="2">
        <f>CU15+預測IC!CV15</f>
        <v>1.9759721742999756</v>
      </c>
      <c r="CW15" s="2">
        <f>CV15+預測IC!CW15</f>
        <v>2.0579928749755556</v>
      </c>
      <c r="CX15" s="2">
        <f>CW15+預測IC!CX15</f>
        <v>2.007842960510434</v>
      </c>
      <c r="CY15" s="2">
        <f>CX15+預測IC!CY15</f>
        <v>1.8884660944919978</v>
      </c>
      <c r="CZ15" s="2">
        <f>CY15+預測IC!CZ15</f>
        <v>1.8688702871622411</v>
      </c>
      <c r="DA15" s="2">
        <f>CZ15+預測IC!DA15</f>
        <v>1.8289966134445101</v>
      </c>
      <c r="DB15" s="2">
        <f>DA15+預測IC!DB15</f>
        <v>2.0006389698338487</v>
      </c>
      <c r="DC15" s="2">
        <f>DB15+預測IC!DC15</f>
        <v>1.9687763952783803</v>
      </c>
      <c r="DD15" s="2">
        <f>DC15+預測IC!DD15</f>
        <v>2.12373949032385</v>
      </c>
      <c r="DE15" s="2">
        <f>DD15+預測IC!DE15</f>
        <v>2.1862365057309749</v>
      </c>
      <c r="DF15" s="2">
        <f>DE15+預測IC!DF15</f>
        <v>2.0774290128429072</v>
      </c>
      <c r="DG15" s="2">
        <f>DF15+預測IC!DG15</f>
        <v>2.1865879997282236</v>
      </c>
      <c r="DH15" s="2">
        <f>DG15+預測IC!DH15</f>
        <v>2.0659035913554082</v>
      </c>
      <c r="DI15" s="2">
        <f>DH15+預測IC!DI15</f>
        <v>2.0693050968258584</v>
      </c>
      <c r="DJ15" s="2">
        <f>DI15+預測IC!DJ15</f>
        <v>2.0823304614208404</v>
      </c>
      <c r="DK15" s="2">
        <f>DJ15+預測IC!DK15</f>
        <v>2.0357661306674113</v>
      </c>
      <c r="DL15" s="2">
        <f>DK15+預測IC!DL15</f>
        <v>2.0647282159217024</v>
      </c>
      <c r="DM15" s="2">
        <f>DL15+預測IC!DM15</f>
        <v>2.0715507631889389</v>
      </c>
      <c r="DN15" s="2">
        <f>DM15+預測IC!DN15</f>
        <v>2.1651636307442557</v>
      </c>
      <c r="DO15" s="2">
        <f>DN15+預測IC!DO15</f>
        <v>2.4138719941522742</v>
      </c>
      <c r="DP15" s="2">
        <f>DO15+預測IC!DP15</f>
        <v>2.498304750532554</v>
      </c>
      <c r="DQ15" s="2">
        <f>DP15+預測IC!DQ15</f>
        <v>2.4398072046262529</v>
      </c>
      <c r="DR15" s="2">
        <f>DQ15+預測IC!DR15</f>
        <v>2.4503305384747591</v>
      </c>
      <c r="DS15" s="2">
        <f>DR15+預測IC!DS15</f>
        <v>2.2806937308723265</v>
      </c>
      <c r="DT15" s="2">
        <f>DS15+預測IC!DT15</f>
        <v>2.2739983020143706</v>
      </c>
      <c r="DU15" s="2">
        <f>DT15+預測IC!DU15</f>
        <v>2.1412642034876117</v>
      </c>
      <c r="DV15" s="2">
        <f>DU15+預測IC!DV15</f>
        <v>2.1443979690179873</v>
      </c>
      <c r="DW15" s="2">
        <f>DV15+預測IC!DW15</f>
        <v>2.1863044363440673</v>
      </c>
      <c r="DX15" s="2">
        <f>DW15+預測IC!DX15</f>
        <v>2.1568154209098949</v>
      </c>
      <c r="DY15" s="2">
        <f>DX15+預測IC!DY15</f>
        <v>2.0538872018336183</v>
      </c>
      <c r="DZ15" s="2">
        <f>DY15+預測IC!DZ15</f>
        <v>2.0645566428101167</v>
      </c>
      <c r="EA15" s="2">
        <f>DZ15+預測IC!EA15</f>
        <v>2.0394567715921443</v>
      </c>
      <c r="EB15" s="2">
        <f>EA15+預測IC!EB15</f>
        <v>2.2060970926013574</v>
      </c>
      <c r="EC15" s="2">
        <f>EB15+預測IC!EC15</f>
        <v>2.2248681650710727</v>
      </c>
      <c r="ED15" s="2">
        <f>EC15+預測IC!ED15</f>
        <v>2.1513284555457064</v>
      </c>
      <c r="EE15" s="2">
        <f>ED15+預測IC!EE15</f>
        <v>2.1347949844771819</v>
      </c>
      <c r="EF15" s="2">
        <f>EE15+預測IC!EF15</f>
        <v>2.0931494952940812</v>
      </c>
      <c r="EG15" s="2">
        <f>EF15+預測IC!EG15</f>
        <v>1.8575230710947221</v>
      </c>
      <c r="EH15" s="2">
        <f>EG15+預測IC!EH15</f>
        <v>1.8881284143598465</v>
      </c>
      <c r="EI15" s="2">
        <f>EH15+預測IC!EI15</f>
        <v>1.8287808560164376</v>
      </c>
      <c r="EJ15" s="2">
        <f>EI15+預測IC!EJ15</f>
        <v>1.8862429733137307</v>
      </c>
      <c r="EK15" s="2">
        <f>EJ15+預測IC!EK15</f>
        <v>2.0263819557597809</v>
      </c>
      <c r="EL15" s="2">
        <f>EK15+預測IC!EL15</f>
        <v>2.1356587148246406</v>
      </c>
    </row>
    <row r="16" spans="1:142" x14ac:dyDescent="0.3">
      <c r="A16" s="18">
        <v>120</v>
      </c>
      <c r="B16" s="18">
        <f t="shared" si="10"/>
        <v>9</v>
      </c>
      <c r="C16" s="2">
        <v>-9.71680377431344E-2</v>
      </c>
      <c r="D16" s="2">
        <f>C16+預測IC!D16</f>
        <v>7.1176969698750508E-2</v>
      </c>
      <c r="E16" s="2">
        <f>D16+預測IC!E16</f>
        <v>4.408632250258978E-2</v>
      </c>
      <c r="F16" s="2">
        <f>E16+預測IC!F16</f>
        <v>0.12028264582034318</v>
      </c>
      <c r="G16" s="2">
        <f>F16+預測IC!G16</f>
        <v>8.1296954734902283E-2</v>
      </c>
      <c r="H16" s="2">
        <f>G16+預測IC!H16</f>
        <v>0.12394750469001901</v>
      </c>
      <c r="I16" s="2">
        <f>H16+預測IC!I16</f>
        <v>0.10601793617378341</v>
      </c>
      <c r="J16" s="2">
        <f>I16+預測IC!J16</f>
        <v>0.11811345849643054</v>
      </c>
      <c r="K16" s="2">
        <f>J16+預測IC!K16</f>
        <v>0.17615004033012763</v>
      </c>
      <c r="L16" s="2">
        <f>K16+預測IC!L16</f>
        <v>0.11681840682540798</v>
      </c>
      <c r="M16" s="2">
        <f>L16+預測IC!M16</f>
        <v>6.111845779970583E-2</v>
      </c>
      <c r="N16" s="2">
        <f>M16+預測IC!N16</f>
        <v>0.13568555729880599</v>
      </c>
      <c r="O16" s="2">
        <f>N16+預測IC!O16</f>
        <v>0.15861964766528347</v>
      </c>
      <c r="P16" s="2">
        <f>O16+預測IC!P16</f>
        <v>0.20889648546003067</v>
      </c>
      <c r="Q16" s="2">
        <f>P16+預測IC!Q16</f>
        <v>0.22347499526958933</v>
      </c>
      <c r="R16" s="2">
        <f>Q16+預測IC!R16</f>
        <v>0.24998391632467143</v>
      </c>
      <c r="S16" s="2">
        <f>R16+預測IC!S16</f>
        <v>0.47339850493680879</v>
      </c>
      <c r="T16" s="2">
        <f>S16+預測IC!T16</f>
        <v>0.5640128499713768</v>
      </c>
      <c r="U16" s="2">
        <f>T16+預測IC!U16</f>
        <v>0.656219644213623</v>
      </c>
      <c r="V16" s="2">
        <f>U16+預測IC!V16</f>
        <v>0.59441217074305286</v>
      </c>
      <c r="W16" s="2">
        <f>V16+預測IC!W16</f>
        <v>0.66170387620186477</v>
      </c>
      <c r="X16" s="2">
        <f>W16+預測IC!X16</f>
        <v>0.75818283096385219</v>
      </c>
      <c r="Y16" s="2">
        <f>X16+預測IC!Y16</f>
        <v>0.6933808898508933</v>
      </c>
      <c r="Z16" s="2">
        <f>Y16+預測IC!Z16</f>
        <v>0.74291060217249294</v>
      </c>
      <c r="AA16" s="2">
        <f>Z16+預測IC!AA16</f>
        <v>0.72030162837821388</v>
      </c>
      <c r="AB16" s="2">
        <f>AA16+預測IC!AB16</f>
        <v>0.69446836403808798</v>
      </c>
      <c r="AC16" s="2">
        <f>AB16+預測IC!AC16</f>
        <v>0.72945591440943613</v>
      </c>
      <c r="AD16" s="2">
        <f>AC16+預測IC!AD16</f>
        <v>0.75094012656848708</v>
      </c>
      <c r="AE16" s="2">
        <f>AD16+預測IC!AE16</f>
        <v>0.82856311069225763</v>
      </c>
      <c r="AF16" s="2">
        <f>AE16+預測IC!AF16</f>
        <v>0.68551506106980997</v>
      </c>
      <c r="AG16" s="2">
        <f>AF16+預測IC!AG16</f>
        <v>0.69879929498166682</v>
      </c>
      <c r="AH16" s="2">
        <f>AG16+預測IC!AH16</f>
        <v>0.70456130821663487</v>
      </c>
      <c r="AI16" s="2">
        <f>AH16+預測IC!AI16</f>
        <v>0.74886808901095858</v>
      </c>
      <c r="AJ16" s="2">
        <f>AI16+預測IC!AJ16</f>
        <v>0.86788120136537206</v>
      </c>
      <c r="AK16" s="2">
        <f>AJ16+預測IC!AK16</f>
        <v>0.94112609068719177</v>
      </c>
      <c r="AL16" s="2">
        <f>AK16+預測IC!AL16</f>
        <v>0.9554877984545006</v>
      </c>
      <c r="AM16" s="2">
        <f>AL16+預測IC!AM16</f>
        <v>1.0075077488526745</v>
      </c>
      <c r="AN16" s="2">
        <f>AM16+預測IC!AN16</f>
        <v>1.1258704648185698</v>
      </c>
      <c r="AO16" s="2">
        <f>AN16+預測IC!AO16</f>
        <v>1.2178810822239707</v>
      </c>
      <c r="AP16" s="2">
        <f>AO16+預測IC!AP16</f>
        <v>1.2743952947149799</v>
      </c>
      <c r="AQ16" s="2">
        <f>AP16+預測IC!AQ16</f>
        <v>1.2828783351903037</v>
      </c>
      <c r="AR16" s="2">
        <f>AQ16+預測IC!AR16</f>
        <v>1.331826578073577</v>
      </c>
      <c r="AS16" s="2">
        <f>AR16+預測IC!AS16</f>
        <v>1.4576344807137562</v>
      </c>
      <c r="AT16" s="2">
        <f>AS16+預測IC!AT16</f>
        <v>1.6011327059415454</v>
      </c>
      <c r="AU16" s="2">
        <f>AT16+預測IC!AU16</f>
        <v>1.733471207096339</v>
      </c>
      <c r="AV16" s="2">
        <f>AU16+預測IC!AV16</f>
        <v>1.6562902822822134</v>
      </c>
      <c r="AW16" s="2">
        <f>AV16+預測IC!AW16</f>
        <v>1.6164641599064162</v>
      </c>
      <c r="AX16" s="2">
        <f>AW16+預測IC!AX16</f>
        <v>1.7292503903735383</v>
      </c>
      <c r="AY16" s="2">
        <f>AX16+預測IC!AY16</f>
        <v>1.730922255575662</v>
      </c>
      <c r="AZ16" s="2">
        <f>AY16+預測IC!AZ16</f>
        <v>1.6672536566801004</v>
      </c>
      <c r="BA16" s="2">
        <f>AZ16+預測IC!BA16</f>
        <v>1.6784588586330651</v>
      </c>
      <c r="BB16" s="2">
        <f>BA16+預測IC!BB16</f>
        <v>1.7560308125357529</v>
      </c>
      <c r="BC16" s="2">
        <f>BB16+預測IC!BC16</f>
        <v>1.7581673035282945</v>
      </c>
      <c r="BD16" s="2">
        <f>BC16+預測IC!BD16</f>
        <v>1.662509075923478</v>
      </c>
      <c r="BE16" s="2">
        <f>BD16+預測IC!BE16</f>
        <v>1.5987197847754515</v>
      </c>
      <c r="BF16" s="2">
        <f>BE16+預測IC!BF16</f>
        <v>1.8313503844937002</v>
      </c>
      <c r="BG16" s="2">
        <f>BF16+預測IC!BG16</f>
        <v>1.9852968656278518</v>
      </c>
      <c r="BH16" s="2">
        <f>BG16+預測IC!BH16</f>
        <v>2.1288680763026511</v>
      </c>
      <c r="BI16" s="2">
        <f>BH16+預測IC!BI16</f>
        <v>2.1418874525668814</v>
      </c>
      <c r="BJ16" s="2">
        <f>BI16+預測IC!BJ16</f>
        <v>2.2086467957030149</v>
      </c>
      <c r="BK16" s="2">
        <f>BJ16+預測IC!BK16</f>
        <v>2.1569674176001778</v>
      </c>
      <c r="BL16" s="2">
        <f>BK16+預測IC!BL16</f>
        <v>2.2077310316305137</v>
      </c>
      <c r="BM16" s="2">
        <f>BL16+預測IC!BM16</f>
        <v>2.280652850978393</v>
      </c>
      <c r="BN16" s="2">
        <f>BM16+預測IC!BN16</f>
        <v>2.2987127753991978</v>
      </c>
      <c r="BO16" s="2">
        <f>BN16+預測IC!BO16</f>
        <v>2.2804834569158161</v>
      </c>
      <c r="BP16" s="2">
        <f>BO16+預測IC!BP16</f>
        <v>2.2515777789016016</v>
      </c>
      <c r="BQ16" s="2">
        <f>BP16+預測IC!BQ16</f>
        <v>2.2702967287393467</v>
      </c>
      <c r="BR16" s="2">
        <f>BQ16+預測IC!BR16</f>
        <v>2.1588465016611624</v>
      </c>
      <c r="BS16" s="2">
        <f>BR16+預測IC!BS16</f>
        <v>2.097516351103359</v>
      </c>
      <c r="BT16" s="2">
        <f>BS16+預測IC!BT16</f>
        <v>2.0966485448156238</v>
      </c>
      <c r="BU16" s="2">
        <f>BT16+預測IC!BU16</f>
        <v>2.1504501628878878</v>
      </c>
      <c r="BV16" s="2">
        <f>BU16+預測IC!BV16</f>
        <v>2.1880714588020949</v>
      </c>
      <c r="BW16" s="2">
        <f>BV16+預測IC!BW16</f>
        <v>2.2067557378010672</v>
      </c>
      <c r="BX16" s="2">
        <f>BW16+預測IC!BX16</f>
        <v>2.2742057569927074</v>
      </c>
      <c r="BY16" s="2">
        <f>BX16+預測IC!BY16</f>
        <v>2.1087378146059499</v>
      </c>
      <c r="BZ16" s="2">
        <f>BY16+預測IC!BZ16</f>
        <v>2.0023055943334538</v>
      </c>
      <c r="CA16" s="2">
        <f>BZ16+預測IC!CA16</f>
        <v>1.9431316361249173</v>
      </c>
      <c r="CB16" s="2">
        <f>CA16+預測IC!CB16</f>
        <v>1.8782814426526482</v>
      </c>
      <c r="CC16" s="2">
        <f>CB16+預測IC!CC16</f>
        <v>1.9313876638918341</v>
      </c>
      <c r="CD16" s="2">
        <f>CC16+預測IC!CD16</f>
        <v>1.8953882644852134</v>
      </c>
      <c r="CE16" s="2">
        <f>CD16+預測IC!CE16</f>
        <v>1.9708846342107591</v>
      </c>
      <c r="CF16" s="2">
        <f>CE16+預測IC!CF16</f>
        <v>1.9819688743692505</v>
      </c>
      <c r="CG16" s="2">
        <f>CF16+預測IC!CG16</f>
        <v>1.9042684349549002</v>
      </c>
      <c r="CH16" s="2">
        <f>CG16+預測IC!CH16</f>
        <v>1.9914444666796687</v>
      </c>
      <c r="CI16" s="2">
        <f>CH16+預測IC!CI16</f>
        <v>1.9025165013377554</v>
      </c>
      <c r="CJ16" s="2">
        <f>CI16+預測IC!CJ16</f>
        <v>1.889912332914061</v>
      </c>
      <c r="CK16" s="2">
        <f>CJ16+預測IC!CK16</f>
        <v>2.0268561572988113</v>
      </c>
      <c r="CL16" s="2">
        <f>CK16+預測IC!CL16</f>
        <v>2.1794268589217198</v>
      </c>
      <c r="CM16" s="2">
        <f>CL16+預測IC!CM16</f>
        <v>2.1377629317238958</v>
      </c>
      <c r="CN16" s="2">
        <f>CM16+預測IC!CN16</f>
        <v>2.1087384289854478</v>
      </c>
      <c r="CO16" s="2">
        <f>CN16+預測IC!CO16</f>
        <v>1.9119398094017517</v>
      </c>
      <c r="CP16" s="2">
        <f>CO16+預測IC!CP16</f>
        <v>2.0012349284561481</v>
      </c>
      <c r="CQ16" s="2">
        <f>CP16+預測IC!CQ16</f>
        <v>2.1294209988269999</v>
      </c>
      <c r="CR16" s="2">
        <f>CQ16+預測IC!CR16</f>
        <v>2.1488392348348442</v>
      </c>
      <c r="CS16" s="2">
        <f>CR16+預測IC!CS16</f>
        <v>2.1002651742734888</v>
      </c>
      <c r="CT16" s="2">
        <f>CS16+預測IC!CT16</f>
        <v>2.1497917161492306</v>
      </c>
      <c r="CU16" s="2">
        <f>CT16+預測IC!CU16</f>
        <v>2.2645541981288284</v>
      </c>
      <c r="CV16" s="2">
        <f>CU16+預測IC!CV16</f>
        <v>2.205085662843727</v>
      </c>
      <c r="CW16" s="2">
        <f>CV16+預測IC!CW16</f>
        <v>2.288365389139893</v>
      </c>
      <c r="CX16" s="2">
        <f>CW16+預測IC!CX16</f>
        <v>2.2391715484339327</v>
      </c>
      <c r="CY16" s="2">
        <f>CX16+預測IC!CY16</f>
        <v>2.1395899605128696</v>
      </c>
      <c r="CZ16" s="2">
        <f>CY16+預測IC!CZ16</f>
        <v>2.1253450023494405</v>
      </c>
      <c r="DA16" s="2">
        <f>CZ16+預測IC!DA16</f>
        <v>2.1069677013132639</v>
      </c>
      <c r="DB16" s="2">
        <f>DA16+預測IC!DB16</f>
        <v>2.2768621217290677</v>
      </c>
      <c r="DC16" s="2">
        <f>DB16+預測IC!DC16</f>
        <v>2.2246049140062678</v>
      </c>
      <c r="DD16" s="2">
        <f>DC16+預測IC!DD16</f>
        <v>2.377546713208071</v>
      </c>
      <c r="DE16" s="2">
        <f>DD16+預測IC!DE16</f>
        <v>2.4382311383732236</v>
      </c>
      <c r="DF16" s="2">
        <f>DE16+預測IC!DF16</f>
        <v>2.3247238707137532</v>
      </c>
      <c r="DG16" s="2">
        <f>DF16+預測IC!DG16</f>
        <v>2.4396500632803062</v>
      </c>
      <c r="DH16" s="2">
        <f>DG16+預測IC!DH16</f>
        <v>2.3012608236272056</v>
      </c>
      <c r="DI16" s="2">
        <f>DH16+預測IC!DI16</f>
        <v>2.2765822495144876</v>
      </c>
      <c r="DJ16" s="2">
        <f>DI16+預測IC!DJ16</f>
        <v>2.2919993244876755</v>
      </c>
      <c r="DK16" s="2">
        <f>DJ16+預測IC!DK16</f>
        <v>2.2585655694673745</v>
      </c>
      <c r="DL16" s="2">
        <f>DK16+預測IC!DL16</f>
        <v>2.3021157775649619</v>
      </c>
      <c r="DM16" s="2">
        <f>DL16+預測IC!DM16</f>
        <v>2.2886659155043692</v>
      </c>
      <c r="DN16" s="2">
        <f>DM16+預測IC!DN16</f>
        <v>2.3944614400667219</v>
      </c>
      <c r="DO16" s="2">
        <f>DN16+預測IC!DO16</f>
        <v>2.6535367294653169</v>
      </c>
      <c r="DP16" s="2">
        <f>DO16+預測IC!DP16</f>
        <v>2.7217107408527417</v>
      </c>
      <c r="DQ16" s="2">
        <f>DP16+預測IC!DQ16</f>
        <v>2.6625635453166625</v>
      </c>
      <c r="DR16" s="2">
        <f>DQ16+預測IC!DR16</f>
        <v>2.6792543456536251</v>
      </c>
      <c r="DS16" s="2">
        <f>DR16+預測IC!DS16</f>
        <v>2.5071289046968324</v>
      </c>
      <c r="DT16" s="2">
        <f>DS16+預測IC!DT16</f>
        <v>2.5050634332257955</v>
      </c>
      <c r="DU16" s="2">
        <f>DT16+預測IC!DU16</f>
        <v>2.3552012152893678</v>
      </c>
      <c r="DV16" s="2">
        <f>DU16+預測IC!DV16</f>
        <v>2.3454379631482065</v>
      </c>
      <c r="DW16" s="2">
        <f>DV16+預測IC!DW16</f>
        <v>2.3888042875453452</v>
      </c>
      <c r="DX16" s="2">
        <f>DW16+預測IC!DX16</f>
        <v>2.3530123513314058</v>
      </c>
      <c r="DY16" s="2">
        <f>DX16+預測IC!DY16</f>
        <v>2.2321692757545288</v>
      </c>
      <c r="DZ16" s="2">
        <f>DY16+預測IC!DZ16</f>
        <v>2.2198579329151777</v>
      </c>
      <c r="EA16" s="2">
        <f>DZ16+預測IC!EA16</f>
        <v>2.1887947556081953</v>
      </c>
      <c r="EB16" s="2">
        <f>EA16+預測IC!EB16</f>
        <v>2.3694428725527938</v>
      </c>
      <c r="EC16" s="2">
        <f>EB16+預測IC!EC16</f>
        <v>2.3890079260410344</v>
      </c>
      <c r="ED16" s="2">
        <f>EC16+預測IC!ED16</f>
        <v>2.3086847662352765</v>
      </c>
      <c r="EE16" s="2">
        <f>ED16+預測IC!EE16</f>
        <v>2.2896736196573646</v>
      </c>
      <c r="EF16" s="2">
        <f>EE16+預測IC!EF16</f>
        <v>2.2338617974193231</v>
      </c>
      <c r="EG16" s="2">
        <f>EF16+預測IC!EG16</f>
        <v>1.9900407682658612</v>
      </c>
      <c r="EH16" s="2">
        <f>EG16+預測IC!EH16</f>
        <v>2.021276630713106</v>
      </c>
      <c r="EI16" s="2">
        <f>EH16+預測IC!EI16</f>
        <v>1.95993903142756</v>
      </c>
      <c r="EJ16" s="2">
        <f>EI16+預測IC!EJ16</f>
        <v>2.0088467183047198</v>
      </c>
      <c r="EK16" s="2">
        <f>EJ16+預測IC!EK16</f>
        <v>2.1600327741154093</v>
      </c>
      <c r="EL16" s="2">
        <f>EK16+預測IC!EL16</f>
        <v>2.2632912556505751</v>
      </c>
    </row>
    <row r="17" spans="1:142" x14ac:dyDescent="0.3">
      <c r="A17" s="18">
        <v>130</v>
      </c>
      <c r="B17" s="18">
        <f t="shared" si="10"/>
        <v>8</v>
      </c>
      <c r="C17" s="2">
        <v>-0.10848541786298629</v>
      </c>
      <c r="D17" s="2">
        <f>C17+預測IC!D17</f>
        <v>7.95531542712484E-2</v>
      </c>
      <c r="E17" s="2">
        <f>D17+預測IC!E17</f>
        <v>6.5456805430007176E-2</v>
      </c>
      <c r="F17" s="2">
        <f>E17+預測IC!F17</f>
        <v>0.15489334270892377</v>
      </c>
      <c r="G17" s="2">
        <f>F17+預測IC!G17</f>
        <v>0.13377008961498466</v>
      </c>
      <c r="H17" s="2">
        <f>G17+預測IC!H17</f>
        <v>0.16246681492464146</v>
      </c>
      <c r="I17" s="2">
        <f>H17+預測IC!I17</f>
        <v>0.15861659917549722</v>
      </c>
      <c r="J17" s="2">
        <f>I17+預測IC!J17</f>
        <v>0.19250891626287372</v>
      </c>
      <c r="K17" s="2">
        <f>J17+預測IC!K17</f>
        <v>0.24475668343842288</v>
      </c>
      <c r="L17" s="2">
        <f>K17+預測IC!L17</f>
        <v>0.20332431829980627</v>
      </c>
      <c r="M17" s="2">
        <f>L17+預測IC!M17</f>
        <v>0.14746289520509828</v>
      </c>
      <c r="N17" s="2">
        <f>M17+預測IC!N17</f>
        <v>0.23615191690077691</v>
      </c>
      <c r="O17" s="2">
        <f>N17+預測IC!O17</f>
        <v>0.2549714849608386</v>
      </c>
      <c r="P17" s="2">
        <f>O17+預測IC!P17</f>
        <v>0.31571253655085085</v>
      </c>
      <c r="Q17" s="2">
        <f>P17+預測IC!Q17</f>
        <v>0.3328970617133038</v>
      </c>
      <c r="R17" s="2">
        <f>Q17+預測IC!R17</f>
        <v>0.36037728921684042</v>
      </c>
      <c r="S17" s="2">
        <f>R17+預測IC!S17</f>
        <v>0.59477748855293489</v>
      </c>
      <c r="T17" s="2">
        <f>S17+預測IC!T17</f>
        <v>0.67818139337314398</v>
      </c>
      <c r="U17" s="2">
        <f>T17+預測IC!U17</f>
        <v>0.7989767013612642</v>
      </c>
      <c r="V17" s="2">
        <f>U17+預測IC!V17</f>
        <v>0.73722755050750688</v>
      </c>
      <c r="W17" s="2">
        <f>V17+預測IC!W17</f>
        <v>0.84859850863237596</v>
      </c>
      <c r="X17" s="2">
        <f>W17+預測IC!X17</f>
        <v>0.92357872334222635</v>
      </c>
      <c r="Y17" s="2">
        <f>X17+預測IC!Y17</f>
        <v>0.86140378706463472</v>
      </c>
      <c r="Z17" s="2">
        <f>Y17+預測IC!Z17</f>
        <v>0.92384084351126161</v>
      </c>
      <c r="AA17" s="2">
        <f>Z17+預測IC!AA17</f>
        <v>0.89163746886257367</v>
      </c>
      <c r="AB17" s="2">
        <f>AA17+預測IC!AB17</f>
        <v>0.83890722913551918</v>
      </c>
      <c r="AC17" s="2">
        <f>AB17+預測IC!AC17</f>
        <v>0.87471643592578818</v>
      </c>
      <c r="AD17" s="2">
        <f>AC17+預測IC!AD17</f>
        <v>0.89210529930121296</v>
      </c>
      <c r="AE17" s="2">
        <f>AD17+預測IC!AE17</f>
        <v>0.97978981324747028</v>
      </c>
      <c r="AF17" s="2">
        <f>AE17+預測IC!AF17</f>
        <v>0.80006379432019537</v>
      </c>
      <c r="AG17" s="2">
        <f>AF17+預測IC!AG17</f>
        <v>0.81062623666348732</v>
      </c>
      <c r="AH17" s="2">
        <f>AG17+預測IC!AH17</f>
        <v>0.8117966955110264</v>
      </c>
      <c r="AI17" s="2">
        <f>AH17+預測IC!AI17</f>
        <v>0.87031097454431516</v>
      </c>
      <c r="AJ17" s="2">
        <f>AI17+預測IC!AJ17</f>
        <v>0.9956089209225758</v>
      </c>
      <c r="AK17" s="2">
        <f>AJ17+預測IC!AK17</f>
        <v>1.0647586753514524</v>
      </c>
      <c r="AL17" s="2">
        <f>AK17+預測IC!AL17</f>
        <v>1.0727059525675995</v>
      </c>
      <c r="AM17" s="2">
        <f>AL17+預測IC!AM17</f>
        <v>1.127415564369014</v>
      </c>
      <c r="AN17" s="2">
        <f>AM17+預測IC!AN17</f>
        <v>1.2560543830904014</v>
      </c>
      <c r="AO17" s="2">
        <f>AN17+預測IC!AO17</f>
        <v>1.3650143984326706</v>
      </c>
      <c r="AP17" s="2">
        <f>AO17+預測IC!AP17</f>
        <v>1.4536738210534059</v>
      </c>
      <c r="AQ17" s="2">
        <f>AP17+預測IC!AQ17</f>
        <v>1.4550894512024029</v>
      </c>
      <c r="AR17" s="2">
        <f>AQ17+預測IC!AR17</f>
        <v>1.5044953831942882</v>
      </c>
      <c r="AS17" s="2">
        <f>AR17+預測IC!AS17</f>
        <v>1.6173421664025078</v>
      </c>
      <c r="AT17" s="2">
        <f>AS17+預測IC!AT17</f>
        <v>1.760294545892964</v>
      </c>
      <c r="AU17" s="2">
        <f>AT17+預測IC!AU17</f>
        <v>1.8907173393790131</v>
      </c>
      <c r="AV17" s="2">
        <f>AU17+預測IC!AV17</f>
        <v>1.8239499657736142</v>
      </c>
      <c r="AW17" s="2">
        <f>AV17+預測IC!AW17</f>
        <v>1.7854422282593143</v>
      </c>
      <c r="AX17" s="2">
        <f>AW17+預測IC!AX17</f>
        <v>1.9023419965410964</v>
      </c>
      <c r="AY17" s="2">
        <f>AX17+預測IC!AY17</f>
        <v>1.8963698860326867</v>
      </c>
      <c r="AZ17" s="2">
        <f>AY17+預測IC!AZ17</f>
        <v>1.9399933782711838</v>
      </c>
      <c r="BA17" s="2">
        <f>AZ17+預測IC!BA17</f>
        <v>1.9527143112208054</v>
      </c>
      <c r="BB17" s="2">
        <f>BA17+預測IC!BB17</f>
        <v>2.0255727845866587</v>
      </c>
      <c r="BC17" s="2">
        <f>BB17+預測IC!BC17</f>
        <v>2.120363222948324</v>
      </c>
      <c r="BD17" s="2">
        <f>BC17+預測IC!BD17</f>
        <v>2.0471384626727782</v>
      </c>
      <c r="BE17" s="2">
        <f>BD17+預測IC!BE17</f>
        <v>1.9470165586848183</v>
      </c>
      <c r="BF17" s="2">
        <f>BE17+預測IC!BF17</f>
        <v>2.1798636239883851</v>
      </c>
      <c r="BG17" s="2">
        <f>BF17+預測IC!BG17</f>
        <v>2.3212456936069445</v>
      </c>
      <c r="BH17" s="2">
        <f>BG17+預測IC!BH17</f>
        <v>2.4490230349476896</v>
      </c>
      <c r="BI17" s="2">
        <f>BH17+預測IC!BI17</f>
        <v>2.4770475014614908</v>
      </c>
      <c r="BJ17" s="2">
        <f>BI17+預測IC!BJ17</f>
        <v>2.5572135617633567</v>
      </c>
      <c r="BK17" s="2">
        <f>BJ17+預測IC!BK17</f>
        <v>2.5223677298734248</v>
      </c>
      <c r="BL17" s="2">
        <f>BK17+預測IC!BL17</f>
        <v>2.5774860607176446</v>
      </c>
      <c r="BM17" s="2">
        <f>BL17+預測IC!BM17</f>
        <v>2.633884137369948</v>
      </c>
      <c r="BN17" s="2">
        <f>BM17+預測IC!BN17</f>
        <v>2.615043180798784</v>
      </c>
      <c r="BO17" s="2">
        <f>BN17+預測IC!BO17</f>
        <v>2.593547341412779</v>
      </c>
      <c r="BP17" s="2">
        <f>BO17+預測IC!BP17</f>
        <v>2.5667731162824285</v>
      </c>
      <c r="BQ17" s="2">
        <f>BP17+預測IC!BQ17</f>
        <v>2.5546812668881298</v>
      </c>
      <c r="BR17" s="2">
        <f>BQ17+預測IC!BR17</f>
        <v>2.4453564422838854</v>
      </c>
      <c r="BS17" s="2">
        <f>BR17+預測IC!BS17</f>
        <v>2.3993994987870906</v>
      </c>
      <c r="BT17" s="2">
        <f>BS17+預測IC!BT17</f>
        <v>2.4008760260436937</v>
      </c>
      <c r="BU17" s="2">
        <f>BT17+預測IC!BU17</f>
        <v>2.4610751175269439</v>
      </c>
      <c r="BV17" s="2">
        <f>BU17+預測IC!BV17</f>
        <v>2.5049190140488049</v>
      </c>
      <c r="BW17" s="2">
        <f>BV17+預測IC!BW17</f>
        <v>2.5271369699683137</v>
      </c>
      <c r="BX17" s="2">
        <f>BW17+預測IC!BX17</f>
        <v>2.6080086472605042</v>
      </c>
      <c r="BY17" s="2">
        <f>BX17+預測IC!BY17</f>
        <v>2.4246099481995431</v>
      </c>
      <c r="BZ17" s="2">
        <f>BY17+預測IC!BZ17</f>
        <v>2.3021196601300442</v>
      </c>
      <c r="CA17" s="2">
        <f>BZ17+預測IC!CA17</f>
        <v>2.2601377439261974</v>
      </c>
      <c r="CB17" s="2">
        <f>CA17+預測IC!CB17</f>
        <v>2.193401664418154</v>
      </c>
      <c r="CC17" s="2">
        <f>CB17+預測IC!CC17</f>
        <v>2.2406998212000486</v>
      </c>
      <c r="CD17" s="2">
        <f>CC17+預測IC!CD17</f>
        <v>2.1816754238157898</v>
      </c>
      <c r="CE17" s="2">
        <f>CD17+預測IC!CE17</f>
        <v>2.2735950296445768</v>
      </c>
      <c r="CF17" s="2">
        <f>CE17+預測IC!CF17</f>
        <v>2.2876318201752914</v>
      </c>
      <c r="CG17" s="2">
        <f>CF17+預測IC!CG17</f>
        <v>2.1966374930237027</v>
      </c>
      <c r="CH17" s="2">
        <f>CG17+預測IC!CH17</f>
        <v>2.2755778840523826</v>
      </c>
      <c r="CI17" s="2">
        <f>CH17+預測IC!CI17</f>
        <v>2.1769177632867165</v>
      </c>
      <c r="CJ17" s="2">
        <f>CI17+預測IC!CJ17</f>
        <v>2.1621436554565707</v>
      </c>
      <c r="CK17" s="2">
        <f>CJ17+預測IC!CK17</f>
        <v>2.3088410050426122</v>
      </c>
      <c r="CL17" s="2">
        <f>CK17+預測IC!CL17</f>
        <v>2.4666291276739236</v>
      </c>
      <c r="CM17" s="2">
        <f>CL17+預測IC!CM17</f>
        <v>2.420269761023508</v>
      </c>
      <c r="CN17" s="2">
        <f>CM17+預測IC!CN17</f>
        <v>2.3774326910568275</v>
      </c>
      <c r="CO17" s="2">
        <f>CN17+預測IC!CO17</f>
        <v>2.1432924367777719</v>
      </c>
      <c r="CP17" s="2">
        <f>CO17+預測IC!CP17</f>
        <v>2.2288273630275106</v>
      </c>
      <c r="CQ17" s="2">
        <f>CP17+預測IC!CQ17</f>
        <v>2.3587798585505038</v>
      </c>
      <c r="CR17" s="2">
        <f>CQ17+預測IC!CR17</f>
        <v>2.3716118129146584</v>
      </c>
      <c r="CS17" s="2">
        <f>CR17+預測IC!CS17</f>
        <v>2.3286836887870956</v>
      </c>
      <c r="CT17" s="2">
        <f>CS17+預測IC!CT17</f>
        <v>2.3703952026998993</v>
      </c>
      <c r="CU17" s="2">
        <f>CT17+預測IC!CU17</f>
        <v>2.5174087150114373</v>
      </c>
      <c r="CV17" s="2">
        <f>CU17+預測IC!CV17</f>
        <v>2.45195769375974</v>
      </c>
      <c r="CW17" s="2">
        <f>CV17+預測IC!CW17</f>
        <v>2.5445354148601504</v>
      </c>
      <c r="CX17" s="2">
        <f>CW17+預測IC!CX17</f>
        <v>2.5249580359793335</v>
      </c>
      <c r="CY17" s="2">
        <f>CX17+預測IC!CY17</f>
        <v>2.4269954416176218</v>
      </c>
      <c r="CZ17" s="2">
        <f>CY17+預測IC!CZ17</f>
        <v>2.4041158094335184</v>
      </c>
      <c r="DA17" s="2">
        <f>CZ17+預測IC!DA17</f>
        <v>2.3760663316441515</v>
      </c>
      <c r="DB17" s="2">
        <f>DA17+預測IC!DB17</f>
        <v>2.558410211108864</v>
      </c>
      <c r="DC17" s="2">
        <f>DB17+預測IC!DC17</f>
        <v>2.5089535737082223</v>
      </c>
      <c r="DD17" s="2">
        <f>DC17+預測IC!DD17</f>
        <v>2.6477143259058429</v>
      </c>
      <c r="DE17" s="2">
        <f>DD17+預測IC!DE17</f>
        <v>2.7165802377894566</v>
      </c>
      <c r="DF17" s="2">
        <f>DE17+預測IC!DF17</f>
        <v>2.603187169899646</v>
      </c>
      <c r="DG17" s="2">
        <f>DF17+預測IC!DG17</f>
        <v>2.7068652466385745</v>
      </c>
      <c r="DH17" s="2">
        <f>DG17+預測IC!DH17</f>
        <v>2.5641840550759341</v>
      </c>
      <c r="DI17" s="2">
        <f>DH17+預測IC!DI17</f>
        <v>2.5231742995735318</v>
      </c>
      <c r="DJ17" s="2">
        <f>DI17+預測IC!DJ17</f>
        <v>2.5349634009827695</v>
      </c>
      <c r="DK17" s="2">
        <f>DJ17+預測IC!DK17</f>
        <v>2.5294072513208383</v>
      </c>
      <c r="DL17" s="2">
        <f>DK17+預測IC!DL17</f>
        <v>2.5752840340780834</v>
      </c>
      <c r="DM17" s="2">
        <f>DL17+預測IC!DM17</f>
        <v>2.5364030520766052</v>
      </c>
      <c r="DN17" s="2">
        <f>DM17+預測IC!DN17</f>
        <v>2.6209869728497073</v>
      </c>
      <c r="DO17" s="2">
        <f>DN17+預測IC!DO17</f>
        <v>2.912266965563802</v>
      </c>
      <c r="DP17" s="2">
        <f>DO17+預測IC!DP17</f>
        <v>2.9968995648437469</v>
      </c>
      <c r="DQ17" s="2">
        <f>DP17+預測IC!DQ17</f>
        <v>2.9393868307398634</v>
      </c>
      <c r="DR17" s="2">
        <f>DQ17+預測IC!DR17</f>
        <v>2.9551672858206492</v>
      </c>
      <c r="DS17" s="2">
        <f>DR17+預測IC!DS17</f>
        <v>2.7993596478212912</v>
      </c>
      <c r="DT17" s="2">
        <f>DS17+預測IC!DT17</f>
        <v>2.7777905443273454</v>
      </c>
      <c r="DU17" s="2">
        <f>DT17+預測IC!DU17</f>
        <v>2.6089116500517386</v>
      </c>
      <c r="DV17" s="2">
        <f>DU17+預測IC!DV17</f>
        <v>2.6053142797537467</v>
      </c>
      <c r="DW17" s="2">
        <f>DV17+預測IC!DW17</f>
        <v>2.6403421339533168</v>
      </c>
      <c r="DX17" s="2">
        <f>DW17+預測IC!DX17</f>
        <v>2.5602417217253737</v>
      </c>
      <c r="DY17" s="2">
        <f>DX17+預測IC!DY17</f>
        <v>2.4334239390978958</v>
      </c>
      <c r="DZ17" s="2">
        <f>DY17+預測IC!DZ17</f>
        <v>2.3894095777371036</v>
      </c>
      <c r="EA17" s="2">
        <f>DZ17+預測IC!EA17</f>
        <v>2.3646469539017558</v>
      </c>
      <c r="EB17" s="2">
        <f>EA17+預測IC!EB17</f>
        <v>2.5644198480333342</v>
      </c>
      <c r="EC17" s="2">
        <f>EB17+預測IC!EC17</f>
        <v>2.6020281800984275</v>
      </c>
      <c r="ED17" s="2">
        <f>EC17+預測IC!ED17</f>
        <v>2.4892644466347358</v>
      </c>
      <c r="EE17" s="2">
        <f>ED17+預測IC!EE17</f>
        <v>2.472247893612086</v>
      </c>
      <c r="EF17" s="2">
        <f>EE17+預測IC!EF17</f>
        <v>2.399993452385258</v>
      </c>
      <c r="EG17" s="2">
        <f>EF17+預測IC!EG17</f>
        <v>2.0860124376125166</v>
      </c>
      <c r="EH17" s="2">
        <f>EG17+預測IC!EH17</f>
        <v>2.1336369655280576</v>
      </c>
      <c r="EI17" s="2">
        <f>EH17+預測IC!EI17</f>
        <v>2.0802962654438515</v>
      </c>
      <c r="EJ17" s="2">
        <f>EI17+預測IC!EJ17</f>
        <v>2.1179275485015672</v>
      </c>
      <c r="EK17" s="2">
        <f>EJ17+預測IC!EK17</f>
        <v>2.2218292240449347</v>
      </c>
      <c r="EL17" s="2">
        <f>EK17+預測IC!EL17</f>
        <v>2.2811866604356354</v>
      </c>
    </row>
    <row r="18" spans="1:142" x14ac:dyDescent="0.3">
      <c r="A18" s="18">
        <v>150</v>
      </c>
      <c r="B18" s="18">
        <f t="shared" si="10"/>
        <v>7</v>
      </c>
      <c r="C18" s="2">
        <v>-5.264358642546442E-2</v>
      </c>
      <c r="D18" s="2">
        <f>C18+預測IC!D18</f>
        <v>0.13787737490943019</v>
      </c>
      <c r="E18" s="2">
        <f>D18+預測IC!E18</f>
        <v>7.8306546797463558E-2</v>
      </c>
      <c r="F18" s="2">
        <f>E18+預測IC!F18</f>
        <v>0.14429236879348747</v>
      </c>
      <c r="G18" s="2">
        <f>F18+預測IC!G18</f>
        <v>0.10394734110741444</v>
      </c>
      <c r="H18" s="2">
        <f>G18+預測IC!H18</f>
        <v>0.12286534078942239</v>
      </c>
      <c r="I18" s="2">
        <f>H18+預測IC!I18</f>
        <v>0.12878144636321118</v>
      </c>
      <c r="J18" s="2">
        <f>I18+預測IC!J18</f>
        <v>0.16034629874111914</v>
      </c>
      <c r="K18" s="2">
        <f>J18+預測IC!K18</f>
        <v>0.22190137620401928</v>
      </c>
      <c r="L18" s="2">
        <f>K18+預測IC!L18</f>
        <v>0.23526547121138791</v>
      </c>
      <c r="M18" s="2">
        <f>L18+預測IC!M18</f>
        <v>0.16430939359440203</v>
      </c>
      <c r="N18" s="2">
        <f>M18+預測IC!N18</f>
        <v>0.32768840525872484</v>
      </c>
      <c r="O18" s="2">
        <f>N18+預測IC!O18</f>
        <v>0.33838159953891694</v>
      </c>
      <c r="P18" s="2">
        <f>O18+預測IC!P18</f>
        <v>0.39166108429973706</v>
      </c>
      <c r="Q18" s="2">
        <f>P18+預測IC!Q18</f>
        <v>0.42328248838792076</v>
      </c>
      <c r="R18" s="2">
        <f>Q18+預測IC!R18</f>
        <v>0.42303136219249943</v>
      </c>
      <c r="S18" s="2">
        <f>R18+預測IC!S18</f>
        <v>0.6980050038561898</v>
      </c>
      <c r="T18" s="2">
        <f>S18+預測IC!T18</f>
        <v>0.79856460007404995</v>
      </c>
      <c r="U18" s="2">
        <f>T18+預測IC!U18</f>
        <v>0.89726457571033735</v>
      </c>
      <c r="V18" s="2">
        <f>U18+預測IC!V18</f>
        <v>0.86065860435142238</v>
      </c>
      <c r="W18" s="2">
        <f>V18+預測IC!W18</f>
        <v>0.97906568401894423</v>
      </c>
      <c r="X18" s="2">
        <f>W18+預測IC!X18</f>
        <v>1.0773578951093776</v>
      </c>
      <c r="Y18" s="2">
        <f>X18+預測IC!Y18</f>
        <v>1.0146231787164586</v>
      </c>
      <c r="Z18" s="2">
        <f>Y18+預測IC!Z18</f>
        <v>1.0738787982536324</v>
      </c>
      <c r="AA18" s="2">
        <f>Z18+預測IC!AA18</f>
        <v>1.0455539427355121</v>
      </c>
      <c r="AB18" s="2">
        <f>AA18+預測IC!AB18</f>
        <v>0.97069574299883188</v>
      </c>
      <c r="AC18" s="2">
        <f>AB18+預測IC!AC18</f>
        <v>1.0367984859864208</v>
      </c>
      <c r="AD18" s="2">
        <f>AC18+預測IC!AD18</f>
        <v>1.0343085614566239</v>
      </c>
      <c r="AE18" s="2">
        <f>AD18+預測IC!AE18</f>
        <v>1.1228380311352593</v>
      </c>
      <c r="AF18" s="2">
        <f>AE18+預測IC!AF18</f>
        <v>0.97357039865395034</v>
      </c>
      <c r="AG18" s="2">
        <f>AF18+預測IC!AG18</f>
        <v>0.97993161925428607</v>
      </c>
      <c r="AH18" s="2">
        <f>AG18+預測IC!AH18</f>
        <v>0.97298373903299751</v>
      </c>
      <c r="AI18" s="2">
        <f>AH18+預測IC!AI18</f>
        <v>1.0326371151699474</v>
      </c>
      <c r="AJ18" s="2">
        <f>AI18+預測IC!AJ18</f>
        <v>1.1932565374260002</v>
      </c>
      <c r="AK18" s="2">
        <f>AJ18+預測IC!AK18</f>
        <v>1.2603879657818213</v>
      </c>
      <c r="AL18" s="2">
        <f>AK18+預測IC!AL18</f>
        <v>1.2939123799049681</v>
      </c>
      <c r="AM18" s="2">
        <f>AL18+預測IC!AM18</f>
        <v>1.3604917601594166</v>
      </c>
      <c r="AN18" s="2">
        <f>AM18+預測IC!AN18</f>
        <v>1.4967039251199905</v>
      </c>
      <c r="AO18" s="2">
        <f>AN18+預測IC!AO18</f>
        <v>1.5755318916458423</v>
      </c>
      <c r="AP18" s="2">
        <f>AO18+預測IC!AP18</f>
        <v>1.6928541836330888</v>
      </c>
      <c r="AQ18" s="2">
        <f>AP18+預測IC!AQ18</f>
        <v>1.6996693583613396</v>
      </c>
      <c r="AR18" s="2">
        <f>AQ18+預測IC!AR18</f>
        <v>1.7574103542147528</v>
      </c>
      <c r="AS18" s="2">
        <f>AR18+預測IC!AS18</f>
        <v>1.8196082173188826</v>
      </c>
      <c r="AT18" s="2">
        <f>AS18+預測IC!AT18</f>
        <v>1.9922484746758999</v>
      </c>
      <c r="AU18" s="2">
        <f>AT18+預測IC!AU18</f>
        <v>2.1330139757861879</v>
      </c>
      <c r="AV18" s="2">
        <f>AU18+預測IC!AV18</f>
        <v>2.065936481118043</v>
      </c>
      <c r="AW18" s="2">
        <f>AV18+預測IC!AW18</f>
        <v>2.0205051060813344</v>
      </c>
      <c r="AX18" s="2">
        <f>AW18+預測IC!AX18</f>
        <v>2.162649751060894</v>
      </c>
      <c r="AY18" s="2">
        <f>AX18+預測IC!AY18</f>
        <v>2.1516942701592017</v>
      </c>
      <c r="AZ18" s="2">
        <f>AY18+預測IC!AZ18</f>
        <v>2.2260703327944378</v>
      </c>
      <c r="BA18" s="2">
        <f>AZ18+預測IC!BA18</f>
        <v>2.2393432473496184</v>
      </c>
      <c r="BB18" s="2">
        <f>BA18+預測IC!BB18</f>
        <v>2.3237212789576476</v>
      </c>
      <c r="BC18" s="2">
        <f>BB18+預測IC!BC18</f>
        <v>2.4325019394855438</v>
      </c>
      <c r="BD18" s="2">
        <f>BC18+預測IC!BD18</f>
        <v>2.3913068388549581</v>
      </c>
      <c r="BE18" s="2">
        <f>BD18+預測IC!BE18</f>
        <v>2.283952719091169</v>
      </c>
      <c r="BF18" s="2">
        <f>BE18+預測IC!BF18</f>
        <v>2.5265029048515379</v>
      </c>
      <c r="BG18" s="2">
        <f>BF18+預測IC!BG18</f>
        <v>2.6663870567518222</v>
      </c>
      <c r="BH18" s="2">
        <f>BG18+預測IC!BH18</f>
        <v>2.8173984814963333</v>
      </c>
      <c r="BI18" s="2">
        <f>BH18+預測IC!BI18</f>
        <v>2.8358522222829174</v>
      </c>
      <c r="BJ18" s="2">
        <f>BI18+預測IC!BJ18</f>
        <v>2.9212831655137963</v>
      </c>
      <c r="BK18" s="2">
        <f>BJ18+預測IC!BK18</f>
        <v>2.8814593576395886</v>
      </c>
      <c r="BL18" s="2">
        <f>BK18+預測IC!BL18</f>
        <v>2.942992852010395</v>
      </c>
      <c r="BM18" s="2">
        <f>BL18+預測IC!BM18</f>
        <v>3.0087409410960153</v>
      </c>
      <c r="BN18" s="2">
        <f>BM18+預測IC!BN18</f>
        <v>2.9925414757989088</v>
      </c>
      <c r="BO18" s="2">
        <f>BN18+預測IC!BO18</f>
        <v>2.9552638230458639</v>
      </c>
      <c r="BP18" s="2">
        <f>BO18+預測IC!BP18</f>
        <v>2.9661729273556525</v>
      </c>
      <c r="BQ18" s="2">
        <f>BP18+預測IC!BQ18</f>
        <v>2.9426693625817442</v>
      </c>
      <c r="BR18" s="2">
        <f>BQ18+預測IC!BR18</f>
        <v>2.8389453623250729</v>
      </c>
      <c r="BS18" s="2">
        <f>BR18+預測IC!BS18</f>
        <v>2.8003668254202645</v>
      </c>
      <c r="BT18" s="2">
        <f>BS18+預測IC!BT18</f>
        <v>2.8105044628788667</v>
      </c>
      <c r="BU18" s="2">
        <f>BT18+預測IC!BU18</f>
        <v>2.8497401803033657</v>
      </c>
      <c r="BV18" s="2">
        <f>BU18+預測IC!BV18</f>
        <v>2.9049842391266756</v>
      </c>
      <c r="BW18" s="2">
        <f>BV18+預測IC!BW18</f>
        <v>2.9366426619390125</v>
      </c>
      <c r="BX18" s="2">
        <f>BW18+預測IC!BX18</f>
        <v>3.0053760724532741</v>
      </c>
      <c r="BY18" s="2">
        <f>BX18+預測IC!BY18</f>
        <v>2.8067891608534703</v>
      </c>
      <c r="BZ18" s="2">
        <f>BY18+預測IC!BZ18</f>
        <v>2.6770464781186507</v>
      </c>
      <c r="CA18" s="2">
        <f>BZ18+預測IC!CA18</f>
        <v>2.6250285118945036</v>
      </c>
      <c r="CB18" s="2">
        <f>CA18+預測IC!CB18</f>
        <v>2.5372623381930133</v>
      </c>
      <c r="CC18" s="2">
        <f>CB18+預測IC!CC18</f>
        <v>2.5681224321435483</v>
      </c>
      <c r="CD18" s="2">
        <f>CC18+預測IC!CD18</f>
        <v>2.4904625507045708</v>
      </c>
      <c r="CE18" s="2">
        <f>CD18+預測IC!CE18</f>
        <v>2.5825411790863018</v>
      </c>
      <c r="CF18" s="2">
        <f>CE18+預測IC!CF18</f>
        <v>2.6128579935940968</v>
      </c>
      <c r="CG18" s="2">
        <f>CF18+預測IC!CG18</f>
        <v>2.6482262156558689</v>
      </c>
      <c r="CH18" s="2">
        <f>CG18+預測IC!CH18</f>
        <v>2.7255025901836274</v>
      </c>
      <c r="CI18" s="2">
        <f>CH18+預測IC!CI18</f>
        <v>2.6220036293378546</v>
      </c>
      <c r="CJ18" s="2">
        <f>CI18+預測IC!CJ18</f>
        <v>2.6318239234951784</v>
      </c>
      <c r="CK18" s="2">
        <f>CJ18+預測IC!CK18</f>
        <v>2.7670522976573606</v>
      </c>
      <c r="CL18" s="2">
        <f>CK18+預測IC!CL18</f>
        <v>2.9191587180326715</v>
      </c>
      <c r="CM18" s="2">
        <f>CL18+預測IC!CM18</f>
        <v>2.8650675757922017</v>
      </c>
      <c r="CN18" s="2">
        <f>CM18+預測IC!CN18</f>
        <v>2.8298773094356626</v>
      </c>
      <c r="CO18" s="2">
        <f>CN18+預測IC!CO18</f>
        <v>2.6011585345201857</v>
      </c>
      <c r="CP18" s="2">
        <f>CO18+預測IC!CP18</f>
        <v>2.7085068057278763</v>
      </c>
      <c r="CQ18" s="2">
        <f>CP18+預測IC!CQ18</f>
        <v>2.8454506381294755</v>
      </c>
      <c r="CR18" s="2">
        <f>CQ18+預測IC!CR18</f>
        <v>2.8601029144942118</v>
      </c>
      <c r="CS18" s="2">
        <f>CR18+預測IC!CS18</f>
        <v>2.8576369426815194</v>
      </c>
      <c r="CT18" s="2">
        <f>CS18+預測IC!CT18</f>
        <v>2.898604674829806</v>
      </c>
      <c r="CU18" s="2">
        <f>CT18+預測IC!CU18</f>
        <v>3.0492764687458402</v>
      </c>
      <c r="CV18" s="2">
        <f>CU18+預測IC!CV18</f>
        <v>2.9373556836397978</v>
      </c>
      <c r="CW18" s="2">
        <f>CV18+預測IC!CW18</f>
        <v>3.0115267200526246</v>
      </c>
      <c r="CX18" s="2">
        <f>CW18+預測IC!CX18</f>
        <v>3.0068529437462388</v>
      </c>
      <c r="CY18" s="2">
        <f>CX18+預測IC!CY18</f>
        <v>2.8996823326762895</v>
      </c>
      <c r="CZ18" s="2">
        <f>CY18+預測IC!CZ18</f>
        <v>2.8677986761512075</v>
      </c>
      <c r="DA18" s="2">
        <f>CZ18+預測IC!DA18</f>
        <v>2.8335846770240924</v>
      </c>
      <c r="DB18" s="2">
        <f>DA18+預測IC!DB18</f>
        <v>2.9488240782539519</v>
      </c>
      <c r="DC18" s="2">
        <f>DB18+預測IC!DC18</f>
        <v>2.8787416945327569</v>
      </c>
      <c r="DD18" s="2">
        <f>DC18+預測IC!DD18</f>
        <v>3.0199062229487912</v>
      </c>
      <c r="DE18" s="2">
        <f>DD18+預測IC!DE18</f>
        <v>3.0667204279994373</v>
      </c>
      <c r="DF18" s="2">
        <f>DE18+預測IC!DF18</f>
        <v>2.9308797220538985</v>
      </c>
      <c r="DG18" s="2">
        <f>DF18+預測IC!DG18</f>
        <v>3.0411330698016603</v>
      </c>
      <c r="DH18" s="2">
        <f>DG18+預測IC!DH18</f>
        <v>2.8799238106154985</v>
      </c>
      <c r="DI18" s="2">
        <f>DH18+預測IC!DI18</f>
        <v>2.8332109662339202</v>
      </c>
      <c r="DJ18" s="2">
        <f>DI18+預測IC!DJ18</f>
        <v>2.8792543331751626</v>
      </c>
      <c r="DK18" s="2">
        <f>DJ18+預測IC!DK18</f>
        <v>2.848059429409846</v>
      </c>
      <c r="DL18" s="2">
        <f>DK18+預測IC!DL18</f>
        <v>2.9045976772935496</v>
      </c>
      <c r="DM18" s="2">
        <f>DL18+預測IC!DM18</f>
        <v>2.8507768401369735</v>
      </c>
      <c r="DN18" s="2">
        <f>DM18+預測IC!DN18</f>
        <v>2.9614409850101113</v>
      </c>
      <c r="DO18" s="2">
        <f>DN18+預測IC!DO18</f>
        <v>3.3099813706170691</v>
      </c>
      <c r="DP18" s="2">
        <f>DO18+預測IC!DP18</f>
        <v>3.4264877010833863</v>
      </c>
      <c r="DQ18" s="2">
        <f>DP18+預測IC!DQ18</f>
        <v>3.3430488531536242</v>
      </c>
      <c r="DR18" s="2">
        <f>DQ18+預測IC!DR18</f>
        <v>3.3632020780660867</v>
      </c>
      <c r="DS18" s="2">
        <f>DR18+預測IC!DS18</f>
        <v>3.1845143679500398</v>
      </c>
      <c r="DT18" s="2">
        <f>DS18+預測IC!DT18</f>
        <v>3.1982710875745863</v>
      </c>
      <c r="DU18" s="2">
        <f>DT18+預測IC!DU18</f>
        <v>3.0433738823143219</v>
      </c>
      <c r="DV18" s="2">
        <f>DU18+預測IC!DV18</f>
        <v>3.0598295407176814</v>
      </c>
      <c r="DW18" s="2">
        <f>DV18+預測IC!DW18</f>
        <v>3.0997915755628713</v>
      </c>
      <c r="DX18" s="2">
        <f>DW18+預測IC!DX18</f>
        <v>3.0279642359590797</v>
      </c>
      <c r="DY18" s="2">
        <f>DX18+預測IC!DY18</f>
        <v>2.8708999210016244</v>
      </c>
      <c r="DZ18" s="2">
        <f>DY18+預測IC!DZ18</f>
        <v>2.7951899935165092</v>
      </c>
      <c r="EA18" s="2">
        <f>DZ18+預測IC!EA18</f>
        <v>2.7835002776721032</v>
      </c>
      <c r="EB18" s="2">
        <f>EA18+預測IC!EB18</f>
        <v>2.9328115185001558</v>
      </c>
      <c r="EC18" s="2">
        <f>EB18+預測IC!EC18</f>
        <v>2.9428578378291252</v>
      </c>
      <c r="ED18" s="2">
        <f>EC18+預測IC!ED18</f>
        <v>2.8279281653080086</v>
      </c>
      <c r="EE18" s="2">
        <f>ED18+預測IC!EE18</f>
        <v>2.8359759842033903</v>
      </c>
      <c r="EF18" s="2">
        <f>EE18+預測IC!EF18</f>
        <v>2.7654887109696791</v>
      </c>
      <c r="EG18" s="2">
        <f>EF18+預測IC!EG18</f>
        <v>2.4132146188577628</v>
      </c>
      <c r="EH18" s="2">
        <f>EG18+預測IC!EH18</f>
        <v>2.4738402835829456</v>
      </c>
      <c r="EI18" s="2">
        <f>EH18+預測IC!EI18</f>
        <v>2.4161990508465894</v>
      </c>
      <c r="EJ18" s="2">
        <f>EI18+預測IC!EJ18</f>
        <v>2.4488394642912046</v>
      </c>
      <c r="EK18" s="2">
        <f>EJ18+預測IC!EK18</f>
        <v>2.5628772401888074</v>
      </c>
      <c r="EL18" s="2">
        <f>EK18+預測IC!EL18</f>
        <v>2.6429397387218683</v>
      </c>
    </row>
    <row r="19" spans="1:142" x14ac:dyDescent="0.3">
      <c r="A19" s="18">
        <v>180</v>
      </c>
      <c r="B19" s="18">
        <f t="shared" si="10"/>
        <v>6</v>
      </c>
      <c r="C19" s="2">
        <v>-6.3862070951592978E-2</v>
      </c>
      <c r="D19" s="2">
        <f>C19+預測IC!D19</f>
        <v>0.14340855445438322</v>
      </c>
      <c r="E19" s="2">
        <f>D19+預測IC!E19</f>
        <v>8.0177602410492099E-2</v>
      </c>
      <c r="F19" s="2">
        <f>E19+預測IC!F19</f>
        <v>0.1955696030921924</v>
      </c>
      <c r="G19" s="2">
        <f>F19+預測IC!G19</f>
        <v>0.16508054842227129</v>
      </c>
      <c r="H19" s="2">
        <f>G19+預測IC!H19</f>
        <v>0.20121419264393406</v>
      </c>
      <c r="I19" s="2">
        <f>H19+預測IC!I19</f>
        <v>0.1917448917265952</v>
      </c>
      <c r="J19" s="2">
        <f>I19+預測IC!J19</f>
        <v>0.22035640715901275</v>
      </c>
      <c r="K19" s="2">
        <f>J19+預測IC!K19</f>
        <v>0.34871954430459862</v>
      </c>
      <c r="L19" s="2">
        <f>K19+預測IC!L19</f>
        <v>0.34171509753594531</v>
      </c>
      <c r="M19" s="2">
        <f>L19+預測IC!M19</f>
        <v>0.35319322912948797</v>
      </c>
      <c r="N19" s="2">
        <f>M19+預測IC!N19</f>
        <v>0.48393934832034469</v>
      </c>
      <c r="O19" s="2">
        <f>N19+預測IC!O19</f>
        <v>0.49808569219755072</v>
      </c>
      <c r="P19" s="2">
        <f>O19+預測IC!P19</f>
        <v>0.54723689342571402</v>
      </c>
      <c r="Q19" s="2">
        <f>P19+預測IC!Q19</f>
        <v>0.59732480678171662</v>
      </c>
      <c r="R19" s="2">
        <f>Q19+預測IC!R19</f>
        <v>0.61115536429624018</v>
      </c>
      <c r="S19" s="2">
        <f>R19+預測IC!S19</f>
        <v>0.82950013157589231</v>
      </c>
      <c r="T19" s="2">
        <f>S19+預測IC!T19</f>
        <v>0.94305823479491158</v>
      </c>
      <c r="U19" s="2">
        <f>T19+預測IC!U19</f>
        <v>1.031444406570093</v>
      </c>
      <c r="V19" s="2">
        <f>U19+預測IC!V19</f>
        <v>0.95860649559246758</v>
      </c>
      <c r="W19" s="2">
        <f>V19+預測IC!W19</f>
        <v>1.0638815334201277</v>
      </c>
      <c r="X19" s="2">
        <f>W19+預測IC!X19</f>
        <v>1.1750613489699964</v>
      </c>
      <c r="Y19" s="2">
        <f>X19+預測IC!Y19</f>
        <v>1.0840647169510111</v>
      </c>
      <c r="Z19" s="2">
        <f>Y19+預測IC!Z19</f>
        <v>1.12456285424828</v>
      </c>
      <c r="AA19" s="2">
        <f>Z19+預測IC!AA19</f>
        <v>1.0961212380427137</v>
      </c>
      <c r="AB19" s="2">
        <f>AA19+預測IC!AB19</f>
        <v>1.0218573902436336</v>
      </c>
      <c r="AC19" s="2">
        <f>AB19+預測IC!AC19</f>
        <v>1.1045635788518398</v>
      </c>
      <c r="AD19" s="2">
        <f>AC19+預測IC!AD19</f>
        <v>1.083016389191527</v>
      </c>
      <c r="AE19" s="2">
        <f>AD19+預測IC!AE19</f>
        <v>1.1635218947949113</v>
      </c>
      <c r="AF19" s="2">
        <f>AE19+預測IC!AF19</f>
        <v>1.095317533775654</v>
      </c>
      <c r="AG19" s="2">
        <f>AF19+預測IC!AG19</f>
        <v>1.0780519676607261</v>
      </c>
      <c r="AH19" s="2">
        <f>AG19+預測IC!AH19</f>
        <v>1.0995947566280848</v>
      </c>
      <c r="AI19" s="2">
        <f>AH19+預測IC!AI19</f>
        <v>1.1651805218863327</v>
      </c>
      <c r="AJ19" s="2">
        <f>AI19+預測IC!AJ19</f>
        <v>1.2963766913275858</v>
      </c>
      <c r="AK19" s="2">
        <f>AJ19+預測IC!AK19</f>
        <v>1.3422368326147025</v>
      </c>
      <c r="AL19" s="2">
        <f>AK19+預測IC!AL19</f>
        <v>1.3694017105598333</v>
      </c>
      <c r="AM19" s="2">
        <f>AL19+預測IC!AM19</f>
        <v>1.43520295983697</v>
      </c>
      <c r="AN19" s="2">
        <f>AM19+預測IC!AN19</f>
        <v>1.5892571765359897</v>
      </c>
      <c r="AO19" s="2">
        <f>AN19+預測IC!AO19</f>
        <v>1.6701256209010278</v>
      </c>
      <c r="AP19" s="2">
        <f>AO19+預測IC!AP19</f>
        <v>1.8333618989076186</v>
      </c>
      <c r="AQ19" s="2">
        <f>AP19+預測IC!AQ19</f>
        <v>1.7757065214509651</v>
      </c>
      <c r="AR19" s="2">
        <f>AQ19+預測IC!AR19</f>
        <v>1.8440789915698466</v>
      </c>
      <c r="AS19" s="2">
        <f>AR19+預測IC!AS19</f>
        <v>1.9150477578740723</v>
      </c>
      <c r="AT19" s="2">
        <f>AS19+預測IC!AT19</f>
        <v>2.1222694202630898</v>
      </c>
      <c r="AU19" s="2">
        <f>AT19+預測IC!AU19</f>
        <v>2.282685499487723</v>
      </c>
      <c r="AV19" s="2">
        <f>AU19+預測IC!AV19</f>
        <v>2.20339775110924</v>
      </c>
      <c r="AW19" s="2">
        <f>AV19+預測IC!AW19</f>
        <v>2.1762855341777256</v>
      </c>
      <c r="AX19" s="2">
        <f>AW19+預測IC!AX19</f>
        <v>2.3139305653318738</v>
      </c>
      <c r="AY19" s="2">
        <f>AX19+預測IC!AY19</f>
        <v>2.2948687265850052</v>
      </c>
      <c r="AZ19" s="2">
        <f>AY19+預測IC!AZ19</f>
        <v>2.2934282026272705</v>
      </c>
      <c r="BA19" s="2">
        <f>AZ19+預測IC!BA19</f>
        <v>2.306180967979035</v>
      </c>
      <c r="BB19" s="2">
        <f>BA19+預測IC!BB19</f>
        <v>2.4111978727272989</v>
      </c>
      <c r="BC19" s="2">
        <f>BB19+預測IC!BC19</f>
        <v>2.5098824069552212</v>
      </c>
      <c r="BD19" s="2">
        <f>BC19+預測IC!BD19</f>
        <v>2.4582090411077373</v>
      </c>
      <c r="BE19" s="2">
        <f>BD19+預測IC!BE19</f>
        <v>2.3398100876824879</v>
      </c>
      <c r="BF19" s="2">
        <f>BE19+預測IC!BF19</f>
        <v>2.6048868811818711</v>
      </c>
      <c r="BG19" s="2">
        <f>BF19+預測IC!BG19</f>
        <v>2.7467453569668749</v>
      </c>
      <c r="BH19" s="2">
        <f>BG19+預測IC!BH19</f>
        <v>2.9187494129974585</v>
      </c>
      <c r="BI19" s="2">
        <f>BH19+預測IC!BI19</f>
        <v>2.9472230279023228</v>
      </c>
      <c r="BJ19" s="2">
        <f>BI19+預測IC!BJ19</f>
        <v>3.0426341707006834</v>
      </c>
      <c r="BK19" s="2">
        <f>BJ19+預測IC!BK19</f>
        <v>3.0197898618694254</v>
      </c>
      <c r="BL19" s="2">
        <f>BK19+預測IC!BL19</f>
        <v>3.086169547445921</v>
      </c>
      <c r="BM19" s="2">
        <f>BL19+預測IC!BM19</f>
        <v>3.1472208068759602</v>
      </c>
      <c r="BN19" s="2">
        <f>BM19+預測IC!BN19</f>
        <v>3.1255403272478262</v>
      </c>
      <c r="BO19" s="2">
        <f>BN19+預測IC!BO19</f>
        <v>3.1021406223268171</v>
      </c>
      <c r="BP19" s="2">
        <f>BO19+預測IC!BP19</f>
        <v>3.0999831573407763</v>
      </c>
      <c r="BQ19" s="2">
        <f>BP19+預測IC!BQ19</f>
        <v>3.1175322167667883</v>
      </c>
      <c r="BR19" s="2">
        <f>BQ19+預測IC!BR19</f>
        <v>3.0380289645492917</v>
      </c>
      <c r="BS19" s="2">
        <f>BR19+預測IC!BS19</f>
        <v>2.9874790701527303</v>
      </c>
      <c r="BT19" s="2">
        <f>BS19+預測IC!BT19</f>
        <v>2.9965858479339387</v>
      </c>
      <c r="BU19" s="2">
        <f>BT19+預測IC!BU19</f>
        <v>3.0846526031327959</v>
      </c>
      <c r="BV19" s="2">
        <f>BU19+預測IC!BV19</f>
        <v>3.172096914401541</v>
      </c>
      <c r="BW19" s="2">
        <f>BV19+預測IC!BW19</f>
        <v>3.2774617758117568</v>
      </c>
      <c r="BX19" s="2">
        <f>BW19+預測IC!BX19</f>
        <v>3.372408012802607</v>
      </c>
      <c r="BY19" s="2">
        <f>BX19+預測IC!BY19</f>
        <v>3.1911213628828157</v>
      </c>
      <c r="BZ19" s="2">
        <f>BY19+預測IC!BZ19</f>
        <v>3.069615183977993</v>
      </c>
      <c r="CA19" s="2">
        <f>BZ19+預測IC!CA19</f>
        <v>3.0001149313751636</v>
      </c>
      <c r="CB19" s="2">
        <f>CA19+預測IC!CB19</f>
        <v>2.9135822727912584</v>
      </c>
      <c r="CC19" s="2">
        <f>CB19+預測IC!CC19</f>
        <v>2.982392840575288</v>
      </c>
      <c r="CD19" s="2">
        <f>CC19+預測IC!CD19</f>
        <v>2.8398175567824704</v>
      </c>
      <c r="CE19" s="2">
        <f>CD19+預測IC!CE19</f>
        <v>2.9525089985434021</v>
      </c>
      <c r="CF19" s="2">
        <f>CE19+預測IC!CF19</f>
        <v>2.9600961705719921</v>
      </c>
      <c r="CG19" s="2">
        <f>CF19+預測IC!CG19</f>
        <v>2.9246110509526253</v>
      </c>
      <c r="CH19" s="2">
        <f>CG19+預測IC!CH19</f>
        <v>2.9940395311141361</v>
      </c>
      <c r="CI19" s="2">
        <f>CH19+預測IC!CI19</f>
        <v>2.8979897518916582</v>
      </c>
      <c r="CJ19" s="2">
        <f>CI19+預測IC!CJ19</f>
        <v>2.9235129797498924</v>
      </c>
      <c r="CK19" s="2">
        <f>CJ19+預測IC!CK19</f>
        <v>3.1056415429271507</v>
      </c>
      <c r="CL19" s="2">
        <f>CK19+預測IC!CL19</f>
        <v>3.249776499298981</v>
      </c>
      <c r="CM19" s="2">
        <f>CL19+預測IC!CM19</f>
        <v>3.2453774319448718</v>
      </c>
      <c r="CN19" s="2">
        <f>CM19+預測IC!CN19</f>
        <v>3.207644869393325</v>
      </c>
      <c r="CO19" s="2">
        <f>CN19+預測IC!CO19</f>
        <v>2.9571427989065673</v>
      </c>
      <c r="CP19" s="2">
        <f>CO19+預測IC!CP19</f>
        <v>3.0775791168143432</v>
      </c>
      <c r="CQ19" s="2">
        <f>CP19+預測IC!CQ19</f>
        <v>3.2135970125140503</v>
      </c>
      <c r="CR19" s="2">
        <f>CQ19+預測IC!CR19</f>
        <v>3.2214376127268758</v>
      </c>
      <c r="CS19" s="2">
        <f>CR19+預測IC!CS19</f>
        <v>3.2145453110958897</v>
      </c>
      <c r="CT19" s="2">
        <f>CS19+預測IC!CT19</f>
        <v>3.2267207835119383</v>
      </c>
      <c r="CU19" s="2">
        <f>CT19+預測IC!CU19</f>
        <v>3.3724820736327796</v>
      </c>
      <c r="CV19" s="2">
        <f>CU19+預測IC!CV19</f>
        <v>3.2364471607146719</v>
      </c>
      <c r="CW19" s="2">
        <f>CV19+預測IC!CW19</f>
        <v>3.2987276227870161</v>
      </c>
      <c r="CX19" s="2">
        <f>CW19+預測IC!CX19</f>
        <v>3.3129717975445772</v>
      </c>
      <c r="CY19" s="2">
        <f>CX19+預測IC!CY19</f>
        <v>3.2198808607584799</v>
      </c>
      <c r="CZ19" s="2">
        <f>CY19+預測IC!CZ19</f>
        <v>3.2191068879780285</v>
      </c>
      <c r="DA19" s="2">
        <f>CZ19+預測IC!DA19</f>
        <v>3.1934532542132326</v>
      </c>
      <c r="DB19" s="2">
        <f>DA19+預測IC!DB19</f>
        <v>3.3328432519312958</v>
      </c>
      <c r="DC19" s="2">
        <f>DB19+預測IC!DC19</f>
        <v>3.2730231560229286</v>
      </c>
      <c r="DD19" s="2">
        <f>DC19+預測IC!DD19</f>
        <v>3.4026598293886141</v>
      </c>
      <c r="DE19" s="2">
        <f>DD19+預測IC!DE19</f>
        <v>3.4464814231885472</v>
      </c>
      <c r="DF19" s="2">
        <f>DE19+預測IC!DF19</f>
        <v>3.2934929631885206</v>
      </c>
      <c r="DG19" s="2">
        <f>DF19+預測IC!DG19</f>
        <v>3.3953401624471198</v>
      </c>
      <c r="DH19" s="2">
        <f>DG19+預測IC!DH19</f>
        <v>3.2173041207549025</v>
      </c>
      <c r="DI19" s="2">
        <f>DH19+預測IC!DI19</f>
        <v>3.1660323822918706</v>
      </c>
      <c r="DJ19" s="2">
        <f>DI19+預測IC!DJ19</f>
        <v>3.2158677113330398</v>
      </c>
      <c r="DK19" s="2">
        <f>DJ19+預測IC!DK19</f>
        <v>3.2117974065469248</v>
      </c>
      <c r="DL19" s="2">
        <f>DK19+預測IC!DL19</f>
        <v>3.2251480008691757</v>
      </c>
      <c r="DM19" s="2">
        <f>DL19+預測IC!DM19</f>
        <v>3.1492648834355701</v>
      </c>
      <c r="DN19" s="2">
        <f>DM19+預測IC!DN19</f>
        <v>3.280340421587006</v>
      </c>
      <c r="DO19" s="2">
        <f>DN19+預測IC!DO19</f>
        <v>3.6590745080749008</v>
      </c>
      <c r="DP19" s="2">
        <f>DO19+預測IC!DP19</f>
        <v>3.7789758521439709</v>
      </c>
      <c r="DQ19" s="2">
        <f>DP19+預測IC!DQ19</f>
        <v>3.7060163617751471</v>
      </c>
      <c r="DR19" s="2">
        <f>DQ19+預測IC!DR19</f>
        <v>3.7221130568167871</v>
      </c>
      <c r="DS19" s="2">
        <f>DR19+預測IC!DS19</f>
        <v>3.6409210579440794</v>
      </c>
      <c r="DT19" s="2">
        <f>DS19+預測IC!DT19</f>
        <v>3.6616649832604562</v>
      </c>
      <c r="DU19" s="2">
        <f>DT19+預測IC!DU19</f>
        <v>3.4606471028522519</v>
      </c>
      <c r="DV19" s="2">
        <f>DU19+預測IC!DV19</f>
        <v>3.4613966020267126</v>
      </c>
      <c r="DW19" s="2">
        <f>DV19+預測IC!DW19</f>
        <v>3.5188152647431039</v>
      </c>
      <c r="DX19" s="2">
        <f>DW19+預測IC!DX19</f>
        <v>3.4583441807998825</v>
      </c>
      <c r="DY19" s="2">
        <f>DX19+預測IC!DY19</f>
        <v>3.271053697921344</v>
      </c>
      <c r="DZ19" s="2">
        <f>DY19+預測IC!DZ19</f>
        <v>3.2774649560874636</v>
      </c>
      <c r="EA19" s="2">
        <f>DZ19+預測IC!EA19</f>
        <v>3.2704590531819369</v>
      </c>
      <c r="EB19" s="2">
        <f>EA19+預測IC!EB19</f>
        <v>3.4045746098800955</v>
      </c>
      <c r="EC19" s="2">
        <f>EB19+預測IC!EC19</f>
        <v>3.4280098432867332</v>
      </c>
      <c r="ED19" s="2">
        <f>EC19+預測IC!ED19</f>
        <v>3.3526674047499356</v>
      </c>
      <c r="EE19" s="2">
        <f>ED19+預測IC!EE19</f>
        <v>3.3775975568695533</v>
      </c>
      <c r="EF19" s="2">
        <f>EE19+預測IC!EF19</f>
        <v>3.2865982782023901</v>
      </c>
      <c r="EG19" s="2">
        <f>EF19+預測IC!EG19</f>
        <v>2.8799131513977998</v>
      </c>
      <c r="EH19" s="2">
        <f>EG19+預測IC!EH19</f>
        <v>2.9401900978320317</v>
      </c>
      <c r="EI19" s="2">
        <f>EH19+預測IC!EI19</f>
        <v>2.871512391641609</v>
      </c>
      <c r="EJ19" s="2">
        <f>EI19+預測IC!EJ19</f>
        <v>2.9055014985685377</v>
      </c>
      <c r="EK19" s="2">
        <f>EJ19+預測IC!EK19</f>
        <v>2.9716835613849977</v>
      </c>
      <c r="EL19" s="2">
        <f>EK19+預測IC!EL19</f>
        <v>3.0452361992609456</v>
      </c>
    </row>
    <row r="20" spans="1:142" x14ac:dyDescent="0.3">
      <c r="A20" s="18">
        <v>200</v>
      </c>
      <c r="B20" s="18">
        <f t="shared" si="10"/>
        <v>5</v>
      </c>
      <c r="C20" s="2">
        <v>-7.7247532291167223E-2</v>
      </c>
      <c r="D20" s="2">
        <f>C20+預測IC!D20</f>
        <v>0.15582359602898427</v>
      </c>
      <c r="E20" s="2">
        <f>D20+預測IC!E20</f>
        <v>8.059731740521224E-2</v>
      </c>
      <c r="F20" s="2">
        <f>E20+預測IC!F20</f>
        <v>0.26884539313631345</v>
      </c>
      <c r="G20" s="2">
        <f>F20+預測IC!G20</f>
        <v>0.13557822146273144</v>
      </c>
      <c r="H20" s="2">
        <f>G20+預測IC!H20</f>
        <v>0.13708030682751512</v>
      </c>
      <c r="I20" s="2">
        <f>H20+預測IC!I20</f>
        <v>0.16667153841417789</v>
      </c>
      <c r="J20" s="2">
        <f>I20+預測IC!J20</f>
        <v>0.17120782676083607</v>
      </c>
      <c r="K20" s="2">
        <f>J20+預測IC!K20</f>
        <v>0.28021512079568989</v>
      </c>
      <c r="L20" s="2">
        <f>K20+預測IC!L20</f>
        <v>0.21684840659996596</v>
      </c>
      <c r="M20" s="2">
        <f>L20+預測IC!M20</f>
        <v>0.17268103260531223</v>
      </c>
      <c r="N20" s="2">
        <f>M20+預測IC!N20</f>
        <v>0.26128158916250233</v>
      </c>
      <c r="O20" s="2">
        <f>N20+預測IC!O20</f>
        <v>0.27909170135900302</v>
      </c>
      <c r="P20" s="2">
        <f>O20+預測IC!P20</f>
        <v>0.32496907363778343</v>
      </c>
      <c r="Q20" s="2">
        <f>P20+預測IC!Q20</f>
        <v>0.36412536518979255</v>
      </c>
      <c r="R20" s="2">
        <f>Q20+預測IC!R20</f>
        <v>0.38510676002459177</v>
      </c>
      <c r="S20" s="2">
        <f>R20+預測IC!S20</f>
        <v>0.64439935034901863</v>
      </c>
      <c r="T20" s="2">
        <f>S20+預測IC!T20</f>
        <v>0.71192304375431337</v>
      </c>
      <c r="U20" s="2">
        <f>T20+預測IC!U20</f>
        <v>0.7953314220410922</v>
      </c>
      <c r="V20" s="2">
        <f>U20+預測IC!V20</f>
        <v>0.72883470001819572</v>
      </c>
      <c r="W20" s="2">
        <f>V20+預測IC!W20</f>
        <v>0.82610184490182592</v>
      </c>
      <c r="X20" s="2">
        <f>W20+預測IC!X20</f>
        <v>1.0075714564731835</v>
      </c>
      <c r="Y20" s="2">
        <f>X20+預測IC!Y20</f>
        <v>0.90136356227993975</v>
      </c>
      <c r="Z20" s="2">
        <f>Y20+預測IC!Z20</f>
        <v>0.90438494560482585</v>
      </c>
      <c r="AA20" s="2">
        <f>Z20+預測IC!AA20</f>
        <v>0.88905983352302098</v>
      </c>
      <c r="AB20" s="2">
        <f>AA20+預測IC!AB20</f>
        <v>0.83651986211528195</v>
      </c>
      <c r="AC20" s="2">
        <f>AB20+預測IC!AC20</f>
        <v>0.89672369452204104</v>
      </c>
      <c r="AD20" s="2">
        <f>AC20+預測IC!AD20</f>
        <v>0.8349856888912498</v>
      </c>
      <c r="AE20" s="2">
        <f>AD20+預測IC!AE20</f>
        <v>0.94241240831428541</v>
      </c>
      <c r="AF20" s="2">
        <f>AE20+預測IC!AF20</f>
        <v>0.88636681211881585</v>
      </c>
      <c r="AG20" s="2">
        <f>AF20+預測IC!AG20</f>
        <v>0.88438359223628682</v>
      </c>
      <c r="AH20" s="2">
        <f>AG20+預測IC!AH20</f>
        <v>0.88795862181030794</v>
      </c>
      <c r="AI20" s="2">
        <f>AH20+預測IC!AI20</f>
        <v>0.97147464715134679</v>
      </c>
      <c r="AJ20" s="2">
        <f>AI20+預測IC!AJ20</f>
        <v>1.1180627068299538</v>
      </c>
      <c r="AK20" s="2">
        <f>AJ20+預測IC!AK20</f>
        <v>1.1742586278053362</v>
      </c>
      <c r="AL20" s="2">
        <f>AK20+預測IC!AL20</f>
        <v>1.1623379942814251</v>
      </c>
      <c r="AM20" s="2">
        <f>AL20+預測IC!AM20</f>
        <v>1.2393294647632398</v>
      </c>
      <c r="AN20" s="2">
        <f>AM20+預測IC!AN20</f>
        <v>1.41720240870603</v>
      </c>
      <c r="AO20" s="2">
        <f>AN20+預測IC!AO20</f>
        <v>1.542144873702386</v>
      </c>
      <c r="AP20" s="2">
        <f>AO20+預測IC!AP20</f>
        <v>1.7126137706403723</v>
      </c>
      <c r="AQ20" s="2">
        <f>AP20+預測IC!AQ20</f>
        <v>1.6919889048699583</v>
      </c>
      <c r="AR20" s="2">
        <f>AQ20+預測IC!AR20</f>
        <v>1.715579697649714</v>
      </c>
      <c r="AS20" s="2">
        <f>AR20+預測IC!AS20</f>
        <v>1.8209609869791745</v>
      </c>
      <c r="AT20" s="2">
        <f>AS20+預測IC!AT20</f>
        <v>2.0487309388748738</v>
      </c>
      <c r="AU20" s="2">
        <f>AT20+預測IC!AU20</f>
        <v>2.1861250823372838</v>
      </c>
      <c r="AV20" s="2">
        <f>AU20+預測IC!AV20</f>
        <v>2.093111776546082</v>
      </c>
      <c r="AW20" s="2">
        <f>AV20+預測IC!AW20</f>
        <v>2.0571210390408208</v>
      </c>
      <c r="AX20" s="2">
        <f>AW20+預測IC!AX20</f>
        <v>2.2490809569418038</v>
      </c>
      <c r="AY20" s="2">
        <f>AX20+預測IC!AY20</f>
        <v>2.2393419818082037</v>
      </c>
      <c r="AZ20" s="2">
        <f>AY20+預測IC!AZ20</f>
        <v>2.2727043881037514</v>
      </c>
      <c r="BA20" s="2">
        <f>AZ20+預測IC!BA20</f>
        <v>2.2590151750676761</v>
      </c>
      <c r="BB20" s="2">
        <f>BA20+預測IC!BB20</f>
        <v>2.4652272383074614</v>
      </c>
      <c r="BC20" s="2">
        <f>BB20+預測IC!BC20</f>
        <v>2.5823666237087846</v>
      </c>
      <c r="BD20" s="2">
        <f>BC20+預測IC!BD20</f>
        <v>2.5339544895659087</v>
      </c>
      <c r="BE20" s="2">
        <f>BD20+預測IC!BE20</f>
        <v>2.4585787222919437</v>
      </c>
      <c r="BF20" s="2">
        <f>BE20+預測IC!BF20</f>
        <v>2.5670974565586286</v>
      </c>
      <c r="BG20" s="2">
        <f>BF20+預測IC!BG20</f>
        <v>2.7092800764658684</v>
      </c>
      <c r="BH20" s="2">
        <f>BG20+預測IC!BH20</f>
        <v>2.9079675281780211</v>
      </c>
      <c r="BI20" s="2">
        <f>BH20+預測IC!BI20</f>
        <v>2.9129684475134807</v>
      </c>
      <c r="BJ20" s="2">
        <f>BI20+預測IC!BJ20</f>
        <v>3.0185563932501891</v>
      </c>
      <c r="BK20" s="2">
        <f>BJ20+預測IC!BK20</f>
        <v>3.0135096720927605</v>
      </c>
      <c r="BL20" s="2">
        <f>BK20+預測IC!BL20</f>
        <v>3.09081750887702</v>
      </c>
      <c r="BM20" s="2">
        <f>BL20+預測IC!BM20</f>
        <v>3.1616269453157231</v>
      </c>
      <c r="BN20" s="2">
        <f>BM20+預測IC!BN20</f>
        <v>3.1332950766724399</v>
      </c>
      <c r="BO20" s="2">
        <f>BN20+預測IC!BO20</f>
        <v>3.1087423443510596</v>
      </c>
      <c r="BP20" s="2">
        <f>BO20+預測IC!BP20</f>
        <v>3.1197756715396396</v>
      </c>
      <c r="BQ20" s="2">
        <f>BP20+預測IC!BQ20</f>
        <v>3.1305367996665932</v>
      </c>
      <c r="BR20" s="2">
        <f>BQ20+預測IC!BR20</f>
        <v>3.0887003547482044</v>
      </c>
      <c r="BS20" s="2">
        <f>BR20+預測IC!BS20</f>
        <v>3.0262501850858214</v>
      </c>
      <c r="BT20" s="2">
        <f>BS20+預測IC!BT20</f>
        <v>3.0508086487570076</v>
      </c>
      <c r="BU20" s="2">
        <f>BT20+預測IC!BU20</f>
        <v>3.1386817630540613</v>
      </c>
      <c r="BV20" s="2">
        <f>BU20+預測IC!BV20</f>
        <v>3.2370525802202157</v>
      </c>
      <c r="BW20" s="2">
        <f>BV20+預測IC!BW20</f>
        <v>3.39172495620811</v>
      </c>
      <c r="BX20" s="2">
        <f>BW20+預測IC!BX20</f>
        <v>3.5208544678328528</v>
      </c>
      <c r="BY20" s="2">
        <f>BX20+預測IC!BY20</f>
        <v>3.3890021037516664</v>
      </c>
      <c r="BZ20" s="2">
        <f>BY20+預測IC!BZ20</f>
        <v>3.213752091823733</v>
      </c>
      <c r="CA20" s="2">
        <f>BZ20+預測IC!CA20</f>
        <v>3.2036051874142553</v>
      </c>
      <c r="CB20" s="2">
        <f>CA20+預測IC!CB20</f>
        <v>3.1156286639642659</v>
      </c>
      <c r="CC20" s="2">
        <f>CB20+預測IC!CC20</f>
        <v>3.1454293826305535</v>
      </c>
      <c r="CD20" s="2">
        <f>CC20+預測IC!CD20</f>
        <v>2.9082545496768133</v>
      </c>
      <c r="CE20" s="2">
        <f>CD20+預測IC!CE20</f>
        <v>3.0158848320647968</v>
      </c>
      <c r="CF20" s="2">
        <f>CE20+預測IC!CF20</f>
        <v>3.0673075556143394</v>
      </c>
      <c r="CG20" s="2">
        <f>CF20+預測IC!CG20</f>
        <v>3.0075892489785461</v>
      </c>
      <c r="CH20" s="2">
        <f>CG20+預測IC!CH20</f>
        <v>3.0332933175038073</v>
      </c>
      <c r="CI20" s="2">
        <f>CH20+預測IC!CI20</f>
        <v>2.9144485284856287</v>
      </c>
      <c r="CJ20" s="2">
        <f>CI20+預測IC!CJ20</f>
        <v>2.9560374999813366</v>
      </c>
      <c r="CK20" s="2">
        <f>CJ20+預測IC!CK20</f>
        <v>3.105299145174528</v>
      </c>
      <c r="CL20" s="2">
        <f>CK20+預測IC!CL20</f>
        <v>3.1991004294756529</v>
      </c>
      <c r="CM20" s="2">
        <f>CL20+預測IC!CM20</f>
        <v>3.2106979705052487</v>
      </c>
      <c r="CN20" s="2">
        <f>CM20+預測IC!CN20</f>
        <v>3.1856994558561715</v>
      </c>
      <c r="CO20" s="2">
        <f>CN20+預測IC!CO20</f>
        <v>2.8990661940439693</v>
      </c>
      <c r="CP20" s="2">
        <f>CO20+預測IC!CP20</f>
        <v>3.0675038686789149</v>
      </c>
      <c r="CQ20" s="2">
        <f>CP20+預測IC!CQ20</f>
        <v>3.1893684512143428</v>
      </c>
      <c r="CR20" s="2">
        <f>CQ20+預測IC!CR20</f>
        <v>3.2051906340769114</v>
      </c>
      <c r="CS20" s="2">
        <f>CR20+預測IC!CS20</f>
        <v>3.1421613689632162</v>
      </c>
      <c r="CT20" s="2">
        <f>CS20+預測IC!CT20</f>
        <v>3.1347624838516248</v>
      </c>
      <c r="CU20" s="2">
        <f>CT20+預測IC!CU20</f>
        <v>3.2958846611424906</v>
      </c>
      <c r="CV20" s="2">
        <f>CU20+預測IC!CV20</f>
        <v>3.1259541995780666</v>
      </c>
      <c r="CW20" s="2">
        <f>CV20+預測IC!CW20</f>
        <v>3.1816754634589084</v>
      </c>
      <c r="CX20" s="2">
        <f>CW20+預測IC!CX20</f>
        <v>3.1656534438235724</v>
      </c>
      <c r="CY20" s="2">
        <f>CX20+預測IC!CY20</f>
        <v>3.0885944899203914</v>
      </c>
      <c r="CZ20" s="2">
        <f>CY20+預測IC!CZ20</f>
        <v>3.1027761584163991</v>
      </c>
      <c r="DA20" s="2">
        <f>CZ20+預測IC!DA20</f>
        <v>3.0763589206447897</v>
      </c>
      <c r="DB20" s="2">
        <f>DA20+預測IC!DB20</f>
        <v>3.2482167045035744</v>
      </c>
      <c r="DC20" s="2">
        <f>DB20+預測IC!DC20</f>
        <v>3.1841823735405037</v>
      </c>
      <c r="DD20" s="2">
        <f>DC20+預測IC!DD20</f>
        <v>3.3602752607187485</v>
      </c>
      <c r="DE20" s="2">
        <f>DD20+預測IC!DE20</f>
        <v>3.2893420735988936</v>
      </c>
      <c r="DF20" s="2">
        <f>DE20+預測IC!DF20</f>
        <v>3.1431487101073237</v>
      </c>
      <c r="DG20" s="2">
        <f>DF20+預測IC!DG20</f>
        <v>3.2826825218526996</v>
      </c>
      <c r="DH20" s="2">
        <f>DG20+預測IC!DH20</f>
        <v>3.0786934100771797</v>
      </c>
      <c r="DI20" s="2">
        <f>DH20+預測IC!DI20</f>
        <v>3.0539492033636177</v>
      </c>
      <c r="DJ20" s="2">
        <f>DI20+預測IC!DJ20</f>
        <v>3.1552240120586674</v>
      </c>
      <c r="DK20" s="2">
        <f>DJ20+預測IC!DK20</f>
        <v>3.1494451540741428</v>
      </c>
      <c r="DL20" s="2">
        <f>DK20+預測IC!DL20</f>
        <v>3.1845391546633026</v>
      </c>
      <c r="DM20" s="2">
        <f>DL20+預測IC!DM20</f>
        <v>3.1296212893585595</v>
      </c>
      <c r="DN20" s="2">
        <f>DM20+預測IC!DN20</f>
        <v>3.2370115188510482</v>
      </c>
      <c r="DO20" s="2">
        <f>DN20+預測IC!DO20</f>
        <v>3.4548527775239251</v>
      </c>
      <c r="DP20" s="2">
        <f>DO20+預測IC!DP20</f>
        <v>3.6076754640758026</v>
      </c>
      <c r="DQ20" s="2">
        <f>DP20+預測IC!DQ20</f>
        <v>3.5345157934879299</v>
      </c>
      <c r="DR20" s="2">
        <f>DQ20+預測IC!DR20</f>
        <v>3.5474121181176268</v>
      </c>
      <c r="DS20" s="2">
        <f>DR20+預測IC!DS20</f>
        <v>3.4824242924067752</v>
      </c>
      <c r="DT20" s="2">
        <f>DS20+預測IC!DT20</f>
        <v>3.47450174474778</v>
      </c>
      <c r="DU20" s="2">
        <f>DT20+預測IC!DU20</f>
        <v>3.2463810158678807</v>
      </c>
      <c r="DV20" s="2">
        <f>DU20+預測IC!DV20</f>
        <v>3.2201762752678675</v>
      </c>
      <c r="DW20" s="2">
        <f>DV20+預測IC!DW20</f>
        <v>3.3125349444069871</v>
      </c>
      <c r="DX20" s="2">
        <f>DW20+預測IC!DX20</f>
        <v>3.2769271821595063</v>
      </c>
      <c r="DY20" s="2">
        <f>DX20+預測IC!DY20</f>
        <v>3.078481917238197</v>
      </c>
      <c r="DZ20" s="2">
        <f>DY20+預測IC!DZ20</f>
        <v>3.1148945726479869</v>
      </c>
      <c r="EA20" s="2">
        <f>DZ20+預測IC!EA20</f>
        <v>3.0678999986660553</v>
      </c>
      <c r="EB20" s="2">
        <f>EA20+預測IC!EB20</f>
        <v>3.2177739184119338</v>
      </c>
      <c r="EC20" s="2">
        <f>EB20+預測IC!EC20</f>
        <v>3.2688122926738008</v>
      </c>
      <c r="ED20" s="2">
        <f>EC20+預測IC!ED20</f>
        <v>3.2136795545917458</v>
      </c>
      <c r="EE20" s="2">
        <f>ED20+預測IC!EE20</f>
        <v>3.241275078344692</v>
      </c>
      <c r="EF20" s="2">
        <f>EE20+預測IC!EF20</f>
        <v>3.1846966105500156</v>
      </c>
      <c r="EG20" s="2">
        <f>EF20+預測IC!EG20</f>
        <v>2.6733896740763941</v>
      </c>
      <c r="EH20" s="2">
        <f>EG20+預測IC!EH20</f>
        <v>2.7501770715979657</v>
      </c>
      <c r="EI20" s="2">
        <f>EH20+預測IC!EI20</f>
        <v>2.6682649792009565</v>
      </c>
      <c r="EJ20" s="2">
        <f>EI20+預測IC!EJ20</f>
        <v>2.6763612930153569</v>
      </c>
      <c r="EK20" s="2">
        <f>EJ20+預測IC!EK20</f>
        <v>2.77330922980686</v>
      </c>
      <c r="EL20" s="2">
        <f>EK20+預測IC!EL20</f>
        <v>2.8699144929742713</v>
      </c>
    </row>
    <row r="21" spans="1:142" x14ac:dyDescent="0.3">
      <c r="A21" s="18">
        <v>256</v>
      </c>
      <c r="B21" s="18">
        <f t="shared" si="10"/>
        <v>4</v>
      </c>
      <c r="C21" s="2">
        <v>1.190207271587417E-2</v>
      </c>
      <c r="D21" s="2">
        <f>C21+預測IC!D21</f>
        <v>0.2850108252162829</v>
      </c>
      <c r="E21" s="2">
        <f>D21+預測IC!E21</f>
        <v>0.1732158734540313</v>
      </c>
      <c r="F21" s="2">
        <f>E21+預測IC!F21</f>
        <v>0.35725445506016129</v>
      </c>
      <c r="G21" s="2">
        <f>F21+預測IC!G21</f>
        <v>0.2532894468879473</v>
      </c>
      <c r="H21" s="2">
        <f>G21+預測IC!H21</f>
        <v>0.20034438134091581</v>
      </c>
      <c r="I21" s="2">
        <f>H21+預測IC!I21</f>
        <v>0.25587728352764955</v>
      </c>
      <c r="J21" s="2">
        <f>I21+預測IC!J21</f>
        <v>0.2566574654482629</v>
      </c>
      <c r="K21" s="2">
        <f>J21+預測IC!K21</f>
        <v>0.33139097929387334</v>
      </c>
      <c r="L21" s="2">
        <f>K21+預測IC!L21</f>
        <v>0.27077802585775473</v>
      </c>
      <c r="M21" s="2">
        <f>L21+預測IC!M21</f>
        <v>0.27677372004996126</v>
      </c>
      <c r="N21" s="2">
        <f>M21+預測IC!N21</f>
        <v>0.37129022765774722</v>
      </c>
      <c r="O21" s="2">
        <f>N21+預測IC!O21</f>
        <v>0.40142135060890299</v>
      </c>
      <c r="P21" s="2">
        <f>O21+預測IC!P21</f>
        <v>0.42888686375828916</v>
      </c>
      <c r="Q21" s="2">
        <f>P21+預測IC!Q21</f>
        <v>0.4792837026781584</v>
      </c>
      <c r="R21" s="2">
        <f>Q21+預測IC!R21</f>
        <v>0.50413515394266095</v>
      </c>
      <c r="S21" s="2">
        <f>R21+預測IC!S21</f>
        <v>0.75881795644854133</v>
      </c>
      <c r="T21" s="2">
        <f>S21+預測IC!T21</f>
        <v>0.86125213299109105</v>
      </c>
      <c r="U21" s="2">
        <f>T21+預測IC!U21</f>
        <v>0.9732642062681427</v>
      </c>
      <c r="V21" s="2">
        <f>U21+預測IC!V21</f>
        <v>0.94378089315402702</v>
      </c>
      <c r="W21" s="2">
        <f>V21+預測IC!W21</f>
        <v>1.1030251257077384</v>
      </c>
      <c r="X21" s="2">
        <f>W21+預測IC!X21</f>
        <v>1.2285809771067628</v>
      </c>
      <c r="Y21" s="2">
        <f>X21+預測IC!Y21</f>
        <v>1.0334235368845166</v>
      </c>
      <c r="Z21" s="2">
        <f>Y21+預測IC!Z21</f>
        <v>1.0291610511521518</v>
      </c>
      <c r="AA21" s="2">
        <f>Z21+預測IC!AA21</f>
        <v>1.0311951938615604</v>
      </c>
      <c r="AB21" s="2">
        <f>AA21+預測IC!AB21</f>
        <v>0.98840091316360068</v>
      </c>
      <c r="AC21" s="2">
        <f>AB21+預測IC!AC21</f>
        <v>0.96585619985023485</v>
      </c>
      <c r="AD21" s="2">
        <f>AC21+預測IC!AD21</f>
        <v>0.94815061684471502</v>
      </c>
      <c r="AE21" s="2">
        <f>AD21+預測IC!AE21</f>
        <v>1.0655316781146413</v>
      </c>
      <c r="AF21" s="2">
        <f>AE21+預測IC!AF21</f>
        <v>0.99248754958615903</v>
      </c>
      <c r="AG21" s="2">
        <f>AF21+預測IC!AG21</f>
        <v>0.95608166774780012</v>
      </c>
      <c r="AH21" s="2">
        <f>AG21+預測IC!AH21</f>
        <v>0.74295204122128222</v>
      </c>
      <c r="AI21" s="2">
        <f>AH21+預測IC!AI21</f>
        <v>0.80621735198411848</v>
      </c>
      <c r="AJ21" s="2">
        <f>AI21+預測IC!AJ21</f>
        <v>0.76689993238926613</v>
      </c>
      <c r="AK21" s="2">
        <f>AJ21+預測IC!AK21</f>
        <v>0.83255754894144496</v>
      </c>
      <c r="AL21" s="2">
        <f>AK21+預測IC!AL21</f>
        <v>0.81825412888590143</v>
      </c>
      <c r="AM21" s="2">
        <f>AL21+預測IC!AM21</f>
        <v>0.84102284939116245</v>
      </c>
      <c r="AN21" s="2">
        <f>AM21+預測IC!AN21</f>
        <v>1.0608766618266512</v>
      </c>
      <c r="AO21" s="2">
        <f>AN21+預測IC!AO21</f>
        <v>1.2576506422420932</v>
      </c>
      <c r="AP21" s="2">
        <f>AO21+預測IC!AP21</f>
        <v>1.4099724253791406</v>
      </c>
      <c r="AQ21" s="2">
        <f>AP21+預測IC!AQ21</f>
        <v>1.4022229695840787</v>
      </c>
      <c r="AR21" s="2">
        <f>AQ21+預測IC!AR21</f>
        <v>1.44578443963187</v>
      </c>
      <c r="AS21" s="2">
        <f>AR21+預測IC!AS21</f>
        <v>1.5879161414618648</v>
      </c>
      <c r="AT21" s="2">
        <f>AS21+預測IC!AT21</f>
        <v>1.8831717918388693</v>
      </c>
      <c r="AU21" s="2">
        <f>AT21+預測IC!AU21</f>
        <v>2.0077375460177667</v>
      </c>
      <c r="AV21" s="2">
        <f>AU21+預測IC!AV21</f>
        <v>1.8855627989159465</v>
      </c>
      <c r="AW21" s="2">
        <f>AV21+預測IC!AW21</f>
        <v>1.8313803424626693</v>
      </c>
      <c r="AX21" s="2">
        <f>AW21+預測IC!AX21</f>
        <v>2.0265318431229487</v>
      </c>
      <c r="AY21" s="2">
        <f>AX21+預測IC!AY21</f>
        <v>2.0106842793113908</v>
      </c>
      <c r="AZ21" s="2">
        <f>AY21+預測IC!AZ21</f>
        <v>2.0145401950639177</v>
      </c>
      <c r="BA21" s="2">
        <f>AZ21+預測IC!BA21</f>
        <v>2.028681461923076</v>
      </c>
      <c r="BB21" s="2">
        <f>BA21+預測IC!BB21</f>
        <v>2.2727607077130916</v>
      </c>
      <c r="BC21" s="2">
        <f>BB21+預測IC!BC21</f>
        <v>2.4268789098769061</v>
      </c>
      <c r="BD21" s="2">
        <f>BC21+預測IC!BD21</f>
        <v>2.3592468132890465</v>
      </c>
      <c r="BE21" s="2">
        <f>BD21+預測IC!BE21</f>
        <v>2.2249860155516803</v>
      </c>
      <c r="BF21" s="2">
        <f>BE21+預測IC!BF21</f>
        <v>2.3108440533657624</v>
      </c>
      <c r="BG21" s="2">
        <f>BF21+預測IC!BG21</f>
        <v>2.4282717013451607</v>
      </c>
      <c r="BH21" s="2">
        <f>BG21+預測IC!BH21</f>
        <v>2.5721564359974938</v>
      </c>
      <c r="BI21" s="2">
        <f>BH21+預測IC!BI21</f>
        <v>2.5583594717327029</v>
      </c>
      <c r="BJ21" s="2">
        <f>BI21+預測IC!BJ21</f>
        <v>2.6907766335778662</v>
      </c>
      <c r="BK21" s="2">
        <f>BJ21+預測IC!BK21</f>
        <v>2.6920124298861712</v>
      </c>
      <c r="BL21" s="2">
        <f>BK21+預測IC!BL21</f>
        <v>2.7993958487597093</v>
      </c>
      <c r="BM21" s="2">
        <f>BL21+預測IC!BM21</f>
        <v>2.9446051709820327</v>
      </c>
      <c r="BN21" s="2">
        <f>BM21+預測IC!BN21</f>
        <v>2.9251077583028193</v>
      </c>
      <c r="BO21" s="2">
        <f>BN21+預測IC!BO21</f>
        <v>2.8596589168541078</v>
      </c>
      <c r="BP21" s="2">
        <f>BO21+預測IC!BP21</f>
        <v>2.939096776005977</v>
      </c>
      <c r="BQ21" s="2">
        <f>BP21+預測IC!BQ21</f>
        <v>2.9694415423728504</v>
      </c>
      <c r="BR21" s="2">
        <f>BQ21+預測IC!BR21</f>
        <v>2.9182306788958825</v>
      </c>
      <c r="BS21" s="2">
        <f>BR21+預測IC!BS21</f>
        <v>2.8481649174169785</v>
      </c>
      <c r="BT21" s="2">
        <f>BS21+預測IC!BT21</f>
        <v>2.9256135412770461</v>
      </c>
      <c r="BU21" s="2">
        <f>BT21+預測IC!BU21</f>
        <v>3.0021308196939009</v>
      </c>
      <c r="BV21" s="2">
        <f>BU21+預測IC!BV21</f>
        <v>3.0995221673209095</v>
      </c>
      <c r="BW21" s="2">
        <f>BV21+預測IC!BW21</f>
        <v>3.2482465729193284</v>
      </c>
      <c r="BX21" s="2">
        <f>BW21+預測IC!BX21</f>
        <v>3.3814760260091634</v>
      </c>
      <c r="BY21" s="2">
        <f>BX21+預測IC!BY21</f>
        <v>3.2905143839294184</v>
      </c>
      <c r="BZ21" s="2">
        <f>BY21+預測IC!BZ21</f>
        <v>3.1161324677923048</v>
      </c>
      <c r="CA21" s="2">
        <f>BZ21+預測IC!CA21</f>
        <v>3.0815924318384331</v>
      </c>
      <c r="CB21" s="2">
        <f>CA21+預測IC!CB21</f>
        <v>2.9806960921961041</v>
      </c>
      <c r="CC21" s="2">
        <f>CB21+預測IC!CC21</f>
        <v>2.8742114662045015</v>
      </c>
      <c r="CD21" s="2">
        <f>CC21+預測IC!CD21</f>
        <v>2.5333306731516512</v>
      </c>
      <c r="CE21" s="2">
        <f>CD21+預測IC!CE21</f>
        <v>2.5749018343896539</v>
      </c>
      <c r="CF21" s="2">
        <f>CE21+預測IC!CF21</f>
        <v>2.6969838573050562</v>
      </c>
      <c r="CG21" s="2">
        <f>CF21+預測IC!CG21</f>
        <v>2.5991969156742685</v>
      </c>
      <c r="CH21" s="2">
        <f>CG21+預測IC!CH21</f>
        <v>2.7319740833597326</v>
      </c>
      <c r="CI21" s="2">
        <f>CH21+預測IC!CI21</f>
        <v>2.6278297398295725</v>
      </c>
      <c r="CJ21" s="2">
        <f>CI21+預測IC!CJ21</f>
        <v>2.6939474908063916</v>
      </c>
      <c r="CK21" s="2">
        <f>CJ21+預測IC!CK21</f>
        <v>2.8488022621368669</v>
      </c>
      <c r="CL21" s="2">
        <f>CK21+預測IC!CL21</f>
        <v>2.9115523972701594</v>
      </c>
      <c r="CM21" s="2">
        <f>CL21+預測IC!CM21</f>
        <v>3.0038518258595857</v>
      </c>
      <c r="CN21" s="2">
        <f>CM21+預測IC!CN21</f>
        <v>3.0059940607114486</v>
      </c>
      <c r="CO21" s="2">
        <f>CN21+預測IC!CO21</f>
        <v>2.5985243876854716</v>
      </c>
      <c r="CP21" s="2">
        <f>CO21+預測IC!CP21</f>
        <v>2.7349370145153635</v>
      </c>
      <c r="CQ21" s="2">
        <f>CP21+預測IC!CQ21</f>
        <v>2.8353579014900872</v>
      </c>
      <c r="CR21" s="2">
        <f>CQ21+預測IC!CR21</f>
        <v>2.870149983891618</v>
      </c>
      <c r="CS21" s="2">
        <f>CR21+預測IC!CS21</f>
        <v>2.7484922174021462</v>
      </c>
      <c r="CT21" s="2">
        <f>CS21+預測IC!CT21</f>
        <v>2.7623985833663851</v>
      </c>
      <c r="CU21" s="2">
        <f>CT21+預測IC!CU21</f>
        <v>2.9200315026174133</v>
      </c>
      <c r="CV21" s="2">
        <f>CU21+預測IC!CV21</f>
        <v>2.7405751978733806</v>
      </c>
      <c r="CW21" s="2">
        <f>CV21+預測IC!CW21</f>
        <v>2.7944498853942745</v>
      </c>
      <c r="CX21" s="2">
        <f>CW21+預測IC!CX21</f>
        <v>2.7810680770638894</v>
      </c>
      <c r="CY21" s="2">
        <f>CX21+預測IC!CY21</f>
        <v>2.6736860709407066</v>
      </c>
      <c r="CZ21" s="2">
        <f>CY21+預測IC!CZ21</f>
        <v>2.633126035545895</v>
      </c>
      <c r="DA21" s="2">
        <f>CZ21+預測IC!DA21</f>
        <v>2.6061666767699601</v>
      </c>
      <c r="DB21" s="2">
        <f>DA21+預測IC!DB21</f>
        <v>2.7808036816622685</v>
      </c>
      <c r="DC21" s="2">
        <f>DB21+預測IC!DC21</f>
        <v>2.6990472713013913</v>
      </c>
      <c r="DD21" s="2">
        <f>DC21+預測IC!DD21</f>
        <v>2.873601854242307</v>
      </c>
      <c r="DE21" s="2">
        <f>DD21+預測IC!DE21</f>
        <v>2.8123403449624735</v>
      </c>
      <c r="DF21" s="2">
        <f>DE21+預測IC!DF21</f>
        <v>2.6857151543300479</v>
      </c>
      <c r="DG21" s="2">
        <f>DF21+預測IC!DG21</f>
        <v>2.8335668321741663</v>
      </c>
      <c r="DH21" s="2">
        <f>DG21+預測IC!DH21</f>
        <v>2.8377361569715744</v>
      </c>
      <c r="DI21" s="2">
        <f>DH21+預測IC!DI21</f>
        <v>2.809048873818011</v>
      </c>
      <c r="DJ21" s="2">
        <f>DI21+預測IC!DJ21</f>
        <v>2.8534509999214781</v>
      </c>
      <c r="DK21" s="2">
        <f>DJ21+預測IC!DK21</f>
        <v>2.8688871768116626</v>
      </c>
      <c r="DL21" s="2">
        <f>DK21+預測IC!DL21</f>
        <v>2.885239157058344</v>
      </c>
      <c r="DM21" s="2">
        <f>DL21+預測IC!DM21</f>
        <v>2.830456976848418</v>
      </c>
      <c r="DN21" s="2">
        <f>DM21+預測IC!DN21</f>
        <v>2.9734563960422471</v>
      </c>
      <c r="DO21" s="2">
        <f>DN21+預測IC!DO21</f>
        <v>3.2359309306231143</v>
      </c>
      <c r="DP21" s="2">
        <f>DO21+預測IC!DP21</f>
        <v>3.3704130641288548</v>
      </c>
      <c r="DQ21" s="2">
        <f>DP21+預測IC!DQ21</f>
        <v>3.2921132413218324</v>
      </c>
      <c r="DR21" s="2">
        <f>DQ21+預測IC!DR21</f>
        <v>3.3390365831148414</v>
      </c>
      <c r="DS21" s="2">
        <f>DR21+預測IC!DS21</f>
        <v>3.2565492114917229</v>
      </c>
      <c r="DT21" s="2">
        <f>DS21+預測IC!DT21</f>
        <v>3.2312023163256307</v>
      </c>
      <c r="DU21" s="2">
        <f>DT21+預測IC!DU21</f>
        <v>2.9432073452805527</v>
      </c>
      <c r="DV21" s="2">
        <f>DU21+預測IC!DV21</f>
        <v>2.9368900947188412</v>
      </c>
      <c r="DW21" s="2">
        <f>DV21+預測IC!DW21</f>
        <v>2.9940121057493134</v>
      </c>
      <c r="DX21" s="2">
        <f>DW21+預測IC!DX21</f>
        <v>2.9854910715492178</v>
      </c>
      <c r="DY21" s="2">
        <f>DX21+預測IC!DY21</f>
        <v>2.7619241458052062</v>
      </c>
      <c r="DZ21" s="2">
        <f>DY21+預測IC!DZ21</f>
        <v>2.7593600858238938</v>
      </c>
      <c r="EA21" s="2">
        <f>DZ21+預測IC!EA21</f>
        <v>2.6416166110344608</v>
      </c>
      <c r="EB21" s="2">
        <f>EA21+預測IC!EB21</f>
        <v>2.7467415872466114</v>
      </c>
      <c r="EC21" s="2">
        <f>EB21+預測IC!EC21</f>
        <v>2.8672921422397462</v>
      </c>
      <c r="ED21" s="2">
        <f>EC21+預測IC!ED21</f>
        <v>2.9457429370959254</v>
      </c>
      <c r="EE21" s="2">
        <f>ED21+預測IC!EE21</f>
        <v>2.9936578465182611</v>
      </c>
      <c r="EF21" s="2">
        <f>EE21+預測IC!EF21</f>
        <v>2.955424345288987</v>
      </c>
      <c r="EG21" s="2">
        <f>EF21+預測IC!EG21</f>
        <v>2.3167021755730461</v>
      </c>
      <c r="EH21" s="2">
        <f>EG21+預測IC!EH21</f>
        <v>2.4184388358078266</v>
      </c>
      <c r="EI21" s="2">
        <f>EH21+預測IC!EI21</f>
        <v>2.4151806705086845</v>
      </c>
      <c r="EJ21" s="2">
        <f>EI21+預測IC!EJ21</f>
        <v>2.3801142309418668</v>
      </c>
      <c r="EK21" s="2">
        <f>EJ21+預測IC!EK21</f>
        <v>2.4825634778839398</v>
      </c>
      <c r="EL21" s="2">
        <f>EK21+預測IC!EL21</f>
        <v>2.5566794461739963</v>
      </c>
    </row>
    <row r="22" spans="1:142" x14ac:dyDescent="0.3">
      <c r="A22" s="18">
        <v>400</v>
      </c>
      <c r="B22" s="18">
        <f t="shared" si="10"/>
        <v>3</v>
      </c>
      <c r="C22" s="2">
        <v>1.083089340061978E-2</v>
      </c>
      <c r="D22" s="2">
        <f>C22+預測IC!D22</f>
        <v>0.33602911356982895</v>
      </c>
      <c r="E22" s="2">
        <f>D22+預測IC!E22</f>
        <v>0.21810244808688095</v>
      </c>
      <c r="F22" s="2">
        <f>E22+預測IC!F22</f>
        <v>0.2859335090081585</v>
      </c>
      <c r="G22" s="2">
        <f>F22+預測IC!G22</f>
        <v>0.17763591608442381</v>
      </c>
      <c r="H22" s="2">
        <f>G22+預測IC!H22</f>
        <v>-5.2169628406976781E-2</v>
      </c>
      <c r="I22" s="2">
        <f>H22+預測IC!I22</f>
        <v>4.302347116057223E-2</v>
      </c>
      <c r="J22" s="2">
        <f>I22+預測IC!J22</f>
        <v>-1.2174921191335362E-2</v>
      </c>
      <c r="K22" s="2">
        <f>J22+預測IC!K22</f>
        <v>8.8486224259016727E-2</v>
      </c>
      <c r="L22" s="2">
        <f>K22+預測IC!L22</f>
        <v>-5.3632983907086679E-2</v>
      </c>
      <c r="M22" s="2">
        <f>L22+預測IC!M22</f>
        <v>6.865190252050464E-3</v>
      </c>
      <c r="N22" s="2">
        <f>M22+預測IC!N22</f>
        <v>7.5462165581385188E-2</v>
      </c>
      <c r="O22" s="2">
        <f>N22+預測IC!O22</f>
        <v>0.13589397963338962</v>
      </c>
      <c r="P22" s="2">
        <f>O22+預測IC!P22</f>
        <v>0.17627550302662842</v>
      </c>
      <c r="Q22" s="2">
        <f>P22+預測IC!Q22</f>
        <v>0.25444757674757768</v>
      </c>
      <c r="R22" s="2">
        <f>Q22+預測IC!R22</f>
        <v>0.35259678269390976</v>
      </c>
      <c r="S22" s="2">
        <f>R22+預測IC!S22</f>
        <v>0.67534068159972849</v>
      </c>
      <c r="T22" s="2">
        <f>S22+預測IC!T22</f>
        <v>0.71281249350502518</v>
      </c>
      <c r="U22" s="2">
        <f>T22+預測IC!U22</f>
        <v>0.87920123481471091</v>
      </c>
      <c r="V22" s="2">
        <f>U22+預測IC!V22</f>
        <v>0.86409883201203164</v>
      </c>
      <c r="W22" s="2">
        <f>V22+預測IC!W22</f>
        <v>1.0260290512039698</v>
      </c>
      <c r="X22" s="2">
        <f>W22+預測IC!X22</f>
        <v>1.2249820196719525</v>
      </c>
      <c r="Y22" s="2">
        <f>X22+預測IC!Y22</f>
        <v>1.0983401214879203</v>
      </c>
      <c r="Z22" s="2">
        <f>Y22+預測IC!Z22</f>
        <v>1.0748374487244343</v>
      </c>
      <c r="AA22" s="2">
        <f>Z22+預測IC!AA22</f>
        <v>1.058609597837044</v>
      </c>
      <c r="AB22" s="2">
        <f>AA22+預測IC!AB22</f>
        <v>1.0414361171396698</v>
      </c>
      <c r="AC22" s="2">
        <f>AB22+預測IC!AC22</f>
        <v>1.0328132824550142</v>
      </c>
      <c r="AD22" s="2">
        <f>AC22+預測IC!AD22</f>
        <v>0.99115305752069682</v>
      </c>
      <c r="AE22" s="2">
        <f>AD22+預測IC!AE22</f>
        <v>1.0750647127131385</v>
      </c>
      <c r="AF22" s="2">
        <f>AE22+預測IC!AF22</f>
        <v>1.0520286457998917</v>
      </c>
      <c r="AG22" s="2">
        <f>AF22+預測IC!AG22</f>
        <v>1.0063894947963219</v>
      </c>
      <c r="AH22" s="2">
        <f>AG22+預測IC!AH22</f>
        <v>0.71067862589309871</v>
      </c>
      <c r="AI22" s="2">
        <f>AH22+預測IC!AI22</f>
        <v>0.79704017939080907</v>
      </c>
      <c r="AJ22" s="2">
        <f>AI22+預測IC!AJ22</f>
        <v>0.76211720111966197</v>
      </c>
      <c r="AK22" s="2">
        <f>AJ22+預測IC!AK22</f>
        <v>0.80875437038141573</v>
      </c>
      <c r="AL22" s="2">
        <f>AK22+預測IC!AL22</f>
        <v>0.76688978196174074</v>
      </c>
      <c r="AM22" s="2">
        <f>AL22+預測IC!AM22</f>
        <v>0.79680056836479674</v>
      </c>
      <c r="AN22" s="2">
        <f>AM22+預測IC!AN22</f>
        <v>1.0365718634662564</v>
      </c>
      <c r="AO22" s="2">
        <f>AN22+預測IC!AO22</f>
        <v>1.2638112910872139</v>
      </c>
      <c r="AP22" s="2">
        <f>AO22+預測IC!AP22</f>
        <v>1.5855187549503731</v>
      </c>
      <c r="AQ22" s="2">
        <f>AP22+預測IC!AQ22</f>
        <v>1.5876376418088261</v>
      </c>
      <c r="AR22" s="2">
        <f>AQ22+預測IC!AR22</f>
        <v>1.4564554797955584</v>
      </c>
      <c r="AS22" s="2">
        <f>AR22+預測IC!AS22</f>
        <v>1.5103121320600481</v>
      </c>
      <c r="AT22" s="2">
        <f>AS22+預測IC!AT22</f>
        <v>1.5530039439301666</v>
      </c>
      <c r="AU22" s="2">
        <f>AT22+預測IC!AU22</f>
        <v>1.7029651549279461</v>
      </c>
      <c r="AV22" s="2">
        <f>AU22+預測IC!AV22</f>
        <v>1.553181088466566</v>
      </c>
      <c r="AW22" s="2">
        <f>AV22+預測IC!AW22</f>
        <v>1.4585787591659256</v>
      </c>
      <c r="AX22" s="2">
        <f>AW22+預測IC!AX22</f>
        <v>1.7534235249289329</v>
      </c>
      <c r="AY22" s="2">
        <f>AX22+預測IC!AY22</f>
        <v>1.6932343681466764</v>
      </c>
      <c r="AZ22" s="2">
        <f>AY22+預測IC!AZ22</f>
        <v>1.6816111093352202</v>
      </c>
      <c r="BA22" s="2">
        <f>AZ22+預測IC!BA22</f>
        <v>1.7078624582880098</v>
      </c>
      <c r="BB22" s="2">
        <f>BA22+預測IC!BB22</f>
        <v>2.0390302009098344</v>
      </c>
      <c r="BC22" s="2">
        <f>BB22+預測IC!BC22</f>
        <v>1.9825985996732907</v>
      </c>
      <c r="BD22" s="2">
        <f>BC22+預測IC!BD22</f>
        <v>1.9804969710733109</v>
      </c>
      <c r="BE22" s="2">
        <f>BD22+預測IC!BE22</f>
        <v>1.8346334133396471</v>
      </c>
      <c r="BF22" s="2">
        <f>BE22+預測IC!BF22</f>
        <v>1.9417824286120859</v>
      </c>
      <c r="BG22" s="2">
        <f>BF22+預測IC!BG22</f>
        <v>1.9242480673319129</v>
      </c>
      <c r="BH22" s="2">
        <f>BG22+預測IC!BH22</f>
        <v>2.1401713357885992</v>
      </c>
      <c r="BI22" s="2">
        <f>BH22+預測IC!BI22</f>
        <v>2.1072389652262937</v>
      </c>
      <c r="BJ22" s="2">
        <f>BI22+預測IC!BJ22</f>
        <v>2.162366274645465</v>
      </c>
      <c r="BK22" s="2">
        <f>BJ22+預測IC!BK22</f>
        <v>2.2045332798390147</v>
      </c>
      <c r="BL22" s="2">
        <f>BK22+預測IC!BL22</f>
        <v>2.3221902292024423</v>
      </c>
      <c r="BM22" s="2">
        <f>BL22+預測IC!BM22</f>
        <v>2.4705640282581554</v>
      </c>
      <c r="BN22" s="2">
        <f>BM22+預測IC!BN22</f>
        <v>2.4676772217997223</v>
      </c>
      <c r="BO22" s="2">
        <f>BN22+預測IC!BO22</f>
        <v>2.3863837440612028</v>
      </c>
      <c r="BP22" s="2">
        <f>BO22+預測IC!BP22</f>
        <v>2.4330105873540475</v>
      </c>
      <c r="BQ22" s="2">
        <f>BP22+預測IC!BQ22</f>
        <v>2.4533353502934254</v>
      </c>
      <c r="BR22" s="2">
        <f>BQ22+預測IC!BR22</f>
        <v>2.3632950548778076</v>
      </c>
      <c r="BS22" s="2">
        <f>BR22+預測IC!BS22</f>
        <v>2.2801618818108245</v>
      </c>
      <c r="BT22" s="2">
        <f>BS22+預測IC!BT22</f>
        <v>2.3460539919291121</v>
      </c>
      <c r="BU22" s="2">
        <f>BT22+預測IC!BU22</f>
        <v>2.3333052167700004</v>
      </c>
      <c r="BV22" s="2">
        <f>BU22+預測IC!BV22</f>
        <v>2.4636733500110539</v>
      </c>
      <c r="BW22" s="2">
        <f>BV22+預測IC!BW22</f>
        <v>2.6525157902169587</v>
      </c>
      <c r="BX22" s="2">
        <f>BW22+預測IC!BX22</f>
        <v>2.6784649738918707</v>
      </c>
      <c r="BY22" s="2">
        <f>BX22+預測IC!BY22</f>
        <v>2.6285323915883199</v>
      </c>
      <c r="BZ22" s="2">
        <f>BY22+預測IC!BZ22</f>
        <v>2.4656987157066932</v>
      </c>
      <c r="CA22" s="2">
        <f>BZ22+預測IC!CA22</f>
        <v>2.4600620946609677</v>
      </c>
      <c r="CB22" s="2">
        <f>CA22+預測IC!CB22</f>
        <v>2.3281998844024252</v>
      </c>
      <c r="CC22" s="2">
        <f>CB22+預測IC!CC22</f>
        <v>2.2078715613377522</v>
      </c>
      <c r="CD22" s="2">
        <f>CC22+預測IC!CD22</f>
        <v>2.1739432494414546</v>
      </c>
      <c r="CE22" s="2">
        <f>CD22+預測IC!CE22</f>
        <v>2.2275099410219861</v>
      </c>
      <c r="CF22" s="2">
        <f>CE22+預測IC!CF22</f>
        <v>2.1934088700977661</v>
      </c>
      <c r="CG22" s="2">
        <f>CF22+預測IC!CG22</f>
        <v>2.1918192481567131</v>
      </c>
      <c r="CH22" s="2">
        <f>CG22+預測IC!CH22</f>
        <v>2.2828203669880236</v>
      </c>
      <c r="CI22" s="2">
        <f>CH22+預測IC!CI22</f>
        <v>2.1004518338941787</v>
      </c>
      <c r="CJ22" s="2">
        <f>CI22+預測IC!CJ22</f>
        <v>2.166705053381798</v>
      </c>
      <c r="CK22" s="2">
        <f>CJ22+預測IC!CK22</f>
        <v>2.4329602432408635</v>
      </c>
      <c r="CL22" s="2">
        <f>CK22+預測IC!CL22</f>
        <v>2.4972590851246399</v>
      </c>
      <c r="CM22" s="2">
        <f>CL22+預測IC!CM22</f>
        <v>2.5629613403342328</v>
      </c>
      <c r="CN22" s="2">
        <f>CM22+預測IC!CN22</f>
        <v>2.5907110170058969</v>
      </c>
      <c r="CO22" s="2">
        <f>CN22+預測IC!CO22</f>
        <v>2.1878921735197348</v>
      </c>
      <c r="CP22" s="2">
        <f>CO22+預測IC!CP22</f>
        <v>2.4064214737486154</v>
      </c>
      <c r="CQ22" s="2">
        <f>CP22+預測IC!CQ22</f>
        <v>2.5007385721736748</v>
      </c>
      <c r="CR22" s="2">
        <f>CQ22+預測IC!CR22</f>
        <v>2.5581045898153798</v>
      </c>
      <c r="CS22" s="2">
        <f>CR22+預測IC!CS22</f>
        <v>2.3874480945115302</v>
      </c>
      <c r="CT22" s="2">
        <f>CS22+預測IC!CT22</f>
        <v>2.3910159239448849</v>
      </c>
      <c r="CU22" s="2">
        <f>CT22+預測IC!CU22</f>
        <v>2.4889105412912578</v>
      </c>
      <c r="CV22" s="2">
        <f>CU22+預測IC!CV22</f>
        <v>2.4219375049609977</v>
      </c>
      <c r="CW22" s="2">
        <f>CV22+預測IC!CW22</f>
        <v>2.3972526044221256</v>
      </c>
      <c r="CX22" s="2">
        <f>CW22+預測IC!CX22</f>
        <v>2.3720838910753534</v>
      </c>
      <c r="CY22" s="2">
        <f>CX22+預測IC!CY22</f>
        <v>2.2137341911737543</v>
      </c>
      <c r="CZ22" s="2">
        <f>CY22+預測IC!CZ22</f>
        <v>2.2060964003872021</v>
      </c>
      <c r="DA22" s="2">
        <f>CZ22+預測IC!DA22</f>
        <v>2.1402319695556904</v>
      </c>
      <c r="DB22" s="2">
        <f>DA22+預測IC!DB22</f>
        <v>2.3472472292550237</v>
      </c>
      <c r="DC22" s="2">
        <f>DB22+預測IC!DC22</f>
        <v>2.2460915495792273</v>
      </c>
      <c r="DD22" s="2">
        <f>DC22+預測IC!DD22</f>
        <v>2.4278492882421436</v>
      </c>
      <c r="DE22" s="2">
        <f>DD22+預測IC!DE22</f>
        <v>2.4258305644912972</v>
      </c>
      <c r="DF22" s="2">
        <f>DE22+預測IC!DF22</f>
        <v>2.3031060026904484</v>
      </c>
      <c r="DG22" s="2">
        <f>DF22+預測IC!DG22</f>
        <v>2.4879431931835381</v>
      </c>
      <c r="DH22" s="2">
        <f>DG22+預測IC!DH22</f>
        <v>2.4926723021678105</v>
      </c>
      <c r="DI22" s="2">
        <f>DH22+預測IC!DI22</f>
        <v>2.4283450997312142</v>
      </c>
      <c r="DJ22" s="2">
        <f>DI22+預測IC!DJ22</f>
        <v>2.4311315994996385</v>
      </c>
      <c r="DK22" s="2">
        <f>DJ22+預測IC!DK22</f>
        <v>2.4470673327386239</v>
      </c>
      <c r="DL22" s="2">
        <f>DK22+預測IC!DL22</f>
        <v>2.4769166544661907</v>
      </c>
      <c r="DM22" s="2">
        <f>DL22+預測IC!DM22</f>
        <v>2.5030084758858657</v>
      </c>
      <c r="DN22" s="2">
        <f>DM22+預測IC!DN22</f>
        <v>2.7345692019743058</v>
      </c>
      <c r="DO22" s="2">
        <f>DN22+預測IC!DO22</f>
        <v>3.0258270108152319</v>
      </c>
      <c r="DP22" s="2">
        <f>DO22+預測IC!DP22</f>
        <v>3.158004455663685</v>
      </c>
      <c r="DQ22" s="2">
        <f>DP22+預測IC!DQ22</f>
        <v>3.0565951831840885</v>
      </c>
      <c r="DR22" s="2">
        <f>DQ22+預測IC!DR22</f>
        <v>3.0781322211825994</v>
      </c>
      <c r="DS22" s="2">
        <f>DR22+預測IC!DS22</f>
        <v>3.0819106459998737</v>
      </c>
      <c r="DT22" s="2">
        <f>DS22+預測IC!DT22</f>
        <v>3.0451580224195127</v>
      </c>
      <c r="DU22" s="2">
        <f>DT22+預測IC!DU22</f>
        <v>2.7148376230876892</v>
      </c>
      <c r="DV22" s="2">
        <f>DU22+預測IC!DV22</f>
        <v>2.6947740507800062</v>
      </c>
      <c r="DW22" s="2">
        <f>DV22+預測IC!DW22</f>
        <v>2.9365964351714631</v>
      </c>
      <c r="DX22" s="2">
        <f>DW22+預測IC!DX22</f>
        <v>2.9112064990755235</v>
      </c>
      <c r="DY22" s="2">
        <f>DX22+預測IC!DY22</f>
        <v>2.686460129947263</v>
      </c>
      <c r="DZ22" s="2">
        <f>DY22+預測IC!DZ22</f>
        <v>2.6272023547115615</v>
      </c>
      <c r="EA22" s="2">
        <f>DZ22+預測IC!EA22</f>
        <v>2.5227001991434017</v>
      </c>
      <c r="EB22" s="2">
        <f>EA22+預測IC!EB22</f>
        <v>2.7221464425368147</v>
      </c>
      <c r="EC22" s="2">
        <f>EB22+預測IC!EC22</f>
        <v>2.863412009870812</v>
      </c>
      <c r="ED22" s="2">
        <f>EC22+預測IC!ED22</f>
        <v>2.9411156927010502</v>
      </c>
      <c r="EE22" s="2">
        <f>ED22+預測IC!EE22</f>
        <v>2.9994125732477324</v>
      </c>
      <c r="EF22" s="2">
        <f>EE22+預測IC!EF22</f>
        <v>2.9927020212592601</v>
      </c>
      <c r="EG22" s="2">
        <f>EF22+預測IC!EG22</f>
        <v>2.9114253223712714</v>
      </c>
      <c r="EH22" s="2">
        <f>EG22+預測IC!EH22</f>
        <v>3.0382572875110401</v>
      </c>
      <c r="EI22" s="2">
        <f>EH22+預測IC!EI22</f>
        <v>2.9677104177618432</v>
      </c>
      <c r="EJ22" s="2">
        <f>EI22+預測IC!EJ22</f>
        <v>2.9078201632333145</v>
      </c>
      <c r="EK22" s="2">
        <f>EJ22+預測IC!EK22</f>
        <v>2.9865062411942604</v>
      </c>
      <c r="EL22" s="2">
        <f>EK22+預測IC!EL22</f>
        <v>3.0072124329900847</v>
      </c>
    </row>
    <row r="23" spans="1:142" x14ac:dyDescent="0.3">
      <c r="A23" s="18">
        <v>512</v>
      </c>
      <c r="B23" s="18">
        <f t="shared" si="10"/>
        <v>2</v>
      </c>
      <c r="C23" s="2">
        <v>3.1325684581971477E-2</v>
      </c>
      <c r="D23" s="2">
        <f>C23+預測IC!D23</f>
        <v>0.19361452961984488</v>
      </c>
      <c r="E23" s="2">
        <f>D23+預測IC!E23</f>
        <v>8.4054632478115274E-2</v>
      </c>
      <c r="F23" s="2">
        <f>E23+預測IC!F23</f>
        <v>8.2824691444324958E-2</v>
      </c>
      <c r="G23" s="2">
        <f>F23+預測IC!G23</f>
        <v>0.10317641551859211</v>
      </c>
      <c r="H23" s="2">
        <f>G23+預測IC!H23</f>
        <v>-0.15963382568286069</v>
      </c>
      <c r="I23" s="2">
        <f>H23+預測IC!I23</f>
        <v>-7.8893884614888998E-4</v>
      </c>
      <c r="J23" s="2">
        <f>I23+預測IC!J23</f>
        <v>-3.2872453753957642E-2</v>
      </c>
      <c r="K23" s="2">
        <f>J23+預測IC!K23</f>
        <v>0.10861026150368955</v>
      </c>
      <c r="L23" s="2">
        <f>K23+預測IC!L23</f>
        <v>-0.12383409953877264</v>
      </c>
      <c r="M23" s="2">
        <f>L23+預測IC!M23</f>
        <v>-9.4782808119291753E-2</v>
      </c>
      <c r="N23" s="2">
        <f>M23+預測IC!N23</f>
        <v>-4.7213887179764581E-2</v>
      </c>
      <c r="O23" s="2">
        <f>N23+預測IC!O23</f>
        <v>3.1776808432598745E-2</v>
      </c>
      <c r="P23" s="2">
        <f>O23+預測IC!P23</f>
        <v>4.9260781974445077E-2</v>
      </c>
      <c r="Q23" s="2">
        <f>P23+預測IC!Q23</f>
        <v>7.0036743919215397E-2</v>
      </c>
      <c r="R23" s="2">
        <f>Q23+預測IC!R23</f>
        <v>0.22715362552096202</v>
      </c>
      <c r="S23" s="2">
        <f>R23+預測IC!S23</f>
        <v>0.31116510864043556</v>
      </c>
      <c r="T23" s="2">
        <f>S23+預測IC!T23</f>
        <v>0.19930412773196046</v>
      </c>
      <c r="U23" s="2">
        <f>T23+預測IC!U23</f>
        <v>0.33934474643063917</v>
      </c>
      <c r="V23" s="2">
        <f>U23+預測IC!V23</f>
        <v>0.31160428960597958</v>
      </c>
      <c r="W23" s="2">
        <f>V23+預測IC!W23</f>
        <v>0.35618907673803085</v>
      </c>
      <c r="X23" s="2">
        <f>W23+預測IC!X23</f>
        <v>0.53195964199595469</v>
      </c>
      <c r="Y23" s="2">
        <f>X23+預測IC!Y23</f>
        <v>0.3580952915709989</v>
      </c>
      <c r="Z23" s="2">
        <f>Y23+預測IC!Z23</f>
        <v>0.3333828382892724</v>
      </c>
      <c r="AA23" s="2">
        <f>Z23+預測IC!AA23</f>
        <v>0.33998913025874267</v>
      </c>
      <c r="AB23" s="2">
        <f>AA23+預測IC!AB23</f>
        <v>0.23238473471567106</v>
      </c>
      <c r="AC23" s="2">
        <f>AB23+預測IC!AC23</f>
        <v>0.21565116159957767</v>
      </c>
      <c r="AD23" s="2">
        <f>AC23+預測IC!AD23</f>
        <v>0.19846335800995635</v>
      </c>
      <c r="AE23" s="2">
        <f>AD23+預測IC!AE23</f>
        <v>0.33166547863529594</v>
      </c>
      <c r="AF23" s="2">
        <f>AE23+預測IC!AF23</f>
        <v>0.33674839591723682</v>
      </c>
      <c r="AG23" s="2">
        <f>AF23+預測IC!AG23</f>
        <v>0.20728437048711382</v>
      </c>
      <c r="AH23" s="2">
        <f>AG23+預測IC!AH23</f>
        <v>3.5771434291825721E-2</v>
      </c>
      <c r="AI23" s="2">
        <f>AH23+預測IC!AI23</f>
        <v>0.13612776142743763</v>
      </c>
      <c r="AJ23" s="2">
        <f>AI23+預測IC!AJ23</f>
        <v>0.14422580006565838</v>
      </c>
      <c r="AK23" s="2">
        <f>AJ23+預測IC!AK23</f>
        <v>0.16351102529756559</v>
      </c>
      <c r="AL23" s="2">
        <f>AK23+預測IC!AL23</f>
        <v>0.22308105846276807</v>
      </c>
      <c r="AM23" s="2">
        <f>AL23+預測IC!AM23</f>
        <v>0.22910201791266943</v>
      </c>
      <c r="AN23" s="2">
        <f>AM23+預測IC!AN23</f>
        <v>0.5119645629012044</v>
      </c>
      <c r="AO23" s="2">
        <f>AN23+預測IC!AO23</f>
        <v>0.71225065359664286</v>
      </c>
      <c r="AP23" s="2">
        <f>AO23+預測IC!AP23</f>
        <v>0.76745472337520826</v>
      </c>
      <c r="AQ23" s="2">
        <f>AP23+預測IC!AQ23</f>
        <v>0.77081628509587929</v>
      </c>
      <c r="AR23" s="2">
        <f>AQ23+預測IC!AR23</f>
        <v>0.74142377270044091</v>
      </c>
      <c r="AS23" s="2">
        <f>AR23+預測IC!AS23</f>
        <v>0.75564932119271044</v>
      </c>
      <c r="AT23" s="2">
        <f>AS23+預測IC!AT23</f>
        <v>0.64700652026449768</v>
      </c>
      <c r="AU23" s="2">
        <f>AT23+預測IC!AU23</f>
        <v>0.84590258985414701</v>
      </c>
      <c r="AV23" s="2">
        <f>AU23+預測IC!AV23</f>
        <v>0.74914533945401351</v>
      </c>
      <c r="AW23" s="2">
        <f>AV23+預測IC!AW23</f>
        <v>0.65056491174662323</v>
      </c>
      <c r="AX23" s="2">
        <f>AW23+預測IC!AX23</f>
        <v>1.1211098396309189</v>
      </c>
      <c r="AY23" s="2">
        <f>AX23+預測IC!AY23</f>
        <v>1.3073470080791965</v>
      </c>
      <c r="AZ23" s="2">
        <f>AY23+預測IC!AZ23</f>
        <v>1.2814915089517525</v>
      </c>
      <c r="BA23" s="2">
        <f>AZ23+預測IC!BA23</f>
        <v>1.240686862812274</v>
      </c>
      <c r="BB23" s="2">
        <f>BA23+預測IC!BB23</f>
        <v>1.8075133888597144</v>
      </c>
      <c r="BC23" s="2">
        <f>BB23+預測IC!BC23</f>
        <v>1.6763699238898675</v>
      </c>
      <c r="BD23" s="2">
        <f>BC23+預測IC!BD23</f>
        <v>1.7307848750762767</v>
      </c>
      <c r="BE23" s="2">
        <f>BD23+預測IC!BE23</f>
        <v>1.5563344870040339</v>
      </c>
      <c r="BF23" s="2">
        <f>BE23+預測IC!BF23</f>
        <v>1.6036924668786665</v>
      </c>
      <c r="BG23" s="2">
        <f>BF23+預測IC!BG23</f>
        <v>1.7701024284914408</v>
      </c>
      <c r="BH23" s="2">
        <f>BG23+預測IC!BH23</f>
        <v>2.0287107672884757</v>
      </c>
      <c r="BI23" s="2">
        <f>BH23+預測IC!BI23</f>
        <v>2.0248069320516215</v>
      </c>
      <c r="BJ23" s="2">
        <f>BI23+預測IC!BJ23</f>
        <v>2.0191940554745065</v>
      </c>
      <c r="BK23" s="2">
        <f>BJ23+預測IC!BK23</f>
        <v>2.0539964217294617</v>
      </c>
      <c r="BL23" s="2">
        <f>BK23+預測IC!BL23</f>
        <v>2.1683627118711306</v>
      </c>
      <c r="BM23" s="2">
        <f>BL23+預測IC!BM23</f>
        <v>2.09886724984668</v>
      </c>
      <c r="BN23" s="2">
        <f>BM23+預測IC!BN23</f>
        <v>2.0079357056509068</v>
      </c>
      <c r="BO23" s="2">
        <f>BN23+預測IC!BO23</f>
        <v>1.997252700361452</v>
      </c>
      <c r="BP23" s="2">
        <f>BO23+預測IC!BP23</f>
        <v>2.0532060392795164</v>
      </c>
      <c r="BQ23" s="2">
        <f>BP23+預測IC!BQ23</f>
        <v>2.0154143111627145</v>
      </c>
      <c r="BR23" s="2">
        <f>BQ23+預測IC!BR23</f>
        <v>1.986575694985244</v>
      </c>
      <c r="BS23" s="2">
        <f>BR23+預測IC!BS23</f>
        <v>1.9482050866263911</v>
      </c>
      <c r="BT23" s="2">
        <f>BS23+預測IC!BT23</f>
        <v>2.2279973866463263</v>
      </c>
      <c r="BU23" s="2">
        <f>BT23+預測IC!BU23</f>
        <v>2.3052544110364424</v>
      </c>
      <c r="BV23" s="2">
        <f>BU23+預測IC!BV23</f>
        <v>2.446430937588878</v>
      </c>
      <c r="BW23" s="2">
        <f>BV23+預測IC!BW23</f>
        <v>2.6354871091507155</v>
      </c>
      <c r="BX23" s="2">
        <f>BW23+預測IC!BX23</f>
        <v>2.7680631544090111</v>
      </c>
      <c r="BY23" s="2">
        <f>BX23+預測IC!BY23</f>
        <v>2.6688350659399753</v>
      </c>
      <c r="BZ23" s="2">
        <f>BY23+預測IC!BZ23</f>
        <v>2.5831209610237429</v>
      </c>
      <c r="CA23" s="2">
        <f>BZ23+預測IC!CA23</f>
        <v>2.5838200306985861</v>
      </c>
      <c r="CB23" s="2">
        <f>CA23+預測IC!CB23</f>
        <v>2.4243315397519782</v>
      </c>
      <c r="CC23" s="2">
        <f>CB23+預測IC!CC23</f>
        <v>2.3394037474774496</v>
      </c>
      <c r="CD23" s="2">
        <f>CC23+預測IC!CD23</f>
        <v>2.3095991926090127</v>
      </c>
      <c r="CE23" s="2">
        <f>CD23+預測IC!CE23</f>
        <v>2.317385393344495</v>
      </c>
      <c r="CF23" s="2">
        <f>CE23+預測IC!CF23</f>
        <v>2.2105323817655185</v>
      </c>
      <c r="CG23" s="2">
        <f>CF23+預測IC!CG23</f>
        <v>2.1667542356001546</v>
      </c>
      <c r="CH23" s="2">
        <f>CG23+預測IC!CH23</f>
        <v>2.1878214936477658</v>
      </c>
      <c r="CI23" s="2">
        <f>CH23+預測IC!CI23</f>
        <v>2.0042259210779276</v>
      </c>
      <c r="CJ23" s="2">
        <f>CI23+預測IC!CJ23</f>
        <v>2.1471000110163625</v>
      </c>
      <c r="CK23" s="2">
        <f>CJ23+預測IC!CK23</f>
        <v>2.461904302224172</v>
      </c>
      <c r="CL23" s="2">
        <f>CK23+預測IC!CL23</f>
        <v>2.5325827803108014</v>
      </c>
      <c r="CM23" s="2">
        <f>CL23+預測IC!CM23</f>
        <v>2.5765373613159155</v>
      </c>
      <c r="CN23" s="2">
        <f>CM23+預測IC!CN23</f>
        <v>2.5923125267155642</v>
      </c>
      <c r="CO23" s="2">
        <f>CN23+預測IC!CO23</f>
        <v>2.1553995077780281</v>
      </c>
      <c r="CP23" s="2">
        <f>CO23+預測IC!CP23</f>
        <v>2.3732075429195154</v>
      </c>
      <c r="CQ23" s="2">
        <f>CP23+預測IC!CQ23</f>
        <v>2.5947780138708549</v>
      </c>
      <c r="CR23" s="2">
        <f>CQ23+預測IC!CR23</f>
        <v>2.6455164248889647</v>
      </c>
      <c r="CS23" s="2">
        <f>CR23+預測IC!CS23</f>
        <v>2.5110969432594423</v>
      </c>
      <c r="CT23" s="2">
        <f>CS23+預測IC!CT23</f>
        <v>2.5043712163919527</v>
      </c>
      <c r="CU23" s="2">
        <f>CT23+預測IC!CU23</f>
        <v>2.5131900788931452</v>
      </c>
      <c r="CV23" s="2">
        <f>CU23+預測IC!CV23</f>
        <v>2.4386469597457898</v>
      </c>
      <c r="CW23" s="2">
        <f>CV23+預測IC!CW23</f>
        <v>2.4177882368518304</v>
      </c>
      <c r="CX23" s="2">
        <f>CW23+預測IC!CX23</f>
        <v>2.3559282437045499</v>
      </c>
      <c r="CY23" s="2">
        <f>CX23+預測IC!CY23</f>
        <v>2.215755606143984</v>
      </c>
      <c r="CZ23" s="2">
        <f>CY23+預測IC!CZ23</f>
        <v>2.2718277090215273</v>
      </c>
      <c r="DA23" s="2">
        <f>CZ23+預測IC!DA23</f>
        <v>2.17337575792968</v>
      </c>
      <c r="DB23" s="2">
        <f>DA23+預測IC!DB23</f>
        <v>2.5826118155431672</v>
      </c>
      <c r="DC23" s="2">
        <f>DB23+預測IC!DC23</f>
        <v>2.5054834773170489</v>
      </c>
      <c r="DD23" s="2">
        <f>DC23+預測IC!DD23</f>
        <v>2.6594234360663056</v>
      </c>
      <c r="DE23" s="2">
        <f>DD23+預測IC!DE23</f>
        <v>2.6910366927198104</v>
      </c>
      <c r="DF23" s="2">
        <f>DE23+預測IC!DF23</f>
        <v>2.5830370562760168</v>
      </c>
      <c r="DG23" s="2">
        <f>DF23+預測IC!DG23</f>
        <v>2.8316106790872135</v>
      </c>
      <c r="DH23" s="2">
        <f>DG23+預測IC!DH23</f>
        <v>2.7694830145707146</v>
      </c>
      <c r="DI23" s="2">
        <f>DH23+預測IC!DI23</f>
        <v>2.7986448567915509</v>
      </c>
      <c r="DJ23" s="2">
        <f>DI23+預測IC!DJ23</f>
        <v>2.8658145078744686</v>
      </c>
      <c r="DK23" s="2">
        <f>DJ23+預測IC!DK23</f>
        <v>2.8807616049561444</v>
      </c>
      <c r="DL23" s="2">
        <f>DK23+預測IC!DL23</f>
        <v>2.9083937349900268</v>
      </c>
      <c r="DM23" s="2">
        <f>DL23+預測IC!DM23</f>
        <v>2.8933734195564469</v>
      </c>
      <c r="DN23" s="2">
        <f>DM23+預測IC!DN23</f>
        <v>3.226215009290577</v>
      </c>
      <c r="DO23" s="2">
        <f>DN23+預測IC!DO23</f>
        <v>3.4055832384344744</v>
      </c>
      <c r="DP23" s="2">
        <f>DO23+預測IC!DP23</f>
        <v>3.5113648168033129</v>
      </c>
      <c r="DQ23" s="2">
        <f>DP23+預測IC!DQ23</f>
        <v>3.3813475768374603</v>
      </c>
      <c r="DR23" s="2">
        <f>DQ23+預測IC!DR23</f>
        <v>3.447956621816914</v>
      </c>
      <c r="DS23" s="2">
        <f>DR23+預測IC!DS23</f>
        <v>3.4571298045848966</v>
      </c>
      <c r="DT23" s="2">
        <f>DS23+預測IC!DT23</f>
        <v>3.3436912749644647</v>
      </c>
      <c r="DU23" s="2">
        <f>DT23+預測IC!DU23</f>
        <v>2.8858722778265875</v>
      </c>
      <c r="DV23" s="2">
        <f>DU23+預測IC!DV23</f>
        <v>2.9072419242240808</v>
      </c>
      <c r="DW23" s="2">
        <f>DV23+預測IC!DW23</f>
        <v>3.3779821489366673</v>
      </c>
      <c r="DX23" s="2">
        <f>DW23+預測IC!DX23</f>
        <v>3.3899425048246998</v>
      </c>
      <c r="DY23" s="2">
        <f>DX23+預測IC!DY23</f>
        <v>3.021442695683175</v>
      </c>
      <c r="DZ23" s="2">
        <f>DY23+預測IC!DZ23</f>
        <v>2.906900945672497</v>
      </c>
      <c r="EA23" s="2">
        <f>DZ23+預測IC!EA23</f>
        <v>2.853262288072532</v>
      </c>
      <c r="EB23" s="2">
        <f>EA23+預測IC!EB23</f>
        <v>3.174092721040533</v>
      </c>
      <c r="EC23" s="2">
        <f>EB23+預測IC!EC23</f>
        <v>3.0867263835683967</v>
      </c>
      <c r="ED23" s="2">
        <f>EC23+預測IC!ED23</f>
        <v>3.2810496620903158</v>
      </c>
      <c r="EE23" s="2">
        <f>ED23+預測IC!EE23</f>
        <v>3.4056913076117468</v>
      </c>
      <c r="EF23" s="2">
        <f>EE23+預測IC!EF23</f>
        <v>3.3531148334883993</v>
      </c>
      <c r="EG23" s="2">
        <f>EF23+預測IC!EG23</f>
        <v>3.2646857354355752</v>
      </c>
      <c r="EH23" s="2">
        <f>EG23+預測IC!EH23</f>
        <v>3.4306250628705466</v>
      </c>
      <c r="EI23" s="2">
        <f>EH23+預測IC!EI23</f>
        <v>3.3217505773952118</v>
      </c>
      <c r="EJ23" s="2">
        <f>EI23+預測IC!EJ23</f>
        <v>3.3438258394527725</v>
      </c>
      <c r="EK23" s="2">
        <f>EJ23+預測IC!EK23</f>
        <v>3.4053601099444153</v>
      </c>
      <c r="EL23" s="2">
        <f>EK23+預測IC!EL23</f>
        <v>3.3581178898587591</v>
      </c>
    </row>
    <row r="24" spans="1:142" x14ac:dyDescent="0.3">
      <c r="A24" s="18">
        <v>1051</v>
      </c>
      <c r="B24" s="18">
        <f t="shared" si="10"/>
        <v>1</v>
      </c>
      <c r="C24" s="2">
        <v>2.776696731044102E-2</v>
      </c>
      <c r="D24" s="2">
        <f>C24+預測IC!D24</f>
        <v>0.2341991536477403</v>
      </c>
      <c r="E24" s="2">
        <f>D24+預測IC!E24</f>
        <v>0.19572244860658145</v>
      </c>
      <c r="F24" s="2">
        <f>E24+預測IC!F24</f>
        <v>0.39726816747822769</v>
      </c>
      <c r="G24" s="2">
        <f>F24+預測IC!G24</f>
        <v>0.41989055604084535</v>
      </c>
      <c r="H24" s="2">
        <f>G24+預測IC!H24</f>
        <v>6.906836470980654E-2</v>
      </c>
      <c r="I24" s="2">
        <f>H24+預測IC!I24</f>
        <v>0.11587048687076665</v>
      </c>
      <c r="J24" s="2">
        <f>I24+預測IC!J24</f>
        <v>0.19743344676456159</v>
      </c>
      <c r="K24" s="2">
        <f>J24+預測IC!K24</f>
        <v>0.24787778275805031</v>
      </c>
      <c r="L24" s="2">
        <f>K24+預測IC!L24</f>
        <v>-8.5881661717596286E-2</v>
      </c>
      <c r="M24" s="2">
        <f>L24+預測IC!M24</f>
        <v>-0.14845901336994394</v>
      </c>
      <c r="N24" s="2">
        <f>M24+預測IC!N24</f>
        <v>-4.326730257409854E-2</v>
      </c>
      <c r="O24" s="2">
        <f>N24+預測IC!O24</f>
        <v>1.9036580762056297E-2</v>
      </c>
      <c r="P24" s="2">
        <f>O24+預測IC!P24</f>
        <v>9.677306661611354E-2</v>
      </c>
      <c r="Q24" s="2">
        <f>P24+預測IC!Q24</f>
        <v>0.13463687691649123</v>
      </c>
      <c r="R24" s="2">
        <f>Q24+預測IC!R24</f>
        <v>0.28416044432218984</v>
      </c>
      <c r="S24" s="2">
        <f>R24+預測IC!S24</f>
        <v>0.38496923960983725</v>
      </c>
      <c r="T24" s="2">
        <f>S24+預測IC!T24</f>
        <v>0.29669219987689421</v>
      </c>
      <c r="U24" s="2">
        <f>T24+預測IC!U24</f>
        <v>0.47331573555621109</v>
      </c>
      <c r="V24" s="2">
        <f>U24+預測IC!V24</f>
        <v>0.58985605227306193</v>
      </c>
      <c r="W24" s="2">
        <f>V24+預測IC!W24</f>
        <v>1.2327895808787215</v>
      </c>
      <c r="X24" s="2">
        <f>W24+預測IC!X24</f>
        <v>1.5089772739047671</v>
      </c>
      <c r="Y24" s="2">
        <f>X24+預測IC!Y24</f>
        <v>1.2158666669057623</v>
      </c>
      <c r="Z24" s="2">
        <f>Y24+預測IC!Z24</f>
        <v>1.1374913268531162</v>
      </c>
      <c r="AA24" s="2">
        <f>Z24+預測IC!AA24</f>
        <v>1.1247322943503482</v>
      </c>
      <c r="AB24" s="2">
        <f>AA24+預測IC!AB24</f>
        <v>0.96612341387824252</v>
      </c>
      <c r="AC24" s="2">
        <f>AB24+預測IC!AC24</f>
        <v>1.094308699596269</v>
      </c>
      <c r="AD24" s="2">
        <f>AC24+預測IC!AD24</f>
        <v>0.62623850908042011</v>
      </c>
      <c r="AE24" s="2">
        <f>AD24+預測IC!AE24</f>
        <v>0.67506404365029693</v>
      </c>
      <c r="AF24" s="2">
        <f>AE24+預測IC!AF24</f>
        <v>0.6982453512850868</v>
      </c>
      <c r="AG24" s="2">
        <f>AF24+預測IC!AG24</f>
        <v>0.54717633799523657</v>
      </c>
      <c r="AH24" s="2">
        <f>AG24+預測IC!AH24</f>
        <v>0.34807643862120186</v>
      </c>
      <c r="AI24" s="2">
        <f>AH24+預測IC!AI24</f>
        <v>0.44083900740716803</v>
      </c>
      <c r="AJ24" s="2">
        <f>AI24+預測IC!AJ24</f>
        <v>0.42201336552281726</v>
      </c>
      <c r="AK24" s="2">
        <f>AJ24+預測IC!AK24</f>
        <v>0.44898878508473972</v>
      </c>
      <c r="AL24" s="2">
        <f>AK24+預測IC!AL24</f>
        <v>0.49787353742015006</v>
      </c>
      <c r="AM24" s="2">
        <f>AL24+預測IC!AM24</f>
        <v>0.52865212515747284</v>
      </c>
      <c r="AN24" s="2">
        <f>AM24+預測IC!AN24</f>
        <v>0.7275207447878409</v>
      </c>
      <c r="AO24" s="2">
        <f>AN24+預測IC!AO24</f>
        <v>1.1174293717750257</v>
      </c>
      <c r="AP24" s="2">
        <f>AO24+預測IC!AP24</f>
        <v>1.1757801330544861</v>
      </c>
      <c r="AQ24" s="2">
        <f>AP24+預測IC!AQ24</f>
        <v>1.3393701259308761</v>
      </c>
      <c r="AR24" s="2">
        <f>AQ24+預測IC!AR24</f>
        <v>1.3600971640677331</v>
      </c>
      <c r="AS24" s="2">
        <f>AR24+預測IC!AS24</f>
        <v>1.4479819887293564</v>
      </c>
      <c r="AT24" s="2">
        <f>AS24+預測IC!AT24</f>
        <v>1.3152978274958445</v>
      </c>
      <c r="AU24" s="2">
        <f>AT24+預測IC!AU24</f>
        <v>1.5248399095333558</v>
      </c>
      <c r="AV24" s="2">
        <f>AU24+預測IC!AV24</f>
        <v>1.5053176951108318</v>
      </c>
      <c r="AW24" s="2">
        <f>AV24+預測IC!AW24</f>
        <v>1.4278037095315299</v>
      </c>
      <c r="AX24" s="2">
        <f>AW24+預測IC!AX24</f>
        <v>1.4851853412170777</v>
      </c>
      <c r="AY24" s="2">
        <f>AX24+預測IC!AY24</f>
        <v>1.5515665632697315</v>
      </c>
      <c r="AZ24" s="2">
        <f>AY24+預測IC!AZ24</f>
        <v>1.5264755297969583</v>
      </c>
      <c r="BA24" s="2">
        <f>AZ24+預測IC!BA24</f>
        <v>1.5055447255845502</v>
      </c>
      <c r="BB24" s="2">
        <f>BA24+預測IC!BB24</f>
        <v>2.1963212569652222</v>
      </c>
      <c r="BC24" s="2">
        <f>BB24+預測IC!BC24</f>
        <v>2.4720252235253564</v>
      </c>
      <c r="BD24" s="2">
        <f>BC24+預測IC!BD24</f>
        <v>2.5685482018434476</v>
      </c>
      <c r="BE24" s="2">
        <f>BD24+預測IC!BE24</f>
        <v>2.3526705010542508</v>
      </c>
      <c r="BF24" s="2">
        <f>BE24+預測IC!BF24</f>
        <v>2.4328583602406062</v>
      </c>
      <c r="BG24" s="2">
        <f>BF24+預測IC!BG24</f>
        <v>2.3954044588921861</v>
      </c>
      <c r="BH24" s="2">
        <f>BG24+預測IC!BH24</f>
        <v>2.5503613553128788</v>
      </c>
      <c r="BI24" s="2">
        <f>BH24+預測IC!BI24</f>
        <v>2.5705079801728652</v>
      </c>
      <c r="BJ24" s="2">
        <f>BI24+預測IC!BJ24</f>
        <v>2.5053538849930792</v>
      </c>
      <c r="BK24" s="2">
        <f>BJ24+預測IC!BK24</f>
        <v>2.5916843064328798</v>
      </c>
      <c r="BL24" s="2">
        <f>BK24+預測IC!BL24</f>
        <v>2.6977912265840462</v>
      </c>
      <c r="BM24" s="2">
        <f>BL24+預測IC!BM24</f>
        <v>2.7825741664230343</v>
      </c>
      <c r="BN24" s="2">
        <f>BM24+預測IC!BN24</f>
        <v>2.643610308687204</v>
      </c>
      <c r="BO24" s="2">
        <f>BN24+預測IC!BO24</f>
        <v>2.6560783711240763</v>
      </c>
      <c r="BP24" s="2">
        <f>BO24+預測IC!BP24</f>
        <v>2.7329336345211575</v>
      </c>
      <c r="BQ24" s="2">
        <f>BP24+預測IC!BQ24</f>
        <v>2.7467911009452939</v>
      </c>
      <c r="BR24" s="2">
        <f>BQ24+預測IC!BR24</f>
        <v>2.6156311170318847</v>
      </c>
      <c r="BS24" s="2">
        <f>BR24+預測IC!BS24</f>
        <v>2.5097311756394154</v>
      </c>
      <c r="BT24" s="2">
        <f>BS24+預測IC!BT24</f>
        <v>2.8091956189826788</v>
      </c>
      <c r="BU24" s="2">
        <f>BT24+預測IC!BU24</f>
        <v>2.9809734596077386</v>
      </c>
      <c r="BV24" s="2">
        <f>BU24+預測IC!BV24</f>
        <v>3.1842776114381892</v>
      </c>
      <c r="BW24" s="2">
        <f>BV24+預測IC!BW24</f>
        <v>3.1618101524353421</v>
      </c>
      <c r="BX24" s="2">
        <f>BW24+預測IC!BX24</f>
        <v>3.3068781176882811</v>
      </c>
      <c r="BY24" s="2">
        <f>BX24+預測IC!BY24</f>
        <v>3.2861671687838236</v>
      </c>
      <c r="BZ24" s="2">
        <f>BY24+預測IC!BZ24</f>
        <v>3.151174855519626</v>
      </c>
      <c r="CA24" s="2">
        <f>BZ24+預測IC!CA24</f>
        <v>3.0438136623855723</v>
      </c>
      <c r="CB24" s="2">
        <f>CA24+預測IC!CB24</f>
        <v>2.8798952655673742</v>
      </c>
      <c r="CC24" s="2">
        <f>CB24+預測IC!CC24</f>
        <v>2.779251739787687</v>
      </c>
      <c r="CD24" s="2">
        <f>CC24+預測IC!CD24</f>
        <v>2.7902973782058202</v>
      </c>
      <c r="CE24" s="2">
        <f>CD24+預測IC!CE24</f>
        <v>2.796288940575987</v>
      </c>
      <c r="CF24" s="2">
        <f>CE24+預測IC!CF24</f>
        <v>2.6288454478082115</v>
      </c>
      <c r="CG24" s="2">
        <f>CF24+預測IC!CG24</f>
        <v>2.4097673776472153</v>
      </c>
      <c r="CH24" s="2">
        <f>CG24+預測IC!CH24</f>
        <v>2.440298129849138</v>
      </c>
      <c r="CI24" s="2">
        <f>CH24+預測IC!CI24</f>
        <v>2.2448670876357637</v>
      </c>
      <c r="CJ24" s="2">
        <f>CI24+預測IC!CJ24</f>
        <v>2.492463501548257</v>
      </c>
      <c r="CK24" s="2">
        <f>CJ24+預測IC!CK24</f>
        <v>2.7389531543918006</v>
      </c>
      <c r="CL24" s="2">
        <f>CK24+預測IC!CL24</f>
        <v>2.9036342745841632</v>
      </c>
      <c r="CM24" s="2">
        <f>CL24+預測IC!CM24</f>
        <v>2.816788120183753</v>
      </c>
      <c r="CN24" s="2">
        <f>CM24+預測IC!CN24</f>
        <v>2.8611362102939921</v>
      </c>
      <c r="CO24" s="2">
        <f>CN24+預測IC!CO24</f>
        <v>2.1454072015686316</v>
      </c>
      <c r="CP24" s="2">
        <f>CO24+預測IC!CP24</f>
        <v>2.4108661372357023</v>
      </c>
      <c r="CQ24" s="2">
        <f>CP24+預測IC!CQ24</f>
        <v>2.6688389627764497</v>
      </c>
      <c r="CR24" s="2">
        <f>CQ24+預測IC!CR24</f>
        <v>2.7915064717923084</v>
      </c>
      <c r="CS24" s="2">
        <f>CR24+預測IC!CS24</f>
        <v>2.6321581125120526</v>
      </c>
      <c r="CT24" s="2">
        <f>CS24+預測IC!CT24</f>
        <v>2.8150546998041692</v>
      </c>
      <c r="CU24" s="2">
        <f>CT24+預測IC!CU24</f>
        <v>2.7799633799928989</v>
      </c>
      <c r="CV24" s="2">
        <f>CU24+預測IC!CV24</f>
        <v>2.7448078223008601</v>
      </c>
      <c r="CW24" s="2">
        <f>CV24+預測IC!CW24</f>
        <v>2.9988134379933329</v>
      </c>
      <c r="CX24" s="2">
        <f>CW24+預測IC!CX24</f>
        <v>3.0217880773690591</v>
      </c>
      <c r="CY24" s="2">
        <f>CX24+預測IC!CY24</f>
        <v>2.6615600306003215</v>
      </c>
      <c r="CZ24" s="2">
        <f>CY24+預測IC!CZ24</f>
        <v>3.0026639906224708</v>
      </c>
      <c r="DA24" s="2">
        <f>CZ24+預測IC!DA24</f>
        <v>2.8325042115072092</v>
      </c>
      <c r="DB24" s="2">
        <f>DA24+預測IC!DB24</f>
        <v>3.6319870418831872</v>
      </c>
      <c r="DC24" s="2">
        <f>DB24+預測IC!DC24</f>
        <v>3.2390202918613489</v>
      </c>
      <c r="DD24" s="2">
        <f>DC24+預測IC!DD24</f>
        <v>3.0527025646342816</v>
      </c>
      <c r="DE24" s="2">
        <f>DD24+預測IC!DE24</f>
        <v>3.1706110365071054</v>
      </c>
      <c r="DF24" s="2">
        <f>DE24+預測IC!DF24</f>
        <v>3.1635587905900238</v>
      </c>
      <c r="DG24" s="2">
        <f>DF24+預測IC!DG24</f>
        <v>3.4121170534791876</v>
      </c>
      <c r="DH24" s="2">
        <f>DG24+預測IC!DH24</f>
        <v>3.3856776562998347</v>
      </c>
      <c r="DI24" s="2">
        <f>DH24+預測IC!DI24</f>
        <v>3.0209025410131689</v>
      </c>
      <c r="DJ24" s="2">
        <f>DI24+預測IC!DJ24</f>
        <v>3.26932720396628</v>
      </c>
      <c r="DK24" s="2">
        <f>DJ24+預測IC!DK24</f>
        <v>3.3370637513127916</v>
      </c>
      <c r="DL24" s="2">
        <f>DK24+預測IC!DL24</f>
        <v>3.3456900322065177</v>
      </c>
      <c r="DM24" s="2">
        <f>DL24+預測IC!DM24</f>
        <v>3.3714977075202448</v>
      </c>
      <c r="DN24" s="2">
        <f>DM24+預測IC!DN24</f>
        <v>4.0385863831222348</v>
      </c>
      <c r="DO24" s="2">
        <f>DN24+預測IC!DO24</f>
        <v>4.2102296942773538</v>
      </c>
      <c r="DP24" s="2">
        <f>DO24+預測IC!DP24</f>
        <v>4.1825622056121974</v>
      </c>
      <c r="DQ24" s="2">
        <f>DP24+預測IC!DQ24</f>
        <v>3.9692066606641507</v>
      </c>
      <c r="DR24" s="2">
        <f>DQ24+預測IC!DR24</f>
        <v>3.990086278648159</v>
      </c>
      <c r="DS24" s="2">
        <f>DR24+預測IC!DS24</f>
        <v>4.0465073652657635</v>
      </c>
      <c r="DT24" s="2">
        <f>DS24+預測IC!DT24</f>
        <v>3.9671710199277976</v>
      </c>
      <c r="DU24" s="2">
        <f>DT24+預測IC!DU24</f>
        <v>3.2162326591175958</v>
      </c>
      <c r="DV24" s="2">
        <f>DU24+預測IC!DV24</f>
        <v>2.9866077029913698</v>
      </c>
      <c r="DW24" s="2">
        <f>DV24+預測IC!DW24</f>
        <v>3.3049267449050408</v>
      </c>
      <c r="DX24" s="2">
        <f>DW24+預測IC!DX24</f>
        <v>3.5908562287879393</v>
      </c>
      <c r="DY24" s="2">
        <f>DX24+預測IC!DY24</f>
        <v>3.3582339335191858</v>
      </c>
      <c r="DZ24" s="2">
        <f>DY24+預測IC!DZ24</f>
        <v>3.2121761193946359</v>
      </c>
      <c r="EA24" s="2">
        <f>DZ24+預測IC!EA24</f>
        <v>3.1341266101705076</v>
      </c>
      <c r="EB24" s="2">
        <f>EA24+預測IC!EB24</f>
        <v>3.8193282843897975</v>
      </c>
      <c r="EC24" s="2">
        <f>EB24+預測IC!EC24</f>
        <v>3.8086280477049028</v>
      </c>
      <c r="ED24" s="2">
        <f>EC24+預測IC!ED24</f>
        <v>3.7735345355604899</v>
      </c>
      <c r="EE24" s="2">
        <f>ED24+預測IC!EE24</f>
        <v>3.8851012175777258</v>
      </c>
      <c r="EF24" s="2">
        <f>EE24+預測IC!EF24</f>
        <v>3.7930632114088589</v>
      </c>
      <c r="EG24" s="2">
        <f>EF24+預測IC!EG24</f>
        <v>3.8635145357937599</v>
      </c>
      <c r="EH24" s="2">
        <f>EG24+預測IC!EH24</f>
        <v>3.7798833208535809</v>
      </c>
      <c r="EI24" s="2">
        <f>EH24+預測IC!EI24</f>
        <v>3.6250884667549124</v>
      </c>
      <c r="EJ24" s="2">
        <f>EI24+預測IC!EJ24</f>
        <v>3.6584476999077666</v>
      </c>
      <c r="EK24" s="2">
        <f>EJ24+預測IC!EK24</f>
        <v>3.7329734789989835</v>
      </c>
      <c r="EL24" s="2">
        <f>EK24+預測IC!EL24</f>
        <v>3.7224746949007641</v>
      </c>
    </row>
    <row r="25" spans="1:142" x14ac:dyDescent="0.3">
      <c r="A25" s="18" t="s">
        <v>154</v>
      </c>
      <c r="B25" s="18" t="s">
        <v>155</v>
      </c>
      <c r="C25" s="8">
        <v>-1.7446770539390338E-2</v>
      </c>
      <c r="D25" s="2">
        <f>C25+預測IC!D25</f>
        <v>3.2542899924252917E-3</v>
      </c>
      <c r="E25" s="2">
        <f>D25+預測IC!E25</f>
        <v>2.7236419247192001E-2</v>
      </c>
      <c r="F25" s="2">
        <f>E25+預測IC!F25</f>
        <v>2.0678840274368924E-2</v>
      </c>
      <c r="G25" s="2">
        <f>F25+預測IC!G25</f>
        <v>5.2523970074888612E-2</v>
      </c>
      <c r="H25" s="2">
        <f>G25+預測IC!H25</f>
        <v>8.6872502811879138E-2</v>
      </c>
      <c r="I25" s="2">
        <f>H25+預測IC!I25</f>
        <v>7.8617570030553904E-2</v>
      </c>
      <c r="J25" s="2">
        <f>I25+預測IC!J25</f>
        <v>9.1461094424606662E-2</v>
      </c>
      <c r="K25" s="2">
        <f>J25+預測IC!K25</f>
        <v>4.0442569797815839E-2</v>
      </c>
      <c r="L25" s="2">
        <f>K25+預測IC!L25</f>
        <v>4.1316512538852428E-2</v>
      </c>
      <c r="M25" s="2">
        <f>L25+預測IC!M25</f>
        <v>6.4706088044348353E-2</v>
      </c>
      <c r="N25" s="2">
        <f>M25+預測IC!N25</f>
        <v>7.7695060244681202E-2</v>
      </c>
      <c r="O25" s="2">
        <f>N25+預測IC!O25</f>
        <v>8.3549648970316082E-2</v>
      </c>
      <c r="P25" s="2">
        <f>O25+預測IC!P25</f>
        <v>0.11096285554210664</v>
      </c>
      <c r="Q25" s="2">
        <f>P25+預測IC!Q25</f>
        <v>0.10724991942441378</v>
      </c>
      <c r="R25" s="2">
        <f>Q25+預測IC!R25</f>
        <v>0.13132653347223711</v>
      </c>
      <c r="S25" s="2">
        <f>R25+預測IC!S25</f>
        <v>0.11913650817319715</v>
      </c>
      <c r="T25" s="2">
        <f>S25+預測IC!T25</f>
        <v>7.9386930013607554E-2</v>
      </c>
      <c r="U25" s="2">
        <f>T25+預測IC!U25</f>
        <v>6.2314801819580018E-3</v>
      </c>
      <c r="V25" s="2">
        <f>U25+預測IC!V25</f>
        <v>-5.2028749728156659E-2</v>
      </c>
      <c r="W25" s="2">
        <f>V25+預測IC!W25</f>
        <v>-5.1255952162648284E-2</v>
      </c>
      <c r="X25" s="2">
        <f>W25+預測IC!X25</f>
        <v>-6.6644310274293142E-3</v>
      </c>
      <c r="Y25" s="2">
        <f>X25+預測IC!Y25</f>
        <v>-3.4364111077642409E-2</v>
      </c>
      <c r="Z25" s="2">
        <f>Y25+預測IC!Z25</f>
        <v>-3.226910512789876E-2</v>
      </c>
      <c r="AA25" s="2">
        <f>Z25+預測IC!AA25</f>
        <v>-5.5669656120462874E-2</v>
      </c>
      <c r="AB25" s="2">
        <f>AA25+預測IC!AB25</f>
        <v>-2.3540285023140685E-2</v>
      </c>
      <c r="AC25" s="2">
        <f>AB25+預測IC!AC25</f>
        <v>1.5362988070925745E-2</v>
      </c>
      <c r="AD25" s="2">
        <f>AC25+預測IC!AD25</f>
        <v>-2.7502394100178525E-2</v>
      </c>
      <c r="AE25" s="2">
        <f>AD25+預測IC!AE25</f>
        <v>-8.8551995500263658E-3</v>
      </c>
      <c r="AF25" s="2">
        <f>AE25+預測IC!AF25</f>
        <v>6.3745687725025833E-3</v>
      </c>
      <c r="AG25" s="2">
        <f>AF25+預測IC!AG25</f>
        <v>4.2391172551395004E-2</v>
      </c>
      <c r="AH25" s="2">
        <f>AG25+預測IC!AH25</f>
        <v>5.174578393671117E-2</v>
      </c>
      <c r="AI25" s="2">
        <f>AH25+預測IC!AI25</f>
        <v>6.2494035273549312E-2</v>
      </c>
      <c r="AJ25" s="2">
        <f>AI25+預測IC!AJ25</f>
        <v>7.5851789326630281E-2</v>
      </c>
      <c r="AK25" s="2">
        <f>AJ25+預測IC!AK25</f>
        <v>7.0519041997534893E-2</v>
      </c>
      <c r="AL25" s="2">
        <f>AK25+預測IC!AL25</f>
        <v>7.1902177804796574E-2</v>
      </c>
      <c r="AM25" s="2">
        <f>AL25+預測IC!AM25</f>
        <v>9.2698106224871041E-2</v>
      </c>
      <c r="AN25" s="2">
        <f>AM25+預測IC!AN25</f>
        <v>0.12421580844526167</v>
      </c>
      <c r="AO25" s="2">
        <f>AN25+預測IC!AO25</f>
        <v>0.13045752497859112</v>
      </c>
      <c r="AP25" s="2">
        <f>AO25+預測IC!AP25</f>
        <v>0.13660278663216249</v>
      </c>
      <c r="AQ25" s="2">
        <f>AP25+預測IC!AQ25</f>
        <v>0.15354914430885899</v>
      </c>
      <c r="AR25" s="2">
        <f>AQ25+預測IC!AR25</f>
        <v>0.18823197476316722</v>
      </c>
      <c r="AS25" s="2">
        <f>AR25+預測IC!AS25</f>
        <v>0.19133056338036419</v>
      </c>
      <c r="AT25" s="2">
        <f>AS25+預測IC!AT25</f>
        <v>0.2064119105238503</v>
      </c>
      <c r="AU25" s="2">
        <f>AT25+預測IC!AU25</f>
        <v>0.18716070129398632</v>
      </c>
      <c r="AV25" s="2">
        <f>AU25+預測IC!AV25</f>
        <v>0.22587221468161775</v>
      </c>
      <c r="AW25" s="2">
        <f>AV25+預測IC!AW25</f>
        <v>0.20401526354588115</v>
      </c>
      <c r="AX25" s="2">
        <f>AW25+預測IC!AX25</f>
        <v>0.21178956425567083</v>
      </c>
      <c r="AY25" s="2">
        <f>AX25+預測IC!AY25</f>
        <v>0.25418681095099677</v>
      </c>
      <c r="AZ25" s="2">
        <f>AY25+預測IC!AZ25</f>
        <v>0.22787783608983703</v>
      </c>
      <c r="BA25" s="2">
        <f>AZ25+預測IC!BA25</f>
        <v>0.23744958539855326</v>
      </c>
      <c r="BB25" s="2">
        <f>BA25+預測IC!BB25</f>
        <v>0.21319984413227844</v>
      </c>
      <c r="BC25" s="2">
        <f>BB25+預測IC!BC25</f>
        <v>0.23336321827619427</v>
      </c>
      <c r="BD25" s="2">
        <f>BC25+預測IC!BD25</f>
        <v>0.22985821949407825</v>
      </c>
      <c r="BE25" s="2">
        <f>BD25+預測IC!BE25</f>
        <v>0.25001015459262055</v>
      </c>
      <c r="BF25" s="2">
        <f>BE25+預測IC!BF25</f>
        <v>0.25059149082339083</v>
      </c>
      <c r="BG25" s="2">
        <f>BF25+預測IC!BG25</f>
        <v>0.24537178987013822</v>
      </c>
      <c r="BH25" s="2">
        <f>BG25+預測IC!BH25</f>
        <v>0.12950002846800823</v>
      </c>
      <c r="BI25" s="2">
        <f>BH25+預測IC!BI25</f>
        <v>0.13822525416044559</v>
      </c>
      <c r="BJ25" s="2">
        <f>BI25+預測IC!BJ25</f>
        <v>0.12184799318262345</v>
      </c>
      <c r="BK25" s="2">
        <f>BJ25+預測IC!BK25</f>
        <v>0.14268836478288388</v>
      </c>
      <c r="BL25" s="2">
        <f>BK25+預測IC!BL25</f>
        <v>0.18766423688499859</v>
      </c>
      <c r="BM25" s="2">
        <f>BL25+預測IC!BM25</f>
        <v>0.21161854296686244</v>
      </c>
      <c r="BN25" s="2">
        <f>BM25+預測IC!BN25</f>
        <v>0.24185764435830504</v>
      </c>
      <c r="BO25" s="2">
        <f>BN25+預測IC!BO25</f>
        <v>0.19813175676721753</v>
      </c>
      <c r="BP25" s="2">
        <f>BO25+預測IC!BP25</f>
        <v>0.22002122633541615</v>
      </c>
      <c r="BQ25" s="2">
        <f>BP25+預測IC!BQ25</f>
        <v>0.22864865659892455</v>
      </c>
      <c r="BR25" s="2">
        <f>BQ25+預測IC!BR25</f>
        <v>0.20945570260426577</v>
      </c>
      <c r="BS25" s="2">
        <f>BR25+預測IC!BS25</f>
        <v>0.22919083249239883</v>
      </c>
      <c r="BT25" s="2">
        <f>BS25+預測IC!BT25</f>
        <v>0.27688516997609824</v>
      </c>
      <c r="BU25" s="2">
        <f>BT25+預測IC!BU25</f>
        <v>0.28833998678268163</v>
      </c>
      <c r="BV25" s="2">
        <f>BU25+預測IC!BV25</f>
        <v>0.33156860751789485</v>
      </c>
      <c r="BW25" s="2">
        <f>BV25+預測IC!BW25</f>
        <v>0.28882117708097205</v>
      </c>
      <c r="BX25" s="2">
        <f>BW25+預測IC!BX25</f>
        <v>0.27100988465317749</v>
      </c>
      <c r="BY25" s="2">
        <f>BX25+預測IC!BY25</f>
        <v>0.11985678778410189</v>
      </c>
      <c r="BZ25" s="2">
        <f>BY25+預測IC!BZ25</f>
        <v>0.24408079140367717</v>
      </c>
      <c r="CA25" s="2">
        <f>BZ25+預測IC!CA25</f>
        <v>0.23952353755914751</v>
      </c>
      <c r="CB25" s="2">
        <f>CA25+預測IC!CB25</f>
        <v>0.29973477776405871</v>
      </c>
      <c r="CC25" s="2">
        <f>CB25+預測IC!CC25</f>
        <v>0.385726811246561</v>
      </c>
      <c r="CD25" s="2">
        <f>CC25+預測IC!CD25</f>
        <v>0.37991833166419492</v>
      </c>
      <c r="CE25" s="2">
        <f>CD25+預測IC!CE25</f>
        <v>0.37387698467522684</v>
      </c>
      <c r="CF25" s="2">
        <f>CE25+預測IC!CF25</f>
        <v>0.37632930904747891</v>
      </c>
      <c r="CG25" s="2">
        <f>CF25+預測IC!CG25</f>
        <v>0.46596556098450181</v>
      </c>
      <c r="CH25" s="2">
        <f>CG25+預測IC!CH25</f>
        <v>0.53695829351125968</v>
      </c>
      <c r="CI25" s="2">
        <f>CH25+預測IC!CI25</f>
        <v>0.56412893641304307</v>
      </c>
      <c r="CJ25" s="2">
        <f>CI25+預測IC!CJ25</f>
        <v>0.61659736483837313</v>
      </c>
      <c r="CK25" s="2">
        <f>CJ25+預測IC!CK25</f>
        <v>0.64607802578142259</v>
      </c>
      <c r="CL25" s="2">
        <f>CK25+預測IC!CL25</f>
        <v>0.71290310684162383</v>
      </c>
      <c r="CM25" s="2">
        <f>CL25+預測IC!CM25</f>
        <v>0.68413087782180682</v>
      </c>
      <c r="CN25" s="2">
        <f>CM25+預測IC!CN25</f>
        <v>0.72359339372344467</v>
      </c>
      <c r="CO25" s="2">
        <f>CN25+預測IC!CO25</f>
        <v>0.69456230674608477</v>
      </c>
      <c r="CP25" s="2">
        <f>CO25+預測IC!CP25</f>
        <v>0.70854618926555268</v>
      </c>
      <c r="CQ25" s="2">
        <f>CP25+預測IC!CQ25</f>
        <v>0.67626922430621883</v>
      </c>
      <c r="CR25" s="2">
        <f>CQ25+預測IC!CR25</f>
        <v>0.6793728009191129</v>
      </c>
      <c r="CS25" s="2">
        <f>CR25+預測IC!CS25</f>
        <v>0.70496465668619601</v>
      </c>
      <c r="CT25" s="2">
        <f>CS25+預測IC!CT25</f>
        <v>0.74935654297338927</v>
      </c>
      <c r="CU25" s="2">
        <f>CT25+預測IC!CU25</f>
        <v>0.71901758442381181</v>
      </c>
      <c r="CV25" s="2">
        <f>CU25+預測IC!CV25</f>
        <v>0.7177596079692401</v>
      </c>
      <c r="CW25" s="2">
        <f>CV25+預測IC!CW25</f>
        <v>0.72009596442509805</v>
      </c>
      <c r="CX25" s="2">
        <f>CW25+預測IC!CX25</f>
        <v>0.655831819499192</v>
      </c>
      <c r="CY25" s="2">
        <f>CX25+預測IC!CY25</f>
        <v>0.66874159895818441</v>
      </c>
      <c r="CZ25" s="2">
        <f>CY25+預測IC!CZ25</f>
        <v>0.54326450428732564</v>
      </c>
      <c r="DA25" s="2">
        <f>CZ25+預測IC!DA25</f>
        <v>0.55495518722711823</v>
      </c>
      <c r="DB25" s="2">
        <f>DA25+預測IC!DB25</f>
        <v>0.56129303092785998</v>
      </c>
      <c r="DC25" s="2">
        <f>DB25+預測IC!DC25</f>
        <v>0.44398767445847448</v>
      </c>
      <c r="DD25" s="2">
        <f>DC25+預測IC!DD25</f>
        <v>0.40797680240902789</v>
      </c>
      <c r="DE25" s="2">
        <f>DD25+預測IC!DE25</f>
        <v>0.54688810648129582</v>
      </c>
      <c r="DF25" s="2">
        <f>DE25+預測IC!DF25</f>
        <v>0.49574460025519007</v>
      </c>
      <c r="DG25" s="2">
        <f>DF25+預測IC!DG25</f>
        <v>0.57247604743715907</v>
      </c>
      <c r="DH25" s="2">
        <f>DG25+預測IC!DH25</f>
        <v>0.58798482963416721</v>
      </c>
      <c r="DI25" s="2">
        <f>DH25+預測IC!DI25</f>
        <v>0.61120860330892302</v>
      </c>
      <c r="DJ25" s="2">
        <f>DI25+預測IC!DJ25</f>
        <v>0.59283572694769515</v>
      </c>
      <c r="DK25" s="2">
        <f>DJ25+預測IC!DK25</f>
        <v>0.65503474103279458</v>
      </c>
      <c r="DL25" s="2">
        <f>DK25+預測IC!DL25</f>
        <v>0.67513304551975173</v>
      </c>
      <c r="DM25" s="2">
        <f>DL25+預測IC!DM25</f>
        <v>0.68863198526781977</v>
      </c>
      <c r="DN25" s="2">
        <f>DM25+預測IC!DN25</f>
        <v>0.65837977253939894</v>
      </c>
      <c r="DO25" s="2">
        <f>DN25+預測IC!DO25</f>
        <v>0.64135693683134509</v>
      </c>
      <c r="DP25" s="2">
        <f>DO25+預測IC!DP25</f>
        <v>0.61956841355888315</v>
      </c>
      <c r="DQ25" s="2">
        <f>DP25+預測IC!DQ25</f>
        <v>0.70531403814402038</v>
      </c>
      <c r="DR25" s="2">
        <f>DQ25+預測IC!DR25</f>
        <v>0.73342078174899417</v>
      </c>
      <c r="DS25" s="2">
        <f>DR25+預測IC!DS25</f>
        <v>0.73111762194163477</v>
      </c>
      <c r="DT25" s="2">
        <f>DS25+預測IC!DT25</f>
        <v>0.78958882007312226</v>
      </c>
      <c r="DU25" s="2">
        <f>DT25+預測IC!DU25</f>
        <v>0.85724776912176992</v>
      </c>
      <c r="DV25" s="2">
        <f>DU25+預測IC!DV25</f>
        <v>0.86226853976220219</v>
      </c>
      <c r="DW25" s="2">
        <f>DV25+預測IC!DW25</f>
        <v>0.89968472343740924</v>
      </c>
      <c r="DX25" s="2">
        <f>DW25+預測IC!DX25</f>
        <v>0.98379572718345132</v>
      </c>
      <c r="DY25" s="2">
        <f>DX25+預測IC!DY25</f>
        <v>0.94696332863943844</v>
      </c>
      <c r="DZ25" s="2">
        <f>DY25+預測IC!DZ25</f>
        <v>0.95005503145637549</v>
      </c>
      <c r="EA25" s="2">
        <f>DZ25+預測IC!EA25</f>
        <v>0.94809740324208092</v>
      </c>
      <c r="EB25" s="2">
        <f>EA25+預測IC!EB25</f>
        <v>0.97455650684560069</v>
      </c>
      <c r="EC25" s="2">
        <f>EB25+預測IC!EC25</f>
        <v>0.94980396808491041</v>
      </c>
      <c r="ED25" s="2">
        <f>EC25+預測IC!ED25</f>
        <v>0.98391945906747036</v>
      </c>
      <c r="EE25" s="2">
        <f>ED25+預測IC!EE25</f>
        <v>1.0049814330565034</v>
      </c>
      <c r="EF25" s="2">
        <f>EE25+預測IC!EF25</f>
        <v>0.98470404035049752</v>
      </c>
      <c r="EG25" s="2">
        <f>EF25+預測IC!EG25</f>
        <v>0.87683593248961955</v>
      </c>
      <c r="EH25" s="2">
        <f>EG25+預測IC!EH25</f>
        <v>0.85431558037554889</v>
      </c>
      <c r="EI25" s="2">
        <f>EH25+預測IC!EI25</f>
        <v>0.90782558744632169</v>
      </c>
      <c r="EJ25" s="2">
        <f>EI25+預測IC!EJ25</f>
        <v>0.94951285328388979</v>
      </c>
      <c r="EK25" s="2">
        <f>EJ25+預測IC!EK25</f>
        <v>1.005708467398301</v>
      </c>
      <c r="EL25" s="2">
        <f>EK25+預測IC!EL25</f>
        <v>1.0346197866834097</v>
      </c>
    </row>
    <row r="26" spans="1:142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2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2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2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2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2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2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L21"/>
  <sheetViews>
    <sheetView workbookViewId="0">
      <selection activeCell="B22" sqref="B22"/>
    </sheetView>
  </sheetViews>
  <sheetFormatPr defaultColWidth="16.19921875" defaultRowHeight="25" x14ac:dyDescent="0.55000000000000004"/>
  <cols>
    <col min="1" max="1" width="16.69921875" style="12" bestFit="1" customWidth="1"/>
    <col min="2" max="2" width="15.796875" style="12" customWidth="1"/>
    <col min="3" max="7" width="16.19921875" style="12" customWidth="1"/>
    <col min="8" max="16384" width="16.19921875" style="12"/>
  </cols>
  <sheetData>
    <row r="1" spans="1:142" x14ac:dyDescent="0.55000000000000004">
      <c r="A1" s="11" t="s">
        <v>314</v>
      </c>
    </row>
    <row r="2" spans="1:142" x14ac:dyDescent="0.55000000000000004"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1" t="s">
        <v>58</v>
      </c>
      <c r="BH2" s="11" t="s">
        <v>59</v>
      </c>
      <c r="BI2" s="11" t="s">
        <v>60</v>
      </c>
      <c r="BJ2" s="11" t="s">
        <v>61</v>
      </c>
      <c r="BK2" s="11" t="s">
        <v>62</v>
      </c>
      <c r="BL2" s="11" t="s">
        <v>63</v>
      </c>
      <c r="BM2" s="11" t="s">
        <v>64</v>
      </c>
      <c r="BN2" s="11" t="s">
        <v>65</v>
      </c>
      <c r="BO2" s="11" t="s">
        <v>66</v>
      </c>
      <c r="BP2" s="11" t="s">
        <v>67</v>
      </c>
      <c r="BQ2" s="11" t="s">
        <v>68</v>
      </c>
      <c r="BR2" s="11" t="s">
        <v>69</v>
      </c>
      <c r="BS2" s="11" t="s">
        <v>70</v>
      </c>
      <c r="BT2" s="11" t="s">
        <v>71</v>
      </c>
      <c r="BU2" s="11" t="s">
        <v>72</v>
      </c>
      <c r="BV2" s="11" t="s">
        <v>73</v>
      </c>
      <c r="BW2" s="11" t="s">
        <v>74</v>
      </c>
      <c r="BX2" s="11" t="s">
        <v>75</v>
      </c>
      <c r="BY2" s="11" t="s">
        <v>76</v>
      </c>
      <c r="BZ2" s="11" t="s">
        <v>77</v>
      </c>
      <c r="CA2" s="11" t="s">
        <v>78</v>
      </c>
      <c r="CB2" s="11" t="s">
        <v>79</v>
      </c>
      <c r="CC2" s="11" t="s">
        <v>80</v>
      </c>
      <c r="CD2" s="11" t="s">
        <v>81</v>
      </c>
      <c r="CE2" s="11" t="s">
        <v>82</v>
      </c>
      <c r="CF2" s="11" t="s">
        <v>83</v>
      </c>
      <c r="CG2" s="11" t="s">
        <v>84</v>
      </c>
      <c r="CH2" s="11" t="s">
        <v>85</v>
      </c>
      <c r="CI2" s="11" t="s">
        <v>86</v>
      </c>
      <c r="CJ2" s="11" t="s">
        <v>87</v>
      </c>
      <c r="CK2" s="11" t="s">
        <v>88</v>
      </c>
      <c r="CL2" s="11" t="s">
        <v>89</v>
      </c>
      <c r="CM2" s="11" t="s">
        <v>90</v>
      </c>
      <c r="CN2" s="11" t="s">
        <v>91</v>
      </c>
      <c r="CO2" s="11" t="s">
        <v>92</v>
      </c>
      <c r="CP2" s="11" t="s">
        <v>93</v>
      </c>
      <c r="CQ2" s="11" t="s">
        <v>94</v>
      </c>
      <c r="CR2" s="11" t="s">
        <v>95</v>
      </c>
      <c r="CS2" s="11" t="s">
        <v>96</v>
      </c>
      <c r="CT2" s="11" t="s">
        <v>97</v>
      </c>
      <c r="CU2" s="11" t="s">
        <v>98</v>
      </c>
      <c r="CV2" s="11" t="s">
        <v>99</v>
      </c>
      <c r="CW2" s="11" t="s">
        <v>100</v>
      </c>
      <c r="CX2" s="11" t="s">
        <v>101</v>
      </c>
      <c r="CY2" s="11" t="s">
        <v>102</v>
      </c>
      <c r="CZ2" s="11" t="s">
        <v>103</v>
      </c>
      <c r="DA2" s="11" t="s">
        <v>104</v>
      </c>
      <c r="DB2" s="11" t="s">
        <v>105</v>
      </c>
      <c r="DC2" s="11" t="s">
        <v>106</v>
      </c>
      <c r="DD2" s="11" t="s">
        <v>107</v>
      </c>
      <c r="DE2" s="11" t="s">
        <v>108</v>
      </c>
      <c r="DF2" s="11" t="s">
        <v>109</v>
      </c>
      <c r="DG2" s="11" t="s">
        <v>110</v>
      </c>
      <c r="DH2" s="11" t="s">
        <v>111</v>
      </c>
      <c r="DI2" s="11" t="s">
        <v>112</v>
      </c>
      <c r="DJ2" s="11" t="s">
        <v>113</v>
      </c>
      <c r="DK2" s="11" t="s">
        <v>114</v>
      </c>
      <c r="DL2" s="11" t="s">
        <v>115</v>
      </c>
      <c r="DM2" s="11" t="s">
        <v>116</v>
      </c>
      <c r="DN2" s="11" t="s">
        <v>117</v>
      </c>
      <c r="DO2" s="11" t="s">
        <v>118</v>
      </c>
      <c r="DP2" s="11" t="s">
        <v>119</v>
      </c>
      <c r="DQ2" s="11" t="s">
        <v>120</v>
      </c>
      <c r="DR2" s="11" t="s">
        <v>121</v>
      </c>
      <c r="DS2" s="11" t="s">
        <v>122</v>
      </c>
      <c r="DT2" s="11" t="s">
        <v>123</v>
      </c>
      <c r="DU2" s="11" t="s">
        <v>124</v>
      </c>
      <c r="DV2" s="11" t="s">
        <v>125</v>
      </c>
      <c r="DW2" s="11" t="s">
        <v>126</v>
      </c>
      <c r="DX2" s="11" t="s">
        <v>127</v>
      </c>
      <c r="DY2" s="11" t="s">
        <v>128</v>
      </c>
      <c r="DZ2" s="11" t="s">
        <v>129</v>
      </c>
      <c r="EA2" s="11" t="s">
        <v>130</v>
      </c>
      <c r="EB2" s="11" t="s">
        <v>131</v>
      </c>
      <c r="EC2" s="11" t="s">
        <v>132</v>
      </c>
      <c r="ED2" s="11" t="s">
        <v>133</v>
      </c>
      <c r="EE2" s="11" t="s">
        <v>134</v>
      </c>
      <c r="EF2" s="11" t="s">
        <v>135</v>
      </c>
      <c r="EG2" s="11" t="s">
        <v>136</v>
      </c>
      <c r="EH2" s="11" t="s">
        <v>137</v>
      </c>
      <c r="EI2" s="11" t="s">
        <v>138</v>
      </c>
      <c r="EJ2" s="11" t="s">
        <v>139</v>
      </c>
      <c r="EK2" s="11" t="s">
        <v>140</v>
      </c>
      <c r="EL2" s="11" t="s">
        <v>141</v>
      </c>
    </row>
    <row r="3" spans="1:142" x14ac:dyDescent="0.55000000000000004">
      <c r="B3" s="11" t="s">
        <v>143</v>
      </c>
      <c r="C3" s="13">
        <v>1.4921767594186151E-2</v>
      </c>
      <c r="D3" s="13">
        <v>0.19374055664815121</v>
      </c>
      <c r="E3" s="13">
        <v>3.6641284891212558E-2</v>
      </c>
      <c r="F3" s="13">
        <v>2.720037808305234E-2</v>
      </c>
      <c r="G3" s="13">
        <v>4.1572509507104963E-2</v>
      </c>
      <c r="H3" s="13">
        <v>-3.7682778213388252E-2</v>
      </c>
      <c r="I3" s="13">
        <v>-0.14193848136906101</v>
      </c>
      <c r="J3" s="13">
        <v>0.22945654465299789</v>
      </c>
      <c r="K3" s="13">
        <v>4.3442237101088077E-2</v>
      </c>
      <c r="L3" s="13">
        <v>2.0280322863003471E-2</v>
      </c>
      <c r="M3" s="13">
        <v>5.8836120966363772E-2</v>
      </c>
      <c r="N3" s="13">
        <v>-0.15172078456838869</v>
      </c>
      <c r="O3" s="13">
        <v>0.32674605046024302</v>
      </c>
      <c r="P3" s="13">
        <v>0.15440773966925631</v>
      </c>
      <c r="Q3" s="13">
        <v>-0.1077953169647555</v>
      </c>
      <c r="R3" s="13">
        <v>-7.388217884017384E-2</v>
      </c>
      <c r="S3" s="13">
        <v>5.3466577832935007E-2</v>
      </c>
      <c r="T3" s="13">
        <v>-5.5190803448215323E-2</v>
      </c>
      <c r="U3" s="13">
        <v>-0.25838402358278728</v>
      </c>
      <c r="V3" s="13">
        <v>1.8370552657987281E-2</v>
      </c>
      <c r="W3" s="13">
        <v>0.22943515813535009</v>
      </c>
      <c r="X3" s="13">
        <v>-0.17107394554599489</v>
      </c>
      <c r="Y3" s="13">
        <v>0.22961919239615811</v>
      </c>
      <c r="Z3" s="13">
        <v>1.6609176417928001E-2</v>
      </c>
      <c r="AA3" s="13">
        <v>0.42374789292198939</v>
      </c>
      <c r="AB3" s="13">
        <v>-0.21459677754992679</v>
      </c>
      <c r="AC3" s="13">
        <v>4.4537467980128032E-2</v>
      </c>
      <c r="AD3" s="13">
        <v>0.1026363998651266</v>
      </c>
      <c r="AE3" s="13">
        <v>-5.0827700488349413E-2</v>
      </c>
      <c r="AF3" s="13">
        <v>-8.9107468044314797E-2</v>
      </c>
      <c r="AG3" s="13">
        <v>0.1222387206017722</v>
      </c>
      <c r="AH3" s="13">
        <v>-0.1126045230898728</v>
      </c>
      <c r="AI3" s="13">
        <v>0.1314139277105186</v>
      </c>
      <c r="AJ3" s="13">
        <v>0.16749207334460819</v>
      </c>
      <c r="AK3" s="13">
        <v>9.0663364527517804E-2</v>
      </c>
      <c r="AL3" s="13">
        <v>0.19313853511160101</v>
      </c>
      <c r="AM3" s="13">
        <v>7.7111193891363769E-2</v>
      </c>
      <c r="AN3" s="13">
        <v>0.25612014410100881</v>
      </c>
      <c r="AO3" s="13">
        <v>4.9003917759049262E-2</v>
      </c>
      <c r="AP3" s="13">
        <v>4.0886892136553048E-2</v>
      </c>
      <c r="AQ3" s="13">
        <v>-0.1105824318508952</v>
      </c>
      <c r="AR3" s="13">
        <v>2.295475557985116E-2</v>
      </c>
      <c r="AS3" s="13">
        <v>4.8656704163688558E-2</v>
      </c>
      <c r="AT3" s="13">
        <v>-5.42298370960584E-2</v>
      </c>
      <c r="AU3" s="13">
        <v>8.6316820243342141E-2</v>
      </c>
      <c r="AV3" s="13">
        <v>3.9564967369030882E-2</v>
      </c>
      <c r="AW3" s="13">
        <v>-0.19104490996141851</v>
      </c>
      <c r="AX3" s="13">
        <v>9.7109439791782243E-2</v>
      </c>
      <c r="AY3" s="13">
        <v>-1.9067525743759941E-2</v>
      </c>
      <c r="AZ3" s="13">
        <v>-9.1169360226394602E-2</v>
      </c>
      <c r="BA3" s="13">
        <v>0.1659581375266328</v>
      </c>
      <c r="BB3" s="13">
        <v>-4.1157026410981457E-2</v>
      </c>
      <c r="BC3" s="13">
        <v>0.1302099546908265</v>
      </c>
      <c r="BD3" s="13">
        <v>0.20026039215823041</v>
      </c>
      <c r="BE3" s="13">
        <v>-0.1061765229031819</v>
      </c>
      <c r="BF3" s="13">
        <v>3.9767282640800483E-3</v>
      </c>
      <c r="BG3" s="13">
        <v>0.33032254291108359</v>
      </c>
      <c r="BH3" s="13">
        <v>0.31722692640179961</v>
      </c>
      <c r="BI3" s="13">
        <v>1.5898229338183582E-2</v>
      </c>
      <c r="BJ3" s="13">
        <v>8.511805356647012E-2</v>
      </c>
      <c r="BK3" s="13">
        <v>8.5442583147222695E-2</v>
      </c>
      <c r="BL3" s="13">
        <v>6.0053601729861517E-2</v>
      </c>
      <c r="BM3" s="13">
        <v>7.748663263579969E-2</v>
      </c>
      <c r="BN3" s="13">
        <v>6.1035782377288413E-2</v>
      </c>
      <c r="BO3" s="13">
        <v>-0.21386733455172441</v>
      </c>
      <c r="BP3" s="13">
        <v>0.18539731380876759</v>
      </c>
      <c r="BQ3" s="13">
        <v>-5.4154026151144168E-2</v>
      </c>
      <c r="BR3" s="13">
        <v>0.28168982471721238</v>
      </c>
      <c r="BS3" s="13">
        <v>-2.3481657046590498E-2</v>
      </c>
      <c r="BT3" s="13">
        <v>8.9034674698385913E-2</v>
      </c>
      <c r="BU3" s="13">
        <v>0.12734099378758071</v>
      </c>
      <c r="BV3" s="13">
        <v>1.9220333982829459E-2</v>
      </c>
      <c r="BW3" s="13">
        <v>6.6547110474733912E-2</v>
      </c>
      <c r="BX3" s="13">
        <v>-0.1096838899370035</v>
      </c>
      <c r="BY3" s="13">
        <v>0.13853337364861401</v>
      </c>
      <c r="BZ3" s="13">
        <v>-0.10485789127282739</v>
      </c>
      <c r="CA3" s="13">
        <v>-5.0171625061092177E-2</v>
      </c>
      <c r="CB3" s="13">
        <v>-7.0239615583515547E-2</v>
      </c>
      <c r="CC3" s="13">
        <v>-6.024331497796076E-3</v>
      </c>
      <c r="CD3" s="13">
        <v>0.15997201356680449</v>
      </c>
      <c r="CE3" s="13">
        <v>0.21131661843971669</v>
      </c>
      <c r="CF3" s="13">
        <v>-0.10098227382063379</v>
      </c>
      <c r="CG3" s="13">
        <v>0.1099902345124356</v>
      </c>
      <c r="CH3" s="13">
        <v>-1.439263498621912E-2</v>
      </c>
      <c r="CI3" s="13">
        <v>0.22258294087819999</v>
      </c>
      <c r="CJ3" s="13">
        <v>-0.28268220919664089</v>
      </c>
      <c r="CK3" s="13">
        <v>-1.34784744837903E-2</v>
      </c>
      <c r="CL3" s="13">
        <v>-7.7844882578090024E-2</v>
      </c>
      <c r="CM3" s="13">
        <v>0.27379286416098292</v>
      </c>
      <c r="CN3" s="13">
        <v>-0.39000662146638571</v>
      </c>
      <c r="CO3" s="13">
        <v>-0.15858238798621049</v>
      </c>
      <c r="CP3" s="13">
        <v>-2.248687095004737E-2</v>
      </c>
      <c r="CQ3" s="13">
        <v>0.15587953569252869</v>
      </c>
      <c r="CR3" s="13">
        <v>8.1444486195923538E-2</v>
      </c>
      <c r="CS3" s="13">
        <v>-7.4204536967257373E-2</v>
      </c>
      <c r="CT3" s="13">
        <v>-9.2371279974270304E-2</v>
      </c>
      <c r="CU3" s="13">
        <v>-4.3714030096486063E-2</v>
      </c>
      <c r="CV3" s="13">
        <v>2.9888248842323439E-2</v>
      </c>
      <c r="CW3" s="13">
        <v>8.9064660675071017E-2</v>
      </c>
      <c r="CX3" s="13">
        <v>-2.461703398462101E-2</v>
      </c>
      <c r="CY3" s="13">
        <v>7.0863407701809683E-2</v>
      </c>
      <c r="CZ3" s="13">
        <v>4.0860064589465173E-2</v>
      </c>
      <c r="DA3" s="13">
        <v>0.25668575080604511</v>
      </c>
      <c r="DB3" s="13">
        <v>-0.16423592993500721</v>
      </c>
      <c r="DC3" s="13">
        <v>-0.25891871236192893</v>
      </c>
      <c r="DD3" s="13">
        <v>-3.1636234772114302E-2</v>
      </c>
      <c r="DE3" s="13">
        <v>0.16039046409100291</v>
      </c>
      <c r="DF3" s="13">
        <v>-0.1125151400819166</v>
      </c>
      <c r="DG3" s="13">
        <v>-8.2270484337237354E-2</v>
      </c>
      <c r="DH3" s="13">
        <v>-0.1046573993170693</v>
      </c>
      <c r="DI3" s="13">
        <v>4.8360523947053542E-2</v>
      </c>
      <c r="DJ3" s="13">
        <v>-5.7256595305278379E-2</v>
      </c>
      <c r="DK3" s="13">
        <v>4.4306650701811667E-2</v>
      </c>
      <c r="DL3" s="13">
        <v>-1.550485019804199E-2</v>
      </c>
      <c r="DM3" s="13">
        <v>-0.1187372546540391</v>
      </c>
      <c r="DN3" s="13">
        <v>-2.2084537220642689E-2</v>
      </c>
      <c r="DO3" s="13">
        <v>-9.3328814005851163E-2</v>
      </c>
      <c r="DP3" s="13">
        <v>0.16589996047491321</v>
      </c>
      <c r="DQ3" s="13">
        <v>0.19277347134422759</v>
      </c>
      <c r="DR3" s="13">
        <v>-5.3222765204426259E-2</v>
      </c>
      <c r="DS3" s="13">
        <v>0.1285503395605834</v>
      </c>
      <c r="DT3" s="13">
        <v>-0.1271379406682159</v>
      </c>
      <c r="DU3" s="13">
        <v>-0.1216781493648102</v>
      </c>
      <c r="DV3" s="13">
        <v>-7.3321392986254744E-2</v>
      </c>
      <c r="DW3" s="13">
        <v>5.7692105433722801E-2</v>
      </c>
      <c r="DX3" s="13">
        <v>9.0231456054620185E-2</v>
      </c>
      <c r="DY3" s="13">
        <v>-0.13571093332205969</v>
      </c>
      <c r="DZ3" s="13">
        <v>0.208838761875662</v>
      </c>
      <c r="EA3" s="13">
        <v>-0.1042137320006724</v>
      </c>
      <c r="EB3" s="13">
        <v>0.1955228574869389</v>
      </c>
      <c r="EC3" s="13">
        <v>-8.3944738981710995E-2</v>
      </c>
      <c r="ED3" s="13">
        <v>-4.1132651476077212E-2</v>
      </c>
      <c r="EE3" s="13">
        <v>-0.11014068184164311</v>
      </c>
      <c r="EF3" s="13">
        <v>-3.7066133134747589E-2</v>
      </c>
      <c r="EG3" s="13">
        <v>8.0655584908580213E-2</v>
      </c>
      <c r="EH3" s="13">
        <v>0.17418837326470191</v>
      </c>
      <c r="EI3" s="13">
        <v>0.1018806103780743</v>
      </c>
      <c r="EJ3" s="13">
        <v>-7.9899408218633464E-2</v>
      </c>
      <c r="EK3" s="13">
        <v>-0.14702487284735691</v>
      </c>
      <c r="EL3" s="13">
        <v>-0.16515913559204909</v>
      </c>
    </row>
    <row r="4" spans="1:142" x14ac:dyDescent="0.55000000000000004">
      <c r="B4" s="11" t="s">
        <v>144</v>
      </c>
      <c r="C4" s="13">
        <v>-0.14934537097006381</v>
      </c>
      <c r="D4" s="13">
        <v>-0.24734382193855889</v>
      </c>
      <c r="E4" s="13">
        <v>-0.25906123854298002</v>
      </c>
      <c r="F4" s="13">
        <v>-5.5566834479314764E-3</v>
      </c>
      <c r="G4" s="13">
        <v>6.5085215638914562E-2</v>
      </c>
      <c r="H4" s="13">
        <v>-2.9077597804489489E-2</v>
      </c>
      <c r="I4" s="13">
        <v>1.7791287057486119E-2</v>
      </c>
      <c r="J4" s="13">
        <v>4.2466157631261943E-2</v>
      </c>
      <c r="K4" s="13">
        <v>-2.1006648417474238E-2</v>
      </c>
      <c r="L4" s="13">
        <v>-4.4200314609364362E-2</v>
      </c>
      <c r="M4" s="13">
        <v>-5.7877978335193703E-2</v>
      </c>
      <c r="N4" s="13">
        <v>6.4362720925714711E-4</v>
      </c>
      <c r="O4" s="13">
        <v>-0.1888809883423157</v>
      </c>
      <c r="P4" s="13">
        <v>-1.7141672241164582E-2</v>
      </c>
      <c r="Q4" s="13">
        <v>4.9706724765044903E-2</v>
      </c>
      <c r="R4" s="13">
        <v>-9.9157665911262072E-2</v>
      </c>
      <c r="S4" s="13">
        <v>-3.0410739659584959E-2</v>
      </c>
      <c r="T4" s="13">
        <v>0.114883194276155</v>
      </c>
      <c r="U4" s="13">
        <v>1.3221613108109761E-2</v>
      </c>
      <c r="V4" s="13">
        <v>4.8956470682201207E-2</v>
      </c>
      <c r="W4" s="13">
        <v>5.8935588805711703E-2</v>
      </c>
      <c r="X4" s="13">
        <v>-0.16467436985926651</v>
      </c>
      <c r="Y4" s="13">
        <v>-0.18813682472110749</v>
      </c>
      <c r="Z4" s="13">
        <v>6.9656910085143409E-2</v>
      </c>
      <c r="AA4" s="13">
        <v>-1.536607134313428E-2</v>
      </c>
      <c r="AB4" s="13">
        <v>-6.3219850439137915E-2</v>
      </c>
      <c r="AC4" s="13">
        <v>-7.8982007867882231E-2</v>
      </c>
      <c r="AD4" s="13">
        <v>-3.0272546555867311E-2</v>
      </c>
      <c r="AE4" s="13">
        <v>2.4342450678682681E-2</v>
      </c>
      <c r="AF4" s="13">
        <v>0.1338387609531928</v>
      </c>
      <c r="AG4" s="13">
        <v>-6.1601099916954283E-2</v>
      </c>
      <c r="AH4" s="13">
        <v>-9.2544715844580239E-2</v>
      </c>
      <c r="AI4" s="13">
        <v>-2.606557636825713E-2</v>
      </c>
      <c r="AJ4" s="13">
        <v>1.835980120122116E-2</v>
      </c>
      <c r="AK4" s="13">
        <v>4.9856794173347652E-2</v>
      </c>
      <c r="AL4" s="13">
        <v>-6.0623931441821099E-3</v>
      </c>
      <c r="AM4" s="13">
        <v>-0.1593670046856257</v>
      </c>
      <c r="AN4" s="13">
        <v>-3.9146401437225357E-2</v>
      </c>
      <c r="AO4" s="13">
        <v>-4.5070029117612258E-2</v>
      </c>
      <c r="AP4" s="13">
        <v>7.5288047421649296E-2</v>
      </c>
      <c r="AQ4" s="13">
        <v>-9.8196075774527714E-2</v>
      </c>
      <c r="AR4" s="13">
        <v>8.6383001174560547E-2</v>
      </c>
      <c r="AS4" s="13">
        <v>6.8813106450374306E-2</v>
      </c>
      <c r="AT4" s="13">
        <v>4.6704563833854351E-2</v>
      </c>
      <c r="AU4" s="13">
        <v>-4.2570548354721183E-2</v>
      </c>
      <c r="AV4" s="13">
        <v>-0.22195205322781139</v>
      </c>
      <c r="AW4" s="13">
        <v>8.2172494215541292E-2</v>
      </c>
      <c r="AX4" s="13">
        <v>1.6883596650064451E-2</v>
      </c>
      <c r="AY4" s="13">
        <v>0.12907394968742911</v>
      </c>
      <c r="AZ4" s="13">
        <v>1.508250262297395E-3</v>
      </c>
      <c r="BA4" s="13">
        <v>-0.1115044795953537</v>
      </c>
      <c r="BB4" s="13">
        <v>-0.21525994170681531</v>
      </c>
      <c r="BC4" s="13">
        <v>-5.7482345433534483E-2</v>
      </c>
      <c r="BD4" s="13">
        <v>1.083671471935332E-3</v>
      </c>
      <c r="BE4" s="13">
        <v>1.8778916647853802E-2</v>
      </c>
      <c r="BF4" s="13">
        <v>0.11348943166465381</v>
      </c>
      <c r="BG4" s="13">
        <v>-7.8526304322265261E-2</v>
      </c>
      <c r="BH4" s="13">
        <v>-3.2954977512261507E-2</v>
      </c>
      <c r="BI4" s="13">
        <v>-9.9003271360800227E-2</v>
      </c>
      <c r="BJ4" s="13">
        <v>-0.14670768531275341</v>
      </c>
      <c r="BK4" s="13">
        <v>-4.9944347042302439E-2</v>
      </c>
      <c r="BL4" s="13">
        <v>-2.2928882525524941E-2</v>
      </c>
      <c r="BM4" s="13">
        <v>-4.5938779058463552E-2</v>
      </c>
      <c r="BN4" s="13">
        <v>-7.3256914922144034E-3</v>
      </c>
      <c r="BO4" s="13">
        <v>8.7168037873448512E-2</v>
      </c>
      <c r="BP4" s="13">
        <v>1.6127596174072781E-2</v>
      </c>
      <c r="BQ4" s="13">
        <v>-6.7799319304640449E-2</v>
      </c>
      <c r="BR4" s="13">
        <v>-9.3122366228293174E-3</v>
      </c>
      <c r="BS4" s="13">
        <v>-6.5299244722263339E-2</v>
      </c>
      <c r="BT4" s="13">
        <v>-4.2502825413810903E-2</v>
      </c>
      <c r="BU4" s="13">
        <v>9.3104858610283614E-2</v>
      </c>
      <c r="BV4" s="13">
        <v>9.3350611010009743E-2</v>
      </c>
      <c r="BW4" s="13">
        <v>-1.348973955166066E-2</v>
      </c>
      <c r="BX4" s="13">
        <v>-7.2291287752442202E-2</v>
      </c>
      <c r="BY4" s="13">
        <v>-0.1549745966812619</v>
      </c>
      <c r="BZ4" s="13">
        <v>0.17456977446855679</v>
      </c>
      <c r="CA4" s="13">
        <v>3.7233528920198822E-2</v>
      </c>
      <c r="CB4" s="13">
        <v>5.5557309971007378E-2</v>
      </c>
      <c r="CC4" s="13">
        <v>-0.17750462011175289</v>
      </c>
      <c r="CD4" s="13">
        <v>-0.1189267299677006</v>
      </c>
      <c r="CE4" s="13">
        <v>-1.354023404963556E-2</v>
      </c>
      <c r="CF4" s="13">
        <v>-0.12741231664868199</v>
      </c>
      <c r="CG4" s="13">
        <v>7.3406859508121869E-2</v>
      </c>
      <c r="CH4" s="13">
        <v>7.2685158287379537E-2</v>
      </c>
      <c r="CI4" s="13">
        <v>-5.4480084800218258E-2</v>
      </c>
      <c r="CJ4" s="13">
        <v>3.8731428402540402E-2</v>
      </c>
      <c r="CK4" s="13">
        <v>1.4180109180314201E-2</v>
      </c>
      <c r="CL4" s="13">
        <v>-0.1089911061285367</v>
      </c>
      <c r="CM4" s="13">
        <v>-0.1233186062772607</v>
      </c>
      <c r="CN4" s="13">
        <v>0.25398200550881528</v>
      </c>
      <c r="CO4" s="13">
        <v>1.6527103051004129E-2</v>
      </c>
      <c r="CP4" s="13">
        <v>1.5216844239471781E-3</v>
      </c>
      <c r="CQ4" s="13">
        <v>-6.7959331453504745E-2</v>
      </c>
      <c r="CR4" s="13">
        <v>-0.2349573288111291</v>
      </c>
      <c r="CS4" s="13">
        <v>-0.20790819007173231</v>
      </c>
      <c r="CT4" s="13">
        <v>-1.428661144924348E-4</v>
      </c>
      <c r="CU4" s="13">
        <v>2.2028281849749479E-2</v>
      </c>
      <c r="CV4" s="13">
        <v>6.8023844934248956E-2</v>
      </c>
      <c r="CW4" s="13">
        <v>-8.8837317713291952E-2</v>
      </c>
      <c r="CX4" s="13">
        <v>5.261585949558345E-2</v>
      </c>
      <c r="CY4" s="13">
        <v>-0.14906969604344769</v>
      </c>
      <c r="CZ4" s="13">
        <v>-0.11103945205987389</v>
      </c>
      <c r="DA4" s="13">
        <v>-0.14434138369070479</v>
      </c>
      <c r="DB4" s="13">
        <v>2.7151747986042811E-3</v>
      </c>
      <c r="DC4" s="13">
        <v>-9.785482280361002E-2</v>
      </c>
      <c r="DD4" s="13">
        <v>0.10722226194647889</v>
      </c>
      <c r="DE4" s="13">
        <v>4.7121438754965439E-2</v>
      </c>
      <c r="DF4" s="13">
        <v>-1.9291062828386881E-2</v>
      </c>
      <c r="DG4" s="13">
        <v>1.7896408714275221E-3</v>
      </c>
      <c r="DH4" s="13">
        <v>0.17350442691012449</v>
      </c>
      <c r="DI4" s="13">
        <v>-3.4040341553568609E-2</v>
      </c>
      <c r="DJ4" s="13">
        <v>-9.993613472354923E-2</v>
      </c>
      <c r="DK4" s="13">
        <v>-0.1324523127849897</v>
      </c>
      <c r="DL4" s="13">
        <v>9.327990828282573E-2</v>
      </c>
      <c r="DM4" s="13">
        <v>0.1781012365160777</v>
      </c>
      <c r="DN4" s="13">
        <v>0.1328839469177652</v>
      </c>
      <c r="DO4" s="13">
        <v>-0.12491951193503149</v>
      </c>
      <c r="DP4" s="13">
        <v>-9.4650070989063195E-2</v>
      </c>
      <c r="DQ4" s="13">
        <v>-0.14995782586822409</v>
      </c>
      <c r="DR4" s="13">
        <v>4.4038724417266202E-2</v>
      </c>
      <c r="DS4" s="13">
        <v>4.5916039994949642E-2</v>
      </c>
      <c r="DT4" s="13">
        <v>-0.1600946018805747</v>
      </c>
      <c r="DU4" s="13">
        <v>1.4044107423149651E-2</v>
      </c>
      <c r="DV4" s="13">
        <v>3.474390636907998E-2</v>
      </c>
      <c r="DW4" s="13">
        <v>1.257520949773294E-2</v>
      </c>
      <c r="DX4" s="13">
        <v>-0.1453929875597364</v>
      </c>
      <c r="DY4" s="13">
        <v>6.2173227234248778E-2</v>
      </c>
      <c r="DZ4" s="13">
        <v>-5.2117914994026293E-2</v>
      </c>
      <c r="EA4" s="13">
        <v>-0.25996993215089498</v>
      </c>
      <c r="EB4" s="13">
        <v>-0.1120594852816517</v>
      </c>
      <c r="EC4" s="13">
        <v>-7.1121647901357221E-2</v>
      </c>
      <c r="ED4" s="13">
        <v>3.3989099845969761E-2</v>
      </c>
      <c r="EE4" s="13">
        <v>0.2120879988342281</v>
      </c>
      <c r="EF4" s="13">
        <v>0.17540569835811759</v>
      </c>
      <c r="EG4" s="13">
        <v>-0.1265662473774363</v>
      </c>
      <c r="EH4" s="13">
        <v>-0.14481844562859611</v>
      </c>
      <c r="EI4" s="13">
        <v>-0.15568399081828771</v>
      </c>
      <c r="EJ4" s="13">
        <v>0.20106066923392871</v>
      </c>
      <c r="EK4" s="13">
        <v>0.24000764460967791</v>
      </c>
      <c r="EL4" s="13">
        <v>0.19398234319787019</v>
      </c>
    </row>
    <row r="5" spans="1:142" x14ac:dyDescent="0.55000000000000004">
      <c r="B5" s="14" t="s">
        <v>145</v>
      </c>
      <c r="C5" s="13">
        <v>-0.35602255303624453</v>
      </c>
      <c r="D5" s="13">
        <v>-4.0090857958738978E-2</v>
      </c>
      <c r="E5" s="13">
        <v>0.52768591000883824</v>
      </c>
      <c r="F5" s="13">
        <v>9.1621703543451838E-2</v>
      </c>
      <c r="G5" s="13">
        <v>-0.33444541912551767</v>
      </c>
      <c r="H5" s="13">
        <v>0.35557807934338981</v>
      </c>
      <c r="I5" s="13">
        <v>0.1153369311545601</v>
      </c>
      <c r="J5" s="13">
        <v>-9.1390222966754614E-2</v>
      </c>
      <c r="K5" s="13">
        <v>0.37641590593379309</v>
      </c>
      <c r="L5" s="13">
        <v>-0.39095115876105019</v>
      </c>
      <c r="M5" s="13">
        <v>0.16570120474983141</v>
      </c>
      <c r="N5" s="13">
        <v>-0.26143467111761082</v>
      </c>
      <c r="O5" s="13">
        <v>-6.1069485866542261E-2</v>
      </c>
      <c r="P5" s="13">
        <v>0.26091415721504319</v>
      </c>
      <c r="Q5" s="13">
        <v>4.0937433053001369E-2</v>
      </c>
      <c r="R5" s="13">
        <v>-0.13738348482797161</v>
      </c>
      <c r="S5" s="13">
        <v>0.32196519062115619</v>
      </c>
      <c r="T5" s="13">
        <v>0.1577185559806982</v>
      </c>
      <c r="U5" s="13">
        <v>-3.1493048898479467E-2</v>
      </c>
      <c r="V5" s="13">
        <v>0.20272926171313391</v>
      </c>
      <c r="W5" s="13">
        <v>-0.37900040700733478</v>
      </c>
      <c r="X5" s="13">
        <v>-0.1240504049428721</v>
      </c>
      <c r="Y5" s="13">
        <v>-0.6091363947557743</v>
      </c>
      <c r="Z5" s="13">
        <v>-8.7419029003689655E-2</v>
      </c>
      <c r="AA5" s="13">
        <v>2.4492818663441569E-2</v>
      </c>
      <c r="AB5" s="13">
        <v>7.8777301474168532E-2</v>
      </c>
      <c r="AC5" s="13">
        <v>-0.1144491391906407</v>
      </c>
      <c r="AD5" s="13">
        <v>0.24384130060927259</v>
      </c>
      <c r="AE5" s="13">
        <v>8.2451056568350709E-2</v>
      </c>
      <c r="AF5" s="13">
        <v>0.18824065512069871</v>
      </c>
      <c r="AG5" s="13">
        <v>9.4710949320840843E-2</v>
      </c>
      <c r="AH5" s="13">
        <v>-0.3051658563382863</v>
      </c>
      <c r="AI5" s="13">
        <v>0.15762471600367869</v>
      </c>
      <c r="AJ5" s="13">
        <v>-0.68021373773600025</v>
      </c>
      <c r="AK5" s="13">
        <v>2.3239308843977121E-2</v>
      </c>
      <c r="AL5" s="13">
        <v>-8.7587780261718207E-2</v>
      </c>
      <c r="AM5" s="13">
        <v>0.1083584048978386</v>
      </c>
      <c r="AN5" s="13">
        <v>0.1116944474577185</v>
      </c>
      <c r="AO5" s="13">
        <v>0.25326788161785452</v>
      </c>
      <c r="AP5" s="13">
        <v>0.20792985272972619</v>
      </c>
      <c r="AQ5" s="13">
        <v>0.26625784896468052</v>
      </c>
      <c r="AR5" s="13">
        <v>9.3532219454879356E-2</v>
      </c>
      <c r="AS5" s="13">
        <v>-0.1422532223975255</v>
      </c>
      <c r="AT5" s="13">
        <v>0.16459019868234889</v>
      </c>
      <c r="AU5" s="13">
        <v>-0.29628044254228481</v>
      </c>
      <c r="AV5" s="13">
        <v>-7.967283675179572E-2</v>
      </c>
      <c r="AW5" s="13">
        <v>-2.106163766695986E-2</v>
      </c>
      <c r="AX5" s="13">
        <v>-0.16039194510643379</v>
      </c>
      <c r="AY5" s="13">
        <v>2.907561231396269E-2</v>
      </c>
      <c r="AZ5" s="13">
        <v>0.23443646192314299</v>
      </c>
      <c r="BA5" s="13">
        <v>-1.954356893773998E-2</v>
      </c>
      <c r="BB5" s="13">
        <v>5.5326597607753797E-2</v>
      </c>
      <c r="BC5" s="13">
        <v>-5.9611055683955687E-2</v>
      </c>
      <c r="BD5" s="13">
        <v>-9.5611407368703827E-2</v>
      </c>
      <c r="BE5" s="13">
        <v>0.17767650991380921</v>
      </c>
      <c r="BF5" s="13">
        <v>-0.30632321099993309</v>
      </c>
      <c r="BG5" s="13">
        <v>-0.27950975427210151</v>
      </c>
      <c r="BH5" s="13">
        <v>-6.5627292150386804E-2</v>
      </c>
      <c r="BI5" s="13">
        <v>6.7576225048905147E-2</v>
      </c>
      <c r="BJ5" s="13">
        <v>-0.377766382042375</v>
      </c>
      <c r="BK5" s="13">
        <v>0.1710576050513124</v>
      </c>
      <c r="BL5" s="13">
        <v>-0.15901657189760751</v>
      </c>
      <c r="BM5" s="13">
        <v>0.29566311964252062</v>
      </c>
      <c r="BN5" s="13">
        <v>-9.1185424305069637E-3</v>
      </c>
      <c r="BO5" s="13">
        <v>-0.18708382872534479</v>
      </c>
      <c r="BP5" s="13">
        <v>-4.4541684300456783E-2</v>
      </c>
      <c r="BQ5" s="13">
        <v>-0.2644041519976843</v>
      </c>
      <c r="BR5" s="13">
        <v>-0.17935638398747261</v>
      </c>
      <c r="BS5" s="13">
        <v>9.3255604107027268E-2</v>
      </c>
      <c r="BT5" s="13">
        <v>0.25391019577751839</v>
      </c>
      <c r="BU5" s="13">
        <v>-0.2208865037169013</v>
      </c>
      <c r="BV5" s="13">
        <v>0.1113375442569535</v>
      </c>
      <c r="BW5" s="13">
        <v>-2.6110149941585441E-2</v>
      </c>
      <c r="BX5" s="13">
        <v>7.8321917624137663E-2</v>
      </c>
      <c r="BY5" s="13">
        <v>3.6568448160119997E-2</v>
      </c>
      <c r="BZ5" s="13">
        <v>-0.1016560299453321</v>
      </c>
      <c r="CA5" s="13">
        <v>3.7823772175184511E-2</v>
      </c>
      <c r="CB5" s="13">
        <v>-1.2533175044593611E-2</v>
      </c>
      <c r="CC5" s="13">
        <v>-0.28837910471559852</v>
      </c>
      <c r="CD5" s="13">
        <v>0.34067466598778878</v>
      </c>
      <c r="CE5" s="13">
        <v>-6.0100560923931345E-4</v>
      </c>
      <c r="CF5" s="13">
        <v>-0.1296863733007578</v>
      </c>
      <c r="CG5" s="13">
        <v>0.15976746637967629</v>
      </c>
      <c r="CH5" s="13">
        <v>-0.23825235796998209</v>
      </c>
      <c r="CI5" s="13">
        <v>-2.8759770853779679E-2</v>
      </c>
      <c r="CJ5" s="13">
        <v>-0.19238587368076349</v>
      </c>
      <c r="CK5" s="13">
        <v>9.3012092996989273E-2</v>
      </c>
      <c r="CL5" s="13">
        <v>1.8732272151867381E-2</v>
      </c>
      <c r="CM5" s="13">
        <v>-1.440590191637958E-2</v>
      </c>
      <c r="CN5" s="13">
        <v>-0.24513143201832141</v>
      </c>
      <c r="CO5" s="13">
        <v>0.62382678445663653</v>
      </c>
      <c r="CP5" s="13">
        <v>9.8069367239007818E-2</v>
      </c>
      <c r="CQ5" s="13">
        <v>-0.34398023521672633</v>
      </c>
      <c r="CR5" s="13">
        <v>0.23965589513689431</v>
      </c>
      <c r="CS5" s="13">
        <v>-0.1630146077158017</v>
      </c>
      <c r="CT5" s="13">
        <v>0.20917057102557721</v>
      </c>
      <c r="CU5" s="13">
        <v>-0.13994756491628749</v>
      </c>
      <c r="CV5" s="13">
        <v>-0.14628801332363431</v>
      </c>
      <c r="CW5" s="13">
        <v>0.31017320529162662</v>
      </c>
      <c r="CX5" s="13">
        <v>0.25353915592821968</v>
      </c>
      <c r="CY5" s="13">
        <v>-0.79527742145542657</v>
      </c>
      <c r="CZ5" s="13">
        <v>0.80355177224477214</v>
      </c>
      <c r="DA5" s="13">
        <v>-7.1187531558581735E-2</v>
      </c>
      <c r="DB5" s="13">
        <v>0.14203914410752261</v>
      </c>
      <c r="DC5" s="13">
        <v>0.17684959747890239</v>
      </c>
      <c r="DD5" s="13">
        <v>-0.2347694823541964</v>
      </c>
      <c r="DE5" s="13">
        <v>-7.8915349004452157E-2</v>
      </c>
      <c r="DF5" s="13">
        <v>-0.10893182959170521</v>
      </c>
      <c r="DG5" s="13">
        <v>-0.50647317879216458</v>
      </c>
      <c r="DH5" s="13">
        <v>0.17758880086016901</v>
      </c>
      <c r="DI5" s="13">
        <v>0.24345215756039101</v>
      </c>
      <c r="DJ5" s="13">
        <v>-0.63199691128278157</v>
      </c>
      <c r="DK5" s="13">
        <v>0.76553812905546981</v>
      </c>
      <c r="DL5" s="13">
        <v>0.1134987555126632</v>
      </c>
      <c r="DM5" s="13">
        <v>-0.45407241147436012</v>
      </c>
      <c r="DN5" s="13">
        <v>0.5381646260587134</v>
      </c>
      <c r="DO5" s="13">
        <v>-0.26009015152361792</v>
      </c>
      <c r="DP5" s="13">
        <v>-6.8906334924896576E-2</v>
      </c>
      <c r="DQ5" s="13">
        <v>-0.20285821236619811</v>
      </c>
      <c r="DR5" s="13">
        <v>2.45178389892888E-2</v>
      </c>
      <c r="DS5" s="13">
        <v>-0.16671516537849729</v>
      </c>
      <c r="DT5" s="13">
        <v>0.33878844679546338</v>
      </c>
      <c r="DU5" s="13">
        <v>-0.59979946723464084</v>
      </c>
      <c r="DV5" s="13">
        <v>0.83514380187623793</v>
      </c>
      <c r="DW5" s="13">
        <v>-9.255748547327998E-2</v>
      </c>
      <c r="DX5" s="13">
        <v>-0.13301905739887071</v>
      </c>
      <c r="DY5" s="13">
        <v>0.4235750632459292</v>
      </c>
      <c r="DZ5" s="13">
        <v>0.30902986430062002</v>
      </c>
      <c r="EA5" s="13">
        <v>0.18643694757575269</v>
      </c>
      <c r="EB5" s="13">
        <v>-0.89458161361561928</v>
      </c>
      <c r="EC5" s="13">
        <v>4.6089797399945322E-2</v>
      </c>
      <c r="ED5" s="13">
        <v>-0.19737598163049891</v>
      </c>
      <c r="EE5" s="13">
        <v>0.32955546848400757</v>
      </c>
      <c r="EF5" s="13">
        <v>-0.1298161213028215</v>
      </c>
      <c r="EG5" s="13">
        <v>0.41590935608064328</v>
      </c>
      <c r="EH5" s="13">
        <v>-0.1780246200952896</v>
      </c>
      <c r="EI5" s="13">
        <v>-0.30056728540568339</v>
      </c>
      <c r="EJ5" s="13">
        <v>0.3783868000433685</v>
      </c>
      <c r="EK5" s="13">
        <v>-0.30609793068418661</v>
      </c>
      <c r="EL5" s="13">
        <v>0.1794159444225098</v>
      </c>
    </row>
    <row r="7" spans="1:142" x14ac:dyDescent="0.55000000000000004">
      <c r="A7" s="11" t="s">
        <v>0</v>
      </c>
    </row>
    <row r="8" spans="1:142" x14ac:dyDescent="0.55000000000000004"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  <c r="I8" s="11" t="s">
        <v>8</v>
      </c>
      <c r="J8" s="11" t="s">
        <v>9</v>
      </c>
      <c r="K8" s="11" t="s">
        <v>10</v>
      </c>
      <c r="L8" s="11" t="s">
        <v>11</v>
      </c>
      <c r="M8" s="11" t="s">
        <v>12</v>
      </c>
      <c r="N8" s="11" t="s">
        <v>13</v>
      </c>
      <c r="O8" s="11" t="s">
        <v>14</v>
      </c>
      <c r="P8" s="11" t="s">
        <v>15</v>
      </c>
      <c r="Q8" s="11" t="s">
        <v>16</v>
      </c>
      <c r="R8" s="11" t="s">
        <v>17</v>
      </c>
      <c r="S8" s="11" t="s">
        <v>18</v>
      </c>
      <c r="T8" s="11" t="s">
        <v>19</v>
      </c>
      <c r="U8" s="11" t="s">
        <v>20</v>
      </c>
      <c r="V8" s="11" t="s">
        <v>21</v>
      </c>
      <c r="W8" s="11" t="s">
        <v>22</v>
      </c>
      <c r="X8" s="11" t="s">
        <v>23</v>
      </c>
      <c r="Y8" s="11" t="s">
        <v>24</v>
      </c>
      <c r="Z8" s="11" t="s">
        <v>25</v>
      </c>
      <c r="AA8" s="11" t="s">
        <v>26</v>
      </c>
      <c r="AB8" s="11" t="s">
        <v>27</v>
      </c>
      <c r="AC8" s="11" t="s">
        <v>28</v>
      </c>
      <c r="AD8" s="11" t="s">
        <v>29</v>
      </c>
      <c r="AE8" s="11" t="s">
        <v>30</v>
      </c>
      <c r="AF8" s="11" t="s">
        <v>31</v>
      </c>
      <c r="AG8" s="11" t="s">
        <v>32</v>
      </c>
      <c r="AH8" s="11" t="s">
        <v>33</v>
      </c>
      <c r="AI8" s="11" t="s">
        <v>34</v>
      </c>
      <c r="AJ8" s="11" t="s">
        <v>35</v>
      </c>
      <c r="AK8" s="11" t="s">
        <v>36</v>
      </c>
      <c r="AL8" s="11" t="s">
        <v>37</v>
      </c>
      <c r="AM8" s="11" t="s">
        <v>38</v>
      </c>
      <c r="AN8" s="11" t="s">
        <v>39</v>
      </c>
      <c r="AO8" s="11" t="s">
        <v>40</v>
      </c>
      <c r="AP8" s="11" t="s">
        <v>41</v>
      </c>
      <c r="AQ8" s="11" t="s">
        <v>42</v>
      </c>
      <c r="AR8" s="11" t="s">
        <v>43</v>
      </c>
      <c r="AS8" s="11" t="s">
        <v>44</v>
      </c>
      <c r="AT8" s="11" t="s">
        <v>45</v>
      </c>
      <c r="AU8" s="11" t="s">
        <v>46</v>
      </c>
      <c r="AV8" s="11" t="s">
        <v>47</v>
      </c>
      <c r="AW8" s="11" t="s">
        <v>48</v>
      </c>
      <c r="AX8" s="11" t="s">
        <v>49</v>
      </c>
      <c r="AY8" s="11" t="s">
        <v>50</v>
      </c>
      <c r="AZ8" s="11" t="s">
        <v>51</v>
      </c>
      <c r="BA8" s="11" t="s">
        <v>52</v>
      </c>
      <c r="BB8" s="11" t="s">
        <v>53</v>
      </c>
      <c r="BC8" s="11" t="s">
        <v>54</v>
      </c>
      <c r="BD8" s="11" t="s">
        <v>55</v>
      </c>
      <c r="BE8" s="11" t="s">
        <v>56</v>
      </c>
      <c r="BF8" s="11" t="s">
        <v>57</v>
      </c>
      <c r="BG8" s="11" t="s">
        <v>58</v>
      </c>
      <c r="BH8" s="11" t="s">
        <v>59</v>
      </c>
      <c r="BI8" s="11" t="s">
        <v>60</v>
      </c>
      <c r="BJ8" s="11" t="s">
        <v>61</v>
      </c>
      <c r="BK8" s="11" t="s">
        <v>62</v>
      </c>
      <c r="BL8" s="11" t="s">
        <v>63</v>
      </c>
      <c r="BM8" s="11" t="s">
        <v>64</v>
      </c>
      <c r="BN8" s="11" t="s">
        <v>65</v>
      </c>
      <c r="BO8" s="11" t="s">
        <v>66</v>
      </c>
      <c r="BP8" s="11" t="s">
        <v>67</v>
      </c>
      <c r="BQ8" s="11" t="s">
        <v>68</v>
      </c>
      <c r="BR8" s="11" t="s">
        <v>69</v>
      </c>
      <c r="BS8" s="11" t="s">
        <v>70</v>
      </c>
      <c r="BT8" s="11" t="s">
        <v>71</v>
      </c>
      <c r="BU8" s="11" t="s">
        <v>72</v>
      </c>
      <c r="BV8" s="11" t="s">
        <v>73</v>
      </c>
      <c r="BW8" s="11" t="s">
        <v>74</v>
      </c>
      <c r="BX8" s="11" t="s">
        <v>75</v>
      </c>
      <c r="BY8" s="11" t="s">
        <v>76</v>
      </c>
      <c r="BZ8" s="11" t="s">
        <v>77</v>
      </c>
      <c r="CA8" s="11" t="s">
        <v>78</v>
      </c>
      <c r="CB8" s="11" t="s">
        <v>79</v>
      </c>
      <c r="CC8" s="11" t="s">
        <v>80</v>
      </c>
      <c r="CD8" s="11" t="s">
        <v>81</v>
      </c>
      <c r="CE8" s="11" t="s">
        <v>82</v>
      </c>
      <c r="CF8" s="11" t="s">
        <v>83</v>
      </c>
      <c r="CG8" s="11" t="s">
        <v>84</v>
      </c>
      <c r="CH8" s="11" t="s">
        <v>85</v>
      </c>
      <c r="CI8" s="11" t="s">
        <v>86</v>
      </c>
      <c r="CJ8" s="11" t="s">
        <v>87</v>
      </c>
      <c r="CK8" s="11" t="s">
        <v>88</v>
      </c>
      <c r="CL8" s="11" t="s">
        <v>89</v>
      </c>
      <c r="CM8" s="11" t="s">
        <v>90</v>
      </c>
      <c r="CN8" s="11" t="s">
        <v>91</v>
      </c>
      <c r="CO8" s="11" t="s">
        <v>92</v>
      </c>
      <c r="CP8" s="11" t="s">
        <v>93</v>
      </c>
      <c r="CQ8" s="11" t="s">
        <v>94</v>
      </c>
      <c r="CR8" s="11" t="s">
        <v>95</v>
      </c>
      <c r="CS8" s="11" t="s">
        <v>96</v>
      </c>
      <c r="CT8" s="11" t="s">
        <v>97</v>
      </c>
      <c r="CU8" s="11" t="s">
        <v>98</v>
      </c>
      <c r="CV8" s="11" t="s">
        <v>99</v>
      </c>
      <c r="CW8" s="11" t="s">
        <v>100</v>
      </c>
      <c r="CX8" s="11" t="s">
        <v>101</v>
      </c>
      <c r="CY8" s="11" t="s">
        <v>102</v>
      </c>
      <c r="CZ8" s="11" t="s">
        <v>103</v>
      </c>
      <c r="DA8" s="11" t="s">
        <v>104</v>
      </c>
      <c r="DB8" s="11" t="s">
        <v>105</v>
      </c>
      <c r="DC8" s="11" t="s">
        <v>106</v>
      </c>
      <c r="DD8" s="11" t="s">
        <v>107</v>
      </c>
      <c r="DE8" s="11" t="s">
        <v>108</v>
      </c>
      <c r="DF8" s="11" t="s">
        <v>109</v>
      </c>
      <c r="DG8" s="11" t="s">
        <v>110</v>
      </c>
      <c r="DH8" s="11" t="s">
        <v>111</v>
      </c>
      <c r="DI8" s="11" t="s">
        <v>112</v>
      </c>
      <c r="DJ8" s="11" t="s">
        <v>113</v>
      </c>
      <c r="DK8" s="11" t="s">
        <v>114</v>
      </c>
      <c r="DL8" s="11" t="s">
        <v>115</v>
      </c>
      <c r="DM8" s="11" t="s">
        <v>116</v>
      </c>
      <c r="DN8" s="11" t="s">
        <v>117</v>
      </c>
      <c r="DO8" s="11" t="s">
        <v>118</v>
      </c>
      <c r="DP8" s="11" t="s">
        <v>119</v>
      </c>
      <c r="DQ8" s="11" t="s">
        <v>120</v>
      </c>
      <c r="DR8" s="11" t="s">
        <v>121</v>
      </c>
      <c r="DS8" s="11" t="s">
        <v>122</v>
      </c>
      <c r="DT8" s="11" t="s">
        <v>123</v>
      </c>
      <c r="DU8" s="11" t="s">
        <v>124</v>
      </c>
      <c r="DV8" s="11" t="s">
        <v>125</v>
      </c>
      <c r="DW8" s="11" t="s">
        <v>126</v>
      </c>
      <c r="DX8" s="11" t="s">
        <v>127</v>
      </c>
      <c r="DY8" s="11" t="s">
        <v>128</v>
      </c>
      <c r="DZ8" s="11" t="s">
        <v>129</v>
      </c>
      <c r="EA8" s="11" t="s">
        <v>130</v>
      </c>
      <c r="EB8" s="11" t="s">
        <v>131</v>
      </c>
      <c r="EC8" s="11" t="s">
        <v>132</v>
      </c>
      <c r="ED8" s="11" t="s">
        <v>133</v>
      </c>
      <c r="EE8" s="11" t="s">
        <v>134</v>
      </c>
      <c r="EF8" s="11" t="s">
        <v>135</v>
      </c>
      <c r="EG8" s="11" t="s">
        <v>136</v>
      </c>
      <c r="EH8" s="11" t="s">
        <v>137</v>
      </c>
      <c r="EI8" s="11" t="s">
        <v>138</v>
      </c>
      <c r="EJ8" s="11" t="s">
        <v>139</v>
      </c>
      <c r="EK8" s="11" t="s">
        <v>140</v>
      </c>
      <c r="EL8" s="11" t="s">
        <v>141</v>
      </c>
    </row>
    <row r="9" spans="1:142" x14ac:dyDescent="0.55000000000000004">
      <c r="B9" s="11" t="s">
        <v>143</v>
      </c>
      <c r="C9" s="13">
        <v>0.11254352719484539</v>
      </c>
      <c r="D9" s="13">
        <v>3.4097092674766981E-2</v>
      </c>
      <c r="E9" s="13">
        <v>-3.4092260699407372E-2</v>
      </c>
      <c r="F9" s="13">
        <v>-1.6058652052230761E-2</v>
      </c>
      <c r="G9" s="13">
        <v>-3.2385095991844209E-3</v>
      </c>
      <c r="H9" s="13">
        <v>3.7901102181058133E-2</v>
      </c>
      <c r="I9" s="13">
        <v>0.1965804247315599</v>
      </c>
      <c r="J9" s="13">
        <v>0.1237480024553423</v>
      </c>
      <c r="K9" s="13">
        <v>-3.4480581182707408E-3</v>
      </c>
      <c r="L9" s="13">
        <v>5.6295168092590213E-2</v>
      </c>
      <c r="M9" s="13">
        <v>-3.3270600801394837E-2</v>
      </c>
      <c r="N9" s="13">
        <v>0.13532465860422921</v>
      </c>
      <c r="O9" s="13">
        <v>2.9695310315939211E-2</v>
      </c>
      <c r="P9" s="13">
        <v>-7.5919535735049448E-2</v>
      </c>
      <c r="Q9" s="13">
        <v>-6.2747606103742651E-2</v>
      </c>
      <c r="R9" s="13">
        <v>3.4334773497897583E-2</v>
      </c>
      <c r="S9" s="13">
        <v>-0.11448918064350951</v>
      </c>
      <c r="T9" s="13">
        <v>-0.12841099749903981</v>
      </c>
      <c r="U9" s="13">
        <v>-1.8154029670731559E-2</v>
      </c>
      <c r="V9" s="13">
        <v>9.7284225967770491E-2</v>
      </c>
      <c r="W9" s="13">
        <v>6.4486060268650364E-2</v>
      </c>
      <c r="X9" s="13">
        <v>0.1327038041673102</v>
      </c>
      <c r="Y9" s="13">
        <v>-0.14506291258214879</v>
      </c>
      <c r="Z9" s="13">
        <v>0.15983802373895209</v>
      </c>
      <c r="AA9" s="13">
        <v>-7.943967423672775E-2</v>
      </c>
      <c r="AB9" s="13">
        <v>6.5463770993359177E-2</v>
      </c>
      <c r="AC9" s="13">
        <v>0.1084175724655288</v>
      </c>
      <c r="AD9" s="13">
        <v>3.5162093923887777E-2</v>
      </c>
      <c r="AE9" s="13">
        <v>-0.13259397376979831</v>
      </c>
      <c r="AF9" s="13">
        <v>7.9167281836763165E-2</v>
      </c>
      <c r="AG9" s="13">
        <v>0.14744720008266871</v>
      </c>
      <c r="AH9" s="13">
        <v>0.1081810761945582</v>
      </c>
      <c r="AI9" s="13">
        <v>3.1505045798710121E-2</v>
      </c>
      <c r="AJ9" s="13">
        <v>6.8324574139767447E-2</v>
      </c>
      <c r="AK9" s="13">
        <v>0.13938042010895871</v>
      </c>
      <c r="AL9" s="13">
        <v>1.592744707157312E-3</v>
      </c>
      <c r="AM9" s="13">
        <v>0.1169932331404209</v>
      </c>
      <c r="AN9" s="13">
        <v>0.18348805683608069</v>
      </c>
      <c r="AO9" s="13">
        <v>-1.362463266883975E-2</v>
      </c>
      <c r="AP9" s="13">
        <v>-0.1063675409967041</v>
      </c>
      <c r="AQ9" s="13">
        <v>-2.6929215006442419E-2</v>
      </c>
      <c r="AR9" s="13">
        <v>4.2036530640737653E-2</v>
      </c>
      <c r="AS9" s="13">
        <v>1.8696586580941189E-2</v>
      </c>
      <c r="AT9" s="13">
        <v>5.0640505974700809E-2</v>
      </c>
      <c r="AU9" s="13">
        <v>6.0413158509975098E-2</v>
      </c>
      <c r="AV9" s="13">
        <v>-4.9074616769233352E-2</v>
      </c>
      <c r="AW9" s="13">
        <v>4.1357508732538503E-2</v>
      </c>
      <c r="AX9" s="13">
        <v>0.13272310010770769</v>
      </c>
      <c r="AY9" s="13">
        <v>5.4625779598230978E-2</v>
      </c>
      <c r="AZ9" s="13">
        <v>1.5696796231307941E-2</v>
      </c>
      <c r="BA9" s="13">
        <v>1.2690345442841731E-2</v>
      </c>
      <c r="BB9" s="13">
        <v>0.1043530163836375</v>
      </c>
      <c r="BC9" s="13">
        <v>2.7796633350819049E-2</v>
      </c>
      <c r="BD9" s="13">
        <v>1.578432168905794E-2</v>
      </c>
      <c r="BE9" s="13">
        <v>5.3739937687461103E-2</v>
      </c>
      <c r="BF9" s="13">
        <v>0.15375843628247049</v>
      </c>
      <c r="BG9" s="13">
        <v>0.14726982376849199</v>
      </c>
      <c r="BH9" s="13">
        <v>5.8771534945936843E-2</v>
      </c>
      <c r="BI9" s="13">
        <v>8.9685563511176306E-2</v>
      </c>
      <c r="BJ9" s="13">
        <v>-4.1235808180358727E-2</v>
      </c>
      <c r="BK9" s="13">
        <v>-8.5734728231317864E-2</v>
      </c>
      <c r="BL9" s="13">
        <v>6.5414039984698302E-2</v>
      </c>
      <c r="BM9" s="13">
        <v>-3.1368353257727542E-2</v>
      </c>
      <c r="BN9" s="13">
        <v>3.5359621536754919E-2</v>
      </c>
      <c r="BO9" s="13">
        <v>7.7704284912140056E-2</v>
      </c>
      <c r="BP9" s="13">
        <v>-1.4539108034672661E-2</v>
      </c>
      <c r="BQ9" s="13">
        <v>5.4478664726366338E-2</v>
      </c>
      <c r="BR9" s="13">
        <v>-1.1979953341828281E-2</v>
      </c>
      <c r="BS9" s="13">
        <v>6.1686424636285153E-2</v>
      </c>
      <c r="BT9" s="13">
        <v>1.760973665085316E-2</v>
      </c>
      <c r="BU9" s="13">
        <v>1.762998043724756E-3</v>
      </c>
      <c r="BV9" s="13">
        <v>7.9901428485713702E-2</v>
      </c>
      <c r="BW9" s="13">
        <v>-2.610637658719216E-2</v>
      </c>
      <c r="BX9" s="13">
        <v>2.2152373945232812E-2</v>
      </c>
      <c r="BY9" s="13">
        <v>-7.0677724562749358E-2</v>
      </c>
      <c r="BZ9" s="13">
        <v>0.10127162087670701</v>
      </c>
      <c r="CA9" s="13">
        <v>-0.1116632811959762</v>
      </c>
      <c r="CB9" s="13">
        <v>2.134222205387841E-2</v>
      </c>
      <c r="CC9" s="13">
        <v>-4.7361278925352373E-3</v>
      </c>
      <c r="CD9" s="13">
        <v>0.1795510120924832</v>
      </c>
      <c r="CE9" s="13">
        <v>6.1307642545500363E-2</v>
      </c>
      <c r="CF9" s="13">
        <v>9.1604773996528527E-2</v>
      </c>
      <c r="CG9" s="13">
        <v>9.7692005436922261E-2</v>
      </c>
      <c r="CH9" s="13">
        <v>0.1571471245578184</v>
      </c>
      <c r="CI9" s="13">
        <v>-8.8647186187573918E-2</v>
      </c>
      <c r="CJ9" s="13">
        <v>-1.4935576134504041E-2</v>
      </c>
      <c r="CK9" s="13">
        <v>3.8208336269377141E-2</v>
      </c>
      <c r="CL9" s="13">
        <v>0.31725853511632429</v>
      </c>
      <c r="CM9" s="13">
        <v>-4.9949969650243523E-2</v>
      </c>
      <c r="CN9" s="13">
        <v>-3.8447026726622632E-2</v>
      </c>
      <c r="CO9" s="13">
        <v>7.1081192451511485E-4</v>
      </c>
      <c r="CP9" s="13">
        <v>0.14471257826235909</v>
      </c>
      <c r="CQ9" s="13">
        <v>0.149288994346539</v>
      </c>
      <c r="CR9" s="13">
        <v>-3.9801054122727553E-2</v>
      </c>
      <c r="CS9" s="13">
        <v>-4.6545918793314787E-2</v>
      </c>
      <c r="CT9" s="13">
        <v>3.4133664121905993E-2</v>
      </c>
      <c r="CU9" s="13">
        <v>0.12875405559550171</v>
      </c>
      <c r="CV9" s="13">
        <v>3.1635367740865207E-2</v>
      </c>
      <c r="CW9" s="13">
        <v>4.119456280109754E-2</v>
      </c>
      <c r="CX9" s="13">
        <v>0.16319544033423569</v>
      </c>
      <c r="CY9" s="13">
        <v>-4.3115028212617472E-2</v>
      </c>
      <c r="CZ9" s="13">
        <v>0.22006843680957469</v>
      </c>
      <c r="DA9" s="13">
        <v>-4.1423730334945293E-2</v>
      </c>
      <c r="DB9" s="13">
        <v>-1.1737974262426469E-2</v>
      </c>
      <c r="DC9" s="13">
        <v>0.107771072087255</v>
      </c>
      <c r="DD9" s="13">
        <v>6.7224013666988727E-2</v>
      </c>
      <c r="DE9" s="13">
        <v>-4.0137127901521782E-2</v>
      </c>
      <c r="DF9" s="13">
        <v>3.6396902505257532E-2</v>
      </c>
      <c r="DG9" s="13">
        <v>-9.8061050686251566E-2</v>
      </c>
      <c r="DH9" s="13">
        <v>-1.2045848270744831E-2</v>
      </c>
      <c r="DI9" s="13">
        <v>-8.9410575222380967E-2</v>
      </c>
      <c r="DJ9" s="13">
        <v>5.4992879399294842E-2</v>
      </c>
      <c r="DK9" s="13">
        <v>-5.7186588582312417E-2</v>
      </c>
      <c r="DL9" s="13">
        <v>-2.928430147507266E-2</v>
      </c>
      <c r="DM9" s="13">
        <v>-3.1402929482487282E-2</v>
      </c>
      <c r="DN9" s="13">
        <v>8.4413622954616185E-2</v>
      </c>
      <c r="DO9" s="13">
        <v>4.8170817515011732E-2</v>
      </c>
      <c r="DP9" s="13">
        <v>9.0346423093431022E-2</v>
      </c>
      <c r="DQ9" s="13">
        <v>-0.11867639315134131</v>
      </c>
      <c r="DR9" s="13">
        <v>0.1105075661161839</v>
      </c>
      <c r="DS9" s="13">
        <v>-7.3814619239169932E-2</v>
      </c>
      <c r="DT9" s="13">
        <v>-0.10633883358579729</v>
      </c>
      <c r="DU9" s="13">
        <v>9.6230219291726145E-3</v>
      </c>
      <c r="DV9" s="13">
        <v>0.14417121918934611</v>
      </c>
      <c r="DW9" s="13">
        <v>8.5312212398853907E-2</v>
      </c>
      <c r="DX9" s="13">
        <v>-0.1103801797394762</v>
      </c>
      <c r="DY9" s="13">
        <v>0.12870772422874291</v>
      </c>
      <c r="DZ9" s="13">
        <v>-5.3270106382015507E-2</v>
      </c>
      <c r="EA9" s="13">
        <v>0.17325685573389549</v>
      </c>
      <c r="EB9" s="13">
        <v>1.2264441519363289E-2</v>
      </c>
      <c r="EC9" s="13">
        <v>7.7320493094910028E-2</v>
      </c>
      <c r="ED9" s="13">
        <v>-0.16510373796664821</v>
      </c>
      <c r="EE9" s="13">
        <v>7.7592442823063296E-2</v>
      </c>
      <c r="EF9" s="13">
        <v>5.6688314750610751E-2</v>
      </c>
      <c r="EG9" s="13">
        <v>0.17571439802822439</v>
      </c>
      <c r="EH9" s="13">
        <v>-5.0736758655838161E-2</v>
      </c>
      <c r="EI9" s="13">
        <v>-3.2979674559245421E-2</v>
      </c>
      <c r="EJ9" s="13">
        <v>-0.1750733011862472</v>
      </c>
      <c r="EK9" s="13">
        <v>7.5703332933188719E-2</v>
      </c>
      <c r="EL9" s="13">
        <v>-0.1114587387579748</v>
      </c>
    </row>
    <row r="10" spans="1:142" x14ac:dyDescent="0.55000000000000004">
      <c r="B10" s="11" t="s">
        <v>144</v>
      </c>
      <c r="C10" s="13">
        <v>-0.26567505455358248</v>
      </c>
      <c r="D10" s="13">
        <v>-0.26274581990388568</v>
      </c>
      <c r="E10" s="13">
        <v>-7.8695496037138171E-2</v>
      </c>
      <c r="F10" s="13">
        <v>6.5706805469448862E-2</v>
      </c>
      <c r="G10" s="13">
        <v>-5.9999728504775772E-2</v>
      </c>
      <c r="H10" s="13">
        <v>-9.0782628560238207E-2</v>
      </c>
      <c r="I10" s="13">
        <v>-2.954345689308489E-2</v>
      </c>
      <c r="J10" s="13">
        <v>6.8756090039455112E-2</v>
      </c>
      <c r="K10" s="13">
        <v>-4.5430805070771449E-2</v>
      </c>
      <c r="L10" s="13">
        <v>9.2349485138079557E-2</v>
      </c>
      <c r="M10" s="13">
        <v>5.5332373390141881E-3</v>
      </c>
      <c r="N10" s="13">
        <v>-0.2026295564870364</v>
      </c>
      <c r="O10" s="13">
        <v>-5.5439188889443027E-2</v>
      </c>
      <c r="P10" s="13">
        <v>6.3019437760175406E-2</v>
      </c>
      <c r="Q10" s="13">
        <v>-5.112747054382899E-2</v>
      </c>
      <c r="R10" s="13">
        <v>-2.6369264474313892E-3</v>
      </c>
      <c r="S10" s="13">
        <v>0.1173704441530605</v>
      </c>
      <c r="T10" s="13">
        <v>2.8121057846255831E-2</v>
      </c>
      <c r="U10" s="13">
        <v>2.4399698358684819E-2</v>
      </c>
      <c r="V10" s="13">
        <v>2.4693188818731E-3</v>
      </c>
      <c r="W10" s="13">
        <v>-0.1293119914747935</v>
      </c>
      <c r="X10" s="13">
        <v>-7.8183591567789604E-2</v>
      </c>
      <c r="Y10" s="13">
        <v>-1.678906305548444E-2</v>
      </c>
      <c r="Z10" s="13">
        <v>-2.1755871914426388E-2</v>
      </c>
      <c r="AA10" s="13">
        <v>5.6064771790453938E-2</v>
      </c>
      <c r="AB10" s="13">
        <v>-2.615247786751675E-2</v>
      </c>
      <c r="AC10" s="13">
        <v>-7.0545450686771982E-2</v>
      </c>
      <c r="AD10" s="13">
        <v>-4.605935898063749E-2</v>
      </c>
      <c r="AE10" s="13">
        <v>0.13302405295118061</v>
      </c>
      <c r="AF10" s="13">
        <v>-8.9277753929317721E-2</v>
      </c>
      <c r="AG10" s="13">
        <v>-5.9320757676143483E-2</v>
      </c>
      <c r="AH10" s="13">
        <v>-5.524805418175012E-2</v>
      </c>
      <c r="AI10" s="13">
        <v>-3.4432890200783002E-2</v>
      </c>
      <c r="AJ10" s="13">
        <v>-1.011820247094234E-3</v>
      </c>
      <c r="AK10" s="13">
        <v>1.008019446982307E-2</v>
      </c>
      <c r="AL10" s="13">
        <v>-0.1198837103689446</v>
      </c>
      <c r="AM10" s="13">
        <v>-5.2132142811929863E-3</v>
      </c>
      <c r="AN10" s="13">
        <v>-0.1083439053885159</v>
      </c>
      <c r="AO10" s="13">
        <v>-5.8361175798082462E-2</v>
      </c>
      <c r="AP10" s="13">
        <v>1.0829655057507581E-2</v>
      </c>
      <c r="AQ10" s="13">
        <v>9.1678033193309406E-3</v>
      </c>
      <c r="AR10" s="13">
        <v>9.4714182380649631E-2</v>
      </c>
      <c r="AS10" s="13">
        <v>-2.4402385221541981E-2</v>
      </c>
      <c r="AT10" s="13">
        <v>2.0132029133382761E-3</v>
      </c>
      <c r="AU10" s="13">
        <v>-0.16715058449206099</v>
      </c>
      <c r="AV10" s="13">
        <v>3.39722622946841E-2</v>
      </c>
      <c r="AW10" s="13">
        <v>-1.6836938460434121E-2</v>
      </c>
      <c r="AX10" s="13">
        <v>-3.4706447726076131E-2</v>
      </c>
      <c r="AY10" s="13">
        <v>5.1832253085072376E-3</v>
      </c>
      <c r="AZ10" s="13">
        <v>-0.1197365697081416</v>
      </c>
      <c r="BA10" s="13">
        <v>-0.13521272855601499</v>
      </c>
      <c r="BB10" s="13">
        <v>1.6981999860284199E-2</v>
      </c>
      <c r="BC10" s="13">
        <v>2.3074367921310051E-2</v>
      </c>
      <c r="BD10" s="13">
        <v>-0.1199945402797801</v>
      </c>
      <c r="BE10" s="13">
        <v>0.1293284806358245</v>
      </c>
      <c r="BF10" s="13">
        <v>1.670991495350807E-2</v>
      </c>
      <c r="BG10" s="13">
        <v>-2.230674739417764E-2</v>
      </c>
      <c r="BH10" s="13">
        <v>3.9303080879793402E-2</v>
      </c>
      <c r="BI10" s="13">
        <v>-0.10048887626807319</v>
      </c>
      <c r="BJ10" s="13">
        <v>-0.1019902758550493</v>
      </c>
      <c r="BK10" s="13">
        <v>9.9875650710373395E-2</v>
      </c>
      <c r="BL10" s="13">
        <v>-3.2934037128584212E-2</v>
      </c>
      <c r="BM10" s="13">
        <v>2.6287500286370859E-2</v>
      </c>
      <c r="BN10" s="13">
        <v>0.10734549372172041</v>
      </c>
      <c r="BO10" s="13">
        <v>-2.560633684172503E-2</v>
      </c>
      <c r="BP10" s="13">
        <v>0.1224117716945187</v>
      </c>
      <c r="BQ10" s="13">
        <v>-4.5440179315565543E-2</v>
      </c>
      <c r="BR10" s="13">
        <v>-7.1268977479060053E-2</v>
      </c>
      <c r="BS10" s="13">
        <v>-6.8098859473969778E-2</v>
      </c>
      <c r="BT10" s="13">
        <v>9.2203281802799297E-2</v>
      </c>
      <c r="BU10" s="13">
        <v>8.2899617876138199E-2</v>
      </c>
      <c r="BV10" s="13">
        <v>-4.130112652813582E-2</v>
      </c>
      <c r="BW10" s="13">
        <v>-9.9351181954097256E-2</v>
      </c>
      <c r="BX10" s="13">
        <v>-3.8144887371555511E-2</v>
      </c>
      <c r="BY10" s="13">
        <v>0.1124874209627638</v>
      </c>
      <c r="BZ10" s="13">
        <v>-3.788028283020467E-2</v>
      </c>
      <c r="CA10" s="13">
        <v>-9.1542003092521695E-2</v>
      </c>
      <c r="CB10" s="13">
        <v>-0.1246325581241329</v>
      </c>
      <c r="CC10" s="13">
        <v>-6.1699945697747768E-2</v>
      </c>
      <c r="CD10" s="13">
        <v>-7.5868372082101454E-2</v>
      </c>
      <c r="CE10" s="13">
        <v>-0.22128938457069761</v>
      </c>
      <c r="CF10" s="13">
        <v>8.6756078182217526E-3</v>
      </c>
      <c r="CG10" s="13">
        <v>3.1786264351565383E-2</v>
      </c>
      <c r="CH10" s="13">
        <v>-3.7814115900760462E-2</v>
      </c>
      <c r="CI10" s="13">
        <v>4.9549068421342352E-2</v>
      </c>
      <c r="CJ10" s="13">
        <v>-1.042967726944298E-2</v>
      </c>
      <c r="CK10" s="13">
        <v>-8.3344347452881107E-2</v>
      </c>
      <c r="CL10" s="13">
        <v>-5.3422112199779673E-2</v>
      </c>
      <c r="CM10" s="13">
        <v>0.19037761081281751</v>
      </c>
      <c r="CN10" s="13">
        <v>5.8217828531197863E-2</v>
      </c>
      <c r="CO10" s="13">
        <v>-0.14266651702027849</v>
      </c>
      <c r="CP10" s="13">
        <v>4.1776778694119977E-2</v>
      </c>
      <c r="CQ10" s="13">
        <v>-0.16944775200646889</v>
      </c>
      <c r="CR10" s="13">
        <v>-8.4810245274174231E-2</v>
      </c>
      <c r="CS10" s="13">
        <v>-3.4770869542404131E-2</v>
      </c>
      <c r="CT10" s="13">
        <v>-0.11929694980334619</v>
      </c>
      <c r="CU10" s="13">
        <v>-1.779517889847566E-2</v>
      </c>
      <c r="CV10" s="13">
        <v>-1.483412755555793E-2</v>
      </c>
      <c r="CW10" s="13">
        <v>-4.6319066249875078E-2</v>
      </c>
      <c r="CX10" s="13">
        <v>-9.6634689890429795E-2</v>
      </c>
      <c r="CY10" s="13">
        <v>-7.883438544026268E-2</v>
      </c>
      <c r="CZ10" s="13">
        <v>-0.2125263535938974</v>
      </c>
      <c r="DA10" s="13">
        <v>-0.1136855216267028</v>
      </c>
      <c r="DB10" s="13">
        <v>-0.18310190466084611</v>
      </c>
      <c r="DC10" s="13">
        <v>-4.2499864903571542E-2</v>
      </c>
      <c r="DD10" s="13">
        <v>2.7817596126079671E-2</v>
      </c>
      <c r="DE10" s="13">
        <v>6.8607937224559601E-2</v>
      </c>
      <c r="DF10" s="13">
        <v>-0.13309486152009481</v>
      </c>
      <c r="DG10" s="13">
        <v>0.22249786674263289</v>
      </c>
      <c r="DH10" s="13">
        <v>-0.13075878208175709</v>
      </c>
      <c r="DI10" s="13">
        <v>-0.10969183429127349</v>
      </c>
      <c r="DJ10" s="13">
        <v>-0.1104737212515987</v>
      </c>
      <c r="DK10" s="13">
        <v>8.5555391670562406E-2</v>
      </c>
      <c r="DL10" s="13">
        <v>-3.7902763836408108E-2</v>
      </c>
      <c r="DM10" s="13">
        <v>8.3550634753187636E-2</v>
      </c>
      <c r="DN10" s="13">
        <v>-5.5064654277631388E-2</v>
      </c>
      <c r="DO10" s="13">
        <v>-9.1404376141589916E-2</v>
      </c>
      <c r="DP10" s="13">
        <v>-0.14635791180718299</v>
      </c>
      <c r="DQ10" s="13">
        <v>7.2584409538635583E-2</v>
      </c>
      <c r="DR10" s="13">
        <v>-3.6982983260269622E-2</v>
      </c>
      <c r="DS10" s="13">
        <v>-0.158488727508035</v>
      </c>
      <c r="DT10" s="13">
        <v>-7.6734870836893357E-2</v>
      </c>
      <c r="DU10" s="13">
        <v>0.14652329977066769</v>
      </c>
      <c r="DV10" s="13">
        <v>9.2142528558957857E-3</v>
      </c>
      <c r="DW10" s="13">
        <v>-0.12809453124946879</v>
      </c>
      <c r="DX10" s="13">
        <v>-5.7788778278884997E-2</v>
      </c>
      <c r="DY10" s="13">
        <v>-0.1035307067347504</v>
      </c>
      <c r="DZ10" s="13">
        <v>-5.3247234161851183E-2</v>
      </c>
      <c r="EA10" s="13">
        <v>-0.111011221175726</v>
      </c>
      <c r="EB10" s="13">
        <v>-5.7337041607399442E-2</v>
      </c>
      <c r="EC10" s="13">
        <v>5.3167126851357938E-2</v>
      </c>
      <c r="ED10" s="13">
        <v>5.5871006445993431E-2</v>
      </c>
      <c r="EE10" s="13">
        <v>0.15335804459764099</v>
      </c>
      <c r="EF10" s="13">
        <v>-0.1142313624752139</v>
      </c>
      <c r="EG10" s="13">
        <v>-4.400561671271231E-2</v>
      </c>
      <c r="EH10" s="13">
        <v>1.7544151566088462E-2</v>
      </c>
      <c r="EI10" s="13">
        <v>8.6430773370832076E-2</v>
      </c>
      <c r="EJ10" s="13">
        <v>0.13519054567508229</v>
      </c>
      <c r="EK10" s="13">
        <v>0.12749821521826099</v>
      </c>
      <c r="EL10" s="13">
        <v>-3.0403121056760539E-2</v>
      </c>
    </row>
    <row r="11" spans="1:142" x14ac:dyDescent="0.55000000000000004">
      <c r="B11" s="14" t="s">
        <v>145</v>
      </c>
      <c r="C11" s="13">
        <v>-2.4114962812585919E-2</v>
      </c>
      <c r="D11" s="13">
        <v>0.14010060111552411</v>
      </c>
      <c r="E11" s="13">
        <v>-5.4828677455158086E-3</v>
      </c>
      <c r="F11" s="13">
        <v>-4.8067960102790332E-2</v>
      </c>
      <c r="G11" s="13">
        <v>9.8556491354310036E-2</v>
      </c>
      <c r="H11" s="13">
        <v>4.0265398787534858E-3</v>
      </c>
      <c r="I11" s="13">
        <v>-5.4392917239937437E-2</v>
      </c>
      <c r="J11" s="13">
        <v>-7.8467922997838349E-4</v>
      </c>
      <c r="K11" s="13">
        <v>3.1985649512948161E-2</v>
      </c>
      <c r="L11" s="13">
        <v>-5.2053083064414014E-3</v>
      </c>
      <c r="M11" s="13">
        <v>8.3785174984597616E-2</v>
      </c>
      <c r="N11" s="13">
        <v>-5.6914477640470737E-2</v>
      </c>
      <c r="O11" s="13">
        <v>6.8510420248044046E-2</v>
      </c>
      <c r="P11" s="13">
        <v>2.8609346498670672E-2</v>
      </c>
      <c r="Q11" s="13">
        <v>6.6853829019368621E-2</v>
      </c>
      <c r="R11" s="13">
        <v>-2.201858603624411E-3</v>
      </c>
      <c r="S11" s="13">
        <v>0.1343008906380988</v>
      </c>
      <c r="T11" s="13">
        <v>0.1309180760976566</v>
      </c>
      <c r="U11" s="13">
        <v>1.3133991417421231E-2</v>
      </c>
      <c r="V11" s="13">
        <v>2.61831641349142E-2</v>
      </c>
      <c r="W11" s="13">
        <v>-9.4297429450524356E-2</v>
      </c>
      <c r="X11" s="13">
        <v>-0.30132339061689511</v>
      </c>
      <c r="Y11" s="13">
        <v>0.1084289471208703</v>
      </c>
      <c r="Z11" s="13">
        <v>-0.14174493457566439</v>
      </c>
      <c r="AA11" s="13">
        <v>0.1170212362473879</v>
      </c>
      <c r="AB11" s="13">
        <v>-2.2180044331716751E-2</v>
      </c>
      <c r="AC11" s="13">
        <v>-8.6460961175666734E-2</v>
      </c>
      <c r="AD11" s="13">
        <v>2.1464873900864909E-2</v>
      </c>
      <c r="AE11" s="13">
        <v>0.15421823665631779</v>
      </c>
      <c r="AF11" s="13">
        <v>-0.14648944763122149</v>
      </c>
      <c r="AG11" s="13">
        <v>-4.7015552205449541E-2</v>
      </c>
      <c r="AH11" s="13">
        <v>1.969019876271335E-2</v>
      </c>
      <c r="AI11" s="13">
        <v>3.9309116183651453E-2</v>
      </c>
      <c r="AJ11" s="13">
        <v>-2.662352474820744E-2</v>
      </c>
      <c r="AK11" s="13">
        <v>-2.5125101663330471E-2</v>
      </c>
      <c r="AL11" s="13">
        <v>-0.10344397184102611</v>
      </c>
      <c r="AM11" s="13">
        <v>6.1900719649520007E-2</v>
      </c>
      <c r="AN11" s="13">
        <v>7.6731055204870405E-2</v>
      </c>
      <c r="AO11" s="13">
        <v>9.8982722791890534E-2</v>
      </c>
      <c r="AP11" s="13">
        <v>5.4076693168316682E-2</v>
      </c>
      <c r="AQ11" s="13">
        <v>-3.0251892003178519E-2</v>
      </c>
      <c r="AR11" s="13">
        <v>4.4910599246769629E-4</v>
      </c>
      <c r="AS11" s="13">
        <v>7.0194262215074882E-2</v>
      </c>
      <c r="AT11" s="13">
        <v>0.17429282176026459</v>
      </c>
      <c r="AU11" s="13">
        <v>-8.1385665847374042E-2</v>
      </c>
      <c r="AV11" s="13">
        <v>0.15075612499263449</v>
      </c>
      <c r="AW11" s="13">
        <v>5.7401717870801443E-2</v>
      </c>
      <c r="AX11" s="13">
        <v>-0.15692285452171439</v>
      </c>
      <c r="AY11" s="13">
        <v>4.7095411994913447E-2</v>
      </c>
      <c r="AZ11" s="13">
        <v>-5.7117988229242828E-2</v>
      </c>
      <c r="BA11" s="13">
        <v>-2.2411435185763991E-2</v>
      </c>
      <c r="BB11" s="13">
        <v>-0.15274623447102989</v>
      </c>
      <c r="BC11" s="13">
        <v>2.2968193190456811E-2</v>
      </c>
      <c r="BD11" s="13">
        <v>1.041266581327727E-3</v>
      </c>
      <c r="BE11" s="13">
        <v>-0.13310702807101221</v>
      </c>
      <c r="BF11" s="13">
        <v>-0.19610968127654599</v>
      </c>
      <c r="BG11" s="13">
        <v>-0.18881309175704289</v>
      </c>
      <c r="BH11" s="13">
        <v>-0.1007170444134215</v>
      </c>
      <c r="BI11" s="13">
        <v>-0.12578121674239851</v>
      </c>
      <c r="BJ11" s="13">
        <v>-1.094669670587667E-2</v>
      </c>
      <c r="BK11" s="13">
        <v>-6.1548923063932129E-2</v>
      </c>
      <c r="BL11" s="13">
        <v>-0.15045858166371609</v>
      </c>
      <c r="BM11" s="13">
        <v>0.12760274496348589</v>
      </c>
      <c r="BN11" s="13">
        <v>-1.7866802671994149E-2</v>
      </c>
      <c r="BO11" s="13">
        <v>-2.532395528347867E-2</v>
      </c>
      <c r="BP11" s="13">
        <v>4.0051232116699122E-2</v>
      </c>
      <c r="BQ11" s="13">
        <v>-4.2262606377664567E-2</v>
      </c>
      <c r="BR11" s="13">
        <v>0.17888215044890809</v>
      </c>
      <c r="BS11" s="13">
        <v>-9.912904509256E-2</v>
      </c>
      <c r="BT11" s="13">
        <v>4.0560012135895447E-2</v>
      </c>
      <c r="BU11" s="13">
        <v>6.3241856113882139E-2</v>
      </c>
      <c r="BV11" s="13">
        <v>-9.6181908758892015E-2</v>
      </c>
      <c r="BW11" s="13">
        <v>-0.1360628544407668</v>
      </c>
      <c r="BX11" s="13">
        <v>-5.021931394244135E-3</v>
      </c>
      <c r="BY11" s="13">
        <v>0.11233989094804429</v>
      </c>
      <c r="BZ11" s="13">
        <v>3.4223088384557322E-2</v>
      </c>
      <c r="CA11" s="13">
        <v>7.0051209195934647E-2</v>
      </c>
      <c r="CB11" s="13">
        <v>2.3662882656538931E-2</v>
      </c>
      <c r="CC11" s="13">
        <v>9.3938184255933657E-2</v>
      </c>
      <c r="CD11" s="13">
        <v>-2.991396747850103E-2</v>
      </c>
      <c r="CE11" s="13">
        <v>-0.106852361052127</v>
      </c>
      <c r="CF11" s="13">
        <v>-5.8583351809868033E-2</v>
      </c>
      <c r="CG11" s="13">
        <v>-0.1185641035857604</v>
      </c>
      <c r="CH11" s="13">
        <v>-4.7815465005176118E-2</v>
      </c>
      <c r="CI11" s="13">
        <v>-6.1561116349960178E-2</v>
      </c>
      <c r="CJ11" s="13">
        <v>0.22741940960138179</v>
      </c>
      <c r="CK11" s="13">
        <v>0.13323879996032881</v>
      </c>
      <c r="CL11" s="13">
        <v>4.026151400927732E-2</v>
      </c>
      <c r="CM11" s="13">
        <v>-7.3899373789768755E-2</v>
      </c>
      <c r="CN11" s="13">
        <v>0.24689459237762651</v>
      </c>
      <c r="CO11" s="13">
        <v>-0.1044408366251643</v>
      </c>
      <c r="CP11" s="13">
        <v>-1.7008494348603791E-2</v>
      </c>
      <c r="CQ11" s="13">
        <v>-0.2084347050376574</v>
      </c>
      <c r="CR11" s="13">
        <v>-8.395398399164998E-2</v>
      </c>
      <c r="CS11" s="13">
        <v>8.6621279720092453E-2</v>
      </c>
      <c r="CT11" s="13">
        <v>-2.628500997819886E-2</v>
      </c>
      <c r="CU11" s="13">
        <v>-0.29981483838253892</v>
      </c>
      <c r="CV11" s="13">
        <v>0.24030007205262141</v>
      </c>
      <c r="CW11" s="13">
        <v>9.1579360199564808E-2</v>
      </c>
      <c r="CX11" s="13">
        <v>-9.916629584538951E-2</v>
      </c>
      <c r="CY11" s="13">
        <v>0.10766171863634889</v>
      </c>
      <c r="CZ11" s="13">
        <v>-5.4245194329240791E-2</v>
      </c>
      <c r="DA11" s="13">
        <v>8.2532189515883495E-2</v>
      </c>
      <c r="DB11" s="13">
        <v>0.1365100712702266</v>
      </c>
      <c r="DC11" s="13">
        <v>-1.3925395967882609E-2</v>
      </c>
      <c r="DD11" s="13">
        <v>-0.1397956392190878</v>
      </c>
      <c r="DE11" s="13">
        <v>-9.4114369833172007E-2</v>
      </c>
      <c r="DF11" s="13">
        <v>5.2829965902828582E-2</v>
      </c>
      <c r="DG11" s="13">
        <v>-0.1992862571378114</v>
      </c>
      <c r="DH11" s="13">
        <v>0.1021391395115681</v>
      </c>
      <c r="DI11" s="13">
        <v>3.77727977358518E-2</v>
      </c>
      <c r="DJ11" s="13">
        <v>6.5447994136232215E-2</v>
      </c>
      <c r="DK11" s="13">
        <v>5.9654622373488252E-2</v>
      </c>
      <c r="DL11" s="13">
        <v>9.5335573576001684E-2</v>
      </c>
      <c r="DM11" s="13">
        <v>4.0485912002813637E-2</v>
      </c>
      <c r="DN11" s="13">
        <v>3.4939953183281301E-3</v>
      </c>
      <c r="DO11" s="13">
        <v>-0.1061084440817472</v>
      </c>
      <c r="DP11" s="13">
        <v>-0.24479189291211051</v>
      </c>
      <c r="DQ11" s="13">
        <v>0.2138369620719559</v>
      </c>
      <c r="DR11" s="13">
        <v>1.088966551319623E-2</v>
      </c>
      <c r="DS11" s="13">
        <v>0.13411935981786449</v>
      </c>
      <c r="DT11" s="13">
        <v>0.1241719078411765</v>
      </c>
      <c r="DU11" s="13">
        <v>7.8095888662607166E-2</v>
      </c>
      <c r="DV11" s="13">
        <v>-5.3915427843282723E-2</v>
      </c>
      <c r="DW11" s="13">
        <v>-2.382825195586874E-2</v>
      </c>
      <c r="DX11" s="13">
        <v>6.6514734484512852E-2</v>
      </c>
      <c r="DY11" s="13">
        <v>1.936130695330137E-2</v>
      </c>
      <c r="DZ11" s="13">
        <v>1.8750007540164919E-2</v>
      </c>
      <c r="EA11" s="13">
        <v>-0.28354334384011443</v>
      </c>
      <c r="EB11" s="13">
        <v>-0.13389240598058849</v>
      </c>
      <c r="EC11" s="13">
        <v>-2.2714426802967012E-2</v>
      </c>
      <c r="ED11" s="13">
        <v>4.4607042157451017E-2</v>
      </c>
      <c r="EE11" s="13">
        <v>-0.12906100256586769</v>
      </c>
      <c r="EF11" s="13">
        <v>-6.5742551537967042E-2</v>
      </c>
      <c r="EG11" s="13">
        <v>-0.117222832850104</v>
      </c>
      <c r="EH11" s="13">
        <v>-2.6547499359558489E-2</v>
      </c>
      <c r="EI11" s="13">
        <v>-3.3015556157341149E-2</v>
      </c>
      <c r="EJ11" s="13">
        <v>4.5977172621091293E-2</v>
      </c>
      <c r="EK11" s="13">
        <v>-6.9235533806273369E-2</v>
      </c>
      <c r="EL11" s="13">
        <v>1.468433610599224E-2</v>
      </c>
    </row>
    <row r="13" spans="1:142" x14ac:dyDescent="0.55000000000000004">
      <c r="A13" s="12" t="s">
        <v>315</v>
      </c>
      <c r="B13" s="11" t="s">
        <v>143</v>
      </c>
      <c r="C13" s="12">
        <f t="shared" ref="C13:AH13" si="0">(C3-C9)^2</f>
        <v>9.5300079475289061E-3</v>
      </c>
      <c r="D13" s="12">
        <f t="shared" si="0"/>
        <v>2.5486035589421224E-2</v>
      </c>
      <c r="E13" s="12">
        <f t="shared" si="0"/>
        <v>5.0032344718203073E-3</v>
      </c>
      <c r="F13" s="12">
        <f t="shared" si="0"/>
        <v>1.8713436882453315E-3</v>
      </c>
      <c r="G13" s="12">
        <f t="shared" si="0"/>
        <v>2.0080274333442319E-3</v>
      </c>
      <c r="H13" s="12">
        <f t="shared" si="0"/>
        <v>5.7129229754819769E-3</v>
      </c>
      <c r="I13" s="12">
        <f t="shared" si="0"/>
        <v>0.11459504978756099</v>
      </c>
      <c r="J13" s="12">
        <f t="shared" si="0"/>
        <v>1.1174295893553532E-2</v>
      </c>
      <c r="K13" s="12">
        <f t="shared" si="0"/>
        <v>2.1986997857586245E-3</v>
      </c>
      <c r="L13" s="12">
        <f t="shared" si="0"/>
        <v>1.297069076911087E-3</v>
      </c>
      <c r="M13" s="12">
        <f t="shared" si="0"/>
        <v>8.4836481948032984E-3</v>
      </c>
      <c r="N13" s="12">
        <f t="shared" si="0"/>
        <v>8.2395086446164625E-2</v>
      </c>
      <c r="O13" s="12">
        <f t="shared" si="0"/>
        <v>8.8239142220278718E-2</v>
      </c>
      <c r="P13" s="12">
        <f t="shared" si="0"/>
        <v>5.3050653795170911E-2</v>
      </c>
      <c r="Q13" s="12">
        <f t="shared" si="0"/>
        <v>2.0292962538174149E-3</v>
      </c>
      <c r="R13" s="12">
        <f t="shared" si="0"/>
        <v>1.1710908773340422E-2</v>
      </c>
      <c r="S13" s="12">
        <f t="shared" si="0"/>
        <v>2.8209136805397762E-2</v>
      </c>
      <c r="T13" s="12">
        <f t="shared" si="0"/>
        <v>5.3611968168403934E-3</v>
      </c>
      <c r="U13" s="12">
        <f t="shared" si="0"/>
        <v>5.7710449974986325E-2</v>
      </c>
      <c r="V13" s="12">
        <f t="shared" si="0"/>
        <v>6.2273678352431916E-3</v>
      </c>
      <c r="W13" s="12">
        <f t="shared" si="0"/>
        <v>2.7208204887038085E-2</v>
      </c>
      <c r="X13" s="12">
        <f t="shared" si="0"/>
        <v>9.2280921220879414E-2</v>
      </c>
      <c r="Y13" s="12">
        <f t="shared" si="0"/>
        <v>0.14038667979097499</v>
      </c>
      <c r="Z13" s="12">
        <f t="shared" si="0"/>
        <v>2.0514502704909229E-2</v>
      </c>
      <c r="AA13" s="12">
        <f t="shared" si="0"/>
        <v>0.2531977277431085</v>
      </c>
      <c r="AB13" s="12">
        <f t="shared" si="0"/>
        <v>7.8433910850366245E-2</v>
      </c>
      <c r="AC13" s="12">
        <f t="shared" si="0"/>
        <v>4.0806677490657197E-3</v>
      </c>
      <c r="AD13" s="12">
        <f t="shared" si="0"/>
        <v>4.5527819622518968E-3</v>
      </c>
      <c r="AE13" s="12">
        <f t="shared" si="0"/>
        <v>6.6857234463365833E-3</v>
      </c>
      <c r="AF13" s="12">
        <f t="shared" si="0"/>
        <v>2.8316391447539349E-2</v>
      </c>
      <c r="AG13" s="12">
        <f t="shared" si="0"/>
        <v>6.3546743773878036E-4</v>
      </c>
      <c r="AH13" s="12">
        <f t="shared" si="0"/>
        <v>4.874628085138534E-2</v>
      </c>
      <c r="AI13" s="12">
        <f t="shared" ref="AI13:BN13" si="1">(AI3-AI9)^2</f>
        <v>9.9817846848676926E-3</v>
      </c>
      <c r="AJ13" s="12">
        <f t="shared" si="1"/>
        <v>9.83419289854209E-3</v>
      </c>
      <c r="AK13" s="12">
        <f t="shared" si="1"/>
        <v>2.3733515045252025E-3</v>
      </c>
      <c r="AL13" s="12">
        <f t="shared" si="1"/>
        <v>3.6689789821663071E-2</v>
      </c>
      <c r="AM13" s="12">
        <f t="shared" si="1"/>
        <v>1.5905770546633335E-3</v>
      </c>
      <c r="AN13" s="12">
        <f t="shared" si="1"/>
        <v>5.2754201004601336E-3</v>
      </c>
      <c r="AO13" s="12">
        <f t="shared" si="1"/>
        <v>3.9223353286986359E-3</v>
      </c>
      <c r="AP13" s="12">
        <f t="shared" si="1"/>
        <v>2.16838680773969E-2</v>
      </c>
      <c r="AQ13" s="12">
        <f t="shared" si="1"/>
        <v>6.9978606884250373E-3</v>
      </c>
      <c r="AR13" s="12">
        <f t="shared" si="1"/>
        <v>3.6411413947426972E-4</v>
      </c>
      <c r="AS13" s="12">
        <f t="shared" si="1"/>
        <v>8.9760864557204801E-4</v>
      </c>
      <c r="AT13" s="12">
        <f t="shared" si="1"/>
        <v>1.0997788855778734E-2</v>
      </c>
      <c r="AU13" s="12">
        <f t="shared" si="1"/>
        <v>6.7099969119670407E-4</v>
      </c>
      <c r="AV13" s="12">
        <f t="shared" si="1"/>
        <v>7.8569758762044237E-3</v>
      </c>
      <c r="AW13" s="12">
        <f t="shared" si="1"/>
        <v>5.4010884214801297E-2</v>
      </c>
      <c r="AX13" s="12">
        <f t="shared" si="1"/>
        <v>1.2683328010981228E-3</v>
      </c>
      <c r="AY13" s="12">
        <f t="shared" si="1"/>
        <v>5.4307032522279081E-3</v>
      </c>
      <c r="AZ13" s="12">
        <f t="shared" si="1"/>
        <v>1.1420375396042159E-2</v>
      </c>
      <c r="BA13" s="12">
        <f t="shared" si="1"/>
        <v>2.3491016090240208E-2</v>
      </c>
      <c r="BB13" s="12">
        <f t="shared" si="1"/>
        <v>2.1173172554091842E-2</v>
      </c>
      <c r="BC13" s="12">
        <f t="shared" si="1"/>
        <v>1.0488488387891624E-2</v>
      </c>
      <c r="BD13" s="12">
        <f t="shared" si="1"/>
        <v>3.4031420575747089E-2</v>
      </c>
      <c r="BE13" s="12">
        <f t="shared" si="1"/>
        <v>2.557327436783868E-2</v>
      </c>
      <c r="BF13" s="12">
        <f t="shared" si="1"/>
        <v>2.2434560056906368E-2</v>
      </c>
      <c r="BG13" s="12">
        <f t="shared" si="1"/>
        <v>3.3508297985496524E-2</v>
      </c>
      <c r="BH13" s="12">
        <f t="shared" si="1"/>
        <v>6.6799189372603263E-2</v>
      </c>
      <c r="BI13" s="12">
        <f t="shared" si="1"/>
        <v>5.4445706843569003E-3</v>
      </c>
      <c r="BJ13" s="12">
        <f t="shared" si="1"/>
        <v>1.5965298378336736E-2</v>
      </c>
      <c r="BK13" s="12">
        <f t="shared" si="1"/>
        <v>2.9301671930785832E-2</v>
      </c>
      <c r="BL13" s="12">
        <f t="shared" si="1"/>
        <v>2.8734298283917646E-5</v>
      </c>
      <c r="BM13" s="12">
        <f t="shared" si="1"/>
        <v>1.1849407953880014E-2</v>
      </c>
      <c r="BN13" s="12">
        <f t="shared" si="1"/>
        <v>6.5926523550894559E-4</v>
      </c>
      <c r="BO13" s="12">
        <f t="shared" ref="BO13:CT13" si="2">(BO3-BO9)^2</f>
        <v>8.5014009276780586E-2</v>
      </c>
      <c r="BP13" s="12">
        <f t="shared" si="2"/>
        <v>3.9974572779558085E-2</v>
      </c>
      <c r="BQ13" s="12">
        <f t="shared" si="2"/>
        <v>1.1801061527288756E-2</v>
      </c>
      <c r="BR13" s="12">
        <f t="shared" si="2"/>
        <v>8.62419385452462E-2</v>
      </c>
      <c r="BS13" s="12">
        <f t="shared" si="2"/>
        <v>7.2536021375409791E-3</v>
      </c>
      <c r="BT13" s="12">
        <f t="shared" si="2"/>
        <v>5.1015217750938913E-3</v>
      </c>
      <c r="BU13" s="12">
        <f t="shared" si="2"/>
        <v>1.5769833015043901E-2</v>
      </c>
      <c r="BV13" s="12">
        <f t="shared" si="2"/>
        <v>3.6821952300679678E-3</v>
      </c>
      <c r="BW13" s="12">
        <f t="shared" si="2"/>
        <v>8.584668664734502E-3</v>
      </c>
      <c r="BX13" s="12">
        <f t="shared" si="2"/>
        <v>1.7380800474426642E-2</v>
      </c>
      <c r="BY13" s="12">
        <f t="shared" si="2"/>
        <v>4.376928361480472E-2</v>
      </c>
      <c r="BZ13" s="12">
        <f t="shared" si="2"/>
        <v>4.2489375779005051E-2</v>
      </c>
      <c r="CA13" s="12">
        <f t="shared" si="2"/>
        <v>3.7812237742108194E-3</v>
      </c>
      <c r="CB13" s="12">
        <f t="shared" si="2"/>
        <v>8.3872329850419886E-3</v>
      </c>
      <c r="CC13" s="12">
        <f t="shared" si="2"/>
        <v>1.6594685286070229E-6</v>
      </c>
      <c r="CD13" s="12">
        <f t="shared" si="2"/>
        <v>3.8333718326852908E-4</v>
      </c>
      <c r="CE13" s="12">
        <f t="shared" si="2"/>
        <v>2.2502692848831576E-2</v>
      </c>
      <c r="CF13" s="12">
        <f t="shared" si="2"/>
        <v>3.7089770986929969E-2</v>
      </c>
      <c r="CG13" s="12">
        <f t="shared" si="2"/>
        <v>1.5124643839380168E-4</v>
      </c>
      <c r="CH13" s="12">
        <f t="shared" si="2"/>
        <v>2.9425889104426211E-2</v>
      </c>
      <c r="CI13" s="12">
        <f t="shared" si="2"/>
        <v>9.6864191993377771E-2</v>
      </c>
      <c r="CJ13" s="12">
        <f t="shared" si="2"/>
        <v>7.1688259516110561E-2</v>
      </c>
      <c r="CK13" s="12">
        <f t="shared" si="2"/>
        <v>2.671526405833746E-3</v>
      </c>
      <c r="CL13" s="12">
        <f t="shared" si="2"/>
        <v>0.15610671067380683</v>
      </c>
      <c r="CM13" s="12">
        <f t="shared" si="2"/>
        <v>0.10480942244412338</v>
      </c>
      <c r="CN13" s="12">
        <f t="shared" si="2"/>
        <v>0.12359414865358644</v>
      </c>
      <c r="CO13" s="12">
        <f t="shared" si="2"/>
        <v>2.537432353779839E-2</v>
      </c>
      <c r="CP13" s="12">
        <f t="shared" si="2"/>
        <v>2.7955655816932084E-2</v>
      </c>
      <c r="CQ13" s="12">
        <f t="shared" si="2"/>
        <v>4.3435235233199551E-5</v>
      </c>
      <c r="CR13" s="12">
        <f t="shared" si="2"/>
        <v>1.4700481047161647E-2</v>
      </c>
      <c r="CS13" s="12">
        <f t="shared" si="2"/>
        <v>7.6499915929194708E-4</v>
      </c>
      <c r="CT13" s="12">
        <f t="shared" si="2"/>
        <v>1.6003500880776692E-2</v>
      </c>
      <c r="CU13" s="12">
        <f t="shared" ref="CU13:DZ13" si="3">(CU3-CU9)^2</f>
        <v>2.9745240582258834E-2</v>
      </c>
      <c r="CV13" s="12">
        <f t="shared" si="3"/>
        <v>3.0524244456417992E-6</v>
      </c>
      <c r="CW13" s="12">
        <f t="shared" si="3"/>
        <v>2.2915462704638E-3</v>
      </c>
      <c r="CX13" s="12">
        <f t="shared" si="3"/>
        <v>3.5273525509771204E-2</v>
      </c>
      <c r="CY13" s="12">
        <f t="shared" si="3"/>
        <v>1.299108385349918E-2</v>
      </c>
      <c r="CZ13" s="12">
        <f t="shared" si="3"/>
        <v>3.2115640673781323E-2</v>
      </c>
      <c r="DA13" s="12">
        <f t="shared" si="3"/>
        <v>8.8869262746150507E-2</v>
      </c>
      <c r="DB13" s="12">
        <f t="shared" si="3"/>
        <v>2.3255626484316397E-2</v>
      </c>
      <c r="DC13" s="12">
        <f t="shared" si="3"/>
        <v>0.13446139801938897</v>
      </c>
      <c r="DD13" s="12">
        <f t="shared" si="3"/>
        <v>9.7733487214411736E-3</v>
      </c>
      <c r="DE13" s="12">
        <f t="shared" si="3"/>
        <v>4.0211315150320448E-2</v>
      </c>
      <c r="DF13" s="12">
        <f t="shared" si="3"/>
        <v>2.2174796427484364E-2</v>
      </c>
      <c r="DG13" s="12">
        <f t="shared" si="3"/>
        <v>2.4934198562262002E-4</v>
      </c>
      <c r="DH13" s="12">
        <f t="shared" si="3"/>
        <v>8.5768993872059641E-3</v>
      </c>
      <c r="DI13" s="12">
        <f t="shared" si="3"/>
        <v>1.8980875766354155E-2</v>
      </c>
      <c r="DJ13" s="12">
        <f t="shared" si="3"/>
        <v>1.2599944571452623E-2</v>
      </c>
      <c r="DK13" s="12">
        <f t="shared" si="3"/>
        <v>1.0300877620384468E-2</v>
      </c>
      <c r="DL13" s="12">
        <f t="shared" si="3"/>
        <v>1.898732774960622E-4</v>
      </c>
      <c r="DM13" s="12">
        <f t="shared" si="3"/>
        <v>7.6272843531703495E-3</v>
      </c>
      <c r="DN13" s="12">
        <f t="shared" si="3"/>
        <v>1.1341858120715094E-2</v>
      </c>
      <c r="DO13" s="12">
        <f t="shared" si="3"/>
        <v>2.0022145720539977E-2</v>
      </c>
      <c r="DP13" s="12">
        <f t="shared" si="3"/>
        <v>5.708337010855026E-3</v>
      </c>
      <c r="DQ13" s="12">
        <f t="shared" si="3"/>
        <v>9.7001018094308222E-2</v>
      </c>
      <c r="DR13" s="12">
        <f t="shared" si="3"/>
        <v>2.6807621394356777E-2</v>
      </c>
      <c r="DS13" s="12">
        <f t="shared" si="3"/>
        <v>4.0951576550025862E-2</v>
      </c>
      <c r="DT13" s="12">
        <f t="shared" si="3"/>
        <v>4.32602855425916E-4</v>
      </c>
      <c r="DU13" s="12">
        <f t="shared" si="3"/>
        <v>1.7239997583171813E-2</v>
      </c>
      <c r="DV13" s="12">
        <f t="shared" si="3"/>
        <v>4.7303036350966318E-2</v>
      </c>
      <c r="DW13" s="12">
        <f t="shared" si="3"/>
        <v>7.6287030876528376E-4</v>
      </c>
      <c r="DX13" s="12">
        <f t="shared" si="3"/>
        <v>4.0245028415983174E-2</v>
      </c>
      <c r="DY13" s="12">
        <f t="shared" si="3"/>
        <v>6.9917226460968637E-2</v>
      </c>
      <c r="DZ13" s="12">
        <f t="shared" si="3"/>
        <v>6.8701058819320537E-2</v>
      </c>
      <c r="EA13" s="12">
        <f t="shared" ref="EA13:EL13" si="4">(EA3-EA9)^2</f>
        <v>7.6989927057766541E-2</v>
      </c>
      <c r="EB13" s="12">
        <f t="shared" si="4"/>
        <v>3.3583647022944974E-2</v>
      </c>
      <c r="EC13" s="12">
        <f t="shared" si="4"/>
        <v>2.6006475076726439E-2</v>
      </c>
      <c r="ED13" s="12">
        <f t="shared" si="4"/>
        <v>1.5368830285652633E-2</v>
      </c>
      <c r="EE13" s="12">
        <f t="shared" si="4"/>
        <v>3.5243726096374196E-2</v>
      </c>
      <c r="EF13" s="12">
        <f t="shared" si="4"/>
        <v>8.7898964982883708E-3</v>
      </c>
      <c r="EG13" s="12">
        <f t="shared" si="4"/>
        <v>9.036177951715435E-3</v>
      </c>
      <c r="EH13" s="12">
        <f t="shared" si="4"/>
        <v>5.0591314969472348E-2</v>
      </c>
      <c r="EI13" s="12">
        <f t="shared" si="4"/>
        <v>1.8187296453375065E-2</v>
      </c>
      <c r="EJ13" s="12">
        <f t="shared" si="4"/>
        <v>9.0580699026107953E-3</v>
      </c>
      <c r="EK13" s="12">
        <f t="shared" si="4"/>
        <v>4.9607853650221086E-2</v>
      </c>
      <c r="EL13" s="12">
        <f t="shared" si="4"/>
        <v>2.8837326201370563E-3</v>
      </c>
    </row>
    <row r="14" spans="1:142" x14ac:dyDescent="0.55000000000000004">
      <c r="B14" s="11" t="s">
        <v>144</v>
      </c>
      <c r="C14" s="12">
        <f t="shared" ref="C14:AH14" si="5">(C4-C10)^2</f>
        <v>1.3532595282641573E-2</v>
      </c>
      <c r="D14" s="12">
        <f t="shared" si="5"/>
        <v>2.3722154132393061E-4</v>
      </c>
      <c r="E14" s="12">
        <f t="shared" si="5"/>
        <v>3.2531801069683654E-2</v>
      </c>
      <c r="F14" s="12">
        <f t="shared" si="5"/>
        <v>5.0784848526775903E-3</v>
      </c>
      <c r="G14" s="12">
        <f t="shared" si="5"/>
        <v>1.5646243251430131E-2</v>
      </c>
      <c r="H14" s="12">
        <f t="shared" si="5"/>
        <v>3.8075108205678958E-3</v>
      </c>
      <c r="I14" s="12">
        <f t="shared" si="5"/>
        <v>2.2405779848661189E-3</v>
      </c>
      <c r="J14" s="12">
        <f t="shared" si="5"/>
        <v>6.9116054602736548E-4</v>
      </c>
      <c r="K14" s="12">
        <f t="shared" si="5"/>
        <v>5.9653942822480239E-4</v>
      </c>
      <c r="L14" s="12">
        <f t="shared" si="5"/>
        <v>1.8645847811067033E-2</v>
      </c>
      <c r="M14" s="12">
        <f t="shared" si="5"/>
        <v>4.0209822732809085E-3</v>
      </c>
      <c r="N14" s="12">
        <f t="shared" si="5"/>
        <v>4.1319987210027102E-2</v>
      </c>
      <c r="O14" s="12">
        <f t="shared" si="5"/>
        <v>1.7806713841220692E-2</v>
      </c>
      <c r="P14" s="12">
        <f t="shared" si="5"/>
        <v>6.4258035566469307E-3</v>
      </c>
      <c r="Q14" s="12">
        <f t="shared" si="5"/>
        <v>1.0167534943588125E-2</v>
      </c>
      <c r="R14" s="12">
        <f t="shared" si="5"/>
        <v>9.3162531466446808E-3</v>
      </c>
      <c r="S14" s="12">
        <f t="shared" si="5"/>
        <v>2.1839278289066906E-2</v>
      </c>
      <c r="T14" s="12">
        <f t="shared" si="5"/>
        <v>7.527668317880435E-3</v>
      </c>
      <c r="U14" s="12">
        <f t="shared" si="5"/>
        <v>1.2494958986912367E-4</v>
      </c>
      <c r="V14" s="12">
        <f t="shared" si="5"/>
        <v>2.1610552825067487E-3</v>
      </c>
      <c r="W14" s="12">
        <f t="shared" si="5"/>
        <v>3.543715148146525E-2</v>
      </c>
      <c r="X14" s="12">
        <f t="shared" si="5"/>
        <v>7.4806547294654123E-3</v>
      </c>
      <c r="Y14" s="12">
        <f t="shared" si="5"/>
        <v>2.9360055427819158E-2</v>
      </c>
      <c r="Z14" s="12">
        <f t="shared" si="5"/>
        <v>8.3562967129008729E-3</v>
      </c>
      <c r="AA14" s="12">
        <f t="shared" si="5"/>
        <v>5.1023653507752866E-3</v>
      </c>
      <c r="AB14" s="12">
        <f t="shared" si="5"/>
        <v>1.3739901093633732E-3</v>
      </c>
      <c r="AC14" s="12">
        <f t="shared" si="5"/>
        <v>7.1175497070142908E-5</v>
      </c>
      <c r="AD14" s="12">
        <f t="shared" si="5"/>
        <v>2.4922344653487805E-4</v>
      </c>
      <c r="AE14" s="12">
        <f t="shared" si="5"/>
        <v>1.1811690672517427E-2</v>
      </c>
      <c r="AF14" s="12">
        <f t="shared" si="5"/>
        <v>4.978097921331754E-2</v>
      </c>
      <c r="AG14" s="12">
        <f t="shared" si="5"/>
        <v>5.1999607352260186E-6</v>
      </c>
      <c r="AH14" s="12">
        <f t="shared" si="5"/>
        <v>1.391040971191622E-3</v>
      </c>
      <c r="AI14" s="12">
        <f t="shared" ref="AI14:BN14" si="6">(AI4-AI10)^2</f>
        <v>7.0011940771978797E-5</v>
      </c>
      <c r="AJ14" s="12">
        <f t="shared" si="6"/>
        <v>3.7525971753683298E-4</v>
      </c>
      <c r="AK14" s="12">
        <f t="shared" si="6"/>
        <v>1.5821778839744318E-3</v>
      </c>
      <c r="AL14" s="12">
        <f t="shared" si="6"/>
        <v>1.2955292254780015E-2</v>
      </c>
      <c r="AM14" s="12">
        <f t="shared" si="6"/>
        <v>2.3763391096053774E-2</v>
      </c>
      <c r="AN14" s="12">
        <f t="shared" si="6"/>
        <v>4.7882945530888701E-3</v>
      </c>
      <c r="AO14" s="12">
        <f t="shared" si="6"/>
        <v>1.7665458008177414E-4</v>
      </c>
      <c r="AP14" s="12">
        <f t="shared" si="6"/>
        <v>4.1548843461696435E-3</v>
      </c>
      <c r="AQ14" s="12">
        <f t="shared" si="6"/>
        <v>1.15270025340807E-2</v>
      </c>
      <c r="AR14" s="12">
        <f t="shared" si="6"/>
        <v>6.9408580288691959E-5</v>
      </c>
      <c r="AS14" s="12">
        <f t="shared" si="6"/>
        <v>8.6891278876370937E-3</v>
      </c>
      <c r="AT14" s="12">
        <f t="shared" si="6"/>
        <v>1.997317740927831E-3</v>
      </c>
      <c r="AU14" s="12">
        <f t="shared" si="6"/>
        <v>1.5520185403980893E-2</v>
      </c>
      <c r="AV14" s="12">
        <f t="shared" si="6"/>
        <v>6.5497255275657834E-2</v>
      </c>
      <c r="AW14" s="12">
        <f t="shared" si="6"/>
        <v>9.8028677588185079E-3</v>
      </c>
      <c r="AX14" s="12">
        <f t="shared" si="6"/>
        <v>2.6615326787321541E-3</v>
      </c>
      <c r="AY14" s="12">
        <f t="shared" si="6"/>
        <v>1.5348911587133987E-2</v>
      </c>
      <c r="AZ14" s="12">
        <f t="shared" si="6"/>
        <v>1.4700306369664164E-2</v>
      </c>
      <c r="BA14" s="12">
        <f t="shared" si="6"/>
        <v>5.6208106878069704E-4</v>
      </c>
      <c r="BB14" s="12">
        <f t="shared" si="6"/>
        <v>5.3936319422856066E-2</v>
      </c>
      <c r="BC14" s="12">
        <f t="shared" si="6"/>
        <v>6.4893840665345868E-3</v>
      </c>
      <c r="BD14" s="12">
        <f t="shared" si="6"/>
        <v>1.4659933360993241E-2</v>
      </c>
      <c r="BE14" s="12">
        <f t="shared" si="6"/>
        <v>1.2221206097930428E-2</v>
      </c>
      <c r="BF14" s="12">
        <f t="shared" si="6"/>
        <v>9.3662748548429368E-3</v>
      </c>
      <c r="BG14" s="12">
        <f t="shared" si="6"/>
        <v>3.1606385811904854E-3</v>
      </c>
      <c r="BH14" s="12">
        <f t="shared" si="6"/>
        <v>5.2212270025896162E-3</v>
      </c>
      <c r="BI14" s="12">
        <f t="shared" si="6"/>
        <v>2.2070219405135194E-6</v>
      </c>
      <c r="BJ14" s="12">
        <f t="shared" si="6"/>
        <v>1.9996467086079652E-3</v>
      </c>
      <c r="BK14" s="12">
        <f t="shared" si="6"/>
        <v>2.2446031726611797E-2</v>
      </c>
      <c r="BL14" s="12">
        <f t="shared" si="6"/>
        <v>1.0010311863111813E-4</v>
      </c>
      <c r="BM14" s="12">
        <f t="shared" si="6"/>
        <v>5.2166354279980544E-3</v>
      </c>
      <c r="BN14" s="12">
        <f t="shared" si="6"/>
        <v>1.3149480718368542E-2</v>
      </c>
      <c r="BO14" s="12">
        <f t="shared" ref="BO14:CT14" si="7">(BO4-BO10)^2</f>
        <v>1.2718059592398374E-2</v>
      </c>
      <c r="BP14" s="12">
        <f t="shared" si="7"/>
        <v>1.1296325966060955E-2</v>
      </c>
      <c r="BQ14" s="12">
        <f t="shared" si="7"/>
        <v>4.9993114105104856E-4</v>
      </c>
      <c r="BR14" s="12">
        <f t="shared" si="7"/>
        <v>3.8386377375261307E-3</v>
      </c>
      <c r="BS14" s="12">
        <f t="shared" si="7"/>
        <v>7.8378427579723063E-6</v>
      </c>
      <c r="BT14" s="12">
        <f t="shared" si="7"/>
        <v>1.8145735321452881E-2</v>
      </c>
      <c r="BU14" s="12">
        <f t="shared" si="7"/>
        <v>1.0414693844186086E-4</v>
      </c>
      <c r="BV14" s="12">
        <f t="shared" si="7"/>
        <v>1.8131090422041644E-2</v>
      </c>
      <c r="BW14" s="12">
        <f t="shared" si="7"/>
        <v>7.3721872914269369E-3</v>
      </c>
      <c r="BX14" s="12">
        <f t="shared" si="7"/>
        <v>1.1659766589718187E-3</v>
      </c>
      <c r="BY14" s="12">
        <f t="shared" si="7"/>
        <v>7.153593088221312E-2</v>
      </c>
      <c r="BZ14" s="12">
        <f t="shared" si="7"/>
        <v>4.5135026846247026E-2</v>
      </c>
      <c r="CA14" s="12">
        <f t="shared" si="7"/>
        <v>1.6583137645159205E-2</v>
      </c>
      <c r="CB14" s="12">
        <f t="shared" si="7"/>
        <v>3.2468388564144059E-2</v>
      </c>
      <c r="CC14" s="12">
        <f t="shared" si="7"/>
        <v>1.3410722616133732E-2</v>
      </c>
      <c r="CD14" s="12">
        <f t="shared" si="7"/>
        <v>1.8540221838043377E-3</v>
      </c>
      <c r="CE14" s="12">
        <f t="shared" si="7"/>
        <v>4.3159709542222896E-2</v>
      </c>
      <c r="CF14" s="12">
        <f t="shared" si="7"/>
        <v>1.8519923185709698E-2</v>
      </c>
      <c r="CG14" s="12">
        <f t="shared" si="7"/>
        <v>1.7322739411859732E-3</v>
      </c>
      <c r="CH14" s="12">
        <f t="shared" si="7"/>
        <v>1.2210089596105743E-2</v>
      </c>
      <c r="CI14" s="12">
        <f t="shared" si="7"/>
        <v>1.0822064719994936E-2</v>
      </c>
      <c r="CJ14" s="12">
        <f t="shared" si="7"/>
        <v>2.4168143108919166E-3</v>
      </c>
      <c r="CK14" s="12">
        <f t="shared" si="7"/>
        <v>9.5110196415999926E-3</v>
      </c>
      <c r="CL14" s="12">
        <f t="shared" si="7"/>
        <v>3.0879130862542354E-3</v>
      </c>
      <c r="CM14" s="12">
        <f t="shared" si="7"/>
        <v>9.8405316616625479E-2</v>
      </c>
      <c r="CN14" s="12">
        <f t="shared" si="7"/>
        <v>3.832361298772391E-2</v>
      </c>
      <c r="CO14" s="12">
        <f t="shared" si="7"/>
        <v>2.5342608671399879E-2</v>
      </c>
      <c r="CP14" s="12">
        <f t="shared" si="7"/>
        <v>1.6204726147004988E-3</v>
      </c>
      <c r="CQ14" s="12">
        <f t="shared" si="7"/>
        <v>1.0299899506335315E-2</v>
      </c>
      <c r="CR14" s="12">
        <f t="shared" si="7"/>
        <v>2.2544146694653308E-2</v>
      </c>
      <c r="CS14" s="12">
        <f t="shared" si="7"/>
        <v>2.9976531760075323E-2</v>
      </c>
      <c r="CT14" s="12">
        <f t="shared" si="7"/>
        <v>1.4197695659730366E-2</v>
      </c>
      <c r="CU14" s="12">
        <f t="shared" ref="CU14:DZ14" si="8">(CU4-CU10)^2</f>
        <v>1.5859080259654284E-3</v>
      </c>
      <c r="CV14" s="12">
        <f t="shared" si="8"/>
        <v>6.8654436051215958E-3</v>
      </c>
      <c r="CW14" s="12">
        <f t="shared" si="8"/>
        <v>1.8078017075063512E-3</v>
      </c>
      <c r="CX14" s="12">
        <f t="shared" si="8"/>
        <v>2.2275726492026776E-2</v>
      </c>
      <c r="CY14" s="12">
        <f t="shared" si="8"/>
        <v>4.9329988555258724E-3</v>
      </c>
      <c r="CZ14" s="12">
        <f t="shared" si="8"/>
        <v>1.0299591182976584E-2</v>
      </c>
      <c r="DA14" s="12">
        <f t="shared" si="8"/>
        <v>9.397818788871164E-4</v>
      </c>
      <c r="DB14" s="12">
        <f t="shared" si="8"/>
        <v>3.4527987018839704E-2</v>
      </c>
      <c r="DC14" s="12">
        <f t="shared" si="8"/>
        <v>3.064171364115032E-3</v>
      </c>
      <c r="DD14" s="12">
        <f t="shared" si="8"/>
        <v>6.3051009540492763E-3</v>
      </c>
      <c r="DE14" s="12">
        <f t="shared" si="8"/>
        <v>4.6166961648387225E-4</v>
      </c>
      <c r="DF14" s="12">
        <f t="shared" si="8"/>
        <v>1.2951304596662782E-2</v>
      </c>
      <c r="DG14" s="12">
        <f t="shared" si="8"/>
        <v>4.8712120967215007E-2</v>
      </c>
      <c r="DH14" s="12">
        <f t="shared" si="8"/>
        <v>9.2576100346037415E-2</v>
      </c>
      <c r="DI14" s="12">
        <f t="shared" si="8"/>
        <v>5.7231483534430144E-3</v>
      </c>
      <c r="DJ14" s="12">
        <f t="shared" si="8"/>
        <v>1.1104072983612962E-4</v>
      </c>
      <c r="DK14" s="12">
        <f t="shared" si="8"/>
        <v>4.7527359201979362E-2</v>
      </c>
      <c r="DL14" s="12">
        <f t="shared" si="8"/>
        <v>1.7208893464342411E-2</v>
      </c>
      <c r="DM14" s="12">
        <f t="shared" si="8"/>
        <v>8.9398162937246312E-3</v>
      </c>
      <c r="DN14" s="12">
        <f t="shared" si="8"/>
        <v>3.5324676691306227E-2</v>
      </c>
      <c r="DO14" s="12">
        <f t="shared" si="8"/>
        <v>1.1232643272528289E-3</v>
      </c>
      <c r="DP14" s="12">
        <f t="shared" si="8"/>
        <v>2.6737008020720162E-3</v>
      </c>
      <c r="DQ14" s="12">
        <f t="shared" si="8"/>
        <v>4.9525046539882156E-2</v>
      </c>
      <c r="DR14" s="12">
        <f t="shared" si="8"/>
        <v>6.5645171149840689E-3</v>
      </c>
      <c r="DS14" s="12">
        <f t="shared" si="8"/>
        <v>4.1781308977949204E-2</v>
      </c>
      <c r="DT14" s="12">
        <f t="shared" si="8"/>
        <v>6.9488447596748907E-3</v>
      </c>
      <c r="DU14" s="12">
        <f t="shared" si="8"/>
        <v>1.7550736405050681E-2</v>
      </c>
      <c r="DV14" s="12">
        <f t="shared" si="8"/>
        <v>6.5176320850323819E-4</v>
      </c>
      <c r="DW14" s="12">
        <f t="shared" si="8"/>
        <v>1.9787975961884946E-2</v>
      </c>
      <c r="DX14" s="12">
        <f t="shared" si="8"/>
        <v>7.6744974837232105E-3</v>
      </c>
      <c r="DY14" s="12">
        <f t="shared" si="8"/>
        <v>2.7457793732802441E-2</v>
      </c>
      <c r="DZ14" s="12">
        <f t="shared" si="8"/>
        <v>1.2753617828167011E-6</v>
      </c>
      <c r="EA14" s="12">
        <f t="shared" ref="EA14:EL14" si="9">(EA4-EA10)^2</f>
        <v>2.2188697575383932E-2</v>
      </c>
      <c r="EB14" s="12">
        <f t="shared" si="9"/>
        <v>2.9945458416817112E-3</v>
      </c>
      <c r="EC14" s="12">
        <f t="shared" si="9"/>
        <v>1.5447699529531164E-2</v>
      </c>
      <c r="ED14" s="12">
        <f t="shared" si="9"/>
        <v>4.7881783645215941E-4</v>
      </c>
      <c r="EE14" s="12">
        <f t="shared" si="9"/>
        <v>3.4492075246316165E-3</v>
      </c>
      <c r="EF14" s="12">
        <f t="shared" si="9"/>
        <v>8.3889627008170986E-2</v>
      </c>
      <c r="EG14" s="12">
        <f t="shared" si="9"/>
        <v>6.8162577357569641E-3</v>
      </c>
      <c r="EH14" s="12">
        <f t="shared" si="9"/>
        <v>2.6361612967803393E-2</v>
      </c>
      <c r="EI14" s="12">
        <f t="shared" si="9"/>
        <v>5.8619559038353079E-2</v>
      </c>
      <c r="EJ14" s="12">
        <f t="shared" si="9"/>
        <v>4.3388731776576933E-3</v>
      </c>
      <c r="EK14" s="12">
        <f t="shared" si="9"/>
        <v>1.2658371701982229E-2</v>
      </c>
      <c r="EL14" s="12">
        <f t="shared" si="9"/>
        <v>5.0348836568766167E-2</v>
      </c>
    </row>
    <row r="15" spans="1:142" x14ac:dyDescent="0.55000000000000004">
      <c r="B15" s="14" t="s">
        <v>145</v>
      </c>
      <c r="C15" s="12">
        <f t="shared" ref="C15:AH15" si="10">(C5-C11)^2</f>
        <v>0.11016264844807609</v>
      </c>
      <c r="D15" s="12">
        <f t="shared" si="10"/>
        <v>3.2468961923311834E-2</v>
      </c>
      <c r="E15" s="12">
        <f t="shared" si="10"/>
        <v>0.28426894557207172</v>
      </c>
      <c r="F15" s="12">
        <f t="shared" si="10"/>
        <v>1.9513202129600268E-2</v>
      </c>
      <c r="G15" s="12">
        <f t="shared" si="10"/>
        <v>0.18749065447918073</v>
      </c>
      <c r="H15" s="12">
        <f t="shared" si="10"/>
        <v>0.12358848489995573</v>
      </c>
      <c r="I15" s="12">
        <f t="shared" si="10"/>
        <v>2.8808221436019119E-2</v>
      </c>
      <c r="J15" s="12">
        <f t="shared" si="10"/>
        <v>8.2093645558368716E-3</v>
      </c>
      <c r="K15" s="12">
        <f t="shared" si="10"/>
        <v>0.11863220153812898</v>
      </c>
      <c r="L15" s="12">
        <f t="shared" si="10"/>
        <v>0.14879986114294941</v>
      </c>
      <c r="M15" s="12">
        <f t="shared" si="10"/>
        <v>6.7102359324986687E-3</v>
      </c>
      <c r="N15" s="12">
        <f t="shared" si="10"/>
        <v>4.1828509539926804E-2</v>
      </c>
      <c r="O15" s="12">
        <f t="shared" si="10"/>
        <v>1.6790952068665002E-2</v>
      </c>
      <c r="P15" s="12">
        <f t="shared" si="10"/>
        <v>5.3965525081969661E-2</v>
      </c>
      <c r="Q15" s="12">
        <f t="shared" si="10"/>
        <v>6.7165957988553674E-4</v>
      </c>
      <c r="R15" s="12">
        <f t="shared" si="10"/>
        <v>1.8274072068659115E-2</v>
      </c>
      <c r="S15" s="12">
        <f t="shared" si="10"/>
        <v>3.5217889488130955E-2</v>
      </c>
      <c r="T15" s="12">
        <f t="shared" si="10"/>
        <v>7.1826572196131749E-4</v>
      </c>
      <c r="U15" s="12">
        <f t="shared" si="10"/>
        <v>1.9915727273570267E-3</v>
      </c>
      <c r="V15" s="12">
        <f t="shared" si="10"/>
        <v>3.1168524570098274E-2</v>
      </c>
      <c r="W15" s="12">
        <f t="shared" si="10"/>
        <v>8.1055785429713686E-2</v>
      </c>
      <c r="X15" s="12">
        <f t="shared" si="10"/>
        <v>3.1425711449782366E-2</v>
      </c>
      <c r="Y15" s="12">
        <f t="shared" si="10"/>
        <v>0.51490001986254574</v>
      </c>
      <c r="Z15" s="12">
        <f t="shared" si="10"/>
        <v>2.9513040162151161E-3</v>
      </c>
      <c r="AA15" s="12">
        <f t="shared" si="10"/>
        <v>8.5615080605891489E-3</v>
      </c>
      <c r="AB15" s="12">
        <f t="shared" si="10"/>
        <v>1.0192385672169102E-2</v>
      </c>
      <c r="AC15" s="12">
        <f t="shared" si="10"/>
        <v>7.8333810859787219E-4</v>
      </c>
      <c r="AD15" s="12">
        <f t="shared" si="10"/>
        <v>4.9451275155599814E-2</v>
      </c>
      <c r="AE15" s="12">
        <f t="shared" si="10"/>
        <v>5.1505281377786979E-3</v>
      </c>
      <c r="AF15" s="12">
        <f t="shared" si="10"/>
        <v>0.11204424168831104</v>
      </c>
      <c r="AG15" s="12">
        <f t="shared" si="10"/>
        <v>2.008640123488159E-2</v>
      </c>
      <c r="AH15" s="12">
        <f t="shared" si="10"/>
        <v>0.1055314565357837</v>
      </c>
      <c r="AI15" s="12">
        <f t="shared" ref="AI15:BN15" si="11">(AI5-AI11)^2</f>
        <v>1.3998581160772829E-2</v>
      </c>
      <c r="AJ15" s="12">
        <f t="shared" si="11"/>
        <v>0.42718016651342844</v>
      </c>
      <c r="AK15" s="12">
        <f t="shared" si="11"/>
        <v>2.3391162037193652E-3</v>
      </c>
      <c r="AL15" s="12">
        <f t="shared" si="11"/>
        <v>2.5141881139971472E-4</v>
      </c>
      <c r="AM15" s="12">
        <f t="shared" si="11"/>
        <v>2.1583165186318388E-3</v>
      </c>
      <c r="AN15" s="12">
        <f t="shared" si="11"/>
        <v>1.2224387978265186E-3</v>
      </c>
      <c r="AO15" s="12">
        <f t="shared" si="11"/>
        <v>2.3803910233952938E-2</v>
      </c>
      <c r="AP15" s="12">
        <f t="shared" si="11"/>
        <v>2.3670794707028538E-2</v>
      </c>
      <c r="AQ15" s="12">
        <f t="shared" si="11"/>
        <v>8.7918026488826864E-2</v>
      </c>
      <c r="AR15" s="12">
        <f t="shared" si="11"/>
        <v>8.6644660118562027E-3</v>
      </c>
      <c r="AS15" s="12">
        <f t="shared" si="11"/>
        <v>4.5133933718221074E-2</v>
      </c>
      <c r="AT15" s="12">
        <f t="shared" si="11"/>
        <v>9.4140894592102236E-5</v>
      </c>
      <c r="AU15" s="12">
        <f t="shared" si="11"/>
        <v>4.6179765050755557E-2</v>
      </c>
      <c r="AV15" s="12">
        <f t="shared" si="11"/>
        <v>5.3097506410616092E-2</v>
      </c>
      <c r="AW15" s="12">
        <f t="shared" si="11"/>
        <v>6.1564981622451382E-3</v>
      </c>
      <c r="AX15" s="12">
        <f t="shared" si="11"/>
        <v>1.2034589484988733E-5</v>
      </c>
      <c r="AY15" s="12">
        <f t="shared" si="11"/>
        <v>3.2471318054159303E-4</v>
      </c>
      <c r="AZ15" s="12">
        <f t="shared" si="11"/>
        <v>8.5003997403660006E-2</v>
      </c>
      <c r="BA15" s="12">
        <f t="shared" si="11"/>
        <v>8.2246568165553201E-6</v>
      </c>
      <c r="BB15" s="12">
        <f t="shared" si="11"/>
        <v>4.3294303449285712E-2</v>
      </c>
      <c r="BC15" s="12">
        <f t="shared" si="11"/>
        <v>6.8193323446621573E-3</v>
      </c>
      <c r="BD15" s="12">
        <f t="shared" si="11"/>
        <v>9.3417393816911075E-3</v>
      </c>
      <c r="BE15" s="12">
        <f t="shared" si="11"/>
        <v>9.6586407482362927E-2</v>
      </c>
      <c r="BF15" s="12">
        <f t="shared" si="11"/>
        <v>1.2147022134087932E-2</v>
      </c>
      <c r="BG15" s="12">
        <f t="shared" si="11"/>
        <v>8.2258845913704397E-3</v>
      </c>
      <c r="BH15" s="12">
        <f t="shared" si="11"/>
        <v>1.2312907138811483E-3</v>
      </c>
      <c r="BI15" s="12">
        <f t="shared" si="11"/>
        <v>3.7387100296077377E-2</v>
      </c>
      <c r="BJ15" s="12">
        <f t="shared" si="11"/>
        <v>0.13455668155036765</v>
      </c>
      <c r="BK15" s="12">
        <f t="shared" si="11"/>
        <v>5.4105796921828035E-2</v>
      </c>
      <c r="BL15" s="12">
        <f t="shared" si="11"/>
        <v>7.3239196843380945E-5</v>
      </c>
      <c r="BM15" s="12">
        <f t="shared" si="11"/>
        <v>2.8244289537257539E-2</v>
      </c>
      <c r="BN15" s="12">
        <f t="shared" si="11"/>
        <v>7.6532057252785417E-5</v>
      </c>
      <c r="BO15" s="12">
        <f t="shared" ref="BO15:CT15" si="12">(BO5-BO11)^2</f>
        <v>2.6166256655928546E-2</v>
      </c>
      <c r="BP15" s="12">
        <f t="shared" si="12"/>
        <v>7.1559615079599265E-3</v>
      </c>
      <c r="BQ15" s="12">
        <f t="shared" si="12"/>
        <v>4.9346866290451305E-2</v>
      </c>
      <c r="BR15" s="12">
        <f t="shared" si="12"/>
        <v>0.12833484755512592</v>
      </c>
      <c r="BS15" s="12">
        <f t="shared" si="12"/>
        <v>3.7011853247648246E-2</v>
      </c>
      <c r="BT15" s="12">
        <f t="shared" si="12"/>
        <v>4.5518300859914235E-2</v>
      </c>
      <c r="BU15" s="12">
        <f t="shared" si="12"/>
        <v>8.0728924860131154E-2</v>
      </c>
      <c r="BV15" s="12">
        <f t="shared" si="12"/>
        <v>4.306432337999571E-2</v>
      </c>
      <c r="BW15" s="12">
        <f t="shared" si="12"/>
        <v>1.2089597226684293E-2</v>
      </c>
      <c r="BX15" s="12">
        <f t="shared" si="12"/>
        <v>6.9461971691988202E-3</v>
      </c>
      <c r="BY15" s="12">
        <f t="shared" si="12"/>
        <v>5.7413115421636862E-3</v>
      </c>
      <c r="BZ15" s="12">
        <f t="shared" si="12"/>
        <v>1.8463134798108089E-2</v>
      </c>
      <c r="CA15" s="12">
        <f t="shared" si="12"/>
        <v>1.0386076969264163E-3</v>
      </c>
      <c r="CB15" s="12">
        <f t="shared" si="12"/>
        <v>1.3101545931037165E-3</v>
      </c>
      <c r="CC15" s="12">
        <f t="shared" si="12"/>
        <v>0.14616650944654203</v>
      </c>
      <c r="CD15" s="12">
        <f t="shared" si="12"/>
        <v>0.13733593525441207</v>
      </c>
      <c r="CE15" s="12">
        <f t="shared" si="12"/>
        <v>1.128935053345086E-2</v>
      </c>
      <c r="CF15" s="12">
        <f t="shared" si="12"/>
        <v>5.0556396651339312E-3</v>
      </c>
      <c r="CG15" s="12">
        <f t="shared" si="12"/>
        <v>7.7468462839424768E-2</v>
      </c>
      <c r="CH15" s="12">
        <f t="shared" si="12"/>
        <v>3.6266210202088971E-2</v>
      </c>
      <c r="CI15" s="12">
        <f t="shared" si="12"/>
        <v>1.0759282663598004E-3</v>
      </c>
      <c r="CJ15" s="12">
        <f t="shared" si="12"/>
        <v>0.17623647587160224</v>
      </c>
      <c r="CK15" s="12">
        <f t="shared" si="12"/>
        <v>1.6181879531143894E-3</v>
      </c>
      <c r="CL15" s="12">
        <f t="shared" si="12"/>
        <v>4.6350825495485216E-4</v>
      </c>
      <c r="CM15" s="12">
        <f t="shared" si="12"/>
        <v>3.5394731955497487E-3</v>
      </c>
      <c r="CN15" s="12">
        <f t="shared" si="12"/>
        <v>0.2420896086828819</v>
      </c>
      <c r="CO15" s="12">
        <f t="shared" si="12"/>
        <v>0.53037372791614545</v>
      </c>
      <c r="CP15" s="12">
        <f t="shared" si="12"/>
        <v>1.3242914227577493E-2</v>
      </c>
      <c r="CQ15" s="12">
        <f t="shared" si="12"/>
        <v>1.8372590751524885E-2</v>
      </c>
      <c r="CR15" s="12">
        <f t="shared" si="12"/>
        <v>0.10472335386959103</v>
      </c>
      <c r="CS15" s="12">
        <f t="shared" si="12"/>
        <v>6.2318076295906417E-2</v>
      </c>
      <c r="CT15" s="12">
        <f t="shared" si="12"/>
        <v>5.5439330625825747E-2</v>
      </c>
      <c r="CU15" s="12">
        <f t="shared" ref="CU15:DZ15" si="13">(CU5-CU11)^2</f>
        <v>2.555754512553322E-2</v>
      </c>
      <c r="CV15" s="12">
        <f t="shared" si="13"/>
        <v>0.14945034775487917</v>
      </c>
      <c r="CW15" s="12">
        <f t="shared" si="13"/>
        <v>4.7783269112132314E-2</v>
      </c>
      <c r="CX15" s="12">
        <f t="shared" si="13"/>
        <v>0.12440113571082576</v>
      </c>
      <c r="CY15" s="12">
        <f t="shared" si="13"/>
        <v>0.81529909070967488</v>
      </c>
      <c r="CZ15" s="12">
        <f t="shared" si="13"/>
        <v>0.73581563586357823</v>
      </c>
      <c r="DA15" s="12">
        <f t="shared" si="13"/>
        <v>2.3629752647211393E-2</v>
      </c>
      <c r="DB15" s="12">
        <f t="shared" si="13"/>
        <v>3.0570646440124507E-5</v>
      </c>
      <c r="DC15" s="12">
        <f t="shared" si="13"/>
        <v>3.6395098124620863E-2</v>
      </c>
      <c r="DD15" s="12">
        <f t="shared" si="13"/>
        <v>9.0200308798522137E-3</v>
      </c>
      <c r="DE15" s="12">
        <f t="shared" si="13"/>
        <v>2.3101023415185985E-4</v>
      </c>
      <c r="DF15" s="12">
        <f t="shared" si="13"/>
        <v>2.6166878481615374E-2</v>
      </c>
      <c r="DG15" s="12">
        <f t="shared" si="13"/>
        <v>9.4363804835477724E-2</v>
      </c>
      <c r="DH15" s="12">
        <f t="shared" si="13"/>
        <v>5.6926513976185622E-3</v>
      </c>
      <c r="DI15" s="12">
        <f t="shared" si="13"/>
        <v>4.2303999057832276E-2</v>
      </c>
      <c r="DJ15" s="12">
        <f t="shared" si="13"/>
        <v>0.48642939609493713</v>
      </c>
      <c r="DK15" s="12">
        <f t="shared" si="13"/>
        <v>0.49827152500565103</v>
      </c>
      <c r="DL15" s="12">
        <f t="shared" si="13"/>
        <v>3.2990117806426706E-4</v>
      </c>
      <c r="DM15" s="12">
        <f t="shared" si="13"/>
        <v>0.24458793532055284</v>
      </c>
      <c r="DN15" s="12">
        <f t="shared" si="13"/>
        <v>0.28587268337632138</v>
      </c>
      <c r="DO15" s="12">
        <f t="shared" si="13"/>
        <v>2.3710366226713867E-2</v>
      </c>
      <c r="DP15" s="12">
        <f t="shared" si="13"/>
        <v>3.0935729508473599E-2</v>
      </c>
      <c r="DQ15" s="12">
        <f t="shared" si="13"/>
        <v>0.17363486840004361</v>
      </c>
      <c r="DR15" s="12">
        <f t="shared" si="13"/>
        <v>1.8572711229447304E-4</v>
      </c>
      <c r="DS15" s="12">
        <f t="shared" si="13"/>
        <v>9.0501411550120425E-2</v>
      </c>
      <c r="DT15" s="12">
        <f t="shared" si="13"/>
        <v>4.6060258792716947E-2</v>
      </c>
      <c r="DU15" s="12">
        <f t="shared" si="13"/>
        <v>0.4595421135470566</v>
      </c>
      <c r="DV15" s="12">
        <f t="shared" si="13"/>
        <v>0.79042631394946739</v>
      </c>
      <c r="DW15" s="12">
        <f t="shared" si="13"/>
        <v>4.7237075398908444E-3</v>
      </c>
      <c r="DX15" s="12">
        <f t="shared" si="13"/>
        <v>3.981373410336142E-2</v>
      </c>
      <c r="DY15" s="12">
        <f t="shared" si="13"/>
        <v>0.16338876077619593</v>
      </c>
      <c r="DZ15" s="12">
        <f t="shared" si="13"/>
        <v>8.4262395240870328E-2</v>
      </c>
      <c r="EA15" s="12">
        <f t="shared" ref="EA15:EL15" si="14">(EA5-EA11)^2</f>
        <v>0.22088147431934338</v>
      </c>
      <c r="EB15" s="12">
        <f t="shared" si="14"/>
        <v>0.57864807061241097</v>
      </c>
      <c r="EC15" s="12">
        <f t="shared" si="14"/>
        <v>4.7340212681646274E-3</v>
      </c>
      <c r="ED15" s="12">
        <f t="shared" si="14"/>
        <v>5.8555783801559534E-2</v>
      </c>
      <c r="EE15" s="12">
        <f t="shared" si="14"/>
        <v>0.21032906751824104</v>
      </c>
      <c r="EF15" s="12">
        <f t="shared" si="14"/>
        <v>4.1054223424116711E-3</v>
      </c>
      <c r="EG15" s="12">
        <f t="shared" si="14"/>
        <v>0.28422993087409004</v>
      </c>
      <c r="EH15" s="12">
        <f t="shared" si="14"/>
        <v>2.2945318106387259E-2</v>
      </c>
      <c r="EI15" s="12">
        <f t="shared" si="14"/>
        <v>7.1583927823778232E-2</v>
      </c>
      <c r="EJ15" s="12">
        <f t="shared" si="14"/>
        <v>0.11049616040301714</v>
      </c>
      <c r="EK15" s="12">
        <f t="shared" si="14"/>
        <v>5.6103795054750084E-2</v>
      </c>
      <c r="EL15" s="12">
        <f t="shared" si="14"/>
        <v>2.7136502778546557E-2</v>
      </c>
    </row>
    <row r="17" spans="1:142" x14ac:dyDescent="0.55000000000000004">
      <c r="A17" s="12" t="s">
        <v>316</v>
      </c>
      <c r="B17" s="11" t="s">
        <v>143</v>
      </c>
      <c r="C17" s="12">
        <f t="shared" ref="C17:AH17" si="15">C9^2</f>
        <v>1.2666045513456905E-2</v>
      </c>
      <c r="D17" s="12">
        <f t="shared" si="15"/>
        <v>1.1626117288716482E-3</v>
      </c>
      <c r="E17" s="12">
        <f t="shared" si="15"/>
        <v>1.1622822395963564E-3</v>
      </c>
      <c r="F17" s="12">
        <f t="shared" si="15"/>
        <v>2.5788030573461524E-4</v>
      </c>
      <c r="G17" s="12">
        <f t="shared" si="15"/>
        <v>1.0487944424009639E-5</v>
      </c>
      <c r="H17" s="12">
        <f t="shared" si="15"/>
        <v>1.4364935465390096E-3</v>
      </c>
      <c r="I17" s="12">
        <f t="shared" si="15"/>
        <v>3.864386338764049E-2</v>
      </c>
      <c r="J17" s="12">
        <f t="shared" si="15"/>
        <v>1.5313568111687404E-2</v>
      </c>
      <c r="K17" s="12">
        <f t="shared" si="15"/>
        <v>1.1889104786972762E-5</v>
      </c>
      <c r="L17" s="12">
        <f t="shared" si="15"/>
        <v>3.169145950572987E-3</v>
      </c>
      <c r="M17" s="12">
        <f t="shared" si="15"/>
        <v>1.1069328776857747E-3</v>
      </c>
      <c r="N17" s="12">
        <f t="shared" si="15"/>
        <v>1.8312763226351187E-2</v>
      </c>
      <c r="O17" s="12">
        <f t="shared" si="15"/>
        <v>8.8181145475992571E-4</v>
      </c>
      <c r="P17" s="12">
        <f t="shared" si="15"/>
        <v>5.7637759062254502E-3</v>
      </c>
      <c r="Q17" s="12">
        <f t="shared" si="15"/>
        <v>3.9372620717504419E-3</v>
      </c>
      <c r="R17" s="12">
        <f t="shared" si="15"/>
        <v>1.1788766711519302E-3</v>
      </c>
      <c r="S17" s="12">
        <f t="shared" si="15"/>
        <v>1.3107772484422152E-2</v>
      </c>
      <c r="T17" s="12">
        <f t="shared" si="15"/>
        <v>1.6489384278698407E-2</v>
      </c>
      <c r="U17" s="12">
        <f t="shared" si="15"/>
        <v>3.2956879328580182E-4</v>
      </c>
      <c r="V17" s="12">
        <f t="shared" si="15"/>
        <v>9.4642206221482311E-3</v>
      </c>
      <c r="W17" s="12">
        <f t="shared" si="15"/>
        <v>4.1584519689720073E-3</v>
      </c>
      <c r="X17" s="12">
        <f t="shared" si="15"/>
        <v>1.7610299640475818E-2</v>
      </c>
      <c r="Y17" s="12">
        <f t="shared" si="15"/>
        <v>2.1043248606816143E-2</v>
      </c>
      <c r="Z17" s="12">
        <f t="shared" si="15"/>
        <v>2.5548193832773812E-2</v>
      </c>
      <c r="AA17" s="12">
        <f t="shared" si="15"/>
        <v>6.310661842837427E-3</v>
      </c>
      <c r="AB17" s="12">
        <f t="shared" si="15"/>
        <v>4.2855053126709744E-3</v>
      </c>
      <c r="AC17" s="12">
        <f t="shared" si="15"/>
        <v>1.1754370019318188E-2</v>
      </c>
      <c r="AD17" s="12">
        <f t="shared" si="15"/>
        <v>1.2363728491123058E-3</v>
      </c>
      <c r="AE17" s="12">
        <f t="shared" si="15"/>
        <v>1.7581161880065962E-2</v>
      </c>
      <c r="AF17" s="12">
        <f t="shared" si="15"/>
        <v>6.2674585134214911E-3</v>
      </c>
      <c r="AG17" s="12">
        <f t="shared" si="15"/>
        <v>2.1740676812218539E-2</v>
      </c>
      <c r="AH17" s="12">
        <f t="shared" si="15"/>
        <v>1.1703145246612808E-2</v>
      </c>
      <c r="AI17" s="12">
        <f t="shared" ref="AI17:BN17" si="16">AI9^2</f>
        <v>9.9256791077882234E-4</v>
      </c>
      <c r="AJ17" s="12">
        <f t="shared" si="16"/>
        <v>4.6682474313805783E-3</v>
      </c>
      <c r="AK17" s="12">
        <f t="shared" si="16"/>
        <v>1.9426901509749822E-2</v>
      </c>
      <c r="AL17" s="12">
        <f t="shared" si="16"/>
        <v>2.5368357021776314E-6</v>
      </c>
      <c r="AM17" s="12">
        <f t="shared" si="16"/>
        <v>1.3687416600648879E-2</v>
      </c>
      <c r="AN17" s="12">
        <f t="shared" si="16"/>
        <v>3.3667867001480778E-2</v>
      </c>
      <c r="AO17" s="12">
        <f t="shared" si="16"/>
        <v>1.8563061536081539E-4</v>
      </c>
      <c r="AP17" s="12">
        <f t="shared" si="16"/>
        <v>1.1314053777685528E-2</v>
      </c>
      <c r="AQ17" s="12">
        <f t="shared" si="16"/>
        <v>7.2518262086320362E-4</v>
      </c>
      <c r="AR17" s="12">
        <f t="shared" si="16"/>
        <v>1.7670699083096755E-3</v>
      </c>
      <c r="AS17" s="12">
        <f t="shared" si="16"/>
        <v>3.4956234977863014E-4</v>
      </c>
      <c r="AT17" s="12">
        <f t="shared" si="16"/>
        <v>2.5644608453737083E-3</v>
      </c>
      <c r="AU17" s="12">
        <f t="shared" si="16"/>
        <v>3.6497497211513768E-3</v>
      </c>
      <c r="AV17" s="12">
        <f t="shared" si="16"/>
        <v>2.4083180110471194E-3</v>
      </c>
      <c r="AW17" s="12">
        <f t="shared" si="16"/>
        <v>1.7104435285619985E-3</v>
      </c>
      <c r="AX17" s="12">
        <f t="shared" si="16"/>
        <v>1.7615421302200597E-2</v>
      </c>
      <c r="AY17" s="12">
        <f t="shared" si="16"/>
        <v>2.9839757967145076E-3</v>
      </c>
      <c r="AZ17" s="12">
        <f t="shared" si="16"/>
        <v>2.4638941192720314E-4</v>
      </c>
      <c r="BA17" s="12">
        <f t="shared" si="16"/>
        <v>1.6104486745865387E-4</v>
      </c>
      <c r="BB17" s="12">
        <f t="shared" si="16"/>
        <v>1.0889552028363718E-2</v>
      </c>
      <c r="BC17" s="12">
        <f t="shared" si="16"/>
        <v>7.726528256398658E-4</v>
      </c>
      <c r="BD17" s="12">
        <f t="shared" si="16"/>
        <v>2.4914481118366492E-4</v>
      </c>
      <c r="BE17" s="12">
        <f t="shared" si="16"/>
        <v>2.8879809026522022E-3</v>
      </c>
      <c r="BF17" s="12">
        <f t="shared" si="16"/>
        <v>2.3641656728030539E-2</v>
      </c>
      <c r="BG17" s="12">
        <f t="shared" si="16"/>
        <v>2.1688400992802687E-2</v>
      </c>
      <c r="BH17" s="12">
        <f t="shared" si="16"/>
        <v>3.4540933199014756E-3</v>
      </c>
      <c r="BI17" s="12">
        <f t="shared" si="16"/>
        <v>8.0435003023172393E-3</v>
      </c>
      <c r="BJ17" s="12">
        <f t="shared" si="16"/>
        <v>1.7003918762873397E-3</v>
      </c>
      <c r="BK17" s="12">
        <f t="shared" si="16"/>
        <v>7.3504436248979319E-3</v>
      </c>
      <c r="BL17" s="12">
        <f t="shared" si="16"/>
        <v>4.2789966271197079E-3</v>
      </c>
      <c r="BM17" s="12">
        <f t="shared" si="16"/>
        <v>9.8397358610158607E-4</v>
      </c>
      <c r="BN17" s="12">
        <f t="shared" si="16"/>
        <v>1.2503028352225424E-3</v>
      </c>
      <c r="BO17" s="12">
        <f t="shared" ref="BO17:CT17" si="17">BO9^2</f>
        <v>6.0379558937070366E-3</v>
      </c>
      <c r="BP17" s="12">
        <f t="shared" si="17"/>
        <v>2.1138566244388311E-4</v>
      </c>
      <c r="BQ17" s="12">
        <f t="shared" si="17"/>
        <v>2.9679249103678317E-3</v>
      </c>
      <c r="BR17" s="12">
        <f t="shared" si="17"/>
        <v>1.4351928207238259E-4</v>
      </c>
      <c r="BS17" s="12">
        <f t="shared" si="17"/>
        <v>3.8052149844080879E-3</v>
      </c>
      <c r="BT17" s="12">
        <f t="shared" si="17"/>
        <v>3.1010282491240106E-4</v>
      </c>
      <c r="BU17" s="12">
        <f t="shared" si="17"/>
        <v>3.1081621021773167E-6</v>
      </c>
      <c r="BV17" s="12">
        <f t="shared" si="17"/>
        <v>6.3842382740576208E-3</v>
      </c>
      <c r="BW17" s="12">
        <f t="shared" si="17"/>
        <v>6.8154289851229499E-4</v>
      </c>
      <c r="BX17" s="12">
        <f t="shared" si="17"/>
        <v>4.9072767140942951E-4</v>
      </c>
      <c r="BY17" s="12">
        <f t="shared" si="17"/>
        <v>4.9953407493678638E-3</v>
      </c>
      <c r="BZ17" s="12">
        <f t="shared" si="17"/>
        <v>1.0255941194995477E-2</v>
      </c>
      <c r="CA17" s="12">
        <f t="shared" si="17"/>
        <v>1.2468688367451651E-2</v>
      </c>
      <c r="CB17" s="12">
        <f t="shared" si="17"/>
        <v>4.5549044219705395E-4</v>
      </c>
      <c r="CC17" s="12">
        <f t="shared" si="17"/>
        <v>2.2430907414450268E-5</v>
      </c>
      <c r="CD17" s="12">
        <f t="shared" si="17"/>
        <v>3.2238565943435049E-2</v>
      </c>
      <c r="CE17" s="12">
        <f t="shared" si="17"/>
        <v>3.7586270344868462E-3</v>
      </c>
      <c r="CF17" s="12">
        <f t="shared" si="17"/>
        <v>8.3914346189550692E-3</v>
      </c>
      <c r="CG17" s="12">
        <f t="shared" si="17"/>
        <v>9.5437279262876491E-3</v>
      </c>
      <c r="CH17" s="12">
        <f t="shared" si="17"/>
        <v>2.4695218756790493E-2</v>
      </c>
      <c r="CI17" s="12">
        <f t="shared" si="17"/>
        <v>7.8583236189743964E-3</v>
      </c>
      <c r="CJ17" s="12">
        <f t="shared" si="17"/>
        <v>2.2307143446956667E-4</v>
      </c>
      <c r="CK17" s="12">
        <f t="shared" si="17"/>
        <v>1.4598769604738007E-3</v>
      </c>
      <c r="CL17" s="12">
        <f t="shared" si="17"/>
        <v>0.10065297810415598</v>
      </c>
      <c r="CM17" s="12">
        <f t="shared" si="17"/>
        <v>2.4949994680602489E-3</v>
      </c>
      <c r="CN17" s="12">
        <f t="shared" si="17"/>
        <v>1.478173864117635E-3</v>
      </c>
      <c r="CO17" s="12">
        <f t="shared" si="17"/>
        <v>5.0525359203288135E-7</v>
      </c>
      <c r="CP17" s="12">
        <f t="shared" si="17"/>
        <v>2.0941730307339403E-2</v>
      </c>
      <c r="CQ17" s="12">
        <f t="shared" si="17"/>
        <v>2.2287203833000955E-2</v>
      </c>
      <c r="CR17" s="12">
        <f t="shared" si="17"/>
        <v>1.584123909280288E-3</v>
      </c>
      <c r="CS17" s="12">
        <f t="shared" si="17"/>
        <v>2.1665225563138545E-3</v>
      </c>
      <c r="CT17" s="12">
        <f t="shared" si="17"/>
        <v>1.1651070263870925E-3</v>
      </c>
      <c r="CU17" s="12">
        <f t="shared" ref="CU17:DZ17" si="18">CU9^2</f>
        <v>1.6577606832289545E-2</v>
      </c>
      <c r="CV17" s="12">
        <f t="shared" si="18"/>
        <v>1.000796492099775E-3</v>
      </c>
      <c r="CW17" s="12">
        <f t="shared" si="18"/>
        <v>1.6969920043735692E-3</v>
      </c>
      <c r="CX17" s="12">
        <f t="shared" si="18"/>
        <v>2.6632751745885083E-2</v>
      </c>
      <c r="CY17" s="12">
        <f t="shared" si="18"/>
        <v>1.8589056577748007E-3</v>
      </c>
      <c r="CZ17" s="12">
        <f t="shared" si="18"/>
        <v>4.8430116879809769E-2</v>
      </c>
      <c r="DA17" s="12">
        <f t="shared" si="18"/>
        <v>1.7159254348622669E-3</v>
      </c>
      <c r="DB17" s="12">
        <f t="shared" si="18"/>
        <v>1.3778003978538622E-4</v>
      </c>
      <c r="DC17" s="12">
        <f t="shared" si="18"/>
        <v>1.1614603978836315E-2</v>
      </c>
      <c r="DD17" s="12">
        <f t="shared" si="18"/>
        <v>4.5190680134994873E-3</v>
      </c>
      <c r="DE17" s="12">
        <f t="shared" si="18"/>
        <v>1.6109890361831183E-3</v>
      </c>
      <c r="DF17" s="12">
        <f t="shared" si="18"/>
        <v>1.3247345119772221E-3</v>
      </c>
      <c r="DG17" s="12">
        <f t="shared" si="18"/>
        <v>9.6159696616915993E-3</v>
      </c>
      <c r="DH17" s="12">
        <f t="shared" si="18"/>
        <v>1.4510246056180623E-4</v>
      </c>
      <c r="DI17" s="12">
        <f t="shared" si="18"/>
        <v>7.9942509615970447E-3</v>
      </c>
      <c r="DJ17" s="12">
        <f t="shared" si="18"/>
        <v>3.0242167846253869E-3</v>
      </c>
      <c r="DK17" s="12">
        <f t="shared" si="18"/>
        <v>3.2703059136826649E-3</v>
      </c>
      <c r="DL17" s="12">
        <f t="shared" si="18"/>
        <v>8.5757031288294274E-4</v>
      </c>
      <c r="DM17" s="12">
        <f t="shared" si="18"/>
        <v>9.8614398008206898E-4</v>
      </c>
      <c r="DN17" s="12">
        <f t="shared" si="18"/>
        <v>7.1256597403241044E-3</v>
      </c>
      <c r="DO17" s="12">
        <f t="shared" si="18"/>
        <v>2.3204276600645611E-3</v>
      </c>
      <c r="DP17" s="12">
        <f t="shared" si="18"/>
        <v>8.1624761657772462E-3</v>
      </c>
      <c r="DQ17" s="12">
        <f t="shared" si="18"/>
        <v>1.4084086291411729E-2</v>
      </c>
      <c r="DR17" s="12">
        <f t="shared" si="18"/>
        <v>1.2211922168922756E-2</v>
      </c>
      <c r="DS17" s="12">
        <f t="shared" si="18"/>
        <v>5.4485980134236361E-3</v>
      </c>
      <c r="DT17" s="12">
        <f t="shared" si="18"/>
        <v>1.1307947528387891E-2</v>
      </c>
      <c r="DU17" s="12">
        <f t="shared" si="18"/>
        <v>9.2602551049337026E-5</v>
      </c>
      <c r="DV17" s="12">
        <f t="shared" si="18"/>
        <v>2.0785340442542481E-2</v>
      </c>
      <c r="DW17" s="12">
        <f t="shared" si="18"/>
        <v>7.2781735843871626E-3</v>
      </c>
      <c r="DX17" s="12">
        <f t="shared" si="18"/>
        <v>1.2183784079319072E-2</v>
      </c>
      <c r="DY17" s="12">
        <f t="shared" si="18"/>
        <v>1.6565678276142134E-2</v>
      </c>
      <c r="DZ17" s="12">
        <f t="shared" si="18"/>
        <v>2.8377042339512494E-3</v>
      </c>
      <c r="EA17" s="12">
        <f t="shared" ref="EA17:EL17" si="19">EA9^2</f>
        <v>3.0017938058795872E-2</v>
      </c>
      <c r="EB17" s="12">
        <f t="shared" si="19"/>
        <v>1.5041652578188212E-4</v>
      </c>
      <c r="EC17" s="12">
        <f t="shared" si="19"/>
        <v>5.9784586524400289E-3</v>
      </c>
      <c r="ED17" s="12">
        <f t="shared" si="19"/>
        <v>2.7259244290559634E-2</v>
      </c>
      <c r="EE17" s="12">
        <f t="shared" si="19"/>
        <v>6.0205871832503463E-3</v>
      </c>
      <c r="EF17" s="12">
        <f t="shared" si="19"/>
        <v>3.2135650292643126E-3</v>
      </c>
      <c r="EG17" s="12">
        <f t="shared" si="19"/>
        <v>3.0875549674421267E-2</v>
      </c>
      <c r="EH17" s="12">
        <f t="shared" si="19"/>
        <v>2.5742186789007686E-3</v>
      </c>
      <c r="EI17" s="12">
        <f t="shared" si="19"/>
        <v>1.0876589340337397E-3</v>
      </c>
      <c r="EJ17" s="12">
        <f t="shared" si="19"/>
        <v>3.0650660788250426E-2</v>
      </c>
      <c r="EK17" s="12">
        <f t="shared" si="19"/>
        <v>5.7309946171932155E-3</v>
      </c>
      <c r="EL17" s="12">
        <f t="shared" si="19"/>
        <v>1.2423050445518473E-2</v>
      </c>
    </row>
    <row r="18" spans="1:142" x14ac:dyDescent="0.55000000000000004">
      <c r="B18" s="11" t="s">
        <v>144</v>
      </c>
      <c r="C18" s="12">
        <f t="shared" ref="C18:AH18" si="20">C10^2</f>
        <v>7.0583234612049031E-2</v>
      </c>
      <c r="D18" s="12">
        <f t="shared" si="20"/>
        <v>6.9035365876965127E-2</v>
      </c>
      <c r="E18" s="12">
        <f t="shared" si="20"/>
        <v>6.1929810965312294E-3</v>
      </c>
      <c r="F18" s="12">
        <f t="shared" si="20"/>
        <v>4.3173842849999946E-3</v>
      </c>
      <c r="G18" s="12">
        <f t="shared" si="20"/>
        <v>3.5999674206468025E-3</v>
      </c>
      <c r="H18" s="12">
        <f t="shared" si="20"/>
        <v>8.2414856483061776E-3</v>
      </c>
      <c r="I18" s="12">
        <f t="shared" si="20"/>
        <v>8.7281584519356508E-4</v>
      </c>
      <c r="J18" s="12">
        <f t="shared" si="20"/>
        <v>4.7273999175136581E-3</v>
      </c>
      <c r="K18" s="12">
        <f t="shared" si="20"/>
        <v>2.0639580493784326E-3</v>
      </c>
      <c r="L18" s="12">
        <f t="shared" si="20"/>
        <v>8.5284274052683778E-3</v>
      </c>
      <c r="M18" s="12">
        <f t="shared" si="20"/>
        <v>3.0616715449860813E-5</v>
      </c>
      <c r="N18" s="12">
        <f t="shared" si="20"/>
        <v>4.1058737162133076E-2</v>
      </c>
      <c r="O18" s="12">
        <f t="shared" si="20"/>
        <v>3.0735036647193429E-3</v>
      </c>
      <c r="P18" s="12">
        <f t="shared" si="20"/>
        <v>3.9714495356086219E-3</v>
      </c>
      <c r="Q18" s="12">
        <f t="shared" si="20"/>
        <v>2.614018244210101E-3</v>
      </c>
      <c r="R18" s="12">
        <f t="shared" si="20"/>
        <v>6.9533810891631272E-6</v>
      </c>
      <c r="S18" s="12">
        <f t="shared" si="20"/>
        <v>1.3775821160686694E-2</v>
      </c>
      <c r="T18" s="12">
        <f t="shared" si="20"/>
        <v>7.9079389439246659E-4</v>
      </c>
      <c r="U18" s="12">
        <f t="shared" si="20"/>
        <v>5.9534527999480669E-4</v>
      </c>
      <c r="V18" s="12">
        <f t="shared" si="20"/>
        <v>6.0975357403750172E-6</v>
      </c>
      <c r="W18" s="12">
        <f t="shared" si="20"/>
        <v>1.6721591139177067E-2</v>
      </c>
      <c r="X18" s="12">
        <f t="shared" si="20"/>
        <v>6.1126739904389417E-3</v>
      </c>
      <c r="Y18" s="12">
        <f t="shared" si="20"/>
        <v>2.8187263828103253E-4</v>
      </c>
      <c r="Z18" s="12">
        <f t="shared" si="20"/>
        <v>4.7331796275692692E-4</v>
      </c>
      <c r="AA18" s="12">
        <f t="shared" si="20"/>
        <v>3.1432586359156798E-3</v>
      </c>
      <c r="AB18" s="12">
        <f t="shared" si="20"/>
        <v>6.8395209861095343E-4</v>
      </c>
      <c r="AC18" s="12">
        <f t="shared" si="20"/>
        <v>4.9766606125997773E-3</v>
      </c>
      <c r="AD18" s="12">
        <f t="shared" si="20"/>
        <v>2.1214645497072315E-3</v>
      </c>
      <c r="AE18" s="12">
        <f t="shared" si="20"/>
        <v>1.7695398663558504E-2</v>
      </c>
      <c r="AF18" s="12">
        <f t="shared" si="20"/>
        <v>7.9705173466638052E-3</v>
      </c>
      <c r="AG18" s="12">
        <f t="shared" si="20"/>
        <v>3.518952291271736E-3</v>
      </c>
      <c r="AH18" s="12">
        <f t="shared" si="20"/>
        <v>3.0523474908695971E-3</v>
      </c>
      <c r="AI18" s="12">
        <f t="shared" ref="AI18:BN18" si="21">AI10^2</f>
        <v>1.185623927579178E-3</v>
      </c>
      <c r="AJ18" s="12">
        <f t="shared" si="21"/>
        <v>1.0237802124298369E-6</v>
      </c>
      <c r="AK18" s="12">
        <f t="shared" si="21"/>
        <v>1.016103205494516E-4</v>
      </c>
      <c r="AL18" s="12">
        <f t="shared" si="21"/>
        <v>1.4372104011824996E-2</v>
      </c>
      <c r="AM18" s="12">
        <f t="shared" si="21"/>
        <v>2.7177603141634504E-5</v>
      </c>
      <c r="AN18" s="12">
        <f t="shared" si="21"/>
        <v>1.1738401834835686E-2</v>
      </c>
      <c r="AO18" s="12">
        <f t="shared" si="21"/>
        <v>3.4060268405346861E-3</v>
      </c>
      <c r="AP18" s="12">
        <f t="shared" si="21"/>
        <v>1.1728142866459952E-4</v>
      </c>
      <c r="AQ18" s="12">
        <f t="shared" si="21"/>
        <v>8.4048617701935411E-5</v>
      </c>
      <c r="AR18" s="12">
        <f t="shared" si="21"/>
        <v>8.9707763440349617E-3</v>
      </c>
      <c r="AS18" s="12">
        <f t="shared" si="21"/>
        <v>5.9547640450053046E-4</v>
      </c>
      <c r="AT18" s="12">
        <f t="shared" si="21"/>
        <v>4.0529859702737226E-6</v>
      </c>
      <c r="AU18" s="12">
        <f t="shared" si="21"/>
        <v>2.7939317896037621E-2</v>
      </c>
      <c r="AV18" s="12">
        <f t="shared" si="21"/>
        <v>1.154114605418815E-3</v>
      </c>
      <c r="AW18" s="12">
        <f t="shared" si="21"/>
        <v>2.8348249672044569E-4</v>
      </c>
      <c r="AX18" s="12">
        <f t="shared" si="21"/>
        <v>1.2045375137628551E-3</v>
      </c>
      <c r="AY18" s="12">
        <f t="shared" si="21"/>
        <v>2.686582459874995E-5</v>
      </c>
      <c r="AZ18" s="12">
        <f t="shared" si="21"/>
        <v>1.4336846125472653E-2</v>
      </c>
      <c r="BA18" s="12">
        <f t="shared" si="21"/>
        <v>1.8282481963562591E-2</v>
      </c>
      <c r="BB18" s="12">
        <f t="shared" si="21"/>
        <v>2.8838831925469255E-4</v>
      </c>
      <c r="BC18" s="12">
        <f t="shared" si="21"/>
        <v>5.3242645496798236E-4</v>
      </c>
      <c r="BD18" s="12">
        <f t="shared" si="21"/>
        <v>1.4398689696955768E-2</v>
      </c>
      <c r="BE18" s="12">
        <f t="shared" si="21"/>
        <v>1.6725855903570834E-2</v>
      </c>
      <c r="BF18" s="12">
        <f t="shared" si="21"/>
        <v>2.7922125775347261E-4</v>
      </c>
      <c r="BG18" s="12">
        <f t="shared" si="21"/>
        <v>4.9759097930765093E-4</v>
      </c>
      <c r="BH18" s="12">
        <f t="shared" si="21"/>
        <v>1.5447321666435818E-3</v>
      </c>
      <c r="BI18" s="12">
        <f t="shared" si="21"/>
        <v>1.0098014253620124E-2</v>
      </c>
      <c r="BJ18" s="12">
        <f t="shared" si="21"/>
        <v>1.0402016368989053E-2</v>
      </c>
      <c r="BK18" s="12">
        <f t="shared" si="21"/>
        <v>9.9751456048205091E-3</v>
      </c>
      <c r="BL18" s="12">
        <f t="shared" si="21"/>
        <v>1.0846508015869634E-3</v>
      </c>
      <c r="BM18" s="12">
        <f t="shared" si="21"/>
        <v>6.9103267130594807E-4</v>
      </c>
      <c r="BN18" s="12">
        <f t="shared" si="21"/>
        <v>1.1523055022359915E-2</v>
      </c>
      <c r="BO18" s="12">
        <f t="shared" ref="BO18:CT18" si="22">BO10^2</f>
        <v>6.5568448645188465E-4</v>
      </c>
      <c r="BP18" s="12">
        <f t="shared" si="22"/>
        <v>1.4984641849390969E-2</v>
      </c>
      <c r="BQ18" s="12">
        <f t="shared" si="22"/>
        <v>2.0648098962307506E-3</v>
      </c>
      <c r="BR18" s="12">
        <f t="shared" si="22"/>
        <v>5.0792671509107693E-3</v>
      </c>
      <c r="BS18" s="12">
        <f t="shared" si="22"/>
        <v>4.6374546616554831E-3</v>
      </c>
      <c r="BT18" s="12">
        <f t="shared" si="22"/>
        <v>8.5014451752064204E-3</v>
      </c>
      <c r="BU18" s="12">
        <f t="shared" si="22"/>
        <v>6.8723466440097324E-3</v>
      </c>
      <c r="BV18" s="12">
        <f t="shared" si="22"/>
        <v>1.7057830524930843E-3</v>
      </c>
      <c r="BW18" s="12">
        <f t="shared" si="22"/>
        <v>9.870657355676141E-3</v>
      </c>
      <c r="BX18" s="12">
        <f t="shared" si="22"/>
        <v>1.4550324325886552E-3</v>
      </c>
      <c r="BY18" s="12">
        <f t="shared" si="22"/>
        <v>1.2653419874854034E-2</v>
      </c>
      <c r="BZ18" s="12">
        <f t="shared" si="22"/>
        <v>1.4349158272962987E-3</v>
      </c>
      <c r="CA18" s="12">
        <f t="shared" si="22"/>
        <v>8.379938330191251E-3</v>
      </c>
      <c r="CB18" s="12">
        <f t="shared" si="22"/>
        <v>1.5533274544565366E-2</v>
      </c>
      <c r="CC18" s="12">
        <f t="shared" si="22"/>
        <v>3.8068832991050234E-3</v>
      </c>
      <c r="CD18" s="12">
        <f t="shared" si="22"/>
        <v>5.7560098823881915E-3</v>
      </c>
      <c r="CE18" s="12">
        <f t="shared" si="22"/>
        <v>4.89689917236781E-2</v>
      </c>
      <c r="CF18" s="12">
        <f t="shared" si="22"/>
        <v>7.5266171015590395E-5</v>
      </c>
      <c r="CG18" s="12">
        <f t="shared" si="22"/>
        <v>1.0103666014275963E-3</v>
      </c>
      <c r="CH18" s="12">
        <f t="shared" si="22"/>
        <v>1.4299073613561451E-3</v>
      </c>
      <c r="CI18" s="12">
        <f t="shared" si="22"/>
        <v>2.4551101814228658E-3</v>
      </c>
      <c r="CJ18" s="12">
        <f t="shared" si="22"/>
        <v>1.0877816794473557E-4</v>
      </c>
      <c r="CK18" s="12">
        <f t="shared" si="22"/>
        <v>6.9462802523465698E-3</v>
      </c>
      <c r="CL18" s="12">
        <f t="shared" si="22"/>
        <v>2.853922071885848E-3</v>
      </c>
      <c r="CM18" s="12">
        <f t="shared" si="22"/>
        <v>3.6243634698796608E-2</v>
      </c>
      <c r="CN18" s="12">
        <f t="shared" si="22"/>
        <v>3.3893155588879558E-3</v>
      </c>
      <c r="CO18" s="12">
        <f t="shared" si="22"/>
        <v>2.0353735078697414E-2</v>
      </c>
      <c r="CP18" s="12">
        <f t="shared" si="22"/>
        <v>1.7452992380574768E-3</v>
      </c>
      <c r="CQ18" s="12">
        <f t="shared" si="22"/>
        <v>2.871254066004578E-2</v>
      </c>
      <c r="CR18" s="12">
        <f t="shared" si="22"/>
        <v>7.1927777034655922E-3</v>
      </c>
      <c r="CS18" s="12">
        <f t="shared" si="22"/>
        <v>1.2090133687348873E-3</v>
      </c>
      <c r="CT18" s="12">
        <f t="shared" si="22"/>
        <v>1.4231762232382102E-2</v>
      </c>
      <c r="CU18" s="12">
        <f t="shared" ref="CU18:DZ18" si="23">CU10^2</f>
        <v>3.1666839202875341E-4</v>
      </c>
      <c r="CV18" s="12">
        <f t="shared" si="23"/>
        <v>2.200513403345631E-4</v>
      </c>
      <c r="CW18" s="12">
        <f t="shared" si="23"/>
        <v>2.1454558982603165E-3</v>
      </c>
      <c r="CX18" s="12">
        <f t="shared" si="23"/>
        <v>9.3382632902195336E-3</v>
      </c>
      <c r="CY18" s="12">
        <f t="shared" si="23"/>
        <v>6.2148603277439006E-3</v>
      </c>
      <c r="CZ18" s="12">
        <f t="shared" si="23"/>
        <v>4.5167450971918308E-2</v>
      </c>
      <c r="DA18" s="12">
        <f t="shared" si="23"/>
        <v>1.292439782753551E-2</v>
      </c>
      <c r="DB18" s="12">
        <f t="shared" si="23"/>
        <v>3.3526307490429577E-2</v>
      </c>
      <c r="DC18" s="12">
        <f t="shared" si="23"/>
        <v>1.8062385168218322E-3</v>
      </c>
      <c r="DD18" s="12">
        <f t="shared" si="23"/>
        <v>7.7381865423368276E-4</v>
      </c>
      <c r="DE18" s="12">
        <f t="shared" si="23"/>
        <v>4.7070490502091108E-3</v>
      </c>
      <c r="DF18" s="12">
        <f t="shared" si="23"/>
        <v>1.7714242163053215E-2</v>
      </c>
      <c r="DG18" s="12">
        <f t="shared" si="23"/>
        <v>4.9505300705022424E-2</v>
      </c>
      <c r="DH18" s="12">
        <f t="shared" si="23"/>
        <v>1.7097859091504439E-2</v>
      </c>
      <c r="DI18" s="12">
        <f t="shared" si="23"/>
        <v>1.2032298510184204E-2</v>
      </c>
      <c r="DJ18" s="12">
        <f t="shared" si="23"/>
        <v>1.220444308717593E-2</v>
      </c>
      <c r="DK18" s="12">
        <f t="shared" si="23"/>
        <v>7.3197250439033393E-3</v>
      </c>
      <c r="DL18" s="12">
        <f t="shared" si="23"/>
        <v>1.4366195064385264E-3</v>
      </c>
      <c r="DM18" s="12">
        <f t="shared" si="23"/>
        <v>6.9807085676605657E-3</v>
      </c>
      <c r="DN18" s="12">
        <f t="shared" si="23"/>
        <v>3.0321161507150685E-3</v>
      </c>
      <c r="DO18" s="12">
        <f t="shared" si="23"/>
        <v>8.3547599778332517E-3</v>
      </c>
      <c r="DP18" s="12">
        <f t="shared" si="23"/>
        <v>2.1420638348559156E-2</v>
      </c>
      <c r="DQ18" s="12">
        <f t="shared" si="23"/>
        <v>5.2684965080723725E-3</v>
      </c>
      <c r="DR18" s="12">
        <f t="shared" si="23"/>
        <v>1.367741050829383E-3</v>
      </c>
      <c r="DS18" s="12">
        <f t="shared" si="23"/>
        <v>2.5118676747116171E-2</v>
      </c>
      <c r="DT18" s="12">
        <f t="shared" si="23"/>
        <v>5.8882404023547063E-3</v>
      </c>
      <c r="DU18" s="12">
        <f t="shared" si="23"/>
        <v>2.1469077375684948E-2</v>
      </c>
      <c r="DV18" s="12">
        <f t="shared" si="23"/>
        <v>8.4902455692383643E-5</v>
      </c>
      <c r="DW18" s="12">
        <f t="shared" si="23"/>
        <v>1.6408208936021136E-2</v>
      </c>
      <c r="DX18" s="12">
        <f t="shared" si="23"/>
        <v>3.3395428949661303E-3</v>
      </c>
      <c r="DY18" s="12">
        <f t="shared" si="23"/>
        <v>1.0718607236996892E-2</v>
      </c>
      <c r="DZ18" s="12">
        <f t="shared" si="23"/>
        <v>2.8352679458870118E-3</v>
      </c>
      <c r="EA18" s="12">
        <f t="shared" ref="EA18:EL18" si="24">EA10^2</f>
        <v>1.2323491226925956E-2</v>
      </c>
      <c r="EB18" s="12">
        <f t="shared" si="24"/>
        <v>3.2875363402886547E-3</v>
      </c>
      <c r="EC18" s="12">
        <f t="shared" si="24"/>
        <v>2.8267433776283861E-3</v>
      </c>
      <c r="ED18" s="12">
        <f t="shared" si="24"/>
        <v>3.1215693612882396E-3</v>
      </c>
      <c r="EE18" s="12">
        <f t="shared" si="24"/>
        <v>2.3518689842812045E-2</v>
      </c>
      <c r="EF18" s="12">
        <f t="shared" si="24"/>
        <v>1.3048804172943707E-2</v>
      </c>
      <c r="EG18" s="12">
        <f t="shared" si="24"/>
        <v>1.936494302266145E-3</v>
      </c>
      <c r="EH18" s="12">
        <f t="shared" si="24"/>
        <v>3.077972541738842E-4</v>
      </c>
      <c r="EI18" s="12">
        <f t="shared" si="24"/>
        <v>7.4702785854801352E-3</v>
      </c>
      <c r="EJ18" s="12">
        <f t="shared" si="24"/>
        <v>1.8276483639926511E-2</v>
      </c>
      <c r="EK18" s="12">
        <f t="shared" si="24"/>
        <v>1.6255794883842E-2</v>
      </c>
      <c r="EL18" s="12">
        <f t="shared" si="24"/>
        <v>9.2434976999203604E-4</v>
      </c>
    </row>
    <row r="19" spans="1:142" x14ac:dyDescent="0.55000000000000004">
      <c r="B19" s="14" t="s">
        <v>145</v>
      </c>
      <c r="C19" s="12">
        <f t="shared" ref="C19:AH19" si="25">C11^2</f>
        <v>5.8153143145240173E-4</v>
      </c>
      <c r="D19" s="12">
        <f t="shared" si="25"/>
        <v>1.9628178432931194E-2</v>
      </c>
      <c r="E19" s="12">
        <f t="shared" si="25"/>
        <v>3.0061838714817604E-5</v>
      </c>
      <c r="F19" s="12">
        <f t="shared" si="25"/>
        <v>2.310528788443443E-3</v>
      </c>
      <c r="G19" s="12">
        <f t="shared" si="25"/>
        <v>9.7133819880721884E-3</v>
      </c>
      <c r="H19" s="12">
        <f t="shared" si="25"/>
        <v>1.6213023395192137E-5</v>
      </c>
      <c r="I19" s="12">
        <f t="shared" si="25"/>
        <v>2.9585894458706834E-3</v>
      </c>
      <c r="J19" s="12">
        <f t="shared" si="25"/>
        <v>6.1572149395946887E-7</v>
      </c>
      <c r="K19" s="12">
        <f t="shared" si="25"/>
        <v>1.023081774765161E-3</v>
      </c>
      <c r="L19" s="12">
        <f t="shared" si="25"/>
        <v>2.709523456510785E-5</v>
      </c>
      <c r="M19" s="12">
        <f t="shared" si="25"/>
        <v>7.019955547199642E-3</v>
      </c>
      <c r="N19" s="12">
        <f t="shared" si="25"/>
        <v>3.2392577650876436E-3</v>
      </c>
      <c r="O19" s="12">
        <f t="shared" si="25"/>
        <v>4.693677682563604E-3</v>
      </c>
      <c r="P19" s="12">
        <f t="shared" si="25"/>
        <v>8.1849470708099978E-4</v>
      </c>
      <c r="Q19" s="12">
        <f t="shared" si="25"/>
        <v>4.4694344545509737E-3</v>
      </c>
      <c r="R19" s="12">
        <f t="shared" si="25"/>
        <v>4.8481813103548414E-6</v>
      </c>
      <c r="S19" s="12">
        <f t="shared" si="25"/>
        <v>1.8036729226186574E-2</v>
      </c>
      <c r="T19" s="12">
        <f t="shared" si="25"/>
        <v>1.7139542649111803E-2</v>
      </c>
      <c r="U19" s="12">
        <f t="shared" si="25"/>
        <v>1.7250173055289455E-4</v>
      </c>
      <c r="V19" s="12">
        <f t="shared" si="25"/>
        <v>6.8555808411585725E-4</v>
      </c>
      <c r="W19" s="12">
        <f t="shared" si="25"/>
        <v>8.8920052009766187E-3</v>
      </c>
      <c r="X19" s="12">
        <f t="shared" si="25"/>
        <v>9.0795785732861956E-2</v>
      </c>
      <c r="Y19" s="12">
        <f t="shared" si="25"/>
        <v>1.1756836573740487E-2</v>
      </c>
      <c r="Z19" s="12">
        <f t="shared" si="25"/>
        <v>2.0091626477859378E-2</v>
      </c>
      <c r="AA19" s="12">
        <f t="shared" si="25"/>
        <v>1.3693969732866972E-2</v>
      </c>
      <c r="AB19" s="12">
        <f t="shared" si="25"/>
        <v>4.9195436655692041E-4</v>
      </c>
      <c r="AC19" s="12">
        <f t="shared" si="25"/>
        <v>7.4754978074201501E-3</v>
      </c>
      <c r="AD19" s="12">
        <f t="shared" si="25"/>
        <v>4.6074081158003154E-4</v>
      </c>
      <c r="AE19" s="12">
        <f t="shared" si="25"/>
        <v>2.378326451738404E-2</v>
      </c>
      <c r="AF19" s="12">
        <f t="shared" si="25"/>
        <v>2.1459158267300382E-2</v>
      </c>
      <c r="AG19" s="12">
        <f t="shared" si="25"/>
        <v>2.2104621491833513E-3</v>
      </c>
      <c r="AH19" s="12">
        <f t="shared" si="25"/>
        <v>3.8770392731515835E-4</v>
      </c>
      <c r="AI19" s="12">
        <f t="shared" ref="AI19:BN19" si="26">AI11^2</f>
        <v>1.5452066151398086E-3</v>
      </c>
      <c r="AJ19" s="12">
        <f t="shared" si="26"/>
        <v>7.0881207001841399E-4</v>
      </c>
      <c r="AK19" s="12">
        <f t="shared" si="26"/>
        <v>6.3127073359269155E-4</v>
      </c>
      <c r="AL19" s="12">
        <f t="shared" si="26"/>
        <v>1.0700655310247002E-2</v>
      </c>
      <c r="AM19" s="12">
        <f t="shared" si="26"/>
        <v>3.8316990931284724E-3</v>
      </c>
      <c r="AN19" s="12">
        <f t="shared" si="26"/>
        <v>5.88765483285287E-3</v>
      </c>
      <c r="AO19" s="12">
        <f t="shared" si="26"/>
        <v>9.797579411296246E-3</v>
      </c>
      <c r="AP19" s="12">
        <f t="shared" si="26"/>
        <v>2.9242887440202683E-3</v>
      </c>
      <c r="AQ19" s="12">
        <f t="shared" si="26"/>
        <v>9.1517696977197645E-4</v>
      </c>
      <c r="AR19" s="12">
        <f t="shared" si="26"/>
        <v>2.0169619247039447E-7</v>
      </c>
      <c r="AS19" s="12">
        <f t="shared" si="26"/>
        <v>4.9272344479186891E-3</v>
      </c>
      <c r="AT19" s="12">
        <f t="shared" si="26"/>
        <v>3.0377987717155362E-2</v>
      </c>
      <c r="AU19" s="12">
        <f t="shared" si="26"/>
        <v>6.6236266054204252E-3</v>
      </c>
      <c r="AV19" s="12">
        <f t="shared" si="26"/>
        <v>2.2727409222794835E-2</v>
      </c>
      <c r="AW19" s="12">
        <f t="shared" si="26"/>
        <v>3.2949572145190859E-3</v>
      </c>
      <c r="AX19" s="12">
        <f t="shared" si="26"/>
        <v>2.462478227124314E-2</v>
      </c>
      <c r="AY19" s="12">
        <f t="shared" si="26"/>
        <v>2.2179778309706372E-3</v>
      </c>
      <c r="AZ19" s="12">
        <f t="shared" si="26"/>
        <v>3.2624645793559223E-3</v>
      </c>
      <c r="BA19" s="12">
        <f t="shared" si="26"/>
        <v>5.0227242708570025E-4</v>
      </c>
      <c r="BB19" s="12">
        <f t="shared" si="26"/>
        <v>2.3331412145078841E-2</v>
      </c>
      <c r="BC19" s="12">
        <f t="shared" si="26"/>
        <v>5.2753789843414665E-4</v>
      </c>
      <c r="BD19" s="12">
        <f t="shared" si="26"/>
        <v>1.0842360933899317E-6</v>
      </c>
      <c r="BE19" s="12">
        <f t="shared" si="26"/>
        <v>1.7717480921897233E-2</v>
      </c>
      <c r="BF19" s="12">
        <f t="shared" si="26"/>
        <v>3.845900709038845E-2</v>
      </c>
      <c r="BG19" s="12">
        <f t="shared" si="26"/>
        <v>3.5650383618853497E-2</v>
      </c>
      <c r="BH19" s="12">
        <f t="shared" si="26"/>
        <v>1.0143923035375119E-2</v>
      </c>
      <c r="BI19" s="12">
        <f t="shared" si="26"/>
        <v>1.5820914485198231E-2</v>
      </c>
      <c r="BJ19" s="12">
        <f t="shared" si="26"/>
        <v>1.1983016877045114E-4</v>
      </c>
      <c r="BK19" s="12">
        <f t="shared" si="26"/>
        <v>3.7882699303298365E-3</v>
      </c>
      <c r="BL19" s="12">
        <f t="shared" si="26"/>
        <v>2.2637784796257124E-2</v>
      </c>
      <c r="BM19" s="12">
        <f t="shared" si="26"/>
        <v>1.6282460522216425E-2</v>
      </c>
      <c r="BN19" s="12">
        <f t="shared" si="26"/>
        <v>3.1922263771997728E-4</v>
      </c>
      <c r="BO19" s="12">
        <f t="shared" ref="BO19:CT19" si="27">BO11^2</f>
        <v>6.4130271119962725E-4</v>
      </c>
      <c r="BP19" s="12">
        <f t="shared" si="27"/>
        <v>1.6041011940657111E-3</v>
      </c>
      <c r="BQ19" s="12">
        <f t="shared" si="27"/>
        <v>1.7861278978334137E-3</v>
      </c>
      <c r="BR19" s="12">
        <f t="shared" si="27"/>
        <v>3.1998823749225788E-2</v>
      </c>
      <c r="BS19" s="12">
        <f t="shared" si="27"/>
        <v>9.8265675809627931E-3</v>
      </c>
      <c r="BT19" s="12">
        <f t="shared" si="27"/>
        <v>1.6451145844639859E-3</v>
      </c>
      <c r="BU19" s="12">
        <f t="shared" si="27"/>
        <v>3.9995323647289719E-3</v>
      </c>
      <c r="BV19" s="12">
        <f t="shared" si="27"/>
        <v>9.2509595725038286E-3</v>
      </c>
      <c r="BW19" s="12">
        <f t="shared" si="27"/>
        <v>1.8513100358569293E-2</v>
      </c>
      <c r="BX19" s="12">
        <f t="shared" si="27"/>
        <v>2.5219794928494842E-5</v>
      </c>
      <c r="BY19" s="12">
        <f t="shared" si="27"/>
        <v>1.2620251098218484E-2</v>
      </c>
      <c r="BZ19" s="12">
        <f t="shared" si="27"/>
        <v>1.1712197785772223E-3</v>
      </c>
      <c r="CA19" s="12">
        <f t="shared" si="27"/>
        <v>4.9071719098125986E-3</v>
      </c>
      <c r="CB19" s="12">
        <f t="shared" si="27"/>
        <v>5.5993201561713093E-4</v>
      </c>
      <c r="CC19" s="12">
        <f t="shared" si="27"/>
        <v>8.824382461301742E-3</v>
      </c>
      <c r="CD19" s="12">
        <f t="shared" si="27"/>
        <v>8.9484545030481732E-4</v>
      </c>
      <c r="CE19" s="12">
        <f t="shared" si="27"/>
        <v>1.1417427062414108E-2</v>
      </c>
      <c r="CF19" s="12">
        <f t="shared" si="27"/>
        <v>3.4320091092787681E-3</v>
      </c>
      <c r="CG19" s="12">
        <f t="shared" si="27"/>
        <v>1.4057446659094922E-2</v>
      </c>
      <c r="CH19" s="12">
        <f t="shared" si="27"/>
        <v>2.2863186936612221E-3</v>
      </c>
      <c r="CI19" s="12">
        <f t="shared" si="27"/>
        <v>3.7897710462533344E-3</v>
      </c>
      <c r="CJ19" s="12">
        <f t="shared" si="27"/>
        <v>5.1719587863441066E-2</v>
      </c>
      <c r="CK19" s="12">
        <f t="shared" si="27"/>
        <v>1.7752577814868515E-2</v>
      </c>
      <c r="CL19" s="12">
        <f t="shared" si="27"/>
        <v>1.6209895103192339E-3</v>
      </c>
      <c r="CM19" s="12">
        <f t="shared" si="27"/>
        <v>5.4611174465199613E-3</v>
      </c>
      <c r="CN19" s="12">
        <f t="shared" si="27"/>
        <v>6.0956939745314354E-2</v>
      </c>
      <c r="CO19" s="12">
        <f t="shared" si="27"/>
        <v>1.0907888354964262E-2</v>
      </c>
      <c r="CP19" s="12">
        <f t="shared" si="27"/>
        <v>2.8928888000648707E-4</v>
      </c>
      <c r="CQ19" s="12">
        <f t="shared" si="27"/>
        <v>4.3445026264135246E-2</v>
      </c>
      <c r="CR19" s="12">
        <f t="shared" si="27"/>
        <v>7.0482714280702208E-3</v>
      </c>
      <c r="CS19" s="12">
        <f t="shared" si="27"/>
        <v>7.5032461003465001E-3</v>
      </c>
      <c r="CT19" s="12">
        <f t="shared" si="27"/>
        <v>6.9090174955401364E-4</v>
      </c>
      <c r="CU19" s="12">
        <f t="shared" ref="CU19:DZ19" si="28">CU11^2</f>
        <v>8.9888937314347925E-2</v>
      </c>
      <c r="CV19" s="12">
        <f t="shared" si="28"/>
        <v>5.7744124628495042E-2</v>
      </c>
      <c r="CW19" s="12">
        <f t="shared" si="28"/>
        <v>8.3867792145616345E-3</v>
      </c>
      <c r="CX19" s="12">
        <f t="shared" si="28"/>
        <v>9.8339542316953164E-3</v>
      </c>
      <c r="CY19" s="12">
        <f t="shared" si="28"/>
        <v>1.1591045659732355E-2</v>
      </c>
      <c r="CZ19" s="12">
        <f t="shared" si="28"/>
        <v>2.9425411078170972E-3</v>
      </c>
      <c r="DA19" s="12">
        <f t="shared" si="28"/>
        <v>6.8115623062857096E-3</v>
      </c>
      <c r="DB19" s="12">
        <f t="shared" si="28"/>
        <v>1.8634999558202345E-2</v>
      </c>
      <c r="DC19" s="12">
        <f t="shared" si="28"/>
        <v>1.9391665286232123E-4</v>
      </c>
      <c r="DD19" s="12">
        <f t="shared" si="28"/>
        <v>1.954282074467336E-2</v>
      </c>
      <c r="DE19" s="12">
        <f t="shared" si="28"/>
        <v>8.8575146090950768E-3</v>
      </c>
      <c r="DF19" s="12">
        <f t="shared" si="28"/>
        <v>2.7910052972940306E-3</v>
      </c>
      <c r="DG19" s="12">
        <f t="shared" si="28"/>
        <v>3.9715012283997882E-2</v>
      </c>
      <c r="DH19" s="12">
        <f t="shared" si="28"/>
        <v>1.0432403820163571E-2</v>
      </c>
      <c r="DI19" s="12">
        <f t="shared" si="28"/>
        <v>1.4267842487935708E-3</v>
      </c>
      <c r="DJ19" s="12">
        <f t="shared" si="28"/>
        <v>4.2834399364562866E-3</v>
      </c>
      <c r="DK19" s="12">
        <f t="shared" si="28"/>
        <v>3.558673970523485E-3</v>
      </c>
      <c r="DL19" s="12">
        <f t="shared" si="28"/>
        <v>9.0888715890652307E-3</v>
      </c>
      <c r="DM19" s="12">
        <f t="shared" si="28"/>
        <v>1.6391090706995694E-3</v>
      </c>
      <c r="DN19" s="12">
        <f t="shared" si="28"/>
        <v>1.2208003284498891E-5</v>
      </c>
      <c r="DO19" s="12">
        <f t="shared" si="28"/>
        <v>1.1259001905449272E-2</v>
      </c>
      <c r="DP19" s="12">
        <f t="shared" si="28"/>
        <v>5.9923070835494183E-2</v>
      </c>
      <c r="DQ19" s="12">
        <f t="shared" si="28"/>
        <v>4.5726246348163108E-2</v>
      </c>
      <c r="DR19" s="12">
        <f t="shared" si="28"/>
        <v>1.1858481498929532E-4</v>
      </c>
      <c r="DS19" s="12">
        <f t="shared" si="28"/>
        <v>1.7988002677953804E-2</v>
      </c>
      <c r="DT19" s="12">
        <f t="shared" si="28"/>
        <v>1.5418662696917631E-2</v>
      </c>
      <c r="DU19" s="12">
        <f t="shared" si="28"/>
        <v>6.0989678260023345E-3</v>
      </c>
      <c r="DV19" s="12">
        <f t="shared" si="28"/>
        <v>2.9068733595242259E-3</v>
      </c>
      <c r="DW19" s="12">
        <f t="shared" si="28"/>
        <v>5.6778559127236246E-4</v>
      </c>
      <c r="DX19" s="12">
        <f t="shared" si="28"/>
        <v>4.4242099035452431E-3</v>
      </c>
      <c r="DY19" s="12">
        <f t="shared" si="28"/>
        <v>3.7486020693995597E-4</v>
      </c>
      <c r="DZ19" s="12">
        <f t="shared" si="28"/>
        <v>3.5156278275624131E-4</v>
      </c>
      <c r="EA19" s="12">
        <f t="shared" ref="EA19:EL19" si="29">EA11^2</f>
        <v>8.0396827836033358E-2</v>
      </c>
      <c r="EB19" s="12">
        <f t="shared" si="29"/>
        <v>1.7927176379270729E-2</v>
      </c>
      <c r="EC19" s="12">
        <f t="shared" si="29"/>
        <v>5.1594518498734615E-4</v>
      </c>
      <c r="ED19" s="12">
        <f t="shared" si="29"/>
        <v>1.9897882100366124E-3</v>
      </c>
      <c r="EE19" s="12">
        <f t="shared" si="29"/>
        <v>1.6656742383306909E-2</v>
      </c>
      <c r="EF19" s="12">
        <f t="shared" si="29"/>
        <v>4.3220830827222527E-3</v>
      </c>
      <c r="EG19" s="12">
        <f t="shared" si="29"/>
        <v>1.3741192541403421E-2</v>
      </c>
      <c r="EH19" s="12">
        <f t="shared" si="29"/>
        <v>7.0476972224575837E-4</v>
      </c>
      <c r="EI19" s="12">
        <f t="shared" si="29"/>
        <v>1.0900269483785469E-3</v>
      </c>
      <c r="EJ19" s="12">
        <f t="shared" si="29"/>
        <v>2.1139004022296269E-3</v>
      </c>
      <c r="EK19" s="12">
        <f t="shared" si="29"/>
        <v>4.7935591414396224E-3</v>
      </c>
      <c r="EL19" s="12">
        <f t="shared" si="29"/>
        <v>2.1562972687374734E-4</v>
      </c>
    </row>
    <row r="21" spans="1:142" x14ac:dyDescent="0.55000000000000004">
      <c r="A21" s="12" t="s">
        <v>317</v>
      </c>
      <c r="B21" s="12">
        <f>1-SUM(C13:EL15)/SUM(C17:EL19)</f>
        <v>-3.7103394505812526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L164"/>
  <sheetViews>
    <sheetView topLeftCell="BQ2" zoomScale="130" zoomScaleNormal="130" workbookViewId="0">
      <selection activeCell="BS31" sqref="BS31"/>
    </sheetView>
  </sheetViews>
  <sheetFormatPr defaultRowHeight="14.5" x14ac:dyDescent="0.3"/>
  <cols>
    <col min="2" max="2" width="10.19921875" bestFit="1" customWidth="1"/>
  </cols>
  <sheetData>
    <row r="1" spans="1:142" x14ac:dyDescent="0.3">
      <c r="A1" s="6" t="s">
        <v>0</v>
      </c>
    </row>
    <row r="2" spans="1:142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</row>
    <row r="3" spans="1:142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</row>
    <row r="4" spans="1:142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</row>
    <row r="5" spans="1:142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</row>
    <row r="6" spans="1:142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</row>
    <row r="7" spans="1:142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</row>
    <row r="8" spans="1:142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L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</row>
    <row r="10" spans="1:142" x14ac:dyDescent="0.3">
      <c r="A10" s="20" t="s">
        <v>147</v>
      </c>
      <c r="B10" s="21"/>
      <c r="C10" s="6" t="s">
        <v>148</v>
      </c>
      <c r="D10" s="6">
        <v>1051</v>
      </c>
    </row>
    <row r="11" spans="1:142" x14ac:dyDescent="0.3">
      <c r="A11" s="6"/>
      <c r="B11" s="6" t="s">
        <v>149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</row>
    <row r="12" spans="1:142" x14ac:dyDescent="0.3">
      <c r="A12" s="18"/>
      <c r="B12" s="18">
        <v>10</v>
      </c>
      <c r="C12" s="2">
        <v>9.8199501924411306E-2</v>
      </c>
      <c r="D12" s="2">
        <f>C12+真實IC!D12</f>
        <v>0.2010233014899824</v>
      </c>
      <c r="E12" s="2">
        <f>D12+真實IC!E12</f>
        <v>0.23928508291883377</v>
      </c>
      <c r="F12" s="2">
        <f>E12+真實IC!F12</f>
        <v>0.24663019235893874</v>
      </c>
      <c r="G12" s="2">
        <f>F12+真實IC!G12</f>
        <v>0.27940295227791861</v>
      </c>
      <c r="H12" s="2">
        <f>G12+真實IC!H12</f>
        <v>0.32246596442309594</v>
      </c>
      <c r="I12" s="2">
        <f>H12+真實IC!I12</f>
        <v>0.36907792851334886</v>
      </c>
      <c r="J12" s="2">
        <f>I12+真實IC!J12</f>
        <v>0.42575958810287662</v>
      </c>
      <c r="K12" s="2">
        <f>J12+真實IC!K12</f>
        <v>0.45378502073192484</v>
      </c>
      <c r="L12" s="2">
        <f>K12+真實IC!L12</f>
        <v>0.48831859807898947</v>
      </c>
      <c r="M12" s="2">
        <f>L12+真實IC!M12</f>
        <v>0.52238339334509254</v>
      </c>
      <c r="N12" s="2">
        <f>M12+真實IC!N12</f>
        <v>0.58485199812973221</v>
      </c>
      <c r="O12" s="2">
        <f>N12+真實IC!O12</f>
        <v>0.61111483706409298</v>
      </c>
      <c r="P12" s="2">
        <f>O12+真實IC!P12</f>
        <v>0.6274148013975468</v>
      </c>
      <c r="Q12" s="2">
        <f>P12+真實IC!Q12</f>
        <v>0.64442943864605351</v>
      </c>
      <c r="R12" s="2">
        <f>Q12+真實IC!R12</f>
        <v>0.64615456598690746</v>
      </c>
      <c r="S12" s="2">
        <f>R12+真實IC!S12</f>
        <v>0.68663642197020591</v>
      </c>
      <c r="T12" s="2">
        <f>S12+真實IC!T12</f>
        <v>0.73394354994429811</v>
      </c>
      <c r="U12" s="2">
        <f>T12+真實IC!U12</f>
        <v>0.75474651643507573</v>
      </c>
      <c r="V12" s="2">
        <f>U12+真實IC!V12</f>
        <v>0.79972816187572948</v>
      </c>
      <c r="W12" s="2">
        <f>V12+真實IC!W12</f>
        <v>0.85832756084551631</v>
      </c>
      <c r="X12" s="2">
        <f>W12+真實IC!X12</f>
        <v>0.97875065665430272</v>
      </c>
      <c r="Y12" s="2">
        <f>X12+真實IC!Y12</f>
        <v>1.0112290372405603</v>
      </c>
      <c r="Z12" s="2">
        <f>Y12+真實IC!Z12</f>
        <v>1.0687591333186743</v>
      </c>
      <c r="AA12" s="2">
        <f>Z12+真實IC!AA12</f>
        <v>1.100625430159957</v>
      </c>
      <c r="AB12" s="2">
        <f>AA12+真實IC!AB12</f>
        <v>1.1317272243123431</v>
      </c>
      <c r="AC12" s="2">
        <f>AB12+真實IC!AC12</f>
        <v>1.168979650256579</v>
      </c>
      <c r="AD12" s="2">
        <f>AC12+真實IC!AD12</f>
        <v>1.1781121512781856</v>
      </c>
      <c r="AE12" s="2">
        <f>AD12+真實IC!AE12</f>
        <v>1.2230660950647367</v>
      </c>
      <c r="AF12" s="2">
        <f>AE12+真實IC!AF12</f>
        <v>1.2731417787799961</v>
      </c>
      <c r="AG12" s="2">
        <f>AF12+真實IC!AG12</f>
        <v>1.3107989314058306</v>
      </c>
      <c r="AH12" s="2">
        <f>AG12+真實IC!AH12</f>
        <v>1.3279491268057773</v>
      </c>
      <c r="AI12" s="2">
        <f>AH12+真實IC!AI12</f>
        <v>1.3356898270521536</v>
      </c>
      <c r="AJ12" s="2">
        <f>AI12+真實IC!AJ12</f>
        <v>1.3545923143988314</v>
      </c>
      <c r="AK12" s="2">
        <f>AJ12+真實IC!AK12</f>
        <v>1.3957070076516203</v>
      </c>
      <c r="AL12" s="2">
        <f>AK12+真實IC!AL12</f>
        <v>1.4318110043641836</v>
      </c>
      <c r="AM12" s="2">
        <f>AL12+真實IC!AM12</f>
        <v>1.457246999783717</v>
      </c>
      <c r="AN12" s="2">
        <f>AM12+真實IC!AN12</f>
        <v>1.5170991909869669</v>
      </c>
      <c r="AO12" s="2">
        <f>AN12+真實IC!AO12</f>
        <v>1.5460038667518927</v>
      </c>
      <c r="AP12" s="2">
        <f>AO12+真實IC!AP12</f>
        <v>1.5675434150138079</v>
      </c>
      <c r="AQ12" s="2">
        <f>AP12+真實IC!AQ12</f>
        <v>1.5822755487707278</v>
      </c>
      <c r="AR12" s="2">
        <f>AQ12+真實IC!AR12</f>
        <v>1.6130501956503087</v>
      </c>
      <c r="AS12" s="2">
        <f>AR12+真實IC!AS12</f>
        <v>1.6420887989575379</v>
      </c>
      <c r="AT12" s="2">
        <f>AS12+真實IC!AT12</f>
        <v>1.7139041682556724</v>
      </c>
      <c r="AU12" s="2">
        <f>AT12+真實IC!AU12</f>
        <v>1.7774136982974127</v>
      </c>
      <c r="AV12" s="2">
        <f>AU12+真實IC!AV12</f>
        <v>1.8367567431594485</v>
      </c>
      <c r="AW12" s="2">
        <f>AV12+真實IC!AW12</f>
        <v>1.8477746313951837</v>
      </c>
      <c r="AX12" s="2">
        <f>AW12+真實IC!AX12</f>
        <v>1.9035649452852186</v>
      </c>
      <c r="AY12" s="2">
        <f>AX12+真實IC!AY12</f>
        <v>1.9242703349195309</v>
      </c>
      <c r="AZ12" s="2">
        <f>AY12+真實IC!AZ12</f>
        <v>1.9806088200274452</v>
      </c>
      <c r="BA12" s="2">
        <f>AZ12+真實IC!BA12</f>
        <v>2.0512321321187836</v>
      </c>
      <c r="BB12" s="2">
        <f>BA12+真實IC!BB12</f>
        <v>2.0889634335565543</v>
      </c>
      <c r="BC12" s="2">
        <f>BB12+真實IC!BC12</f>
        <v>2.0927467539471012</v>
      </c>
      <c r="BD12" s="2">
        <f>BC12+真實IC!BD12</f>
        <v>2.1434271666156874</v>
      </c>
      <c r="BE12" s="2">
        <f>BD12+真實IC!BE12</f>
        <v>2.171047843238743</v>
      </c>
      <c r="BF12" s="2">
        <f>BE12+真實IC!BF12</f>
        <v>2.2168289454958159</v>
      </c>
      <c r="BG12" s="2">
        <f>BF12+真實IC!BG12</f>
        <v>2.2679021856004562</v>
      </c>
      <c r="BH12" s="2">
        <f>BG12+真實IC!BH12</f>
        <v>2.3023244062163095</v>
      </c>
      <c r="BI12" s="2">
        <f>BH12+真實IC!BI12</f>
        <v>2.3604753671510839</v>
      </c>
      <c r="BJ12" s="2">
        <f>BI12+真實IC!BJ12</f>
        <v>2.3966553746354782</v>
      </c>
      <c r="BK12" s="2">
        <f>BJ12+真實IC!BK12</f>
        <v>2.4140896801212359</v>
      </c>
      <c r="BL12" s="2">
        <f>BK12+真實IC!BL12</f>
        <v>2.4412138259007676</v>
      </c>
      <c r="BM12" s="2">
        <f>BL12+真實IC!BM12</f>
        <v>2.4815154255195675</v>
      </c>
      <c r="BN12" s="2">
        <f>BM12+真實IC!BN12</f>
        <v>2.5115533482987624</v>
      </c>
      <c r="BO12" s="2">
        <f>BN12+真實IC!BO12</f>
        <v>2.5361411735236059</v>
      </c>
      <c r="BP12" s="2">
        <f>BO12+真實IC!BP12</f>
        <v>2.5609513419798247</v>
      </c>
      <c r="BQ12" s="2">
        <f>BP12+真實IC!BQ12</f>
        <v>2.5666061679396441</v>
      </c>
      <c r="BR12" s="2">
        <f>BQ12+真實IC!BR12</f>
        <v>2.626359334949818</v>
      </c>
      <c r="BS12" s="2">
        <f>BR12+真實IC!BS12</f>
        <v>2.6561623452284264</v>
      </c>
      <c r="BT12" s="2">
        <f>BS12+真實IC!BT12</f>
        <v>2.6774682047958991</v>
      </c>
      <c r="BU12" s="2">
        <f>BT12+真實IC!BU12</f>
        <v>2.7128812456211908</v>
      </c>
      <c r="BV12" s="2">
        <f>BU12+真實IC!BV12</f>
        <v>2.7474360037578709</v>
      </c>
      <c r="BW12" s="2">
        <f>BV12+真實IC!BW12</f>
        <v>2.7857846518476985</v>
      </c>
      <c r="BX12" s="2">
        <f>BW12+真實IC!BX12</f>
        <v>2.8039836380672414</v>
      </c>
      <c r="BY12" s="2">
        <f>BX12+真實IC!BY12</f>
        <v>2.8550931609064492</v>
      </c>
      <c r="BZ12" s="2">
        <f>BY12+真實IC!BZ12</f>
        <v>2.8959674891194895</v>
      </c>
      <c r="CA12" s="2">
        <f>BZ12+真實IC!CA12</f>
        <v>2.9289809001583098</v>
      </c>
      <c r="CB12" s="2">
        <f>CA12+真實IC!CB12</f>
        <v>2.9852522271008182</v>
      </c>
      <c r="CC12" s="2">
        <f>CB12+真實IC!CC12</f>
        <v>3.0047979614516738</v>
      </c>
      <c r="CD12" s="2">
        <f>CC12+真實IC!CD12</f>
        <v>3.1061094807212664</v>
      </c>
      <c r="CE12" s="2">
        <f>CD12+真實IC!CE12</f>
        <v>3.2475260300546087</v>
      </c>
      <c r="CF12" s="2">
        <f>CE12+真實IC!CF12</f>
        <v>3.2797078185102455</v>
      </c>
      <c r="CG12" s="2">
        <f>CF12+真實IC!CG12</f>
        <v>3.3293691644446248</v>
      </c>
      <c r="CH12" s="2">
        <f>CG12+真實IC!CH12</f>
        <v>3.3972018365851451</v>
      </c>
      <c r="CI12" s="2">
        <f>CH12+真實IC!CI12</f>
        <v>3.4277900859087067</v>
      </c>
      <c r="CJ12" s="2">
        <f>CI12+真實IC!CJ12</f>
        <v>3.485825939133818</v>
      </c>
      <c r="CK12" s="2">
        <f>CJ12+真實IC!CK12</f>
        <v>3.5460695228209675</v>
      </c>
      <c r="CL12" s="2">
        <f>CK12+真實IC!CL12</f>
        <v>3.6997865858421508</v>
      </c>
      <c r="CM12" s="2">
        <f>CL12+真實IC!CM12</f>
        <v>3.7642174155698416</v>
      </c>
      <c r="CN12" s="2">
        <f>CM12+真實IC!CN12</f>
        <v>3.8619678906333994</v>
      </c>
      <c r="CO12" s="2">
        <f>CN12+真實IC!CO12</f>
        <v>3.9302887616514179</v>
      </c>
      <c r="CP12" s="2">
        <f>CO12+真實IC!CP12</f>
        <v>3.9763400015627104</v>
      </c>
      <c r="CQ12" s="2">
        <f>CP12+真實IC!CQ12</f>
        <v>4.0335508580401109</v>
      </c>
      <c r="CR12" s="2">
        <f>CQ12+真實IC!CR12</f>
        <v>4.0814968476082578</v>
      </c>
      <c r="CS12" s="2">
        <f>CR12+真實IC!CS12</f>
        <v>4.0867560379627479</v>
      </c>
      <c r="CT12" s="2">
        <f>CS12+真實IC!CT12</f>
        <v>4.1186921226257551</v>
      </c>
      <c r="CU12" s="2">
        <f>CT12+真實IC!CU12</f>
        <v>4.1954427239313112</v>
      </c>
      <c r="CV12" s="2">
        <f>CU12+真實IC!CV12</f>
        <v>4.2638967966447723</v>
      </c>
      <c r="CW12" s="2">
        <f>CV12+真實IC!CW12</f>
        <v>4.289843866895473</v>
      </c>
      <c r="CX12" s="2">
        <f>CW12+真實IC!CX12</f>
        <v>4.3601160231633189</v>
      </c>
      <c r="CY12" s="2">
        <f>CX12+真實IC!CY12</f>
        <v>4.3861277286387717</v>
      </c>
      <c r="CZ12" s="2">
        <f>CY12+真實IC!CZ12</f>
        <v>4.4744887956907577</v>
      </c>
      <c r="DA12" s="2">
        <f>CZ12+真實IC!DA12</f>
        <v>4.504861383413826</v>
      </c>
      <c r="DB12" s="2">
        <f>DA12+真實IC!DB12</f>
        <v>4.5817665852817111</v>
      </c>
      <c r="DC12" s="2">
        <f>DB12+真實IC!DC12</f>
        <v>4.6122692726531795</v>
      </c>
      <c r="DD12" s="2">
        <f>DC12+真實IC!DD12</f>
        <v>4.6716196943595119</v>
      </c>
      <c r="DE12" s="2">
        <f>DD12+真實IC!DE12</f>
        <v>4.6914723854495755</v>
      </c>
      <c r="DF12" s="2">
        <f>DE12+真實IC!DF12</f>
        <v>4.7403766616218617</v>
      </c>
      <c r="DG12" s="2">
        <f>DF12+真實IC!DG12</f>
        <v>4.7840636374630838</v>
      </c>
      <c r="DH12" s="2">
        <f>DG12+真實IC!DH12</f>
        <v>4.8165270696790685</v>
      </c>
      <c r="DI12" s="2">
        <f>DH12+真實IC!DI12</f>
        <v>4.8702523949461876</v>
      </c>
      <c r="DJ12" s="2">
        <f>DI12+真實IC!DJ12</f>
        <v>4.8913605798366691</v>
      </c>
      <c r="DK12" s="2">
        <f>DJ12+真實IC!DK12</f>
        <v>4.9255014803439403</v>
      </c>
      <c r="DL12" s="2">
        <f>DK12+真實IC!DL12</f>
        <v>4.9516150669075234</v>
      </c>
      <c r="DM12" s="2">
        <f>DL12+真實IC!DM12</f>
        <v>4.9735998447841796</v>
      </c>
      <c r="DN12" s="2">
        <f>DM12+真實IC!DN12</f>
        <v>5.0038589959416582</v>
      </c>
      <c r="DO12" s="2">
        <f>DN12+真實IC!DO12</f>
        <v>5.0272346399465873</v>
      </c>
      <c r="DP12" s="2">
        <f>DO12+真實IC!DP12</f>
        <v>5.0945078268543433</v>
      </c>
      <c r="DQ12" s="2">
        <f>DP12+真實IC!DQ12</f>
        <v>5.1564101832803697</v>
      </c>
      <c r="DR12" s="2">
        <f>DQ12+真實IC!DR12</f>
        <v>5.1780208749844556</v>
      </c>
      <c r="DS12" s="2">
        <f>DR12+真實IC!DS12</f>
        <v>5.258466940131961</v>
      </c>
      <c r="DT12" s="2">
        <f>DS12+真實IC!DT12</f>
        <v>5.2853958868616582</v>
      </c>
      <c r="DU12" s="2">
        <f>DT12+真實IC!DU12</f>
        <v>5.3354590826687183</v>
      </c>
      <c r="DV12" s="2">
        <f>DU12+真實IC!DV12</f>
        <v>5.3879060600485138</v>
      </c>
      <c r="DW12" s="2">
        <f>DV12+真實IC!DW12</f>
        <v>5.4458032842905864</v>
      </c>
      <c r="DX12" s="2">
        <f>DW12+真實IC!DX12</f>
        <v>5.4914776984966469</v>
      </c>
      <c r="DY12" s="2">
        <f>DX12+真實IC!DY12</f>
        <v>5.5397668135611573</v>
      </c>
      <c r="DZ12" s="2">
        <f>DY12+真實IC!DZ12</f>
        <v>5.5533663458351574</v>
      </c>
      <c r="EA12" s="2">
        <f>DZ12+真實IC!EA12</f>
        <v>5.6702170864039596</v>
      </c>
      <c r="EB12" s="2">
        <f>EA12+真實IC!EB12</f>
        <v>5.6982887635575787</v>
      </c>
      <c r="EC12" s="2">
        <f>EB12+真實IC!EC12</f>
        <v>5.7244837060363656</v>
      </c>
      <c r="ED12" s="2">
        <f>EC12+真實IC!ED12</f>
        <v>5.785910960457703</v>
      </c>
      <c r="EE12" s="2">
        <f>ED12+真實IC!EE12</f>
        <v>5.8140776876995011</v>
      </c>
      <c r="EF12" s="2">
        <f>EE12+真實IC!EF12</f>
        <v>5.8359101701333831</v>
      </c>
      <c r="EG12" s="2">
        <f>EF12+真實IC!EG12</f>
        <v>5.933739848006784</v>
      </c>
      <c r="EH12" s="2">
        <f>EG12+真實IC!EH12</f>
        <v>5.9559985305455569</v>
      </c>
      <c r="EI12" s="2">
        <f>EH12+真實IC!EI12</f>
        <v>5.9649597872189322</v>
      </c>
      <c r="EJ12" s="2">
        <f>EI12+真實IC!EJ12</f>
        <v>6.0329708010328345</v>
      </c>
      <c r="EK12" s="2">
        <f>EJ12+真實IC!EK12</f>
        <v>6.083088814242247</v>
      </c>
      <c r="EL12" s="2">
        <f>EK12+真實IC!EL12</f>
        <v>6.1321066954358239</v>
      </c>
    </row>
    <row r="13" spans="1:142" x14ac:dyDescent="0.3">
      <c r="A13" s="18"/>
      <c r="B13" s="18">
        <v>20</v>
      </c>
      <c r="C13" s="2">
        <v>0.12107776166471761</v>
      </c>
      <c r="D13" s="2">
        <f>C13+真實IC!D13</f>
        <v>0.20458304360897833</v>
      </c>
      <c r="E13" s="2">
        <f>D13+真實IC!E13</f>
        <v>0.25380215212440044</v>
      </c>
      <c r="F13" s="2">
        <f>E13+真實IC!F13</f>
        <v>0.29178930755259691</v>
      </c>
      <c r="G13" s="2">
        <f>F13+真實IC!G13</f>
        <v>0.3085735313998616</v>
      </c>
      <c r="H13" s="2">
        <f>G13+真實IC!H13</f>
        <v>0.33782479519152236</v>
      </c>
      <c r="I13" s="2">
        <f>H13+真實IC!I13</f>
        <v>0.38726089687300463</v>
      </c>
      <c r="J13" s="2">
        <f>I13+真實IC!J13</f>
        <v>0.44725061278717004</v>
      </c>
      <c r="K13" s="2">
        <f>J13+真實IC!K13</f>
        <v>0.46504056165103524</v>
      </c>
      <c r="L13" s="2">
        <f>K13+真實IC!L13</f>
        <v>0.48371413289628207</v>
      </c>
      <c r="M13" s="2">
        <f>L13+真實IC!M13</f>
        <v>0.49824648939595212</v>
      </c>
      <c r="N13" s="2">
        <f>M13+真實IC!N13</f>
        <v>0.58125014638226435</v>
      </c>
      <c r="O13" s="2">
        <f>N13+真實IC!O13</f>
        <v>0.59808539698073948</v>
      </c>
      <c r="P13" s="2">
        <f>O13+真實IC!P13</f>
        <v>0.61848125927254816</v>
      </c>
      <c r="Q13" s="2">
        <f>P13+真實IC!Q13</f>
        <v>0.62904689049979823</v>
      </c>
      <c r="R13" s="2">
        <f>Q13+真實IC!R13</f>
        <v>0.6257164901927208</v>
      </c>
      <c r="S13" s="2">
        <f>R13+真實IC!S13</f>
        <v>0.69295646155235535</v>
      </c>
      <c r="T13" s="2">
        <f>S13+真實IC!T13</f>
        <v>0.76336156712506142</v>
      </c>
      <c r="U13" s="2">
        <f>T13+真實IC!U13</f>
        <v>0.77797956275380487</v>
      </c>
      <c r="V13" s="2">
        <f>U13+真實IC!V13</f>
        <v>0.81390479094849855</v>
      </c>
      <c r="W13" s="2">
        <f>V13+真實IC!W13</f>
        <v>0.89359580841969222</v>
      </c>
      <c r="X13" s="2">
        <f>W13+真實IC!X13</f>
        <v>1.0328743069475035</v>
      </c>
      <c r="Y13" s="2">
        <f>X13+真實IC!Y13</f>
        <v>1.0742522222949278</v>
      </c>
      <c r="Z13" s="2">
        <f>Y13+真實IC!Z13</f>
        <v>1.1448323699275953</v>
      </c>
      <c r="AA13" s="2">
        <f>Z13+真實IC!AA13</f>
        <v>1.1955253522351348</v>
      </c>
      <c r="AB13" s="2">
        <f>AA13+真實IC!AB13</f>
        <v>1.2412977647397432</v>
      </c>
      <c r="AC13" s="2">
        <f>AB13+真實IC!AC13</f>
        <v>1.2683579444389286</v>
      </c>
      <c r="AD13" s="2">
        <f>AC13+真實IC!AD13</f>
        <v>1.2653495834930368</v>
      </c>
      <c r="AE13" s="2">
        <f>AD13+真實IC!AE13</f>
        <v>1.3312683097942353</v>
      </c>
      <c r="AF13" s="2">
        <f>AE13+真實IC!AF13</f>
        <v>1.3989065313959266</v>
      </c>
      <c r="AG13" s="2">
        <f>AF13+真實IC!AG13</f>
        <v>1.4426262128768759</v>
      </c>
      <c r="AH13" s="2">
        <f>AG13+真實IC!AH13</f>
        <v>1.4447401618130131</v>
      </c>
      <c r="AI13" s="2">
        <f>AH13+真實IC!AI13</f>
        <v>1.464330368738459</v>
      </c>
      <c r="AJ13" s="2">
        <f>AI13+真實IC!AJ13</f>
        <v>1.4543388085857654</v>
      </c>
      <c r="AK13" s="2">
        <f>AJ13+真實IC!AK13</f>
        <v>1.5180319331362466</v>
      </c>
      <c r="AL13" s="2">
        <f>AK13+真實IC!AL13</f>
        <v>1.5527082943824919</v>
      </c>
      <c r="AM13" s="2">
        <f>AL13+真實IC!AM13</f>
        <v>1.5813805100223093</v>
      </c>
      <c r="AN13" s="2">
        <f>AM13+真實IC!AN13</f>
        <v>1.6783203519471086</v>
      </c>
      <c r="AO13" s="2">
        <f>AN13+真實IC!AO13</f>
        <v>1.7097699835874174</v>
      </c>
      <c r="AP13" s="2">
        <f>AO13+真實IC!AP13</f>
        <v>1.7551684526779581</v>
      </c>
      <c r="AQ13" s="2">
        <f>AP13+真實IC!AQ13</f>
        <v>1.7711058325417426</v>
      </c>
      <c r="AR13" s="2">
        <f>AQ13+真實IC!AR13</f>
        <v>1.8047043947733228</v>
      </c>
      <c r="AS13" s="2">
        <f>AR13+真實IC!AS13</f>
        <v>1.8395819627780325</v>
      </c>
      <c r="AT13" s="2">
        <f>AS13+真實IC!AT13</f>
        <v>1.9345111147668781</v>
      </c>
      <c r="AU13" s="2">
        <f>AT13+真實IC!AU13</f>
        <v>2.007529244550017</v>
      </c>
      <c r="AV13" s="2">
        <f>AU13+真實IC!AV13</f>
        <v>2.1042400083719239</v>
      </c>
      <c r="AW13" s="2">
        <f>AV13+真實IC!AW13</f>
        <v>2.1205061304189106</v>
      </c>
      <c r="AX13" s="2">
        <f>AW13+真實IC!AX13</f>
        <v>2.1726069035739966</v>
      </c>
      <c r="AY13" s="2">
        <f>AX13+真實IC!AY13</f>
        <v>2.1815849857920333</v>
      </c>
      <c r="AZ13" s="2">
        <f>AY13+真實IC!AZ13</f>
        <v>2.2472548491168718</v>
      </c>
      <c r="BA13" s="2">
        <f>AZ13+真實IC!BA13</f>
        <v>2.3204345514627995</v>
      </c>
      <c r="BB13" s="2">
        <f>BA13+真實IC!BB13</f>
        <v>2.337114804220259</v>
      </c>
      <c r="BC13" s="2">
        <f>BB13+真實IC!BC13</f>
        <v>2.3432852055127023</v>
      </c>
      <c r="BD13" s="2">
        <f>BC13+真實IC!BD13</f>
        <v>2.3805590910138394</v>
      </c>
      <c r="BE13" s="2">
        <f>BD13+真實IC!BE13</f>
        <v>2.4173160363052766</v>
      </c>
      <c r="BF13" s="2">
        <f>BE13+真實IC!BF13</f>
        <v>2.5225970237171969</v>
      </c>
      <c r="BG13" s="2">
        <f>BF13+真實IC!BG13</f>
        <v>2.6080366115003066</v>
      </c>
      <c r="BH13" s="2">
        <f>BG13+真實IC!BH13</f>
        <v>2.6492163846349102</v>
      </c>
      <c r="BI13" s="2">
        <f>BH13+真實IC!BI13</f>
        <v>2.7054935791296884</v>
      </c>
      <c r="BJ13" s="2">
        <f>BI13+真實IC!BJ13</f>
        <v>2.7516455049569735</v>
      </c>
      <c r="BK13" s="2">
        <f>BJ13+真實IC!BK13</f>
        <v>2.7845331242638136</v>
      </c>
      <c r="BL13" s="2">
        <f>BK13+真實IC!BL13</f>
        <v>2.8234741830441634</v>
      </c>
      <c r="BM13" s="2">
        <f>BL13+真實IC!BM13</f>
        <v>2.8700866986091387</v>
      </c>
      <c r="BN13" s="2">
        <f>BM13+真實IC!BN13</f>
        <v>2.8975530614803549</v>
      </c>
      <c r="BO13" s="2">
        <f>BN13+真實IC!BO13</f>
        <v>2.9386433962541987</v>
      </c>
      <c r="BP13" s="2">
        <f>BO13+真實IC!BP13</f>
        <v>2.9588650755626991</v>
      </c>
      <c r="BQ13" s="2">
        <f>BP13+真實IC!BQ13</f>
        <v>2.9795367690109225</v>
      </c>
      <c r="BR13" s="2">
        <f>BQ13+真實IC!BR13</f>
        <v>3.058972142602657</v>
      </c>
      <c r="BS13" s="2">
        <f>BR13+真實IC!BS13</f>
        <v>3.0930208589613906</v>
      </c>
      <c r="BT13" s="2">
        <f>BS13+真實IC!BT13</f>
        <v>3.1052036205058822</v>
      </c>
      <c r="BU13" s="2">
        <f>BT13+真實IC!BU13</f>
        <v>3.1658369990951352</v>
      </c>
      <c r="BV13" s="2">
        <f>BU13+真實IC!BV13</f>
        <v>3.2153157400307464</v>
      </c>
      <c r="BW13" s="2">
        <f>BV13+真實IC!BW13</f>
        <v>3.2752706312869351</v>
      </c>
      <c r="BX13" s="2">
        <f>BW13+真實IC!BX13</f>
        <v>3.2997884532865567</v>
      </c>
      <c r="BY13" s="2">
        <f>BX13+真實IC!BY13</f>
        <v>3.3486346533748224</v>
      </c>
      <c r="BZ13" s="2">
        <f>BY13+真實IC!BZ13</f>
        <v>3.4158307845727616</v>
      </c>
      <c r="CA13" s="2">
        <f>BZ13+真實IC!CA13</f>
        <v>3.4421343627585848</v>
      </c>
      <c r="CB13" s="2">
        <f>CA13+真實IC!CB13</f>
        <v>3.5530385975721401</v>
      </c>
      <c r="CC13" s="2">
        <f>CB13+真實IC!CC13</f>
        <v>3.5519669254806936</v>
      </c>
      <c r="CD13" s="2">
        <f>CC13+真實IC!CD13</f>
        <v>3.6542197029347396</v>
      </c>
      <c r="CE13" s="2">
        <f>CD13+真實IC!CE13</f>
        <v>3.8384220207644604</v>
      </c>
      <c r="CF13" s="2">
        <f>CE13+真實IC!CF13</f>
        <v>3.8859055057398639</v>
      </c>
      <c r="CG13" s="2">
        <f>CF13+真實IC!CG13</f>
        <v>3.935108158483525</v>
      </c>
      <c r="CH13" s="2">
        <f>CG13+真實IC!CH13</f>
        <v>3.9846629015544557</v>
      </c>
      <c r="CI13" s="2">
        <f>CH13+真實IC!CI13</f>
        <v>4.0347561479520309</v>
      </c>
      <c r="CJ13" s="2">
        <f>CI13+真實IC!CJ13</f>
        <v>4.103840843013959</v>
      </c>
      <c r="CK13" s="2">
        <f>CJ13+真實IC!CK13</f>
        <v>4.1693579613854794</v>
      </c>
      <c r="CL13" s="2">
        <f>CK13+真實IC!CL13</f>
        <v>4.3301540563433338</v>
      </c>
      <c r="CM13" s="2">
        <f>CL13+真實IC!CM13</f>
        <v>4.412945825834222</v>
      </c>
      <c r="CN13" s="2">
        <f>CM13+真實IC!CN13</f>
        <v>4.5266042470668086</v>
      </c>
      <c r="CO13" s="2">
        <f>CN13+真實IC!CO13</f>
        <v>4.605719746099239</v>
      </c>
      <c r="CP13" s="2">
        <f>CO13+真實IC!CP13</f>
        <v>4.6725134821596965</v>
      </c>
      <c r="CQ13" s="2">
        <f>CP13+真實IC!CQ13</f>
        <v>4.7291552142991176</v>
      </c>
      <c r="CR13" s="2">
        <f>CQ13+真實IC!CR13</f>
        <v>4.800674433711789</v>
      </c>
      <c r="CS13" s="2">
        <f>CR13+真實IC!CS13</f>
        <v>4.8104910549938014</v>
      </c>
      <c r="CT13" s="2">
        <f>CS13+真實IC!CT13</f>
        <v>4.8394627374997796</v>
      </c>
      <c r="CU13" s="2">
        <f>CT13+真實IC!CU13</f>
        <v>4.9512507890668784</v>
      </c>
      <c r="CV13" s="2">
        <f>CU13+真實IC!CV13</f>
        <v>5.0281581452801607</v>
      </c>
      <c r="CW13" s="2">
        <f>CV13+真實IC!CW13</f>
        <v>5.0619537393280201</v>
      </c>
      <c r="CX13" s="2">
        <f>CW13+真實IC!CX13</f>
        <v>5.1416391817182108</v>
      </c>
      <c r="CY13" s="2">
        <f>CX13+真實IC!CY13</f>
        <v>5.1978728676266224</v>
      </c>
      <c r="CZ13" s="2">
        <f>CY13+真實IC!CZ13</f>
        <v>5.2782217569995078</v>
      </c>
      <c r="DA13" s="2">
        <f>CZ13+真實IC!DA13</f>
        <v>5.2930515400263047</v>
      </c>
      <c r="DB13" s="2">
        <f>DA13+真實IC!DB13</f>
        <v>5.3711340944276413</v>
      </c>
      <c r="DC13" s="2">
        <f>DB13+真實IC!DC13</f>
        <v>5.3962994871598298</v>
      </c>
      <c r="DD13" s="2">
        <f>DC13+真實IC!DD13</f>
        <v>5.4679927591514659</v>
      </c>
      <c r="DE13" s="2">
        <f>DD13+真實IC!DE13</f>
        <v>5.4826254251526576</v>
      </c>
      <c r="DF13" s="2">
        <f>DE13+真實IC!DF13</f>
        <v>5.5465595908550034</v>
      </c>
      <c r="DG13" s="2">
        <f>DF13+真實IC!DG13</f>
        <v>5.5840888514927673</v>
      </c>
      <c r="DH13" s="2">
        <f>DG13+真實IC!DH13</f>
        <v>5.6231792588219109</v>
      </c>
      <c r="DI13" s="2">
        <f>DH13+真實IC!DI13</f>
        <v>5.6941889264716723</v>
      </c>
      <c r="DJ13" s="2">
        <f>DI13+真實IC!DJ13</f>
        <v>5.7002257931282108</v>
      </c>
      <c r="DK13" s="2">
        <f>DJ13+真實IC!DK13</f>
        <v>5.7210307857153309</v>
      </c>
      <c r="DL13" s="2">
        <f>DK13+真實IC!DL13</f>
        <v>5.752959152642509</v>
      </c>
      <c r="DM13" s="2">
        <f>DL13+真實IC!DM13</f>
        <v>5.7610581739809659</v>
      </c>
      <c r="DN13" s="2">
        <f>DM13+真實IC!DN13</f>
        <v>5.7606428372155998</v>
      </c>
      <c r="DO13" s="2">
        <f>DN13+真實IC!DO13</f>
        <v>5.8017105537611648</v>
      </c>
      <c r="DP13" s="2">
        <f>DO13+真實IC!DP13</f>
        <v>5.8769519020122383</v>
      </c>
      <c r="DQ13" s="2">
        <f>DP13+真實IC!DQ13</f>
        <v>5.9381724977352022</v>
      </c>
      <c r="DR13" s="2">
        <f>DQ13+真實IC!DR13</f>
        <v>5.9584058142440455</v>
      </c>
      <c r="DS13" s="2">
        <f>DR13+真實IC!DS13</f>
        <v>6.0297117788847334</v>
      </c>
      <c r="DT13" s="2">
        <f>DS13+真實IC!DT13</f>
        <v>6.0570868916383969</v>
      </c>
      <c r="DU13" s="2">
        <f>DT13+真實IC!DU13</f>
        <v>6.069400641907337</v>
      </c>
      <c r="DV13" s="2">
        <f>DU13+真實IC!DV13</f>
        <v>6.1417983569306225</v>
      </c>
      <c r="DW13" s="2">
        <f>DV13+真實IC!DW13</f>
        <v>6.2006911940235039</v>
      </c>
      <c r="DX13" s="2">
        <f>DW13+真實IC!DX13</f>
        <v>6.2610441766431784</v>
      </c>
      <c r="DY13" s="2">
        <f>DX13+真實IC!DY13</f>
        <v>6.3483193301209511</v>
      </c>
      <c r="DZ13" s="2">
        <f>DY13+真實IC!DZ13</f>
        <v>6.3658479969041517</v>
      </c>
      <c r="EA13" s="2">
        <f>DZ13+真實IC!EA13</f>
        <v>6.4927962644572492</v>
      </c>
      <c r="EB13" s="2">
        <f>EA13+真實IC!EB13</f>
        <v>6.549876797638901</v>
      </c>
      <c r="EC13" s="2">
        <f>EB13+真實IC!EC13</f>
        <v>6.5908170792810727</v>
      </c>
      <c r="ED13" s="2">
        <f>EC13+真實IC!ED13</f>
        <v>6.6567555322675762</v>
      </c>
      <c r="EE13" s="2">
        <f>ED13+真實IC!EE13</f>
        <v>6.6939130439853889</v>
      </c>
      <c r="EF13" s="2">
        <f>EE13+真實IC!EF13</f>
        <v>6.7298949721108015</v>
      </c>
      <c r="EG13" s="2">
        <f>EF13+真實IC!EG13</f>
        <v>6.8814441582338333</v>
      </c>
      <c r="EH13" s="2">
        <f>EG13+真實IC!EH13</f>
        <v>6.8780410829464014</v>
      </c>
      <c r="EI13" s="2">
        <f>EH13+真實IC!EI13</f>
        <v>6.8916633434339882</v>
      </c>
      <c r="EJ13" s="2">
        <f>EI13+真實IC!EJ13</f>
        <v>6.9828983030424023</v>
      </c>
      <c r="EK13" s="2">
        <f>EJ13+真實IC!EK13</f>
        <v>7.026484440463312</v>
      </c>
      <c r="EL13" s="2">
        <f>EK13+真實IC!EL13</f>
        <v>7.0925931591610931</v>
      </c>
    </row>
    <row r="14" spans="1:142" x14ac:dyDescent="0.3">
      <c r="A14" s="18"/>
      <c r="B14" s="18">
        <v>50</v>
      </c>
      <c r="C14" s="2">
        <v>0.13220513330973041</v>
      </c>
      <c r="D14" s="2">
        <f>C14+真實IC!D14</f>
        <v>0.24801793225664159</v>
      </c>
      <c r="E14" s="2">
        <f>D14+真實IC!E14</f>
        <v>0.33165735839892363</v>
      </c>
      <c r="F14" s="2">
        <f>E14+真實IC!F14</f>
        <v>0.37909894228445828</v>
      </c>
      <c r="G14" s="2">
        <f>F14+真實IC!G14</f>
        <v>0.45418431291672007</v>
      </c>
      <c r="H14" s="2">
        <f>G14+真實IC!H14</f>
        <v>0.53039531598155654</v>
      </c>
      <c r="I14" s="2">
        <f>H14+真實IC!I14</f>
        <v>0.61270890670408684</v>
      </c>
      <c r="J14" s="2">
        <f>I14+真實IC!J14</f>
        <v>0.67680005475028704</v>
      </c>
      <c r="K14" s="2">
        <f>J14+真實IC!K14</f>
        <v>0.71491569381705056</v>
      </c>
      <c r="L14" s="2">
        <f>K14+真實IC!L14</f>
        <v>0.75179836079148943</v>
      </c>
      <c r="M14" s="2">
        <f>L14+真實IC!M14</f>
        <v>0.7495231913895356</v>
      </c>
      <c r="N14" s="2">
        <f>M14+真實IC!N14</f>
        <v>0.89542709589635616</v>
      </c>
      <c r="O14" s="2">
        <f>N14+真實IC!O14</f>
        <v>0.88844326492442183</v>
      </c>
      <c r="P14" s="2">
        <f>O14+真實IC!P14</f>
        <v>0.94415829994688882</v>
      </c>
      <c r="Q14" s="2">
        <f>P14+真實IC!Q14</f>
        <v>0.9477459749050231</v>
      </c>
      <c r="R14" s="2">
        <f>Q14+真實IC!R14</f>
        <v>0.94445477846066994</v>
      </c>
      <c r="S14" s="2">
        <f>R14+真實IC!S14</f>
        <v>1.084038887806781</v>
      </c>
      <c r="T14" s="2">
        <f>S14+真實IC!T14</f>
        <v>1.1276795245196236</v>
      </c>
      <c r="U14" s="2">
        <f>T14+真實IC!U14</f>
        <v>1.1090072731857028</v>
      </c>
      <c r="V14" s="2">
        <f>U14+真實IC!V14</f>
        <v>1.1283639610960974</v>
      </c>
      <c r="W14" s="2">
        <f>V14+真實IC!W14</f>
        <v>1.2294439682539158</v>
      </c>
      <c r="X14" s="2">
        <f>W14+真實IC!X14</f>
        <v>1.3815935470936271</v>
      </c>
      <c r="Y14" s="2">
        <f>X14+真實IC!Y14</f>
        <v>1.4261379484623908</v>
      </c>
      <c r="Z14" s="2">
        <f>Y14+真實IC!Z14</f>
        <v>1.4766756604455196</v>
      </c>
      <c r="AA14" s="2">
        <f>Z14+真實IC!AA14</f>
        <v>1.5735266102293859</v>
      </c>
      <c r="AB14" s="2">
        <f>AA14+真實IC!AB14</f>
        <v>1.6427543245421481</v>
      </c>
      <c r="AC14" s="2">
        <f>AB14+真實IC!AC14</f>
        <v>1.6405035384465123</v>
      </c>
      <c r="AD14" s="2">
        <f>AC14+真實IC!AD14</f>
        <v>1.6474565474738747</v>
      </c>
      <c r="AE14" s="2">
        <f>AD14+真實IC!AE14</f>
        <v>1.755752931790282</v>
      </c>
      <c r="AF14" s="2">
        <f>AE14+真實IC!AF14</f>
        <v>1.8325962978913071</v>
      </c>
      <c r="AG14" s="2">
        <f>AF14+真實IC!AG14</f>
        <v>1.8612522842231087</v>
      </c>
      <c r="AH14" s="2">
        <f>AG14+真實IC!AH14</f>
        <v>1.8511329542059012</v>
      </c>
      <c r="AI14" s="2">
        <f>AH14+真實IC!AI14</f>
        <v>1.8237299682805022</v>
      </c>
      <c r="AJ14" s="2">
        <f>AI14+真實IC!AJ14</f>
        <v>1.8314923932058984</v>
      </c>
      <c r="AK14" s="2">
        <f>AJ14+真實IC!AK14</f>
        <v>1.8899435158446174</v>
      </c>
      <c r="AL14" s="2">
        <f>AK14+真實IC!AL14</f>
        <v>1.931958864222123</v>
      </c>
      <c r="AM14" s="2">
        <f>AL14+真實IC!AM14</f>
        <v>1.9827146069429822</v>
      </c>
      <c r="AN14" s="2">
        <f>AM14+真實IC!AN14</f>
        <v>2.0871301801708246</v>
      </c>
      <c r="AO14" s="2">
        <f>AN14+真實IC!AO14</f>
        <v>2.1197348479538212</v>
      </c>
      <c r="AP14" s="2">
        <f>AO14+真實IC!AP14</f>
        <v>2.1742365793885954</v>
      </c>
      <c r="AQ14" s="2">
        <f>AP14+真實IC!AQ14</f>
        <v>2.1939022646655726</v>
      </c>
      <c r="AR14" s="2">
        <f>AQ14+真實IC!AR14</f>
        <v>2.2562817211546333</v>
      </c>
      <c r="AS14" s="2">
        <f>AR14+真實IC!AS14</f>
        <v>2.2428037195996566</v>
      </c>
      <c r="AT14" s="2">
        <f>AS14+真實IC!AT14</f>
        <v>2.380618133103642</v>
      </c>
      <c r="AU14" s="2">
        <f>AT14+真實IC!AU14</f>
        <v>2.4903248238624394</v>
      </c>
      <c r="AV14" s="2">
        <f>AU14+真實IC!AV14</f>
        <v>2.6010374981850917</v>
      </c>
      <c r="AW14" s="2">
        <f>AV14+真實IC!AW14</f>
        <v>2.6662970486675426</v>
      </c>
      <c r="AX14" s="2">
        <f>AW14+真實IC!AX14</f>
        <v>2.7070670322018411</v>
      </c>
      <c r="AY14" s="2">
        <f>AX14+真實IC!AY14</f>
        <v>2.7242600763072793</v>
      </c>
      <c r="AZ14" s="2">
        <f>AY14+真實IC!AZ14</f>
        <v>2.7296011538116578</v>
      </c>
      <c r="BA14" s="2">
        <f>AZ14+真實IC!BA14</f>
        <v>2.8209126584242989</v>
      </c>
      <c r="BB14" s="2">
        <f>BA14+真實IC!BB14</f>
        <v>2.8987312520574471</v>
      </c>
      <c r="BC14" s="2">
        <f>BB14+真實IC!BC14</f>
        <v>2.9192544561135523</v>
      </c>
      <c r="BD14" s="2">
        <f>BC14+真實IC!BD14</f>
        <v>2.9466053816129669</v>
      </c>
      <c r="BE14" s="2">
        <f>BD14+真實IC!BE14</f>
        <v>3.0184174991849946</v>
      </c>
      <c r="BF14" s="2">
        <f>BE14+真實IC!BF14</f>
        <v>3.175708725571643</v>
      </c>
      <c r="BG14" s="2">
        <f>BF14+真實IC!BG14</f>
        <v>3.3027817514862909</v>
      </c>
      <c r="BH14" s="2">
        <f>BG14+真實IC!BH14</f>
        <v>3.3674933765460184</v>
      </c>
      <c r="BI14" s="2">
        <f>BH14+真實IC!BI14</f>
        <v>3.397580793838018</v>
      </c>
      <c r="BJ14" s="2">
        <f>BI14+真實IC!BJ14</f>
        <v>3.422476376956352</v>
      </c>
      <c r="BK14" s="2">
        <f>BJ14+真實IC!BK14</f>
        <v>3.4014320499127098</v>
      </c>
      <c r="BL14" s="2">
        <f>BK14+真實IC!BL14</f>
        <v>3.4339358358947489</v>
      </c>
      <c r="BM14" s="2">
        <f>BL14+真實IC!BM14</f>
        <v>3.466857000718194</v>
      </c>
      <c r="BN14" s="2">
        <f>BM14+真實IC!BN14</f>
        <v>3.4780629038205766</v>
      </c>
      <c r="BO14" s="2">
        <f>BN14+真實IC!BO14</f>
        <v>3.5022787197712728</v>
      </c>
      <c r="BP14" s="2">
        <f>BO14+真實IC!BP14</f>
        <v>3.4540504243043699</v>
      </c>
      <c r="BQ14" s="2">
        <f>BP14+真實IC!BQ14</f>
        <v>3.4615159032956013</v>
      </c>
      <c r="BR14" s="2">
        <f>BQ14+真實IC!BR14</f>
        <v>3.5413627493986319</v>
      </c>
      <c r="BS14" s="2">
        <f>BR14+真實IC!BS14</f>
        <v>3.5709743645793757</v>
      </c>
      <c r="BT14" s="2">
        <f>BS14+真實IC!BT14</f>
        <v>3.5540714274490068</v>
      </c>
      <c r="BU14" s="2">
        <f>BT14+真實IC!BU14</f>
        <v>3.6614664653624751</v>
      </c>
      <c r="BV14" s="2">
        <f>BU14+真實IC!BV14</f>
        <v>3.7425474716531468</v>
      </c>
      <c r="BW14" s="2">
        <f>BV14+真實IC!BW14</f>
        <v>3.8373606578466721</v>
      </c>
      <c r="BX14" s="2">
        <f>BW14+真實IC!BX14</f>
        <v>3.8333733192463098</v>
      </c>
      <c r="BY14" s="2">
        <f>BX14+真實IC!BY14</f>
        <v>3.9315770848721847</v>
      </c>
      <c r="BZ14" s="2">
        <f>BY14+真實IC!BZ14</f>
        <v>4.0130122190327562</v>
      </c>
      <c r="CA14" s="2">
        <f>BZ14+真實IC!CA14</f>
        <v>3.9977114046339257</v>
      </c>
      <c r="CB14" s="2">
        <f>CA14+真實IC!CB14</f>
        <v>4.1095056509540306</v>
      </c>
      <c r="CC14" s="2">
        <f>CB14+真實IC!CC14</f>
        <v>4.1189613025118694</v>
      </c>
      <c r="CD14" s="2">
        <f>CC14+真實IC!CD14</f>
        <v>4.2069525820722546</v>
      </c>
      <c r="CE14" s="2">
        <f>CD14+真實IC!CE14</f>
        <v>4.4136206058965577</v>
      </c>
      <c r="CF14" s="2">
        <f>CE14+真實IC!CF14</f>
        <v>4.4909822514338229</v>
      </c>
      <c r="CG14" s="2">
        <f>CF14+真實IC!CG14</f>
        <v>4.55614321982834</v>
      </c>
      <c r="CH14" s="2">
        <f>CG14+真實IC!CH14</f>
        <v>4.6147565266999147</v>
      </c>
      <c r="CI14" s="2">
        <f>CH14+真實IC!CI14</f>
        <v>4.7286007411718902</v>
      </c>
      <c r="CJ14" s="2">
        <f>CI14+真實IC!CJ14</f>
        <v>4.7900387310682948</v>
      </c>
      <c r="CK14" s="2">
        <f>CJ14+真實IC!CK14</f>
        <v>4.8439814231953751</v>
      </c>
      <c r="CL14" s="2">
        <f>CK14+真實IC!CL14</f>
        <v>5.0504251262065303</v>
      </c>
      <c r="CM14" s="2">
        <f>CL14+真實IC!CM14</f>
        <v>5.1404958562718805</v>
      </c>
      <c r="CN14" s="2">
        <f>CM14+真實IC!CN14</f>
        <v>5.3548578276189955</v>
      </c>
      <c r="CO14" s="2">
        <f>CN14+真實IC!CO14</f>
        <v>5.5327609446384169</v>
      </c>
      <c r="CP14" s="2">
        <f>CO14+真實IC!CP14</f>
        <v>5.5940081351966633</v>
      </c>
      <c r="CQ14" s="2">
        <f>CP14+真實IC!CQ14</f>
        <v>5.6109921211800673</v>
      </c>
      <c r="CR14" s="2">
        <f>CQ14+真實IC!CR14</f>
        <v>5.6606127309803993</v>
      </c>
      <c r="CS14" s="2">
        <f>CR14+真實IC!CS14</f>
        <v>5.6727818176719325</v>
      </c>
      <c r="CT14" s="2">
        <f>CS14+真實IC!CT14</f>
        <v>5.7469857497276982</v>
      </c>
      <c r="CU14" s="2">
        <f>CT14+真實IC!CU14</f>
        <v>5.8774790689905476</v>
      </c>
      <c r="CV14" s="2">
        <f>CU14+真實IC!CV14</f>
        <v>6.0122188166223252</v>
      </c>
      <c r="CW14" s="2">
        <f>CV14+真實IC!CW14</f>
        <v>6.0534267599217761</v>
      </c>
      <c r="CX14" s="2">
        <f>CW14+真實IC!CX14</f>
        <v>6.1323073865421547</v>
      </c>
      <c r="CY14" s="2">
        <f>CX14+真實IC!CY14</f>
        <v>6.2419790103084472</v>
      </c>
      <c r="CZ14" s="2">
        <f>CY14+真實IC!CZ14</f>
        <v>6.3090074938930671</v>
      </c>
      <c r="DA14" s="2">
        <f>CZ14+真實IC!DA14</f>
        <v>6.3564073481252885</v>
      </c>
      <c r="DB14" s="2">
        <f>DA14+真實IC!DB14</f>
        <v>6.4400462275221075</v>
      </c>
      <c r="DC14" s="2">
        <f>DB14+真實IC!DC14</f>
        <v>6.4524671939162221</v>
      </c>
      <c r="DD14" s="2">
        <f>DC14+真實IC!DD14</f>
        <v>6.5512019623353153</v>
      </c>
      <c r="DE14" s="2">
        <f>DD14+真實IC!DE14</f>
        <v>6.6102753646309207</v>
      </c>
      <c r="DF14" s="2">
        <f>DE14+真實IC!DF14</f>
        <v>6.7735280988143876</v>
      </c>
      <c r="DG14" s="2">
        <f>DF14+真實IC!DG14</f>
        <v>6.8172693729288731</v>
      </c>
      <c r="DH14" s="2">
        <f>DG14+真實IC!DH14</f>
        <v>6.8801953988162916</v>
      </c>
      <c r="DI14" s="2">
        <f>DH14+真實IC!DI14</f>
        <v>7.0091154980461443</v>
      </c>
      <c r="DJ14" s="2">
        <f>DI14+真實IC!DJ14</f>
        <v>7.0228926659144442</v>
      </c>
      <c r="DK14" s="2">
        <f>DJ14+真實IC!DK14</f>
        <v>7.0584181044474867</v>
      </c>
      <c r="DL14" s="2">
        <f>DK14+真實IC!DL14</f>
        <v>7.0982907376904745</v>
      </c>
      <c r="DM14" s="2">
        <f>DL14+真實IC!DM14</f>
        <v>7.1174072027139319</v>
      </c>
      <c r="DN14" s="2">
        <f>DM14+真實IC!DN14</f>
        <v>7.1596264578261293</v>
      </c>
      <c r="DO14" s="2">
        <f>DN14+真實IC!DO14</f>
        <v>7.2271180128174892</v>
      </c>
      <c r="DP14" s="2">
        <f>DO14+真實IC!DP14</f>
        <v>7.3092178855663068</v>
      </c>
      <c r="DQ14" s="2">
        <f>DP14+真實IC!DQ14</f>
        <v>7.3418634185824745</v>
      </c>
      <c r="DR14" s="2">
        <f>DQ14+真實IC!DR14</f>
        <v>7.3954771874316796</v>
      </c>
      <c r="DS14" s="2">
        <f>DR14+真實IC!DS14</f>
        <v>7.4493698360573619</v>
      </c>
      <c r="DT14" s="2">
        <f>DS14+真實IC!DT14</f>
        <v>7.4644951211578094</v>
      </c>
      <c r="DU14" s="2">
        <f>DT14+真實IC!DU14</f>
        <v>7.5193447713465318</v>
      </c>
      <c r="DV14" s="2">
        <f>DU14+真實IC!DV14</f>
        <v>7.6242980919803731</v>
      </c>
      <c r="DW14" s="2">
        <f>DV14+真實IC!DW14</f>
        <v>7.700593171733809</v>
      </c>
      <c r="DX14" s="2">
        <f>DW14+真實IC!DX14</f>
        <v>7.772148825974444</v>
      </c>
      <c r="DY14" s="2">
        <f>DX14+真實IC!DY14</f>
        <v>7.9202519603111705</v>
      </c>
      <c r="DZ14" s="2">
        <f>DY14+真實IC!DZ14</f>
        <v>7.9334884152241392</v>
      </c>
      <c r="EA14" s="2">
        <f>DZ14+真實IC!EA14</f>
        <v>8.0017728984471077</v>
      </c>
      <c r="EB14" s="2">
        <f>EA14+真實IC!EB14</f>
        <v>8.0863927151101915</v>
      </c>
      <c r="EC14" s="2">
        <f>EB14+真實IC!EC14</f>
        <v>8.1038666506055339</v>
      </c>
      <c r="ED14" s="2">
        <f>EC14+真實IC!ED14</f>
        <v>8.202803976599343</v>
      </c>
      <c r="EE14" s="2">
        <f>ED14+真實IC!EE14</f>
        <v>8.2153389692690855</v>
      </c>
      <c r="EF14" s="2">
        <f>EE14+真實IC!EF14</f>
        <v>8.2744145422557711</v>
      </c>
      <c r="EG14" s="2">
        <f>EF14+真實IC!EG14</f>
        <v>8.4904114115736551</v>
      </c>
      <c r="EH14" s="2">
        <f>EG14+真實IC!EH14</f>
        <v>8.4961186243817384</v>
      </c>
      <c r="EI14" s="2">
        <f>EH14+真實IC!EI14</f>
        <v>8.5018139917751938</v>
      </c>
      <c r="EJ14" s="2">
        <f>EI14+真實IC!EJ14</f>
        <v>8.5770748948308491</v>
      </c>
      <c r="EK14" s="2">
        <f>EJ14+真實IC!EK14</f>
        <v>8.6127755205146475</v>
      </c>
      <c r="EL14" s="2">
        <f>EK14+真實IC!EL14</f>
        <v>8.7130010270959382</v>
      </c>
    </row>
    <row r="15" spans="1:142" x14ac:dyDescent="0.3">
      <c r="A15" s="18"/>
      <c r="B15" s="18">
        <v>110</v>
      </c>
      <c r="C15" s="2">
        <v>0.24155842264248281</v>
      </c>
      <c r="D15" s="2">
        <f>C15+真實IC!D15</f>
        <v>0.41534733550876868</v>
      </c>
      <c r="E15" s="2">
        <f>D15+真實IC!E15</f>
        <v>0.4899169985458296</v>
      </c>
      <c r="F15" s="2">
        <f>E15+真實IC!F15</f>
        <v>0.57169902512199011</v>
      </c>
      <c r="G15" s="2">
        <f>F15+真實IC!G15</f>
        <v>0.57423480488802581</v>
      </c>
      <c r="H15" s="2">
        <f>G15+真實IC!H15</f>
        <v>0.6560504548117001</v>
      </c>
      <c r="I15" s="2">
        <f>H15+真實IC!I15</f>
        <v>0.78434683962410978</v>
      </c>
      <c r="J15" s="2">
        <f>I15+真實IC!J15</f>
        <v>0.9197055020672531</v>
      </c>
      <c r="K15" s="2">
        <f>J15+真實IC!K15</f>
        <v>0.95121360033484237</v>
      </c>
      <c r="L15" s="2">
        <f>K15+真實IC!L15</f>
        <v>0.92846023774913566</v>
      </c>
      <c r="M15" s="2">
        <f>L15+真實IC!M15</f>
        <v>0.98475609661682872</v>
      </c>
      <c r="N15" s="2">
        <f>M15+真實IC!N15</f>
        <v>1.232144142118927</v>
      </c>
      <c r="O15" s="2">
        <f>N15+真實IC!O15</f>
        <v>1.2132475991187466</v>
      </c>
      <c r="P15" s="2">
        <f>O15+真實IC!P15</f>
        <v>1.2827420122233273</v>
      </c>
      <c r="Q15" s="2">
        <f>P15+真實IC!Q15</f>
        <v>1.2520643948300989</v>
      </c>
      <c r="R15" s="2">
        <f>Q15+真實IC!R15</f>
        <v>1.1989847173442085</v>
      </c>
      <c r="S15" s="2">
        <f>R15+真實IC!S15</f>
        <v>1.3792208620723223</v>
      </c>
      <c r="T15" s="2">
        <f>S15+真實IC!T15</f>
        <v>1.4374193488406108</v>
      </c>
      <c r="U15" s="2">
        <f>T15+真實IC!U15</f>
        <v>1.353302965314269</v>
      </c>
      <c r="V15" s="2">
        <f>U15+真實IC!V15</f>
        <v>1.3362093027159287</v>
      </c>
      <c r="W15" s="2">
        <f>V15+真實IC!W15</f>
        <v>1.3988791286365769</v>
      </c>
      <c r="X15" s="2">
        <f>W15+真實IC!X15</f>
        <v>1.6037200845039787</v>
      </c>
      <c r="Y15" s="2">
        <f>X15+真實IC!Y15</f>
        <v>1.6254373526243837</v>
      </c>
      <c r="Z15" s="2">
        <f>Y15+真實IC!Z15</f>
        <v>1.6650587025337886</v>
      </c>
      <c r="AA15" s="2">
        <f>Z15+真實IC!AA15</f>
        <v>1.7939676035440952</v>
      </c>
      <c r="AB15" s="2">
        <f>AA15+真實IC!AB15</f>
        <v>1.8683394180027211</v>
      </c>
      <c r="AC15" s="2">
        <f>AB15+真實IC!AC15</f>
        <v>1.9163475642210099</v>
      </c>
      <c r="AD15" s="2">
        <f>AC15+真實IC!AD15</f>
        <v>1.9299378572515125</v>
      </c>
      <c r="AE15" s="2">
        <f>AD15+真實IC!AE15</f>
        <v>2.105961024837935</v>
      </c>
      <c r="AF15" s="2">
        <f>AE15+真實IC!AF15</f>
        <v>2.2384477296196423</v>
      </c>
      <c r="AG15" s="2">
        <f>AF15+真實IC!AG15</f>
        <v>2.2624957355256274</v>
      </c>
      <c r="AH15" s="2">
        <f>AG15+真實IC!AH15</f>
        <v>2.2253915591413138</v>
      </c>
      <c r="AI15" s="2">
        <f>AH15+真實IC!AI15</f>
        <v>2.2068190312456122</v>
      </c>
      <c r="AJ15" s="2">
        <f>AI15+真實IC!AJ15</f>
        <v>2.2165918634484871</v>
      </c>
      <c r="AK15" s="2">
        <f>AJ15+真實IC!AK15</f>
        <v>2.2745558045979148</v>
      </c>
      <c r="AL15" s="2">
        <f>AK15+真實IC!AL15</f>
        <v>2.3029994140481058</v>
      </c>
      <c r="AM15" s="2">
        <f>AL15+真實IC!AM15</f>
        <v>2.3375327056144704</v>
      </c>
      <c r="AN15" s="2">
        <f>AM15+真實IC!AN15</f>
        <v>2.4562366719269177</v>
      </c>
      <c r="AO15" s="2">
        <f>AN15+真實IC!AO15</f>
        <v>2.5000350190140566</v>
      </c>
      <c r="AP15" s="2">
        <f>AO15+真實IC!AP15</f>
        <v>2.5378693583588694</v>
      </c>
      <c r="AQ15" s="2">
        <f>AP15+真實IC!AQ15</f>
        <v>2.4997668896043015</v>
      </c>
      <c r="AR15" s="2">
        <f>AQ15+真實IC!AR15</f>
        <v>2.5480870095044956</v>
      </c>
      <c r="AS15" s="2">
        <f>AR15+真實IC!AS15</f>
        <v>2.4830582058852455</v>
      </c>
      <c r="AT15" s="2">
        <f>AS15+真實IC!AT15</f>
        <v>2.6908971637543821</v>
      </c>
      <c r="AU15" s="2">
        <f>AT15+真實IC!AU15</f>
        <v>2.8258427797097125</v>
      </c>
      <c r="AV15" s="2">
        <f>AU15+真實IC!AV15</f>
        <v>2.9169265892751821</v>
      </c>
      <c r="AW15" s="2">
        <f>AV15+真實IC!AW15</f>
        <v>3.0141377424336091</v>
      </c>
      <c r="AX15" s="2">
        <f>AW15+真實IC!AX15</f>
        <v>3.1282174355804573</v>
      </c>
      <c r="AY15" s="2">
        <f>AX15+真實IC!AY15</f>
        <v>3.1583525440591567</v>
      </c>
      <c r="AZ15" s="2">
        <f>AY15+真實IC!AZ15</f>
        <v>3.1903668458401211</v>
      </c>
      <c r="BA15" s="2">
        <f>AZ15+真實IC!BA15</f>
        <v>3.3518178386395032</v>
      </c>
      <c r="BB15" s="2">
        <f>BA15+真實IC!BB15</f>
        <v>3.4868481512730134</v>
      </c>
      <c r="BC15" s="2">
        <f>BB15+真實IC!BC15</f>
        <v>3.5543890350732554</v>
      </c>
      <c r="BD15" s="2">
        <f>BC15+真實IC!BD15</f>
        <v>3.5335550217362708</v>
      </c>
      <c r="BE15" s="2">
        <f>BD15+真實IC!BE15</f>
        <v>3.5968878605817083</v>
      </c>
      <c r="BF15" s="2">
        <f>BE15+真實IC!BF15</f>
        <v>3.8239882640690044</v>
      </c>
      <c r="BG15" s="2">
        <f>BF15+真實IC!BG15</f>
        <v>3.9303826347332014</v>
      </c>
      <c r="BH15" s="2">
        <f>BG15+真實IC!BH15</f>
        <v>4.0255447624352518</v>
      </c>
      <c r="BI15" s="2">
        <f>BH15+真實IC!BI15</f>
        <v>4.0696307402268257</v>
      </c>
      <c r="BJ15" s="2">
        <f>BI15+真實IC!BJ15</f>
        <v>4.1762075091380622</v>
      </c>
      <c r="BK15" s="2">
        <f>BJ15+真實IC!BK15</f>
        <v>4.1536229025937601</v>
      </c>
      <c r="BL15" s="2">
        <f>BK15+真實IC!BL15</f>
        <v>4.229514618528504</v>
      </c>
      <c r="BM15" s="2">
        <f>BL15+真實IC!BM15</f>
        <v>4.2840074504423322</v>
      </c>
      <c r="BN15" s="2">
        <f>BM15+真實IC!BN15</f>
        <v>4.2483368306961253</v>
      </c>
      <c r="BO15" s="2">
        <f>BN15+真實IC!BO15</f>
        <v>4.27973220417074</v>
      </c>
      <c r="BP15" s="2">
        <f>BO15+真實IC!BP15</f>
        <v>4.1812887487639561</v>
      </c>
      <c r="BQ15" s="2">
        <f>BP15+真實IC!BQ15</f>
        <v>4.1969839019111017</v>
      </c>
      <c r="BR15" s="2">
        <f>BQ15+真實IC!BR15</f>
        <v>4.3070267458057225</v>
      </c>
      <c r="BS15" s="2">
        <f>BR15+真實IC!BS15</f>
        <v>4.311005523805421</v>
      </c>
      <c r="BT15" s="2">
        <f>BS15+真實IC!BT15</f>
        <v>4.3230652001862087</v>
      </c>
      <c r="BU15" s="2">
        <f>BT15+真實IC!BU15</f>
        <v>4.3764165511574786</v>
      </c>
      <c r="BV15" s="2">
        <f>BU15+真實IC!BV15</f>
        <v>4.4402649739278859</v>
      </c>
      <c r="BW15" s="2">
        <f>BV15+真實IC!BW15</f>
        <v>4.7557005362064544</v>
      </c>
      <c r="BX15" s="2">
        <f>BW15+真實IC!BX15</f>
        <v>4.7988560199905015</v>
      </c>
      <c r="BY15" s="2">
        <f>BX15+真實IC!BY15</f>
        <v>4.9158775236375867</v>
      </c>
      <c r="BZ15" s="2">
        <f>BY15+真實IC!BZ15</f>
        <v>4.9928332433072926</v>
      </c>
      <c r="CA15" s="2">
        <f>BZ15+真實IC!CA15</f>
        <v>4.9989183928754768</v>
      </c>
      <c r="CB15" s="2">
        <f>CA15+真實IC!CB15</f>
        <v>5.0633701601641663</v>
      </c>
      <c r="CC15" s="2">
        <f>CB15+真實IC!CC15</f>
        <v>5.1711974170273809</v>
      </c>
      <c r="CD15" s="2">
        <f>CC15+真實IC!CD15</f>
        <v>5.2907201214497688</v>
      </c>
      <c r="CE15" s="2">
        <f>CD15+真實IC!CE15</f>
        <v>5.411283492104956</v>
      </c>
      <c r="CF15" s="2">
        <f>CE15+真實IC!CF15</f>
        <v>5.4902039537997309</v>
      </c>
      <c r="CG15" s="2">
        <f>CF15+真實IC!CG15</f>
        <v>5.5941132740563697</v>
      </c>
      <c r="CH15" s="2">
        <f>CG15+真實IC!CH15</f>
        <v>5.6616330532043078</v>
      </c>
      <c r="CI15" s="2">
        <f>CH15+真實IC!CI15</f>
        <v>5.6987779985246627</v>
      </c>
      <c r="CJ15" s="2">
        <f>CI15+真實IC!CJ15</f>
        <v>5.7536524486551643</v>
      </c>
      <c r="CK15" s="2">
        <f>CJ15+真實IC!CK15</f>
        <v>5.8970742753619056</v>
      </c>
      <c r="CL15" s="2">
        <f>CK15+真實IC!CL15</f>
        <v>6.1876753673464098</v>
      </c>
      <c r="CM15" s="2">
        <f>CL15+真實IC!CM15</f>
        <v>6.2409565321979859</v>
      </c>
      <c r="CN15" s="2">
        <f>CM15+真實IC!CN15</f>
        <v>6.4095991451057763</v>
      </c>
      <c r="CO15" s="2">
        <f>CN15+真實IC!CO15</f>
        <v>6.5742959499980316</v>
      </c>
      <c r="CP15" s="2">
        <f>CO15+真實IC!CP15</f>
        <v>6.6772987780306554</v>
      </c>
      <c r="CQ15" s="2">
        <f>CP15+真實IC!CQ15</f>
        <v>6.6837470674605663</v>
      </c>
      <c r="CR15" s="2">
        <f>CQ15+真實IC!CR15</f>
        <v>6.718135351100563</v>
      </c>
      <c r="CS15" s="2">
        <f>CR15+真實IC!CS15</f>
        <v>6.7271366111336466</v>
      </c>
      <c r="CT15" s="2">
        <f>CS15+真實IC!CT15</f>
        <v>6.7470146652768053</v>
      </c>
      <c r="CU15" s="2">
        <f>CT15+真實IC!CU15</f>
        <v>6.9074107198228907</v>
      </c>
      <c r="CV15" s="2">
        <f>CU15+真實IC!CV15</f>
        <v>7.066246995112528</v>
      </c>
      <c r="CW15" s="2">
        <f>CV15+真實IC!CW15</f>
        <v>7.097416205736601</v>
      </c>
      <c r="CX15" s="2">
        <f>CW15+真實IC!CX15</f>
        <v>7.1600173061309924</v>
      </c>
      <c r="CY15" s="2">
        <f>CX15+真實IC!CY15</f>
        <v>7.2281749960115569</v>
      </c>
      <c r="CZ15" s="2">
        <f>CY15+真實IC!CZ15</f>
        <v>7.3190987888055394</v>
      </c>
      <c r="DA15" s="2">
        <f>CZ15+真實IC!DA15</f>
        <v>7.3876968565401899</v>
      </c>
      <c r="DB15" s="2">
        <f>DA15+真實IC!DB15</f>
        <v>7.4276292494886311</v>
      </c>
      <c r="DC15" s="2">
        <f>DB15+真實IC!DC15</f>
        <v>7.4452276259026364</v>
      </c>
      <c r="DD15" s="2">
        <f>DC15+真實IC!DD15</f>
        <v>7.5122244300122984</v>
      </c>
      <c r="DE15" s="2">
        <f>DD15+真實IC!DE15</f>
        <v>7.5896010504046068</v>
      </c>
      <c r="DF15" s="2">
        <f>DE15+真實IC!DF15</f>
        <v>7.8890366793718139</v>
      </c>
      <c r="DG15" s="2">
        <f>DF15+真實IC!DG15</f>
        <v>7.9292083126274502</v>
      </c>
      <c r="DH15" s="2">
        <f>DG15+真實IC!DH15</f>
        <v>8.0613958665771541</v>
      </c>
      <c r="DI15" s="2">
        <f>DH15+真實IC!DI15</f>
        <v>8.081586791004117</v>
      </c>
      <c r="DJ15" s="2">
        <f>DI15+真實IC!DJ15</f>
        <v>8.1104503862009274</v>
      </c>
      <c r="DK15" s="2">
        <f>DJ15+真實IC!DK15</f>
        <v>8.1941281873241429</v>
      </c>
      <c r="DL15" s="2">
        <f>DK15+真實IC!DL15</f>
        <v>8.2393025812252425</v>
      </c>
      <c r="DM15" s="2">
        <f>DL15+真實IC!DM15</f>
        <v>8.2522858783808832</v>
      </c>
      <c r="DN15" s="2">
        <f>DM15+真實IC!DN15</f>
        <v>8.2642727025945124</v>
      </c>
      <c r="DO15" s="2">
        <f>DN15+真實IC!DO15</f>
        <v>8.3063084349325766</v>
      </c>
      <c r="DP15" s="2">
        <f>DO15+真實IC!DP15</f>
        <v>8.4561764846200695</v>
      </c>
      <c r="DQ15" s="2">
        <f>DP15+真實IC!DQ15</f>
        <v>8.4821682550895954</v>
      </c>
      <c r="DR15" s="2">
        <f>DQ15+真實IC!DR15</f>
        <v>8.507866430144416</v>
      </c>
      <c r="DS15" s="2">
        <f>DR15+真實IC!DS15</f>
        <v>8.560059333041691</v>
      </c>
      <c r="DT15" s="2">
        <f>DS15+真實IC!DT15</f>
        <v>8.5825147896862628</v>
      </c>
      <c r="DU15" s="2">
        <f>DT15+真實IC!DU15</f>
        <v>8.6662492459905298</v>
      </c>
      <c r="DV15" s="2">
        <f>DU15+真實IC!DV15</f>
        <v>8.8148720072572164</v>
      </c>
      <c r="DW15" s="2">
        <f>DV15+真實IC!DW15</f>
        <v>8.8230983414696222</v>
      </c>
      <c r="DX15" s="2">
        <f>DW15+真實IC!DX15</f>
        <v>8.9078985185570865</v>
      </c>
      <c r="DY15" s="2">
        <f>DX15+真實IC!DY15</f>
        <v>9.1466538337694168</v>
      </c>
      <c r="DZ15" s="2">
        <f>DY15+真實IC!DZ15</f>
        <v>9.1807361146044943</v>
      </c>
      <c r="EA15" s="2">
        <f>DZ15+真實IC!EA15</f>
        <v>9.143266438729011</v>
      </c>
      <c r="EB15" s="2">
        <f>EA15+真實IC!EB15</f>
        <v>9.2566316922501013</v>
      </c>
      <c r="EC15" s="2">
        <f>EB15+真實IC!EC15</f>
        <v>9.3395907763343295</v>
      </c>
      <c r="ED15" s="2">
        <f>EC15+真實IC!ED15</f>
        <v>9.4817521706393162</v>
      </c>
      <c r="EE15" s="2">
        <f>ED15+真實IC!EE15</f>
        <v>9.4913697299362347</v>
      </c>
      <c r="EF15" s="2">
        <f>EE15+真實IC!EF15</f>
        <v>9.5362826791149562</v>
      </c>
      <c r="EG15" s="2">
        <f>EF15+真實IC!EG15</f>
        <v>9.8809974824812628</v>
      </c>
      <c r="EH15" s="2">
        <f>EG15+真實IC!EH15</f>
        <v>9.866042417286577</v>
      </c>
      <c r="EI15" s="2">
        <f>EH15+真實IC!EI15</f>
        <v>9.8944979160843385</v>
      </c>
      <c r="EJ15" s="2">
        <f>EI15+真實IC!EJ15</f>
        <v>9.9775625985882552</v>
      </c>
      <c r="EK15" s="2">
        <f>EJ15+真實IC!EK15</f>
        <v>10.012469309086855</v>
      </c>
      <c r="EL15" s="2">
        <f>EK15+真實IC!EL15</f>
        <v>10.110232989903682</v>
      </c>
    </row>
    <row r="16" spans="1:142" x14ac:dyDescent="0.3">
      <c r="A16" s="18"/>
      <c r="B16" s="18">
        <v>120</v>
      </c>
      <c r="C16" s="2">
        <v>0.26072770983563209</v>
      </c>
      <c r="D16" s="2">
        <f>C16+真實IC!D16</f>
        <v>0.44498621824521212</v>
      </c>
      <c r="E16" s="2">
        <f>D16+真實IC!E16</f>
        <v>0.51947187960749064</v>
      </c>
      <c r="F16" s="2">
        <f>E16+真實IC!F16</f>
        <v>0.57252907664089714</v>
      </c>
      <c r="G16" s="2">
        <f>F16+真實IC!G16</f>
        <v>0.66087745875641479</v>
      </c>
      <c r="H16" s="2">
        <f>G16+真實IC!H16</f>
        <v>0.74345874768040532</v>
      </c>
      <c r="I16" s="2">
        <f>H16+真實IC!I16</f>
        <v>0.88208709571169674</v>
      </c>
      <c r="J16" s="2">
        <f>I16+真實IC!J16</f>
        <v>1.0319478725848146</v>
      </c>
      <c r="K16" s="2">
        <f>J16+真實IC!K16</f>
        <v>1.0617867840883091</v>
      </c>
      <c r="L16" s="2">
        <f>K16+真實IC!L16</f>
        <v>1.0371496088197265</v>
      </c>
      <c r="M16" s="2">
        <f>L16+真實IC!M16</f>
        <v>1.0910757008186935</v>
      </c>
      <c r="N16" s="2">
        <f>M16+真實IC!N16</f>
        <v>1.3739915111574916</v>
      </c>
      <c r="O16" s="2">
        <f>N16+真實IC!O16</f>
        <v>1.3446195630953519</v>
      </c>
      <c r="P16" s="2">
        <f>O16+真實IC!P16</f>
        <v>1.4163362711891059</v>
      </c>
      <c r="Q16" s="2">
        <f>P16+真實IC!Q16</f>
        <v>1.4136600032580755</v>
      </c>
      <c r="R16" s="2">
        <f>Q16+真實IC!R16</f>
        <v>1.3513661006952693</v>
      </c>
      <c r="S16" s="2">
        <f>R16+真實IC!S16</f>
        <v>1.5475955632364387</v>
      </c>
      <c r="T16" s="2">
        <f>S16+真實IC!T16</f>
        <v>1.6418222893900314</v>
      </c>
      <c r="U16" s="2">
        <f>T16+真實IC!U16</f>
        <v>1.5698350585024581</v>
      </c>
      <c r="V16" s="2">
        <f>U16+真實IC!V16</f>
        <v>1.5693129747704193</v>
      </c>
      <c r="W16" s="2">
        <f>V16+真實IC!W16</f>
        <v>1.6175407205618704</v>
      </c>
      <c r="X16" s="2">
        <f>W16+真實IC!X16</f>
        <v>1.8009522831537617</v>
      </c>
      <c r="Y16" s="2">
        <f>X16+真實IC!Y16</f>
        <v>1.8278241863854869</v>
      </c>
      <c r="Z16" s="2">
        <f>Y16+真實IC!Z16</f>
        <v>1.854069738877437</v>
      </c>
      <c r="AA16" s="2">
        <f>Z16+真實IC!AA16</f>
        <v>1.9832212600188031</v>
      </c>
      <c r="AB16" s="2">
        <f>AA16+真實IC!AB16</f>
        <v>2.066900603552265</v>
      </c>
      <c r="AC16" s="2">
        <f>AB16+真實IC!AC16</f>
        <v>2.1268167655172761</v>
      </c>
      <c r="AD16" s="2">
        <f>AC16+真實IC!AD16</f>
        <v>2.1457005897681727</v>
      </c>
      <c r="AE16" s="2">
        <f>AD16+真實IC!AE16</f>
        <v>2.34007076331247</v>
      </c>
      <c r="AF16" s="2">
        <f>AE16+真實IC!AF16</f>
        <v>2.4827719469246001</v>
      </c>
      <c r="AG16" s="2">
        <f>AF16+真實IC!AG16</f>
        <v>2.5137567098313598</v>
      </c>
      <c r="AH16" s="2">
        <f>AG16+真實IC!AH16</f>
        <v>2.481991309381919</v>
      </c>
      <c r="AI16" s="2">
        <f>AH16+真實IC!AI16</f>
        <v>2.456840094932387</v>
      </c>
      <c r="AJ16" s="2">
        <f>AI16+真實IC!AJ16</f>
        <v>2.4263516859916572</v>
      </c>
      <c r="AK16" s="2">
        <f>AJ16+真實IC!AK16</f>
        <v>2.4907730868240292</v>
      </c>
      <c r="AL16" s="2">
        <f>AK16+真實IC!AL16</f>
        <v>2.5155509848194892</v>
      </c>
      <c r="AM16" s="2">
        <f>AL16+真實IC!AM16</f>
        <v>2.5441422113017595</v>
      </c>
      <c r="AN16" s="2">
        <f>AM16+真實IC!AN16</f>
        <v>2.6815451252092424</v>
      </c>
      <c r="AO16" s="2">
        <f>AN16+真實IC!AO16</f>
        <v>2.7454738282644842</v>
      </c>
      <c r="AP16" s="2">
        <f>AO16+真實IC!AP16</f>
        <v>2.8084293042674267</v>
      </c>
      <c r="AQ16" s="2">
        <f>AP16+真實IC!AQ16</f>
        <v>2.7567742871186329</v>
      </c>
      <c r="AR16" s="2">
        <f>AQ16+真實IC!AR16</f>
        <v>2.859544528817505</v>
      </c>
      <c r="AS16" s="2">
        <f>AR16+真實IC!AS16</f>
        <v>2.7938244369691274</v>
      </c>
      <c r="AT16" s="2">
        <f>AS16+真實IC!AT16</f>
        <v>3.0151452740132179</v>
      </c>
      <c r="AU16" s="2">
        <f>AT16+真實IC!AU16</f>
        <v>3.1538459230358162</v>
      </c>
      <c r="AV16" s="2">
        <f>AU16+真實IC!AV16</f>
        <v>3.2433052077758222</v>
      </c>
      <c r="AW16" s="2">
        <f>AV16+真實IC!AW16</f>
        <v>3.3564849090460243</v>
      </c>
      <c r="AX16" s="2">
        <f>AW16+真實IC!AX16</f>
        <v>3.4700805059579722</v>
      </c>
      <c r="AY16" s="2">
        <f>AX16+真實IC!AY16</f>
        <v>3.5103880070931934</v>
      </c>
      <c r="AZ16" s="2">
        <f>AY16+真實IC!AZ16</f>
        <v>3.537008006169803</v>
      </c>
      <c r="BA16" s="2">
        <f>AZ16+真實IC!BA16</f>
        <v>3.6953182344197941</v>
      </c>
      <c r="BB16" s="2">
        <f>BA16+真實IC!BB16</f>
        <v>3.8766828404616192</v>
      </c>
      <c r="BC16" s="2">
        <f>BB16+真實IC!BC16</f>
        <v>3.9420751709979189</v>
      </c>
      <c r="BD16" s="2">
        <f>BC16+真實IC!BD16</f>
        <v>3.9170274339787019</v>
      </c>
      <c r="BE16" s="2">
        <f>BD16+真實IC!BE16</f>
        <v>3.9727770187384817</v>
      </c>
      <c r="BF16" s="2">
        <f>BE16+真實IC!BF16</f>
        <v>4.1086811237618246</v>
      </c>
      <c r="BG16" s="2">
        <f>BF16+真實IC!BG16</f>
        <v>4.2123610393780142</v>
      </c>
      <c r="BH16" s="2">
        <f>BG16+真實IC!BH16</f>
        <v>4.3338337914854845</v>
      </c>
      <c r="BI16" s="2">
        <f>BH16+真實IC!BI16</f>
        <v>4.3741822260151704</v>
      </c>
      <c r="BJ16" s="2">
        <f>BI16+真實IC!BJ16</f>
        <v>4.4905246456773229</v>
      </c>
      <c r="BK16" s="2">
        <f>BJ16+真實IC!BK16</f>
        <v>4.4540362944757304</v>
      </c>
      <c r="BL16" s="2">
        <f>BK16+真實IC!BL16</f>
        <v>4.5234326930130742</v>
      </c>
      <c r="BM16" s="2">
        <f>BL16+真實IC!BM16</f>
        <v>4.5678942871969683</v>
      </c>
      <c r="BN16" s="2">
        <f>BM16+真實IC!BN16</f>
        <v>4.5462404497500604</v>
      </c>
      <c r="BO16" s="2">
        <f>BN16+真實IC!BO16</f>
        <v>4.5719415286363159</v>
      </c>
      <c r="BP16" s="2">
        <f>BO16+真實IC!BP16</f>
        <v>4.527806133505722</v>
      </c>
      <c r="BQ16" s="2">
        <f>BP16+真實IC!BQ16</f>
        <v>4.5443321670914463</v>
      </c>
      <c r="BR16" s="2">
        <f>BQ16+真實IC!BR16</f>
        <v>4.657475805093676</v>
      </c>
      <c r="BS16" s="2">
        <f>BR16+真實IC!BS16</f>
        <v>4.6495745659166188</v>
      </c>
      <c r="BT16" s="2">
        <f>BS16+真實IC!BT16</f>
        <v>4.662372267122743</v>
      </c>
      <c r="BU16" s="2">
        <f>BT16+真實IC!BU16</f>
        <v>4.7048575068405096</v>
      </c>
      <c r="BV16" s="2">
        <f>BU16+真實IC!BV16</f>
        <v>4.7424358809370997</v>
      </c>
      <c r="BW16" s="2">
        <f>BV16+真實IC!BW16</f>
        <v>5.0790798223368965</v>
      </c>
      <c r="BX16" s="2">
        <f>BW16+真實IC!BX16</f>
        <v>5.1257577317868144</v>
      </c>
      <c r="BY16" s="2">
        <f>BX16+真實IC!BY16</f>
        <v>5.2573837447039429</v>
      </c>
      <c r="BZ16" s="2">
        <f>BY16+真實IC!BZ16</f>
        <v>5.3623874211008644</v>
      </c>
      <c r="CA16" s="2">
        <f>BZ16+真實IC!CA16</f>
        <v>5.3845301206922729</v>
      </c>
      <c r="CB16" s="2">
        <f>CA16+真實IC!CB16</f>
        <v>5.4497948171863042</v>
      </c>
      <c r="CC16" s="2">
        <f>CB16+真實IC!CC16</f>
        <v>5.5680449768092135</v>
      </c>
      <c r="CD16" s="2">
        <f>CC16+真實IC!CD16</f>
        <v>5.6837541915475933</v>
      </c>
      <c r="CE16" s="2">
        <f>CD16+真實IC!CE16</f>
        <v>5.7535174327790068</v>
      </c>
      <c r="CF16" s="2">
        <f>CE16+真實IC!CF16</f>
        <v>5.836457768975758</v>
      </c>
      <c r="CG16" s="2">
        <f>CF16+真實IC!CG16</f>
        <v>5.9524345882487033</v>
      </c>
      <c r="CH16" s="2">
        <f>CG16+真實IC!CH16</f>
        <v>6.0004890927944121</v>
      </c>
      <c r="CI16" s="2">
        <f>CH16+真實IC!CI16</f>
        <v>6.0495788340444454</v>
      </c>
      <c r="CJ16" s="2">
        <f>CI16+真實IC!CJ16</f>
        <v>6.0805342506299507</v>
      </c>
      <c r="CK16" s="2">
        <f>CJ16+真實IC!CK16</f>
        <v>6.2220041531813015</v>
      </c>
      <c r="CL16" s="2">
        <f>CK16+真實IC!CL16</f>
        <v>6.5335469484557374</v>
      </c>
      <c r="CM16" s="2">
        <f>CL16+真實IC!CM16</f>
        <v>6.5856710192233932</v>
      </c>
      <c r="CN16" s="2">
        <f>CM16+真實IC!CN16</f>
        <v>6.7574348330095182</v>
      </c>
      <c r="CO16" s="2">
        <f>CN16+真實IC!CO16</f>
        <v>6.9404388061045648</v>
      </c>
      <c r="CP16" s="2">
        <f>CO16+真實IC!CP16</f>
        <v>7.0531784377902893</v>
      </c>
      <c r="CQ16" s="2">
        <f>CP16+真實IC!CQ16</f>
        <v>7.1288384064144941</v>
      </c>
      <c r="CR16" s="2">
        <f>CQ16+真實IC!CR16</f>
        <v>7.1595625980591215</v>
      </c>
      <c r="CS16" s="2">
        <f>CR16+真實IC!CS16</f>
        <v>7.1695639980958807</v>
      </c>
      <c r="CT16" s="2">
        <f>CS16+真實IC!CT16</f>
        <v>7.1984732841172221</v>
      </c>
      <c r="CU16" s="2">
        <f>CT16+真實IC!CU16</f>
        <v>7.3577595972332874</v>
      </c>
      <c r="CV16" s="2">
        <f>CU16+真實IC!CV16</f>
        <v>7.4902019291327235</v>
      </c>
      <c r="CW16" s="2">
        <f>CV16+真實IC!CW16</f>
        <v>7.5460024501787393</v>
      </c>
      <c r="CX16" s="2">
        <f>CW16+真實IC!CX16</f>
        <v>7.6040861783094869</v>
      </c>
      <c r="CY16" s="2">
        <f>CX16+真實IC!CY16</f>
        <v>7.6830222953254088</v>
      </c>
      <c r="CZ16" s="2">
        <f>CY16+真實IC!CZ16</f>
        <v>7.8017336731390419</v>
      </c>
      <c r="DA16" s="2">
        <f>CZ16+真實IC!DA16</f>
        <v>7.8976222216798986</v>
      </c>
      <c r="DB16" s="2">
        <f>DA16+真實IC!DB16</f>
        <v>7.9549826662355061</v>
      </c>
      <c r="DC16" s="2">
        <f>DB16+真實IC!DC16</f>
        <v>7.9705778425129399</v>
      </c>
      <c r="DD16" s="2">
        <f>DC16+真實IC!DD16</f>
        <v>8.0523411149198303</v>
      </c>
      <c r="DE16" s="2">
        <f>DD16+真實IC!DE16</f>
        <v>8.1047912255979551</v>
      </c>
      <c r="DF16" s="2">
        <f>DE16+真實IC!DF16</f>
        <v>8.4267209757644697</v>
      </c>
      <c r="DG16" s="2">
        <f>DF16+真實IC!DG16</f>
        <v>8.4711703687067992</v>
      </c>
      <c r="DH16" s="2">
        <f>DG16+真實IC!DH16</f>
        <v>8.623876693308631</v>
      </c>
      <c r="DI16" s="2">
        <f>DH16+真實IC!DI16</f>
        <v>8.6671798245765181</v>
      </c>
      <c r="DJ16" s="2">
        <f>DI16+真實IC!DJ16</f>
        <v>8.7054802880128044</v>
      </c>
      <c r="DK16" s="2">
        <f>DJ16+真實IC!DK16</f>
        <v>8.7887408819118615</v>
      </c>
      <c r="DL16" s="2">
        <f>DK16+真實IC!DL16</f>
        <v>8.7983678127843383</v>
      </c>
      <c r="DM16" s="2">
        <f>DL16+真實IC!DM16</f>
        <v>8.7616080656653565</v>
      </c>
      <c r="DN16" s="2">
        <f>DM16+真實IC!DN16</f>
        <v>8.7838420324455324</v>
      </c>
      <c r="DO16" s="2">
        <f>DN16+真實IC!DO16</f>
        <v>8.8392184729130516</v>
      </c>
      <c r="DP16" s="2">
        <f>DO16+真實IC!DP16</f>
        <v>8.9855864706640602</v>
      </c>
      <c r="DQ16" s="2">
        <f>DP16+真實IC!DQ16</f>
        <v>9.0104253662778806</v>
      </c>
      <c r="DR16" s="2">
        <f>DQ16+真實IC!DR16</f>
        <v>9.0482568632104954</v>
      </c>
      <c r="DS16" s="2">
        <f>DR16+真實IC!DS16</f>
        <v>9.1003704460078048</v>
      </c>
      <c r="DT16" s="2">
        <f>DS16+真實IC!DT16</f>
        <v>9.159303781501773</v>
      </c>
      <c r="DU16" s="2">
        <f>DT16+真實IC!DU16</f>
        <v>9.2446449966587849</v>
      </c>
      <c r="DV16" s="2">
        <f>DU16+真實IC!DV16</f>
        <v>9.3960331263825001</v>
      </c>
      <c r="DW16" s="2">
        <f>DV16+真實IC!DW16</f>
        <v>9.4337761238380615</v>
      </c>
      <c r="DX16" s="2">
        <f>DW16+真實IC!DX16</f>
        <v>9.4980611244566653</v>
      </c>
      <c r="DY16" s="2">
        <f>DX16+真實IC!DY16</f>
        <v>9.7431602883651447</v>
      </c>
      <c r="DZ16" s="2">
        <f>DY16+真實IC!DZ16</f>
        <v>9.7893392292001025</v>
      </c>
      <c r="EA16" s="2">
        <f>DZ16+真實IC!EA16</f>
        <v>9.8046441722032007</v>
      </c>
      <c r="EB16" s="2">
        <f>EA16+真實IC!EB16</f>
        <v>9.9157427076427194</v>
      </c>
      <c r="EC16" s="2">
        <f>EB16+真實IC!EC16</f>
        <v>9.9980272498731591</v>
      </c>
      <c r="ED16" s="2">
        <f>EC16+真實IC!ED16</f>
        <v>10.145448817782832</v>
      </c>
      <c r="EE16" s="2">
        <f>ED16+真實IC!EE16</f>
        <v>10.156986425084471</v>
      </c>
      <c r="EF16" s="2">
        <f>EE16+真實IC!EF16</f>
        <v>10.217229065057401</v>
      </c>
      <c r="EG16" s="2">
        <f>EF16+真實IC!EG16</f>
        <v>10.613016023429886</v>
      </c>
      <c r="EH16" s="2">
        <f>EG16+真實IC!EH16</f>
        <v>10.589740633521123</v>
      </c>
      <c r="EI16" s="2">
        <f>EH16+真實IC!EI16</f>
        <v>10.61555236362692</v>
      </c>
      <c r="EJ16" s="2">
        <f>EI16+真實IC!EJ16</f>
        <v>10.693163498688827</v>
      </c>
      <c r="EK16" s="2">
        <f>EJ16+真實IC!EK16</f>
        <v>10.729437028775976</v>
      </c>
      <c r="EL16" s="2">
        <f>EK16+真實IC!EL16</f>
        <v>10.823964413188543</v>
      </c>
    </row>
    <row r="17" spans="1:142" x14ac:dyDescent="0.3">
      <c r="A17" s="18"/>
      <c r="B17" s="18">
        <v>130</v>
      </c>
      <c r="C17" s="2">
        <v>0.2378970514581851</v>
      </c>
      <c r="D17" s="2">
        <f>C17+真實IC!D17</f>
        <v>0.41922834405136811</v>
      </c>
      <c r="E17" s="2">
        <f>D17+真實IC!E17</f>
        <v>0.4959309704750563</v>
      </c>
      <c r="F17" s="2">
        <f>E17+真實IC!F17</f>
        <v>0.55242199730652064</v>
      </c>
      <c r="G17" s="2">
        <f>F17+真實IC!G17</f>
        <v>0.64120367914719223</v>
      </c>
      <c r="H17" s="2">
        <f>G17+真實IC!H17</f>
        <v>0.68115697437170986</v>
      </c>
      <c r="I17" s="2">
        <f>H17+真實IC!I17</f>
        <v>0.83492538909393155</v>
      </c>
      <c r="J17" s="2">
        <f>I17+真實IC!J17</f>
        <v>0.99456640007736219</v>
      </c>
      <c r="K17" s="2">
        <f>J17+真實IC!K17</f>
        <v>1.0111910078050759</v>
      </c>
      <c r="L17" s="2">
        <f>K17+真實IC!L17</f>
        <v>1.0037395013721433</v>
      </c>
      <c r="M17" s="2">
        <f>L17+真實IC!M17</f>
        <v>1.0589766066054265</v>
      </c>
      <c r="N17" s="2">
        <f>M17+真實IC!N17</f>
        <v>1.3782555669907592</v>
      </c>
      <c r="O17" s="2">
        <f>N17+真實IC!O17</f>
        <v>1.3541882726718264</v>
      </c>
      <c r="P17" s="2">
        <f>O17+真實IC!P17</f>
        <v>1.4320197049066989</v>
      </c>
      <c r="Q17" s="2">
        <f>P17+真實IC!Q17</f>
        <v>1.4399219694030874</v>
      </c>
      <c r="R17" s="2">
        <f>Q17+真實IC!R17</f>
        <v>1.3714501931645784</v>
      </c>
      <c r="S17" s="2">
        <f>R17+真實IC!S17</f>
        <v>1.6174157917108036</v>
      </c>
      <c r="T17" s="2">
        <f>S17+真實IC!T17</f>
        <v>1.711292519167297</v>
      </c>
      <c r="U17" s="2">
        <f>T17+真實IC!U17</f>
        <v>1.6376868371441637</v>
      </c>
      <c r="V17" s="2">
        <f>U17+真實IC!V17</f>
        <v>1.6478855962749051</v>
      </c>
      <c r="W17" s="2">
        <f>V17+真實IC!W17</f>
        <v>1.6932650841551469</v>
      </c>
      <c r="X17" s="2">
        <f>W17+真實IC!X17</f>
        <v>1.8695175395178292</v>
      </c>
      <c r="Y17" s="2">
        <f>X17+真實IC!Y17</f>
        <v>1.9027904033013645</v>
      </c>
      <c r="Z17" s="2">
        <f>Y17+真實IC!Z17</f>
        <v>1.9376401890238872</v>
      </c>
      <c r="AA17" s="2">
        <f>Z17+真實IC!AA17</f>
        <v>2.0973231329151267</v>
      </c>
      <c r="AB17" s="2">
        <f>AA17+真實IC!AB17</f>
        <v>2.1832083639543991</v>
      </c>
      <c r="AC17" s="2">
        <f>AB17+真實IC!AC17</f>
        <v>2.2397096253851512</v>
      </c>
      <c r="AD17" s="2">
        <f>AC17+真實IC!AD17</f>
        <v>2.2101111273512539</v>
      </c>
      <c r="AE17" s="2">
        <f>AD17+真實IC!AE17</f>
        <v>2.3849503769630269</v>
      </c>
      <c r="AF17" s="2">
        <f>AE17+真實IC!AF17</f>
        <v>2.5665675137227471</v>
      </c>
      <c r="AG17" s="2">
        <f>AF17+真實IC!AG17</f>
        <v>2.6330026127658952</v>
      </c>
      <c r="AH17" s="2">
        <f>AG17+真實IC!AH17</f>
        <v>2.5835650704853541</v>
      </c>
      <c r="AI17" s="2">
        <f>AH17+真實IC!AI17</f>
        <v>2.582380174356993</v>
      </c>
      <c r="AJ17" s="2">
        <f>AI17+真實IC!AJ17</f>
        <v>2.5401301473707618</v>
      </c>
      <c r="AK17" s="2">
        <f>AJ17+真實IC!AK17</f>
        <v>2.5719426333705817</v>
      </c>
      <c r="AL17" s="2">
        <f>AK17+真實IC!AL17</f>
        <v>2.6061156107376164</v>
      </c>
      <c r="AM17" s="2">
        <f>AL17+真實IC!AM17</f>
        <v>2.6506432546726257</v>
      </c>
      <c r="AN17" s="2">
        <f>AM17+真實IC!AN17</f>
        <v>2.7656749622042049</v>
      </c>
      <c r="AO17" s="2">
        <f>AN17+真實IC!AO17</f>
        <v>2.7948250457176007</v>
      </c>
      <c r="AP17" s="2">
        <f>AO17+真實IC!AP17</f>
        <v>2.8800278163396213</v>
      </c>
      <c r="AQ17" s="2">
        <f>AP17+真實IC!AQ17</f>
        <v>2.8469305191839394</v>
      </c>
      <c r="AR17" s="2">
        <f>AQ17+真實IC!AR17</f>
        <v>2.9018816811515942</v>
      </c>
      <c r="AS17" s="2">
        <f>AR17+真實IC!AS17</f>
        <v>2.815782008095304</v>
      </c>
      <c r="AT17" s="2">
        <f>AS17+真實IC!AT17</f>
        <v>3.0832837399087056</v>
      </c>
      <c r="AU17" s="2">
        <f>AT17+真實IC!AU17</f>
        <v>3.2210569457945462</v>
      </c>
      <c r="AV17" s="2">
        <f>AU17+真實IC!AV17</f>
        <v>3.277763250652467</v>
      </c>
      <c r="AW17" s="2">
        <f>AV17+真實IC!AW17</f>
        <v>3.4045637156547035</v>
      </c>
      <c r="AX17" s="2">
        <f>AW17+真實IC!AX17</f>
        <v>3.500574798463246</v>
      </c>
      <c r="AY17" s="2">
        <f>AX17+真實IC!AY17</f>
        <v>3.5392006487581305</v>
      </c>
      <c r="AZ17" s="2">
        <f>AY17+真實IC!AZ17</f>
        <v>3.5653134013802621</v>
      </c>
      <c r="BA17" s="2">
        <f>AZ17+真實IC!BA17</f>
        <v>3.7336611028940627</v>
      </c>
      <c r="BB17" s="2">
        <f>BA17+真實IC!BB17</f>
        <v>3.9358045745456738</v>
      </c>
      <c r="BC17" s="2">
        <f>BB17+真實IC!BC17</f>
        <v>4.0177224922056718</v>
      </c>
      <c r="BD17" s="2">
        <f>BC17+真實IC!BD17</f>
        <v>4.0018882024739355</v>
      </c>
      <c r="BE17" s="2">
        <f>BD17+真實IC!BE17</f>
        <v>4.0810346311485954</v>
      </c>
      <c r="BF17" s="2">
        <f>BE17+真實IC!BF17</f>
        <v>4.2305131018787039</v>
      </c>
      <c r="BG17" s="2">
        <f>BF17+真實IC!BG17</f>
        <v>4.3196177170677705</v>
      </c>
      <c r="BH17" s="2">
        <f>BG17+真實IC!BH17</f>
        <v>4.4437444318697201</v>
      </c>
      <c r="BI17" s="2">
        <f>BH17+真實IC!BI17</f>
        <v>4.4681926407814112</v>
      </c>
      <c r="BJ17" s="2">
        <f>BI17+真實IC!BJ17</f>
        <v>4.5934669008390543</v>
      </c>
      <c r="BK17" s="2">
        <f>BJ17+真實IC!BK17</f>
        <v>4.5526963465619188</v>
      </c>
      <c r="BL17" s="2">
        <f>BK17+真實IC!BL17</f>
        <v>4.5960994428206963</v>
      </c>
      <c r="BM17" s="2">
        <f>BL17+真實IC!BM17</f>
        <v>4.6197852162242841</v>
      </c>
      <c r="BN17" s="2">
        <f>BM17+真實IC!BN17</f>
        <v>4.6019999238393838</v>
      </c>
      <c r="BO17" s="2">
        <f>BN17+真實IC!BO17</f>
        <v>4.6122685536187804</v>
      </c>
      <c r="BP17" s="2">
        <f>BO17+真實IC!BP17</f>
        <v>4.560581492443136</v>
      </c>
      <c r="BQ17" s="2">
        <f>BP17+真實IC!BQ17</f>
        <v>4.6000950183044642</v>
      </c>
      <c r="BR17" s="2">
        <f>BQ17+真實IC!BR17</f>
        <v>4.7261363591912664</v>
      </c>
      <c r="BS17" s="2">
        <f>BR17+真實IC!BS17</f>
        <v>4.7169038618010735</v>
      </c>
      <c r="BT17" s="2">
        <f>BS17+真實IC!BT17</f>
        <v>4.7181305609397199</v>
      </c>
      <c r="BU17" s="2">
        <f>BT17+真實IC!BU17</f>
        <v>4.7900215024044028</v>
      </c>
      <c r="BV17" s="2">
        <f>BU17+真實IC!BV17</f>
        <v>4.8559224361325652</v>
      </c>
      <c r="BW17" s="2">
        <f>BV17+真實IC!BW17</f>
        <v>5.24495176822</v>
      </c>
      <c r="BX17" s="2">
        <f>BW17+真實IC!BX17</f>
        <v>5.2967967614594613</v>
      </c>
      <c r="BY17" s="2">
        <f>BX17+真實IC!BY17</f>
        <v>5.3922575811960121</v>
      </c>
      <c r="BZ17" s="2">
        <f>BY17+真實IC!BZ17</f>
        <v>5.5104344969736712</v>
      </c>
      <c r="CA17" s="2">
        <f>BZ17+真實IC!CA17</f>
        <v>5.5298511778974868</v>
      </c>
      <c r="CB17" s="2">
        <f>CA17+真實IC!CB17</f>
        <v>5.5961847912211606</v>
      </c>
      <c r="CC17" s="2">
        <f>CB17+真實IC!CC17</f>
        <v>5.7805048577787765</v>
      </c>
      <c r="CD17" s="2">
        <f>CC17+真實IC!CD17</f>
        <v>5.9267361118845443</v>
      </c>
      <c r="CE17" s="2">
        <f>CD17+真實IC!CE17</f>
        <v>6.0156196262517563</v>
      </c>
      <c r="CF17" s="2">
        <f>CE17+真實IC!CF17</f>
        <v>6.0910123103360885</v>
      </c>
      <c r="CG17" s="2">
        <f>CF17+真實IC!CG17</f>
        <v>6.2142825929135723</v>
      </c>
      <c r="CH17" s="2">
        <f>CG17+真實IC!CH17</f>
        <v>6.2971549727132414</v>
      </c>
      <c r="CI17" s="2">
        <f>CH17+真實IC!CI17</f>
        <v>6.3530682615192688</v>
      </c>
      <c r="CJ17" s="2">
        <f>CI17+真實IC!CJ17</f>
        <v>6.3708083067595025</v>
      </c>
      <c r="CK17" s="2">
        <f>CJ17+真實IC!CK17</f>
        <v>6.5138517767981163</v>
      </c>
      <c r="CL17" s="2">
        <f>CK17+真實IC!CL17</f>
        <v>6.8541399721197136</v>
      </c>
      <c r="CM17" s="2">
        <f>CL17+真實IC!CM17</f>
        <v>6.8928260634008565</v>
      </c>
      <c r="CN17" s="2">
        <f>CM17+真實IC!CN17</f>
        <v>7.0274378396916823</v>
      </c>
      <c r="CO17" s="2">
        <f>CN17+真實IC!CO17</f>
        <v>7.1645570668511933</v>
      </c>
      <c r="CP17" s="2">
        <f>CO17+真實IC!CP17</f>
        <v>7.2847328786630134</v>
      </c>
      <c r="CQ17" s="2">
        <f>CP17+真實IC!CQ17</f>
        <v>7.35088582990051</v>
      </c>
      <c r="CR17" s="2">
        <f>CQ17+真實IC!CR17</f>
        <v>7.3801695106179261</v>
      </c>
      <c r="CS17" s="2">
        <f>CR17+真實IC!CS17</f>
        <v>7.4128395079070524</v>
      </c>
      <c r="CT17" s="2">
        <f>CS17+真實IC!CT17</f>
        <v>7.45265844105203</v>
      </c>
      <c r="CU17" s="2">
        <f>CT17+真實IC!CU17</f>
        <v>7.6073499883370816</v>
      </c>
      <c r="CV17" s="2">
        <f>CU17+真實IC!CV17</f>
        <v>7.7301451518763367</v>
      </c>
      <c r="CW17" s="2">
        <f>CV17+真實IC!CW17</f>
        <v>7.7997073913837207</v>
      </c>
      <c r="CX17" s="2">
        <f>CW17+真實IC!CX17</f>
        <v>7.848772397062679</v>
      </c>
      <c r="CY17" s="2">
        <f>CX17+真實IC!CY17</f>
        <v>7.8949626079570772</v>
      </c>
      <c r="CZ17" s="2">
        <f>CY17+真實IC!CZ17</f>
        <v>8.0612013877673601</v>
      </c>
      <c r="DA17" s="2">
        <f>CZ17+真實IC!DA17</f>
        <v>8.1456750654640917</v>
      </c>
      <c r="DB17" s="2">
        <f>DA17+真實IC!DB17</f>
        <v>8.204207748245711</v>
      </c>
      <c r="DC17" s="2">
        <f>DB17+真實IC!DC17</f>
        <v>8.2300100805482064</v>
      </c>
      <c r="DD17" s="2">
        <f>DC17+真實IC!DD17</f>
        <v>8.3260152668407841</v>
      </c>
      <c r="DE17" s="2">
        <f>DD17+真實IC!DE17</f>
        <v>8.3466315837766789</v>
      </c>
      <c r="DF17" s="2">
        <f>DE17+真實IC!DF17</f>
        <v>8.6947511122036829</v>
      </c>
      <c r="DG17" s="2">
        <f>DF17+真實IC!DG17</f>
        <v>8.7456789898128999</v>
      </c>
      <c r="DH17" s="2">
        <f>DG17+真實IC!DH17</f>
        <v>8.9226881624351506</v>
      </c>
      <c r="DI17" s="2">
        <f>DH17+真實IC!DI17</f>
        <v>8.9817181224234321</v>
      </c>
      <c r="DJ17" s="2">
        <f>DI17+真實IC!DJ17</f>
        <v>9.0221042402448273</v>
      </c>
      <c r="DK17" s="2">
        <f>DJ17+真實IC!DK17</f>
        <v>9.1178810255597735</v>
      </c>
      <c r="DL17" s="2">
        <f>DK17+真實IC!DL17</f>
        <v>9.121258677723036</v>
      </c>
      <c r="DM17" s="2">
        <f>DL17+真實IC!DM17</f>
        <v>9.0778160807003285</v>
      </c>
      <c r="DN17" s="2">
        <f>DM17+真實IC!DN17</f>
        <v>9.1323572887591009</v>
      </c>
      <c r="DO17" s="2">
        <f>DN17+真實IC!DO17</f>
        <v>9.2075219788467635</v>
      </c>
      <c r="DP17" s="2">
        <f>DO17+真實IC!DP17</f>
        <v>9.3867790893415997</v>
      </c>
      <c r="DQ17" s="2">
        <f>DP17+真實IC!DQ17</f>
        <v>9.4344229265080735</v>
      </c>
      <c r="DR17" s="2">
        <f>DQ17+真實IC!DR17</f>
        <v>9.488151046898885</v>
      </c>
      <c r="DS17" s="2">
        <f>DR17+真實IC!DS17</f>
        <v>9.5283990242451377</v>
      </c>
      <c r="DT17" s="2">
        <f>DS17+真實IC!DT17</f>
        <v>9.6051273773830737</v>
      </c>
      <c r="DU17" s="2">
        <f>DT17+真實IC!DU17</f>
        <v>9.7000700885876547</v>
      </c>
      <c r="DV17" s="2">
        <f>DU17+真實IC!DV17</f>
        <v>9.8678681337524186</v>
      </c>
      <c r="DW17" s="2">
        <f>DV17+真實IC!DW17</f>
        <v>9.8928703349440266</v>
      </c>
      <c r="DX17" s="2">
        <f>DW17+真實IC!DX17</f>
        <v>9.9652308562733172</v>
      </c>
      <c r="DY17" s="2">
        <f>DX17+真實IC!DY17</f>
        <v>10.215911416497057</v>
      </c>
      <c r="DZ17" s="2">
        <f>DY17+真實IC!DZ17</f>
        <v>10.249761150017378</v>
      </c>
      <c r="EA17" s="2">
        <f>DZ17+真實IC!EA17</f>
        <v>10.259157285977947</v>
      </c>
      <c r="EB17" s="2">
        <f>EA17+真實IC!EB17</f>
        <v>10.380117106047614</v>
      </c>
      <c r="EC17" s="2">
        <f>EB17+真實IC!EC17</f>
        <v>10.436820554908165</v>
      </c>
      <c r="ED17" s="2">
        <f>EC17+真實IC!ED17</f>
        <v>10.601150421799172</v>
      </c>
      <c r="EE17" s="2">
        <f>ED17+真實IC!EE17</f>
        <v>10.627263361393213</v>
      </c>
      <c r="EF17" s="2">
        <f>EE17+真實IC!EF17</f>
        <v>10.698983481081532</v>
      </c>
      <c r="EG17" s="2">
        <f>EF17+真實IC!EG17</f>
        <v>11.141150194190335</v>
      </c>
      <c r="EH17" s="2">
        <f>EG17+真實IC!EH17</f>
        <v>11.120911387607228</v>
      </c>
      <c r="EI17" s="2">
        <f>EH17+真實IC!EI17</f>
        <v>11.143740655975451</v>
      </c>
      <c r="EJ17" s="2">
        <f>EI17+真實IC!EJ17</f>
        <v>11.220613061413864</v>
      </c>
      <c r="EK17" s="2">
        <f>EJ17+真實IC!EK17</f>
        <v>11.264938056146821</v>
      </c>
      <c r="EL17" s="2">
        <f>EK17+真實IC!EL17</f>
        <v>11.358464258727048</v>
      </c>
    </row>
    <row r="18" spans="1:142" x14ac:dyDescent="0.3">
      <c r="A18" s="18"/>
      <c r="B18" s="18">
        <v>150</v>
      </c>
      <c r="C18" s="2">
        <v>0.24368728540115189</v>
      </c>
      <c r="D18" s="2">
        <f>C18+真實IC!D18</f>
        <v>0.4429700382430396</v>
      </c>
      <c r="E18" s="2">
        <f>D18+真實IC!E18</f>
        <v>0.54315502512688896</v>
      </c>
      <c r="F18" s="2">
        <f>E18+真實IC!F18</f>
        <v>0.57282098234143231</v>
      </c>
      <c r="G18" s="2">
        <f>F18+真實IC!G18</f>
        <v>0.64831164989470058</v>
      </c>
      <c r="H18" s="2">
        <f>G18+真實IC!H18</f>
        <v>0.7103643339442437</v>
      </c>
      <c r="I18" s="2">
        <f>H18+真實IC!I18</f>
        <v>0.85857590435560616</v>
      </c>
      <c r="J18" s="2">
        <f>I18+真實IC!J18</f>
        <v>1.0517755314820951</v>
      </c>
      <c r="K18" s="2">
        <f>J18+真實IC!K18</f>
        <v>1.0973524171561231</v>
      </c>
      <c r="L18" s="2">
        <f>K18+真實IC!L18</f>
        <v>1.0499545169293059</v>
      </c>
      <c r="M18" s="2">
        <f>L18+真實IC!M18</f>
        <v>1.1038934028718581</v>
      </c>
      <c r="N18" s="2">
        <f>M18+真實IC!N18</f>
        <v>1.4676972719714927</v>
      </c>
      <c r="O18" s="2">
        <f>N18+真實IC!O18</f>
        <v>1.4671846828181616</v>
      </c>
      <c r="P18" s="2">
        <f>O18+真實IC!P18</f>
        <v>1.5321698035120856</v>
      </c>
      <c r="Q18" s="2">
        <f>P18+真實IC!Q18</f>
        <v>1.5125452798845322</v>
      </c>
      <c r="R18" s="2">
        <f>Q18+真實IC!R18</f>
        <v>1.4360077996314047</v>
      </c>
      <c r="S18" s="2">
        <f>R18+真實IC!S18</f>
        <v>1.7171510178563298</v>
      </c>
      <c r="T18" s="2">
        <f>S18+真實IC!T18</f>
        <v>1.8056470170833248</v>
      </c>
      <c r="U18" s="2">
        <f>T18+真實IC!U18</f>
        <v>1.7419319967822555</v>
      </c>
      <c r="V18" s="2">
        <f>U18+真實IC!V18</f>
        <v>1.7590829044785024</v>
      </c>
      <c r="W18" s="2">
        <f>V18+真實IC!W18</f>
        <v>1.809694795731545</v>
      </c>
      <c r="X18" s="2">
        <f>W18+真實IC!X18</f>
        <v>2.0333451482171192</v>
      </c>
      <c r="Y18" s="2">
        <f>X18+真實IC!Y18</f>
        <v>2.0746088745542908</v>
      </c>
      <c r="Z18" s="2">
        <f>Y18+真實IC!Z18</f>
        <v>2.153702349217737</v>
      </c>
      <c r="AA18" s="2">
        <f>Z18+真實IC!AA18</f>
        <v>2.2964592173560789</v>
      </c>
      <c r="AB18" s="2">
        <f>AA18+真實IC!AB18</f>
        <v>2.391280638738928</v>
      </c>
      <c r="AC18" s="2">
        <f>AB18+真實IC!AC18</f>
        <v>2.4598726829285913</v>
      </c>
      <c r="AD18" s="2">
        <f>AC18+真實IC!AD18</f>
        <v>2.4330063164361571</v>
      </c>
      <c r="AE18" s="2">
        <f>AD18+真實IC!AE18</f>
        <v>2.6353389783612271</v>
      </c>
      <c r="AF18" s="2">
        <f>AE18+真實IC!AF18</f>
        <v>2.8688722648508951</v>
      </c>
      <c r="AG18" s="2">
        <f>AF18+真實IC!AG18</f>
        <v>2.9241148222104876</v>
      </c>
      <c r="AH18" s="2">
        <f>AG18+真實IC!AH18</f>
        <v>2.8839173612419731</v>
      </c>
      <c r="AI18" s="2">
        <f>AH18+真實IC!AI18</f>
        <v>2.8980443423412434</v>
      </c>
      <c r="AJ18" s="2">
        <f>AI18+真實IC!AJ18</f>
        <v>2.8553711795453278</v>
      </c>
      <c r="AK18" s="2">
        <f>AJ18+真實IC!AK18</f>
        <v>2.8531836985766539</v>
      </c>
      <c r="AL18" s="2">
        <f>AK18+真實IC!AL18</f>
        <v>2.904555133761868</v>
      </c>
      <c r="AM18" s="2">
        <f>AL18+真實IC!AM18</f>
        <v>2.9369197716389048</v>
      </c>
      <c r="AN18" s="2">
        <f>AM18+真實IC!AN18</f>
        <v>3.0642082679401135</v>
      </c>
      <c r="AO18" s="2">
        <f>AN18+真實IC!AO18</f>
        <v>3.0772804682889388</v>
      </c>
      <c r="AP18" s="2">
        <f>AO18+真實IC!AP18</f>
        <v>3.1641735896218188</v>
      </c>
      <c r="AQ18" s="2">
        <f>AP18+真實IC!AQ18</f>
        <v>3.1711422644564271</v>
      </c>
      <c r="AR18" s="2">
        <f>AQ18+真實IC!AR18</f>
        <v>3.2312098737605046</v>
      </c>
      <c r="AS18" s="2">
        <f>AR18+真實IC!AS18</f>
        <v>3.1962290172584531</v>
      </c>
      <c r="AT18" s="2">
        <f>AS18+真實IC!AT18</f>
        <v>3.4937826131726171</v>
      </c>
      <c r="AU18" s="2">
        <f>AT18+真實IC!AU18</f>
        <v>3.6320363492455936</v>
      </c>
      <c r="AV18" s="2">
        <f>AU18+真實IC!AV18</f>
        <v>3.6683246777728544</v>
      </c>
      <c r="AW18" s="2">
        <f>AV18+真實IC!AW18</f>
        <v>3.8526824399720123</v>
      </c>
      <c r="AX18" s="2">
        <f>AW18+真實IC!AX18</f>
        <v>3.991166300038802</v>
      </c>
      <c r="AY18" s="2">
        <f>AX18+真實IC!AY18</f>
        <v>4.0784963413897417</v>
      </c>
      <c r="AZ18" s="2">
        <f>AY18+真實IC!AZ18</f>
        <v>4.1198459814848301</v>
      </c>
      <c r="BA18" s="2">
        <f>AZ18+真實IC!BA18</f>
        <v>4.2981865610859478</v>
      </c>
      <c r="BB18" s="2">
        <f>BA18+真實IC!BB18</f>
        <v>4.5272158038204822</v>
      </c>
      <c r="BC18" s="2">
        <f>BB18+真實IC!BC18</f>
        <v>4.6095046291180166</v>
      </c>
      <c r="BD18" s="2">
        <f>BC18+真實IC!BD18</f>
        <v>4.5992725970390671</v>
      </c>
      <c r="BE18" s="2">
        <f>BD18+真實IC!BE18</f>
        <v>4.675250567034503</v>
      </c>
      <c r="BF18" s="2">
        <f>BE18+真實IC!BF18</f>
        <v>4.8191235517208719</v>
      </c>
      <c r="BG18" s="2">
        <f>BF18+真實IC!BG18</f>
        <v>4.8824531008627474</v>
      </c>
      <c r="BH18" s="2">
        <f>BG18+真實IC!BH18</f>
        <v>5.0068398577321815</v>
      </c>
      <c r="BI18" s="2">
        <f>BH18+真實IC!BI18</f>
        <v>5.0450796828319575</v>
      </c>
      <c r="BJ18" s="2">
        <f>BI18+真實IC!BJ18</f>
        <v>5.0678449831468333</v>
      </c>
      <c r="BK18" s="2">
        <f>BJ18+真實IC!BK18</f>
        <v>5.0276678110486044</v>
      </c>
      <c r="BL18" s="2">
        <f>BK18+真實IC!BL18</f>
        <v>5.0868486074772967</v>
      </c>
      <c r="BM18" s="2">
        <f>BL18+真實IC!BM18</f>
        <v>5.1339133405619028</v>
      </c>
      <c r="BN18" s="2">
        <f>BM18+真實IC!BN18</f>
        <v>5.1134643513718672</v>
      </c>
      <c r="BO18" s="2">
        <f>BN18+真實IC!BO18</f>
        <v>5.1339808189232334</v>
      </c>
      <c r="BP18" s="2">
        <f>BO18+真實IC!BP18</f>
        <v>5.0755417978820239</v>
      </c>
      <c r="BQ18" s="2">
        <f>BP18+真實IC!BQ18</f>
        <v>5.0917711812941944</v>
      </c>
      <c r="BR18" s="2">
        <f>BQ18+真實IC!BR18</f>
        <v>5.2016087259885309</v>
      </c>
      <c r="BS18" s="2">
        <f>BR18+真實IC!BS18</f>
        <v>5.1928575671693569</v>
      </c>
      <c r="BT18" s="2">
        <f>BS18+真實IC!BT18</f>
        <v>5.1893266825463202</v>
      </c>
      <c r="BU18" s="2">
        <f>BT18+真實IC!BU18</f>
        <v>5.2787104878475235</v>
      </c>
      <c r="BV18" s="2">
        <f>BU18+真實IC!BV18</f>
        <v>5.2691720276068619</v>
      </c>
      <c r="BW18" s="2">
        <f>BV18+真實IC!BW18</f>
        <v>5.6998558559238015</v>
      </c>
      <c r="BX18" s="2">
        <f>BW18+真實IC!BX18</f>
        <v>5.7350656953597641</v>
      </c>
      <c r="BY18" s="2">
        <f>BX18+真實IC!BY18</f>
        <v>5.8229842422975437</v>
      </c>
      <c r="BZ18" s="2">
        <f>BY18+真實IC!BZ18</f>
        <v>5.9737813361073151</v>
      </c>
      <c r="CA18" s="2">
        <f>BZ18+真實IC!CA18</f>
        <v>5.9970053200255391</v>
      </c>
      <c r="CB18" s="2">
        <f>CA18+真實IC!CB18</f>
        <v>6.0757296104726075</v>
      </c>
      <c r="CC18" s="2">
        <f>CB18+真實IC!CC18</f>
        <v>6.2956948579036744</v>
      </c>
      <c r="CD18" s="2">
        <f>CC18+真實IC!CD18</f>
        <v>6.4613690516996662</v>
      </c>
      <c r="CE18" s="2">
        <f>CD18+真實IC!CE18</f>
        <v>6.5308299502415661</v>
      </c>
      <c r="CF18" s="2">
        <f>CE18+真實IC!CF18</f>
        <v>6.6231443734037239</v>
      </c>
      <c r="CG18" s="2">
        <f>CF18+真實IC!CG18</f>
        <v>6.7938328509226347</v>
      </c>
      <c r="CH18" s="2">
        <f>CG18+真實IC!CH18</f>
        <v>6.9019462621978498</v>
      </c>
      <c r="CI18" s="2">
        <f>CH18+真實IC!CI18</f>
        <v>6.9322006718549094</v>
      </c>
      <c r="CJ18" s="2">
        <f>CI18+真實IC!CJ18</f>
        <v>6.9330280061886906</v>
      </c>
      <c r="CK18" s="2">
        <f>CJ18+真實IC!CK18</f>
        <v>7.0821342234886808</v>
      </c>
      <c r="CL18" s="2">
        <f>CK18+真實IC!CL18</f>
        <v>7.4498843400339592</v>
      </c>
      <c r="CM18" s="2">
        <f>CL18+真實IC!CM18</f>
        <v>7.4736764431425602</v>
      </c>
      <c r="CN18" s="2">
        <f>CM18+真實IC!CN18</f>
        <v>7.6423876433746782</v>
      </c>
      <c r="CO18" s="2">
        <f>CN18+真實IC!CO18</f>
        <v>7.8098840012197028</v>
      </c>
      <c r="CP18" s="2">
        <f>CO18+真實IC!CP18</f>
        <v>7.9407420160128295</v>
      </c>
      <c r="CQ18" s="2">
        <f>CP18+真實IC!CQ18</f>
        <v>7.9886329209114084</v>
      </c>
      <c r="CR18" s="2">
        <f>CQ18+真實IC!CR18</f>
        <v>8.0268069765421135</v>
      </c>
      <c r="CS18" s="2">
        <f>CR18+真實IC!CS18</f>
        <v>8.0700317316410963</v>
      </c>
      <c r="CT18" s="2">
        <f>CS18+真實IC!CT18</f>
        <v>8.100820043600228</v>
      </c>
      <c r="CU18" s="2">
        <f>CT18+真實IC!CU18</f>
        <v>8.268054607605297</v>
      </c>
      <c r="CV18" s="2">
        <f>CU18+真實IC!CV18</f>
        <v>8.3738861804470641</v>
      </c>
      <c r="CW18" s="2">
        <f>CV18+真實IC!CW18</f>
        <v>8.4555996661891939</v>
      </c>
      <c r="CX18" s="2">
        <f>CW18+真實IC!CX18</f>
        <v>8.508247757451338</v>
      </c>
      <c r="CY18" s="2">
        <f>CX18+真實IC!CY18</f>
        <v>8.5734178038834177</v>
      </c>
      <c r="CZ18" s="2">
        <f>CY18+真實IC!CZ18</f>
        <v>8.7734466051205651</v>
      </c>
      <c r="DA18" s="2">
        <f>CZ18+真實IC!DA18</f>
        <v>8.8494940221704557</v>
      </c>
      <c r="DB18" s="2">
        <f>DA18+真實IC!DB18</f>
        <v>8.905040552627586</v>
      </c>
      <c r="DC18" s="2">
        <f>DB18+真實IC!DC18</f>
        <v>8.9213794636373738</v>
      </c>
      <c r="DD18" s="2">
        <f>DC18+真實IC!DD18</f>
        <v>8.9845136347656744</v>
      </c>
      <c r="DE18" s="2">
        <f>DD18+真實IC!DE18</f>
        <v>9.0246475415476191</v>
      </c>
      <c r="DF18" s="2">
        <f>DE18+真實IC!DF18</f>
        <v>9.3866469501965266</v>
      </c>
      <c r="DG18" s="2">
        <f>DF18+真實IC!DG18</f>
        <v>9.4477116127988019</v>
      </c>
      <c r="DH18" s="2">
        <f>DG18+真實IC!DH18</f>
        <v>9.6535774954224642</v>
      </c>
      <c r="DI18" s="2">
        <f>DH18+真實IC!DI18</f>
        <v>9.7110149094610048</v>
      </c>
      <c r="DJ18" s="2">
        <f>DI18+真實IC!DJ18</f>
        <v>9.758681176224572</v>
      </c>
      <c r="DK18" s="2">
        <f>DJ18+真實IC!DK18</f>
        <v>9.826449908823669</v>
      </c>
      <c r="DL18" s="2">
        <f>DK18+真實IC!DL18</f>
        <v>9.8300693409524342</v>
      </c>
      <c r="DM18" s="2">
        <f>DL18+真實IC!DM18</f>
        <v>9.7920418789376615</v>
      </c>
      <c r="DN18" s="2">
        <f>DM18+真實IC!DN18</f>
        <v>9.8147113835958333</v>
      </c>
      <c r="DO18" s="2">
        <f>DN18+真實IC!DO18</f>
        <v>9.8562408533273764</v>
      </c>
      <c r="DP18" s="2">
        <f>DO18+真實IC!DP18</f>
        <v>10.04932235764554</v>
      </c>
      <c r="DQ18" s="2">
        <f>DP18+真實IC!DQ18</f>
        <v>10.086488766755666</v>
      </c>
      <c r="DR18" s="2">
        <f>DQ18+真實IC!DR18</f>
        <v>10.138587094718112</v>
      </c>
      <c r="DS18" s="2">
        <f>DR18+真實IC!DS18</f>
        <v>10.153172378220823</v>
      </c>
      <c r="DT18" s="2">
        <f>DS18+真實IC!DT18</f>
        <v>10.248680944853312</v>
      </c>
      <c r="DU18" s="2">
        <f>DT18+真實IC!DU18</f>
        <v>10.3678523655991</v>
      </c>
      <c r="DV18" s="2">
        <f>DU18+真實IC!DV18</f>
        <v>10.56051604138036</v>
      </c>
      <c r="DW18" s="2">
        <f>DV18+真實IC!DW18</f>
        <v>10.618328601516639</v>
      </c>
      <c r="DX18" s="2">
        <f>DW18+真實IC!DX18</f>
        <v>10.680923679634704</v>
      </c>
      <c r="DY18" s="2">
        <f>DX18+真實IC!DY18</f>
        <v>10.959522272873796</v>
      </c>
      <c r="DZ18" s="2">
        <f>DY18+真實IC!DZ18</f>
        <v>10.960693748154728</v>
      </c>
      <c r="EA18" s="2">
        <f>DZ18+真實IC!EA18</f>
        <v>10.942748081788578</v>
      </c>
      <c r="EB18" s="2">
        <f>EA18+真實IC!EB18</f>
        <v>11.051825969216402</v>
      </c>
      <c r="EC18" s="2">
        <f>EB18+真實IC!EC18</f>
        <v>11.103691209605046</v>
      </c>
      <c r="ED18" s="2">
        <f>EC18+真實IC!ED18</f>
        <v>11.264917696695209</v>
      </c>
      <c r="EE18" s="2">
        <f>ED18+真實IC!EE18</f>
        <v>11.28532508230453</v>
      </c>
      <c r="EF18" s="2">
        <f>EE18+真實IC!EF18</f>
        <v>11.367364074018319</v>
      </c>
      <c r="EG18" s="2">
        <f>EF18+真實IC!EG18</f>
        <v>11.859106095092912</v>
      </c>
      <c r="EH18" s="2">
        <f>EG18+真實IC!EH18</f>
        <v>11.835631334387596</v>
      </c>
      <c r="EI18" s="2">
        <f>EH18+真實IC!EI18</f>
        <v>11.850582901655088</v>
      </c>
      <c r="EJ18" s="2">
        <f>EI18+真實IC!EJ18</f>
        <v>11.903200370457299</v>
      </c>
      <c r="EK18" s="2">
        <f>EJ18+真實IC!EK18</f>
        <v>11.948767655399848</v>
      </c>
      <c r="EL18" s="2">
        <f>EK18+真實IC!EL18</f>
        <v>11.993490296703516</v>
      </c>
    </row>
    <row r="19" spans="1:142" x14ac:dyDescent="0.3">
      <c r="A19" s="18"/>
      <c r="B19" s="18">
        <v>180</v>
      </c>
      <c r="C19" s="2">
        <v>0.25825037374733928</v>
      </c>
      <c r="D19" s="2">
        <f>C19+真實IC!D19</f>
        <v>0.46641809621953412</v>
      </c>
      <c r="E19" s="2">
        <f>D19+真實IC!E19</f>
        <v>0.54023695025082674</v>
      </c>
      <c r="F19" s="2">
        <f>E19+真實IC!F19</f>
        <v>0.55877621964473667</v>
      </c>
      <c r="G19" s="2">
        <f>F19+真實IC!G19</f>
        <v>0.67159004637179442</v>
      </c>
      <c r="H19" s="2">
        <f>G19+真實IC!H19</f>
        <v>0.75812383678397122</v>
      </c>
      <c r="I19" s="2">
        <f>H19+真實IC!I19</f>
        <v>0.94125682353303519</v>
      </c>
      <c r="J19" s="2">
        <f>I19+真實IC!J19</f>
        <v>1.1473121285267858</v>
      </c>
      <c r="K19" s="2">
        <f>J19+真實IC!K19</f>
        <v>1.1901933690218738</v>
      </c>
      <c r="L19" s="2">
        <f>K19+真實IC!L19</f>
        <v>1.1370135939687729</v>
      </c>
      <c r="M19" s="2">
        <f>L19+真實IC!M19</f>
        <v>1.1936007456707545</v>
      </c>
      <c r="N19" s="2">
        <f>M19+真實IC!N19</f>
        <v>1.6063696261834852</v>
      </c>
      <c r="O19" s="2">
        <f>N19+真實IC!O19</f>
        <v>1.6575595413252304</v>
      </c>
      <c r="P19" s="2">
        <f>O19+真實IC!P19</f>
        <v>1.738459571425965</v>
      </c>
      <c r="Q19" s="2">
        <f>P19+真實IC!Q19</f>
        <v>1.6878566623486737</v>
      </c>
      <c r="R19" s="2">
        <f>Q19+真實IC!R19</f>
        <v>1.5975575717178174</v>
      </c>
      <c r="S19" s="2">
        <f>R19+真實IC!S19</f>
        <v>1.9221083802197756</v>
      </c>
      <c r="T19" s="2">
        <f>S19+真實IC!T19</f>
        <v>1.9928147433952723</v>
      </c>
      <c r="U19" s="2">
        <f>T19+真實IC!U19</f>
        <v>1.9280566158975185</v>
      </c>
      <c r="V19" s="2">
        <f>U19+真實IC!V19</f>
        <v>1.9335285943746929</v>
      </c>
      <c r="W19" s="2">
        <f>V19+真實IC!W19</f>
        <v>1.9487156856395047</v>
      </c>
      <c r="X19" s="2">
        <f>W19+真實IC!X19</f>
        <v>2.1767397142404312</v>
      </c>
      <c r="Y19" s="2">
        <f>X19+真實IC!Y19</f>
        <v>2.217851216171272</v>
      </c>
      <c r="Z19" s="2">
        <f>Y19+真實IC!Z19</f>
        <v>2.2976392898407059</v>
      </c>
      <c r="AA19" s="2">
        <f>Z19+真實IC!AA19</f>
        <v>2.4000590619880731</v>
      </c>
      <c r="AB19" s="2">
        <f>AA19+真實IC!AB19</f>
        <v>2.4790636483225987</v>
      </c>
      <c r="AC19" s="2">
        <f>AB19+真實IC!AC19</f>
        <v>2.5280256326566932</v>
      </c>
      <c r="AD19" s="2">
        <f>AC19+真實IC!AD19</f>
        <v>2.4866450617500107</v>
      </c>
      <c r="AE19" s="2">
        <f>AD19+真實IC!AE19</f>
        <v>2.7233992401350373</v>
      </c>
      <c r="AF19" s="2">
        <f>AE19+真實IC!AF19</f>
        <v>2.9690991905976016</v>
      </c>
      <c r="AG19" s="2">
        <f>AF19+真實IC!AG19</f>
        <v>3.0177764244754854</v>
      </c>
      <c r="AH19" s="2">
        <f>AG19+真實IC!AH19</f>
        <v>2.9612187092537821</v>
      </c>
      <c r="AI19" s="2">
        <f>AH19+真實IC!AI19</f>
        <v>2.9927731455368289</v>
      </c>
      <c r="AJ19" s="2">
        <f>AI19+真實IC!AJ19</f>
        <v>2.945937059109851</v>
      </c>
      <c r="AK19" s="2">
        <f>AJ19+真實IC!AK19</f>
        <v>2.9534891016158036</v>
      </c>
      <c r="AL19" s="2">
        <f>AK19+真實IC!AL19</f>
        <v>3.0128881028048542</v>
      </c>
      <c r="AM19" s="2">
        <f>AL19+真實IC!AM19</f>
        <v>3.0454731195621245</v>
      </c>
      <c r="AN19" s="2">
        <f>AM19+真實IC!AN19</f>
        <v>3.1627954579463857</v>
      </c>
      <c r="AO19" s="2">
        <f>AN19+真實IC!AO19</f>
        <v>3.1863166099327622</v>
      </c>
      <c r="AP19" s="2">
        <f>AO19+真實IC!AP19</f>
        <v>3.282037260580601</v>
      </c>
      <c r="AQ19" s="2">
        <f>AP19+真實IC!AQ19</f>
        <v>3.283841615686486</v>
      </c>
      <c r="AR19" s="2">
        <f>AQ19+真實IC!AR19</f>
        <v>3.3451826047864857</v>
      </c>
      <c r="AS19" s="2">
        <f>AR19+真實IC!AS19</f>
        <v>3.2881573726416091</v>
      </c>
      <c r="AT19" s="2">
        <f>AS19+真實IC!AT19</f>
        <v>3.6181595975129985</v>
      </c>
      <c r="AU19" s="2">
        <f>AT19+真實IC!AU19</f>
        <v>3.770273279213209</v>
      </c>
      <c r="AV19" s="2">
        <f>AU19+真實IC!AV19</f>
        <v>3.8111731978684613</v>
      </c>
      <c r="AW19" s="2">
        <f>AV19+真實IC!AW19</f>
        <v>4.0143345685762943</v>
      </c>
      <c r="AX19" s="2">
        <f>AW19+真實IC!AX19</f>
        <v>4.1949547746223859</v>
      </c>
      <c r="AY19" s="2">
        <f>AX19+真實IC!AY19</f>
        <v>4.2857883015105234</v>
      </c>
      <c r="AZ19" s="2">
        <f>AY19+真實IC!AZ19</f>
        <v>4.3406638655347747</v>
      </c>
      <c r="BA19" s="2">
        <f>AZ19+真實IC!BA19</f>
        <v>4.5251649271763892</v>
      </c>
      <c r="BB19" s="2">
        <f>BA19+真實IC!BB19</f>
        <v>4.8127216020992201</v>
      </c>
      <c r="BC19" s="2">
        <f>BB19+真實IC!BC19</f>
        <v>4.8954472233141555</v>
      </c>
      <c r="BD19" s="2">
        <f>BC19+真實IC!BD19</f>
        <v>4.8750748605766567</v>
      </c>
      <c r="BE19" s="2">
        <f>BD19+真實IC!BE19</f>
        <v>4.9561337494229241</v>
      </c>
      <c r="BF19" s="2">
        <f>BE19+真實IC!BF19</f>
        <v>5.0864000605412425</v>
      </c>
      <c r="BG19" s="2">
        <f>BF19+真實IC!BG19</f>
        <v>5.0712560458459972</v>
      </c>
      <c r="BH19" s="2">
        <f>BG19+真實IC!BH19</f>
        <v>5.2009247733763084</v>
      </c>
      <c r="BI19" s="2">
        <f>BH19+真實IC!BI19</f>
        <v>5.263508737453698</v>
      </c>
      <c r="BJ19" s="2">
        <f>BI19+真實IC!BJ19</f>
        <v>5.2875268553660435</v>
      </c>
      <c r="BK19" s="2">
        <f>BJ19+真實IC!BK19</f>
        <v>5.1977599959386973</v>
      </c>
      <c r="BL19" s="2">
        <f>BK19+真實IC!BL19</f>
        <v>5.2648829311804484</v>
      </c>
      <c r="BM19" s="2">
        <f>BL19+真實IC!BM19</f>
        <v>5.31399371252233</v>
      </c>
      <c r="BN19" s="2">
        <f>BM19+真實IC!BN19</f>
        <v>5.3006024475047386</v>
      </c>
      <c r="BO19" s="2">
        <f>BN19+真實IC!BO19</f>
        <v>5.3216222974935876</v>
      </c>
      <c r="BP19" s="2">
        <f>BO19+真實IC!BP19</f>
        <v>5.2532312605043767</v>
      </c>
      <c r="BQ19" s="2">
        <f>BP19+真實IC!BQ19</f>
        <v>5.2866888754742236</v>
      </c>
      <c r="BR19" s="2">
        <f>BQ19+真實IC!BR19</f>
        <v>5.4099284100986482</v>
      </c>
      <c r="BS19" s="2">
        <f>BR19+真實IC!BS19</f>
        <v>5.4009613485184635</v>
      </c>
      <c r="BT19" s="2">
        <f>BS19+真實IC!BT19</f>
        <v>5.3653981093917382</v>
      </c>
      <c r="BU19" s="2">
        <f>BT19+真實IC!BU19</f>
        <v>5.4637418290638413</v>
      </c>
      <c r="BV19" s="2">
        <f>BU19+真實IC!BV19</f>
        <v>5.4141025686898585</v>
      </c>
      <c r="BW19" s="2">
        <f>BV19+真實IC!BW19</f>
        <v>5.7706128133866628</v>
      </c>
      <c r="BX19" s="2">
        <f>BW19+真實IC!BX19</f>
        <v>5.7833145393187504</v>
      </c>
      <c r="BY19" s="2">
        <f>BX19+真實IC!BY19</f>
        <v>5.8779597586785446</v>
      </c>
      <c r="BZ19" s="2">
        <f>BY19+真實IC!BZ19</f>
        <v>5.9388317761207929</v>
      </c>
      <c r="CA19" s="2">
        <f>BZ19+真實IC!CA19</f>
        <v>5.9612146850356789</v>
      </c>
      <c r="CB19" s="2">
        <f>CA19+真實IC!CB19</f>
        <v>5.9750043558365524</v>
      </c>
      <c r="CC19" s="2">
        <f>CB19+真實IC!CC19</f>
        <v>6.2167676469171109</v>
      </c>
      <c r="CD19" s="2">
        <f>CC19+真實IC!CD19</f>
        <v>6.3801910443088108</v>
      </c>
      <c r="CE19" s="2">
        <f>CD19+真實IC!CE19</f>
        <v>6.4174001677444421</v>
      </c>
      <c r="CF19" s="2">
        <f>CE19+真實IC!CF19</f>
        <v>6.474449440851358</v>
      </c>
      <c r="CG19" s="2">
        <f>CF19+真實IC!CG19</f>
        <v>6.6157458608352764</v>
      </c>
      <c r="CH19" s="2">
        <f>CG19+真實IC!CH19</f>
        <v>6.7454166731422145</v>
      </c>
      <c r="CI19" s="2">
        <f>CH19+真實IC!CI19</f>
        <v>6.7717798054269593</v>
      </c>
      <c r="CJ19" s="2">
        <f>CI19+真實IC!CJ19</f>
        <v>6.7736526551013849</v>
      </c>
      <c r="CK19" s="2">
        <f>CJ19+真實IC!CK19</f>
        <v>6.9258906250327605</v>
      </c>
      <c r="CL19" s="2">
        <f>CK19+真實IC!CL19</f>
        <v>7.3176281686137576</v>
      </c>
      <c r="CM19" s="2">
        <f>CL19+真實IC!CM19</f>
        <v>7.3418654640127885</v>
      </c>
      <c r="CN19" s="2">
        <f>CM19+真實IC!CN19</f>
        <v>7.5454409112104734</v>
      </c>
      <c r="CO19" s="2">
        <f>CN19+真實IC!CO19</f>
        <v>7.7315708898093387</v>
      </c>
      <c r="CP19" s="2">
        <f>CO19+真實IC!CP19</f>
        <v>7.8944001323946349</v>
      </c>
      <c r="CQ19" s="2">
        <f>CP19+真實IC!CQ19</f>
        <v>7.9405291584634572</v>
      </c>
      <c r="CR19" s="2">
        <f>CQ19+真實IC!CR19</f>
        <v>7.9767769112829798</v>
      </c>
      <c r="CS19" s="2">
        <f>CR19+真實IC!CS19</f>
        <v>8.0318373761074575</v>
      </c>
      <c r="CT19" s="2">
        <f>CS19+真實IC!CT19</f>
        <v>8.0682791719840967</v>
      </c>
      <c r="CU19" s="2">
        <f>CT19+真實IC!CU19</f>
        <v>8.2390519609554271</v>
      </c>
      <c r="CV19" s="2">
        <f>CU19+真實IC!CV19</f>
        <v>8.3736091317857184</v>
      </c>
      <c r="CW19" s="2">
        <f>CV19+真實IC!CW19</f>
        <v>8.441340198243811</v>
      </c>
      <c r="CX19" s="2">
        <f>CW19+真實IC!CX19</f>
        <v>8.5602199954904563</v>
      </c>
      <c r="CY19" s="2">
        <f>CX19+真實IC!CY19</f>
        <v>8.6332112107804502</v>
      </c>
      <c r="CZ19" s="2">
        <f>CY19+真實IC!CZ19</f>
        <v>8.8558963689456949</v>
      </c>
      <c r="DA19" s="2">
        <f>CZ19+真實IC!DA19</f>
        <v>8.9007946881219553</v>
      </c>
      <c r="DB19" s="2">
        <f>DA19+真實IC!DB19</f>
        <v>8.9594473062529332</v>
      </c>
      <c r="DC19" s="2">
        <f>DB19+真實IC!DC19</f>
        <v>8.9008530574508349</v>
      </c>
      <c r="DD19" s="2">
        <f>DC19+真實IC!DD19</f>
        <v>8.9328608304827917</v>
      </c>
      <c r="DE19" s="2">
        <f>DD19+真實IC!DE19</f>
        <v>9.0193450577792831</v>
      </c>
      <c r="DF19" s="2">
        <f>DE19+真實IC!DF19</f>
        <v>9.2193721022476218</v>
      </c>
      <c r="DG19" s="2">
        <f>DF19+真實IC!DG19</f>
        <v>9.2861635556117452</v>
      </c>
      <c r="DH19" s="2">
        <f>DG19+真實IC!DH19</f>
        <v>9.5324981035135625</v>
      </c>
      <c r="DI19" s="2">
        <f>DH19+真實IC!DI19</f>
        <v>9.608521117796446</v>
      </c>
      <c r="DJ19" s="2">
        <f>DI19+真實IC!DJ19</f>
        <v>9.659133776051414</v>
      </c>
      <c r="DK19" s="2">
        <f>DJ19+真實IC!DK19</f>
        <v>9.7216399431607297</v>
      </c>
      <c r="DL19" s="2">
        <f>DK19+真實IC!DL19</f>
        <v>9.7164502855574941</v>
      </c>
      <c r="DM19" s="2">
        <f>DL19+真實IC!DM19</f>
        <v>9.6508854715819208</v>
      </c>
      <c r="DN19" s="2">
        <f>DM19+真實IC!DN19</f>
        <v>9.6838091898609076</v>
      </c>
      <c r="DO19" s="2">
        <f>DN19+真實IC!DO19</f>
        <v>9.7228198413847906</v>
      </c>
      <c r="DP19" s="2">
        <f>DO19+真實IC!DP19</f>
        <v>9.9100415497116359</v>
      </c>
      <c r="DQ19" s="2">
        <f>DP19+真實IC!DQ19</f>
        <v>9.9604893430487564</v>
      </c>
      <c r="DR19" s="2">
        <f>DQ19+真實IC!DR19</f>
        <v>10.010735589036804</v>
      </c>
      <c r="DS19" s="2">
        <f>DR19+真實IC!DS19</f>
        <v>10.011176715270285</v>
      </c>
      <c r="DT19" s="2">
        <f>DS19+真實IC!DT19</f>
        <v>10.085098034086242</v>
      </c>
      <c r="DU19" s="2">
        <f>DT19+真實IC!DU19</f>
        <v>10.201076764141659</v>
      </c>
      <c r="DV19" s="2">
        <f>DU19+真實IC!DV19</f>
        <v>10.378788737335453</v>
      </c>
      <c r="DW19" s="2">
        <f>DV19+真實IC!DW19</f>
        <v>10.454688683120462</v>
      </c>
      <c r="DX19" s="2">
        <f>DW19+真實IC!DX19</f>
        <v>10.522057343784477</v>
      </c>
      <c r="DY19" s="2">
        <f>DX19+真實IC!DY19</f>
        <v>10.790351199998376</v>
      </c>
      <c r="DZ19" s="2">
        <f>DY19+真實IC!DZ19</f>
        <v>10.81758343501931</v>
      </c>
      <c r="EA19" s="2">
        <f>DZ19+真實IC!EA19</f>
        <v>10.825358175583194</v>
      </c>
      <c r="EB19" s="2">
        <f>EA19+真實IC!EB19</f>
        <v>10.945676274932794</v>
      </c>
      <c r="EC19" s="2">
        <f>EB19+真實IC!EC19</f>
        <v>10.981610266862356</v>
      </c>
      <c r="ED19" s="2">
        <f>EC19+真實IC!ED19</f>
        <v>11.180552814468639</v>
      </c>
      <c r="EE19" s="2">
        <f>ED19+真實IC!EE19</f>
        <v>11.210961169137182</v>
      </c>
      <c r="EF19" s="2">
        <f>EE19+真實IC!EF19</f>
        <v>11.283863800656498</v>
      </c>
      <c r="EG19" s="2">
        <f>EF19+真實IC!EG19</f>
        <v>11.866072416670606</v>
      </c>
      <c r="EH19" s="2">
        <f>EG19+真實IC!EH19</f>
        <v>11.794733153032832</v>
      </c>
      <c r="EI19" s="2">
        <f>EH19+真實IC!EI19</f>
        <v>11.774039471012628</v>
      </c>
      <c r="EJ19" s="2">
        <f>EI19+真實IC!EJ19</f>
        <v>11.831583246065636</v>
      </c>
      <c r="EK19" s="2">
        <f>EJ19+真實IC!EK19</f>
        <v>11.873206833663618</v>
      </c>
      <c r="EL19" s="2">
        <f>EK19+真實IC!EL19</f>
        <v>11.917240175418662</v>
      </c>
    </row>
    <row r="20" spans="1:142" x14ac:dyDescent="0.3">
      <c r="A20" s="18"/>
      <c r="B20" s="18">
        <v>200</v>
      </c>
      <c r="C20" s="2">
        <v>0.241035745977561</v>
      </c>
      <c r="D20" s="2">
        <f>C20+真實IC!D20</f>
        <v>0.46498850341496101</v>
      </c>
      <c r="E20" s="2">
        <f>D20+真實IC!E20</f>
        <v>0.51380356977856012</v>
      </c>
      <c r="F20" s="2">
        <f>E20+真實IC!F20</f>
        <v>0.48639172126093216</v>
      </c>
      <c r="G20" s="2">
        <f>F20+真實IC!G20</f>
        <v>0.61965889293451415</v>
      </c>
      <c r="H20" s="2">
        <f>G20+真實IC!H20</f>
        <v>0.74699175021553144</v>
      </c>
      <c r="I20" s="2">
        <f>H20+真實IC!I20</f>
        <v>0.96122024727866251</v>
      </c>
      <c r="J20" s="2">
        <f>I20+真實IC!J20</f>
        <v>1.1902259926430943</v>
      </c>
      <c r="K20" s="2">
        <f>J20+真實IC!K20</f>
        <v>1.2709245663405091</v>
      </c>
      <c r="L20" s="2">
        <f>K20+真實IC!L20</f>
        <v>1.2131791676884902</v>
      </c>
      <c r="M20" s="2">
        <f>L20+真實IC!M20</f>
        <v>1.2569864969946949</v>
      </c>
      <c r="N20" s="2">
        <f>M20+真實IC!N20</f>
        <v>1.736347897328455</v>
      </c>
      <c r="O20" s="2">
        <f>N20+真實IC!O20</f>
        <v>1.7790819220862455</v>
      </c>
      <c r="P20" s="2">
        <f>O20+真實IC!P20</f>
        <v>1.87389967070217</v>
      </c>
      <c r="Q20" s="2">
        <f>P20+真實IC!Q20</f>
        <v>1.8470687255718736</v>
      </c>
      <c r="R20" s="2">
        <f>Q20+真實IC!R20</f>
        <v>1.7378156699344047</v>
      </c>
      <c r="S20" s="2">
        <f>R20+真實IC!S20</f>
        <v>2.0152833768061233</v>
      </c>
      <c r="T20" s="2">
        <f>S20+真實IC!T20</f>
        <v>2.1077716187840645</v>
      </c>
      <c r="U20" s="2">
        <f>T20+真實IC!U20</f>
        <v>2.062910619744482</v>
      </c>
      <c r="V20" s="2">
        <f>U20+真實IC!V20</f>
        <v>2.0959141757100657</v>
      </c>
      <c r="W20" s="2">
        <f>V20+真實IC!W20</f>
        <v>2.0907311606240082</v>
      </c>
      <c r="X20" s="2">
        <f>W20+真實IC!X20</f>
        <v>2.2836334710654937</v>
      </c>
      <c r="Y20" s="2">
        <f>X20+真實IC!Y20</f>
        <v>2.3262604664993463</v>
      </c>
      <c r="Z20" s="2">
        <f>Y20+真實IC!Z20</f>
        <v>2.417680182695098</v>
      </c>
      <c r="AA20" s="2">
        <f>Z20+真實IC!AA20</f>
        <v>2.5130957116081256</v>
      </c>
      <c r="AB20" s="2">
        <f>AA20+真實IC!AB20</f>
        <v>2.6283165574931941</v>
      </c>
      <c r="AC20" s="2">
        <f>AB20+真實IC!AC20</f>
        <v>2.6936692217751208</v>
      </c>
      <c r="AD20" s="2">
        <f>AC20+真實IC!AD20</f>
        <v>2.7011174923175725</v>
      </c>
      <c r="AE20" s="2">
        <f>AD20+真實IC!AE20</f>
        <v>2.8430531548477349</v>
      </c>
      <c r="AF20" s="2">
        <f>AE20+真實IC!AF20</f>
        <v>3.0817371981888533</v>
      </c>
      <c r="AG20" s="2">
        <f>AF20+真實IC!AG20</f>
        <v>3.1093964167287456</v>
      </c>
      <c r="AH20" s="2">
        <f>AG20+真實IC!AH20</f>
        <v>3.0192182160139631</v>
      </c>
      <c r="AI20" s="2">
        <f>AH20+真實IC!AI20</f>
        <v>3.049856964985084</v>
      </c>
      <c r="AJ20" s="2">
        <f>AI20+真實IC!AJ20</f>
        <v>2.9878669304375363</v>
      </c>
      <c r="AK20" s="2">
        <f>AJ20+真實IC!AK20</f>
        <v>2.9742718149415333</v>
      </c>
      <c r="AL20" s="2">
        <f>AK20+真實IC!AL20</f>
        <v>3.0416002546610632</v>
      </c>
      <c r="AM20" s="2">
        <f>AL20+真實IC!AM20</f>
        <v>3.0769514917628307</v>
      </c>
      <c r="AN20" s="2">
        <f>AM20+真實IC!AN20</f>
        <v>3.1977929582360298</v>
      </c>
      <c r="AO20" s="2">
        <f>AN20+真實IC!AO20</f>
        <v>3.2311024603704359</v>
      </c>
      <c r="AP20" s="2">
        <f>AO20+真實IC!AP20</f>
        <v>3.3178476984633312</v>
      </c>
      <c r="AQ20" s="2">
        <f>AP20+真實IC!AQ20</f>
        <v>3.2951296549540681</v>
      </c>
      <c r="AR20" s="2">
        <f>AQ20+真實IC!AR20</f>
        <v>3.3580353402876817</v>
      </c>
      <c r="AS20" s="2">
        <f>AR20+真實IC!AS20</f>
        <v>3.2847889845993636</v>
      </c>
      <c r="AT20" s="2">
        <f>AS20+真實IC!AT20</f>
        <v>3.4878515752431358</v>
      </c>
      <c r="AU20" s="2">
        <f>AT20+真實IC!AU20</f>
        <v>3.6618259240857096</v>
      </c>
      <c r="AV20" s="2">
        <f>AU20+真實IC!AV20</f>
        <v>3.6879122472163552</v>
      </c>
      <c r="AW20" s="2">
        <f>AV20+真實IC!AW20</f>
        <v>3.9544088696076649</v>
      </c>
      <c r="AX20" s="2">
        <f>AW20+真實IC!AX20</f>
        <v>4.1334228176283334</v>
      </c>
      <c r="AY20" s="2">
        <f>AX20+真實IC!AY20</f>
        <v>4.2456629838649516</v>
      </c>
      <c r="AZ20" s="2">
        <f>AY20+真實IC!AZ20</f>
        <v>4.2962390649371383</v>
      </c>
      <c r="BA20" s="2">
        <f>AZ20+真實IC!BA20</f>
        <v>4.5107856110360096</v>
      </c>
      <c r="BB20" s="2">
        <f>BA20+真實IC!BB20</f>
        <v>4.8089119197109511</v>
      </c>
      <c r="BC20" s="2">
        <f>BB20+真實IC!BC20</f>
        <v>4.8484343198355964</v>
      </c>
      <c r="BD20" s="2">
        <f>BC20+真實IC!BD20</f>
        <v>4.8324361062785819</v>
      </c>
      <c r="BE20" s="2">
        <f>BD20+真實IC!BE20</f>
        <v>4.8866437865181647</v>
      </c>
      <c r="BF20" s="2">
        <f>BE20+真實IC!BF20</f>
        <v>5.0462169543530209</v>
      </c>
      <c r="BG20" s="2">
        <f>BF20+真實IC!BG20</f>
        <v>5.0475124368436628</v>
      </c>
      <c r="BH20" s="2">
        <f>BG20+真實IC!BH20</f>
        <v>5.1385312970265264</v>
      </c>
      <c r="BI20" s="2">
        <f>BH20+真實IC!BI20</f>
        <v>5.2275792548563738</v>
      </c>
      <c r="BJ20" s="2">
        <f>BI20+真實IC!BJ20</f>
        <v>5.2469974913382957</v>
      </c>
      <c r="BK20" s="2">
        <f>BJ20+真實IC!BK20</f>
        <v>5.202289632401695</v>
      </c>
      <c r="BL20" s="2">
        <f>BK20+真實IC!BL20</f>
        <v>5.2768991561325933</v>
      </c>
      <c r="BM20" s="2">
        <f>BL20+真實IC!BM20</f>
        <v>5.3333800188655074</v>
      </c>
      <c r="BN20" s="2">
        <f>BM20+真實IC!BN20</f>
        <v>5.2968591078189045</v>
      </c>
      <c r="BO20" s="2">
        <f>BN20+真實IC!BO20</f>
        <v>5.3204716706927293</v>
      </c>
      <c r="BP20" s="2">
        <f>BO20+真實IC!BP20</f>
        <v>5.3197658084205637</v>
      </c>
      <c r="BQ20" s="2">
        <f>BP20+真實IC!BQ20</f>
        <v>5.3626707550060626</v>
      </c>
      <c r="BR20" s="2">
        <f>BQ20+真實IC!BR20</f>
        <v>5.5207480327119764</v>
      </c>
      <c r="BS20" s="2">
        <f>BR20+真實IC!BS20</f>
        <v>5.4963834025681955</v>
      </c>
      <c r="BT20" s="2">
        <f>BS20+真實IC!BT20</f>
        <v>5.4384535450668725</v>
      </c>
      <c r="BU20" s="2">
        <f>BT20+真實IC!BU20</f>
        <v>5.5451103324132198</v>
      </c>
      <c r="BV20" s="2">
        <f>BU20+真實IC!BV20</f>
        <v>5.487662777150347</v>
      </c>
      <c r="BW20" s="2">
        <f>BV20+真實IC!BW20</f>
        <v>5.910088594255904</v>
      </c>
      <c r="BX20" s="2">
        <f>BW20+真實IC!BX20</f>
        <v>5.8940147975369319</v>
      </c>
      <c r="BY20" s="2">
        <f>BX20+真實IC!BY20</f>
        <v>5.9867704680214189</v>
      </c>
      <c r="BZ20" s="2">
        <f>BY20+真實IC!BZ20</f>
        <v>6.0735098206917444</v>
      </c>
      <c r="CA20" s="2">
        <f>BZ20+真實IC!CA20</f>
        <v>6.0908518086228085</v>
      </c>
      <c r="CB20" s="2">
        <f>CA20+真實IC!CB20</f>
        <v>6.113216233191757</v>
      </c>
      <c r="CC20" s="2">
        <f>CB20+真實IC!CC20</f>
        <v>6.3803119670956221</v>
      </c>
      <c r="CD20" s="2">
        <f>CC20+真實IC!CD20</f>
        <v>6.5586725946025597</v>
      </c>
      <c r="CE20" s="2">
        <f>CD20+真實IC!CE20</f>
        <v>6.5915302190346017</v>
      </c>
      <c r="CF20" s="2">
        <f>CE20+真實IC!CF20</f>
        <v>6.6574610850894578</v>
      </c>
      <c r="CG20" s="2">
        <f>CF20+真實IC!CG20</f>
        <v>6.7891748388767352</v>
      </c>
      <c r="CH20" s="2">
        <f>CG20+真實IC!CH20</f>
        <v>6.9283262396236855</v>
      </c>
      <c r="CI20" s="2">
        <f>CH20+真實IC!CI20</f>
        <v>6.9241487663175443</v>
      </c>
      <c r="CJ20" s="2">
        <f>CI20+真實IC!CJ20</f>
        <v>6.8725928211293841</v>
      </c>
      <c r="CK20" s="2">
        <f>CJ20+真實IC!CK20</f>
        <v>6.9859857544275163</v>
      </c>
      <c r="CL20" s="2">
        <f>CK20+真實IC!CL20</f>
        <v>7.3767389412273392</v>
      </c>
      <c r="CM20" s="2">
        <f>CL20+真實IC!CM20</f>
        <v>7.3850771991049369</v>
      </c>
      <c r="CN20" s="2">
        <f>CM20+真實IC!CN20</f>
        <v>7.4891571091646032</v>
      </c>
      <c r="CO20" s="2">
        <f>CN20+真實IC!CO20</f>
        <v>7.7069977746656742</v>
      </c>
      <c r="CP20" s="2">
        <f>CO20+真實IC!CP20</f>
        <v>7.8593670185889568</v>
      </c>
      <c r="CQ20" s="2">
        <f>CP20+真實IC!CQ20</f>
        <v>7.9045436627679742</v>
      </c>
      <c r="CR20" s="2">
        <f>CQ20+真實IC!CR20</f>
        <v>7.9496474004908535</v>
      </c>
      <c r="CS20" s="2">
        <f>CR20+真實IC!CS20</f>
        <v>7.9846881484043708</v>
      </c>
      <c r="CT20" s="2">
        <f>CS20+真實IC!CT20</f>
        <v>8.0425950617761508</v>
      </c>
      <c r="CU20" s="2">
        <f>CT20+真實IC!CU20</f>
        <v>8.2045392290467127</v>
      </c>
      <c r="CV20" s="2">
        <f>CU20+真實IC!CV20</f>
        <v>8.3562288365950064</v>
      </c>
      <c r="CW20" s="2">
        <f>CV20+真實IC!CW20</f>
        <v>8.409816028454868</v>
      </c>
      <c r="CX20" s="2">
        <f>CW20+真實IC!CX20</f>
        <v>8.5305106741072994</v>
      </c>
      <c r="CY20" s="2">
        <f>CX20+真實IC!CY20</f>
        <v>8.6206359672971509</v>
      </c>
      <c r="CZ20" s="2">
        <f>CY20+真實IC!CZ20</f>
        <v>8.8224358304435757</v>
      </c>
      <c r="DA20" s="2">
        <f>CZ20+真實IC!DA20</f>
        <v>8.8444778078086355</v>
      </c>
      <c r="DB20" s="2">
        <f>DA20+真實IC!DB20</f>
        <v>8.9214458775794192</v>
      </c>
      <c r="DC20" s="2">
        <f>DB20+真實IC!DC20</f>
        <v>8.8868847469191845</v>
      </c>
      <c r="DD20" s="2">
        <f>DC20+真實IC!DD20</f>
        <v>8.9214499090086878</v>
      </c>
      <c r="DE20" s="2">
        <f>DD20+真實IC!DE20</f>
        <v>8.988987413100201</v>
      </c>
      <c r="DF20" s="2">
        <f>DE20+真實IC!DF20</f>
        <v>9.218815226082004</v>
      </c>
      <c r="DG20" s="2">
        <f>DF20+真實IC!DG20</f>
        <v>9.2931867982639194</v>
      </c>
      <c r="DH20" s="2">
        <f>DG20+真實IC!DH20</f>
        <v>9.5975793720516567</v>
      </c>
      <c r="DI20" s="2">
        <f>DH20+真實IC!DI20</f>
        <v>9.721740095924881</v>
      </c>
      <c r="DJ20" s="2">
        <f>DI20+真實IC!DJ20</f>
        <v>9.8394597463954661</v>
      </c>
      <c r="DK20" s="2">
        <f>DJ20+真實IC!DK20</f>
        <v>9.9127695263292264</v>
      </c>
      <c r="DL20" s="2">
        <f>DK20+真實IC!DL20</f>
        <v>9.9182344759041765</v>
      </c>
      <c r="DM20" s="2">
        <f>DL20+真實IC!DM20</f>
        <v>9.9107078716291799</v>
      </c>
      <c r="DN20" s="2">
        <f>DM20+真實IC!DN20</f>
        <v>9.9557611963714816</v>
      </c>
      <c r="DO20" s="2">
        <f>DN20+真實IC!DO20</f>
        <v>9.9379060762770148</v>
      </c>
      <c r="DP20" s="2">
        <f>DO20+真實IC!DP20</f>
        <v>10.108004796252782</v>
      </c>
      <c r="DQ20" s="2">
        <f>DP20+真實IC!DQ20</f>
        <v>10.149622918443194</v>
      </c>
      <c r="DR20" s="2">
        <f>DQ20+真實IC!DR20</f>
        <v>10.208227481402334</v>
      </c>
      <c r="DS20" s="2">
        <f>DR20+真實IC!DS20</f>
        <v>10.17952884451647</v>
      </c>
      <c r="DT20" s="2">
        <f>DS20+真實IC!DT20</f>
        <v>10.247571231643835</v>
      </c>
      <c r="DU20" s="2">
        <f>DT20+真實IC!DU20</f>
        <v>10.363612829551117</v>
      </c>
      <c r="DV20" s="2">
        <f>DU20+真實IC!DV20</f>
        <v>10.565413315825491</v>
      </c>
      <c r="DW20" s="2">
        <f>DV20+真實IC!DW20</f>
        <v>10.640315077737636</v>
      </c>
      <c r="DX20" s="2">
        <f>DW20+真實IC!DX20</f>
        <v>10.708985639054955</v>
      </c>
      <c r="DY20" s="2">
        <f>DX20+真實IC!DY20</f>
        <v>11.041048710124217</v>
      </c>
      <c r="DZ20" s="2">
        <f>DY20+真實IC!DZ20</f>
        <v>11.070111022201898</v>
      </c>
      <c r="EA20" s="2">
        <f>DZ20+真實IC!EA20</f>
        <v>11.072171204877202</v>
      </c>
      <c r="EB20" s="2">
        <f>EA20+真實IC!EB20</f>
        <v>11.205764846067574</v>
      </c>
      <c r="EC20" s="2">
        <f>EB20+真實IC!EC20</f>
        <v>11.257325970334431</v>
      </c>
      <c r="ED20" s="2">
        <f>EC20+真實IC!ED20</f>
        <v>11.464332564538362</v>
      </c>
      <c r="EE20" s="2">
        <f>ED20+真實IC!EE20</f>
        <v>11.498640383262044</v>
      </c>
      <c r="EF20" s="2">
        <f>EE20+真實IC!EF20</f>
        <v>11.583099098650466</v>
      </c>
      <c r="EG20" s="2">
        <f>EF20+真實IC!EG20</f>
        <v>12.225965600024663</v>
      </c>
      <c r="EH20" s="2">
        <f>EG20+真實IC!EH20</f>
        <v>12.139803390324925</v>
      </c>
      <c r="EI20" s="2">
        <f>EH20+真實IC!EI20</f>
        <v>12.123480605463929</v>
      </c>
      <c r="EJ20" s="2">
        <f>EI20+真實IC!EJ20</f>
        <v>12.160870462116794</v>
      </c>
      <c r="EK20" s="2">
        <f>EJ20+真實IC!EK20</f>
        <v>12.210047083802104</v>
      </c>
      <c r="EL20" s="2">
        <f>EK20+真實IC!EL20</f>
        <v>12.193604499857097</v>
      </c>
    </row>
    <row r="21" spans="1:142" x14ac:dyDescent="0.3">
      <c r="A21" s="18"/>
      <c r="B21" s="18">
        <v>256</v>
      </c>
      <c r="C21" s="2">
        <v>0.2490064650579937</v>
      </c>
      <c r="D21" s="2">
        <f>C21+真實IC!D21</f>
        <v>0.43625478893186398</v>
      </c>
      <c r="E21" s="2">
        <f>D21+真實IC!E21</f>
        <v>0.50653706282631072</v>
      </c>
      <c r="F21" s="2">
        <f>E21+真實IC!F21</f>
        <v>0.57594633991726718</v>
      </c>
      <c r="G21" s="2">
        <f>F21+真實IC!G21</f>
        <v>0.63840194292503449</v>
      </c>
      <c r="H21" s="2">
        <f>G21+真實IC!H21</f>
        <v>0.72191114212814422</v>
      </c>
      <c r="I21" s="2">
        <f>H21+真實IC!I21</f>
        <v>0.93926541833315402</v>
      </c>
      <c r="J21" s="2">
        <f>I21+真實IC!J21</f>
        <v>1.22430082065456</v>
      </c>
      <c r="K21" s="2">
        <f>J21+真實IC!K21</f>
        <v>1.2886358013240644</v>
      </c>
      <c r="L21" s="2">
        <f>K21+真實IC!L21</f>
        <v>1.2469130616077322</v>
      </c>
      <c r="M21" s="2">
        <f>L21+真實IC!M21</f>
        <v>1.2175629435622799</v>
      </c>
      <c r="N21" s="2">
        <f>M21+真實IC!N21</f>
        <v>1.8024542081830051</v>
      </c>
      <c r="O21" s="2">
        <f>N21+真實IC!O21</f>
        <v>1.8613093482954428</v>
      </c>
      <c r="P21" s="2">
        <f>O21+真實IC!P21</f>
        <v>1.971704251788678</v>
      </c>
      <c r="Q21" s="2">
        <f>P21+真實IC!Q21</f>
        <v>1.9894482553932391</v>
      </c>
      <c r="R21" s="2">
        <f>Q21+真實IC!R21</f>
        <v>1.8938729442866089</v>
      </c>
      <c r="S21" s="2">
        <f>R21+真實IC!S21</f>
        <v>2.1485557467924892</v>
      </c>
      <c r="T21" s="2">
        <f>S21+真實IC!T21</f>
        <v>2.2642747044261937</v>
      </c>
      <c r="U21" s="2">
        <f>T21+真實IC!U21</f>
        <v>2.2484826925634849</v>
      </c>
      <c r="V21" s="2">
        <f>U21+真實IC!V21</f>
        <v>2.2675881291509214</v>
      </c>
      <c r="W21" s="2">
        <f>V21+真實IC!W21</f>
        <v>2.2356281141834105</v>
      </c>
      <c r="X21" s="2">
        <f>W21+真實IC!X21</f>
        <v>2.4294651293055538</v>
      </c>
      <c r="Y21" s="2">
        <f>X21+真實IC!Y21</f>
        <v>2.5234771251157295</v>
      </c>
      <c r="Z21" s="2">
        <f>Y21+真實IC!Z21</f>
        <v>2.6199345569785697</v>
      </c>
      <c r="AA21" s="2">
        <f>Z21+真實IC!AA21</f>
        <v>2.7120427385784933</v>
      </c>
      <c r="AB21" s="2">
        <f>AA21+真實IC!AB21</f>
        <v>2.8287527104949328</v>
      </c>
      <c r="AC21" s="2">
        <f>AB21+真實IC!AC21</f>
        <v>2.8948675700133024</v>
      </c>
      <c r="AD21" s="2">
        <f>AC21+真實IC!AD21</f>
        <v>2.9118470898073912</v>
      </c>
      <c r="AE21" s="2">
        <f>AD21+真實IC!AE21</f>
        <v>3.0622810234144233</v>
      </c>
      <c r="AF21" s="2">
        <f>AE21+真實IC!AF21</f>
        <v>3.3050425204745606</v>
      </c>
      <c r="AG21" s="2">
        <f>AF21+真實IC!AG21</f>
        <v>3.3493452982643546</v>
      </c>
      <c r="AH21" s="2">
        <f>AG21+真實IC!AH21</f>
        <v>3.2417639356995562</v>
      </c>
      <c r="AI21" s="2">
        <f>AH21+真實IC!AI21</f>
        <v>3.2190450215743796</v>
      </c>
      <c r="AJ21" s="2">
        <f>AI21+真實IC!AJ21</f>
        <v>3.148639679627911</v>
      </c>
      <c r="AK21" s="2">
        <f>AJ21+真實IC!AK21</f>
        <v>3.1179962458904797</v>
      </c>
      <c r="AL21" s="2">
        <f>AK21+真實IC!AL21</f>
        <v>3.2289583920519198</v>
      </c>
      <c r="AM21" s="2">
        <f>AL21+真實IC!AM21</f>
        <v>3.2802603311678218</v>
      </c>
      <c r="AN21" s="2">
        <f>AM21+真實IC!AN21</f>
        <v>3.3866914691376238</v>
      </c>
      <c r="AO21" s="2">
        <f>AN21+真實IC!AO21</f>
        <v>3.5670519569977066</v>
      </c>
      <c r="AP21" s="2">
        <f>AO21+真實IC!AP21</f>
        <v>3.6718601298993025</v>
      </c>
      <c r="AQ21" s="2">
        <f>AP21+真實IC!AQ21</f>
        <v>3.6252825637930055</v>
      </c>
      <c r="AR21" s="2">
        <f>AQ21+真實IC!AR21</f>
        <v>3.7130641610057808</v>
      </c>
      <c r="AS21" s="2">
        <f>AR21+真實IC!AS21</f>
        <v>3.5956468403471868</v>
      </c>
      <c r="AT21" s="2">
        <f>AS21+真實IC!AT21</f>
        <v>3.8068309100773403</v>
      </c>
      <c r="AU21" s="2">
        <f>AT21+真實IC!AU21</f>
        <v>4.0032278093142546</v>
      </c>
      <c r="AV21" s="2">
        <f>AU21+真實IC!AV21</f>
        <v>4.0171180714516259</v>
      </c>
      <c r="AW21" s="2">
        <f>AV21+真實IC!AW21</f>
        <v>4.2998913231143492</v>
      </c>
      <c r="AX21" s="2">
        <f>AW21+真實IC!AX21</f>
        <v>4.457202687532912</v>
      </c>
      <c r="AY21" s="2">
        <f>AX21+真實IC!AY21</f>
        <v>4.5961808132530857</v>
      </c>
      <c r="AZ21" s="2">
        <f>AY21+真實IC!AZ21</f>
        <v>4.6576492900028486</v>
      </c>
      <c r="BA21" s="2">
        <f>AZ21+真實IC!BA21</f>
        <v>4.8239577585497653</v>
      </c>
      <c r="BB21" s="2">
        <f>BA21+真實IC!BB21</f>
        <v>5.2372695858407976</v>
      </c>
      <c r="BC21" s="2">
        <f>BB21+真實IC!BC21</f>
        <v>5.2971657866351958</v>
      </c>
      <c r="BD21" s="2">
        <f>BC21+真實IC!BD21</f>
        <v>5.3049369502486918</v>
      </c>
      <c r="BE21" s="2">
        <f>BD21+真實IC!BE21</f>
        <v>5.4416823061566566</v>
      </c>
      <c r="BF21" s="2">
        <f>BE21+真實IC!BF21</f>
        <v>5.64079952258726</v>
      </c>
      <c r="BG21" s="2">
        <f>BF21+真實IC!BG21</f>
        <v>5.5471604137785739</v>
      </c>
      <c r="BH21" s="2">
        <f>BG21+真實IC!BH21</f>
        <v>5.7219396087887748</v>
      </c>
      <c r="BI21" s="2">
        <f>BH21+真實IC!BI21</f>
        <v>5.7809947221862661</v>
      </c>
      <c r="BJ21" s="2">
        <f>BI21+真實IC!BJ21</f>
        <v>5.8025171973805163</v>
      </c>
      <c r="BK21" s="2">
        <f>BJ21+真實IC!BK21</f>
        <v>5.7297940826318019</v>
      </c>
      <c r="BL21" s="2">
        <f>BK21+真實IC!BL21</f>
        <v>5.8243023652140424</v>
      </c>
      <c r="BM21" s="2">
        <f>BL21+真實IC!BM21</f>
        <v>5.8650976512427633</v>
      </c>
      <c r="BN21" s="2">
        <f>BM21+真實IC!BN21</f>
        <v>5.826000472967233</v>
      </c>
      <c r="BO21" s="2">
        <f>BN21+真實IC!BO21</f>
        <v>5.7193834324253494</v>
      </c>
      <c r="BP21" s="2">
        <f>BO21+真實IC!BP21</f>
        <v>5.7266391355408075</v>
      </c>
      <c r="BQ21" s="2">
        <f>BP21+真實IC!BQ21</f>
        <v>5.7846494804727753</v>
      </c>
      <c r="BR21" s="2">
        <f>BQ21+真實IC!BR21</f>
        <v>5.9220127127896953</v>
      </c>
      <c r="BS21" s="2">
        <f>BR21+真實IC!BS21</f>
        <v>5.8922541200512013</v>
      </c>
      <c r="BT21" s="2">
        <f>BS21+真實IC!BT21</f>
        <v>5.8022506284184798</v>
      </c>
      <c r="BU21" s="2">
        <f>BT21+真實IC!BU21</f>
        <v>5.9297165827327944</v>
      </c>
      <c r="BV21" s="2">
        <f>BU21+真實IC!BV21</f>
        <v>5.8476176205308263</v>
      </c>
      <c r="BW21" s="2">
        <f>BV21+真實IC!BW21</f>
        <v>6.3902273480240206</v>
      </c>
      <c r="BX21" s="2">
        <f>BW21+真實IC!BX21</f>
        <v>6.3570676217523152</v>
      </c>
      <c r="BY21" s="2">
        <f>BX21+真實IC!BY21</f>
        <v>6.4339492354157164</v>
      </c>
      <c r="BZ21" s="2">
        <f>BY21+真實IC!BZ21</f>
        <v>6.5276908813681676</v>
      </c>
      <c r="CA21" s="2">
        <f>BZ21+真實IC!CA21</f>
        <v>6.5920290356838542</v>
      </c>
      <c r="CB21" s="2">
        <f>CA21+真實IC!CB21</f>
        <v>6.6287548182914717</v>
      </c>
      <c r="CC21" s="2">
        <f>CB21+真實IC!CC21</f>
        <v>6.8080735643218366</v>
      </c>
      <c r="CD21" s="2">
        <f>CC21+真實IC!CD21</f>
        <v>7.0521503896070064</v>
      </c>
      <c r="CE21" s="2">
        <f>CD21+真實IC!CE21</f>
        <v>7.0832803513981046</v>
      </c>
      <c r="CF21" s="2">
        <f>CE21+真實IC!CF21</f>
        <v>7.1374627967468554</v>
      </c>
      <c r="CG21" s="2">
        <f>CF21+真實IC!CG21</f>
        <v>7.2903355928188267</v>
      </c>
      <c r="CH21" s="2">
        <f>CG21+真實IC!CH21</f>
        <v>7.2906316708872678</v>
      </c>
      <c r="CI21" s="2">
        <f>CH21+真實IC!CI21</f>
        <v>7.287627867554999</v>
      </c>
      <c r="CJ21" s="2">
        <f>CI21+真實IC!CJ21</f>
        <v>7.2679660933893064</v>
      </c>
      <c r="CK21" s="2">
        <f>CJ21+真實IC!CK21</f>
        <v>7.5045974257451027</v>
      </c>
      <c r="CL21" s="2">
        <f>CK21+真實IC!CL21</f>
        <v>7.9713790474875639</v>
      </c>
      <c r="CM21" s="2">
        <f>CL21+真實IC!CM21</f>
        <v>7.9330862561216069</v>
      </c>
      <c r="CN21" s="2">
        <f>CM21+真實IC!CN21</f>
        <v>8.0969375724744115</v>
      </c>
      <c r="CO21" s="2">
        <f>CN21+真實IC!CO21</f>
        <v>8.3383316699199952</v>
      </c>
      <c r="CP21" s="2">
        <f>CO21+真實IC!CP21</f>
        <v>8.5214012961457293</v>
      </c>
      <c r="CQ21" s="2">
        <f>CP21+真實IC!CQ21</f>
        <v>8.5684737166215612</v>
      </c>
      <c r="CR21" s="2">
        <f>CQ21+真實IC!CR21</f>
        <v>8.6097936053874928</v>
      </c>
      <c r="CS21" s="2">
        <f>CR21+真實IC!CS21</f>
        <v>8.5779302222837845</v>
      </c>
      <c r="CT21" s="2">
        <f>CS21+真實IC!CT21</f>
        <v>8.6453370288558524</v>
      </c>
      <c r="CU21" s="2">
        <f>CT21+真實IC!CU21</f>
        <v>8.8232738489219713</v>
      </c>
      <c r="CV21" s="2">
        <f>CU21+真實IC!CV21</f>
        <v>9.0236704075402496</v>
      </c>
      <c r="CW21" s="2">
        <f>CV21+真實IC!CW21</f>
        <v>9.067511996852339</v>
      </c>
      <c r="CX21" s="2">
        <f>CW21+真實IC!CX21</f>
        <v>9.2076292909905799</v>
      </c>
      <c r="CY21" s="2">
        <f>CX21+真實IC!CY21</f>
        <v>9.3182795978048816</v>
      </c>
      <c r="CZ21" s="2">
        <f>CY21+真實IC!CZ21</f>
        <v>9.6137843807111452</v>
      </c>
      <c r="DA21" s="2">
        <f>CZ21+真實IC!DA21</f>
        <v>9.6321200325555889</v>
      </c>
      <c r="DB21" s="2">
        <f>DA21+真實IC!DB21</f>
        <v>9.7035812463295876</v>
      </c>
      <c r="DC21" s="2">
        <f>DB21+真實IC!DC21</f>
        <v>9.6511325963129906</v>
      </c>
      <c r="DD21" s="2">
        <f>DC21+真實IC!DD21</f>
        <v>9.6848037921108681</v>
      </c>
      <c r="DE21" s="2">
        <f>DD21+真實IC!DE21</f>
        <v>9.7169355695458961</v>
      </c>
      <c r="DF21" s="2">
        <f>DE21+真實IC!DF21</f>
        <v>10.00306643286884</v>
      </c>
      <c r="DG21" s="2">
        <f>DF21+真實IC!DG21</f>
        <v>10.053108557088652</v>
      </c>
      <c r="DH21" s="2">
        <f>DG21+真實IC!DH21</f>
        <v>10.411320226342861</v>
      </c>
      <c r="DI21" s="2">
        <f>DH21+真實IC!DI21</f>
        <v>10.563186795152319</v>
      </c>
      <c r="DJ21" s="2">
        <f>DI21+真實IC!DJ21</f>
        <v>10.682042874542871</v>
      </c>
      <c r="DK21" s="2">
        <f>DJ21+真實IC!DK21</f>
        <v>10.758889260033106</v>
      </c>
      <c r="DL21" s="2">
        <f>DK21+真實IC!DL21</f>
        <v>10.780809448621833</v>
      </c>
      <c r="DM21" s="2">
        <f>DL21+真實IC!DM21</f>
        <v>10.756608146094058</v>
      </c>
      <c r="DN21" s="2">
        <f>DM21+真實IC!DN21</f>
        <v>10.786036516728153</v>
      </c>
      <c r="DO21" s="2">
        <f>DN21+真實IC!DO21</f>
        <v>10.800102926883444</v>
      </c>
      <c r="DP21" s="2">
        <f>DO21+真實IC!DP21</f>
        <v>10.915002035961779</v>
      </c>
      <c r="DQ21" s="2">
        <f>DP21+真實IC!DQ21</f>
        <v>11.024210319439334</v>
      </c>
      <c r="DR21" s="2">
        <f>DQ21+真實IC!DR21</f>
        <v>11.04272574963969</v>
      </c>
      <c r="DS21" s="2">
        <f>DR21+真實IC!DS21</f>
        <v>11.031043306369192</v>
      </c>
      <c r="DT21" s="2">
        <f>DS21+真實IC!DT21</f>
        <v>11.023149373355345</v>
      </c>
      <c r="DU21" s="2">
        <f>DT21+真實IC!DU21</f>
        <v>11.110185535215106</v>
      </c>
      <c r="DV21" s="2">
        <f>DU21+真實IC!DV21</f>
        <v>11.374504385815269</v>
      </c>
      <c r="DW21" s="2">
        <f>DV21+真實IC!DW21</f>
        <v>11.483487704820625</v>
      </c>
      <c r="DX21" s="2">
        <f>DW21+真實IC!DX21</f>
        <v>11.562959208490565</v>
      </c>
      <c r="DY21" s="2">
        <f>DX21+真實IC!DY21</f>
        <v>11.899444571836611</v>
      </c>
      <c r="DZ21" s="2">
        <f>DY21+真實IC!DZ21</f>
        <v>11.914192745560474</v>
      </c>
      <c r="EA21" s="2">
        <f>DZ21+真實IC!EA21</f>
        <v>11.860568889109574</v>
      </c>
      <c r="EB21" s="2">
        <f>EA21+真實IC!EB21</f>
        <v>11.949641282014612</v>
      </c>
      <c r="EC21" s="2">
        <f>EB21+真實IC!EC21</f>
        <v>12.00418748905453</v>
      </c>
      <c r="ED21" s="2">
        <f>EC21+真實IC!ED21</f>
        <v>12.096296011823862</v>
      </c>
      <c r="EE21" s="2">
        <f>ED21+真實IC!EE21</f>
        <v>12.128203548719224</v>
      </c>
      <c r="EF21" s="2">
        <f>EE21+真實IC!EF21</f>
        <v>12.212620788660089</v>
      </c>
      <c r="EG21" s="2">
        <f>EF21+真實IC!EG21</f>
        <v>12.978119042939287</v>
      </c>
      <c r="EH21" s="2">
        <f>EG21+真實IC!EH21</f>
        <v>12.924329248684037</v>
      </c>
      <c r="EI21" s="2">
        <f>EH21+真實IC!EI21</f>
        <v>12.922057378624856</v>
      </c>
      <c r="EJ21" s="2">
        <f>EI21+真實IC!EJ21</f>
        <v>12.946419273762</v>
      </c>
      <c r="EK21" s="2">
        <f>EJ21+真實IC!EK21</f>
        <v>13.014915374224682</v>
      </c>
      <c r="EL21" s="2">
        <f>EK21+真實IC!EL21</f>
        <v>13.040921905977665</v>
      </c>
    </row>
    <row r="22" spans="1:142" x14ac:dyDescent="0.3">
      <c r="A22" s="18"/>
      <c r="B22" s="18">
        <v>400</v>
      </c>
      <c r="C22" s="2">
        <v>0.28886619116808843</v>
      </c>
      <c r="D22" s="2">
        <f>C22+真實IC!D22</f>
        <v>0.32543991357641755</v>
      </c>
      <c r="E22" s="2">
        <f>D22+真實IC!E22</f>
        <v>0.30808481465995857</v>
      </c>
      <c r="F22" s="2">
        <f>E22+真實IC!F22</f>
        <v>0.44795226496934559</v>
      </c>
      <c r="G22" s="2">
        <f>F22+真實IC!G22</f>
        <v>0.55183662825967972</v>
      </c>
      <c r="H22" s="2">
        <f>G22+真實IC!H22</f>
        <v>0.62034732180017893</v>
      </c>
      <c r="I22" s="2">
        <f>H22+真實IC!I22</f>
        <v>0.83730538190829784</v>
      </c>
      <c r="J22" s="2">
        <f>I22+真實IC!J22</f>
        <v>1.2133988532510178</v>
      </c>
      <c r="K22" s="2">
        <f>J22+真實IC!K22</f>
        <v>1.2420556333674118</v>
      </c>
      <c r="L22" s="2">
        <f>K22+真實IC!L22</f>
        <v>1.2460093047754506</v>
      </c>
      <c r="M22" s="2">
        <f>L22+真實IC!M22</f>
        <v>1.229912918240194</v>
      </c>
      <c r="N22" s="2">
        <f>M22+真實IC!N22</f>
        <v>1.9860563613575328</v>
      </c>
      <c r="O22" s="2">
        <f>N22+真實IC!O22</f>
        <v>2.0702228099511895</v>
      </c>
      <c r="P22" s="2">
        <f>O22+真實IC!P22</f>
        <v>2.0971687642180736</v>
      </c>
      <c r="Q22" s="2">
        <f>P22+真實IC!Q22</f>
        <v>2.1318259052395123</v>
      </c>
      <c r="R22" s="2">
        <f>Q22+真實IC!R22</f>
        <v>2.0951974709679244</v>
      </c>
      <c r="S22" s="2">
        <f>R22+真實IC!S22</f>
        <v>2.1680382974829282</v>
      </c>
      <c r="T22" s="2">
        <f>S22+真實IC!T22</f>
        <v>2.3038954470505395</v>
      </c>
      <c r="U22" s="2">
        <f>T22+真實IC!U22</f>
        <v>2.2592119150408609</v>
      </c>
      <c r="V22" s="2">
        <f>U22+真實IC!V22</f>
        <v>2.3110090071870477</v>
      </c>
      <c r="W22" s="2">
        <f>V22+真實IC!W22</f>
        <v>2.278163828639737</v>
      </c>
      <c r="X22" s="2">
        <f>W22+真實IC!X22</f>
        <v>2.4360138803006062</v>
      </c>
      <c r="Y22" s="2">
        <f>X22+真實IC!Y22</f>
        <v>2.5855223269589898</v>
      </c>
      <c r="Z22" s="2">
        <f>Y22+真實IC!Z22</f>
        <v>2.6601238985479481</v>
      </c>
      <c r="AA22" s="2">
        <f>Z22+真實IC!AA22</f>
        <v>2.7126318703935075</v>
      </c>
      <c r="AB22" s="2">
        <f>AA22+真實IC!AB22</f>
        <v>2.8301334461550729</v>
      </c>
      <c r="AC22" s="2">
        <f>AB22+真實IC!AC22</f>
        <v>2.9235298255387936</v>
      </c>
      <c r="AD22" s="2">
        <f>AC22+真實IC!AD22</f>
        <v>2.9324689859881508</v>
      </c>
      <c r="AE22" s="2">
        <f>AD22+真實IC!AE22</f>
        <v>3.0657232376518522</v>
      </c>
      <c r="AF22" s="2">
        <f>AE22+真實IC!AF22</f>
        <v>3.3380954875732818</v>
      </c>
      <c r="AG22" s="2">
        <f>AF22+真實IC!AG22</f>
        <v>3.3909370277490156</v>
      </c>
      <c r="AH22" s="2">
        <f>AG22+真實IC!AH22</f>
        <v>3.2850710683285431</v>
      </c>
      <c r="AI22" s="2">
        <f>AH22+真實IC!AI22</f>
        <v>3.3055706763036414</v>
      </c>
      <c r="AJ22" s="2">
        <f>AI22+真實IC!AJ22</f>
        <v>3.273870826977233</v>
      </c>
      <c r="AK22" s="2">
        <f>AJ22+真實IC!AK22</f>
        <v>3.3751593877176287</v>
      </c>
      <c r="AL22" s="2">
        <f>AK22+真實IC!AL22</f>
        <v>3.4120001940043441</v>
      </c>
      <c r="AM22" s="2">
        <f>AL22+真實IC!AM22</f>
        <v>3.4960890974720478</v>
      </c>
      <c r="AN22" s="2">
        <f>AM22+真實IC!AN22</f>
        <v>3.6732963012063014</v>
      </c>
      <c r="AO22" s="2">
        <f>AN22+真實IC!AO22</f>
        <v>3.9093984548114791</v>
      </c>
      <c r="AP22" s="2">
        <f>AO22+真實IC!AP22</f>
        <v>4.093959044165306</v>
      </c>
      <c r="AQ22" s="2">
        <f>AP22+真實IC!AQ22</f>
        <v>3.9148966500823228</v>
      </c>
      <c r="AR22" s="2">
        <f>AQ22+真實IC!AR22</f>
        <v>3.9974433749683116</v>
      </c>
      <c r="AS22" s="2">
        <f>AR22+真實IC!AS22</f>
        <v>3.9752728928560308</v>
      </c>
      <c r="AT22" s="2">
        <f>AS22+真實IC!AT22</f>
        <v>4.0888772377155398</v>
      </c>
      <c r="AU22" s="2">
        <f>AT22+真實IC!AU22</f>
        <v>4.3687133835426657</v>
      </c>
      <c r="AV22" s="2">
        <f>AU22+真實IC!AV22</f>
        <v>4.4479166122134215</v>
      </c>
      <c r="AW22" s="2">
        <f>AV22+真實IC!AW22</f>
        <v>4.8648111809328967</v>
      </c>
      <c r="AX22" s="2">
        <f>AW22+真實IC!AX22</f>
        <v>4.8170733399614161</v>
      </c>
      <c r="AY22" s="2">
        <f>AX22+真實IC!AY22</f>
        <v>5.0114158382851608</v>
      </c>
      <c r="AZ22" s="2">
        <f>AY22+真實IC!AZ22</f>
        <v>5.0753722988363474</v>
      </c>
      <c r="BA22" s="2">
        <f>AZ22+真實IC!BA22</f>
        <v>5.2539612244466198</v>
      </c>
      <c r="BB22" s="2">
        <f>BA22+真實IC!BB22</f>
        <v>5.7441284978377816</v>
      </c>
      <c r="BC22" s="2">
        <f>BB22+真實IC!BC22</f>
        <v>5.6285867720250948</v>
      </c>
      <c r="BD22" s="2">
        <f>BC22+真實IC!BD22</f>
        <v>5.6672490054053082</v>
      </c>
      <c r="BE22" s="2">
        <f>BD22+真實IC!BE22</f>
        <v>5.7953168893709686</v>
      </c>
      <c r="BF22" s="2">
        <f>BE22+真實IC!BF22</f>
        <v>5.9944193379194068</v>
      </c>
      <c r="BG22" s="2">
        <f>BF22+真實IC!BG22</f>
        <v>5.8514489865455408</v>
      </c>
      <c r="BH22" s="2">
        <f>BG22+真實IC!BH22</f>
        <v>5.9791559959419569</v>
      </c>
      <c r="BI22" s="2">
        <f>BH22+真實IC!BI22</f>
        <v>5.9616152009093639</v>
      </c>
      <c r="BJ22" s="2">
        <f>BI22+真實IC!BJ22</f>
        <v>5.9431136010881715</v>
      </c>
      <c r="BK22" s="2">
        <f>BJ22+真實IC!BK22</f>
        <v>5.894798360036507</v>
      </c>
      <c r="BL22" s="2">
        <f>BK22+真實IC!BL22</f>
        <v>6.0124553093999342</v>
      </c>
      <c r="BM22" s="2">
        <f>BL22+真實IC!BM22</f>
        <v>6.0148857926454671</v>
      </c>
      <c r="BN22" s="2">
        <f>BM22+真實IC!BN22</f>
        <v>5.9690700881149992</v>
      </c>
      <c r="BO22" s="2">
        <f>BN22+真實IC!BO22</f>
        <v>5.8767923745148662</v>
      </c>
      <c r="BP22" s="2">
        <f>BO22+真實IC!BP22</f>
        <v>5.8791300647056861</v>
      </c>
      <c r="BQ22" s="2">
        <f>BP22+真實IC!BQ22</f>
        <v>5.9564820429774326</v>
      </c>
      <c r="BR22" s="2">
        <f>BQ22+真實IC!BR22</f>
        <v>6.1034387467981759</v>
      </c>
      <c r="BS22" s="2">
        <f>BR22+真實IC!BS22</f>
        <v>6.1475171697968607</v>
      </c>
      <c r="BT22" s="2">
        <f>BS22+真實IC!BT22</f>
        <v>6.0423162538858133</v>
      </c>
      <c r="BU22" s="2">
        <f>BT22+真實IC!BU22</f>
        <v>6.1949836589337863</v>
      </c>
      <c r="BV22" s="2">
        <f>BU22+真實IC!BV22</f>
        <v>6.1477171944218805</v>
      </c>
      <c r="BW22" s="2">
        <f>BV22+真實IC!BW22</f>
        <v>6.4582828577432219</v>
      </c>
      <c r="BX22" s="2">
        <f>BW22+真實IC!BX22</f>
        <v>6.4263714083594321</v>
      </c>
      <c r="BY22" s="2">
        <f>BX22+真實IC!BY22</f>
        <v>6.4766388458343513</v>
      </c>
      <c r="BZ22" s="2">
        <f>BY22+真實IC!BZ22</f>
        <v>6.5180098290473136</v>
      </c>
      <c r="CA22" s="2">
        <f>BZ22+真實IC!CA22</f>
        <v>6.5640256914407873</v>
      </c>
      <c r="CB22" s="2">
        <f>CA22+真實IC!CB22</f>
        <v>6.6078298655526906</v>
      </c>
      <c r="CC22" s="2">
        <f>CB22+真實IC!CC22</f>
        <v>6.8832746849761204</v>
      </c>
      <c r="CD22" s="2">
        <f>CC22+真實IC!CD22</f>
        <v>7.2389477816568215</v>
      </c>
      <c r="CE22" s="2">
        <f>CD22+真實IC!CE22</f>
        <v>7.2524512305892941</v>
      </c>
      <c r="CF22" s="2">
        <f>CE22+真實IC!CF22</f>
        <v>7.3549593339382557</v>
      </c>
      <c r="CG22" s="2">
        <f>CF22+真實IC!CG22</f>
        <v>7.6788824173840293</v>
      </c>
      <c r="CH22" s="2">
        <f>CG22+真實IC!CH22</f>
        <v>7.6524552548801994</v>
      </c>
      <c r="CI22" s="2">
        <f>CH22+真實IC!CI22</f>
        <v>7.6365948367966618</v>
      </c>
      <c r="CJ22" s="2">
        <f>CI22+真實IC!CJ22</f>
        <v>7.6260541174573602</v>
      </c>
      <c r="CK22" s="2">
        <f>CJ22+真實IC!CK22</f>
        <v>7.8024933256072053</v>
      </c>
      <c r="CL22" s="2">
        <f>CK22+真實IC!CL22</f>
        <v>8.2979072104402238</v>
      </c>
      <c r="CM22" s="2">
        <f>CL22+真實IC!CM22</f>
        <v>8.2505348428590626</v>
      </c>
      <c r="CN22" s="2">
        <f>CM22+真實IC!CN22</f>
        <v>8.4326919679691787</v>
      </c>
      <c r="CO22" s="2">
        <f>CN22+真實IC!CO22</f>
        <v>8.6042216635833828</v>
      </c>
      <c r="CP22" s="2">
        <f>CO22+真實IC!CP22</f>
        <v>8.810789641016548</v>
      </c>
      <c r="CQ22" s="2">
        <f>CP22+真實IC!CQ22</f>
        <v>8.902955549424842</v>
      </c>
      <c r="CR22" s="2">
        <f>CQ22+真實IC!CR22</f>
        <v>8.9476951497480801</v>
      </c>
      <c r="CS22" s="2">
        <f>CR22+真實IC!CS22</f>
        <v>8.8794590827566076</v>
      </c>
      <c r="CT22" s="2">
        <f>CS22+真實IC!CT22</f>
        <v>8.9745799518638876</v>
      </c>
      <c r="CU22" s="2">
        <f>CT22+真實IC!CU22</f>
        <v>9.1672941267151469</v>
      </c>
      <c r="CV22" s="2">
        <f>CU22+真實IC!CV22</f>
        <v>9.4035749395446668</v>
      </c>
      <c r="CW22" s="2">
        <f>CV22+真實IC!CW22</f>
        <v>9.3933483932482194</v>
      </c>
      <c r="CX22" s="2">
        <f>CW22+真實IC!CX22</f>
        <v>9.5201339199388268</v>
      </c>
      <c r="CY22" s="2">
        <f>CX22+真實IC!CY22</f>
        <v>9.6556233535932421</v>
      </c>
      <c r="CZ22" s="2">
        <f>CY22+真實IC!CZ22</f>
        <v>10.007774923562135</v>
      </c>
      <c r="DA22" s="2">
        <f>CZ22+真實IC!DA22</f>
        <v>10.030248021728376</v>
      </c>
      <c r="DB22" s="2">
        <f>DA22+真實IC!DB22</f>
        <v>10.084289643438899</v>
      </c>
      <c r="DC22" s="2">
        <f>DB22+真實IC!DC22</f>
        <v>10.060206183548894</v>
      </c>
      <c r="DD22" s="2">
        <f>DC22+真實IC!DD22</f>
        <v>10.198560837093368</v>
      </c>
      <c r="DE22" s="2">
        <f>DD22+真實IC!DE22</f>
        <v>10.180804333591436</v>
      </c>
      <c r="DF22" s="2">
        <f>DE22+真實IC!DF22</f>
        <v>10.57047196728556</v>
      </c>
      <c r="DG22" s="2">
        <f>DF22+真實IC!DG22</f>
        <v>10.645262999068265</v>
      </c>
      <c r="DH22" s="2">
        <f>DG22+真實IC!DH22</f>
        <v>10.771667349236077</v>
      </c>
      <c r="DI22" s="2">
        <f>DH22+真實IC!DI22</f>
        <v>10.996356815850348</v>
      </c>
      <c r="DJ22" s="2">
        <f>DI22+真實IC!DJ22</f>
        <v>11.099871455159663</v>
      </c>
      <c r="DK22" s="2">
        <f>DJ22+真實IC!DK22</f>
        <v>11.172567586330226</v>
      </c>
      <c r="DL22" s="2">
        <f>DK22+真實IC!DL22</f>
        <v>11.205676701422169</v>
      </c>
      <c r="DM22" s="2">
        <f>DL22+真實IC!DM22</f>
        <v>11.182532365652037</v>
      </c>
      <c r="DN22" s="2">
        <f>DM22+真實IC!DN22</f>
        <v>11.192649966294299</v>
      </c>
      <c r="DO22" s="2">
        <f>DN22+真實IC!DO22</f>
        <v>11.131189293009115</v>
      </c>
      <c r="DP22" s="2">
        <f>DO22+真實IC!DP22</f>
        <v>11.219741779446512</v>
      </c>
      <c r="DQ22" s="2">
        <f>DP22+真實IC!DQ22</f>
        <v>11.430802721208284</v>
      </c>
      <c r="DR22" s="2">
        <f>DQ22+真實IC!DR22</f>
        <v>11.373505688547336</v>
      </c>
      <c r="DS22" s="2">
        <f>DR22+真實IC!DS22</f>
        <v>11.333557171165113</v>
      </c>
      <c r="DT22" s="2">
        <f>DS22+真實IC!DT22</f>
        <v>11.372026308776414</v>
      </c>
      <c r="DU22" s="2">
        <f>DT22+真實IC!DU22</f>
        <v>11.474045316794172</v>
      </c>
      <c r="DV22" s="2">
        <f>DU22+真實IC!DV22</f>
        <v>11.765140932779397</v>
      </c>
      <c r="DW22" s="2">
        <f>DV22+真實IC!DW22</f>
        <v>11.683725519399474</v>
      </c>
      <c r="DX22" s="2">
        <f>DW22+真實IC!DX22</f>
        <v>11.766909759425726</v>
      </c>
      <c r="DY22" s="2">
        <f>DX22+真實IC!DY22</f>
        <v>12.010352593426987</v>
      </c>
      <c r="DZ22" s="2">
        <f>DY22+真實IC!DZ22</f>
        <v>12.008172871810867</v>
      </c>
      <c r="EA22" s="2">
        <f>DZ22+真實IC!EA22</f>
        <v>11.95394623167479</v>
      </c>
      <c r="EB22" s="2">
        <f>EA22+真實IC!EB22</f>
        <v>12.158321591890545</v>
      </c>
      <c r="EC22" s="2">
        <f>EB22+真實IC!EC22</f>
        <v>12.203375369788546</v>
      </c>
      <c r="ED22" s="2">
        <f>EC22+真實IC!ED22</f>
        <v>12.330935158741021</v>
      </c>
      <c r="EE22" s="2">
        <f>ED22+真實IC!EE22</f>
        <v>12.332605421543658</v>
      </c>
      <c r="EF22" s="2">
        <f>EE22+真實IC!EF22</f>
        <v>12.366960314919059</v>
      </c>
      <c r="EG22" s="2">
        <f>EF22+真實IC!EG22</f>
        <v>13.30704975348098</v>
      </c>
      <c r="EH22" s="2">
        <f>EG22+真實IC!EH22</f>
        <v>13.216853426160869</v>
      </c>
      <c r="EI22" s="2">
        <f>EH22+真實IC!EI22</f>
        <v>13.226690155907123</v>
      </c>
      <c r="EJ22" s="2">
        <f>EI22+真實IC!EJ22</f>
        <v>13.289424027600052</v>
      </c>
      <c r="EK22" s="2">
        <f>EJ22+真實IC!EK22</f>
        <v>13.397413123379652</v>
      </c>
      <c r="EL22" s="2">
        <f>EK22+真實IC!EL22</f>
        <v>13.445128069544047</v>
      </c>
    </row>
    <row r="23" spans="1:142" x14ac:dyDescent="0.3">
      <c r="A23" s="18"/>
      <c r="B23" s="18">
        <v>512</v>
      </c>
      <c r="C23" s="2">
        <v>0.28298926569632887</v>
      </c>
      <c r="D23" s="2">
        <f>C23+真實IC!D23</f>
        <v>0.30856200429344616</v>
      </c>
      <c r="E23" s="2">
        <f>D23+真實IC!E23</f>
        <v>0.44156719834961716</v>
      </c>
      <c r="F23" s="2">
        <f>E23+真實IC!F23</f>
        <v>0.44530743129152783</v>
      </c>
      <c r="G23" s="2">
        <f>F23+真實IC!G23</f>
        <v>0.41833586276715984</v>
      </c>
      <c r="H23" s="2">
        <f>G23+真實IC!H23</f>
        <v>0.40014739192567517</v>
      </c>
      <c r="I23" s="2">
        <f>H23+真實IC!I23</f>
        <v>0.54829942052596914</v>
      </c>
      <c r="J23" s="2">
        <f>I23+真實IC!J23</f>
        <v>0.66033477149672892</v>
      </c>
      <c r="K23" s="2">
        <f>J23+真實IC!K23</f>
        <v>0.60041688698866602</v>
      </c>
      <c r="L23" s="2">
        <f>K23+真實IC!L23</f>
        <v>0.54964605328348304</v>
      </c>
      <c r="M23" s="2">
        <f>L23+真實IC!M23</f>
        <v>0.4829207294145092</v>
      </c>
      <c r="N23" s="2">
        <f>M23+真實IC!N23</f>
        <v>1.4588221726857893</v>
      </c>
      <c r="O23" s="2">
        <f>N23+真實IC!O23</f>
        <v>1.4565200209335787</v>
      </c>
      <c r="P23" s="2">
        <f>O23+真實IC!P23</f>
        <v>1.4599089404608054</v>
      </c>
      <c r="Q23" s="2">
        <f>P23+真實IC!Q23</f>
        <v>1.5270000777987627</v>
      </c>
      <c r="R23" s="2">
        <f>Q23+真實IC!R23</f>
        <v>1.4707889344855076</v>
      </c>
      <c r="S23" s="2">
        <f>R23+真實IC!S23</f>
        <v>1.5548004176049812</v>
      </c>
      <c r="T23" s="2">
        <f>S23+真實IC!T23</f>
        <v>1.5944146067698088</v>
      </c>
      <c r="U23" s="2">
        <f>T23+真實IC!U23</f>
        <v>1.4004547435194492</v>
      </c>
      <c r="V23" s="2">
        <f>U23+真實IC!V23</f>
        <v>1.4551472060073394</v>
      </c>
      <c r="W23" s="2">
        <f>V23+真實IC!W23</f>
        <v>1.4592817178014033</v>
      </c>
      <c r="X23" s="2">
        <f>W23+真實IC!X23</f>
        <v>1.6410629035992261</v>
      </c>
      <c r="Y23" s="2">
        <f>X23+真實IC!Y23</f>
        <v>1.8752468676540834</v>
      </c>
      <c r="Z23" s="2">
        <f>Y23+真實IC!Z23</f>
        <v>2.0070378732330489</v>
      </c>
      <c r="AA23" s="2">
        <f>Z23+真實IC!AA23</f>
        <v>2.1371431174776099</v>
      </c>
      <c r="AB23" s="2">
        <f>AA23+真實IC!AB23</f>
        <v>2.2873846654449594</v>
      </c>
      <c r="AC23" s="2">
        <f>AB23+真實IC!AC23</f>
        <v>2.3846837606478974</v>
      </c>
      <c r="AD23" s="2">
        <f>AC23+真實IC!AD23</f>
        <v>2.4272547238354334</v>
      </c>
      <c r="AE23" s="2">
        <f>AD23+真實IC!AE23</f>
        <v>2.57969125940323</v>
      </c>
      <c r="AF23" s="2">
        <f>AE23+真實IC!AF23</f>
        <v>2.7714641538471749</v>
      </c>
      <c r="AG23" s="2">
        <f>AF23+真實IC!AG23</f>
        <v>2.8633378114935351</v>
      </c>
      <c r="AH23" s="2">
        <f>AG23+真實IC!AH23</f>
        <v>2.7791662269703519</v>
      </c>
      <c r="AI23" s="2">
        <f>AH23+真實IC!AI23</f>
        <v>2.809409971280763</v>
      </c>
      <c r="AJ23" s="2">
        <f>AI23+真實IC!AJ23</f>
        <v>2.8576055714708919</v>
      </c>
      <c r="AK23" s="2">
        <f>AJ23+真實IC!AK23</f>
        <v>2.9717166708180831</v>
      </c>
      <c r="AL23" s="2">
        <f>AK23+真實IC!AL23</f>
        <v>3.0224766818245139</v>
      </c>
      <c r="AM23" s="2">
        <f>AL23+真實IC!AM23</f>
        <v>3.0302461708293791</v>
      </c>
      <c r="AN23" s="2">
        <f>AM23+真實IC!AN23</f>
        <v>3.27256087018668</v>
      </c>
      <c r="AO23" s="2">
        <f>AN23+真實IC!AO23</f>
        <v>3.5189680349691672</v>
      </c>
      <c r="AP23" s="2">
        <f>AO23+真實IC!AP23</f>
        <v>3.6118858014865212</v>
      </c>
      <c r="AQ23" s="2">
        <f>AP23+真實IC!AQ23</f>
        <v>3.4246930243476341</v>
      </c>
      <c r="AR23" s="2">
        <f>AQ23+真實IC!AR23</f>
        <v>3.5708291886870014</v>
      </c>
      <c r="AS23" s="2">
        <f>AR23+真實IC!AS23</f>
        <v>3.5080453450290765</v>
      </c>
      <c r="AT23" s="2">
        <f>AS23+真實IC!AT23</f>
        <v>3.6175512479939766</v>
      </c>
      <c r="AU23" s="2">
        <f>AT23+真實IC!AU23</f>
        <v>3.9362287784256678</v>
      </c>
      <c r="AV23" s="2">
        <f>AU23+真實IC!AV23</f>
        <v>4.0867052897229366</v>
      </c>
      <c r="AW23" s="2">
        <f>AV23+真實IC!AW23</f>
        <v>4.1781762568954761</v>
      </c>
      <c r="AX23" s="2">
        <f>AW23+真實IC!AX23</f>
        <v>4.1633634778869357</v>
      </c>
      <c r="AY23" s="2">
        <f>AX23+真實IC!AY23</f>
        <v>4.3335974587275174</v>
      </c>
      <c r="AZ23" s="2">
        <f>AY23+真實IC!AZ23</f>
        <v>4.4116690352487247</v>
      </c>
      <c r="BA23" s="2">
        <f>AZ23+真實IC!BA23</f>
        <v>4.4656673738785821</v>
      </c>
      <c r="BB23" s="2">
        <f>BA23+真實IC!BB23</f>
        <v>4.9512465288388361</v>
      </c>
      <c r="BC23" s="2">
        <f>BB23+真實IC!BC23</f>
        <v>4.6504182796657707</v>
      </c>
      <c r="BD23" s="2">
        <f>BC23+真實IC!BD23</f>
        <v>4.7154950968314315</v>
      </c>
      <c r="BE23" s="2">
        <f>BD23+真實IC!BE23</f>
        <v>4.8397872398573307</v>
      </c>
      <c r="BF23" s="2">
        <f>BE23+真實IC!BF23</f>
        <v>5.0497963527177818</v>
      </c>
      <c r="BG23" s="2">
        <f>BF23+真實IC!BG23</f>
        <v>4.777413334714268</v>
      </c>
      <c r="BH23" s="2">
        <f>BG23+真實IC!BH23</f>
        <v>4.8407785304175066</v>
      </c>
      <c r="BI23" s="2">
        <f>BH23+真實IC!BI23</f>
        <v>4.9221954102890653</v>
      </c>
      <c r="BJ23" s="2">
        <f>BI23+真實IC!BJ23</f>
        <v>4.8760022592094625</v>
      </c>
      <c r="BK23" s="2">
        <f>BJ23+真實IC!BK23</f>
        <v>4.8281529359082747</v>
      </c>
      <c r="BL23" s="2">
        <f>BK23+真實IC!BL23</f>
        <v>4.942519226049944</v>
      </c>
      <c r="BM23" s="2">
        <f>BL23+真實IC!BM23</f>
        <v>4.8730237640254934</v>
      </c>
      <c r="BN23" s="2">
        <f>BM23+真實IC!BN23</f>
        <v>4.7183465956695816</v>
      </c>
      <c r="BO23" s="2">
        <f>BN23+真實IC!BO23</f>
        <v>4.5255401647066362</v>
      </c>
      <c r="BP23" s="2">
        <f>BO23+真實IC!BP23</f>
        <v>4.5156771266824238</v>
      </c>
      <c r="BQ23" s="2">
        <f>BP23+真實IC!BQ23</f>
        <v>4.6199365873661469</v>
      </c>
      <c r="BR23" s="2">
        <f>BQ23+真實IC!BR23</f>
        <v>4.7523519187233552</v>
      </c>
      <c r="BS23" s="2">
        <f>BR23+真實IC!BS23</f>
        <v>4.7518608181409858</v>
      </c>
      <c r="BT23" s="2">
        <f>BS23+真實IC!BT23</f>
        <v>4.8599379040818693</v>
      </c>
      <c r="BU23" s="2">
        <f>BT23+真實IC!BU23</f>
        <v>5.0915707742586083</v>
      </c>
      <c r="BV23" s="2">
        <f>BU23+真實IC!BV23</f>
        <v>5.0383017237007195</v>
      </c>
      <c r="BW23" s="2">
        <f>BV23+真實IC!BW23</f>
        <v>5.3569869110975077</v>
      </c>
      <c r="BX23" s="2">
        <f>BW23+真實IC!BX23</f>
        <v>5.2738259849058204</v>
      </c>
      <c r="BY23" s="2">
        <f>BX23+真實IC!BY23</f>
        <v>5.3578170055228185</v>
      </c>
      <c r="BZ23" s="2">
        <f>BY23+真實IC!BZ23</f>
        <v>5.285486507284789</v>
      </c>
      <c r="CA23" s="2">
        <f>BZ23+真實IC!CA23</f>
        <v>5.4013344807396573</v>
      </c>
      <c r="CB23" s="2">
        <f>CA23+真實IC!CB23</f>
        <v>5.4574488102787297</v>
      </c>
      <c r="CC23" s="2">
        <f>CB23+真實IC!CC23</f>
        <v>5.900631679476132</v>
      </c>
      <c r="CD23" s="2">
        <f>CC23+真實IC!CD23</f>
        <v>6.3588462508413226</v>
      </c>
      <c r="CE23" s="2">
        <f>CD23+真實IC!CE23</f>
        <v>6.3439123121418826</v>
      </c>
      <c r="CF23" s="2">
        <f>CE23+真實IC!CF23</f>
        <v>6.5115266934522085</v>
      </c>
      <c r="CG23" s="2">
        <f>CF23+真實IC!CG23</f>
        <v>6.9048034412443169</v>
      </c>
      <c r="CH23" s="2">
        <f>CG23+真實IC!CH23</f>
        <v>6.8317573433139422</v>
      </c>
      <c r="CI23" s="2">
        <f>CH23+真實IC!CI23</f>
        <v>6.8374358355487805</v>
      </c>
      <c r="CJ23" s="2">
        <f>CI23+真實IC!CJ23</f>
        <v>6.8352390509044909</v>
      </c>
      <c r="CK23" s="2">
        <f>CJ23+真實IC!CK23</f>
        <v>7.1500433421123004</v>
      </c>
      <c r="CL23" s="2">
        <f>CK23+真實IC!CL23</f>
        <v>7.4905747754474739</v>
      </c>
      <c r="CM23" s="2">
        <f>CL23+真實IC!CM23</f>
        <v>7.5104942772445948</v>
      </c>
      <c r="CN23" s="2">
        <f>CM23+真實IC!CN23</f>
        <v>7.8068171266660684</v>
      </c>
      <c r="CO23" s="2">
        <f>CN23+真實IC!CO23</f>
        <v>7.9736493784163311</v>
      </c>
      <c r="CP23" s="2">
        <f>CO23+真實IC!CP23</f>
        <v>8.2057492522747317</v>
      </c>
      <c r="CQ23" s="2">
        <f>CP23+真實IC!CQ23</f>
        <v>8.3170813071238676</v>
      </c>
      <c r="CR23" s="2">
        <f>CQ23+真實IC!CR23</f>
        <v>8.3187102048686672</v>
      </c>
      <c r="CS23" s="2">
        <f>CR23+真實IC!CS23</f>
        <v>8.323994271086951</v>
      </c>
      <c r="CT23" s="2">
        <f>CS23+真實IC!CT23</f>
        <v>8.4278792299651748</v>
      </c>
      <c r="CU23" s="2">
        <f>CT23+真實IC!CU23</f>
        <v>8.6680235104496681</v>
      </c>
      <c r="CV23" s="2">
        <f>CU23+真實IC!CV23</f>
        <v>8.9778020152785967</v>
      </c>
      <c r="CW23" s="2">
        <f>CV23+真實IC!CW23</f>
        <v>8.9587484861789246</v>
      </c>
      <c r="CX23" s="2">
        <f>CW23+真實IC!CX23</f>
        <v>8.9158961047743404</v>
      </c>
      <c r="CY23" s="2">
        <f>CX23+真實IC!CY23</f>
        <v>9.0880345127578028</v>
      </c>
      <c r="CZ23" s="2">
        <f>CY23+真實IC!CZ23</f>
        <v>9.5357398529583399</v>
      </c>
      <c r="DA23" s="2">
        <f>CZ23+真實IC!DA23</f>
        <v>9.5607583639524965</v>
      </c>
      <c r="DB23" s="2">
        <f>DA23+真實IC!DB23</f>
        <v>9.5795054303957166</v>
      </c>
      <c r="DC23" s="2">
        <f>DB23+真實IC!DC23</f>
        <v>9.6936579032973622</v>
      </c>
      <c r="DD23" s="2">
        <f>DC23+真實IC!DD23</f>
        <v>9.7864565779745156</v>
      </c>
      <c r="DE23" s="2">
        <f>DD23+真實IC!DE23</f>
        <v>9.7263706304643449</v>
      </c>
      <c r="DF23" s="2">
        <f>DE23+真實IC!DF23</f>
        <v>10.135165551025265</v>
      </c>
      <c r="DG23" s="2">
        <f>DF23+真實IC!DG23</f>
        <v>10.164791051945159</v>
      </c>
      <c r="DH23" s="2">
        <f>DG23+真實IC!DH23</f>
        <v>10.304017945457266</v>
      </c>
      <c r="DI23" s="2">
        <f>DH23+真實IC!DI23</f>
        <v>10.39694225437421</v>
      </c>
      <c r="DJ23" s="2">
        <f>DI23+真實IC!DJ23</f>
        <v>10.454224253855768</v>
      </c>
      <c r="DK23" s="2">
        <f>DJ23+真實IC!DK23</f>
        <v>10.517370831763172</v>
      </c>
      <c r="DL23" s="2">
        <f>DK23+真實IC!DL23</f>
        <v>10.571472108904171</v>
      </c>
      <c r="DM23" s="2">
        <f>DL23+真實IC!DM23</f>
        <v>10.538105353194327</v>
      </c>
      <c r="DN23" s="2">
        <f>DM23+真實IC!DN23</f>
        <v>10.71403116636478</v>
      </c>
      <c r="DO23" s="2">
        <f>DN23+真實IC!DO23</f>
        <v>10.664953839449185</v>
      </c>
      <c r="DP23" s="2">
        <f>DO23+真實IC!DP23</f>
        <v>10.839266847747332</v>
      </c>
      <c r="DQ23" s="2">
        <f>DP23+真實IC!DQ23</f>
        <v>11.122309583487819</v>
      </c>
      <c r="DR23" s="2">
        <f>DQ23+真實IC!DR23</f>
        <v>11.061813426399086</v>
      </c>
      <c r="DS23" s="2">
        <f>DR23+真實IC!DS23</f>
        <v>10.945237434732146</v>
      </c>
      <c r="DT23" s="2">
        <f>DS23+真實IC!DT23</f>
        <v>11.029100312112922</v>
      </c>
      <c r="DU23" s="2">
        <f>DT23+真實IC!DU23</f>
        <v>11.084739790821205</v>
      </c>
      <c r="DV23" s="2">
        <f>DU23+真實IC!DV23</f>
        <v>11.609097146611216</v>
      </c>
      <c r="DW23" s="2">
        <f>DV23+真實IC!DW23</f>
        <v>11.632148967366279</v>
      </c>
      <c r="DX23" s="2">
        <f>DW23+真實IC!DX23</f>
        <v>11.736754621112182</v>
      </c>
      <c r="DY23" s="2">
        <f>DX23+真實IC!DY23</f>
        <v>12.096385606178369</v>
      </c>
      <c r="DZ23" s="2">
        <f>DY23+真實IC!DZ23</f>
        <v>12.15694098125091</v>
      </c>
      <c r="EA23" s="2">
        <f>DZ23+真實IC!EA23</f>
        <v>12.059982659886504</v>
      </c>
      <c r="EB23" s="2">
        <f>EA23+真實IC!EB23</f>
        <v>12.391518038468265</v>
      </c>
      <c r="EC23" s="2">
        <f>EB23+真實IC!EC23</f>
        <v>12.408363975232836</v>
      </c>
      <c r="ED23" s="2">
        <f>EC23+真實IC!ED23</f>
        <v>12.524636342588478</v>
      </c>
      <c r="EE23" s="2">
        <f>ED23+真實IC!EE23</f>
        <v>12.55226727525144</v>
      </c>
      <c r="EF23" s="2">
        <f>EE23+真實IC!EF23</f>
        <v>12.64232226953056</v>
      </c>
      <c r="EG23" s="2">
        <f>EF23+真實IC!EG23</f>
        <v>13.929273288781628</v>
      </c>
      <c r="EH23" s="2">
        <f>EG23+真實IC!EH23</f>
        <v>13.747322338119798</v>
      </c>
      <c r="EI23" s="2">
        <f>EH23+真實IC!EI23</f>
        <v>13.761425187385848</v>
      </c>
      <c r="EJ23" s="2">
        <f>EI23+真實IC!EJ23</f>
        <v>13.69197403614098</v>
      </c>
      <c r="EK23" s="2">
        <f>EJ23+真實IC!EK23</f>
        <v>13.815936744499007</v>
      </c>
      <c r="EL23" s="2">
        <f>EK23+真實IC!EL23</f>
        <v>13.853804221336475</v>
      </c>
    </row>
    <row r="24" spans="1:142" x14ac:dyDescent="0.3">
      <c r="A24" s="18"/>
      <c r="B24" s="18">
        <v>1051</v>
      </c>
      <c r="C24" s="2">
        <v>9.9113364206882743E-2</v>
      </c>
      <c r="D24" s="2">
        <f>C24+真實IC!D24</f>
        <v>0.19972327710611135</v>
      </c>
      <c r="E24" s="2">
        <f>D24+真實IC!E24</f>
        <v>0.48423577479661328</v>
      </c>
      <c r="F24" s="2">
        <f>E24+真實IC!F24</f>
        <v>0.40890928096490659</v>
      </c>
      <c r="G24" s="2">
        <f>F24+真實IC!G24</f>
        <v>0.38628689240228892</v>
      </c>
      <c r="H24" s="2">
        <f>G24+真實IC!H24</f>
        <v>0.42214268905724556</v>
      </c>
      <c r="I24" s="2">
        <f>H24+真實IC!I24</f>
        <v>0.42003075585410204</v>
      </c>
      <c r="J24" s="2">
        <f>I24+真實IC!J24</f>
        <v>0.36572859977715422</v>
      </c>
      <c r="K24" s="2">
        <f>J24+真實IC!K24</f>
        <v>0.41946159644538822</v>
      </c>
      <c r="L24" s="2">
        <f>K24+真實IC!L24</f>
        <v>0.32566190318863786</v>
      </c>
      <c r="M24" s="2">
        <f>L24+真實IC!M24</f>
        <v>0.17884256428912937</v>
      </c>
      <c r="N24" s="2">
        <f>M24+真實IC!N24</f>
        <v>1.9478739334016983</v>
      </c>
      <c r="O24" s="2">
        <f>N24+真實IC!O24</f>
        <v>1.984522724141242</v>
      </c>
      <c r="P24" s="2">
        <f>O24+真實IC!P24</f>
        <v>2.0887711385502414</v>
      </c>
      <c r="Q24" s="2">
        <f>P24+真實IC!Q24</f>
        <v>2.1789160873489042</v>
      </c>
      <c r="R24" s="2">
        <f>Q24+真實IC!R24</f>
        <v>1.9332187165696444</v>
      </c>
      <c r="S24" s="2">
        <f>R24+真實IC!S24</f>
        <v>2.0340275118572917</v>
      </c>
      <c r="T24" s="2">
        <f>S24+真實IC!T24</f>
        <v>1.9560891153594184</v>
      </c>
      <c r="U24" s="2">
        <f>T24+真實IC!U24</f>
        <v>1.6702328253780176</v>
      </c>
      <c r="V24" s="2">
        <f>U24+真實IC!V24</f>
        <v>1.5104065331486298</v>
      </c>
      <c r="W24" s="2">
        <f>V24+真實IC!W24</f>
        <v>1.3458420155617496</v>
      </c>
      <c r="X24" s="2">
        <f>W24+真實IC!X24</f>
        <v>1.3096841192004978</v>
      </c>
      <c r="Y24" s="2">
        <f>X24+真實IC!Y24</f>
        <v>1.3002071042740806</v>
      </c>
      <c r="Z24" s="2">
        <f>Y24+真實IC!Z24</f>
        <v>1.4116032872356847</v>
      </c>
      <c r="AA24" s="2">
        <f>Z24+真實IC!AA24</f>
        <v>1.6966234546333816</v>
      </c>
      <c r="AB24" s="2">
        <f>AA24+真實IC!AB24</f>
        <v>1.8919630773086253</v>
      </c>
      <c r="AC24" s="2">
        <f>AB24+真實IC!AC24</f>
        <v>1.8915353891425597</v>
      </c>
      <c r="AD24" s="2">
        <f>AC24+真實IC!AD24</f>
        <v>1.9927106883992827</v>
      </c>
      <c r="AE24" s="2">
        <f>AD24+真實IC!AE24</f>
        <v>2.1044419698231183</v>
      </c>
      <c r="AF24" s="2">
        <f>AE24+真實IC!AF24</f>
        <v>2.1792758948217892</v>
      </c>
      <c r="AG24" s="2">
        <f>AF24+真實IC!AG24</f>
        <v>2.312410145365388</v>
      </c>
      <c r="AH24" s="2">
        <f>AG24+真實IC!AH24</f>
        <v>2.2557127852975984</v>
      </c>
      <c r="AI24" s="2">
        <f>AH24+真實IC!AI24</f>
        <v>2.4702500069384055</v>
      </c>
      <c r="AJ24" s="2">
        <f>AI24+真實IC!AJ24</f>
        <v>2.3893587629390303</v>
      </c>
      <c r="AK24" s="2">
        <f>AJ24+真實IC!AK24</f>
        <v>2.4742427160072227</v>
      </c>
      <c r="AL24" s="2">
        <f>AK24+真實IC!AL24</f>
        <v>2.5614164174838576</v>
      </c>
      <c r="AM24" s="2">
        <f>AL24+真實IC!AM24</f>
        <v>2.5424971360633308</v>
      </c>
      <c r="AN24" s="2">
        <f>AM24+真實IC!AN24</f>
        <v>2.7636866012087622</v>
      </c>
      <c r="AO24" s="2">
        <f>AN24+真實IC!AO24</f>
        <v>2.8665923037865517</v>
      </c>
      <c r="AP24" s="2">
        <f>AO24+真實IC!AP24</f>
        <v>2.8894440192756483</v>
      </c>
      <c r="AQ24" s="2">
        <f>AP24+真實IC!AQ24</f>
        <v>2.5914406349166805</v>
      </c>
      <c r="AR24" s="2">
        <f>AQ24+真實IC!AR24</f>
        <v>2.762274041087506</v>
      </c>
      <c r="AS24" s="2">
        <f>AR24+真實IC!AS24</f>
        <v>2.7027599135550981</v>
      </c>
      <c r="AT24" s="2">
        <f>AS24+真實IC!AT24</f>
        <v>2.853528893480779</v>
      </c>
      <c r="AU24" s="2">
        <f>AT24+真實IC!AU24</f>
        <v>3.3305830807231813</v>
      </c>
      <c r="AV24" s="2">
        <f>AU24+真實IC!AV24</f>
        <v>3.5782677409535086</v>
      </c>
      <c r="AW24" s="2">
        <f>AV24+真實IC!AW24</f>
        <v>3.7048988806382734</v>
      </c>
      <c r="AX24" s="2">
        <f>AW24+真實IC!AX24</f>
        <v>3.8163902175544888</v>
      </c>
      <c r="AY24" s="2">
        <f>AX24+真實IC!AY24</f>
        <v>3.9845175114393783</v>
      </c>
      <c r="AZ24" s="2">
        <f>AY24+真實IC!AZ24</f>
        <v>4.1031412365105551</v>
      </c>
      <c r="BA24" s="2">
        <f>AZ24+真實IC!BA24</f>
        <v>4.1536325419225673</v>
      </c>
      <c r="BB24" s="2">
        <f>BA24+真實IC!BB24</f>
        <v>5.0263356910290575</v>
      </c>
      <c r="BC24" s="2">
        <f>BB24+真實IC!BC24</f>
        <v>4.2231196779846805</v>
      </c>
      <c r="BD24" s="2">
        <f>BC24+真實IC!BD24</f>
        <v>4.2417507120715445</v>
      </c>
      <c r="BE24" s="2">
        <f>BD24+真實IC!BE24</f>
        <v>4.1843701740864647</v>
      </c>
      <c r="BF24" s="2">
        <f>BE24+真實IC!BF24</f>
        <v>4.1199997531370016</v>
      </c>
      <c r="BG24" s="2">
        <f>BF24+真實IC!BG24</f>
        <v>4.0290155254295659</v>
      </c>
      <c r="BH24" s="2">
        <f>BG24+真實IC!BH24</f>
        <v>4.1766890906812852</v>
      </c>
      <c r="BI24" s="2">
        <f>BH24+真實IC!BI24</f>
        <v>4.3169030194399296</v>
      </c>
      <c r="BJ24" s="2">
        <f>BI24+真實IC!BJ24</f>
        <v>4.2095739992094314</v>
      </c>
      <c r="BK24" s="2">
        <f>BJ24+真實IC!BK24</f>
        <v>4.1747463520366574</v>
      </c>
      <c r="BL24" s="2">
        <f>BK24+真實IC!BL24</f>
        <v>4.2808532721878239</v>
      </c>
      <c r="BM24" s="2">
        <f>BL24+真實IC!BM24</f>
        <v>4.3656362120268124</v>
      </c>
      <c r="BN24" s="2">
        <f>BM24+真實IC!BN24</f>
        <v>4.4745494723433596</v>
      </c>
      <c r="BO24" s="2">
        <f>BN24+真實IC!BO24</f>
        <v>4.3134397812477179</v>
      </c>
      <c r="BP24" s="2">
        <f>BO24+真實IC!BP24</f>
        <v>4.345233885577608</v>
      </c>
      <c r="BQ24" s="2">
        <f>BP24+真實IC!BQ24</f>
        <v>4.2810642522474929</v>
      </c>
      <c r="BR24" s="2">
        <f>BQ24+真實IC!BR24</f>
        <v>4.3799851414327344</v>
      </c>
      <c r="BS24" s="2">
        <f>BR24+真實IC!BS24</f>
        <v>4.2396650274706431</v>
      </c>
      <c r="BT24" s="2">
        <f>BS24+真實IC!BT24</f>
        <v>4.5163840436108513</v>
      </c>
      <c r="BU24" s="2">
        <f>BT24+真實IC!BU24</f>
        <v>4.5251325359256969</v>
      </c>
      <c r="BV24" s="2">
        <f>BU24+真實IC!BV24</f>
        <v>4.4788738301850337</v>
      </c>
      <c r="BW24" s="2">
        <f>BV24+真實IC!BW24</f>
        <v>4.6358662828725032</v>
      </c>
      <c r="BX24" s="2">
        <f>BW24+真實IC!BX24</f>
        <v>4.4036400169839744</v>
      </c>
      <c r="BY24" s="2">
        <f>BX24+真實IC!BY24</f>
        <v>4.6939768919293909</v>
      </c>
      <c r="BZ24" s="2">
        <f>BY24+真實IC!BZ24</f>
        <v>4.4913961048675652</v>
      </c>
      <c r="CA24" s="2">
        <f>BZ24+真實IC!CA24</f>
        <v>4.6001491936145538</v>
      </c>
      <c r="CB24" s="2">
        <f>CA24+真實IC!CB24</f>
        <v>4.653066500666724</v>
      </c>
      <c r="CC24" s="2">
        <f>CB24+真實IC!CC24</f>
        <v>4.4332353074654973</v>
      </c>
      <c r="CD24" s="2">
        <f>CC24+真實IC!CD24</f>
        <v>4.6722819067528727</v>
      </c>
      <c r="CE24" s="2">
        <f>CD24+真實IC!CE24</f>
        <v>4.6172771794505199</v>
      </c>
      <c r="CF24" s="2">
        <f>CE24+真實IC!CF24</f>
        <v>4.734092574083113</v>
      </c>
      <c r="CG24" s="2">
        <f>CF24+真實IC!CG24</f>
        <v>5.374677207955731</v>
      </c>
      <c r="CH24" s="2">
        <f>CG24+真實IC!CH24</f>
        <v>5.2734022801764207</v>
      </c>
      <c r="CI24" s="2">
        <f>CH24+真實IC!CI24</f>
        <v>5.394579869517754</v>
      </c>
      <c r="CJ24" s="2">
        <f>CI24+真實IC!CJ24</f>
        <v>4.9571490727502283</v>
      </c>
      <c r="CK24" s="2">
        <f>CJ24+真實IC!CK24</f>
        <v>4.9483616967532251</v>
      </c>
      <c r="CL24" s="2">
        <f>CK24+真實IC!CL24</f>
        <v>5.6045630074529651</v>
      </c>
      <c r="CM24" s="2">
        <f>CL24+真實IC!CM24</f>
        <v>5.6072824629127469</v>
      </c>
      <c r="CN24" s="2">
        <f>CM24+真實IC!CN24</f>
        <v>6.2148421368899136</v>
      </c>
      <c r="CO24" s="2">
        <f>CN24+真實IC!CO24</f>
        <v>6.3021965670561499</v>
      </c>
      <c r="CP24" s="2">
        <f>CO24+真實IC!CP24</f>
        <v>6.4314905996760734</v>
      </c>
      <c r="CQ24" s="2">
        <f>CP24+真實IC!CQ24</f>
        <v>6.562417797876301</v>
      </c>
      <c r="CR24" s="2">
        <f>CQ24+真實IC!CR24</f>
        <v>6.5845440776702819</v>
      </c>
      <c r="CS24" s="2">
        <f>CR24+真實IC!CS24</f>
        <v>6.7438924369505377</v>
      </c>
      <c r="CT24" s="2">
        <f>CS24+真實IC!CT24</f>
        <v>7.1268386315753789</v>
      </c>
      <c r="CU24" s="2">
        <f>CT24+真實IC!CU24</f>
        <v>7.1795676763890341</v>
      </c>
      <c r="CV24" s="2">
        <f>CU24+真實IC!CV24</f>
        <v>7.4415925150731406</v>
      </c>
      <c r="CW24" s="2">
        <f>CV24+真實IC!CW24</f>
        <v>7.1458694535927485</v>
      </c>
      <c r="CX24" s="2">
        <f>CW24+真實IC!CX24</f>
        <v>7.2928058726853191</v>
      </c>
      <c r="CY24" s="2">
        <f>CX24+真實IC!CY24</f>
        <v>7.6530339194540566</v>
      </c>
      <c r="CZ24" s="2">
        <f>CY24+真實IC!CZ24</f>
        <v>7.9993471336112476</v>
      </c>
      <c r="DA24" s="2">
        <f>CZ24+真實IC!DA24</f>
        <v>8.0333267187037016</v>
      </c>
      <c r="DB24" s="2">
        <f>DA24+真實IC!DB24</f>
        <v>8.0168248528547057</v>
      </c>
      <c r="DC24" s="2">
        <f>DB24+真實IC!DC24</f>
        <v>8.2112784511459243</v>
      </c>
      <c r="DD24" s="2">
        <f>DC24+真實IC!DD24</f>
        <v>8.0154337289634832</v>
      </c>
      <c r="DE24" s="2">
        <f>DD24+真實IC!DE24</f>
        <v>8.147019320259016</v>
      </c>
      <c r="DF24" s="2">
        <f>DE24+真實IC!DF24</f>
        <v>8.6726043264035138</v>
      </c>
      <c r="DG24" s="2">
        <f>DF24+真實IC!DG24</f>
        <v>8.7921496128036463</v>
      </c>
      <c r="DH24" s="2">
        <f>DG24+真實IC!DH24</f>
        <v>9.0579522887961588</v>
      </c>
      <c r="DI24" s="2">
        <f>DH24+真實IC!DI24</f>
        <v>9.1999670306015418</v>
      </c>
      <c r="DJ24" s="2">
        <f>DI24+真實IC!DJ24</f>
        <v>9.2210485017593928</v>
      </c>
      <c r="DK24" s="2">
        <f>DJ24+真實IC!DK24</f>
        <v>9.2845318613007368</v>
      </c>
      <c r="DL24" s="2">
        <f>DK24+真實IC!DL24</f>
        <v>9.3323009473126142</v>
      </c>
      <c r="DM24" s="2">
        <f>DL24+真實IC!DM24</f>
        <v>9.3581086226263412</v>
      </c>
      <c r="DN24" s="2">
        <f>DM24+真實IC!DN24</f>
        <v>9.4950690772634196</v>
      </c>
      <c r="DO24" s="2">
        <f>DN24+真實IC!DO24</f>
        <v>9.4541747878060782</v>
      </c>
      <c r="DP24" s="2">
        <f>DO24+真實IC!DP24</f>
        <v>9.7898066662261201</v>
      </c>
      <c r="DQ24" s="2">
        <f>DP24+真實IC!DQ24</f>
        <v>10.136817767999611</v>
      </c>
      <c r="DR24" s="2">
        <f>DQ24+真實IC!DR24</f>
        <v>10.090180457191281</v>
      </c>
      <c r="DS24" s="2">
        <f>DR24+真實IC!DS24</f>
        <v>10.022817911477336</v>
      </c>
      <c r="DT24" s="2">
        <f>DS24+真實IC!DT24</f>
        <v>10.028481942045119</v>
      </c>
      <c r="DU24" s="2">
        <f>DT24+真實IC!DU24</f>
        <v>10.006700546683888</v>
      </c>
      <c r="DV24" s="2">
        <f>DU24+真實IC!DV24</f>
        <v>10.661096740248844</v>
      </c>
      <c r="DW24" s="2">
        <f>DV24+真實IC!DW24</f>
        <v>10.762279236904089</v>
      </c>
      <c r="DX24" s="2">
        <f>DW24+真實IC!DX24</f>
        <v>10.656097259430467</v>
      </c>
      <c r="DY24" s="2">
        <f>DX24+真實IC!DY24</f>
        <v>10.999901546228676</v>
      </c>
      <c r="DZ24" s="2">
        <f>DY24+真實IC!DZ24</f>
        <v>11.050370728631792</v>
      </c>
      <c r="EA24" s="2">
        <f>DZ24+真實IC!EA24</f>
        <v>11.023141107290739</v>
      </c>
      <c r="EB24" s="2">
        <f>EA24+真實IC!EB24</f>
        <v>11.708342781510028</v>
      </c>
      <c r="EC24" s="2">
        <f>EB24+真實IC!EC24</f>
        <v>11.722026956404031</v>
      </c>
      <c r="ED24" s="2">
        <f>EC24+真實IC!ED24</f>
        <v>11.836776057906633</v>
      </c>
      <c r="EE24" s="2">
        <f>ED24+真實IC!EE24</f>
        <v>11.944256715141051</v>
      </c>
      <c r="EF24" s="2">
        <f>EE24+真實IC!EF24</f>
        <v>12.078343791491266</v>
      </c>
      <c r="EG24" s="2">
        <f>EF24+真實IC!EG24</f>
        <v>14.393705071859952</v>
      </c>
      <c r="EH24" s="2">
        <f>EG24+真實IC!EH24</f>
        <v>14.009474754915802</v>
      </c>
      <c r="EI24" s="2">
        <f>EH24+真實IC!EI24</f>
        <v>14.121219035937235</v>
      </c>
      <c r="EJ24" s="2">
        <f>EI24+真實IC!EJ24</f>
        <v>14.035277300055938</v>
      </c>
      <c r="EK24" s="2">
        <f>EJ24+真實IC!EK24</f>
        <v>14.175189906609299</v>
      </c>
      <c r="EL24" s="2">
        <f>EK24+真實IC!EL24</f>
        <v>14.240266936013407</v>
      </c>
    </row>
    <row r="25" spans="1:142" x14ac:dyDescent="0.3">
      <c r="A25" s="18"/>
      <c r="B25" s="18" t="s">
        <v>154</v>
      </c>
      <c r="C25" s="8">
        <v>-1.7446770539390338E-2</v>
      </c>
      <c r="D25" s="9">
        <f>C25+真實IC!D25</f>
        <v>3.2542899924252917E-3</v>
      </c>
      <c r="E25" s="9">
        <f>D25+真實IC!E25</f>
        <v>2.7236419247192001E-2</v>
      </c>
      <c r="F25" s="9">
        <f>E25+真實IC!F25</f>
        <v>2.0678840274368924E-2</v>
      </c>
      <c r="G25" s="9">
        <f>F25+真實IC!G25</f>
        <v>5.2523970074888612E-2</v>
      </c>
      <c r="H25" s="9">
        <f>G25+真實IC!H25</f>
        <v>8.6872502811879138E-2</v>
      </c>
      <c r="I25" s="9">
        <f>H25+真實IC!I25</f>
        <v>7.8617570030553904E-2</v>
      </c>
      <c r="J25" s="9">
        <f>I25+真實IC!J25</f>
        <v>9.1461094424606662E-2</v>
      </c>
      <c r="K25" s="9">
        <f>J25+真實IC!K25</f>
        <v>4.0442569797815839E-2</v>
      </c>
      <c r="L25" s="9">
        <f>K25+真實IC!L25</f>
        <v>4.1316512538852428E-2</v>
      </c>
      <c r="M25" s="9">
        <f>L25+真實IC!M25</f>
        <v>6.4706088044348353E-2</v>
      </c>
      <c r="N25" s="9">
        <f>M25+真實IC!N25</f>
        <v>7.7695060244681202E-2</v>
      </c>
      <c r="O25" s="9">
        <f>N25+真實IC!O25</f>
        <v>8.3549648970316082E-2</v>
      </c>
      <c r="P25" s="9">
        <f>O25+真實IC!P25</f>
        <v>0.11096285554210664</v>
      </c>
      <c r="Q25" s="9">
        <f>P25+真實IC!Q25</f>
        <v>0.10724991942441378</v>
      </c>
      <c r="R25" s="9">
        <f>Q25+真實IC!R25</f>
        <v>0.13132653347223711</v>
      </c>
      <c r="S25" s="9">
        <f>R25+真實IC!S25</f>
        <v>0.11913650817319715</v>
      </c>
      <c r="T25" s="9">
        <f>S25+真實IC!T25</f>
        <v>7.9386930013607554E-2</v>
      </c>
      <c r="U25" s="9">
        <f>T25+真實IC!U25</f>
        <v>6.2314801819580018E-3</v>
      </c>
      <c r="V25" s="9">
        <f>U25+真實IC!V25</f>
        <v>-5.2028749728156659E-2</v>
      </c>
      <c r="W25" s="9">
        <f>V25+真實IC!W25</f>
        <v>-5.1255952162648284E-2</v>
      </c>
      <c r="X25" s="9">
        <f>W25+真實IC!X25</f>
        <v>-6.6644310274293142E-3</v>
      </c>
      <c r="Y25" s="9">
        <f>X25+真實IC!Y25</f>
        <v>-3.4364111077642409E-2</v>
      </c>
      <c r="Z25" s="9">
        <f>Y25+真實IC!Z25</f>
        <v>-3.226910512789876E-2</v>
      </c>
      <c r="AA25" s="9">
        <f>Z25+真實IC!AA25</f>
        <v>-5.5669656120462874E-2</v>
      </c>
      <c r="AB25" s="9">
        <f>AA25+真實IC!AB25</f>
        <v>-2.3540285023140685E-2</v>
      </c>
      <c r="AC25" s="9">
        <f>AB25+真實IC!AC25</f>
        <v>1.5362988070925745E-2</v>
      </c>
      <c r="AD25" s="9">
        <f>AC25+真實IC!AD25</f>
        <v>-2.7502394100178525E-2</v>
      </c>
      <c r="AE25" s="9">
        <f>AD25+真實IC!AE25</f>
        <v>-8.8551995500263658E-3</v>
      </c>
      <c r="AF25" s="9">
        <f>AE25+真實IC!AF25</f>
        <v>6.3745687725025833E-3</v>
      </c>
      <c r="AG25" s="9">
        <f>AF25+真實IC!AG25</f>
        <v>4.2391172551395004E-2</v>
      </c>
      <c r="AH25" s="9">
        <f>AG25+真實IC!AH25</f>
        <v>5.174578393671117E-2</v>
      </c>
      <c r="AI25" s="9">
        <f>AH25+真實IC!AI25</f>
        <v>6.2494035273549312E-2</v>
      </c>
      <c r="AJ25" s="9">
        <f>AI25+真實IC!AJ25</f>
        <v>7.5851789326630281E-2</v>
      </c>
      <c r="AK25" s="9">
        <f>AJ25+真實IC!AK25</f>
        <v>7.0519041997534893E-2</v>
      </c>
      <c r="AL25" s="9">
        <f>AK25+真實IC!AL25</f>
        <v>7.1902177804796574E-2</v>
      </c>
      <c r="AM25" s="9">
        <f>AL25+真實IC!AM25</f>
        <v>9.2698106224871041E-2</v>
      </c>
      <c r="AN25" s="9">
        <f>AM25+真實IC!AN25</f>
        <v>0.12421580844526167</v>
      </c>
      <c r="AO25" s="9">
        <f>AN25+真實IC!AO25</f>
        <v>0.13045752497859112</v>
      </c>
      <c r="AP25" s="9">
        <f>AO25+真實IC!AP25</f>
        <v>0.13660278663216249</v>
      </c>
      <c r="AQ25" s="9">
        <f>AP25+真實IC!AQ25</f>
        <v>0.15354914430885899</v>
      </c>
      <c r="AR25" s="9">
        <f>AQ25+真實IC!AR25</f>
        <v>0.18823197476316722</v>
      </c>
      <c r="AS25" s="9">
        <f>AR25+真實IC!AS25</f>
        <v>0.19133056338036419</v>
      </c>
      <c r="AT25" s="9">
        <f>AS25+真實IC!AT25</f>
        <v>0.2064119105238503</v>
      </c>
      <c r="AU25" s="9">
        <f>AT25+真實IC!AU25</f>
        <v>0.18716070129398632</v>
      </c>
      <c r="AV25" s="9">
        <f>AU25+真實IC!AV25</f>
        <v>0.22587221468161775</v>
      </c>
      <c r="AW25" s="9">
        <f>AV25+真實IC!AW25</f>
        <v>0.20401526354588115</v>
      </c>
      <c r="AX25" s="9">
        <f>AW25+真實IC!AX25</f>
        <v>0.21178956425567083</v>
      </c>
      <c r="AY25" s="9">
        <f>AX25+真實IC!AY25</f>
        <v>0.25418681095099677</v>
      </c>
      <c r="AZ25" s="9">
        <f>AY25+真實IC!AZ25</f>
        <v>0.22787783608983703</v>
      </c>
      <c r="BA25" s="9">
        <f>AZ25+真實IC!BA25</f>
        <v>0.23744958539855326</v>
      </c>
      <c r="BB25" s="9">
        <f>BA25+真實IC!BB25</f>
        <v>0.21319984413227844</v>
      </c>
      <c r="BC25" s="9">
        <f>BB25+真實IC!BC25</f>
        <v>0.23336321827619427</v>
      </c>
      <c r="BD25" s="9">
        <f>BC25+真實IC!BD25</f>
        <v>0.22985821949407825</v>
      </c>
      <c r="BE25" s="9">
        <f>BD25+真實IC!BE25</f>
        <v>0.25001015459262055</v>
      </c>
      <c r="BF25" s="9">
        <f>BE25+真實IC!BF25</f>
        <v>0.25059149082339083</v>
      </c>
      <c r="BG25" s="9">
        <f>BF25+真實IC!BG25</f>
        <v>0.24537178987013822</v>
      </c>
      <c r="BH25" s="9">
        <f>BG25+真實IC!BH25</f>
        <v>0.12950002846800823</v>
      </c>
      <c r="BI25" s="9">
        <f>BH25+真實IC!BI25</f>
        <v>0.13822525416044559</v>
      </c>
      <c r="BJ25" s="9">
        <f>BI25+真實IC!BJ25</f>
        <v>0.12184799318262345</v>
      </c>
      <c r="BK25" s="9">
        <f>BJ25+真實IC!BK25</f>
        <v>0.14268836478288388</v>
      </c>
      <c r="BL25" s="9">
        <f>BK25+真實IC!BL25</f>
        <v>0.18766423688499859</v>
      </c>
      <c r="BM25" s="9">
        <f>BL25+真實IC!BM25</f>
        <v>0.21161854296686244</v>
      </c>
      <c r="BN25" s="9">
        <f>BM25+真實IC!BN25</f>
        <v>0.24185764435830504</v>
      </c>
      <c r="BO25" s="9">
        <f>BN25+真實IC!BO25</f>
        <v>0.19813175676721753</v>
      </c>
      <c r="BP25" s="9">
        <f>BO25+真實IC!BP25</f>
        <v>0.22002122633541615</v>
      </c>
      <c r="BQ25" s="9">
        <f>BP25+真實IC!BQ25</f>
        <v>0.22864865659892455</v>
      </c>
      <c r="BR25" s="9">
        <f>BQ25+真實IC!BR25</f>
        <v>0.20945570260426577</v>
      </c>
      <c r="BS25" s="9">
        <f>BR25+真實IC!BS25</f>
        <v>0.22919083249239883</v>
      </c>
      <c r="BT25" s="9">
        <f>BS25+真實IC!BT25</f>
        <v>0.27688516997609824</v>
      </c>
      <c r="BU25" s="9">
        <f>BT25+真實IC!BU25</f>
        <v>0.28833998678268163</v>
      </c>
      <c r="BV25" s="9">
        <f>BU25+真實IC!BV25</f>
        <v>0.33156860751789485</v>
      </c>
      <c r="BW25" s="9">
        <f>BV25+真實IC!BW25</f>
        <v>0.28882117708097205</v>
      </c>
      <c r="BX25" s="9">
        <f>BW25+真實IC!BX25</f>
        <v>0.27100988465317749</v>
      </c>
      <c r="BY25" s="9">
        <f>BX25+真實IC!BY25</f>
        <v>0.11985678778410189</v>
      </c>
      <c r="BZ25" s="9">
        <f>BY25+真實IC!BZ25</f>
        <v>0.24408079140367717</v>
      </c>
      <c r="CA25" s="9">
        <f>BZ25+真實IC!CA25</f>
        <v>0.23952353755914751</v>
      </c>
      <c r="CB25" s="9">
        <f>CA25+真實IC!CB25</f>
        <v>0.29973477776405871</v>
      </c>
      <c r="CC25" s="9">
        <f>CB25+真實IC!CC25</f>
        <v>0.385726811246561</v>
      </c>
      <c r="CD25" s="9">
        <f>CC25+真實IC!CD25</f>
        <v>0.37991833166419492</v>
      </c>
      <c r="CE25" s="9">
        <f>CD25+真實IC!CE25</f>
        <v>0.37387698467522684</v>
      </c>
      <c r="CF25" s="9">
        <f>CE25+真實IC!CF25</f>
        <v>0.37632930904747891</v>
      </c>
      <c r="CG25" s="9">
        <f>CF25+真實IC!CG25</f>
        <v>0.46596556098450181</v>
      </c>
      <c r="CH25" s="9">
        <f>CG25+真實IC!CH25</f>
        <v>0.53695829351125968</v>
      </c>
      <c r="CI25" s="9">
        <f>CH25+真實IC!CI25</f>
        <v>0.56412893641304307</v>
      </c>
      <c r="CJ25" s="9">
        <f>CI25+真實IC!CJ25</f>
        <v>0.61659736483837313</v>
      </c>
      <c r="CK25" s="9">
        <f>CJ25+真實IC!CK25</f>
        <v>0.64607802578142259</v>
      </c>
      <c r="CL25" s="9">
        <f>CK25+真實IC!CL25</f>
        <v>0.71290310684162383</v>
      </c>
      <c r="CM25" s="9">
        <f>CL25+真實IC!CM25</f>
        <v>0.68413087782180682</v>
      </c>
      <c r="CN25" s="9">
        <f>CM25+真實IC!CN25</f>
        <v>0.72359339372344467</v>
      </c>
      <c r="CO25" s="9">
        <f>CN25+真實IC!CO25</f>
        <v>0.69456230674608477</v>
      </c>
      <c r="CP25" s="9">
        <f>CO25+真實IC!CP25</f>
        <v>0.70854618926555268</v>
      </c>
      <c r="CQ25" s="9">
        <f>CP25+真實IC!CQ25</f>
        <v>0.67626922430621883</v>
      </c>
      <c r="CR25" s="9">
        <f>CQ25+真實IC!CR25</f>
        <v>0.6793728009191129</v>
      </c>
      <c r="CS25" s="9">
        <f>CR25+真實IC!CS25</f>
        <v>0.70496465668619601</v>
      </c>
      <c r="CT25" s="9">
        <f>CS25+真實IC!CT25</f>
        <v>0.74935654297338927</v>
      </c>
      <c r="CU25" s="9">
        <f>CT25+真實IC!CU25</f>
        <v>0.71901758442381181</v>
      </c>
      <c r="CV25" s="9">
        <f>CU25+真實IC!CV25</f>
        <v>0.7177596079692401</v>
      </c>
      <c r="CW25" s="9">
        <f>CV25+真實IC!CW25</f>
        <v>0.72009596442509805</v>
      </c>
      <c r="CX25" s="9">
        <f>CW25+真實IC!CX25</f>
        <v>0.655831819499192</v>
      </c>
      <c r="CY25" s="9">
        <f>CX25+真實IC!CY25</f>
        <v>0.66874159895818441</v>
      </c>
      <c r="CZ25" s="9">
        <f>CY25+真實IC!CZ25</f>
        <v>0.54326450428732564</v>
      </c>
      <c r="DA25" s="9">
        <f>CZ25+真實IC!DA25</f>
        <v>0.55495518722711823</v>
      </c>
      <c r="DB25" s="9">
        <f>DA25+真實IC!DB25</f>
        <v>0.56129303092785998</v>
      </c>
      <c r="DC25" s="9">
        <f>DB25+真實IC!DC25</f>
        <v>0.44398767445847448</v>
      </c>
      <c r="DD25" s="9">
        <f>DC25+真實IC!DD25</f>
        <v>0.40797680240902789</v>
      </c>
      <c r="DE25" s="9">
        <f>DD25+真實IC!DE25</f>
        <v>0.54688810648129582</v>
      </c>
      <c r="DF25" s="9">
        <f>DE25+真實IC!DF25</f>
        <v>0.49574460025519007</v>
      </c>
      <c r="DG25" s="9">
        <f>DF25+真實IC!DG25</f>
        <v>0.57247604743715907</v>
      </c>
      <c r="DH25" s="9">
        <f>DG25+真實IC!DH25</f>
        <v>0.58798482963416721</v>
      </c>
      <c r="DI25" s="9">
        <f>DH25+真實IC!DI25</f>
        <v>0.61120860330892302</v>
      </c>
      <c r="DJ25" s="9">
        <f>DI25+真實IC!DJ25</f>
        <v>0.59283572694769515</v>
      </c>
      <c r="DK25" s="9">
        <f>DJ25+真實IC!DK25</f>
        <v>0.65503474103279458</v>
      </c>
      <c r="DL25" s="9">
        <f>DK25+真實IC!DL25</f>
        <v>0.67513304551975173</v>
      </c>
      <c r="DM25" s="9">
        <f>DL25+真實IC!DM25</f>
        <v>0.68863198526781977</v>
      </c>
      <c r="DN25" s="9">
        <f>DM25+真實IC!DN25</f>
        <v>0.65837977253939894</v>
      </c>
      <c r="DO25" s="9">
        <f>DN25+真實IC!DO25</f>
        <v>0.64135693683134509</v>
      </c>
      <c r="DP25" s="9">
        <f>DO25+真實IC!DP25</f>
        <v>0.61956841355888315</v>
      </c>
      <c r="DQ25" s="9">
        <f>DP25+真實IC!DQ25</f>
        <v>0.70531403814402038</v>
      </c>
      <c r="DR25" s="9">
        <f>DQ25+真實IC!DR25</f>
        <v>0.73342078174899417</v>
      </c>
      <c r="DS25" s="9">
        <f>DR25+真實IC!DS25</f>
        <v>0.73111762194163477</v>
      </c>
      <c r="DT25" s="9">
        <f>DS25+真實IC!DT25</f>
        <v>0.78958882007312226</v>
      </c>
      <c r="DU25" s="9">
        <f>DT25+真實IC!DU25</f>
        <v>0.85724776912176992</v>
      </c>
      <c r="DV25" s="9">
        <f>DU25+真實IC!DV25</f>
        <v>0.86226853976220219</v>
      </c>
      <c r="DW25" s="9">
        <f>DV25+真實IC!DW25</f>
        <v>0.89968472343740924</v>
      </c>
      <c r="DX25" s="9">
        <f>DW25+真實IC!DX25</f>
        <v>0.98379572718345132</v>
      </c>
      <c r="DY25" s="9">
        <f>DX25+真實IC!DY25</f>
        <v>0.94696332863943844</v>
      </c>
      <c r="DZ25" s="9">
        <f>DY25+真實IC!DZ25</f>
        <v>0.95005503145637549</v>
      </c>
      <c r="EA25" s="9">
        <f>DZ25+真實IC!EA25</f>
        <v>0.94809740324208092</v>
      </c>
      <c r="EB25" s="9">
        <f>EA25+真實IC!EB25</f>
        <v>0.97455650684560069</v>
      </c>
      <c r="EC25" s="9">
        <f>EB25+真實IC!EC25</f>
        <v>0.94980396808491041</v>
      </c>
      <c r="ED25" s="9">
        <f>EC25+真實IC!ED25</f>
        <v>0.98391945906747036</v>
      </c>
      <c r="EE25" s="9">
        <f>ED25+真實IC!EE25</f>
        <v>1.0049814330565034</v>
      </c>
      <c r="EF25" s="9">
        <f>EE25+真實IC!EF25</f>
        <v>0.98470404035049752</v>
      </c>
      <c r="EG25" s="9">
        <f>EF25+真實IC!EG25</f>
        <v>0.87683593248961955</v>
      </c>
      <c r="EH25" s="9">
        <f>EG25+真實IC!EH25</f>
        <v>0.85431558037554889</v>
      </c>
      <c r="EI25" s="9">
        <f>EH25+真實IC!EI25</f>
        <v>0.90782558744632169</v>
      </c>
      <c r="EJ25" s="9">
        <f>EI25+真實IC!EJ25</f>
        <v>0.94951285328388979</v>
      </c>
      <c r="EK25" s="9">
        <f>EJ25+真實IC!EK25</f>
        <v>1.005708467398301</v>
      </c>
      <c r="EL25" s="9">
        <f>EK25+真實IC!EL25</f>
        <v>1.0346197866834097</v>
      </c>
    </row>
    <row r="26" spans="1:142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2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2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2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2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2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2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L33"/>
  <sheetViews>
    <sheetView topLeftCell="A15" workbookViewId="0">
      <selection activeCell="C33" sqref="C33"/>
    </sheetView>
  </sheetViews>
  <sheetFormatPr defaultRowHeight="14.5" x14ac:dyDescent="0.3"/>
  <cols>
    <col min="1" max="1" width="25.3984375" bestFit="1" customWidth="1"/>
    <col min="2" max="2" width="12.796875" bestFit="1" customWidth="1"/>
    <col min="3" max="21" width="22.59765625" bestFit="1" customWidth="1"/>
    <col min="22" max="22" width="21.3984375" bestFit="1" customWidth="1"/>
    <col min="23" max="43" width="22.59765625" bestFit="1" customWidth="1"/>
    <col min="44" max="44" width="21.3984375" bestFit="1" customWidth="1"/>
    <col min="45" max="142" width="22.59765625" bestFit="1" customWidth="1"/>
  </cols>
  <sheetData>
    <row r="1" spans="1:142" ht="25" customHeight="1" x14ac:dyDescent="0.55000000000000004">
      <c r="A1" s="11" t="s">
        <v>314</v>
      </c>
    </row>
    <row r="2" spans="1:142" ht="25" customHeight="1" x14ac:dyDescent="0.55000000000000004">
      <c r="A2" s="11" t="s">
        <v>318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1" t="s">
        <v>58</v>
      </c>
      <c r="BH2" s="11" t="s">
        <v>59</v>
      </c>
      <c r="BI2" s="11" t="s">
        <v>60</v>
      </c>
      <c r="BJ2" s="11" t="s">
        <v>61</v>
      </c>
      <c r="BK2" s="11" t="s">
        <v>62</v>
      </c>
      <c r="BL2" s="11" t="s">
        <v>63</v>
      </c>
      <c r="BM2" s="11" t="s">
        <v>64</v>
      </c>
      <c r="BN2" s="11" t="s">
        <v>65</v>
      </c>
      <c r="BO2" s="11" t="s">
        <v>66</v>
      </c>
      <c r="BP2" s="11" t="s">
        <v>67</v>
      </c>
      <c r="BQ2" s="11" t="s">
        <v>68</v>
      </c>
      <c r="BR2" s="11" t="s">
        <v>69</v>
      </c>
      <c r="BS2" s="11" t="s">
        <v>70</v>
      </c>
      <c r="BT2" s="11" t="s">
        <v>71</v>
      </c>
      <c r="BU2" s="11" t="s">
        <v>72</v>
      </c>
      <c r="BV2" s="11" t="s">
        <v>73</v>
      </c>
      <c r="BW2" s="11" t="s">
        <v>74</v>
      </c>
      <c r="BX2" s="11" t="s">
        <v>75</v>
      </c>
      <c r="BY2" s="11" t="s">
        <v>76</v>
      </c>
      <c r="BZ2" s="11" t="s">
        <v>77</v>
      </c>
      <c r="CA2" s="11" t="s">
        <v>78</v>
      </c>
      <c r="CB2" s="11" t="s">
        <v>79</v>
      </c>
      <c r="CC2" s="11" t="s">
        <v>80</v>
      </c>
      <c r="CD2" s="11" t="s">
        <v>81</v>
      </c>
      <c r="CE2" s="11" t="s">
        <v>82</v>
      </c>
      <c r="CF2" s="11" t="s">
        <v>83</v>
      </c>
      <c r="CG2" s="11" t="s">
        <v>84</v>
      </c>
      <c r="CH2" s="11" t="s">
        <v>85</v>
      </c>
      <c r="CI2" s="11" t="s">
        <v>86</v>
      </c>
      <c r="CJ2" s="11" t="s">
        <v>87</v>
      </c>
      <c r="CK2" s="11" t="s">
        <v>88</v>
      </c>
      <c r="CL2" s="11" t="s">
        <v>89</v>
      </c>
      <c r="CM2" s="11" t="s">
        <v>90</v>
      </c>
      <c r="CN2" s="11" t="s">
        <v>91</v>
      </c>
      <c r="CO2" s="11" t="s">
        <v>92</v>
      </c>
      <c r="CP2" s="11" t="s">
        <v>93</v>
      </c>
      <c r="CQ2" s="11" t="s">
        <v>94</v>
      </c>
      <c r="CR2" s="11" t="s">
        <v>95</v>
      </c>
      <c r="CS2" s="11" t="s">
        <v>96</v>
      </c>
      <c r="CT2" s="11" t="s">
        <v>97</v>
      </c>
      <c r="CU2" s="11" t="s">
        <v>98</v>
      </c>
      <c r="CV2" s="11" t="s">
        <v>99</v>
      </c>
      <c r="CW2" s="11" t="s">
        <v>100</v>
      </c>
      <c r="CX2" s="11" t="s">
        <v>101</v>
      </c>
      <c r="CY2" s="11" t="s">
        <v>102</v>
      </c>
      <c r="CZ2" s="11" t="s">
        <v>103</v>
      </c>
      <c r="DA2" s="11" t="s">
        <v>104</v>
      </c>
      <c r="DB2" s="11" t="s">
        <v>105</v>
      </c>
      <c r="DC2" s="11" t="s">
        <v>106</v>
      </c>
      <c r="DD2" s="11" t="s">
        <v>107</v>
      </c>
      <c r="DE2" s="11" t="s">
        <v>108</v>
      </c>
      <c r="DF2" s="11" t="s">
        <v>109</v>
      </c>
      <c r="DG2" s="11" t="s">
        <v>110</v>
      </c>
      <c r="DH2" s="11" t="s">
        <v>111</v>
      </c>
      <c r="DI2" s="11" t="s">
        <v>112</v>
      </c>
      <c r="DJ2" s="11" t="s">
        <v>113</v>
      </c>
      <c r="DK2" s="11" t="s">
        <v>114</v>
      </c>
      <c r="DL2" s="11" t="s">
        <v>115</v>
      </c>
      <c r="DM2" s="11" t="s">
        <v>116</v>
      </c>
      <c r="DN2" s="11" t="s">
        <v>117</v>
      </c>
      <c r="DO2" s="11" t="s">
        <v>118</v>
      </c>
      <c r="DP2" s="11" t="s">
        <v>119</v>
      </c>
      <c r="DQ2" s="11" t="s">
        <v>120</v>
      </c>
      <c r="DR2" s="11" t="s">
        <v>121</v>
      </c>
      <c r="DS2" s="11" t="s">
        <v>122</v>
      </c>
      <c r="DT2" s="11" t="s">
        <v>123</v>
      </c>
      <c r="DU2" s="11" t="s">
        <v>124</v>
      </c>
      <c r="DV2" s="11" t="s">
        <v>125</v>
      </c>
      <c r="DW2" s="11" t="s">
        <v>126</v>
      </c>
      <c r="DX2" s="11" t="s">
        <v>127</v>
      </c>
      <c r="DY2" s="11" t="s">
        <v>128</v>
      </c>
      <c r="DZ2" s="11" t="s">
        <v>129</v>
      </c>
      <c r="EA2" s="11" t="s">
        <v>130</v>
      </c>
      <c r="EB2" s="11" t="s">
        <v>131</v>
      </c>
      <c r="EC2" s="11" t="s">
        <v>132</v>
      </c>
      <c r="ED2" s="11" t="s">
        <v>133</v>
      </c>
      <c r="EE2" s="11" t="s">
        <v>134</v>
      </c>
      <c r="EF2" s="11" t="s">
        <v>135</v>
      </c>
      <c r="EG2" s="11" t="s">
        <v>136</v>
      </c>
      <c r="EH2" s="11" t="s">
        <v>137</v>
      </c>
      <c r="EI2" s="11" t="s">
        <v>138</v>
      </c>
      <c r="EJ2" s="11" t="s">
        <v>139</v>
      </c>
      <c r="EK2" s="11" t="s">
        <v>140</v>
      </c>
      <c r="EL2" s="11" t="s">
        <v>141</v>
      </c>
    </row>
    <row r="3" spans="1:142" ht="25" customHeight="1" x14ac:dyDescent="0.55000000000000004">
      <c r="B3" s="11" t="s">
        <v>143</v>
      </c>
      <c r="C3" s="13">
        <v>1.4921767594186151E-2</v>
      </c>
      <c r="D3" s="13">
        <v>0.19374055664815121</v>
      </c>
      <c r="E3" s="13">
        <v>3.6641284891212558E-2</v>
      </c>
      <c r="F3" s="13">
        <v>2.720037808305234E-2</v>
      </c>
      <c r="G3" s="13">
        <v>4.1572509507104963E-2</v>
      </c>
      <c r="H3" s="13">
        <v>-3.7682778213388252E-2</v>
      </c>
      <c r="I3" s="13">
        <v>-0.14193848136906101</v>
      </c>
      <c r="J3" s="13">
        <v>0.22945654465299789</v>
      </c>
      <c r="K3" s="13">
        <v>4.3442237101088077E-2</v>
      </c>
      <c r="L3" s="13">
        <v>2.0280322863003471E-2</v>
      </c>
      <c r="M3" s="13">
        <v>5.8836120966363772E-2</v>
      </c>
      <c r="N3" s="13">
        <v>-0.15172078456838869</v>
      </c>
      <c r="O3" s="13">
        <v>0.32674605046024302</v>
      </c>
      <c r="P3" s="13">
        <v>0.15440773966925631</v>
      </c>
      <c r="Q3" s="13">
        <v>-0.1077953169647555</v>
      </c>
      <c r="R3" s="13">
        <v>-7.388217884017384E-2</v>
      </c>
      <c r="S3" s="13">
        <v>5.3466577832935007E-2</v>
      </c>
      <c r="T3" s="13">
        <v>-5.5190803448215323E-2</v>
      </c>
      <c r="U3" s="13">
        <v>-0.25838402358278728</v>
      </c>
      <c r="V3" s="13">
        <v>1.8370552657987281E-2</v>
      </c>
      <c r="W3" s="13">
        <v>0.22943515813535009</v>
      </c>
      <c r="X3" s="13">
        <v>-0.17107394554599489</v>
      </c>
      <c r="Y3" s="13">
        <v>0.22961919239615811</v>
      </c>
      <c r="Z3" s="13">
        <v>1.6609176417928001E-2</v>
      </c>
      <c r="AA3" s="13">
        <v>0.42374789292198939</v>
      </c>
      <c r="AB3" s="13">
        <v>-0.21459677754992679</v>
      </c>
      <c r="AC3" s="13">
        <v>4.4537467980128032E-2</v>
      </c>
      <c r="AD3" s="13">
        <v>0.1026363998651266</v>
      </c>
      <c r="AE3" s="13">
        <v>-5.0827700488349413E-2</v>
      </c>
      <c r="AF3" s="13">
        <v>-8.9107468044314797E-2</v>
      </c>
      <c r="AG3" s="13">
        <v>0.1222387206017722</v>
      </c>
      <c r="AH3" s="13">
        <v>-0.1126045230898728</v>
      </c>
      <c r="AI3" s="13">
        <v>0.1314139277105186</v>
      </c>
      <c r="AJ3" s="13">
        <v>0.16749207334460819</v>
      </c>
      <c r="AK3" s="13">
        <v>9.0663364527517804E-2</v>
      </c>
      <c r="AL3" s="13">
        <v>0.19313853511160101</v>
      </c>
      <c r="AM3" s="13">
        <v>7.7111193891363769E-2</v>
      </c>
      <c r="AN3" s="13">
        <v>0.25612014410100881</v>
      </c>
      <c r="AO3" s="13">
        <v>4.9003917759049262E-2</v>
      </c>
      <c r="AP3" s="13">
        <v>4.0886892136553048E-2</v>
      </c>
      <c r="AQ3" s="13">
        <v>-0.1105824318508952</v>
      </c>
      <c r="AR3" s="13">
        <v>2.295475557985116E-2</v>
      </c>
      <c r="AS3" s="13">
        <v>4.8656704163688558E-2</v>
      </c>
      <c r="AT3" s="13">
        <v>-5.42298370960584E-2</v>
      </c>
      <c r="AU3" s="13">
        <v>8.6316820243342141E-2</v>
      </c>
      <c r="AV3" s="13">
        <v>3.9564967369030882E-2</v>
      </c>
      <c r="AW3" s="13">
        <v>-0.19104490996141851</v>
      </c>
      <c r="AX3" s="13">
        <v>9.7109439791782243E-2</v>
      </c>
      <c r="AY3" s="13">
        <v>-1.9067525743759941E-2</v>
      </c>
      <c r="AZ3" s="13">
        <v>-9.1169360226394602E-2</v>
      </c>
      <c r="BA3" s="13">
        <v>0.1659581375266328</v>
      </c>
      <c r="BB3" s="13">
        <v>-4.1157026410981457E-2</v>
      </c>
      <c r="BC3" s="13">
        <v>0.1302099546908265</v>
      </c>
      <c r="BD3" s="13">
        <v>0.20026039215823041</v>
      </c>
      <c r="BE3" s="13">
        <v>-0.1061765229031819</v>
      </c>
      <c r="BF3" s="13">
        <v>3.9767282640800483E-3</v>
      </c>
      <c r="BG3" s="13">
        <v>0.33032254291108359</v>
      </c>
      <c r="BH3" s="13">
        <v>0.31722692640179961</v>
      </c>
      <c r="BI3" s="13">
        <v>1.5898229338183582E-2</v>
      </c>
      <c r="BJ3" s="13">
        <v>8.511805356647012E-2</v>
      </c>
      <c r="BK3" s="13">
        <v>8.5442583147222695E-2</v>
      </c>
      <c r="BL3" s="13">
        <v>6.0053601729861517E-2</v>
      </c>
      <c r="BM3" s="13">
        <v>7.748663263579969E-2</v>
      </c>
      <c r="BN3" s="13">
        <v>6.1035782377288413E-2</v>
      </c>
      <c r="BO3" s="13">
        <v>-0.21386733455172441</v>
      </c>
      <c r="BP3" s="13">
        <v>0.18539731380876759</v>
      </c>
      <c r="BQ3" s="13">
        <v>-5.4154026151144168E-2</v>
      </c>
      <c r="BR3" s="13">
        <v>0.28168982471721238</v>
      </c>
      <c r="BS3" s="13">
        <v>-2.3481657046590498E-2</v>
      </c>
      <c r="BT3" s="13">
        <v>8.9034674698385913E-2</v>
      </c>
      <c r="BU3" s="13">
        <v>0.12734099378758071</v>
      </c>
      <c r="BV3" s="13">
        <v>1.9220333982829459E-2</v>
      </c>
      <c r="BW3" s="13">
        <v>6.6547110474733912E-2</v>
      </c>
      <c r="BX3" s="13">
        <v>-0.1096838899370035</v>
      </c>
      <c r="BY3" s="13">
        <v>0.13853337364861401</v>
      </c>
      <c r="BZ3" s="13">
        <v>-0.10485789127282739</v>
      </c>
      <c r="CA3" s="13">
        <v>-5.0171625061092177E-2</v>
      </c>
      <c r="CB3" s="13">
        <v>-7.0239615583515547E-2</v>
      </c>
      <c r="CC3" s="13">
        <v>-6.024331497796076E-3</v>
      </c>
      <c r="CD3" s="13">
        <v>0.15997201356680449</v>
      </c>
      <c r="CE3" s="13">
        <v>0.21131661843971669</v>
      </c>
      <c r="CF3" s="13">
        <v>-0.10098227382063379</v>
      </c>
      <c r="CG3" s="13">
        <v>0.1099902345124356</v>
      </c>
      <c r="CH3" s="13">
        <v>-1.439263498621912E-2</v>
      </c>
      <c r="CI3" s="13">
        <v>0.22258294087819999</v>
      </c>
      <c r="CJ3" s="13">
        <v>-0.28268220919664089</v>
      </c>
      <c r="CK3" s="13">
        <v>-1.34784744837903E-2</v>
      </c>
      <c r="CL3" s="13">
        <v>-7.7844882578090024E-2</v>
      </c>
      <c r="CM3" s="13">
        <v>0.27379286416098292</v>
      </c>
      <c r="CN3" s="13">
        <v>-0.39000662146638571</v>
      </c>
      <c r="CO3" s="13">
        <v>-0.15858238798621049</v>
      </c>
      <c r="CP3" s="13">
        <v>-2.248687095004737E-2</v>
      </c>
      <c r="CQ3" s="13">
        <v>0.15587953569252869</v>
      </c>
      <c r="CR3" s="13">
        <v>8.1444486195923538E-2</v>
      </c>
      <c r="CS3" s="13">
        <v>-7.4204536967257373E-2</v>
      </c>
      <c r="CT3" s="13">
        <v>-9.2371279974270304E-2</v>
      </c>
      <c r="CU3" s="13">
        <v>-4.3714030096486063E-2</v>
      </c>
      <c r="CV3" s="13">
        <v>2.9888248842323439E-2</v>
      </c>
      <c r="CW3" s="13">
        <v>8.9064660675071017E-2</v>
      </c>
      <c r="CX3" s="13">
        <v>-2.461703398462101E-2</v>
      </c>
      <c r="CY3" s="13">
        <v>7.0863407701809683E-2</v>
      </c>
      <c r="CZ3" s="13">
        <v>4.0860064589465173E-2</v>
      </c>
      <c r="DA3" s="13">
        <v>0.25668575080604511</v>
      </c>
      <c r="DB3" s="13">
        <v>-0.16423592993500721</v>
      </c>
      <c r="DC3" s="13">
        <v>-0.25891871236192893</v>
      </c>
      <c r="DD3" s="13">
        <v>-3.1636234772114302E-2</v>
      </c>
      <c r="DE3" s="13">
        <v>0.16039046409100291</v>
      </c>
      <c r="DF3" s="13">
        <v>-0.1125151400819166</v>
      </c>
      <c r="DG3" s="13">
        <v>-8.2270484337237354E-2</v>
      </c>
      <c r="DH3" s="13">
        <v>-0.1046573993170693</v>
      </c>
      <c r="DI3" s="13">
        <v>4.8360523947053542E-2</v>
      </c>
      <c r="DJ3" s="13">
        <v>-5.7256595305278379E-2</v>
      </c>
      <c r="DK3" s="13">
        <v>4.4306650701811667E-2</v>
      </c>
      <c r="DL3" s="13">
        <v>-1.550485019804199E-2</v>
      </c>
      <c r="DM3" s="13">
        <v>-0.1187372546540391</v>
      </c>
      <c r="DN3" s="13">
        <v>-2.2084537220642689E-2</v>
      </c>
      <c r="DO3" s="13">
        <v>-9.3328814005851163E-2</v>
      </c>
      <c r="DP3" s="13">
        <v>0.16589996047491321</v>
      </c>
      <c r="DQ3" s="13">
        <v>0.19277347134422759</v>
      </c>
      <c r="DR3" s="13">
        <v>-5.3222765204426259E-2</v>
      </c>
      <c r="DS3" s="13">
        <v>0.1285503395605834</v>
      </c>
      <c r="DT3" s="13">
        <v>-0.1271379406682159</v>
      </c>
      <c r="DU3" s="13">
        <v>-0.1216781493648102</v>
      </c>
      <c r="DV3" s="13">
        <v>-7.3321392986254744E-2</v>
      </c>
      <c r="DW3" s="13">
        <v>5.7692105433722801E-2</v>
      </c>
      <c r="DX3" s="13">
        <v>9.0231456054620185E-2</v>
      </c>
      <c r="DY3" s="13">
        <v>-0.13571093332205969</v>
      </c>
      <c r="DZ3" s="13">
        <v>0.208838761875662</v>
      </c>
      <c r="EA3" s="13">
        <v>-0.1042137320006724</v>
      </c>
      <c r="EB3" s="13">
        <v>0.1955228574869389</v>
      </c>
      <c r="EC3" s="13">
        <v>-8.3944738981710995E-2</v>
      </c>
      <c r="ED3" s="13">
        <v>-4.1132651476077212E-2</v>
      </c>
      <c r="EE3" s="13">
        <v>-0.11014068184164311</v>
      </c>
      <c r="EF3" s="13">
        <v>-3.7066133134747589E-2</v>
      </c>
      <c r="EG3" s="13">
        <v>8.0655584908580213E-2</v>
      </c>
      <c r="EH3" s="13">
        <v>0.17418837326470191</v>
      </c>
      <c r="EI3" s="13">
        <v>0.1018806103780743</v>
      </c>
      <c r="EJ3" s="13">
        <v>-7.9899408218633464E-2</v>
      </c>
      <c r="EK3" s="13">
        <v>-0.14702487284735691</v>
      </c>
      <c r="EL3" s="13">
        <v>-0.16515913559204909</v>
      </c>
    </row>
    <row r="4" spans="1:142" ht="25" customHeight="1" x14ac:dyDescent="0.55000000000000004">
      <c r="B4" s="11" t="s">
        <v>144</v>
      </c>
      <c r="C4" s="13">
        <v>-0.14934537097006381</v>
      </c>
      <c r="D4" s="13">
        <v>-0.24734382193855889</v>
      </c>
      <c r="E4" s="13">
        <v>-0.25906123854298002</v>
      </c>
      <c r="F4" s="13">
        <v>-5.5566834479314764E-3</v>
      </c>
      <c r="G4" s="13">
        <v>6.5085215638914562E-2</v>
      </c>
      <c r="H4" s="13">
        <v>-2.9077597804489489E-2</v>
      </c>
      <c r="I4" s="13">
        <v>1.7791287057486119E-2</v>
      </c>
      <c r="J4" s="13">
        <v>4.2466157631261943E-2</v>
      </c>
      <c r="K4" s="13">
        <v>-2.1006648417474238E-2</v>
      </c>
      <c r="L4" s="13">
        <v>-4.4200314609364362E-2</v>
      </c>
      <c r="M4" s="13">
        <v>-5.7877978335193703E-2</v>
      </c>
      <c r="N4" s="13">
        <v>6.4362720925714711E-4</v>
      </c>
      <c r="O4" s="13">
        <v>-0.1888809883423157</v>
      </c>
      <c r="P4" s="13">
        <v>-1.7141672241164582E-2</v>
      </c>
      <c r="Q4" s="13">
        <v>4.9706724765044903E-2</v>
      </c>
      <c r="R4" s="13">
        <v>-9.9157665911262072E-2</v>
      </c>
      <c r="S4" s="13">
        <v>-3.0410739659584959E-2</v>
      </c>
      <c r="T4" s="13">
        <v>0.114883194276155</v>
      </c>
      <c r="U4" s="13">
        <v>1.3221613108109761E-2</v>
      </c>
      <c r="V4" s="13">
        <v>4.8956470682201207E-2</v>
      </c>
      <c r="W4" s="13">
        <v>5.8935588805711703E-2</v>
      </c>
      <c r="X4" s="13">
        <v>-0.16467436985926651</v>
      </c>
      <c r="Y4" s="13">
        <v>-0.18813682472110749</v>
      </c>
      <c r="Z4" s="13">
        <v>6.9656910085143409E-2</v>
      </c>
      <c r="AA4" s="13">
        <v>-1.536607134313428E-2</v>
      </c>
      <c r="AB4" s="13">
        <v>-6.3219850439137915E-2</v>
      </c>
      <c r="AC4" s="13">
        <v>-7.8982007867882231E-2</v>
      </c>
      <c r="AD4" s="13">
        <v>-3.0272546555867311E-2</v>
      </c>
      <c r="AE4" s="13">
        <v>2.4342450678682681E-2</v>
      </c>
      <c r="AF4" s="13">
        <v>0.1338387609531928</v>
      </c>
      <c r="AG4" s="13">
        <v>-6.1601099916954283E-2</v>
      </c>
      <c r="AH4" s="13">
        <v>-9.2544715844580239E-2</v>
      </c>
      <c r="AI4" s="13">
        <v>-2.606557636825713E-2</v>
      </c>
      <c r="AJ4" s="13">
        <v>1.835980120122116E-2</v>
      </c>
      <c r="AK4" s="13">
        <v>4.9856794173347652E-2</v>
      </c>
      <c r="AL4" s="13">
        <v>-6.0623931441821099E-3</v>
      </c>
      <c r="AM4" s="13">
        <v>-0.1593670046856257</v>
      </c>
      <c r="AN4" s="13">
        <v>-3.9146401437225357E-2</v>
      </c>
      <c r="AO4" s="13">
        <v>-4.5070029117612258E-2</v>
      </c>
      <c r="AP4" s="13">
        <v>7.5288047421649296E-2</v>
      </c>
      <c r="AQ4" s="13">
        <v>-9.8196075774527714E-2</v>
      </c>
      <c r="AR4" s="13">
        <v>8.6383001174560547E-2</v>
      </c>
      <c r="AS4" s="13">
        <v>6.8813106450374306E-2</v>
      </c>
      <c r="AT4" s="13">
        <v>4.6704563833854351E-2</v>
      </c>
      <c r="AU4" s="13">
        <v>-4.2570548354721183E-2</v>
      </c>
      <c r="AV4" s="13">
        <v>-0.22195205322781139</v>
      </c>
      <c r="AW4" s="13">
        <v>8.2172494215541292E-2</v>
      </c>
      <c r="AX4" s="13">
        <v>1.6883596650064451E-2</v>
      </c>
      <c r="AY4" s="13">
        <v>0.12907394968742911</v>
      </c>
      <c r="AZ4" s="13">
        <v>1.508250262297395E-3</v>
      </c>
      <c r="BA4" s="13">
        <v>-0.1115044795953537</v>
      </c>
      <c r="BB4" s="13">
        <v>-0.21525994170681531</v>
      </c>
      <c r="BC4" s="13">
        <v>-5.7482345433534483E-2</v>
      </c>
      <c r="BD4" s="13">
        <v>1.083671471935332E-3</v>
      </c>
      <c r="BE4" s="13">
        <v>1.8778916647853802E-2</v>
      </c>
      <c r="BF4" s="13">
        <v>0.11348943166465381</v>
      </c>
      <c r="BG4" s="13">
        <v>-7.8526304322265261E-2</v>
      </c>
      <c r="BH4" s="13">
        <v>-3.2954977512261507E-2</v>
      </c>
      <c r="BI4" s="13">
        <v>-9.9003271360800227E-2</v>
      </c>
      <c r="BJ4" s="13">
        <v>-0.14670768531275341</v>
      </c>
      <c r="BK4" s="13">
        <v>-4.9944347042302439E-2</v>
      </c>
      <c r="BL4" s="13">
        <v>-2.2928882525524941E-2</v>
      </c>
      <c r="BM4" s="13">
        <v>-4.5938779058463552E-2</v>
      </c>
      <c r="BN4" s="13">
        <v>-7.3256914922144034E-3</v>
      </c>
      <c r="BO4" s="13">
        <v>8.7168037873448512E-2</v>
      </c>
      <c r="BP4" s="13">
        <v>1.6127596174072781E-2</v>
      </c>
      <c r="BQ4" s="13">
        <v>-6.7799319304640449E-2</v>
      </c>
      <c r="BR4" s="13">
        <v>-9.3122366228293174E-3</v>
      </c>
      <c r="BS4" s="13">
        <v>-6.5299244722263339E-2</v>
      </c>
      <c r="BT4" s="13">
        <v>-4.2502825413810903E-2</v>
      </c>
      <c r="BU4" s="13">
        <v>9.3104858610283614E-2</v>
      </c>
      <c r="BV4" s="13">
        <v>9.3350611010009743E-2</v>
      </c>
      <c r="BW4" s="13">
        <v>-1.348973955166066E-2</v>
      </c>
      <c r="BX4" s="13">
        <v>-7.2291287752442202E-2</v>
      </c>
      <c r="BY4" s="13">
        <v>-0.1549745966812619</v>
      </c>
      <c r="BZ4" s="13">
        <v>0.17456977446855679</v>
      </c>
      <c r="CA4" s="13">
        <v>3.7233528920198822E-2</v>
      </c>
      <c r="CB4" s="13">
        <v>5.5557309971007378E-2</v>
      </c>
      <c r="CC4" s="13">
        <v>-0.17750462011175289</v>
      </c>
      <c r="CD4" s="13">
        <v>-0.1189267299677006</v>
      </c>
      <c r="CE4" s="13">
        <v>-1.354023404963556E-2</v>
      </c>
      <c r="CF4" s="13">
        <v>-0.12741231664868199</v>
      </c>
      <c r="CG4" s="13">
        <v>7.3406859508121869E-2</v>
      </c>
      <c r="CH4" s="13">
        <v>7.2685158287379537E-2</v>
      </c>
      <c r="CI4" s="13">
        <v>-5.4480084800218258E-2</v>
      </c>
      <c r="CJ4" s="13">
        <v>3.8731428402540402E-2</v>
      </c>
      <c r="CK4" s="13">
        <v>1.4180109180314201E-2</v>
      </c>
      <c r="CL4" s="13">
        <v>-0.1089911061285367</v>
      </c>
      <c r="CM4" s="13">
        <v>-0.1233186062772607</v>
      </c>
      <c r="CN4" s="13">
        <v>0.25398200550881528</v>
      </c>
      <c r="CO4" s="13">
        <v>1.6527103051004129E-2</v>
      </c>
      <c r="CP4" s="13">
        <v>1.5216844239471781E-3</v>
      </c>
      <c r="CQ4" s="13">
        <v>-6.7959331453504745E-2</v>
      </c>
      <c r="CR4" s="13">
        <v>-0.2349573288111291</v>
      </c>
      <c r="CS4" s="13">
        <v>-0.20790819007173231</v>
      </c>
      <c r="CT4" s="13">
        <v>-1.428661144924348E-4</v>
      </c>
      <c r="CU4" s="13">
        <v>2.2028281849749479E-2</v>
      </c>
      <c r="CV4" s="13">
        <v>6.8023844934248956E-2</v>
      </c>
      <c r="CW4" s="13">
        <v>-8.8837317713291952E-2</v>
      </c>
      <c r="CX4" s="13">
        <v>5.261585949558345E-2</v>
      </c>
      <c r="CY4" s="13">
        <v>-0.14906969604344769</v>
      </c>
      <c r="CZ4" s="13">
        <v>-0.11103945205987389</v>
      </c>
      <c r="DA4" s="13">
        <v>-0.14434138369070479</v>
      </c>
      <c r="DB4" s="13">
        <v>2.7151747986042811E-3</v>
      </c>
      <c r="DC4" s="13">
        <v>-9.785482280361002E-2</v>
      </c>
      <c r="DD4" s="13">
        <v>0.10722226194647889</v>
      </c>
      <c r="DE4" s="13">
        <v>4.7121438754965439E-2</v>
      </c>
      <c r="DF4" s="13">
        <v>-1.9291062828386881E-2</v>
      </c>
      <c r="DG4" s="13">
        <v>1.7896408714275221E-3</v>
      </c>
      <c r="DH4" s="13">
        <v>0.17350442691012449</v>
      </c>
      <c r="DI4" s="13">
        <v>-3.4040341553568609E-2</v>
      </c>
      <c r="DJ4" s="13">
        <v>-9.993613472354923E-2</v>
      </c>
      <c r="DK4" s="13">
        <v>-0.1324523127849897</v>
      </c>
      <c r="DL4" s="13">
        <v>9.327990828282573E-2</v>
      </c>
      <c r="DM4" s="13">
        <v>0.1781012365160777</v>
      </c>
      <c r="DN4" s="13">
        <v>0.1328839469177652</v>
      </c>
      <c r="DO4" s="13">
        <v>-0.12491951193503149</v>
      </c>
      <c r="DP4" s="13">
        <v>-9.4650070989063195E-2</v>
      </c>
      <c r="DQ4" s="13">
        <v>-0.14995782586822409</v>
      </c>
      <c r="DR4" s="13">
        <v>4.4038724417266202E-2</v>
      </c>
      <c r="DS4" s="13">
        <v>4.5916039994949642E-2</v>
      </c>
      <c r="DT4" s="13">
        <v>-0.1600946018805747</v>
      </c>
      <c r="DU4" s="13">
        <v>1.4044107423149651E-2</v>
      </c>
      <c r="DV4" s="13">
        <v>3.474390636907998E-2</v>
      </c>
      <c r="DW4" s="13">
        <v>1.257520949773294E-2</v>
      </c>
      <c r="DX4" s="13">
        <v>-0.1453929875597364</v>
      </c>
      <c r="DY4" s="13">
        <v>6.2173227234248778E-2</v>
      </c>
      <c r="DZ4" s="13">
        <v>-5.2117914994026293E-2</v>
      </c>
      <c r="EA4" s="13">
        <v>-0.25996993215089498</v>
      </c>
      <c r="EB4" s="13">
        <v>-0.1120594852816517</v>
      </c>
      <c r="EC4" s="13">
        <v>-7.1121647901357221E-2</v>
      </c>
      <c r="ED4" s="13">
        <v>3.3989099845969761E-2</v>
      </c>
      <c r="EE4" s="13">
        <v>0.2120879988342281</v>
      </c>
      <c r="EF4" s="13">
        <v>0.17540569835811759</v>
      </c>
      <c r="EG4" s="13">
        <v>-0.1265662473774363</v>
      </c>
      <c r="EH4" s="13">
        <v>-0.14481844562859611</v>
      </c>
      <c r="EI4" s="13">
        <v>-0.15568399081828771</v>
      </c>
      <c r="EJ4" s="13">
        <v>0.20106066923392871</v>
      </c>
      <c r="EK4" s="13">
        <v>0.24000764460967791</v>
      </c>
      <c r="EL4" s="13">
        <v>0.19398234319787019</v>
      </c>
    </row>
    <row r="5" spans="1:142" ht="25" customHeight="1" x14ac:dyDescent="0.55000000000000004">
      <c r="B5" s="14" t="s">
        <v>145</v>
      </c>
      <c r="C5" s="13">
        <v>-0.35602255303624453</v>
      </c>
      <c r="D5" s="13">
        <v>-4.0090857958738978E-2</v>
      </c>
      <c r="E5" s="13">
        <v>0.52768591000883824</v>
      </c>
      <c r="F5" s="13">
        <v>9.1621703543451838E-2</v>
      </c>
      <c r="G5" s="13">
        <v>-0.33444541912551767</v>
      </c>
      <c r="H5" s="13">
        <v>0.35557807934338981</v>
      </c>
      <c r="I5" s="13">
        <v>0.1153369311545601</v>
      </c>
      <c r="J5" s="13">
        <v>-9.1390222966754614E-2</v>
      </c>
      <c r="K5" s="13">
        <v>0.37641590593379309</v>
      </c>
      <c r="L5" s="13">
        <v>-0.39095115876105019</v>
      </c>
      <c r="M5" s="13">
        <v>0.16570120474983141</v>
      </c>
      <c r="N5" s="13">
        <v>-0.26143467111761082</v>
      </c>
      <c r="O5" s="13">
        <v>-6.1069485866542261E-2</v>
      </c>
      <c r="P5" s="13">
        <v>0.26091415721504319</v>
      </c>
      <c r="Q5" s="13">
        <v>4.0937433053001369E-2</v>
      </c>
      <c r="R5" s="13">
        <v>-0.13738348482797161</v>
      </c>
      <c r="S5" s="13">
        <v>0.32196519062115619</v>
      </c>
      <c r="T5" s="13">
        <v>0.1577185559806982</v>
      </c>
      <c r="U5" s="13">
        <v>-3.1493048898479467E-2</v>
      </c>
      <c r="V5" s="13">
        <v>0.20272926171313391</v>
      </c>
      <c r="W5" s="13">
        <v>-0.37900040700733478</v>
      </c>
      <c r="X5" s="13">
        <v>-0.1240504049428721</v>
      </c>
      <c r="Y5" s="13">
        <v>-0.6091363947557743</v>
      </c>
      <c r="Z5" s="13">
        <v>-8.7419029003689655E-2</v>
      </c>
      <c r="AA5" s="13">
        <v>2.4492818663441569E-2</v>
      </c>
      <c r="AB5" s="13">
        <v>7.8777301474168532E-2</v>
      </c>
      <c r="AC5" s="13">
        <v>-0.1144491391906407</v>
      </c>
      <c r="AD5" s="13">
        <v>0.24384130060927259</v>
      </c>
      <c r="AE5" s="13">
        <v>8.2451056568350709E-2</v>
      </c>
      <c r="AF5" s="13">
        <v>0.18824065512069871</v>
      </c>
      <c r="AG5" s="13">
        <v>9.4710949320840843E-2</v>
      </c>
      <c r="AH5" s="13">
        <v>-0.3051658563382863</v>
      </c>
      <c r="AI5" s="13">
        <v>0.15762471600367869</v>
      </c>
      <c r="AJ5" s="13">
        <v>-0.68021373773600025</v>
      </c>
      <c r="AK5" s="13">
        <v>2.3239308843977121E-2</v>
      </c>
      <c r="AL5" s="13">
        <v>-8.7587780261718207E-2</v>
      </c>
      <c r="AM5" s="13">
        <v>0.1083584048978386</v>
      </c>
      <c r="AN5" s="13">
        <v>0.1116944474577185</v>
      </c>
      <c r="AO5" s="13">
        <v>0.25326788161785452</v>
      </c>
      <c r="AP5" s="13">
        <v>0.20792985272972619</v>
      </c>
      <c r="AQ5" s="13">
        <v>0.26625784896468052</v>
      </c>
      <c r="AR5" s="13">
        <v>9.3532219454879356E-2</v>
      </c>
      <c r="AS5" s="13">
        <v>-0.1422532223975255</v>
      </c>
      <c r="AT5" s="13">
        <v>0.16459019868234889</v>
      </c>
      <c r="AU5" s="13">
        <v>-0.29628044254228481</v>
      </c>
      <c r="AV5" s="13">
        <v>-7.967283675179572E-2</v>
      </c>
      <c r="AW5" s="13">
        <v>-2.106163766695986E-2</v>
      </c>
      <c r="AX5" s="13">
        <v>-0.16039194510643379</v>
      </c>
      <c r="AY5" s="13">
        <v>2.907561231396269E-2</v>
      </c>
      <c r="AZ5" s="13">
        <v>0.23443646192314299</v>
      </c>
      <c r="BA5" s="13">
        <v>-1.954356893773998E-2</v>
      </c>
      <c r="BB5" s="13">
        <v>5.5326597607753797E-2</v>
      </c>
      <c r="BC5" s="13">
        <v>-5.9611055683955687E-2</v>
      </c>
      <c r="BD5" s="13">
        <v>-9.5611407368703827E-2</v>
      </c>
      <c r="BE5" s="13">
        <v>0.17767650991380921</v>
      </c>
      <c r="BF5" s="13">
        <v>-0.30632321099993309</v>
      </c>
      <c r="BG5" s="13">
        <v>-0.27950975427210151</v>
      </c>
      <c r="BH5" s="13">
        <v>-6.5627292150386804E-2</v>
      </c>
      <c r="BI5" s="13">
        <v>6.7576225048905147E-2</v>
      </c>
      <c r="BJ5" s="13">
        <v>-0.377766382042375</v>
      </c>
      <c r="BK5" s="13">
        <v>0.1710576050513124</v>
      </c>
      <c r="BL5" s="13">
        <v>-0.15901657189760751</v>
      </c>
      <c r="BM5" s="13">
        <v>0.29566311964252062</v>
      </c>
      <c r="BN5" s="13">
        <v>-9.1185424305069637E-3</v>
      </c>
      <c r="BO5" s="13">
        <v>-0.18708382872534479</v>
      </c>
      <c r="BP5" s="13">
        <v>-4.4541684300456783E-2</v>
      </c>
      <c r="BQ5" s="13">
        <v>-0.2644041519976843</v>
      </c>
      <c r="BR5" s="13">
        <v>-0.17935638398747261</v>
      </c>
      <c r="BS5" s="13">
        <v>9.3255604107027268E-2</v>
      </c>
      <c r="BT5" s="13">
        <v>0.25391019577751839</v>
      </c>
      <c r="BU5" s="13">
        <v>-0.2208865037169013</v>
      </c>
      <c r="BV5" s="13">
        <v>0.1113375442569535</v>
      </c>
      <c r="BW5" s="13">
        <v>-2.6110149941585441E-2</v>
      </c>
      <c r="BX5" s="13">
        <v>7.8321917624137663E-2</v>
      </c>
      <c r="BY5" s="13">
        <v>3.6568448160119997E-2</v>
      </c>
      <c r="BZ5" s="13">
        <v>-0.1016560299453321</v>
      </c>
      <c r="CA5" s="13">
        <v>3.7823772175184511E-2</v>
      </c>
      <c r="CB5" s="13">
        <v>-1.2533175044593611E-2</v>
      </c>
      <c r="CC5" s="13">
        <v>-0.28837910471559852</v>
      </c>
      <c r="CD5" s="13">
        <v>0.34067466598778878</v>
      </c>
      <c r="CE5" s="13">
        <v>-6.0100560923931345E-4</v>
      </c>
      <c r="CF5" s="13">
        <v>-0.1296863733007578</v>
      </c>
      <c r="CG5" s="13">
        <v>0.15976746637967629</v>
      </c>
      <c r="CH5" s="13">
        <v>-0.23825235796998209</v>
      </c>
      <c r="CI5" s="13">
        <v>-2.8759770853779679E-2</v>
      </c>
      <c r="CJ5" s="13">
        <v>-0.19238587368076349</v>
      </c>
      <c r="CK5" s="13">
        <v>9.3012092996989273E-2</v>
      </c>
      <c r="CL5" s="13">
        <v>1.8732272151867381E-2</v>
      </c>
      <c r="CM5" s="13">
        <v>-1.440590191637958E-2</v>
      </c>
      <c r="CN5" s="13">
        <v>-0.24513143201832141</v>
      </c>
      <c r="CO5" s="13">
        <v>0.62382678445663653</v>
      </c>
      <c r="CP5" s="13">
        <v>9.8069367239007818E-2</v>
      </c>
      <c r="CQ5" s="13">
        <v>-0.34398023521672633</v>
      </c>
      <c r="CR5" s="13">
        <v>0.23965589513689431</v>
      </c>
      <c r="CS5" s="13">
        <v>-0.1630146077158017</v>
      </c>
      <c r="CT5" s="13">
        <v>0.20917057102557721</v>
      </c>
      <c r="CU5" s="13">
        <v>-0.13994756491628749</v>
      </c>
      <c r="CV5" s="13">
        <v>-0.14628801332363431</v>
      </c>
      <c r="CW5" s="13">
        <v>0.31017320529162662</v>
      </c>
      <c r="CX5" s="13">
        <v>0.25353915592821968</v>
      </c>
      <c r="CY5" s="13">
        <v>-0.79527742145542657</v>
      </c>
      <c r="CZ5" s="13">
        <v>0.80355177224477214</v>
      </c>
      <c r="DA5" s="13">
        <v>-7.1187531558581735E-2</v>
      </c>
      <c r="DB5" s="13">
        <v>0.14203914410752261</v>
      </c>
      <c r="DC5" s="13">
        <v>0.17684959747890239</v>
      </c>
      <c r="DD5" s="13">
        <v>-0.2347694823541964</v>
      </c>
      <c r="DE5" s="13">
        <v>-7.8915349004452157E-2</v>
      </c>
      <c r="DF5" s="13">
        <v>-0.10893182959170521</v>
      </c>
      <c r="DG5" s="13">
        <v>-0.50647317879216458</v>
      </c>
      <c r="DH5" s="13">
        <v>0.17758880086016901</v>
      </c>
      <c r="DI5" s="13">
        <v>0.24345215756039101</v>
      </c>
      <c r="DJ5" s="13">
        <v>-0.63199691128278157</v>
      </c>
      <c r="DK5" s="13">
        <v>0.76553812905546981</v>
      </c>
      <c r="DL5" s="13">
        <v>0.1134987555126632</v>
      </c>
      <c r="DM5" s="13">
        <v>-0.45407241147436012</v>
      </c>
      <c r="DN5" s="13">
        <v>0.5381646260587134</v>
      </c>
      <c r="DO5" s="13">
        <v>-0.26009015152361792</v>
      </c>
      <c r="DP5" s="13">
        <v>-6.8906334924896576E-2</v>
      </c>
      <c r="DQ5" s="13">
        <v>-0.20285821236619811</v>
      </c>
      <c r="DR5" s="13">
        <v>2.45178389892888E-2</v>
      </c>
      <c r="DS5" s="13">
        <v>-0.16671516537849729</v>
      </c>
      <c r="DT5" s="13">
        <v>0.33878844679546338</v>
      </c>
      <c r="DU5" s="13">
        <v>-0.59979946723464084</v>
      </c>
      <c r="DV5" s="13">
        <v>0.83514380187623793</v>
      </c>
      <c r="DW5" s="13">
        <v>-9.255748547327998E-2</v>
      </c>
      <c r="DX5" s="13">
        <v>-0.13301905739887071</v>
      </c>
      <c r="DY5" s="13">
        <v>0.4235750632459292</v>
      </c>
      <c r="DZ5" s="13">
        <v>0.30902986430062002</v>
      </c>
      <c r="EA5" s="13">
        <v>0.18643694757575269</v>
      </c>
      <c r="EB5" s="13">
        <v>-0.89458161361561928</v>
      </c>
      <c r="EC5" s="13">
        <v>4.6089797399945322E-2</v>
      </c>
      <c r="ED5" s="13">
        <v>-0.19737598163049891</v>
      </c>
      <c r="EE5" s="13">
        <v>0.32955546848400757</v>
      </c>
      <c r="EF5" s="13">
        <v>-0.1298161213028215</v>
      </c>
      <c r="EG5" s="13">
        <v>0.41590935608064328</v>
      </c>
      <c r="EH5" s="13">
        <v>-0.1780246200952896</v>
      </c>
      <c r="EI5" s="13">
        <v>-0.30056728540568339</v>
      </c>
      <c r="EJ5" s="13">
        <v>0.3783868000433685</v>
      </c>
      <c r="EK5" s="13">
        <v>-0.30609793068418661</v>
      </c>
      <c r="EL5" s="13">
        <v>0.1794159444225098</v>
      </c>
    </row>
    <row r="7" spans="1:142" ht="25" customHeight="1" x14ac:dyDescent="0.55000000000000004">
      <c r="A7" s="11" t="s">
        <v>0</v>
      </c>
    </row>
    <row r="8" spans="1:142" ht="25" customHeight="1" x14ac:dyDescent="0.55000000000000004">
      <c r="A8" s="11" t="s">
        <v>319</v>
      </c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  <c r="I8" s="11" t="s">
        <v>8</v>
      </c>
      <c r="J8" s="11" t="s">
        <v>9</v>
      </c>
      <c r="K8" s="11" t="s">
        <v>10</v>
      </c>
      <c r="L8" s="11" t="s">
        <v>11</v>
      </c>
      <c r="M8" s="11" t="s">
        <v>12</v>
      </c>
      <c r="N8" s="11" t="s">
        <v>13</v>
      </c>
      <c r="O8" s="11" t="s">
        <v>14</v>
      </c>
      <c r="P8" s="11" t="s">
        <v>15</v>
      </c>
      <c r="Q8" s="11" t="s">
        <v>16</v>
      </c>
      <c r="R8" s="11" t="s">
        <v>17</v>
      </c>
      <c r="S8" s="11" t="s">
        <v>18</v>
      </c>
      <c r="T8" s="11" t="s">
        <v>19</v>
      </c>
      <c r="U8" s="11" t="s">
        <v>20</v>
      </c>
      <c r="V8" s="11" t="s">
        <v>21</v>
      </c>
      <c r="W8" s="11" t="s">
        <v>22</v>
      </c>
      <c r="X8" s="11" t="s">
        <v>23</v>
      </c>
      <c r="Y8" s="11" t="s">
        <v>24</v>
      </c>
      <c r="Z8" s="11" t="s">
        <v>25</v>
      </c>
      <c r="AA8" s="11" t="s">
        <v>26</v>
      </c>
      <c r="AB8" s="11" t="s">
        <v>27</v>
      </c>
      <c r="AC8" s="11" t="s">
        <v>28</v>
      </c>
      <c r="AD8" s="11" t="s">
        <v>29</v>
      </c>
      <c r="AE8" s="11" t="s">
        <v>30</v>
      </c>
      <c r="AF8" s="11" t="s">
        <v>31</v>
      </c>
      <c r="AG8" s="11" t="s">
        <v>32</v>
      </c>
      <c r="AH8" s="11" t="s">
        <v>33</v>
      </c>
      <c r="AI8" s="11" t="s">
        <v>34</v>
      </c>
      <c r="AJ8" s="11" t="s">
        <v>35</v>
      </c>
      <c r="AK8" s="11" t="s">
        <v>36</v>
      </c>
      <c r="AL8" s="11" t="s">
        <v>37</v>
      </c>
      <c r="AM8" s="11" t="s">
        <v>38</v>
      </c>
      <c r="AN8" s="11" t="s">
        <v>39</v>
      </c>
      <c r="AO8" s="11" t="s">
        <v>40</v>
      </c>
      <c r="AP8" s="11" t="s">
        <v>41</v>
      </c>
      <c r="AQ8" s="11" t="s">
        <v>42</v>
      </c>
      <c r="AR8" s="11" t="s">
        <v>43</v>
      </c>
      <c r="AS8" s="11" t="s">
        <v>44</v>
      </c>
      <c r="AT8" s="11" t="s">
        <v>45</v>
      </c>
      <c r="AU8" s="11" t="s">
        <v>46</v>
      </c>
      <c r="AV8" s="11" t="s">
        <v>47</v>
      </c>
      <c r="AW8" s="11" t="s">
        <v>48</v>
      </c>
      <c r="AX8" s="11" t="s">
        <v>49</v>
      </c>
      <c r="AY8" s="11" t="s">
        <v>50</v>
      </c>
      <c r="AZ8" s="11" t="s">
        <v>51</v>
      </c>
      <c r="BA8" s="11" t="s">
        <v>52</v>
      </c>
      <c r="BB8" s="11" t="s">
        <v>53</v>
      </c>
      <c r="BC8" s="11" t="s">
        <v>54</v>
      </c>
      <c r="BD8" s="11" t="s">
        <v>55</v>
      </c>
      <c r="BE8" s="11" t="s">
        <v>56</v>
      </c>
      <c r="BF8" s="11" t="s">
        <v>57</v>
      </c>
      <c r="BG8" s="11" t="s">
        <v>58</v>
      </c>
      <c r="BH8" s="11" t="s">
        <v>59</v>
      </c>
      <c r="BI8" s="11" t="s">
        <v>60</v>
      </c>
      <c r="BJ8" s="11" t="s">
        <v>61</v>
      </c>
      <c r="BK8" s="11" t="s">
        <v>62</v>
      </c>
      <c r="BL8" s="11" t="s">
        <v>63</v>
      </c>
      <c r="BM8" s="11" t="s">
        <v>64</v>
      </c>
      <c r="BN8" s="11" t="s">
        <v>65</v>
      </c>
      <c r="BO8" s="11" t="s">
        <v>66</v>
      </c>
      <c r="BP8" s="11" t="s">
        <v>67</v>
      </c>
      <c r="BQ8" s="11" t="s">
        <v>68</v>
      </c>
      <c r="BR8" s="11" t="s">
        <v>69</v>
      </c>
      <c r="BS8" s="11" t="s">
        <v>70</v>
      </c>
      <c r="BT8" s="11" t="s">
        <v>71</v>
      </c>
      <c r="BU8" s="11" t="s">
        <v>72</v>
      </c>
      <c r="BV8" s="11" t="s">
        <v>73</v>
      </c>
      <c r="BW8" s="11" t="s">
        <v>74</v>
      </c>
      <c r="BX8" s="11" t="s">
        <v>75</v>
      </c>
      <c r="BY8" s="11" t="s">
        <v>76</v>
      </c>
      <c r="BZ8" s="11" t="s">
        <v>77</v>
      </c>
      <c r="CA8" s="11" t="s">
        <v>78</v>
      </c>
      <c r="CB8" s="11" t="s">
        <v>79</v>
      </c>
      <c r="CC8" s="11" t="s">
        <v>80</v>
      </c>
      <c r="CD8" s="11" t="s">
        <v>81</v>
      </c>
      <c r="CE8" s="11" t="s">
        <v>82</v>
      </c>
      <c r="CF8" s="11" t="s">
        <v>83</v>
      </c>
      <c r="CG8" s="11" t="s">
        <v>84</v>
      </c>
      <c r="CH8" s="11" t="s">
        <v>85</v>
      </c>
      <c r="CI8" s="11" t="s">
        <v>86</v>
      </c>
      <c r="CJ8" s="11" t="s">
        <v>87</v>
      </c>
      <c r="CK8" s="11" t="s">
        <v>88</v>
      </c>
      <c r="CL8" s="11" t="s">
        <v>89</v>
      </c>
      <c r="CM8" s="11" t="s">
        <v>90</v>
      </c>
      <c r="CN8" s="11" t="s">
        <v>91</v>
      </c>
      <c r="CO8" s="11" t="s">
        <v>92</v>
      </c>
      <c r="CP8" s="11" t="s">
        <v>93</v>
      </c>
      <c r="CQ8" s="11" t="s">
        <v>94</v>
      </c>
      <c r="CR8" s="11" t="s">
        <v>95</v>
      </c>
      <c r="CS8" s="11" t="s">
        <v>96</v>
      </c>
      <c r="CT8" s="11" t="s">
        <v>97</v>
      </c>
      <c r="CU8" s="11" t="s">
        <v>98</v>
      </c>
      <c r="CV8" s="11" t="s">
        <v>99</v>
      </c>
      <c r="CW8" s="11" t="s">
        <v>100</v>
      </c>
      <c r="CX8" s="11" t="s">
        <v>101</v>
      </c>
      <c r="CY8" s="11" t="s">
        <v>102</v>
      </c>
      <c r="CZ8" s="11" t="s">
        <v>103</v>
      </c>
      <c r="DA8" s="11" t="s">
        <v>104</v>
      </c>
      <c r="DB8" s="11" t="s">
        <v>105</v>
      </c>
      <c r="DC8" s="11" t="s">
        <v>106</v>
      </c>
      <c r="DD8" s="11" t="s">
        <v>107</v>
      </c>
      <c r="DE8" s="11" t="s">
        <v>108</v>
      </c>
      <c r="DF8" s="11" t="s">
        <v>109</v>
      </c>
      <c r="DG8" s="11" t="s">
        <v>110</v>
      </c>
      <c r="DH8" s="11" t="s">
        <v>111</v>
      </c>
      <c r="DI8" s="11" t="s">
        <v>112</v>
      </c>
      <c r="DJ8" s="11" t="s">
        <v>113</v>
      </c>
      <c r="DK8" s="11" t="s">
        <v>114</v>
      </c>
      <c r="DL8" s="11" t="s">
        <v>115</v>
      </c>
      <c r="DM8" s="11" t="s">
        <v>116</v>
      </c>
      <c r="DN8" s="11" t="s">
        <v>117</v>
      </c>
      <c r="DO8" s="11" t="s">
        <v>118</v>
      </c>
      <c r="DP8" s="11" t="s">
        <v>119</v>
      </c>
      <c r="DQ8" s="11" t="s">
        <v>120</v>
      </c>
      <c r="DR8" s="11" t="s">
        <v>121</v>
      </c>
      <c r="DS8" s="11" t="s">
        <v>122</v>
      </c>
      <c r="DT8" s="11" t="s">
        <v>123</v>
      </c>
      <c r="DU8" s="11" t="s">
        <v>124</v>
      </c>
      <c r="DV8" s="11" t="s">
        <v>125</v>
      </c>
      <c r="DW8" s="11" t="s">
        <v>126</v>
      </c>
      <c r="DX8" s="11" t="s">
        <v>127</v>
      </c>
      <c r="DY8" s="11" t="s">
        <v>128</v>
      </c>
      <c r="DZ8" s="11" t="s">
        <v>129</v>
      </c>
      <c r="EA8" s="11" t="s">
        <v>130</v>
      </c>
      <c r="EB8" s="11" t="s">
        <v>131</v>
      </c>
      <c r="EC8" s="11" t="s">
        <v>132</v>
      </c>
      <c r="ED8" s="11" t="s">
        <v>133</v>
      </c>
      <c r="EE8" s="11" t="s">
        <v>134</v>
      </c>
      <c r="EF8" s="11" t="s">
        <v>135</v>
      </c>
      <c r="EG8" s="11" t="s">
        <v>136</v>
      </c>
      <c r="EH8" s="11" t="s">
        <v>137</v>
      </c>
      <c r="EI8" s="11" t="s">
        <v>138</v>
      </c>
      <c r="EJ8" s="11" t="s">
        <v>139</v>
      </c>
      <c r="EK8" s="11" t="s">
        <v>140</v>
      </c>
      <c r="EL8" s="11" t="s">
        <v>141</v>
      </c>
    </row>
    <row r="9" spans="1:142" ht="25" customHeight="1" x14ac:dyDescent="0.55000000000000004">
      <c r="B9" s="11" t="s">
        <v>143</v>
      </c>
      <c r="C9" s="13">
        <v>0.11254352719484539</v>
      </c>
      <c r="D9" s="13">
        <v>3.4097092674766981E-2</v>
      </c>
      <c r="E9" s="13">
        <v>-3.4092260699407372E-2</v>
      </c>
      <c r="F9" s="13">
        <v>-1.6058652052230761E-2</v>
      </c>
      <c r="G9" s="13">
        <v>-3.2385095991844209E-3</v>
      </c>
      <c r="H9" s="13">
        <v>3.7901102181058133E-2</v>
      </c>
      <c r="I9" s="13">
        <v>0.1965804247315599</v>
      </c>
      <c r="J9" s="13">
        <v>0.1237480024553423</v>
      </c>
      <c r="K9" s="13">
        <v>-3.4480581182707408E-3</v>
      </c>
      <c r="L9" s="13">
        <v>5.6295168092590213E-2</v>
      </c>
      <c r="M9" s="13">
        <v>-3.3270600801394837E-2</v>
      </c>
      <c r="N9" s="13">
        <v>0.13532465860422921</v>
      </c>
      <c r="O9" s="13">
        <v>2.9695310315939211E-2</v>
      </c>
      <c r="P9" s="13">
        <v>-7.5919535735049448E-2</v>
      </c>
      <c r="Q9" s="13">
        <v>-6.2747606103742651E-2</v>
      </c>
      <c r="R9" s="13">
        <v>3.4334773497897583E-2</v>
      </c>
      <c r="S9" s="13">
        <v>-0.11448918064350951</v>
      </c>
      <c r="T9" s="13">
        <v>-0.12841099749903981</v>
      </c>
      <c r="U9" s="13">
        <v>-1.8154029670731559E-2</v>
      </c>
      <c r="V9" s="13">
        <v>9.7284225967770491E-2</v>
      </c>
      <c r="W9" s="13">
        <v>6.4486060268650364E-2</v>
      </c>
      <c r="X9" s="13">
        <v>0.1327038041673102</v>
      </c>
      <c r="Y9" s="13">
        <v>-0.14506291258214879</v>
      </c>
      <c r="Z9" s="13">
        <v>0.15983802373895209</v>
      </c>
      <c r="AA9" s="13">
        <v>-7.943967423672775E-2</v>
      </c>
      <c r="AB9" s="13">
        <v>6.5463770993359177E-2</v>
      </c>
      <c r="AC9" s="13">
        <v>0.1084175724655288</v>
      </c>
      <c r="AD9" s="13">
        <v>3.5162093923887777E-2</v>
      </c>
      <c r="AE9" s="13">
        <v>-0.13259397376979831</v>
      </c>
      <c r="AF9" s="13">
        <v>7.9167281836763165E-2</v>
      </c>
      <c r="AG9" s="13">
        <v>0.14744720008266871</v>
      </c>
      <c r="AH9" s="13">
        <v>0.1081810761945582</v>
      </c>
      <c r="AI9" s="13">
        <v>3.1505045798710121E-2</v>
      </c>
      <c r="AJ9" s="13">
        <v>6.8324574139767447E-2</v>
      </c>
      <c r="AK9" s="13">
        <v>0.13938042010895871</v>
      </c>
      <c r="AL9" s="13">
        <v>1.592744707157312E-3</v>
      </c>
      <c r="AM9" s="13">
        <v>0.1169932331404209</v>
      </c>
      <c r="AN9" s="13">
        <v>0.18348805683608069</v>
      </c>
      <c r="AO9" s="13">
        <v>-1.362463266883975E-2</v>
      </c>
      <c r="AP9" s="13">
        <v>-0.1063675409967041</v>
      </c>
      <c r="AQ9" s="13">
        <v>-2.6929215006442419E-2</v>
      </c>
      <c r="AR9" s="13">
        <v>4.2036530640737653E-2</v>
      </c>
      <c r="AS9" s="13">
        <v>1.8696586580941189E-2</v>
      </c>
      <c r="AT9" s="13">
        <v>5.0640505974700809E-2</v>
      </c>
      <c r="AU9" s="13">
        <v>6.0413158509975098E-2</v>
      </c>
      <c r="AV9" s="13">
        <v>-4.9074616769233352E-2</v>
      </c>
      <c r="AW9" s="13">
        <v>4.1357508732538503E-2</v>
      </c>
      <c r="AX9" s="13">
        <v>0.13272310010770769</v>
      </c>
      <c r="AY9" s="13">
        <v>5.4625779598230978E-2</v>
      </c>
      <c r="AZ9" s="13">
        <v>1.5696796231307941E-2</v>
      </c>
      <c r="BA9" s="13">
        <v>1.2690345442841731E-2</v>
      </c>
      <c r="BB9" s="13">
        <v>0.1043530163836375</v>
      </c>
      <c r="BC9" s="13">
        <v>2.7796633350819049E-2</v>
      </c>
      <c r="BD9" s="13">
        <v>1.578432168905794E-2</v>
      </c>
      <c r="BE9" s="13">
        <v>5.3739937687461103E-2</v>
      </c>
      <c r="BF9" s="13">
        <v>0.15375843628247049</v>
      </c>
      <c r="BG9" s="13">
        <v>0.14726982376849199</v>
      </c>
      <c r="BH9" s="13">
        <v>5.8771534945936843E-2</v>
      </c>
      <c r="BI9" s="13">
        <v>8.9685563511176306E-2</v>
      </c>
      <c r="BJ9" s="13">
        <v>-4.1235808180358727E-2</v>
      </c>
      <c r="BK9" s="13">
        <v>-8.5734728231317864E-2</v>
      </c>
      <c r="BL9" s="13">
        <v>6.5414039984698302E-2</v>
      </c>
      <c r="BM9" s="13">
        <v>-3.1368353257727542E-2</v>
      </c>
      <c r="BN9" s="13">
        <v>3.5359621536754919E-2</v>
      </c>
      <c r="BO9" s="13">
        <v>7.7704284912140056E-2</v>
      </c>
      <c r="BP9" s="13">
        <v>-1.4539108034672661E-2</v>
      </c>
      <c r="BQ9" s="13">
        <v>5.4478664726366338E-2</v>
      </c>
      <c r="BR9" s="13">
        <v>-1.1979953341828281E-2</v>
      </c>
      <c r="BS9" s="13">
        <v>6.1686424636285153E-2</v>
      </c>
      <c r="BT9" s="13">
        <v>1.760973665085316E-2</v>
      </c>
      <c r="BU9" s="13">
        <v>1.762998043724756E-3</v>
      </c>
      <c r="BV9" s="13">
        <v>7.9901428485713702E-2</v>
      </c>
      <c r="BW9" s="13">
        <v>-2.610637658719216E-2</v>
      </c>
      <c r="BX9" s="13">
        <v>2.2152373945232812E-2</v>
      </c>
      <c r="BY9" s="13">
        <v>-7.0677724562749358E-2</v>
      </c>
      <c r="BZ9" s="13">
        <v>0.10127162087670701</v>
      </c>
      <c r="CA9" s="13">
        <v>-0.1116632811959762</v>
      </c>
      <c r="CB9" s="13">
        <v>2.134222205387841E-2</v>
      </c>
      <c r="CC9" s="13">
        <v>-4.7361278925352373E-3</v>
      </c>
      <c r="CD9" s="13">
        <v>0.1795510120924832</v>
      </c>
      <c r="CE9" s="13">
        <v>6.1307642545500363E-2</v>
      </c>
      <c r="CF9" s="13">
        <v>9.1604773996528527E-2</v>
      </c>
      <c r="CG9" s="13">
        <v>9.7692005436922261E-2</v>
      </c>
      <c r="CH9" s="13">
        <v>0.1571471245578184</v>
      </c>
      <c r="CI9" s="13">
        <v>-8.8647186187573918E-2</v>
      </c>
      <c r="CJ9" s="13">
        <v>-1.4935576134504041E-2</v>
      </c>
      <c r="CK9" s="13">
        <v>3.8208336269377141E-2</v>
      </c>
      <c r="CL9" s="13">
        <v>0.31725853511632429</v>
      </c>
      <c r="CM9" s="13">
        <v>-4.9949969650243523E-2</v>
      </c>
      <c r="CN9" s="13">
        <v>-3.8447026726622632E-2</v>
      </c>
      <c r="CO9" s="13">
        <v>7.1081192451511485E-4</v>
      </c>
      <c r="CP9" s="13">
        <v>0.14471257826235909</v>
      </c>
      <c r="CQ9" s="13">
        <v>0.149288994346539</v>
      </c>
      <c r="CR9" s="13">
        <v>-3.9801054122727553E-2</v>
      </c>
      <c r="CS9" s="13">
        <v>-4.6545918793314787E-2</v>
      </c>
      <c r="CT9" s="13">
        <v>3.4133664121905993E-2</v>
      </c>
      <c r="CU9" s="13">
        <v>0.12875405559550171</v>
      </c>
      <c r="CV9" s="13">
        <v>3.1635367740865207E-2</v>
      </c>
      <c r="CW9" s="13">
        <v>4.119456280109754E-2</v>
      </c>
      <c r="CX9" s="13">
        <v>0.16319544033423569</v>
      </c>
      <c r="CY9" s="13">
        <v>-4.3115028212617472E-2</v>
      </c>
      <c r="CZ9" s="13">
        <v>0.22006843680957469</v>
      </c>
      <c r="DA9" s="13">
        <v>-4.1423730334945293E-2</v>
      </c>
      <c r="DB9" s="13">
        <v>-1.1737974262426469E-2</v>
      </c>
      <c r="DC9" s="13">
        <v>0.107771072087255</v>
      </c>
      <c r="DD9" s="13">
        <v>6.7224013666988727E-2</v>
      </c>
      <c r="DE9" s="13">
        <v>-4.0137127901521782E-2</v>
      </c>
      <c r="DF9" s="13">
        <v>3.6396902505257532E-2</v>
      </c>
      <c r="DG9" s="13">
        <v>-9.8061050686251566E-2</v>
      </c>
      <c r="DH9" s="13">
        <v>-1.2045848270744831E-2</v>
      </c>
      <c r="DI9" s="13">
        <v>-8.9410575222380967E-2</v>
      </c>
      <c r="DJ9" s="13">
        <v>5.4992879399294842E-2</v>
      </c>
      <c r="DK9" s="13">
        <v>-5.7186588582312417E-2</v>
      </c>
      <c r="DL9" s="13">
        <v>-2.928430147507266E-2</v>
      </c>
      <c r="DM9" s="13">
        <v>-3.1402929482487282E-2</v>
      </c>
      <c r="DN9" s="13">
        <v>8.4413622954616185E-2</v>
      </c>
      <c r="DO9" s="13">
        <v>4.8170817515011732E-2</v>
      </c>
      <c r="DP9" s="13">
        <v>9.0346423093431022E-2</v>
      </c>
      <c r="DQ9" s="13">
        <v>-0.11867639315134131</v>
      </c>
      <c r="DR9" s="13">
        <v>0.1105075661161839</v>
      </c>
      <c r="DS9" s="13">
        <v>-7.3814619239169932E-2</v>
      </c>
      <c r="DT9" s="13">
        <v>-0.10633883358579729</v>
      </c>
      <c r="DU9" s="13">
        <v>9.6230219291726145E-3</v>
      </c>
      <c r="DV9" s="13">
        <v>0.14417121918934611</v>
      </c>
      <c r="DW9" s="13">
        <v>8.5312212398853907E-2</v>
      </c>
      <c r="DX9" s="13">
        <v>-0.1103801797394762</v>
      </c>
      <c r="DY9" s="13">
        <v>0.12870772422874291</v>
      </c>
      <c r="DZ9" s="13">
        <v>-5.3270106382015507E-2</v>
      </c>
      <c r="EA9" s="13">
        <v>0.17325685573389549</v>
      </c>
      <c r="EB9" s="13">
        <v>1.2264441519363289E-2</v>
      </c>
      <c r="EC9" s="13">
        <v>7.7320493094910028E-2</v>
      </c>
      <c r="ED9" s="13">
        <v>-0.16510373796664821</v>
      </c>
      <c r="EE9" s="13">
        <v>7.7592442823063296E-2</v>
      </c>
      <c r="EF9" s="13">
        <v>5.6688314750610751E-2</v>
      </c>
      <c r="EG9" s="13">
        <v>0.17571439802822439</v>
      </c>
      <c r="EH9" s="13">
        <v>-5.0736758655838161E-2</v>
      </c>
      <c r="EI9" s="13">
        <v>-3.2979674559245421E-2</v>
      </c>
      <c r="EJ9" s="13">
        <v>-0.1750733011862472</v>
      </c>
      <c r="EK9" s="13">
        <v>7.5703332933188719E-2</v>
      </c>
      <c r="EL9" s="13">
        <v>-0.1114587387579748</v>
      </c>
    </row>
    <row r="10" spans="1:142" ht="25" customHeight="1" x14ac:dyDescent="0.55000000000000004">
      <c r="B10" s="11" t="s">
        <v>144</v>
      </c>
      <c r="C10" s="13">
        <v>-0.26567505455358248</v>
      </c>
      <c r="D10" s="13">
        <v>-0.26274581990388568</v>
      </c>
      <c r="E10" s="13">
        <v>-7.8695496037138171E-2</v>
      </c>
      <c r="F10" s="13">
        <v>6.5706805469448862E-2</v>
      </c>
      <c r="G10" s="13">
        <v>-5.9999728504775772E-2</v>
      </c>
      <c r="H10" s="13">
        <v>-9.0782628560238207E-2</v>
      </c>
      <c r="I10" s="13">
        <v>-2.954345689308489E-2</v>
      </c>
      <c r="J10" s="13">
        <v>6.8756090039455112E-2</v>
      </c>
      <c r="K10" s="13">
        <v>-4.5430805070771449E-2</v>
      </c>
      <c r="L10" s="13">
        <v>9.2349485138079557E-2</v>
      </c>
      <c r="M10" s="13">
        <v>5.5332373390141881E-3</v>
      </c>
      <c r="N10" s="13">
        <v>-0.2026295564870364</v>
      </c>
      <c r="O10" s="13">
        <v>-5.5439188889443027E-2</v>
      </c>
      <c r="P10" s="13">
        <v>6.3019437760175406E-2</v>
      </c>
      <c r="Q10" s="13">
        <v>-5.112747054382899E-2</v>
      </c>
      <c r="R10" s="13">
        <v>-2.6369264474313892E-3</v>
      </c>
      <c r="S10" s="13">
        <v>0.1173704441530605</v>
      </c>
      <c r="T10" s="13">
        <v>2.8121057846255831E-2</v>
      </c>
      <c r="U10" s="13">
        <v>2.4399698358684819E-2</v>
      </c>
      <c r="V10" s="13">
        <v>2.4693188818731E-3</v>
      </c>
      <c r="W10" s="13">
        <v>-0.1293119914747935</v>
      </c>
      <c r="X10" s="13">
        <v>-7.8183591567789604E-2</v>
      </c>
      <c r="Y10" s="13">
        <v>-1.678906305548444E-2</v>
      </c>
      <c r="Z10" s="13">
        <v>-2.1755871914426388E-2</v>
      </c>
      <c r="AA10" s="13">
        <v>5.6064771790453938E-2</v>
      </c>
      <c r="AB10" s="13">
        <v>-2.615247786751675E-2</v>
      </c>
      <c r="AC10" s="13">
        <v>-7.0545450686771982E-2</v>
      </c>
      <c r="AD10" s="13">
        <v>-4.605935898063749E-2</v>
      </c>
      <c r="AE10" s="13">
        <v>0.13302405295118061</v>
      </c>
      <c r="AF10" s="13">
        <v>-8.9277753929317721E-2</v>
      </c>
      <c r="AG10" s="13">
        <v>-5.9320757676143483E-2</v>
      </c>
      <c r="AH10" s="13">
        <v>-5.524805418175012E-2</v>
      </c>
      <c r="AI10" s="13">
        <v>-3.4432890200783002E-2</v>
      </c>
      <c r="AJ10" s="13">
        <v>-1.011820247094234E-3</v>
      </c>
      <c r="AK10" s="13">
        <v>1.008019446982307E-2</v>
      </c>
      <c r="AL10" s="13">
        <v>-0.1198837103689446</v>
      </c>
      <c r="AM10" s="13">
        <v>-5.2132142811929863E-3</v>
      </c>
      <c r="AN10" s="13">
        <v>-0.1083439053885159</v>
      </c>
      <c r="AO10" s="13">
        <v>-5.8361175798082462E-2</v>
      </c>
      <c r="AP10" s="13">
        <v>1.0829655057507581E-2</v>
      </c>
      <c r="AQ10" s="13">
        <v>9.1678033193309406E-3</v>
      </c>
      <c r="AR10" s="13">
        <v>9.4714182380649631E-2</v>
      </c>
      <c r="AS10" s="13">
        <v>-2.4402385221541981E-2</v>
      </c>
      <c r="AT10" s="13">
        <v>2.0132029133382761E-3</v>
      </c>
      <c r="AU10" s="13">
        <v>-0.16715058449206099</v>
      </c>
      <c r="AV10" s="13">
        <v>3.39722622946841E-2</v>
      </c>
      <c r="AW10" s="13">
        <v>-1.6836938460434121E-2</v>
      </c>
      <c r="AX10" s="13">
        <v>-3.4706447726076131E-2</v>
      </c>
      <c r="AY10" s="13">
        <v>5.1832253085072376E-3</v>
      </c>
      <c r="AZ10" s="13">
        <v>-0.1197365697081416</v>
      </c>
      <c r="BA10" s="13">
        <v>-0.13521272855601499</v>
      </c>
      <c r="BB10" s="13">
        <v>1.6981999860284199E-2</v>
      </c>
      <c r="BC10" s="13">
        <v>2.3074367921310051E-2</v>
      </c>
      <c r="BD10" s="13">
        <v>-0.1199945402797801</v>
      </c>
      <c r="BE10" s="13">
        <v>0.1293284806358245</v>
      </c>
      <c r="BF10" s="13">
        <v>1.670991495350807E-2</v>
      </c>
      <c r="BG10" s="13">
        <v>-2.230674739417764E-2</v>
      </c>
      <c r="BH10" s="13">
        <v>3.9303080879793402E-2</v>
      </c>
      <c r="BI10" s="13">
        <v>-0.10048887626807319</v>
      </c>
      <c r="BJ10" s="13">
        <v>-0.1019902758550493</v>
      </c>
      <c r="BK10" s="13">
        <v>9.9875650710373395E-2</v>
      </c>
      <c r="BL10" s="13">
        <v>-3.2934037128584212E-2</v>
      </c>
      <c r="BM10" s="13">
        <v>2.6287500286370859E-2</v>
      </c>
      <c r="BN10" s="13">
        <v>0.10734549372172041</v>
      </c>
      <c r="BO10" s="13">
        <v>-2.560633684172503E-2</v>
      </c>
      <c r="BP10" s="13">
        <v>0.1224117716945187</v>
      </c>
      <c r="BQ10" s="13">
        <v>-4.5440179315565543E-2</v>
      </c>
      <c r="BR10" s="13">
        <v>-7.1268977479060053E-2</v>
      </c>
      <c r="BS10" s="13">
        <v>-6.8098859473969778E-2</v>
      </c>
      <c r="BT10" s="13">
        <v>9.2203281802799297E-2</v>
      </c>
      <c r="BU10" s="13">
        <v>8.2899617876138199E-2</v>
      </c>
      <c r="BV10" s="13">
        <v>-4.130112652813582E-2</v>
      </c>
      <c r="BW10" s="13">
        <v>-9.9351181954097256E-2</v>
      </c>
      <c r="BX10" s="13">
        <v>-3.8144887371555511E-2</v>
      </c>
      <c r="BY10" s="13">
        <v>0.1124874209627638</v>
      </c>
      <c r="BZ10" s="13">
        <v>-3.788028283020467E-2</v>
      </c>
      <c r="CA10" s="13">
        <v>-9.1542003092521695E-2</v>
      </c>
      <c r="CB10" s="13">
        <v>-0.1246325581241329</v>
      </c>
      <c r="CC10" s="13">
        <v>-6.1699945697747768E-2</v>
      </c>
      <c r="CD10" s="13">
        <v>-7.5868372082101454E-2</v>
      </c>
      <c r="CE10" s="13">
        <v>-0.22128938457069761</v>
      </c>
      <c r="CF10" s="13">
        <v>8.6756078182217526E-3</v>
      </c>
      <c r="CG10" s="13">
        <v>3.1786264351565383E-2</v>
      </c>
      <c r="CH10" s="13">
        <v>-3.7814115900760462E-2</v>
      </c>
      <c r="CI10" s="13">
        <v>4.9549068421342352E-2</v>
      </c>
      <c r="CJ10" s="13">
        <v>-1.042967726944298E-2</v>
      </c>
      <c r="CK10" s="13">
        <v>-8.3344347452881107E-2</v>
      </c>
      <c r="CL10" s="13">
        <v>-5.3422112199779673E-2</v>
      </c>
      <c r="CM10" s="13">
        <v>0.19037761081281751</v>
      </c>
      <c r="CN10" s="13">
        <v>5.8217828531197863E-2</v>
      </c>
      <c r="CO10" s="13">
        <v>-0.14266651702027849</v>
      </c>
      <c r="CP10" s="13">
        <v>4.1776778694119977E-2</v>
      </c>
      <c r="CQ10" s="13">
        <v>-0.16944775200646889</v>
      </c>
      <c r="CR10" s="13">
        <v>-8.4810245274174231E-2</v>
      </c>
      <c r="CS10" s="13">
        <v>-3.4770869542404131E-2</v>
      </c>
      <c r="CT10" s="13">
        <v>-0.11929694980334619</v>
      </c>
      <c r="CU10" s="13">
        <v>-1.779517889847566E-2</v>
      </c>
      <c r="CV10" s="13">
        <v>-1.483412755555793E-2</v>
      </c>
      <c r="CW10" s="13">
        <v>-4.6319066249875078E-2</v>
      </c>
      <c r="CX10" s="13">
        <v>-9.6634689890429795E-2</v>
      </c>
      <c r="CY10" s="13">
        <v>-7.883438544026268E-2</v>
      </c>
      <c r="CZ10" s="13">
        <v>-0.2125263535938974</v>
      </c>
      <c r="DA10" s="13">
        <v>-0.1136855216267028</v>
      </c>
      <c r="DB10" s="13">
        <v>-0.18310190466084611</v>
      </c>
      <c r="DC10" s="13">
        <v>-4.2499864903571542E-2</v>
      </c>
      <c r="DD10" s="13">
        <v>2.7817596126079671E-2</v>
      </c>
      <c r="DE10" s="13">
        <v>6.8607937224559601E-2</v>
      </c>
      <c r="DF10" s="13">
        <v>-0.13309486152009481</v>
      </c>
      <c r="DG10" s="13">
        <v>0.22249786674263289</v>
      </c>
      <c r="DH10" s="13">
        <v>-0.13075878208175709</v>
      </c>
      <c r="DI10" s="13">
        <v>-0.10969183429127349</v>
      </c>
      <c r="DJ10" s="13">
        <v>-0.1104737212515987</v>
      </c>
      <c r="DK10" s="13">
        <v>8.5555391670562406E-2</v>
      </c>
      <c r="DL10" s="13">
        <v>-3.7902763836408108E-2</v>
      </c>
      <c r="DM10" s="13">
        <v>8.3550634753187636E-2</v>
      </c>
      <c r="DN10" s="13">
        <v>-5.5064654277631388E-2</v>
      </c>
      <c r="DO10" s="13">
        <v>-9.1404376141589916E-2</v>
      </c>
      <c r="DP10" s="13">
        <v>-0.14635791180718299</v>
      </c>
      <c r="DQ10" s="13">
        <v>7.2584409538635583E-2</v>
      </c>
      <c r="DR10" s="13">
        <v>-3.6982983260269622E-2</v>
      </c>
      <c r="DS10" s="13">
        <v>-0.158488727508035</v>
      </c>
      <c r="DT10" s="13">
        <v>-7.6734870836893357E-2</v>
      </c>
      <c r="DU10" s="13">
        <v>0.14652329977066769</v>
      </c>
      <c r="DV10" s="13">
        <v>9.2142528558957857E-3</v>
      </c>
      <c r="DW10" s="13">
        <v>-0.12809453124946879</v>
      </c>
      <c r="DX10" s="13">
        <v>-5.7788778278884997E-2</v>
      </c>
      <c r="DY10" s="13">
        <v>-0.1035307067347504</v>
      </c>
      <c r="DZ10" s="13">
        <v>-5.3247234161851183E-2</v>
      </c>
      <c r="EA10" s="13">
        <v>-0.111011221175726</v>
      </c>
      <c r="EB10" s="13">
        <v>-5.7337041607399442E-2</v>
      </c>
      <c r="EC10" s="13">
        <v>5.3167126851357938E-2</v>
      </c>
      <c r="ED10" s="13">
        <v>5.5871006445993431E-2</v>
      </c>
      <c r="EE10" s="13">
        <v>0.15335804459764099</v>
      </c>
      <c r="EF10" s="13">
        <v>-0.1142313624752139</v>
      </c>
      <c r="EG10" s="13">
        <v>-4.400561671271231E-2</v>
      </c>
      <c r="EH10" s="13">
        <v>1.7544151566088462E-2</v>
      </c>
      <c r="EI10" s="13">
        <v>8.6430773370832076E-2</v>
      </c>
      <c r="EJ10" s="13">
        <v>0.13519054567508229</v>
      </c>
      <c r="EK10" s="13">
        <v>0.12749821521826099</v>
      </c>
      <c r="EL10" s="13">
        <v>-3.0403121056760539E-2</v>
      </c>
    </row>
    <row r="11" spans="1:142" ht="25" customHeight="1" x14ac:dyDescent="0.55000000000000004">
      <c r="B11" s="14" t="s">
        <v>145</v>
      </c>
      <c r="C11" s="13">
        <v>-2.4114962812585919E-2</v>
      </c>
      <c r="D11" s="13">
        <v>0.14010060111552411</v>
      </c>
      <c r="E11" s="13">
        <v>-5.4828677455158086E-3</v>
      </c>
      <c r="F11" s="13">
        <v>-4.8067960102790332E-2</v>
      </c>
      <c r="G11" s="13">
        <v>9.8556491354310036E-2</v>
      </c>
      <c r="H11" s="13">
        <v>4.0265398787534858E-3</v>
      </c>
      <c r="I11" s="13">
        <v>-5.4392917239937437E-2</v>
      </c>
      <c r="J11" s="13">
        <v>-7.8467922997838349E-4</v>
      </c>
      <c r="K11" s="13">
        <v>3.1985649512948161E-2</v>
      </c>
      <c r="L11" s="13">
        <v>-5.2053083064414014E-3</v>
      </c>
      <c r="M11" s="13">
        <v>8.3785174984597616E-2</v>
      </c>
      <c r="N11" s="13">
        <v>-5.6914477640470737E-2</v>
      </c>
      <c r="O11" s="13">
        <v>6.8510420248044046E-2</v>
      </c>
      <c r="P11" s="13">
        <v>2.8609346498670672E-2</v>
      </c>
      <c r="Q11" s="13">
        <v>6.6853829019368621E-2</v>
      </c>
      <c r="R11" s="13">
        <v>-2.201858603624411E-3</v>
      </c>
      <c r="S11" s="13">
        <v>0.1343008906380988</v>
      </c>
      <c r="T11" s="13">
        <v>0.1309180760976566</v>
      </c>
      <c r="U11" s="13">
        <v>1.3133991417421231E-2</v>
      </c>
      <c r="V11" s="13">
        <v>2.61831641349142E-2</v>
      </c>
      <c r="W11" s="13">
        <v>-9.4297429450524356E-2</v>
      </c>
      <c r="X11" s="13">
        <v>-0.30132339061689511</v>
      </c>
      <c r="Y11" s="13">
        <v>0.1084289471208703</v>
      </c>
      <c r="Z11" s="13">
        <v>-0.14174493457566439</v>
      </c>
      <c r="AA11" s="13">
        <v>0.1170212362473879</v>
      </c>
      <c r="AB11" s="13">
        <v>-2.2180044331716751E-2</v>
      </c>
      <c r="AC11" s="13">
        <v>-8.6460961175666734E-2</v>
      </c>
      <c r="AD11" s="13">
        <v>2.1464873900864909E-2</v>
      </c>
      <c r="AE11" s="13">
        <v>0.15421823665631779</v>
      </c>
      <c r="AF11" s="13">
        <v>-0.14648944763122149</v>
      </c>
      <c r="AG11" s="13">
        <v>-4.7015552205449541E-2</v>
      </c>
      <c r="AH11" s="13">
        <v>1.969019876271335E-2</v>
      </c>
      <c r="AI11" s="13">
        <v>3.9309116183651453E-2</v>
      </c>
      <c r="AJ11" s="13">
        <v>-2.662352474820744E-2</v>
      </c>
      <c r="AK11" s="13">
        <v>-2.5125101663330471E-2</v>
      </c>
      <c r="AL11" s="13">
        <v>-0.10344397184102611</v>
      </c>
      <c r="AM11" s="13">
        <v>6.1900719649520007E-2</v>
      </c>
      <c r="AN11" s="13">
        <v>7.6731055204870405E-2</v>
      </c>
      <c r="AO11" s="13">
        <v>9.8982722791890534E-2</v>
      </c>
      <c r="AP11" s="13">
        <v>5.4076693168316682E-2</v>
      </c>
      <c r="AQ11" s="13">
        <v>-3.0251892003178519E-2</v>
      </c>
      <c r="AR11" s="13">
        <v>4.4910599246769629E-4</v>
      </c>
      <c r="AS11" s="13">
        <v>7.0194262215074882E-2</v>
      </c>
      <c r="AT11" s="13">
        <v>0.17429282176026459</v>
      </c>
      <c r="AU11" s="13">
        <v>-8.1385665847374042E-2</v>
      </c>
      <c r="AV11" s="13">
        <v>0.15075612499263449</v>
      </c>
      <c r="AW11" s="13">
        <v>5.7401717870801443E-2</v>
      </c>
      <c r="AX11" s="13">
        <v>-0.15692285452171439</v>
      </c>
      <c r="AY11" s="13">
        <v>4.7095411994913447E-2</v>
      </c>
      <c r="AZ11" s="13">
        <v>-5.7117988229242828E-2</v>
      </c>
      <c r="BA11" s="13">
        <v>-2.2411435185763991E-2</v>
      </c>
      <c r="BB11" s="13">
        <v>-0.15274623447102989</v>
      </c>
      <c r="BC11" s="13">
        <v>2.2968193190456811E-2</v>
      </c>
      <c r="BD11" s="13">
        <v>1.041266581327727E-3</v>
      </c>
      <c r="BE11" s="13">
        <v>-0.13310702807101221</v>
      </c>
      <c r="BF11" s="13">
        <v>-0.19610968127654599</v>
      </c>
      <c r="BG11" s="13">
        <v>-0.18881309175704289</v>
      </c>
      <c r="BH11" s="13">
        <v>-0.1007170444134215</v>
      </c>
      <c r="BI11" s="13">
        <v>-0.12578121674239851</v>
      </c>
      <c r="BJ11" s="13">
        <v>-1.094669670587667E-2</v>
      </c>
      <c r="BK11" s="13">
        <v>-6.1548923063932129E-2</v>
      </c>
      <c r="BL11" s="13">
        <v>-0.15045858166371609</v>
      </c>
      <c r="BM11" s="13">
        <v>0.12760274496348589</v>
      </c>
      <c r="BN11" s="13">
        <v>-1.7866802671994149E-2</v>
      </c>
      <c r="BO11" s="13">
        <v>-2.532395528347867E-2</v>
      </c>
      <c r="BP11" s="13">
        <v>4.0051232116699122E-2</v>
      </c>
      <c r="BQ11" s="13">
        <v>-4.2262606377664567E-2</v>
      </c>
      <c r="BR11" s="13">
        <v>0.17888215044890809</v>
      </c>
      <c r="BS11" s="13">
        <v>-9.912904509256E-2</v>
      </c>
      <c r="BT11" s="13">
        <v>4.0560012135895447E-2</v>
      </c>
      <c r="BU11" s="13">
        <v>6.3241856113882139E-2</v>
      </c>
      <c r="BV11" s="13">
        <v>-9.6181908758892015E-2</v>
      </c>
      <c r="BW11" s="13">
        <v>-0.1360628544407668</v>
      </c>
      <c r="BX11" s="13">
        <v>-5.021931394244135E-3</v>
      </c>
      <c r="BY11" s="13">
        <v>0.11233989094804429</v>
      </c>
      <c r="BZ11" s="13">
        <v>3.4223088384557322E-2</v>
      </c>
      <c r="CA11" s="13">
        <v>7.0051209195934647E-2</v>
      </c>
      <c r="CB11" s="13">
        <v>2.3662882656538931E-2</v>
      </c>
      <c r="CC11" s="13">
        <v>9.3938184255933657E-2</v>
      </c>
      <c r="CD11" s="13">
        <v>-2.991396747850103E-2</v>
      </c>
      <c r="CE11" s="13">
        <v>-0.106852361052127</v>
      </c>
      <c r="CF11" s="13">
        <v>-5.8583351809868033E-2</v>
      </c>
      <c r="CG11" s="13">
        <v>-0.1185641035857604</v>
      </c>
      <c r="CH11" s="13">
        <v>-4.7815465005176118E-2</v>
      </c>
      <c r="CI11" s="13">
        <v>-6.1561116349960178E-2</v>
      </c>
      <c r="CJ11" s="13">
        <v>0.22741940960138179</v>
      </c>
      <c r="CK11" s="13">
        <v>0.13323879996032881</v>
      </c>
      <c r="CL11" s="13">
        <v>4.026151400927732E-2</v>
      </c>
      <c r="CM11" s="13">
        <v>-7.3899373789768755E-2</v>
      </c>
      <c r="CN11" s="13">
        <v>0.24689459237762651</v>
      </c>
      <c r="CO11" s="13">
        <v>-0.1044408366251643</v>
      </c>
      <c r="CP11" s="13">
        <v>-1.7008494348603791E-2</v>
      </c>
      <c r="CQ11" s="13">
        <v>-0.2084347050376574</v>
      </c>
      <c r="CR11" s="13">
        <v>-8.395398399164998E-2</v>
      </c>
      <c r="CS11" s="13">
        <v>8.6621279720092453E-2</v>
      </c>
      <c r="CT11" s="13">
        <v>-2.628500997819886E-2</v>
      </c>
      <c r="CU11" s="13">
        <v>-0.29981483838253892</v>
      </c>
      <c r="CV11" s="13">
        <v>0.24030007205262141</v>
      </c>
      <c r="CW11" s="13">
        <v>9.1579360199564808E-2</v>
      </c>
      <c r="CX11" s="13">
        <v>-9.916629584538951E-2</v>
      </c>
      <c r="CY11" s="13">
        <v>0.10766171863634889</v>
      </c>
      <c r="CZ11" s="13">
        <v>-5.4245194329240791E-2</v>
      </c>
      <c r="DA11" s="13">
        <v>8.2532189515883495E-2</v>
      </c>
      <c r="DB11" s="13">
        <v>0.1365100712702266</v>
      </c>
      <c r="DC11" s="13">
        <v>-1.3925395967882609E-2</v>
      </c>
      <c r="DD11" s="13">
        <v>-0.1397956392190878</v>
      </c>
      <c r="DE11" s="13">
        <v>-9.4114369833172007E-2</v>
      </c>
      <c r="DF11" s="13">
        <v>5.2829965902828582E-2</v>
      </c>
      <c r="DG11" s="13">
        <v>-0.1992862571378114</v>
      </c>
      <c r="DH11" s="13">
        <v>0.1021391395115681</v>
      </c>
      <c r="DI11" s="13">
        <v>3.77727977358518E-2</v>
      </c>
      <c r="DJ11" s="13">
        <v>6.5447994136232215E-2</v>
      </c>
      <c r="DK11" s="13">
        <v>5.9654622373488252E-2</v>
      </c>
      <c r="DL11" s="13">
        <v>9.5335573576001684E-2</v>
      </c>
      <c r="DM11" s="13">
        <v>4.0485912002813637E-2</v>
      </c>
      <c r="DN11" s="13">
        <v>3.4939953183281301E-3</v>
      </c>
      <c r="DO11" s="13">
        <v>-0.1061084440817472</v>
      </c>
      <c r="DP11" s="13">
        <v>-0.24479189291211051</v>
      </c>
      <c r="DQ11" s="13">
        <v>0.2138369620719559</v>
      </c>
      <c r="DR11" s="13">
        <v>1.088966551319623E-2</v>
      </c>
      <c r="DS11" s="13">
        <v>0.13411935981786449</v>
      </c>
      <c r="DT11" s="13">
        <v>0.1241719078411765</v>
      </c>
      <c r="DU11" s="13">
        <v>7.8095888662607166E-2</v>
      </c>
      <c r="DV11" s="13">
        <v>-5.3915427843282723E-2</v>
      </c>
      <c r="DW11" s="13">
        <v>-2.382825195586874E-2</v>
      </c>
      <c r="DX11" s="13">
        <v>6.6514734484512852E-2</v>
      </c>
      <c r="DY11" s="13">
        <v>1.936130695330137E-2</v>
      </c>
      <c r="DZ11" s="13">
        <v>1.8750007540164919E-2</v>
      </c>
      <c r="EA11" s="13">
        <v>-0.28354334384011443</v>
      </c>
      <c r="EB11" s="13">
        <v>-0.13389240598058849</v>
      </c>
      <c r="EC11" s="13">
        <v>-2.2714426802967012E-2</v>
      </c>
      <c r="ED11" s="13">
        <v>4.4607042157451017E-2</v>
      </c>
      <c r="EE11" s="13">
        <v>-0.12906100256586769</v>
      </c>
      <c r="EF11" s="13">
        <v>-6.5742551537967042E-2</v>
      </c>
      <c r="EG11" s="13">
        <v>-0.117222832850104</v>
      </c>
      <c r="EH11" s="13">
        <v>-2.6547499359558489E-2</v>
      </c>
      <c r="EI11" s="13">
        <v>-3.3015556157341149E-2</v>
      </c>
      <c r="EJ11" s="13">
        <v>4.5977172621091293E-2</v>
      </c>
      <c r="EK11" s="13">
        <v>-6.9235533806273369E-2</v>
      </c>
      <c r="EL11" s="13">
        <v>1.468433610599224E-2</v>
      </c>
    </row>
    <row r="13" spans="1:142" ht="25" customHeight="1" x14ac:dyDescent="0.55000000000000004">
      <c r="A13" s="12" t="s">
        <v>320</v>
      </c>
      <c r="B13" s="11" t="s">
        <v>143</v>
      </c>
      <c r="C13" s="12">
        <f t="shared" ref="C13:AH13" si="0">IF(AND(C3&gt;0,C9&gt;0),1,0)</f>
        <v>1</v>
      </c>
      <c r="D13" s="12">
        <f t="shared" si="0"/>
        <v>1</v>
      </c>
      <c r="E13" s="12">
        <f t="shared" si="0"/>
        <v>0</v>
      </c>
      <c r="F13" s="12">
        <f t="shared" si="0"/>
        <v>0</v>
      </c>
      <c r="G13" s="12">
        <f t="shared" si="0"/>
        <v>0</v>
      </c>
      <c r="H13" s="12">
        <f t="shared" si="0"/>
        <v>0</v>
      </c>
      <c r="I13" s="12">
        <f t="shared" si="0"/>
        <v>0</v>
      </c>
      <c r="J13" s="12">
        <f t="shared" si="0"/>
        <v>1</v>
      </c>
      <c r="K13" s="12">
        <f t="shared" si="0"/>
        <v>0</v>
      </c>
      <c r="L13" s="12">
        <f t="shared" si="0"/>
        <v>1</v>
      </c>
      <c r="M13" s="12">
        <f t="shared" si="0"/>
        <v>0</v>
      </c>
      <c r="N13" s="12">
        <f t="shared" si="0"/>
        <v>0</v>
      </c>
      <c r="O13" s="12">
        <f t="shared" si="0"/>
        <v>1</v>
      </c>
      <c r="P13" s="12">
        <f t="shared" si="0"/>
        <v>0</v>
      </c>
      <c r="Q13" s="12">
        <f t="shared" si="0"/>
        <v>0</v>
      </c>
      <c r="R13" s="12">
        <f t="shared" si="0"/>
        <v>0</v>
      </c>
      <c r="S13" s="12">
        <f t="shared" si="0"/>
        <v>0</v>
      </c>
      <c r="T13" s="12">
        <f t="shared" si="0"/>
        <v>0</v>
      </c>
      <c r="U13" s="12">
        <f t="shared" si="0"/>
        <v>0</v>
      </c>
      <c r="V13" s="12">
        <f t="shared" si="0"/>
        <v>1</v>
      </c>
      <c r="W13" s="12">
        <f t="shared" si="0"/>
        <v>1</v>
      </c>
      <c r="X13" s="12">
        <f t="shared" si="0"/>
        <v>0</v>
      </c>
      <c r="Y13" s="12">
        <f t="shared" si="0"/>
        <v>0</v>
      </c>
      <c r="Z13" s="12">
        <f t="shared" si="0"/>
        <v>1</v>
      </c>
      <c r="AA13" s="12">
        <f t="shared" si="0"/>
        <v>0</v>
      </c>
      <c r="AB13" s="12">
        <f t="shared" si="0"/>
        <v>0</v>
      </c>
      <c r="AC13" s="12">
        <f t="shared" si="0"/>
        <v>1</v>
      </c>
      <c r="AD13" s="12">
        <f t="shared" si="0"/>
        <v>1</v>
      </c>
      <c r="AE13" s="12">
        <f t="shared" si="0"/>
        <v>0</v>
      </c>
      <c r="AF13" s="12">
        <f t="shared" si="0"/>
        <v>0</v>
      </c>
      <c r="AG13" s="12">
        <f t="shared" si="0"/>
        <v>1</v>
      </c>
      <c r="AH13" s="12">
        <f t="shared" si="0"/>
        <v>0</v>
      </c>
      <c r="AI13" s="12">
        <f t="shared" ref="AI13:BN13" si="1">IF(AND(AI3&gt;0,AI9&gt;0),1,0)</f>
        <v>1</v>
      </c>
      <c r="AJ13" s="12">
        <f t="shared" si="1"/>
        <v>1</v>
      </c>
      <c r="AK13" s="12">
        <f t="shared" si="1"/>
        <v>1</v>
      </c>
      <c r="AL13" s="12">
        <f t="shared" si="1"/>
        <v>1</v>
      </c>
      <c r="AM13" s="12">
        <f t="shared" si="1"/>
        <v>1</v>
      </c>
      <c r="AN13" s="12">
        <f t="shared" si="1"/>
        <v>1</v>
      </c>
      <c r="AO13" s="12">
        <f t="shared" si="1"/>
        <v>0</v>
      </c>
      <c r="AP13" s="12">
        <f t="shared" si="1"/>
        <v>0</v>
      </c>
      <c r="AQ13" s="12">
        <f t="shared" si="1"/>
        <v>0</v>
      </c>
      <c r="AR13" s="12">
        <f t="shared" si="1"/>
        <v>1</v>
      </c>
      <c r="AS13" s="12">
        <f t="shared" si="1"/>
        <v>1</v>
      </c>
      <c r="AT13" s="12">
        <f t="shared" si="1"/>
        <v>0</v>
      </c>
      <c r="AU13" s="12">
        <f t="shared" si="1"/>
        <v>1</v>
      </c>
      <c r="AV13" s="12">
        <f t="shared" si="1"/>
        <v>0</v>
      </c>
      <c r="AW13" s="12">
        <f t="shared" si="1"/>
        <v>0</v>
      </c>
      <c r="AX13" s="12">
        <f t="shared" si="1"/>
        <v>1</v>
      </c>
      <c r="AY13" s="12">
        <f t="shared" si="1"/>
        <v>0</v>
      </c>
      <c r="AZ13" s="12">
        <f t="shared" si="1"/>
        <v>0</v>
      </c>
      <c r="BA13" s="12">
        <f t="shared" si="1"/>
        <v>1</v>
      </c>
      <c r="BB13" s="12">
        <f t="shared" si="1"/>
        <v>0</v>
      </c>
      <c r="BC13" s="12">
        <f t="shared" si="1"/>
        <v>1</v>
      </c>
      <c r="BD13" s="12">
        <f t="shared" si="1"/>
        <v>1</v>
      </c>
      <c r="BE13" s="12">
        <f t="shared" si="1"/>
        <v>0</v>
      </c>
      <c r="BF13" s="12">
        <f t="shared" si="1"/>
        <v>1</v>
      </c>
      <c r="BG13" s="12">
        <f t="shared" si="1"/>
        <v>1</v>
      </c>
      <c r="BH13" s="12">
        <f t="shared" si="1"/>
        <v>1</v>
      </c>
      <c r="BI13" s="12">
        <f t="shared" si="1"/>
        <v>1</v>
      </c>
      <c r="BJ13" s="12">
        <f t="shared" si="1"/>
        <v>0</v>
      </c>
      <c r="BK13" s="12">
        <f t="shared" si="1"/>
        <v>0</v>
      </c>
      <c r="BL13" s="12">
        <f t="shared" si="1"/>
        <v>1</v>
      </c>
      <c r="BM13" s="12">
        <f t="shared" si="1"/>
        <v>0</v>
      </c>
      <c r="BN13" s="12">
        <f t="shared" si="1"/>
        <v>1</v>
      </c>
      <c r="BO13" s="12">
        <f t="shared" ref="BO13:CT13" si="2">IF(AND(BO3&gt;0,BO9&gt;0),1,0)</f>
        <v>0</v>
      </c>
      <c r="BP13" s="12">
        <f t="shared" si="2"/>
        <v>0</v>
      </c>
      <c r="BQ13" s="12">
        <f t="shared" si="2"/>
        <v>0</v>
      </c>
      <c r="BR13" s="12">
        <f t="shared" si="2"/>
        <v>0</v>
      </c>
      <c r="BS13" s="12">
        <f t="shared" si="2"/>
        <v>0</v>
      </c>
      <c r="BT13" s="12">
        <f t="shared" si="2"/>
        <v>1</v>
      </c>
      <c r="BU13" s="12">
        <f t="shared" si="2"/>
        <v>1</v>
      </c>
      <c r="BV13" s="12">
        <f t="shared" si="2"/>
        <v>1</v>
      </c>
      <c r="BW13" s="12">
        <f t="shared" si="2"/>
        <v>0</v>
      </c>
      <c r="BX13" s="12">
        <f t="shared" si="2"/>
        <v>0</v>
      </c>
      <c r="BY13" s="12">
        <f t="shared" si="2"/>
        <v>0</v>
      </c>
      <c r="BZ13" s="12">
        <f t="shared" si="2"/>
        <v>0</v>
      </c>
      <c r="CA13" s="12">
        <f t="shared" si="2"/>
        <v>0</v>
      </c>
      <c r="CB13" s="12">
        <f t="shared" si="2"/>
        <v>0</v>
      </c>
      <c r="CC13" s="12">
        <f t="shared" si="2"/>
        <v>0</v>
      </c>
      <c r="CD13" s="12">
        <f t="shared" si="2"/>
        <v>1</v>
      </c>
      <c r="CE13" s="12">
        <f t="shared" si="2"/>
        <v>1</v>
      </c>
      <c r="CF13" s="12">
        <f t="shared" si="2"/>
        <v>0</v>
      </c>
      <c r="CG13" s="12">
        <f t="shared" si="2"/>
        <v>1</v>
      </c>
      <c r="CH13" s="12">
        <f t="shared" si="2"/>
        <v>0</v>
      </c>
      <c r="CI13" s="12">
        <f t="shared" si="2"/>
        <v>0</v>
      </c>
      <c r="CJ13" s="12">
        <f t="shared" si="2"/>
        <v>0</v>
      </c>
      <c r="CK13" s="12">
        <f t="shared" si="2"/>
        <v>0</v>
      </c>
      <c r="CL13" s="12">
        <f t="shared" si="2"/>
        <v>0</v>
      </c>
      <c r="CM13" s="12">
        <f t="shared" si="2"/>
        <v>0</v>
      </c>
      <c r="CN13" s="12">
        <f t="shared" si="2"/>
        <v>0</v>
      </c>
      <c r="CO13" s="12">
        <f t="shared" si="2"/>
        <v>0</v>
      </c>
      <c r="CP13" s="12">
        <f t="shared" si="2"/>
        <v>0</v>
      </c>
      <c r="CQ13" s="12">
        <f t="shared" si="2"/>
        <v>1</v>
      </c>
      <c r="CR13" s="12">
        <f t="shared" si="2"/>
        <v>0</v>
      </c>
      <c r="CS13" s="12">
        <f t="shared" si="2"/>
        <v>0</v>
      </c>
      <c r="CT13" s="12">
        <f t="shared" si="2"/>
        <v>0</v>
      </c>
      <c r="CU13" s="12">
        <f t="shared" ref="CU13:DZ13" si="3">IF(AND(CU3&gt;0,CU9&gt;0),1,0)</f>
        <v>0</v>
      </c>
      <c r="CV13" s="12">
        <f t="shared" si="3"/>
        <v>1</v>
      </c>
      <c r="CW13" s="12">
        <f t="shared" si="3"/>
        <v>1</v>
      </c>
      <c r="CX13" s="12">
        <f t="shared" si="3"/>
        <v>0</v>
      </c>
      <c r="CY13" s="12">
        <f t="shared" si="3"/>
        <v>0</v>
      </c>
      <c r="CZ13" s="12">
        <f t="shared" si="3"/>
        <v>1</v>
      </c>
      <c r="DA13" s="12">
        <f t="shared" si="3"/>
        <v>0</v>
      </c>
      <c r="DB13" s="12">
        <f t="shared" si="3"/>
        <v>0</v>
      </c>
      <c r="DC13" s="12">
        <f t="shared" si="3"/>
        <v>0</v>
      </c>
      <c r="DD13" s="12">
        <f t="shared" si="3"/>
        <v>0</v>
      </c>
      <c r="DE13" s="12">
        <f t="shared" si="3"/>
        <v>0</v>
      </c>
      <c r="DF13" s="12">
        <f t="shared" si="3"/>
        <v>0</v>
      </c>
      <c r="DG13" s="12">
        <f t="shared" si="3"/>
        <v>0</v>
      </c>
      <c r="DH13" s="12">
        <f t="shared" si="3"/>
        <v>0</v>
      </c>
      <c r="DI13" s="12">
        <f t="shared" si="3"/>
        <v>0</v>
      </c>
      <c r="DJ13" s="12">
        <f t="shared" si="3"/>
        <v>0</v>
      </c>
      <c r="DK13" s="12">
        <f t="shared" si="3"/>
        <v>0</v>
      </c>
      <c r="DL13" s="12">
        <f t="shared" si="3"/>
        <v>0</v>
      </c>
      <c r="DM13" s="12">
        <f t="shared" si="3"/>
        <v>0</v>
      </c>
      <c r="DN13" s="12">
        <f t="shared" si="3"/>
        <v>0</v>
      </c>
      <c r="DO13" s="12">
        <f t="shared" si="3"/>
        <v>0</v>
      </c>
      <c r="DP13" s="12">
        <f t="shared" si="3"/>
        <v>1</v>
      </c>
      <c r="DQ13" s="12">
        <f t="shared" si="3"/>
        <v>0</v>
      </c>
      <c r="DR13" s="12">
        <f t="shared" si="3"/>
        <v>0</v>
      </c>
      <c r="DS13" s="12">
        <f t="shared" si="3"/>
        <v>0</v>
      </c>
      <c r="DT13" s="12">
        <f t="shared" si="3"/>
        <v>0</v>
      </c>
      <c r="DU13" s="12">
        <f t="shared" si="3"/>
        <v>0</v>
      </c>
      <c r="DV13" s="12">
        <f t="shared" si="3"/>
        <v>0</v>
      </c>
      <c r="DW13" s="12">
        <f t="shared" si="3"/>
        <v>1</v>
      </c>
      <c r="DX13" s="12">
        <f t="shared" si="3"/>
        <v>0</v>
      </c>
      <c r="DY13" s="12">
        <f t="shared" si="3"/>
        <v>0</v>
      </c>
      <c r="DZ13" s="12">
        <f t="shared" si="3"/>
        <v>0</v>
      </c>
      <c r="EA13" s="12">
        <f t="shared" ref="EA13:EL13" si="4">IF(AND(EA3&gt;0,EA9&gt;0),1,0)</f>
        <v>0</v>
      </c>
      <c r="EB13" s="12">
        <f t="shared" si="4"/>
        <v>1</v>
      </c>
      <c r="EC13" s="12">
        <f t="shared" si="4"/>
        <v>0</v>
      </c>
      <c r="ED13" s="12">
        <f t="shared" si="4"/>
        <v>0</v>
      </c>
      <c r="EE13" s="12">
        <f t="shared" si="4"/>
        <v>0</v>
      </c>
      <c r="EF13" s="12">
        <f t="shared" si="4"/>
        <v>0</v>
      </c>
      <c r="EG13" s="12">
        <f t="shared" si="4"/>
        <v>1</v>
      </c>
      <c r="EH13" s="12">
        <f t="shared" si="4"/>
        <v>0</v>
      </c>
      <c r="EI13" s="12">
        <f t="shared" si="4"/>
        <v>0</v>
      </c>
      <c r="EJ13" s="12">
        <f t="shared" si="4"/>
        <v>0</v>
      </c>
      <c r="EK13" s="12">
        <f t="shared" si="4"/>
        <v>0</v>
      </c>
      <c r="EL13" s="12">
        <f t="shared" si="4"/>
        <v>0</v>
      </c>
    </row>
    <row r="14" spans="1:142" ht="25" customHeight="1" x14ac:dyDescent="0.55000000000000004">
      <c r="A14" s="12" t="s">
        <v>321</v>
      </c>
      <c r="B14" s="11" t="s">
        <v>144</v>
      </c>
      <c r="C14" s="12">
        <f t="shared" ref="C14:AH14" si="5">IF(AND(C4&gt;0,C10&gt;0),1,0)</f>
        <v>0</v>
      </c>
      <c r="D14" s="12">
        <f t="shared" si="5"/>
        <v>0</v>
      </c>
      <c r="E14" s="12">
        <f t="shared" si="5"/>
        <v>0</v>
      </c>
      <c r="F14" s="12">
        <f t="shared" si="5"/>
        <v>0</v>
      </c>
      <c r="G14" s="12">
        <f t="shared" si="5"/>
        <v>0</v>
      </c>
      <c r="H14" s="12">
        <f t="shared" si="5"/>
        <v>0</v>
      </c>
      <c r="I14" s="12">
        <f t="shared" si="5"/>
        <v>0</v>
      </c>
      <c r="J14" s="12">
        <f t="shared" si="5"/>
        <v>1</v>
      </c>
      <c r="K14" s="12">
        <f t="shared" si="5"/>
        <v>0</v>
      </c>
      <c r="L14" s="12">
        <f t="shared" si="5"/>
        <v>0</v>
      </c>
      <c r="M14" s="12">
        <f t="shared" si="5"/>
        <v>0</v>
      </c>
      <c r="N14" s="12">
        <f t="shared" si="5"/>
        <v>0</v>
      </c>
      <c r="O14" s="12">
        <f t="shared" si="5"/>
        <v>0</v>
      </c>
      <c r="P14" s="12">
        <f t="shared" si="5"/>
        <v>0</v>
      </c>
      <c r="Q14" s="12">
        <f t="shared" si="5"/>
        <v>0</v>
      </c>
      <c r="R14" s="12">
        <f t="shared" si="5"/>
        <v>0</v>
      </c>
      <c r="S14" s="12">
        <f t="shared" si="5"/>
        <v>0</v>
      </c>
      <c r="T14" s="12">
        <f t="shared" si="5"/>
        <v>1</v>
      </c>
      <c r="U14" s="12">
        <f t="shared" si="5"/>
        <v>1</v>
      </c>
      <c r="V14" s="12">
        <f t="shared" si="5"/>
        <v>1</v>
      </c>
      <c r="W14" s="12">
        <f t="shared" si="5"/>
        <v>0</v>
      </c>
      <c r="X14" s="12">
        <f t="shared" si="5"/>
        <v>0</v>
      </c>
      <c r="Y14" s="12">
        <f t="shared" si="5"/>
        <v>0</v>
      </c>
      <c r="Z14" s="12">
        <f t="shared" si="5"/>
        <v>0</v>
      </c>
      <c r="AA14" s="12">
        <f t="shared" si="5"/>
        <v>0</v>
      </c>
      <c r="AB14" s="12">
        <f t="shared" si="5"/>
        <v>0</v>
      </c>
      <c r="AC14" s="12">
        <f t="shared" si="5"/>
        <v>0</v>
      </c>
      <c r="AD14" s="12">
        <f t="shared" si="5"/>
        <v>0</v>
      </c>
      <c r="AE14" s="12">
        <f t="shared" si="5"/>
        <v>1</v>
      </c>
      <c r="AF14" s="12">
        <f t="shared" si="5"/>
        <v>0</v>
      </c>
      <c r="AG14" s="12">
        <f t="shared" si="5"/>
        <v>0</v>
      </c>
      <c r="AH14" s="12">
        <f t="shared" si="5"/>
        <v>0</v>
      </c>
      <c r="AI14" s="12">
        <f t="shared" ref="AI14:BN14" si="6">IF(AND(AI4&gt;0,AI10&gt;0),1,0)</f>
        <v>0</v>
      </c>
      <c r="AJ14" s="12">
        <f t="shared" si="6"/>
        <v>0</v>
      </c>
      <c r="AK14" s="12">
        <f t="shared" si="6"/>
        <v>1</v>
      </c>
      <c r="AL14" s="12">
        <f t="shared" si="6"/>
        <v>0</v>
      </c>
      <c r="AM14" s="12">
        <f t="shared" si="6"/>
        <v>0</v>
      </c>
      <c r="AN14" s="12">
        <f t="shared" si="6"/>
        <v>0</v>
      </c>
      <c r="AO14" s="12">
        <f t="shared" si="6"/>
        <v>0</v>
      </c>
      <c r="AP14" s="12">
        <f t="shared" si="6"/>
        <v>1</v>
      </c>
      <c r="AQ14" s="12">
        <f t="shared" si="6"/>
        <v>0</v>
      </c>
      <c r="AR14" s="12">
        <f t="shared" si="6"/>
        <v>1</v>
      </c>
      <c r="AS14" s="12">
        <f t="shared" si="6"/>
        <v>0</v>
      </c>
      <c r="AT14" s="12">
        <f t="shared" si="6"/>
        <v>1</v>
      </c>
      <c r="AU14" s="12">
        <f t="shared" si="6"/>
        <v>0</v>
      </c>
      <c r="AV14" s="12">
        <f t="shared" si="6"/>
        <v>0</v>
      </c>
      <c r="AW14" s="12">
        <f t="shared" si="6"/>
        <v>0</v>
      </c>
      <c r="AX14" s="12">
        <f t="shared" si="6"/>
        <v>0</v>
      </c>
      <c r="AY14" s="12">
        <f t="shared" si="6"/>
        <v>1</v>
      </c>
      <c r="AZ14" s="12">
        <f t="shared" si="6"/>
        <v>0</v>
      </c>
      <c r="BA14" s="12">
        <f t="shared" si="6"/>
        <v>0</v>
      </c>
      <c r="BB14" s="12">
        <f t="shared" si="6"/>
        <v>0</v>
      </c>
      <c r="BC14" s="12">
        <f t="shared" si="6"/>
        <v>0</v>
      </c>
      <c r="BD14" s="12">
        <f t="shared" si="6"/>
        <v>0</v>
      </c>
      <c r="BE14" s="12">
        <f t="shared" si="6"/>
        <v>1</v>
      </c>
      <c r="BF14" s="12">
        <f t="shared" si="6"/>
        <v>1</v>
      </c>
      <c r="BG14" s="12">
        <f t="shared" si="6"/>
        <v>0</v>
      </c>
      <c r="BH14" s="12">
        <f t="shared" si="6"/>
        <v>0</v>
      </c>
      <c r="BI14" s="12">
        <f t="shared" si="6"/>
        <v>0</v>
      </c>
      <c r="BJ14" s="12">
        <f t="shared" si="6"/>
        <v>0</v>
      </c>
      <c r="BK14" s="12">
        <f t="shared" si="6"/>
        <v>0</v>
      </c>
      <c r="BL14" s="12">
        <f t="shared" si="6"/>
        <v>0</v>
      </c>
      <c r="BM14" s="12">
        <f t="shared" si="6"/>
        <v>0</v>
      </c>
      <c r="BN14" s="12">
        <f t="shared" si="6"/>
        <v>0</v>
      </c>
      <c r="BO14" s="12">
        <f t="shared" ref="BO14:CT14" si="7">IF(AND(BO4&gt;0,BO10&gt;0),1,0)</f>
        <v>0</v>
      </c>
      <c r="BP14" s="12">
        <f t="shared" si="7"/>
        <v>1</v>
      </c>
      <c r="BQ14" s="12">
        <f t="shared" si="7"/>
        <v>0</v>
      </c>
      <c r="BR14" s="12">
        <f t="shared" si="7"/>
        <v>0</v>
      </c>
      <c r="BS14" s="12">
        <f t="shared" si="7"/>
        <v>0</v>
      </c>
      <c r="BT14" s="12">
        <f t="shared" si="7"/>
        <v>0</v>
      </c>
      <c r="BU14" s="12">
        <f t="shared" si="7"/>
        <v>1</v>
      </c>
      <c r="BV14" s="12">
        <f t="shared" si="7"/>
        <v>0</v>
      </c>
      <c r="BW14" s="12">
        <f t="shared" si="7"/>
        <v>0</v>
      </c>
      <c r="BX14" s="12">
        <f t="shared" si="7"/>
        <v>0</v>
      </c>
      <c r="BY14" s="12">
        <f t="shared" si="7"/>
        <v>0</v>
      </c>
      <c r="BZ14" s="12">
        <f t="shared" si="7"/>
        <v>0</v>
      </c>
      <c r="CA14" s="12">
        <f t="shared" si="7"/>
        <v>0</v>
      </c>
      <c r="CB14" s="12">
        <f t="shared" si="7"/>
        <v>0</v>
      </c>
      <c r="CC14" s="12">
        <f t="shared" si="7"/>
        <v>0</v>
      </c>
      <c r="CD14" s="12">
        <f t="shared" si="7"/>
        <v>0</v>
      </c>
      <c r="CE14" s="12">
        <f t="shared" si="7"/>
        <v>0</v>
      </c>
      <c r="CF14" s="12">
        <f t="shared" si="7"/>
        <v>0</v>
      </c>
      <c r="CG14" s="12">
        <f t="shared" si="7"/>
        <v>1</v>
      </c>
      <c r="CH14" s="12">
        <f t="shared" si="7"/>
        <v>0</v>
      </c>
      <c r="CI14" s="12">
        <f t="shared" si="7"/>
        <v>0</v>
      </c>
      <c r="CJ14" s="12">
        <f t="shared" si="7"/>
        <v>0</v>
      </c>
      <c r="CK14" s="12">
        <f t="shared" si="7"/>
        <v>0</v>
      </c>
      <c r="CL14" s="12">
        <f t="shared" si="7"/>
        <v>0</v>
      </c>
      <c r="CM14" s="12">
        <f t="shared" si="7"/>
        <v>0</v>
      </c>
      <c r="CN14" s="12">
        <f t="shared" si="7"/>
        <v>1</v>
      </c>
      <c r="CO14" s="12">
        <f t="shared" si="7"/>
        <v>0</v>
      </c>
      <c r="CP14" s="12">
        <f t="shared" si="7"/>
        <v>1</v>
      </c>
      <c r="CQ14" s="12">
        <f t="shared" si="7"/>
        <v>0</v>
      </c>
      <c r="CR14" s="12">
        <f t="shared" si="7"/>
        <v>0</v>
      </c>
      <c r="CS14" s="12">
        <f t="shared" si="7"/>
        <v>0</v>
      </c>
      <c r="CT14" s="12">
        <f t="shared" si="7"/>
        <v>0</v>
      </c>
      <c r="CU14" s="12">
        <f t="shared" ref="CU14:DZ14" si="8">IF(AND(CU4&gt;0,CU10&gt;0),1,0)</f>
        <v>0</v>
      </c>
      <c r="CV14" s="12">
        <f t="shared" si="8"/>
        <v>0</v>
      </c>
      <c r="CW14" s="12">
        <f t="shared" si="8"/>
        <v>0</v>
      </c>
      <c r="CX14" s="12">
        <f t="shared" si="8"/>
        <v>0</v>
      </c>
      <c r="CY14" s="12">
        <f t="shared" si="8"/>
        <v>0</v>
      </c>
      <c r="CZ14" s="12">
        <f t="shared" si="8"/>
        <v>0</v>
      </c>
      <c r="DA14" s="12">
        <f t="shared" si="8"/>
        <v>0</v>
      </c>
      <c r="DB14" s="12">
        <f t="shared" si="8"/>
        <v>0</v>
      </c>
      <c r="DC14" s="12">
        <f t="shared" si="8"/>
        <v>0</v>
      </c>
      <c r="DD14" s="12">
        <f t="shared" si="8"/>
        <v>1</v>
      </c>
      <c r="DE14" s="12">
        <f t="shared" si="8"/>
        <v>1</v>
      </c>
      <c r="DF14" s="12">
        <f t="shared" si="8"/>
        <v>0</v>
      </c>
      <c r="DG14" s="12">
        <f t="shared" si="8"/>
        <v>1</v>
      </c>
      <c r="DH14" s="12">
        <f t="shared" si="8"/>
        <v>0</v>
      </c>
      <c r="DI14" s="12">
        <f t="shared" si="8"/>
        <v>0</v>
      </c>
      <c r="DJ14" s="12">
        <f t="shared" si="8"/>
        <v>0</v>
      </c>
      <c r="DK14" s="12">
        <f t="shared" si="8"/>
        <v>0</v>
      </c>
      <c r="DL14" s="12">
        <f t="shared" si="8"/>
        <v>0</v>
      </c>
      <c r="DM14" s="12">
        <f t="shared" si="8"/>
        <v>1</v>
      </c>
      <c r="DN14" s="12">
        <f t="shared" si="8"/>
        <v>0</v>
      </c>
      <c r="DO14" s="12">
        <f t="shared" si="8"/>
        <v>0</v>
      </c>
      <c r="DP14" s="12">
        <f t="shared" si="8"/>
        <v>0</v>
      </c>
      <c r="DQ14" s="12">
        <f t="shared" si="8"/>
        <v>0</v>
      </c>
      <c r="DR14" s="12">
        <f t="shared" si="8"/>
        <v>0</v>
      </c>
      <c r="DS14" s="12">
        <f t="shared" si="8"/>
        <v>0</v>
      </c>
      <c r="DT14" s="12">
        <f t="shared" si="8"/>
        <v>0</v>
      </c>
      <c r="DU14" s="12">
        <f t="shared" si="8"/>
        <v>1</v>
      </c>
      <c r="DV14" s="12">
        <f t="shared" si="8"/>
        <v>1</v>
      </c>
      <c r="DW14" s="12">
        <f t="shared" si="8"/>
        <v>0</v>
      </c>
      <c r="DX14" s="12">
        <f t="shared" si="8"/>
        <v>0</v>
      </c>
      <c r="DY14" s="12">
        <f t="shared" si="8"/>
        <v>0</v>
      </c>
      <c r="DZ14" s="12">
        <f t="shared" si="8"/>
        <v>0</v>
      </c>
      <c r="EA14" s="12">
        <f t="shared" ref="EA14:EL14" si="9">IF(AND(EA4&gt;0,EA10&gt;0),1,0)</f>
        <v>0</v>
      </c>
      <c r="EB14" s="12">
        <f t="shared" si="9"/>
        <v>0</v>
      </c>
      <c r="EC14" s="12">
        <f t="shared" si="9"/>
        <v>0</v>
      </c>
      <c r="ED14" s="12">
        <f t="shared" si="9"/>
        <v>1</v>
      </c>
      <c r="EE14" s="12">
        <f t="shared" si="9"/>
        <v>1</v>
      </c>
      <c r="EF14" s="12">
        <f t="shared" si="9"/>
        <v>0</v>
      </c>
      <c r="EG14" s="12">
        <f t="shared" si="9"/>
        <v>0</v>
      </c>
      <c r="EH14" s="12">
        <f t="shared" si="9"/>
        <v>0</v>
      </c>
      <c r="EI14" s="12">
        <f t="shared" si="9"/>
        <v>0</v>
      </c>
      <c r="EJ14" s="12">
        <f t="shared" si="9"/>
        <v>1</v>
      </c>
      <c r="EK14" s="12">
        <f t="shared" si="9"/>
        <v>1</v>
      </c>
      <c r="EL14" s="12">
        <f t="shared" si="9"/>
        <v>0</v>
      </c>
    </row>
    <row r="15" spans="1:142" ht="25" customHeight="1" x14ac:dyDescent="0.55000000000000004">
      <c r="B15" s="14" t="s">
        <v>145</v>
      </c>
      <c r="C15" s="12">
        <f t="shared" ref="C15:AH15" si="10">IF(AND(C5&gt;0,C11&gt;0),1,0)</f>
        <v>0</v>
      </c>
      <c r="D15" s="12">
        <f t="shared" si="10"/>
        <v>0</v>
      </c>
      <c r="E15" s="12">
        <f t="shared" si="10"/>
        <v>0</v>
      </c>
      <c r="F15" s="12">
        <f t="shared" si="10"/>
        <v>0</v>
      </c>
      <c r="G15" s="12">
        <f t="shared" si="10"/>
        <v>0</v>
      </c>
      <c r="H15" s="12">
        <f t="shared" si="10"/>
        <v>1</v>
      </c>
      <c r="I15" s="12">
        <f t="shared" si="10"/>
        <v>0</v>
      </c>
      <c r="J15" s="12">
        <f t="shared" si="10"/>
        <v>0</v>
      </c>
      <c r="K15" s="12">
        <f t="shared" si="10"/>
        <v>1</v>
      </c>
      <c r="L15" s="12">
        <f t="shared" si="10"/>
        <v>0</v>
      </c>
      <c r="M15" s="12">
        <f t="shared" si="10"/>
        <v>1</v>
      </c>
      <c r="N15" s="12">
        <f t="shared" si="10"/>
        <v>0</v>
      </c>
      <c r="O15" s="12">
        <f t="shared" si="10"/>
        <v>0</v>
      </c>
      <c r="P15" s="12">
        <f t="shared" si="10"/>
        <v>1</v>
      </c>
      <c r="Q15" s="12">
        <f t="shared" si="10"/>
        <v>1</v>
      </c>
      <c r="R15" s="12">
        <f t="shared" si="10"/>
        <v>0</v>
      </c>
      <c r="S15" s="12">
        <f t="shared" si="10"/>
        <v>1</v>
      </c>
      <c r="T15" s="12">
        <f t="shared" si="10"/>
        <v>1</v>
      </c>
      <c r="U15" s="12">
        <f t="shared" si="10"/>
        <v>0</v>
      </c>
      <c r="V15" s="12">
        <f t="shared" si="10"/>
        <v>1</v>
      </c>
      <c r="W15" s="12">
        <f t="shared" si="10"/>
        <v>0</v>
      </c>
      <c r="X15" s="12">
        <f t="shared" si="10"/>
        <v>0</v>
      </c>
      <c r="Y15" s="12">
        <f t="shared" si="10"/>
        <v>0</v>
      </c>
      <c r="Z15" s="12">
        <f t="shared" si="10"/>
        <v>0</v>
      </c>
      <c r="AA15" s="12">
        <f t="shared" si="10"/>
        <v>1</v>
      </c>
      <c r="AB15" s="12">
        <f t="shared" si="10"/>
        <v>0</v>
      </c>
      <c r="AC15" s="12">
        <f t="shared" si="10"/>
        <v>0</v>
      </c>
      <c r="AD15" s="12">
        <f t="shared" si="10"/>
        <v>1</v>
      </c>
      <c r="AE15" s="12">
        <f t="shared" si="10"/>
        <v>1</v>
      </c>
      <c r="AF15" s="12">
        <f t="shared" si="10"/>
        <v>0</v>
      </c>
      <c r="AG15" s="12">
        <f t="shared" si="10"/>
        <v>0</v>
      </c>
      <c r="AH15" s="12">
        <f t="shared" si="10"/>
        <v>0</v>
      </c>
      <c r="AI15" s="12">
        <f t="shared" ref="AI15:BN15" si="11">IF(AND(AI5&gt;0,AI11&gt;0),1,0)</f>
        <v>1</v>
      </c>
      <c r="AJ15" s="12">
        <f t="shared" si="11"/>
        <v>0</v>
      </c>
      <c r="AK15" s="12">
        <f t="shared" si="11"/>
        <v>0</v>
      </c>
      <c r="AL15" s="12">
        <f t="shared" si="11"/>
        <v>0</v>
      </c>
      <c r="AM15" s="12">
        <f t="shared" si="11"/>
        <v>1</v>
      </c>
      <c r="AN15" s="12">
        <f t="shared" si="11"/>
        <v>1</v>
      </c>
      <c r="AO15" s="12">
        <f t="shared" si="11"/>
        <v>1</v>
      </c>
      <c r="AP15" s="12">
        <f t="shared" si="11"/>
        <v>1</v>
      </c>
      <c r="AQ15" s="12">
        <f t="shared" si="11"/>
        <v>0</v>
      </c>
      <c r="AR15" s="12">
        <f t="shared" si="11"/>
        <v>1</v>
      </c>
      <c r="AS15" s="12">
        <f t="shared" si="11"/>
        <v>0</v>
      </c>
      <c r="AT15" s="12">
        <f t="shared" si="11"/>
        <v>1</v>
      </c>
      <c r="AU15" s="12">
        <f t="shared" si="11"/>
        <v>0</v>
      </c>
      <c r="AV15" s="12">
        <f t="shared" si="11"/>
        <v>0</v>
      </c>
      <c r="AW15" s="12">
        <f t="shared" si="11"/>
        <v>0</v>
      </c>
      <c r="AX15" s="12">
        <f t="shared" si="11"/>
        <v>0</v>
      </c>
      <c r="AY15" s="12">
        <f t="shared" si="11"/>
        <v>1</v>
      </c>
      <c r="AZ15" s="12">
        <f t="shared" si="11"/>
        <v>0</v>
      </c>
      <c r="BA15" s="12">
        <f t="shared" si="11"/>
        <v>0</v>
      </c>
      <c r="BB15" s="12">
        <f t="shared" si="11"/>
        <v>0</v>
      </c>
      <c r="BC15" s="12">
        <f t="shared" si="11"/>
        <v>0</v>
      </c>
      <c r="BD15" s="12">
        <f t="shared" si="11"/>
        <v>0</v>
      </c>
      <c r="BE15" s="12">
        <f t="shared" si="11"/>
        <v>0</v>
      </c>
      <c r="BF15" s="12">
        <f t="shared" si="11"/>
        <v>0</v>
      </c>
      <c r="BG15" s="12">
        <f t="shared" si="11"/>
        <v>0</v>
      </c>
      <c r="BH15" s="12">
        <f t="shared" si="11"/>
        <v>0</v>
      </c>
      <c r="BI15" s="12">
        <f t="shared" si="11"/>
        <v>0</v>
      </c>
      <c r="BJ15" s="12">
        <f t="shared" si="11"/>
        <v>0</v>
      </c>
      <c r="BK15" s="12">
        <f t="shared" si="11"/>
        <v>0</v>
      </c>
      <c r="BL15" s="12">
        <f t="shared" si="11"/>
        <v>0</v>
      </c>
      <c r="BM15" s="12">
        <f t="shared" si="11"/>
        <v>1</v>
      </c>
      <c r="BN15" s="12">
        <f t="shared" si="11"/>
        <v>0</v>
      </c>
      <c r="BO15" s="12">
        <f t="shared" ref="BO15:CT15" si="12">IF(AND(BO5&gt;0,BO11&gt;0),1,0)</f>
        <v>0</v>
      </c>
      <c r="BP15" s="12">
        <f t="shared" si="12"/>
        <v>0</v>
      </c>
      <c r="BQ15" s="12">
        <f t="shared" si="12"/>
        <v>0</v>
      </c>
      <c r="BR15" s="12">
        <f t="shared" si="12"/>
        <v>0</v>
      </c>
      <c r="BS15" s="12">
        <f t="shared" si="12"/>
        <v>0</v>
      </c>
      <c r="BT15" s="12">
        <f t="shared" si="12"/>
        <v>1</v>
      </c>
      <c r="BU15" s="12">
        <f t="shared" si="12"/>
        <v>0</v>
      </c>
      <c r="BV15" s="12">
        <f t="shared" si="12"/>
        <v>0</v>
      </c>
      <c r="BW15" s="12">
        <f t="shared" si="12"/>
        <v>0</v>
      </c>
      <c r="BX15" s="12">
        <f t="shared" si="12"/>
        <v>0</v>
      </c>
      <c r="BY15" s="12">
        <f t="shared" si="12"/>
        <v>1</v>
      </c>
      <c r="BZ15" s="12">
        <f t="shared" si="12"/>
        <v>0</v>
      </c>
      <c r="CA15" s="12">
        <f t="shared" si="12"/>
        <v>1</v>
      </c>
      <c r="CB15" s="12">
        <f t="shared" si="12"/>
        <v>0</v>
      </c>
      <c r="CC15" s="12">
        <f t="shared" si="12"/>
        <v>0</v>
      </c>
      <c r="CD15" s="12">
        <f t="shared" si="12"/>
        <v>0</v>
      </c>
      <c r="CE15" s="12">
        <f t="shared" si="12"/>
        <v>0</v>
      </c>
      <c r="CF15" s="12">
        <f t="shared" si="12"/>
        <v>0</v>
      </c>
      <c r="CG15" s="12">
        <f t="shared" si="12"/>
        <v>0</v>
      </c>
      <c r="CH15" s="12">
        <f t="shared" si="12"/>
        <v>0</v>
      </c>
      <c r="CI15" s="12">
        <f t="shared" si="12"/>
        <v>0</v>
      </c>
      <c r="CJ15" s="12">
        <f t="shared" si="12"/>
        <v>0</v>
      </c>
      <c r="CK15" s="12">
        <f t="shared" si="12"/>
        <v>1</v>
      </c>
      <c r="CL15" s="12">
        <f t="shared" si="12"/>
        <v>1</v>
      </c>
      <c r="CM15" s="12">
        <f t="shared" si="12"/>
        <v>0</v>
      </c>
      <c r="CN15" s="12">
        <f t="shared" si="12"/>
        <v>0</v>
      </c>
      <c r="CO15" s="12">
        <f t="shared" si="12"/>
        <v>0</v>
      </c>
      <c r="CP15" s="12">
        <f t="shared" si="12"/>
        <v>0</v>
      </c>
      <c r="CQ15" s="12">
        <f t="shared" si="12"/>
        <v>0</v>
      </c>
      <c r="CR15" s="12">
        <f t="shared" si="12"/>
        <v>0</v>
      </c>
      <c r="CS15" s="12">
        <f t="shared" si="12"/>
        <v>0</v>
      </c>
      <c r="CT15" s="12">
        <f t="shared" si="12"/>
        <v>0</v>
      </c>
      <c r="CU15" s="12">
        <f t="shared" ref="CU15:DZ15" si="13">IF(AND(CU5&gt;0,CU11&gt;0),1,0)</f>
        <v>0</v>
      </c>
      <c r="CV15" s="12">
        <f t="shared" si="13"/>
        <v>0</v>
      </c>
      <c r="CW15" s="12">
        <f t="shared" si="13"/>
        <v>1</v>
      </c>
      <c r="CX15" s="12">
        <f t="shared" si="13"/>
        <v>0</v>
      </c>
      <c r="CY15" s="12">
        <f t="shared" si="13"/>
        <v>0</v>
      </c>
      <c r="CZ15" s="12">
        <f t="shared" si="13"/>
        <v>0</v>
      </c>
      <c r="DA15" s="12">
        <f t="shared" si="13"/>
        <v>0</v>
      </c>
      <c r="DB15" s="12">
        <f t="shared" si="13"/>
        <v>1</v>
      </c>
      <c r="DC15" s="12">
        <f t="shared" si="13"/>
        <v>0</v>
      </c>
      <c r="DD15" s="12">
        <f t="shared" si="13"/>
        <v>0</v>
      </c>
      <c r="DE15" s="12">
        <f t="shared" si="13"/>
        <v>0</v>
      </c>
      <c r="DF15" s="12">
        <f t="shared" si="13"/>
        <v>0</v>
      </c>
      <c r="DG15" s="12">
        <f t="shared" si="13"/>
        <v>0</v>
      </c>
      <c r="DH15" s="12">
        <f t="shared" si="13"/>
        <v>1</v>
      </c>
      <c r="DI15" s="12">
        <f t="shared" si="13"/>
        <v>1</v>
      </c>
      <c r="DJ15" s="12">
        <f t="shared" si="13"/>
        <v>0</v>
      </c>
      <c r="DK15" s="12">
        <f t="shared" si="13"/>
        <v>1</v>
      </c>
      <c r="DL15" s="12">
        <f t="shared" si="13"/>
        <v>1</v>
      </c>
      <c r="DM15" s="12">
        <f t="shared" si="13"/>
        <v>0</v>
      </c>
      <c r="DN15" s="12">
        <f t="shared" si="13"/>
        <v>1</v>
      </c>
      <c r="DO15" s="12">
        <f t="shared" si="13"/>
        <v>0</v>
      </c>
      <c r="DP15" s="12">
        <f t="shared" si="13"/>
        <v>0</v>
      </c>
      <c r="DQ15" s="12">
        <f t="shared" si="13"/>
        <v>0</v>
      </c>
      <c r="DR15" s="12">
        <f t="shared" si="13"/>
        <v>1</v>
      </c>
      <c r="DS15" s="12">
        <f t="shared" si="13"/>
        <v>0</v>
      </c>
      <c r="DT15" s="12">
        <f t="shared" si="13"/>
        <v>1</v>
      </c>
      <c r="DU15" s="12">
        <f t="shared" si="13"/>
        <v>0</v>
      </c>
      <c r="DV15" s="12">
        <f t="shared" si="13"/>
        <v>0</v>
      </c>
      <c r="DW15" s="12">
        <f t="shared" si="13"/>
        <v>0</v>
      </c>
      <c r="DX15" s="12">
        <f t="shared" si="13"/>
        <v>0</v>
      </c>
      <c r="DY15" s="12">
        <f t="shared" si="13"/>
        <v>1</v>
      </c>
      <c r="DZ15" s="12">
        <f t="shared" si="13"/>
        <v>1</v>
      </c>
      <c r="EA15" s="12">
        <f t="shared" ref="EA15:EL15" si="14">IF(AND(EA5&gt;0,EA11&gt;0),1,0)</f>
        <v>0</v>
      </c>
      <c r="EB15" s="12">
        <f t="shared" si="14"/>
        <v>0</v>
      </c>
      <c r="EC15" s="12">
        <f t="shared" si="14"/>
        <v>0</v>
      </c>
      <c r="ED15" s="12">
        <f t="shared" si="14"/>
        <v>0</v>
      </c>
      <c r="EE15" s="12">
        <f t="shared" si="14"/>
        <v>0</v>
      </c>
      <c r="EF15" s="12">
        <f t="shared" si="14"/>
        <v>0</v>
      </c>
      <c r="EG15" s="12">
        <f t="shared" si="14"/>
        <v>0</v>
      </c>
      <c r="EH15" s="12">
        <f t="shared" si="14"/>
        <v>0</v>
      </c>
      <c r="EI15" s="12">
        <f t="shared" si="14"/>
        <v>0</v>
      </c>
      <c r="EJ15" s="12">
        <f t="shared" si="14"/>
        <v>1</v>
      </c>
      <c r="EK15" s="12">
        <f t="shared" si="14"/>
        <v>0</v>
      </c>
      <c r="EL15" s="12">
        <f t="shared" si="14"/>
        <v>1</v>
      </c>
    </row>
    <row r="16" spans="1:142" ht="25" customHeight="1" x14ac:dyDescent="0.55000000000000004">
      <c r="B16" s="16" t="s">
        <v>320</v>
      </c>
      <c r="C16" s="12">
        <f>SUM(C13:C15)+SUM(D13:D15)+SUM(E13:E15)+SUM(F13:F15)+SUM(G13:G15)+SUM(H13:H15)+SUM(I13:I15)+SUM(J13:J15)+SUM(K13:K15)+SUM(L13:L15)+SUM(M13:M15)+SUM(N13:N15)+SUM(O13:O15)+SUM(P13:P15)+SUM(Q13:Q15)+SUM(R13:R15)+SUM(S13:S15)+SUM(T13:T15)+SUM(U13:U15)+SUM(V13:V15)+SUM(W13:W15)+SUM(X13:X15)+SUM(Y13:Y15)+SUM(Z13:Z15)+SUM(AA13:AA15)+SUM(AB13:AB15)+SUM(AC13:AC15)+SUM(AD13:AD15)+SUM(AE13:AE15)+SUM(AF13:AF15)+SUM(AG13:AG15)+SUM(AH13:AH15)+SUM(AI13:AI15)+SUM(AJ13:AJ15)+SUM(AK13:AK15)+SUM(AL13:AL15)+SUM(AM13:AM15)+SUM(AN13:AN15)+SUM(AO13:AO15)+SUM(AP13:AP15)+SUM(AQ13:AQ15)+SUM(AR13:AR15)+SUM(AS13:AS15)+SUM(AT13:AT15)+SUM(AU13:AU15)+SUM(AV13:AV15)+SUM(AW13:AW15)+SUM(AX13:AX15)+SUM(AY13:AY15)+SUM(AZ13:AZ15)+SUM(BA13:BA15)+SUM(BB13:BB15)+SUM(BC13:BC15)+SUM(BD13:BD15)+SUM(BE13:BE15)+SUM(BF13:BF15)+SUM(BG13:BG15)+SUM(BH13:BH15)+SUM(BI13:BI15)+SUM(BJ13:BJ15)+SUM(BK13:BK15)+SUM(BL13:BL15)+SUM(BM13:BM15)+SUM(BN13:BN15)+SUM(BO13:BO15)+SUM(BP13:BP15)+SUM(BQ13:BQ15)+SUM(BR13:BR15)+SUM(BS13:BS15)+SUM(BT13:BT15)+SUM(BU13:BU15)+SUM(BV13:BV15)+SUM(BW13:BW15)+SUM(BX13:BX15)+SUM(BY13:BY15)+SUM(BZ13:BZ15)+SUM(CA13:CA15)+SUM(CB13:CB15)+SUM(CC13:CC15)+SUM(CD13:CD15)+SUM(CE13:CE15)+SUM(CF13:CF15)+SUM(CG13:CG15)+SUM(CH13:CH15)+SUM(CI13:CI15)+SUM(CJ13:CJ15)+SUM(CK13:CK15)+SUM(CL13:CL15)+SUM(CM13:CM15)+SUM(CN13:CN15)+SUM(CO13:CO15)+SUM(CP13:CP15)+SUM(CQ13:CQ15)+SUM(CR13:CR15)+SUM(CS13:CS15)+SUM(CT13:CT15)+SUM(CU13:CU15)+SUM(CV13:CV15)+SUM(CW13:CW15)+SUM(CX13:CX15)+SUM(CY13:CY15)+SUM(CZ13:CZ15)+SUM(DA13:DA15)+SUM(DB13:DB15)+SUM(DC13:DC15)+SUM(DD13:DD15)+SUM(DE13:DE15)+SUM(DF13:DF15)+SUM(DG13:DG15)+SUM(DH13:DH15)+SUM(DI13:DI15)+SUM(DJ13:DJ15)+SUM(DK13:DK15)+SUM(DL13:DL15)+SUM(DM13:DM15)+SUM(DN13:DN15)+SUM(DO13:DO15)+SUM(DP13:DP15)+SUM(DQ13:DQ15)+SUM(DR13:DR15)+SUM(DS13:DS15)+SUM(DT13:DT15)+SUM(DU13:DU15)+SUM(DV13:DV15)+SUM(DW13:DW15)+SUM(DX13:DX15)+SUM(DY13:DY15)+SUM(DZ13:DZ15)+SUM(EA13:EA15)+SUM(EB13:EB15)+SUM(EC13:EC15)+SUM(ED13:ED15)+SUM(EE13:EE15)+SUM(EF13:EF15)+SUM(EG13:EG15)+SUM(EH13:EH15)+SUM(EI13:EI15)+SUM(EJ13:EJ15)+SUM(EK13:EK15)+SUM(EL13:EL15)</f>
        <v>109</v>
      </c>
    </row>
    <row r="17" spans="1:142" ht="25" customHeight="1" x14ac:dyDescent="0.55000000000000004">
      <c r="A17" s="12" t="s">
        <v>322</v>
      </c>
      <c r="B17" s="11" t="s">
        <v>143</v>
      </c>
      <c r="C17" s="12">
        <f t="shared" ref="C17:AH17" si="15">IF(AND(C3&gt;0,C9&lt;0),1,0)</f>
        <v>0</v>
      </c>
      <c r="D17" s="12">
        <f t="shared" si="15"/>
        <v>0</v>
      </c>
      <c r="E17" s="12">
        <f t="shared" si="15"/>
        <v>1</v>
      </c>
      <c r="F17" s="12">
        <f t="shared" si="15"/>
        <v>1</v>
      </c>
      <c r="G17" s="12">
        <f t="shared" si="15"/>
        <v>1</v>
      </c>
      <c r="H17" s="12">
        <f t="shared" si="15"/>
        <v>0</v>
      </c>
      <c r="I17" s="12">
        <f t="shared" si="15"/>
        <v>0</v>
      </c>
      <c r="J17" s="12">
        <f t="shared" si="15"/>
        <v>0</v>
      </c>
      <c r="K17" s="12">
        <f t="shared" si="15"/>
        <v>1</v>
      </c>
      <c r="L17" s="12">
        <f t="shared" si="15"/>
        <v>0</v>
      </c>
      <c r="M17" s="12">
        <f t="shared" si="15"/>
        <v>1</v>
      </c>
      <c r="N17" s="12">
        <f t="shared" si="15"/>
        <v>0</v>
      </c>
      <c r="O17" s="12">
        <f t="shared" si="15"/>
        <v>0</v>
      </c>
      <c r="P17" s="12">
        <f t="shared" si="15"/>
        <v>1</v>
      </c>
      <c r="Q17" s="12">
        <f t="shared" si="15"/>
        <v>0</v>
      </c>
      <c r="R17" s="12">
        <f t="shared" si="15"/>
        <v>0</v>
      </c>
      <c r="S17" s="12">
        <f t="shared" si="15"/>
        <v>1</v>
      </c>
      <c r="T17" s="12">
        <f t="shared" si="15"/>
        <v>0</v>
      </c>
      <c r="U17" s="12">
        <f t="shared" si="15"/>
        <v>0</v>
      </c>
      <c r="V17" s="12">
        <f t="shared" si="15"/>
        <v>0</v>
      </c>
      <c r="W17" s="12">
        <f t="shared" si="15"/>
        <v>0</v>
      </c>
      <c r="X17" s="12">
        <f t="shared" si="15"/>
        <v>0</v>
      </c>
      <c r="Y17" s="12">
        <f t="shared" si="15"/>
        <v>1</v>
      </c>
      <c r="Z17" s="12">
        <f t="shared" si="15"/>
        <v>0</v>
      </c>
      <c r="AA17" s="12">
        <f t="shared" si="15"/>
        <v>1</v>
      </c>
      <c r="AB17" s="12">
        <f t="shared" si="15"/>
        <v>0</v>
      </c>
      <c r="AC17" s="12">
        <f t="shared" si="15"/>
        <v>0</v>
      </c>
      <c r="AD17" s="12">
        <f t="shared" si="15"/>
        <v>0</v>
      </c>
      <c r="AE17" s="12">
        <f t="shared" si="15"/>
        <v>0</v>
      </c>
      <c r="AF17" s="12">
        <f t="shared" si="15"/>
        <v>0</v>
      </c>
      <c r="AG17" s="12">
        <f t="shared" si="15"/>
        <v>0</v>
      </c>
      <c r="AH17" s="12">
        <f t="shared" si="15"/>
        <v>0</v>
      </c>
      <c r="AI17" s="12">
        <f t="shared" ref="AI17:BN17" si="16">IF(AND(AI3&gt;0,AI9&lt;0),1,0)</f>
        <v>0</v>
      </c>
      <c r="AJ17" s="12">
        <f t="shared" si="16"/>
        <v>0</v>
      </c>
      <c r="AK17" s="12">
        <f t="shared" si="16"/>
        <v>0</v>
      </c>
      <c r="AL17" s="12">
        <f t="shared" si="16"/>
        <v>0</v>
      </c>
      <c r="AM17" s="12">
        <f t="shared" si="16"/>
        <v>0</v>
      </c>
      <c r="AN17" s="12">
        <f t="shared" si="16"/>
        <v>0</v>
      </c>
      <c r="AO17" s="12">
        <f t="shared" si="16"/>
        <v>1</v>
      </c>
      <c r="AP17" s="12">
        <f t="shared" si="16"/>
        <v>1</v>
      </c>
      <c r="AQ17" s="12">
        <f t="shared" si="16"/>
        <v>0</v>
      </c>
      <c r="AR17" s="12">
        <f t="shared" si="16"/>
        <v>0</v>
      </c>
      <c r="AS17" s="12">
        <f t="shared" si="16"/>
        <v>0</v>
      </c>
      <c r="AT17" s="12">
        <f t="shared" si="16"/>
        <v>0</v>
      </c>
      <c r="AU17" s="12">
        <f t="shared" si="16"/>
        <v>0</v>
      </c>
      <c r="AV17" s="12">
        <f t="shared" si="16"/>
        <v>1</v>
      </c>
      <c r="AW17" s="12">
        <f t="shared" si="16"/>
        <v>0</v>
      </c>
      <c r="AX17" s="12">
        <f t="shared" si="16"/>
        <v>0</v>
      </c>
      <c r="AY17" s="12">
        <f t="shared" si="16"/>
        <v>0</v>
      </c>
      <c r="AZ17" s="12">
        <f t="shared" si="16"/>
        <v>0</v>
      </c>
      <c r="BA17" s="12">
        <f t="shared" si="16"/>
        <v>0</v>
      </c>
      <c r="BB17" s="12">
        <f t="shared" si="16"/>
        <v>0</v>
      </c>
      <c r="BC17" s="12">
        <f t="shared" si="16"/>
        <v>0</v>
      </c>
      <c r="BD17" s="12">
        <f t="shared" si="16"/>
        <v>0</v>
      </c>
      <c r="BE17" s="12">
        <f t="shared" si="16"/>
        <v>0</v>
      </c>
      <c r="BF17" s="12">
        <f t="shared" si="16"/>
        <v>0</v>
      </c>
      <c r="BG17" s="12">
        <f t="shared" si="16"/>
        <v>0</v>
      </c>
      <c r="BH17" s="12">
        <f t="shared" si="16"/>
        <v>0</v>
      </c>
      <c r="BI17" s="12">
        <f t="shared" si="16"/>
        <v>0</v>
      </c>
      <c r="BJ17" s="12">
        <f t="shared" si="16"/>
        <v>1</v>
      </c>
      <c r="BK17" s="12">
        <f t="shared" si="16"/>
        <v>1</v>
      </c>
      <c r="BL17" s="12">
        <f t="shared" si="16"/>
        <v>0</v>
      </c>
      <c r="BM17" s="12">
        <f t="shared" si="16"/>
        <v>1</v>
      </c>
      <c r="BN17" s="12">
        <f t="shared" si="16"/>
        <v>0</v>
      </c>
      <c r="BO17" s="12">
        <f t="shared" ref="BO17:CT17" si="17">IF(AND(BO3&gt;0,BO9&lt;0),1,0)</f>
        <v>0</v>
      </c>
      <c r="BP17" s="12">
        <f t="shared" si="17"/>
        <v>1</v>
      </c>
      <c r="BQ17" s="12">
        <f t="shared" si="17"/>
        <v>0</v>
      </c>
      <c r="BR17" s="12">
        <f t="shared" si="17"/>
        <v>1</v>
      </c>
      <c r="BS17" s="12">
        <f t="shared" si="17"/>
        <v>0</v>
      </c>
      <c r="BT17" s="12">
        <f t="shared" si="17"/>
        <v>0</v>
      </c>
      <c r="BU17" s="12">
        <f t="shared" si="17"/>
        <v>0</v>
      </c>
      <c r="BV17" s="12">
        <f t="shared" si="17"/>
        <v>0</v>
      </c>
      <c r="BW17" s="12">
        <f t="shared" si="17"/>
        <v>1</v>
      </c>
      <c r="BX17" s="12">
        <f t="shared" si="17"/>
        <v>0</v>
      </c>
      <c r="BY17" s="12">
        <f t="shared" si="17"/>
        <v>1</v>
      </c>
      <c r="BZ17" s="12">
        <f t="shared" si="17"/>
        <v>0</v>
      </c>
      <c r="CA17" s="12">
        <f t="shared" si="17"/>
        <v>0</v>
      </c>
      <c r="CB17" s="12">
        <f t="shared" si="17"/>
        <v>0</v>
      </c>
      <c r="CC17" s="12">
        <f t="shared" si="17"/>
        <v>0</v>
      </c>
      <c r="CD17" s="12">
        <f t="shared" si="17"/>
        <v>0</v>
      </c>
      <c r="CE17" s="12">
        <f t="shared" si="17"/>
        <v>0</v>
      </c>
      <c r="CF17" s="12">
        <f t="shared" si="17"/>
        <v>0</v>
      </c>
      <c r="CG17" s="12">
        <f t="shared" si="17"/>
        <v>0</v>
      </c>
      <c r="CH17" s="12">
        <f t="shared" si="17"/>
        <v>0</v>
      </c>
      <c r="CI17" s="12">
        <f t="shared" si="17"/>
        <v>1</v>
      </c>
      <c r="CJ17" s="12">
        <f t="shared" si="17"/>
        <v>0</v>
      </c>
      <c r="CK17" s="12">
        <f t="shared" si="17"/>
        <v>0</v>
      </c>
      <c r="CL17" s="12">
        <f t="shared" si="17"/>
        <v>0</v>
      </c>
      <c r="CM17" s="12">
        <f t="shared" si="17"/>
        <v>1</v>
      </c>
      <c r="CN17" s="12">
        <f t="shared" si="17"/>
        <v>0</v>
      </c>
      <c r="CO17" s="12">
        <f t="shared" si="17"/>
        <v>0</v>
      </c>
      <c r="CP17" s="12">
        <f t="shared" si="17"/>
        <v>0</v>
      </c>
      <c r="CQ17" s="12">
        <f t="shared" si="17"/>
        <v>0</v>
      </c>
      <c r="CR17" s="12">
        <f t="shared" si="17"/>
        <v>1</v>
      </c>
      <c r="CS17" s="12">
        <f t="shared" si="17"/>
        <v>0</v>
      </c>
      <c r="CT17" s="12">
        <f t="shared" si="17"/>
        <v>0</v>
      </c>
      <c r="CU17" s="12">
        <f t="shared" ref="CU17:DZ17" si="18">IF(AND(CU3&gt;0,CU9&lt;0),1,0)</f>
        <v>0</v>
      </c>
      <c r="CV17" s="12">
        <f t="shared" si="18"/>
        <v>0</v>
      </c>
      <c r="CW17" s="12">
        <f t="shared" si="18"/>
        <v>0</v>
      </c>
      <c r="CX17" s="12">
        <f t="shared" si="18"/>
        <v>0</v>
      </c>
      <c r="CY17" s="12">
        <f t="shared" si="18"/>
        <v>1</v>
      </c>
      <c r="CZ17" s="12">
        <f t="shared" si="18"/>
        <v>0</v>
      </c>
      <c r="DA17" s="12">
        <f t="shared" si="18"/>
        <v>1</v>
      </c>
      <c r="DB17" s="12">
        <f t="shared" si="18"/>
        <v>0</v>
      </c>
      <c r="DC17" s="12">
        <f t="shared" si="18"/>
        <v>0</v>
      </c>
      <c r="DD17" s="12">
        <f t="shared" si="18"/>
        <v>0</v>
      </c>
      <c r="DE17" s="12">
        <f t="shared" si="18"/>
        <v>1</v>
      </c>
      <c r="DF17" s="12">
        <f t="shared" si="18"/>
        <v>0</v>
      </c>
      <c r="DG17" s="12">
        <f t="shared" si="18"/>
        <v>0</v>
      </c>
      <c r="DH17" s="12">
        <f t="shared" si="18"/>
        <v>0</v>
      </c>
      <c r="DI17" s="12">
        <f t="shared" si="18"/>
        <v>1</v>
      </c>
      <c r="DJ17" s="12">
        <f t="shared" si="18"/>
        <v>0</v>
      </c>
      <c r="DK17" s="12">
        <f t="shared" si="18"/>
        <v>1</v>
      </c>
      <c r="DL17" s="12">
        <f t="shared" si="18"/>
        <v>0</v>
      </c>
      <c r="DM17" s="12">
        <f t="shared" si="18"/>
        <v>0</v>
      </c>
      <c r="DN17" s="12">
        <f t="shared" si="18"/>
        <v>0</v>
      </c>
      <c r="DO17" s="12">
        <f t="shared" si="18"/>
        <v>0</v>
      </c>
      <c r="DP17" s="12">
        <f t="shared" si="18"/>
        <v>0</v>
      </c>
      <c r="DQ17" s="12">
        <f t="shared" si="18"/>
        <v>1</v>
      </c>
      <c r="DR17" s="12">
        <f t="shared" si="18"/>
        <v>0</v>
      </c>
      <c r="DS17" s="12">
        <f t="shared" si="18"/>
        <v>1</v>
      </c>
      <c r="DT17" s="12">
        <f t="shared" si="18"/>
        <v>0</v>
      </c>
      <c r="DU17" s="12">
        <f t="shared" si="18"/>
        <v>0</v>
      </c>
      <c r="DV17" s="12">
        <f t="shared" si="18"/>
        <v>0</v>
      </c>
      <c r="DW17" s="12">
        <f t="shared" si="18"/>
        <v>0</v>
      </c>
      <c r="DX17" s="12">
        <f t="shared" si="18"/>
        <v>1</v>
      </c>
      <c r="DY17" s="12">
        <f t="shared" si="18"/>
        <v>0</v>
      </c>
      <c r="DZ17" s="12">
        <f t="shared" si="18"/>
        <v>1</v>
      </c>
      <c r="EA17" s="12">
        <f t="shared" ref="EA17:EL17" si="19">IF(AND(EA3&gt;0,EA9&lt;0),1,0)</f>
        <v>0</v>
      </c>
      <c r="EB17" s="12">
        <f t="shared" si="19"/>
        <v>0</v>
      </c>
      <c r="EC17" s="12">
        <f t="shared" si="19"/>
        <v>0</v>
      </c>
      <c r="ED17" s="12">
        <f t="shared" si="19"/>
        <v>0</v>
      </c>
      <c r="EE17" s="12">
        <f t="shared" si="19"/>
        <v>0</v>
      </c>
      <c r="EF17" s="12">
        <f t="shared" si="19"/>
        <v>0</v>
      </c>
      <c r="EG17" s="12">
        <f t="shared" si="19"/>
        <v>0</v>
      </c>
      <c r="EH17" s="12">
        <f t="shared" si="19"/>
        <v>1</v>
      </c>
      <c r="EI17" s="12">
        <f t="shared" si="19"/>
        <v>1</v>
      </c>
      <c r="EJ17" s="12">
        <f t="shared" si="19"/>
        <v>0</v>
      </c>
      <c r="EK17" s="12">
        <f t="shared" si="19"/>
        <v>0</v>
      </c>
      <c r="EL17" s="12">
        <f t="shared" si="19"/>
        <v>0</v>
      </c>
    </row>
    <row r="18" spans="1:142" ht="25" customHeight="1" x14ac:dyDescent="0.55000000000000004">
      <c r="A18" s="12" t="s">
        <v>323</v>
      </c>
      <c r="B18" s="11" t="s">
        <v>144</v>
      </c>
      <c r="C18" s="12">
        <f t="shared" ref="C18:AH18" si="20">IF(AND(C4&gt;0,C10&lt;0),1,0)</f>
        <v>0</v>
      </c>
      <c r="D18" s="12">
        <f t="shared" si="20"/>
        <v>0</v>
      </c>
      <c r="E18" s="12">
        <f t="shared" si="20"/>
        <v>0</v>
      </c>
      <c r="F18" s="12">
        <f t="shared" si="20"/>
        <v>0</v>
      </c>
      <c r="G18" s="12">
        <f t="shared" si="20"/>
        <v>1</v>
      </c>
      <c r="H18" s="12">
        <f t="shared" si="20"/>
        <v>0</v>
      </c>
      <c r="I18" s="12">
        <f t="shared" si="20"/>
        <v>1</v>
      </c>
      <c r="J18" s="12">
        <f t="shared" si="20"/>
        <v>0</v>
      </c>
      <c r="K18" s="12">
        <f t="shared" si="20"/>
        <v>0</v>
      </c>
      <c r="L18" s="12">
        <f t="shared" si="20"/>
        <v>0</v>
      </c>
      <c r="M18" s="12">
        <f t="shared" si="20"/>
        <v>0</v>
      </c>
      <c r="N18" s="12">
        <f t="shared" si="20"/>
        <v>1</v>
      </c>
      <c r="O18" s="12">
        <f t="shared" si="20"/>
        <v>0</v>
      </c>
      <c r="P18" s="12">
        <f t="shared" si="20"/>
        <v>0</v>
      </c>
      <c r="Q18" s="12">
        <f t="shared" si="20"/>
        <v>1</v>
      </c>
      <c r="R18" s="12">
        <f t="shared" si="20"/>
        <v>0</v>
      </c>
      <c r="S18" s="12">
        <f t="shared" si="20"/>
        <v>0</v>
      </c>
      <c r="T18" s="12">
        <f t="shared" si="20"/>
        <v>0</v>
      </c>
      <c r="U18" s="12">
        <f t="shared" si="20"/>
        <v>0</v>
      </c>
      <c r="V18" s="12">
        <f t="shared" si="20"/>
        <v>0</v>
      </c>
      <c r="W18" s="12">
        <f t="shared" si="20"/>
        <v>1</v>
      </c>
      <c r="X18" s="12">
        <f t="shared" si="20"/>
        <v>0</v>
      </c>
      <c r="Y18" s="12">
        <f t="shared" si="20"/>
        <v>0</v>
      </c>
      <c r="Z18" s="12">
        <f t="shared" si="20"/>
        <v>1</v>
      </c>
      <c r="AA18" s="12">
        <f t="shared" si="20"/>
        <v>0</v>
      </c>
      <c r="AB18" s="12">
        <f t="shared" si="20"/>
        <v>0</v>
      </c>
      <c r="AC18" s="12">
        <f t="shared" si="20"/>
        <v>0</v>
      </c>
      <c r="AD18" s="12">
        <f t="shared" si="20"/>
        <v>0</v>
      </c>
      <c r="AE18" s="12">
        <f t="shared" si="20"/>
        <v>0</v>
      </c>
      <c r="AF18" s="12">
        <f t="shared" si="20"/>
        <v>1</v>
      </c>
      <c r="AG18" s="12">
        <f t="shared" si="20"/>
        <v>0</v>
      </c>
      <c r="AH18" s="12">
        <f t="shared" si="20"/>
        <v>0</v>
      </c>
      <c r="AI18" s="12">
        <f t="shared" ref="AI18:BN18" si="21">IF(AND(AI4&gt;0,AI10&lt;0),1,0)</f>
        <v>0</v>
      </c>
      <c r="AJ18" s="12">
        <f t="shared" si="21"/>
        <v>1</v>
      </c>
      <c r="AK18" s="12">
        <f t="shared" si="21"/>
        <v>0</v>
      </c>
      <c r="AL18" s="12">
        <f t="shared" si="21"/>
        <v>0</v>
      </c>
      <c r="AM18" s="12">
        <f t="shared" si="21"/>
        <v>0</v>
      </c>
      <c r="AN18" s="12">
        <f t="shared" si="21"/>
        <v>0</v>
      </c>
      <c r="AO18" s="12">
        <f t="shared" si="21"/>
        <v>0</v>
      </c>
      <c r="AP18" s="12">
        <f t="shared" si="21"/>
        <v>0</v>
      </c>
      <c r="AQ18" s="12">
        <f t="shared" si="21"/>
        <v>0</v>
      </c>
      <c r="AR18" s="12">
        <f t="shared" si="21"/>
        <v>0</v>
      </c>
      <c r="AS18" s="12">
        <f t="shared" si="21"/>
        <v>1</v>
      </c>
      <c r="AT18" s="12">
        <f t="shared" si="21"/>
        <v>0</v>
      </c>
      <c r="AU18" s="12">
        <f t="shared" si="21"/>
        <v>0</v>
      </c>
      <c r="AV18" s="12">
        <f t="shared" si="21"/>
        <v>0</v>
      </c>
      <c r="AW18" s="12">
        <f t="shared" si="21"/>
        <v>1</v>
      </c>
      <c r="AX18" s="12">
        <f t="shared" si="21"/>
        <v>1</v>
      </c>
      <c r="AY18" s="12">
        <f t="shared" si="21"/>
        <v>0</v>
      </c>
      <c r="AZ18" s="12">
        <f t="shared" si="21"/>
        <v>1</v>
      </c>
      <c r="BA18" s="12">
        <f t="shared" si="21"/>
        <v>0</v>
      </c>
      <c r="BB18" s="12">
        <f t="shared" si="21"/>
        <v>0</v>
      </c>
      <c r="BC18" s="12">
        <f t="shared" si="21"/>
        <v>0</v>
      </c>
      <c r="BD18" s="12">
        <f t="shared" si="21"/>
        <v>1</v>
      </c>
      <c r="BE18" s="12">
        <f t="shared" si="21"/>
        <v>0</v>
      </c>
      <c r="BF18" s="12">
        <f t="shared" si="21"/>
        <v>0</v>
      </c>
      <c r="BG18" s="12">
        <f t="shared" si="21"/>
        <v>0</v>
      </c>
      <c r="BH18" s="12">
        <f t="shared" si="21"/>
        <v>0</v>
      </c>
      <c r="BI18" s="12">
        <f t="shared" si="21"/>
        <v>0</v>
      </c>
      <c r="BJ18" s="12">
        <f t="shared" si="21"/>
        <v>0</v>
      </c>
      <c r="BK18" s="12">
        <f t="shared" si="21"/>
        <v>0</v>
      </c>
      <c r="BL18" s="12">
        <f t="shared" si="21"/>
        <v>0</v>
      </c>
      <c r="BM18" s="12">
        <f t="shared" si="21"/>
        <v>0</v>
      </c>
      <c r="BN18" s="12">
        <f t="shared" si="21"/>
        <v>0</v>
      </c>
      <c r="BO18" s="12">
        <f t="shared" ref="BO18:CT18" si="22">IF(AND(BO4&gt;0,BO10&lt;0),1,0)</f>
        <v>1</v>
      </c>
      <c r="BP18" s="12">
        <f t="shared" si="22"/>
        <v>0</v>
      </c>
      <c r="BQ18" s="12">
        <f t="shared" si="22"/>
        <v>0</v>
      </c>
      <c r="BR18" s="12">
        <f t="shared" si="22"/>
        <v>0</v>
      </c>
      <c r="BS18" s="12">
        <f t="shared" si="22"/>
        <v>0</v>
      </c>
      <c r="BT18" s="12">
        <f t="shared" si="22"/>
        <v>0</v>
      </c>
      <c r="BU18" s="12">
        <f t="shared" si="22"/>
        <v>0</v>
      </c>
      <c r="BV18" s="12">
        <f t="shared" si="22"/>
        <v>1</v>
      </c>
      <c r="BW18" s="12">
        <f t="shared" si="22"/>
        <v>0</v>
      </c>
      <c r="BX18" s="12">
        <f t="shared" si="22"/>
        <v>0</v>
      </c>
      <c r="BY18" s="12">
        <f t="shared" si="22"/>
        <v>0</v>
      </c>
      <c r="BZ18" s="12">
        <f t="shared" si="22"/>
        <v>1</v>
      </c>
      <c r="CA18" s="12">
        <f t="shared" si="22"/>
        <v>1</v>
      </c>
      <c r="CB18" s="12">
        <f t="shared" si="22"/>
        <v>1</v>
      </c>
      <c r="CC18" s="12">
        <f t="shared" si="22"/>
        <v>0</v>
      </c>
      <c r="CD18" s="12">
        <f t="shared" si="22"/>
        <v>0</v>
      </c>
      <c r="CE18" s="12">
        <f t="shared" si="22"/>
        <v>0</v>
      </c>
      <c r="CF18" s="12">
        <f t="shared" si="22"/>
        <v>0</v>
      </c>
      <c r="CG18" s="12">
        <f t="shared" si="22"/>
        <v>0</v>
      </c>
      <c r="CH18" s="12">
        <f t="shared" si="22"/>
        <v>1</v>
      </c>
      <c r="CI18" s="12">
        <f t="shared" si="22"/>
        <v>0</v>
      </c>
      <c r="CJ18" s="12">
        <f t="shared" si="22"/>
        <v>1</v>
      </c>
      <c r="CK18" s="12">
        <f t="shared" si="22"/>
        <v>1</v>
      </c>
      <c r="CL18" s="12">
        <f t="shared" si="22"/>
        <v>0</v>
      </c>
      <c r="CM18" s="12">
        <f t="shared" si="22"/>
        <v>0</v>
      </c>
      <c r="CN18" s="12">
        <f t="shared" si="22"/>
        <v>0</v>
      </c>
      <c r="CO18" s="12">
        <f t="shared" si="22"/>
        <v>1</v>
      </c>
      <c r="CP18" s="12">
        <f t="shared" si="22"/>
        <v>0</v>
      </c>
      <c r="CQ18" s="12">
        <f t="shared" si="22"/>
        <v>0</v>
      </c>
      <c r="CR18" s="12">
        <f t="shared" si="22"/>
        <v>0</v>
      </c>
      <c r="CS18" s="12">
        <f t="shared" si="22"/>
        <v>0</v>
      </c>
      <c r="CT18" s="12">
        <f t="shared" si="22"/>
        <v>0</v>
      </c>
      <c r="CU18" s="12">
        <f t="shared" ref="CU18:DZ18" si="23">IF(AND(CU4&gt;0,CU10&lt;0),1,0)</f>
        <v>1</v>
      </c>
      <c r="CV18" s="12">
        <f t="shared" si="23"/>
        <v>1</v>
      </c>
      <c r="CW18" s="12">
        <f t="shared" si="23"/>
        <v>0</v>
      </c>
      <c r="CX18" s="12">
        <f t="shared" si="23"/>
        <v>1</v>
      </c>
      <c r="CY18" s="12">
        <f t="shared" si="23"/>
        <v>0</v>
      </c>
      <c r="CZ18" s="12">
        <f t="shared" si="23"/>
        <v>0</v>
      </c>
      <c r="DA18" s="12">
        <f t="shared" si="23"/>
        <v>0</v>
      </c>
      <c r="DB18" s="12">
        <f t="shared" si="23"/>
        <v>1</v>
      </c>
      <c r="DC18" s="12">
        <f t="shared" si="23"/>
        <v>0</v>
      </c>
      <c r="DD18" s="12">
        <f t="shared" si="23"/>
        <v>0</v>
      </c>
      <c r="DE18" s="12">
        <f t="shared" si="23"/>
        <v>0</v>
      </c>
      <c r="DF18" s="12">
        <f t="shared" si="23"/>
        <v>0</v>
      </c>
      <c r="DG18" s="12">
        <f t="shared" si="23"/>
        <v>0</v>
      </c>
      <c r="DH18" s="12">
        <f t="shared" si="23"/>
        <v>1</v>
      </c>
      <c r="DI18" s="12">
        <f t="shared" si="23"/>
        <v>0</v>
      </c>
      <c r="DJ18" s="12">
        <f t="shared" si="23"/>
        <v>0</v>
      </c>
      <c r="DK18" s="12">
        <f t="shared" si="23"/>
        <v>0</v>
      </c>
      <c r="DL18" s="12">
        <f t="shared" si="23"/>
        <v>1</v>
      </c>
      <c r="DM18" s="12">
        <f t="shared" si="23"/>
        <v>0</v>
      </c>
      <c r="DN18" s="12">
        <f t="shared" si="23"/>
        <v>1</v>
      </c>
      <c r="DO18" s="12">
        <f t="shared" si="23"/>
        <v>0</v>
      </c>
      <c r="DP18" s="12">
        <f t="shared" si="23"/>
        <v>0</v>
      </c>
      <c r="DQ18" s="12">
        <f t="shared" si="23"/>
        <v>0</v>
      </c>
      <c r="DR18" s="12">
        <f t="shared" si="23"/>
        <v>1</v>
      </c>
      <c r="DS18" s="12">
        <f t="shared" si="23"/>
        <v>1</v>
      </c>
      <c r="DT18" s="12">
        <f t="shared" si="23"/>
        <v>0</v>
      </c>
      <c r="DU18" s="12">
        <f t="shared" si="23"/>
        <v>0</v>
      </c>
      <c r="DV18" s="12">
        <f t="shared" si="23"/>
        <v>0</v>
      </c>
      <c r="DW18" s="12">
        <f t="shared" si="23"/>
        <v>1</v>
      </c>
      <c r="DX18" s="12">
        <f t="shared" si="23"/>
        <v>0</v>
      </c>
      <c r="DY18" s="12">
        <f t="shared" si="23"/>
        <v>1</v>
      </c>
      <c r="DZ18" s="12">
        <f t="shared" si="23"/>
        <v>0</v>
      </c>
      <c r="EA18" s="12">
        <f t="shared" ref="EA18:EL18" si="24">IF(AND(EA4&gt;0,EA10&lt;0),1,0)</f>
        <v>0</v>
      </c>
      <c r="EB18" s="12">
        <f t="shared" si="24"/>
        <v>0</v>
      </c>
      <c r="EC18" s="12">
        <f t="shared" si="24"/>
        <v>0</v>
      </c>
      <c r="ED18" s="12">
        <f t="shared" si="24"/>
        <v>0</v>
      </c>
      <c r="EE18" s="12">
        <f t="shared" si="24"/>
        <v>0</v>
      </c>
      <c r="EF18" s="12">
        <f t="shared" si="24"/>
        <v>1</v>
      </c>
      <c r="EG18" s="12">
        <f t="shared" si="24"/>
        <v>0</v>
      </c>
      <c r="EH18" s="12">
        <f t="shared" si="24"/>
        <v>0</v>
      </c>
      <c r="EI18" s="12">
        <f t="shared" si="24"/>
        <v>0</v>
      </c>
      <c r="EJ18" s="12">
        <f t="shared" si="24"/>
        <v>0</v>
      </c>
      <c r="EK18" s="12">
        <f t="shared" si="24"/>
        <v>0</v>
      </c>
      <c r="EL18" s="12">
        <f t="shared" si="24"/>
        <v>1</v>
      </c>
    </row>
    <row r="19" spans="1:142" ht="25" customHeight="1" x14ac:dyDescent="0.55000000000000004">
      <c r="B19" s="14" t="s">
        <v>145</v>
      </c>
      <c r="C19" s="12">
        <f t="shared" ref="C19:AH19" si="25">IF(AND(C5&gt;0,C11&lt;0),1,0)</f>
        <v>0</v>
      </c>
      <c r="D19" s="12">
        <f t="shared" si="25"/>
        <v>0</v>
      </c>
      <c r="E19" s="12">
        <f t="shared" si="25"/>
        <v>1</v>
      </c>
      <c r="F19" s="12">
        <f t="shared" si="25"/>
        <v>1</v>
      </c>
      <c r="G19" s="12">
        <f t="shared" si="25"/>
        <v>0</v>
      </c>
      <c r="H19" s="12">
        <f t="shared" si="25"/>
        <v>0</v>
      </c>
      <c r="I19" s="12">
        <f t="shared" si="25"/>
        <v>1</v>
      </c>
      <c r="J19" s="12">
        <f t="shared" si="25"/>
        <v>0</v>
      </c>
      <c r="K19" s="12">
        <f t="shared" si="25"/>
        <v>0</v>
      </c>
      <c r="L19" s="12">
        <f t="shared" si="25"/>
        <v>0</v>
      </c>
      <c r="M19" s="12">
        <f t="shared" si="25"/>
        <v>0</v>
      </c>
      <c r="N19" s="12">
        <f t="shared" si="25"/>
        <v>0</v>
      </c>
      <c r="O19" s="12">
        <f t="shared" si="25"/>
        <v>0</v>
      </c>
      <c r="P19" s="12">
        <f t="shared" si="25"/>
        <v>0</v>
      </c>
      <c r="Q19" s="12">
        <f t="shared" si="25"/>
        <v>0</v>
      </c>
      <c r="R19" s="12">
        <f t="shared" si="25"/>
        <v>0</v>
      </c>
      <c r="S19" s="12">
        <f t="shared" si="25"/>
        <v>0</v>
      </c>
      <c r="T19" s="12">
        <f t="shared" si="25"/>
        <v>0</v>
      </c>
      <c r="U19" s="12">
        <f t="shared" si="25"/>
        <v>0</v>
      </c>
      <c r="V19" s="12">
        <f t="shared" si="25"/>
        <v>0</v>
      </c>
      <c r="W19" s="12">
        <f t="shared" si="25"/>
        <v>0</v>
      </c>
      <c r="X19" s="12">
        <f t="shared" si="25"/>
        <v>0</v>
      </c>
      <c r="Y19" s="12">
        <f t="shared" si="25"/>
        <v>0</v>
      </c>
      <c r="Z19" s="12">
        <f t="shared" si="25"/>
        <v>0</v>
      </c>
      <c r="AA19" s="12">
        <f t="shared" si="25"/>
        <v>0</v>
      </c>
      <c r="AB19" s="12">
        <f t="shared" si="25"/>
        <v>1</v>
      </c>
      <c r="AC19" s="12">
        <f t="shared" si="25"/>
        <v>0</v>
      </c>
      <c r="AD19" s="12">
        <f t="shared" si="25"/>
        <v>0</v>
      </c>
      <c r="AE19" s="12">
        <f t="shared" si="25"/>
        <v>0</v>
      </c>
      <c r="AF19" s="12">
        <f t="shared" si="25"/>
        <v>1</v>
      </c>
      <c r="AG19" s="12">
        <f t="shared" si="25"/>
        <v>1</v>
      </c>
      <c r="AH19" s="12">
        <f t="shared" si="25"/>
        <v>0</v>
      </c>
      <c r="AI19" s="12">
        <f t="shared" ref="AI19:BN19" si="26">IF(AND(AI5&gt;0,AI11&lt;0),1,0)</f>
        <v>0</v>
      </c>
      <c r="AJ19" s="12">
        <f t="shared" si="26"/>
        <v>0</v>
      </c>
      <c r="AK19" s="12">
        <f t="shared" si="26"/>
        <v>1</v>
      </c>
      <c r="AL19" s="12">
        <f t="shared" si="26"/>
        <v>0</v>
      </c>
      <c r="AM19" s="12">
        <f t="shared" si="26"/>
        <v>0</v>
      </c>
      <c r="AN19" s="12">
        <f t="shared" si="26"/>
        <v>0</v>
      </c>
      <c r="AO19" s="12">
        <f t="shared" si="26"/>
        <v>0</v>
      </c>
      <c r="AP19" s="12">
        <f t="shared" si="26"/>
        <v>0</v>
      </c>
      <c r="AQ19" s="12">
        <f t="shared" si="26"/>
        <v>1</v>
      </c>
      <c r="AR19" s="12">
        <f t="shared" si="26"/>
        <v>0</v>
      </c>
      <c r="AS19" s="12">
        <f t="shared" si="26"/>
        <v>0</v>
      </c>
      <c r="AT19" s="12">
        <f t="shared" si="26"/>
        <v>0</v>
      </c>
      <c r="AU19" s="12">
        <f t="shared" si="26"/>
        <v>0</v>
      </c>
      <c r="AV19" s="12">
        <f t="shared" si="26"/>
        <v>0</v>
      </c>
      <c r="AW19" s="12">
        <f t="shared" si="26"/>
        <v>0</v>
      </c>
      <c r="AX19" s="12">
        <f t="shared" si="26"/>
        <v>0</v>
      </c>
      <c r="AY19" s="12">
        <f t="shared" si="26"/>
        <v>0</v>
      </c>
      <c r="AZ19" s="12">
        <f t="shared" si="26"/>
        <v>1</v>
      </c>
      <c r="BA19" s="12">
        <f t="shared" si="26"/>
        <v>0</v>
      </c>
      <c r="BB19" s="12">
        <f t="shared" si="26"/>
        <v>1</v>
      </c>
      <c r="BC19" s="12">
        <f t="shared" si="26"/>
        <v>0</v>
      </c>
      <c r="BD19" s="12">
        <f t="shared" si="26"/>
        <v>0</v>
      </c>
      <c r="BE19" s="12">
        <f t="shared" si="26"/>
        <v>1</v>
      </c>
      <c r="BF19" s="12">
        <f t="shared" si="26"/>
        <v>0</v>
      </c>
      <c r="BG19" s="12">
        <f t="shared" si="26"/>
        <v>0</v>
      </c>
      <c r="BH19" s="12">
        <f t="shared" si="26"/>
        <v>0</v>
      </c>
      <c r="BI19" s="12">
        <f t="shared" si="26"/>
        <v>1</v>
      </c>
      <c r="BJ19" s="12">
        <f t="shared" si="26"/>
        <v>0</v>
      </c>
      <c r="BK19" s="12">
        <f t="shared" si="26"/>
        <v>1</v>
      </c>
      <c r="BL19" s="12">
        <f t="shared" si="26"/>
        <v>0</v>
      </c>
      <c r="BM19" s="12">
        <f t="shared" si="26"/>
        <v>0</v>
      </c>
      <c r="BN19" s="12">
        <f t="shared" si="26"/>
        <v>0</v>
      </c>
      <c r="BO19" s="12">
        <f t="shared" ref="BO19:CT19" si="27">IF(AND(BO5&gt;0,BO11&lt;0),1,0)</f>
        <v>0</v>
      </c>
      <c r="BP19" s="12">
        <f t="shared" si="27"/>
        <v>0</v>
      </c>
      <c r="BQ19" s="12">
        <f t="shared" si="27"/>
        <v>0</v>
      </c>
      <c r="BR19" s="12">
        <f t="shared" si="27"/>
        <v>0</v>
      </c>
      <c r="BS19" s="12">
        <f t="shared" si="27"/>
        <v>1</v>
      </c>
      <c r="BT19" s="12">
        <f t="shared" si="27"/>
        <v>0</v>
      </c>
      <c r="BU19" s="12">
        <f t="shared" si="27"/>
        <v>0</v>
      </c>
      <c r="BV19" s="12">
        <f t="shared" si="27"/>
        <v>1</v>
      </c>
      <c r="BW19" s="12">
        <f t="shared" si="27"/>
        <v>0</v>
      </c>
      <c r="BX19" s="12">
        <f t="shared" si="27"/>
        <v>1</v>
      </c>
      <c r="BY19" s="12">
        <f t="shared" si="27"/>
        <v>0</v>
      </c>
      <c r="BZ19" s="12">
        <f t="shared" si="27"/>
        <v>0</v>
      </c>
      <c r="CA19" s="12">
        <f t="shared" si="27"/>
        <v>0</v>
      </c>
      <c r="CB19" s="12">
        <f t="shared" si="27"/>
        <v>0</v>
      </c>
      <c r="CC19" s="12">
        <f t="shared" si="27"/>
        <v>0</v>
      </c>
      <c r="CD19" s="12">
        <f t="shared" si="27"/>
        <v>1</v>
      </c>
      <c r="CE19" s="12">
        <f t="shared" si="27"/>
        <v>0</v>
      </c>
      <c r="CF19" s="12">
        <f t="shared" si="27"/>
        <v>0</v>
      </c>
      <c r="CG19" s="12">
        <f t="shared" si="27"/>
        <v>1</v>
      </c>
      <c r="CH19" s="12">
        <f t="shared" si="27"/>
        <v>0</v>
      </c>
      <c r="CI19" s="12">
        <f t="shared" si="27"/>
        <v>0</v>
      </c>
      <c r="CJ19" s="12">
        <f t="shared" si="27"/>
        <v>0</v>
      </c>
      <c r="CK19" s="12">
        <f t="shared" si="27"/>
        <v>0</v>
      </c>
      <c r="CL19" s="12">
        <f t="shared" si="27"/>
        <v>0</v>
      </c>
      <c r="CM19" s="12">
        <f t="shared" si="27"/>
        <v>0</v>
      </c>
      <c r="CN19" s="12">
        <f t="shared" si="27"/>
        <v>0</v>
      </c>
      <c r="CO19" s="12">
        <f t="shared" si="27"/>
        <v>1</v>
      </c>
      <c r="CP19" s="12">
        <f t="shared" si="27"/>
        <v>1</v>
      </c>
      <c r="CQ19" s="12">
        <f t="shared" si="27"/>
        <v>0</v>
      </c>
      <c r="CR19" s="12">
        <f t="shared" si="27"/>
        <v>1</v>
      </c>
      <c r="CS19" s="12">
        <f t="shared" si="27"/>
        <v>0</v>
      </c>
      <c r="CT19" s="12">
        <f t="shared" si="27"/>
        <v>1</v>
      </c>
      <c r="CU19" s="12">
        <f t="shared" ref="CU19:DZ19" si="28">IF(AND(CU5&gt;0,CU11&lt;0),1,0)</f>
        <v>0</v>
      </c>
      <c r="CV19" s="12">
        <f t="shared" si="28"/>
        <v>0</v>
      </c>
      <c r="CW19" s="12">
        <f t="shared" si="28"/>
        <v>0</v>
      </c>
      <c r="CX19" s="12">
        <f t="shared" si="28"/>
        <v>1</v>
      </c>
      <c r="CY19" s="12">
        <f t="shared" si="28"/>
        <v>0</v>
      </c>
      <c r="CZ19" s="12">
        <f t="shared" si="28"/>
        <v>1</v>
      </c>
      <c r="DA19" s="12">
        <f t="shared" si="28"/>
        <v>0</v>
      </c>
      <c r="DB19" s="12">
        <f t="shared" si="28"/>
        <v>0</v>
      </c>
      <c r="DC19" s="12">
        <f t="shared" si="28"/>
        <v>1</v>
      </c>
      <c r="DD19" s="12">
        <f t="shared" si="28"/>
        <v>0</v>
      </c>
      <c r="DE19" s="12">
        <f t="shared" si="28"/>
        <v>0</v>
      </c>
      <c r="DF19" s="12">
        <f t="shared" si="28"/>
        <v>0</v>
      </c>
      <c r="DG19" s="12">
        <f t="shared" si="28"/>
        <v>0</v>
      </c>
      <c r="DH19" s="12">
        <f t="shared" si="28"/>
        <v>0</v>
      </c>
      <c r="DI19" s="12">
        <f t="shared" si="28"/>
        <v>0</v>
      </c>
      <c r="DJ19" s="12">
        <f t="shared" si="28"/>
        <v>0</v>
      </c>
      <c r="DK19" s="12">
        <f t="shared" si="28"/>
        <v>0</v>
      </c>
      <c r="DL19" s="12">
        <f t="shared" si="28"/>
        <v>0</v>
      </c>
      <c r="DM19" s="12">
        <f t="shared" si="28"/>
        <v>0</v>
      </c>
      <c r="DN19" s="12">
        <f t="shared" si="28"/>
        <v>0</v>
      </c>
      <c r="DO19" s="12">
        <f t="shared" si="28"/>
        <v>0</v>
      </c>
      <c r="DP19" s="12">
        <f t="shared" si="28"/>
        <v>0</v>
      </c>
      <c r="DQ19" s="12">
        <f t="shared" si="28"/>
        <v>0</v>
      </c>
      <c r="DR19" s="12">
        <f t="shared" si="28"/>
        <v>0</v>
      </c>
      <c r="DS19" s="12">
        <f t="shared" si="28"/>
        <v>0</v>
      </c>
      <c r="DT19" s="12">
        <f t="shared" si="28"/>
        <v>0</v>
      </c>
      <c r="DU19" s="12">
        <f t="shared" si="28"/>
        <v>0</v>
      </c>
      <c r="DV19" s="12">
        <f t="shared" si="28"/>
        <v>1</v>
      </c>
      <c r="DW19" s="12">
        <f t="shared" si="28"/>
        <v>0</v>
      </c>
      <c r="DX19" s="12">
        <f t="shared" si="28"/>
        <v>0</v>
      </c>
      <c r="DY19" s="12">
        <f t="shared" si="28"/>
        <v>0</v>
      </c>
      <c r="DZ19" s="12">
        <f t="shared" si="28"/>
        <v>0</v>
      </c>
      <c r="EA19" s="12">
        <f t="shared" ref="EA19:EL19" si="29">IF(AND(EA5&gt;0,EA11&lt;0),1,0)</f>
        <v>1</v>
      </c>
      <c r="EB19" s="12">
        <f t="shared" si="29"/>
        <v>0</v>
      </c>
      <c r="EC19" s="12">
        <f t="shared" si="29"/>
        <v>1</v>
      </c>
      <c r="ED19" s="12">
        <f t="shared" si="29"/>
        <v>0</v>
      </c>
      <c r="EE19" s="12">
        <f t="shared" si="29"/>
        <v>1</v>
      </c>
      <c r="EF19" s="12">
        <f t="shared" si="29"/>
        <v>0</v>
      </c>
      <c r="EG19" s="12">
        <f t="shared" si="29"/>
        <v>1</v>
      </c>
      <c r="EH19" s="12">
        <f t="shared" si="29"/>
        <v>0</v>
      </c>
      <c r="EI19" s="12">
        <f t="shared" si="29"/>
        <v>0</v>
      </c>
      <c r="EJ19" s="12">
        <f t="shared" si="29"/>
        <v>0</v>
      </c>
      <c r="EK19" s="12">
        <f t="shared" si="29"/>
        <v>0</v>
      </c>
      <c r="EL19" s="12">
        <f t="shared" si="29"/>
        <v>0</v>
      </c>
    </row>
    <row r="20" spans="1:142" ht="25" customHeight="1" x14ac:dyDescent="0.55000000000000004">
      <c r="B20" s="16" t="s">
        <v>322</v>
      </c>
      <c r="C20" s="12">
        <f>SUM(C17:C19)+SUM(D17:D19)+SUM(E17:E19)+SUM(F17:F19)+SUM(G17:G19)+SUM(H17:H19)+SUM(I17:I19)+SUM(J17:J19)+SUM(K17:K19)+SUM(L17:L19)+SUM(M17:M19)+SUM(N17:N19)+SUM(O17:O19)+SUM(P17:P19)+SUM(Q17:Q19)+SUM(R17:R19)+SUM(S17:S19)+SUM(T17:T19)+SUM(U17:U19)+SUM(V17:V19)+SUM(W17:W19)+SUM(X17:X19)+SUM(Y17:Y19)+SUM(Z17:Z19)+SUM(AA17:AA19)+SUM(AB17:AB19)+SUM(AC17:AC19)+SUM(AD17:AD19)+SUM(AE17:AE19)+SUM(AF17:AF19)+SUM(AG17:AG19)+SUM(AH17:AH19)+SUM(AI17:AI19)+SUM(AJ17:AJ19)+SUM(AK17:AK19)+SUM(AL17:AL19)+SUM(AM17:AM19)+SUM(AN17:AN19)+SUM(AO17:AO19)+SUM(AP17:AP19)+SUM(AQ17:AQ19)+SUM(AR17:AR19)+SUM(AS17:AS19)+SUM(AT17:AT19)+SUM(AU17:AU19)+SUM(AV17:AV19)+SUM(AW17:AW19)+SUM(AX17:AX19)+SUM(AY17:AY19)+SUM(AZ17:AZ19)+SUM(BA17:BA19)+SUM(BB17:BB19)+SUM(BC17:BC19)+SUM(BD17:BD19)+SUM(BE17:BE19)+SUM(BF17:BF19)+SUM(BG17:BG19)+SUM(BH17:BH19)+SUM(BI17:BI19)+SUM(BJ17:BJ19)+SUM(BK17:BK19)+SUM(BL17:BL19)+SUM(BM17:BM19)+SUM(BN17:BN19)+SUM(BO17:BO19)+SUM(BP17:BP19)+SUM(BQ17:BQ19)+SUM(BR17:BR19)+SUM(BS17:BS19)+SUM(BT17:BT19)+SUM(BU17:BU19)+SUM(BV17:BV19)+SUM(BW17:BW19)+SUM(BX17:BX19)+SUM(BY17:BY19)+SUM(BZ17:BZ19)+SUM(CA17:CA19)+SUM(CB17:CB19)+SUM(CC17:CC19)+SUM(CD17:CD19)+SUM(CE17:CE19)+SUM(CF17:CF19)+SUM(CG17:CG19)+SUM(CH17:CH19)+SUM(CI17:CI19)+SUM(CJ17:CJ19)+SUM(CK17:CK19)+SUM(CL17:CL19)+SUM(CM17:CM19)+SUM(CN17:CN19)+SUM(CO17:CO19)+SUM(CP17:CP19)+SUM(CQ17:CQ19)+SUM(CR17:CR19)+SUM(CS17:CS19)+SUM(CT17:CT19)+SUM(CU17:CU19)+SUM(CV17:CV19)+SUM(CW17:CW19)+SUM(CX17:CX19)+SUM(CY17:CY19)+SUM(CZ17:CZ19)+SUM(DA17:DA19)+SUM(DB17:DB19)+SUM(DC17:DC19)+SUM(DD17:DD19)+SUM(DE17:DE19)+SUM(DF17:DF19)+SUM(DG17:DG19)+SUM(DH17:DH19)+SUM(DI17:DI19)+SUM(DJ17:DJ19)+SUM(DK17:DK19)+SUM(DL17:DL19)+SUM(DM17:DM19)+SUM(DN17:DN19)+SUM(DO17:DO19)+SUM(DP17:DP19)+SUM(DQ17:DQ19)+SUM(DR17:DR19)+SUM(DS17:DS19)+SUM(DT17:DT19)+SUM(DU17:DU19)+SUM(DV17:DV19)+SUM(DW17:DW19)+SUM(DX17:DX19)+SUM(DY17:DY19)+SUM(DZ17:DZ19)+SUM(EA17:EA19)+SUM(EB17:EB19)+SUM(EC17:EC19)+SUM(ED17:ED19)+SUM(EE17:EE19)+SUM(EF17:EF19)+SUM(EG17:EG19)+SUM(EH17:EH19)+SUM(EI17:EI19)+SUM(EJ17:EJ19)+SUM(EK17:EK19)+SUM(EL17:EL19)</f>
        <v>98</v>
      </c>
    </row>
    <row r="21" spans="1:142" ht="25" customHeight="1" x14ac:dyDescent="0.55000000000000004">
      <c r="A21" s="12" t="s">
        <v>324</v>
      </c>
      <c r="B21" s="11" t="s">
        <v>143</v>
      </c>
      <c r="C21" s="12">
        <f t="shared" ref="C21:AH21" si="30">IF(AND(C3&lt;0,C9&gt;0),1,0)</f>
        <v>0</v>
      </c>
      <c r="D21" s="12">
        <f t="shared" si="30"/>
        <v>0</v>
      </c>
      <c r="E21" s="12">
        <f t="shared" si="30"/>
        <v>0</v>
      </c>
      <c r="F21" s="12">
        <f t="shared" si="30"/>
        <v>0</v>
      </c>
      <c r="G21" s="12">
        <f t="shared" si="30"/>
        <v>0</v>
      </c>
      <c r="H21" s="12">
        <f t="shared" si="30"/>
        <v>1</v>
      </c>
      <c r="I21" s="12">
        <f t="shared" si="30"/>
        <v>1</v>
      </c>
      <c r="J21" s="12">
        <f t="shared" si="30"/>
        <v>0</v>
      </c>
      <c r="K21" s="12">
        <f t="shared" si="30"/>
        <v>0</v>
      </c>
      <c r="L21" s="12">
        <f t="shared" si="30"/>
        <v>0</v>
      </c>
      <c r="M21" s="12">
        <f t="shared" si="30"/>
        <v>0</v>
      </c>
      <c r="N21" s="12">
        <f t="shared" si="30"/>
        <v>1</v>
      </c>
      <c r="O21" s="12">
        <f t="shared" si="30"/>
        <v>0</v>
      </c>
      <c r="P21" s="12">
        <f t="shared" si="30"/>
        <v>0</v>
      </c>
      <c r="Q21" s="12">
        <f t="shared" si="30"/>
        <v>0</v>
      </c>
      <c r="R21" s="12">
        <f t="shared" si="30"/>
        <v>1</v>
      </c>
      <c r="S21" s="12">
        <f t="shared" si="30"/>
        <v>0</v>
      </c>
      <c r="T21" s="12">
        <f t="shared" si="30"/>
        <v>0</v>
      </c>
      <c r="U21" s="12">
        <f t="shared" si="30"/>
        <v>0</v>
      </c>
      <c r="V21" s="12">
        <f t="shared" si="30"/>
        <v>0</v>
      </c>
      <c r="W21" s="12">
        <f t="shared" si="30"/>
        <v>0</v>
      </c>
      <c r="X21" s="12">
        <f t="shared" si="30"/>
        <v>1</v>
      </c>
      <c r="Y21" s="12">
        <f t="shared" si="30"/>
        <v>0</v>
      </c>
      <c r="Z21" s="12">
        <f t="shared" si="30"/>
        <v>0</v>
      </c>
      <c r="AA21" s="12">
        <f t="shared" si="30"/>
        <v>0</v>
      </c>
      <c r="AB21" s="12">
        <f t="shared" si="30"/>
        <v>1</v>
      </c>
      <c r="AC21" s="12">
        <f t="shared" si="30"/>
        <v>0</v>
      </c>
      <c r="AD21" s="12">
        <f t="shared" si="30"/>
        <v>0</v>
      </c>
      <c r="AE21" s="12">
        <f t="shared" si="30"/>
        <v>0</v>
      </c>
      <c r="AF21" s="12">
        <f t="shared" si="30"/>
        <v>1</v>
      </c>
      <c r="AG21" s="12">
        <f t="shared" si="30"/>
        <v>0</v>
      </c>
      <c r="AH21" s="12">
        <f t="shared" si="30"/>
        <v>1</v>
      </c>
      <c r="AI21" s="12">
        <f t="shared" ref="AI21:BN21" si="31">IF(AND(AI3&lt;0,AI9&gt;0),1,0)</f>
        <v>0</v>
      </c>
      <c r="AJ21" s="12">
        <f t="shared" si="31"/>
        <v>0</v>
      </c>
      <c r="AK21" s="12">
        <f t="shared" si="31"/>
        <v>0</v>
      </c>
      <c r="AL21" s="12">
        <f t="shared" si="31"/>
        <v>0</v>
      </c>
      <c r="AM21" s="12">
        <f t="shared" si="31"/>
        <v>0</v>
      </c>
      <c r="AN21" s="12">
        <f t="shared" si="31"/>
        <v>0</v>
      </c>
      <c r="AO21" s="12">
        <f t="shared" si="31"/>
        <v>0</v>
      </c>
      <c r="AP21" s="12">
        <f t="shared" si="31"/>
        <v>0</v>
      </c>
      <c r="AQ21" s="12">
        <f t="shared" si="31"/>
        <v>0</v>
      </c>
      <c r="AR21" s="12">
        <f t="shared" si="31"/>
        <v>0</v>
      </c>
      <c r="AS21" s="12">
        <f t="shared" si="31"/>
        <v>0</v>
      </c>
      <c r="AT21" s="12">
        <f t="shared" si="31"/>
        <v>1</v>
      </c>
      <c r="AU21" s="12">
        <f t="shared" si="31"/>
        <v>0</v>
      </c>
      <c r="AV21" s="12">
        <f t="shared" si="31"/>
        <v>0</v>
      </c>
      <c r="AW21" s="12">
        <f t="shared" si="31"/>
        <v>1</v>
      </c>
      <c r="AX21" s="12">
        <f t="shared" si="31"/>
        <v>0</v>
      </c>
      <c r="AY21" s="12">
        <f t="shared" si="31"/>
        <v>1</v>
      </c>
      <c r="AZ21" s="12">
        <f t="shared" si="31"/>
        <v>1</v>
      </c>
      <c r="BA21" s="12">
        <f t="shared" si="31"/>
        <v>0</v>
      </c>
      <c r="BB21" s="12">
        <f t="shared" si="31"/>
        <v>1</v>
      </c>
      <c r="BC21" s="12">
        <f t="shared" si="31"/>
        <v>0</v>
      </c>
      <c r="BD21" s="12">
        <f t="shared" si="31"/>
        <v>0</v>
      </c>
      <c r="BE21" s="12">
        <f t="shared" si="31"/>
        <v>1</v>
      </c>
      <c r="BF21" s="12">
        <f t="shared" si="31"/>
        <v>0</v>
      </c>
      <c r="BG21" s="12">
        <f t="shared" si="31"/>
        <v>0</v>
      </c>
      <c r="BH21" s="12">
        <f t="shared" si="31"/>
        <v>0</v>
      </c>
      <c r="BI21" s="12">
        <f t="shared" si="31"/>
        <v>0</v>
      </c>
      <c r="BJ21" s="12">
        <f t="shared" si="31"/>
        <v>0</v>
      </c>
      <c r="BK21" s="12">
        <f t="shared" si="31"/>
        <v>0</v>
      </c>
      <c r="BL21" s="12">
        <f t="shared" si="31"/>
        <v>0</v>
      </c>
      <c r="BM21" s="12">
        <f t="shared" si="31"/>
        <v>0</v>
      </c>
      <c r="BN21" s="12">
        <f t="shared" si="31"/>
        <v>0</v>
      </c>
      <c r="BO21" s="12">
        <f t="shared" ref="BO21:CT21" si="32">IF(AND(BO3&lt;0,BO9&gt;0),1,0)</f>
        <v>1</v>
      </c>
      <c r="BP21" s="12">
        <f t="shared" si="32"/>
        <v>0</v>
      </c>
      <c r="BQ21" s="12">
        <f t="shared" si="32"/>
        <v>1</v>
      </c>
      <c r="BR21" s="12">
        <f t="shared" si="32"/>
        <v>0</v>
      </c>
      <c r="BS21" s="12">
        <f t="shared" si="32"/>
        <v>1</v>
      </c>
      <c r="BT21" s="12">
        <f t="shared" si="32"/>
        <v>0</v>
      </c>
      <c r="BU21" s="12">
        <f t="shared" si="32"/>
        <v>0</v>
      </c>
      <c r="BV21" s="12">
        <f t="shared" si="32"/>
        <v>0</v>
      </c>
      <c r="BW21" s="12">
        <f t="shared" si="32"/>
        <v>0</v>
      </c>
      <c r="BX21" s="12">
        <f t="shared" si="32"/>
        <v>1</v>
      </c>
      <c r="BY21" s="12">
        <f t="shared" si="32"/>
        <v>0</v>
      </c>
      <c r="BZ21" s="12">
        <f t="shared" si="32"/>
        <v>1</v>
      </c>
      <c r="CA21" s="12">
        <f t="shared" si="32"/>
        <v>0</v>
      </c>
      <c r="CB21" s="12">
        <f t="shared" si="32"/>
        <v>1</v>
      </c>
      <c r="CC21" s="12">
        <f t="shared" si="32"/>
        <v>0</v>
      </c>
      <c r="CD21" s="12">
        <f t="shared" si="32"/>
        <v>0</v>
      </c>
      <c r="CE21" s="12">
        <f t="shared" si="32"/>
        <v>0</v>
      </c>
      <c r="CF21" s="12">
        <f t="shared" si="32"/>
        <v>1</v>
      </c>
      <c r="CG21" s="12">
        <f t="shared" si="32"/>
        <v>0</v>
      </c>
      <c r="CH21" s="12">
        <f t="shared" si="32"/>
        <v>1</v>
      </c>
      <c r="CI21" s="12">
        <f t="shared" si="32"/>
        <v>0</v>
      </c>
      <c r="CJ21" s="12">
        <f t="shared" si="32"/>
        <v>0</v>
      </c>
      <c r="CK21" s="12">
        <f t="shared" si="32"/>
        <v>1</v>
      </c>
      <c r="CL21" s="12">
        <f t="shared" si="32"/>
        <v>1</v>
      </c>
      <c r="CM21" s="12">
        <f t="shared" si="32"/>
        <v>0</v>
      </c>
      <c r="CN21" s="12">
        <f t="shared" si="32"/>
        <v>0</v>
      </c>
      <c r="CO21" s="12">
        <f t="shared" si="32"/>
        <v>1</v>
      </c>
      <c r="CP21" s="12">
        <f t="shared" si="32"/>
        <v>1</v>
      </c>
      <c r="CQ21" s="12">
        <f t="shared" si="32"/>
        <v>0</v>
      </c>
      <c r="CR21" s="12">
        <f t="shared" si="32"/>
        <v>0</v>
      </c>
      <c r="CS21" s="12">
        <f t="shared" si="32"/>
        <v>0</v>
      </c>
      <c r="CT21" s="12">
        <f t="shared" si="32"/>
        <v>1</v>
      </c>
      <c r="CU21" s="12">
        <f t="shared" ref="CU21:DZ21" si="33">IF(AND(CU3&lt;0,CU9&gt;0),1,0)</f>
        <v>1</v>
      </c>
      <c r="CV21" s="12">
        <f t="shared" si="33"/>
        <v>0</v>
      </c>
      <c r="CW21" s="12">
        <f t="shared" si="33"/>
        <v>0</v>
      </c>
      <c r="CX21" s="12">
        <f t="shared" si="33"/>
        <v>1</v>
      </c>
      <c r="CY21" s="12">
        <f t="shared" si="33"/>
        <v>0</v>
      </c>
      <c r="CZ21" s="12">
        <f t="shared" si="33"/>
        <v>0</v>
      </c>
      <c r="DA21" s="12">
        <f t="shared" si="33"/>
        <v>0</v>
      </c>
      <c r="DB21" s="12">
        <f t="shared" si="33"/>
        <v>0</v>
      </c>
      <c r="DC21" s="12">
        <f t="shared" si="33"/>
        <v>1</v>
      </c>
      <c r="DD21" s="12">
        <f t="shared" si="33"/>
        <v>1</v>
      </c>
      <c r="DE21" s="12">
        <f t="shared" si="33"/>
        <v>0</v>
      </c>
      <c r="DF21" s="12">
        <f t="shared" si="33"/>
        <v>1</v>
      </c>
      <c r="DG21" s="12">
        <f t="shared" si="33"/>
        <v>0</v>
      </c>
      <c r="DH21" s="12">
        <f t="shared" si="33"/>
        <v>0</v>
      </c>
      <c r="DI21" s="12">
        <f t="shared" si="33"/>
        <v>0</v>
      </c>
      <c r="DJ21" s="12">
        <f t="shared" si="33"/>
        <v>1</v>
      </c>
      <c r="DK21" s="12">
        <f t="shared" si="33"/>
        <v>0</v>
      </c>
      <c r="DL21" s="12">
        <f t="shared" si="33"/>
        <v>0</v>
      </c>
      <c r="DM21" s="12">
        <f t="shared" si="33"/>
        <v>0</v>
      </c>
      <c r="DN21" s="12">
        <f t="shared" si="33"/>
        <v>1</v>
      </c>
      <c r="DO21" s="12">
        <f t="shared" si="33"/>
        <v>1</v>
      </c>
      <c r="DP21" s="12">
        <f t="shared" si="33"/>
        <v>0</v>
      </c>
      <c r="DQ21" s="12">
        <f t="shared" si="33"/>
        <v>0</v>
      </c>
      <c r="DR21" s="12">
        <f t="shared" si="33"/>
        <v>1</v>
      </c>
      <c r="DS21" s="12">
        <f t="shared" si="33"/>
        <v>0</v>
      </c>
      <c r="DT21" s="12">
        <f t="shared" si="33"/>
        <v>0</v>
      </c>
      <c r="DU21" s="12">
        <f t="shared" si="33"/>
        <v>1</v>
      </c>
      <c r="DV21" s="12">
        <f t="shared" si="33"/>
        <v>1</v>
      </c>
      <c r="DW21" s="12">
        <f t="shared" si="33"/>
        <v>0</v>
      </c>
      <c r="DX21" s="12">
        <f t="shared" si="33"/>
        <v>0</v>
      </c>
      <c r="DY21" s="12">
        <f t="shared" si="33"/>
        <v>1</v>
      </c>
      <c r="DZ21" s="12">
        <f t="shared" si="33"/>
        <v>0</v>
      </c>
      <c r="EA21" s="12">
        <f t="shared" ref="EA21:EL21" si="34">IF(AND(EA3&lt;0,EA9&gt;0),1,0)</f>
        <v>1</v>
      </c>
      <c r="EB21" s="12">
        <f t="shared" si="34"/>
        <v>0</v>
      </c>
      <c r="EC21" s="12">
        <f t="shared" si="34"/>
        <v>1</v>
      </c>
      <c r="ED21" s="12">
        <f t="shared" si="34"/>
        <v>0</v>
      </c>
      <c r="EE21" s="12">
        <f t="shared" si="34"/>
        <v>1</v>
      </c>
      <c r="EF21" s="12">
        <f t="shared" si="34"/>
        <v>1</v>
      </c>
      <c r="EG21" s="12">
        <f t="shared" si="34"/>
        <v>0</v>
      </c>
      <c r="EH21" s="12">
        <f t="shared" si="34"/>
        <v>0</v>
      </c>
      <c r="EI21" s="12">
        <f t="shared" si="34"/>
        <v>0</v>
      </c>
      <c r="EJ21" s="12">
        <f t="shared" si="34"/>
        <v>0</v>
      </c>
      <c r="EK21" s="12">
        <f t="shared" si="34"/>
        <v>1</v>
      </c>
      <c r="EL21" s="12">
        <f t="shared" si="34"/>
        <v>0</v>
      </c>
    </row>
    <row r="22" spans="1:142" ht="25" customHeight="1" x14ac:dyDescent="0.55000000000000004">
      <c r="A22" s="12" t="s">
        <v>325</v>
      </c>
      <c r="B22" s="11" t="s">
        <v>144</v>
      </c>
      <c r="C22" s="12">
        <f t="shared" ref="C22:AH22" si="35">IF(AND(C4&lt;0,C10&gt;0),1,0)</f>
        <v>0</v>
      </c>
      <c r="D22" s="12">
        <f t="shared" si="35"/>
        <v>0</v>
      </c>
      <c r="E22" s="12">
        <f t="shared" si="35"/>
        <v>0</v>
      </c>
      <c r="F22" s="12">
        <f t="shared" si="35"/>
        <v>1</v>
      </c>
      <c r="G22" s="12">
        <f t="shared" si="35"/>
        <v>0</v>
      </c>
      <c r="H22" s="12">
        <f t="shared" si="35"/>
        <v>0</v>
      </c>
      <c r="I22" s="12">
        <f t="shared" si="35"/>
        <v>0</v>
      </c>
      <c r="J22" s="12">
        <f t="shared" si="35"/>
        <v>0</v>
      </c>
      <c r="K22" s="12">
        <f t="shared" si="35"/>
        <v>0</v>
      </c>
      <c r="L22" s="12">
        <f t="shared" si="35"/>
        <v>1</v>
      </c>
      <c r="M22" s="12">
        <f t="shared" si="35"/>
        <v>1</v>
      </c>
      <c r="N22" s="12">
        <f t="shared" si="35"/>
        <v>0</v>
      </c>
      <c r="O22" s="12">
        <f t="shared" si="35"/>
        <v>0</v>
      </c>
      <c r="P22" s="12">
        <f t="shared" si="35"/>
        <v>1</v>
      </c>
      <c r="Q22" s="12">
        <f t="shared" si="35"/>
        <v>0</v>
      </c>
      <c r="R22" s="12">
        <f t="shared" si="35"/>
        <v>0</v>
      </c>
      <c r="S22" s="12">
        <f t="shared" si="35"/>
        <v>1</v>
      </c>
      <c r="T22" s="12">
        <f t="shared" si="35"/>
        <v>0</v>
      </c>
      <c r="U22" s="12">
        <f t="shared" si="35"/>
        <v>0</v>
      </c>
      <c r="V22" s="12">
        <f t="shared" si="35"/>
        <v>0</v>
      </c>
      <c r="W22" s="12">
        <f t="shared" si="35"/>
        <v>0</v>
      </c>
      <c r="X22" s="12">
        <f t="shared" si="35"/>
        <v>0</v>
      </c>
      <c r="Y22" s="12">
        <f t="shared" si="35"/>
        <v>0</v>
      </c>
      <c r="Z22" s="12">
        <f t="shared" si="35"/>
        <v>0</v>
      </c>
      <c r="AA22" s="12">
        <f t="shared" si="35"/>
        <v>1</v>
      </c>
      <c r="AB22" s="12">
        <f t="shared" si="35"/>
        <v>0</v>
      </c>
      <c r="AC22" s="12">
        <f t="shared" si="35"/>
        <v>0</v>
      </c>
      <c r="AD22" s="12">
        <f t="shared" si="35"/>
        <v>0</v>
      </c>
      <c r="AE22" s="12">
        <f t="shared" si="35"/>
        <v>0</v>
      </c>
      <c r="AF22" s="12">
        <f t="shared" si="35"/>
        <v>0</v>
      </c>
      <c r="AG22" s="12">
        <f t="shared" si="35"/>
        <v>0</v>
      </c>
      <c r="AH22" s="12">
        <f t="shared" si="35"/>
        <v>0</v>
      </c>
      <c r="AI22" s="12">
        <f t="shared" ref="AI22:BN22" si="36">IF(AND(AI4&lt;0,AI10&gt;0),1,0)</f>
        <v>0</v>
      </c>
      <c r="AJ22" s="12">
        <f t="shared" si="36"/>
        <v>0</v>
      </c>
      <c r="AK22" s="12">
        <f t="shared" si="36"/>
        <v>0</v>
      </c>
      <c r="AL22" s="12">
        <f t="shared" si="36"/>
        <v>0</v>
      </c>
      <c r="AM22" s="12">
        <f t="shared" si="36"/>
        <v>0</v>
      </c>
      <c r="AN22" s="12">
        <f t="shared" si="36"/>
        <v>0</v>
      </c>
      <c r="AO22" s="12">
        <f t="shared" si="36"/>
        <v>0</v>
      </c>
      <c r="AP22" s="12">
        <f t="shared" si="36"/>
        <v>0</v>
      </c>
      <c r="AQ22" s="12">
        <f t="shared" si="36"/>
        <v>1</v>
      </c>
      <c r="AR22" s="12">
        <f t="shared" si="36"/>
        <v>0</v>
      </c>
      <c r="AS22" s="12">
        <f t="shared" si="36"/>
        <v>0</v>
      </c>
      <c r="AT22" s="12">
        <f t="shared" si="36"/>
        <v>0</v>
      </c>
      <c r="AU22" s="12">
        <f t="shared" si="36"/>
        <v>0</v>
      </c>
      <c r="AV22" s="12">
        <f t="shared" si="36"/>
        <v>1</v>
      </c>
      <c r="AW22" s="12">
        <f t="shared" si="36"/>
        <v>0</v>
      </c>
      <c r="AX22" s="12">
        <f t="shared" si="36"/>
        <v>0</v>
      </c>
      <c r="AY22" s="12">
        <f t="shared" si="36"/>
        <v>0</v>
      </c>
      <c r="AZ22" s="12">
        <f t="shared" si="36"/>
        <v>0</v>
      </c>
      <c r="BA22" s="12">
        <f t="shared" si="36"/>
        <v>0</v>
      </c>
      <c r="BB22" s="12">
        <f t="shared" si="36"/>
        <v>1</v>
      </c>
      <c r="BC22" s="12">
        <f t="shared" si="36"/>
        <v>1</v>
      </c>
      <c r="BD22" s="12">
        <f t="shared" si="36"/>
        <v>0</v>
      </c>
      <c r="BE22" s="12">
        <f t="shared" si="36"/>
        <v>0</v>
      </c>
      <c r="BF22" s="12">
        <f t="shared" si="36"/>
        <v>0</v>
      </c>
      <c r="BG22" s="12">
        <f t="shared" si="36"/>
        <v>0</v>
      </c>
      <c r="BH22" s="12">
        <f t="shared" si="36"/>
        <v>1</v>
      </c>
      <c r="BI22" s="12">
        <f t="shared" si="36"/>
        <v>0</v>
      </c>
      <c r="BJ22" s="12">
        <f t="shared" si="36"/>
        <v>0</v>
      </c>
      <c r="BK22" s="12">
        <f t="shared" si="36"/>
        <v>1</v>
      </c>
      <c r="BL22" s="12">
        <f t="shared" si="36"/>
        <v>0</v>
      </c>
      <c r="BM22" s="12">
        <f t="shared" si="36"/>
        <v>1</v>
      </c>
      <c r="BN22" s="12">
        <f t="shared" si="36"/>
        <v>1</v>
      </c>
      <c r="BO22" s="12">
        <f t="shared" ref="BO22:CT22" si="37">IF(AND(BO4&lt;0,BO10&gt;0),1,0)</f>
        <v>0</v>
      </c>
      <c r="BP22" s="12">
        <f t="shared" si="37"/>
        <v>0</v>
      </c>
      <c r="BQ22" s="12">
        <f t="shared" si="37"/>
        <v>0</v>
      </c>
      <c r="BR22" s="12">
        <f t="shared" si="37"/>
        <v>0</v>
      </c>
      <c r="BS22" s="12">
        <f t="shared" si="37"/>
        <v>0</v>
      </c>
      <c r="BT22" s="12">
        <f t="shared" si="37"/>
        <v>1</v>
      </c>
      <c r="BU22" s="12">
        <f t="shared" si="37"/>
        <v>0</v>
      </c>
      <c r="BV22" s="12">
        <f t="shared" si="37"/>
        <v>0</v>
      </c>
      <c r="BW22" s="12">
        <f t="shared" si="37"/>
        <v>0</v>
      </c>
      <c r="BX22" s="12">
        <f t="shared" si="37"/>
        <v>0</v>
      </c>
      <c r="BY22" s="12">
        <f t="shared" si="37"/>
        <v>1</v>
      </c>
      <c r="BZ22" s="12">
        <f t="shared" si="37"/>
        <v>0</v>
      </c>
      <c r="CA22" s="12">
        <f t="shared" si="37"/>
        <v>0</v>
      </c>
      <c r="CB22" s="12">
        <f t="shared" si="37"/>
        <v>0</v>
      </c>
      <c r="CC22" s="12">
        <f t="shared" si="37"/>
        <v>0</v>
      </c>
      <c r="CD22" s="12">
        <f t="shared" si="37"/>
        <v>0</v>
      </c>
      <c r="CE22" s="12">
        <f t="shared" si="37"/>
        <v>0</v>
      </c>
      <c r="CF22" s="12">
        <f t="shared" si="37"/>
        <v>1</v>
      </c>
      <c r="CG22" s="12">
        <f t="shared" si="37"/>
        <v>0</v>
      </c>
      <c r="CH22" s="12">
        <f t="shared" si="37"/>
        <v>0</v>
      </c>
      <c r="CI22" s="12">
        <f t="shared" si="37"/>
        <v>1</v>
      </c>
      <c r="CJ22" s="12">
        <f t="shared" si="37"/>
        <v>0</v>
      </c>
      <c r="CK22" s="12">
        <f t="shared" si="37"/>
        <v>0</v>
      </c>
      <c r="CL22" s="12">
        <f t="shared" si="37"/>
        <v>0</v>
      </c>
      <c r="CM22" s="12">
        <f t="shared" si="37"/>
        <v>1</v>
      </c>
      <c r="CN22" s="12">
        <f t="shared" si="37"/>
        <v>0</v>
      </c>
      <c r="CO22" s="12">
        <f t="shared" si="37"/>
        <v>0</v>
      </c>
      <c r="CP22" s="12">
        <f t="shared" si="37"/>
        <v>0</v>
      </c>
      <c r="CQ22" s="12">
        <f t="shared" si="37"/>
        <v>0</v>
      </c>
      <c r="CR22" s="12">
        <f t="shared" si="37"/>
        <v>0</v>
      </c>
      <c r="CS22" s="12">
        <f t="shared" si="37"/>
        <v>0</v>
      </c>
      <c r="CT22" s="12">
        <f t="shared" si="37"/>
        <v>0</v>
      </c>
      <c r="CU22" s="12">
        <f t="shared" ref="CU22:DZ22" si="38">IF(AND(CU4&lt;0,CU10&gt;0),1,0)</f>
        <v>0</v>
      </c>
      <c r="CV22" s="12">
        <f t="shared" si="38"/>
        <v>0</v>
      </c>
      <c r="CW22" s="12">
        <f t="shared" si="38"/>
        <v>0</v>
      </c>
      <c r="CX22" s="12">
        <f t="shared" si="38"/>
        <v>0</v>
      </c>
      <c r="CY22" s="12">
        <f t="shared" si="38"/>
        <v>0</v>
      </c>
      <c r="CZ22" s="12">
        <f t="shared" si="38"/>
        <v>0</v>
      </c>
      <c r="DA22" s="12">
        <f t="shared" si="38"/>
        <v>0</v>
      </c>
      <c r="DB22" s="12">
        <f t="shared" si="38"/>
        <v>0</v>
      </c>
      <c r="DC22" s="12">
        <f t="shared" si="38"/>
        <v>0</v>
      </c>
      <c r="DD22" s="12">
        <f t="shared" si="38"/>
        <v>0</v>
      </c>
      <c r="DE22" s="12">
        <f t="shared" si="38"/>
        <v>0</v>
      </c>
      <c r="DF22" s="12">
        <f t="shared" si="38"/>
        <v>0</v>
      </c>
      <c r="DG22" s="12">
        <f t="shared" si="38"/>
        <v>0</v>
      </c>
      <c r="DH22" s="12">
        <f t="shared" si="38"/>
        <v>0</v>
      </c>
      <c r="DI22" s="12">
        <f t="shared" si="38"/>
        <v>0</v>
      </c>
      <c r="DJ22" s="12">
        <f t="shared" si="38"/>
        <v>0</v>
      </c>
      <c r="DK22" s="12">
        <f t="shared" si="38"/>
        <v>1</v>
      </c>
      <c r="DL22" s="12">
        <f t="shared" si="38"/>
        <v>0</v>
      </c>
      <c r="DM22" s="12">
        <f t="shared" si="38"/>
        <v>0</v>
      </c>
      <c r="DN22" s="12">
        <f t="shared" si="38"/>
        <v>0</v>
      </c>
      <c r="DO22" s="12">
        <f t="shared" si="38"/>
        <v>0</v>
      </c>
      <c r="DP22" s="12">
        <f t="shared" si="38"/>
        <v>0</v>
      </c>
      <c r="DQ22" s="12">
        <f t="shared" si="38"/>
        <v>1</v>
      </c>
      <c r="DR22" s="12">
        <f t="shared" si="38"/>
        <v>0</v>
      </c>
      <c r="DS22" s="12">
        <f t="shared" si="38"/>
        <v>0</v>
      </c>
      <c r="DT22" s="12">
        <f t="shared" si="38"/>
        <v>0</v>
      </c>
      <c r="DU22" s="12">
        <f t="shared" si="38"/>
        <v>0</v>
      </c>
      <c r="DV22" s="12">
        <f t="shared" si="38"/>
        <v>0</v>
      </c>
      <c r="DW22" s="12">
        <f t="shared" si="38"/>
        <v>0</v>
      </c>
      <c r="DX22" s="12">
        <f t="shared" si="38"/>
        <v>0</v>
      </c>
      <c r="DY22" s="12">
        <f t="shared" si="38"/>
        <v>0</v>
      </c>
      <c r="DZ22" s="12">
        <f t="shared" si="38"/>
        <v>0</v>
      </c>
      <c r="EA22" s="12">
        <f t="shared" ref="EA22:EL22" si="39">IF(AND(EA4&lt;0,EA10&gt;0),1,0)</f>
        <v>0</v>
      </c>
      <c r="EB22" s="12">
        <f t="shared" si="39"/>
        <v>0</v>
      </c>
      <c r="EC22" s="12">
        <f t="shared" si="39"/>
        <v>1</v>
      </c>
      <c r="ED22" s="12">
        <f t="shared" si="39"/>
        <v>0</v>
      </c>
      <c r="EE22" s="12">
        <f t="shared" si="39"/>
        <v>0</v>
      </c>
      <c r="EF22" s="12">
        <f t="shared" si="39"/>
        <v>0</v>
      </c>
      <c r="EG22" s="12">
        <f t="shared" si="39"/>
        <v>0</v>
      </c>
      <c r="EH22" s="12">
        <f t="shared" si="39"/>
        <v>1</v>
      </c>
      <c r="EI22" s="12">
        <f t="shared" si="39"/>
        <v>1</v>
      </c>
      <c r="EJ22" s="12">
        <f t="shared" si="39"/>
        <v>0</v>
      </c>
      <c r="EK22" s="12">
        <f t="shared" si="39"/>
        <v>0</v>
      </c>
      <c r="EL22" s="12">
        <f t="shared" si="39"/>
        <v>0</v>
      </c>
    </row>
    <row r="23" spans="1:142" ht="25" customHeight="1" x14ac:dyDescent="0.55000000000000004">
      <c r="B23" s="14" t="s">
        <v>145</v>
      </c>
      <c r="C23" s="12">
        <f t="shared" ref="C23:AH23" si="40">IF(AND(C5&lt;0,C11&gt;0),1,0)</f>
        <v>0</v>
      </c>
      <c r="D23" s="12">
        <f t="shared" si="40"/>
        <v>1</v>
      </c>
      <c r="E23" s="12">
        <f t="shared" si="40"/>
        <v>0</v>
      </c>
      <c r="F23" s="12">
        <f t="shared" si="40"/>
        <v>0</v>
      </c>
      <c r="G23" s="12">
        <f t="shared" si="40"/>
        <v>1</v>
      </c>
      <c r="H23" s="12">
        <f t="shared" si="40"/>
        <v>0</v>
      </c>
      <c r="I23" s="12">
        <f t="shared" si="40"/>
        <v>0</v>
      </c>
      <c r="J23" s="12">
        <f t="shared" si="40"/>
        <v>0</v>
      </c>
      <c r="K23" s="12">
        <f t="shared" si="40"/>
        <v>0</v>
      </c>
      <c r="L23" s="12">
        <f t="shared" si="40"/>
        <v>0</v>
      </c>
      <c r="M23" s="12">
        <f t="shared" si="40"/>
        <v>0</v>
      </c>
      <c r="N23" s="12">
        <f t="shared" si="40"/>
        <v>0</v>
      </c>
      <c r="O23" s="12">
        <f t="shared" si="40"/>
        <v>1</v>
      </c>
      <c r="P23" s="12">
        <f t="shared" si="40"/>
        <v>0</v>
      </c>
      <c r="Q23" s="12">
        <f t="shared" si="40"/>
        <v>0</v>
      </c>
      <c r="R23" s="12">
        <f t="shared" si="40"/>
        <v>0</v>
      </c>
      <c r="S23" s="12">
        <f t="shared" si="40"/>
        <v>0</v>
      </c>
      <c r="T23" s="12">
        <f t="shared" si="40"/>
        <v>0</v>
      </c>
      <c r="U23" s="12">
        <f t="shared" si="40"/>
        <v>1</v>
      </c>
      <c r="V23" s="12">
        <f t="shared" si="40"/>
        <v>0</v>
      </c>
      <c r="W23" s="12">
        <f t="shared" si="40"/>
        <v>0</v>
      </c>
      <c r="X23" s="12">
        <f t="shared" si="40"/>
        <v>0</v>
      </c>
      <c r="Y23" s="12">
        <f t="shared" si="40"/>
        <v>1</v>
      </c>
      <c r="Z23" s="12">
        <f t="shared" si="40"/>
        <v>0</v>
      </c>
      <c r="AA23" s="12">
        <f t="shared" si="40"/>
        <v>0</v>
      </c>
      <c r="AB23" s="12">
        <f t="shared" si="40"/>
        <v>0</v>
      </c>
      <c r="AC23" s="12">
        <f t="shared" si="40"/>
        <v>0</v>
      </c>
      <c r="AD23" s="12">
        <f t="shared" si="40"/>
        <v>0</v>
      </c>
      <c r="AE23" s="12">
        <f t="shared" si="40"/>
        <v>0</v>
      </c>
      <c r="AF23" s="12">
        <f t="shared" si="40"/>
        <v>0</v>
      </c>
      <c r="AG23" s="12">
        <f t="shared" si="40"/>
        <v>0</v>
      </c>
      <c r="AH23" s="12">
        <f t="shared" si="40"/>
        <v>1</v>
      </c>
      <c r="AI23" s="12">
        <f t="shared" ref="AI23:BN23" si="41">IF(AND(AI5&lt;0,AI11&gt;0),1,0)</f>
        <v>0</v>
      </c>
      <c r="AJ23" s="12">
        <f t="shared" si="41"/>
        <v>0</v>
      </c>
      <c r="AK23" s="12">
        <f t="shared" si="41"/>
        <v>0</v>
      </c>
      <c r="AL23" s="12">
        <f t="shared" si="41"/>
        <v>0</v>
      </c>
      <c r="AM23" s="12">
        <f t="shared" si="41"/>
        <v>0</v>
      </c>
      <c r="AN23" s="12">
        <f t="shared" si="41"/>
        <v>0</v>
      </c>
      <c r="AO23" s="12">
        <f t="shared" si="41"/>
        <v>0</v>
      </c>
      <c r="AP23" s="12">
        <f t="shared" si="41"/>
        <v>0</v>
      </c>
      <c r="AQ23" s="12">
        <f t="shared" si="41"/>
        <v>0</v>
      </c>
      <c r="AR23" s="12">
        <f t="shared" si="41"/>
        <v>0</v>
      </c>
      <c r="AS23" s="12">
        <f t="shared" si="41"/>
        <v>1</v>
      </c>
      <c r="AT23" s="12">
        <f t="shared" si="41"/>
        <v>0</v>
      </c>
      <c r="AU23" s="12">
        <f t="shared" si="41"/>
        <v>0</v>
      </c>
      <c r="AV23" s="12">
        <f t="shared" si="41"/>
        <v>1</v>
      </c>
      <c r="AW23" s="12">
        <f t="shared" si="41"/>
        <v>1</v>
      </c>
      <c r="AX23" s="12">
        <f t="shared" si="41"/>
        <v>0</v>
      </c>
      <c r="AY23" s="12">
        <f t="shared" si="41"/>
        <v>0</v>
      </c>
      <c r="AZ23" s="12">
        <f t="shared" si="41"/>
        <v>0</v>
      </c>
      <c r="BA23" s="12">
        <f t="shared" si="41"/>
        <v>0</v>
      </c>
      <c r="BB23" s="12">
        <f t="shared" si="41"/>
        <v>0</v>
      </c>
      <c r="BC23" s="12">
        <f t="shared" si="41"/>
        <v>1</v>
      </c>
      <c r="BD23" s="12">
        <f t="shared" si="41"/>
        <v>1</v>
      </c>
      <c r="BE23" s="12">
        <f t="shared" si="41"/>
        <v>0</v>
      </c>
      <c r="BF23" s="12">
        <f t="shared" si="41"/>
        <v>0</v>
      </c>
      <c r="BG23" s="12">
        <f t="shared" si="41"/>
        <v>0</v>
      </c>
      <c r="BH23" s="12">
        <f t="shared" si="41"/>
        <v>0</v>
      </c>
      <c r="BI23" s="12">
        <f t="shared" si="41"/>
        <v>0</v>
      </c>
      <c r="BJ23" s="12">
        <f t="shared" si="41"/>
        <v>0</v>
      </c>
      <c r="BK23" s="12">
        <f t="shared" si="41"/>
        <v>0</v>
      </c>
      <c r="BL23" s="12">
        <f t="shared" si="41"/>
        <v>0</v>
      </c>
      <c r="BM23" s="12">
        <f t="shared" si="41"/>
        <v>0</v>
      </c>
      <c r="BN23" s="12">
        <f t="shared" si="41"/>
        <v>0</v>
      </c>
      <c r="BO23" s="12">
        <f t="shared" ref="BO23:CT23" si="42">IF(AND(BO5&lt;0,BO11&gt;0),1,0)</f>
        <v>0</v>
      </c>
      <c r="BP23" s="12">
        <f t="shared" si="42"/>
        <v>1</v>
      </c>
      <c r="BQ23" s="12">
        <f t="shared" si="42"/>
        <v>0</v>
      </c>
      <c r="BR23" s="12">
        <f t="shared" si="42"/>
        <v>1</v>
      </c>
      <c r="BS23" s="12">
        <f t="shared" si="42"/>
        <v>0</v>
      </c>
      <c r="BT23" s="12">
        <f t="shared" si="42"/>
        <v>0</v>
      </c>
      <c r="BU23" s="12">
        <f t="shared" si="42"/>
        <v>1</v>
      </c>
      <c r="BV23" s="12">
        <f t="shared" si="42"/>
        <v>0</v>
      </c>
      <c r="BW23" s="12">
        <f t="shared" si="42"/>
        <v>0</v>
      </c>
      <c r="BX23" s="12">
        <f t="shared" si="42"/>
        <v>0</v>
      </c>
      <c r="BY23" s="12">
        <f t="shared" si="42"/>
        <v>0</v>
      </c>
      <c r="BZ23" s="12">
        <f t="shared" si="42"/>
        <v>1</v>
      </c>
      <c r="CA23" s="12">
        <f t="shared" si="42"/>
        <v>0</v>
      </c>
      <c r="CB23" s="12">
        <f t="shared" si="42"/>
        <v>1</v>
      </c>
      <c r="CC23" s="12">
        <f t="shared" si="42"/>
        <v>1</v>
      </c>
      <c r="CD23" s="12">
        <f t="shared" si="42"/>
        <v>0</v>
      </c>
      <c r="CE23" s="12">
        <f t="shared" si="42"/>
        <v>0</v>
      </c>
      <c r="CF23" s="12">
        <f t="shared" si="42"/>
        <v>0</v>
      </c>
      <c r="CG23" s="12">
        <f t="shared" si="42"/>
        <v>0</v>
      </c>
      <c r="CH23" s="12">
        <f t="shared" si="42"/>
        <v>0</v>
      </c>
      <c r="CI23" s="12">
        <f t="shared" si="42"/>
        <v>0</v>
      </c>
      <c r="CJ23" s="12">
        <f t="shared" si="42"/>
        <v>1</v>
      </c>
      <c r="CK23" s="12">
        <f t="shared" si="42"/>
        <v>0</v>
      </c>
      <c r="CL23" s="12">
        <f t="shared" si="42"/>
        <v>0</v>
      </c>
      <c r="CM23" s="12">
        <f t="shared" si="42"/>
        <v>0</v>
      </c>
      <c r="CN23" s="12">
        <f t="shared" si="42"/>
        <v>1</v>
      </c>
      <c r="CO23" s="12">
        <f t="shared" si="42"/>
        <v>0</v>
      </c>
      <c r="CP23" s="12">
        <f t="shared" si="42"/>
        <v>0</v>
      </c>
      <c r="CQ23" s="12">
        <f t="shared" si="42"/>
        <v>0</v>
      </c>
      <c r="CR23" s="12">
        <f t="shared" si="42"/>
        <v>0</v>
      </c>
      <c r="CS23" s="12">
        <f t="shared" si="42"/>
        <v>1</v>
      </c>
      <c r="CT23" s="12">
        <f t="shared" si="42"/>
        <v>0</v>
      </c>
      <c r="CU23" s="12">
        <f t="shared" ref="CU23:DZ23" si="43">IF(AND(CU5&lt;0,CU11&gt;0),1,0)</f>
        <v>0</v>
      </c>
      <c r="CV23" s="12">
        <f t="shared" si="43"/>
        <v>1</v>
      </c>
      <c r="CW23" s="12">
        <f t="shared" si="43"/>
        <v>0</v>
      </c>
      <c r="CX23" s="12">
        <f t="shared" si="43"/>
        <v>0</v>
      </c>
      <c r="CY23" s="12">
        <f t="shared" si="43"/>
        <v>1</v>
      </c>
      <c r="CZ23" s="12">
        <f t="shared" si="43"/>
        <v>0</v>
      </c>
      <c r="DA23" s="12">
        <f t="shared" si="43"/>
        <v>1</v>
      </c>
      <c r="DB23" s="12">
        <f t="shared" si="43"/>
        <v>0</v>
      </c>
      <c r="DC23" s="12">
        <f t="shared" si="43"/>
        <v>0</v>
      </c>
      <c r="DD23" s="12">
        <f t="shared" si="43"/>
        <v>0</v>
      </c>
      <c r="DE23" s="12">
        <f t="shared" si="43"/>
        <v>0</v>
      </c>
      <c r="DF23" s="12">
        <f t="shared" si="43"/>
        <v>1</v>
      </c>
      <c r="DG23" s="12">
        <f t="shared" si="43"/>
        <v>0</v>
      </c>
      <c r="DH23" s="12">
        <f t="shared" si="43"/>
        <v>0</v>
      </c>
      <c r="DI23" s="12">
        <f t="shared" si="43"/>
        <v>0</v>
      </c>
      <c r="DJ23" s="12">
        <f t="shared" si="43"/>
        <v>1</v>
      </c>
      <c r="DK23" s="12">
        <f t="shared" si="43"/>
        <v>0</v>
      </c>
      <c r="DL23" s="12">
        <f t="shared" si="43"/>
        <v>0</v>
      </c>
      <c r="DM23" s="12">
        <f t="shared" si="43"/>
        <v>1</v>
      </c>
      <c r="DN23" s="12">
        <f t="shared" si="43"/>
        <v>0</v>
      </c>
      <c r="DO23" s="12">
        <f t="shared" si="43"/>
        <v>0</v>
      </c>
      <c r="DP23" s="12">
        <f t="shared" si="43"/>
        <v>0</v>
      </c>
      <c r="DQ23" s="12">
        <f t="shared" si="43"/>
        <v>1</v>
      </c>
      <c r="DR23" s="12">
        <f t="shared" si="43"/>
        <v>0</v>
      </c>
      <c r="DS23" s="12">
        <f t="shared" si="43"/>
        <v>1</v>
      </c>
      <c r="DT23" s="12">
        <f t="shared" si="43"/>
        <v>0</v>
      </c>
      <c r="DU23" s="12">
        <f t="shared" si="43"/>
        <v>1</v>
      </c>
      <c r="DV23" s="12">
        <f t="shared" si="43"/>
        <v>0</v>
      </c>
      <c r="DW23" s="12">
        <f t="shared" si="43"/>
        <v>0</v>
      </c>
      <c r="DX23" s="12">
        <f t="shared" si="43"/>
        <v>1</v>
      </c>
      <c r="DY23" s="12">
        <f t="shared" si="43"/>
        <v>0</v>
      </c>
      <c r="DZ23" s="12">
        <f t="shared" si="43"/>
        <v>0</v>
      </c>
      <c r="EA23" s="12">
        <f t="shared" ref="EA23:EL23" si="44">IF(AND(EA5&lt;0,EA11&gt;0),1,0)</f>
        <v>0</v>
      </c>
      <c r="EB23" s="12">
        <f t="shared" si="44"/>
        <v>0</v>
      </c>
      <c r="EC23" s="12">
        <f t="shared" si="44"/>
        <v>0</v>
      </c>
      <c r="ED23" s="12">
        <f t="shared" si="44"/>
        <v>1</v>
      </c>
      <c r="EE23" s="12">
        <f t="shared" si="44"/>
        <v>0</v>
      </c>
      <c r="EF23" s="12">
        <f t="shared" si="44"/>
        <v>0</v>
      </c>
      <c r="EG23" s="12">
        <f t="shared" si="44"/>
        <v>0</v>
      </c>
      <c r="EH23" s="12">
        <f t="shared" si="44"/>
        <v>0</v>
      </c>
      <c r="EI23" s="12">
        <f t="shared" si="44"/>
        <v>0</v>
      </c>
      <c r="EJ23" s="12">
        <f t="shared" si="44"/>
        <v>0</v>
      </c>
      <c r="EK23" s="12">
        <f t="shared" si="44"/>
        <v>0</v>
      </c>
      <c r="EL23" s="12">
        <f t="shared" si="44"/>
        <v>0</v>
      </c>
    </row>
    <row r="24" spans="1:142" ht="25" customHeight="1" x14ac:dyDescent="0.55000000000000004">
      <c r="B24" s="16" t="s">
        <v>324</v>
      </c>
      <c r="C24" s="12">
        <f>SUM(C21:C23)+SUM(D21:D23)+SUM(E21:E23)+SUM(F21:F23)+SUM(G21:G23)+SUM(H21:H23)+SUM(I21:I23)+SUM(J21:J23)+SUM(K21:K23)+SUM(L21:L23)+SUM(M21:M23)+SUM(N21:N23)+SUM(O21:O23)+SUM(P21:P23)+SUM(Q21:Q23)+SUM(R21:R23)+SUM(S21:S23)+SUM(T21:T23)+SUM(U21:U23)+SUM(V21:V23)+SUM(W21:W23)+SUM(X21:X23)+SUM(Y21:Y23)+SUM(Z21:Z23)+SUM(AA21:AA23)+SUM(AB21:AB23)+SUM(AC21:AC23)+SUM(AD21:AD23)+SUM(AE21:AE23)+SUM(AF21:AF23)+SUM(AG21:AG23)+SUM(AH21:AH23)+SUM(AI21:AI23)+SUM(AJ21:AJ23)+SUM(AK21:AK23)+SUM(AL21:AL23)+SUM(AM21:AM23)+SUM(AN21:AN23)+SUM(AO21:AO23)+SUM(AP21:AP23)+SUM(AQ21:AQ23)+SUM(AR21:AR23)+SUM(AS21:AS23)+SUM(AT21:AT23)+SUM(AU21:AU23)+SUM(AV21:AV23)+SUM(AW21:AW23)+SUM(AX21:AX23)+SUM(AY21:AY23)+SUM(AZ21:AZ23)+SUM(BA21:BA23)+SUM(BB21:BB23)+SUM(BC21:BC23)+SUM(BD21:BD23)+SUM(BE21:BE23)+SUM(BF21:BF23)+SUM(BG21:BG23)+SUM(BH21:BH23)+SUM(BI21:BI23)+SUM(BJ21:BJ23)+SUM(BK21:BK23)+SUM(BL21:BL23)+SUM(BM21:BM23)+SUM(BN21:BN23)+SUM(BO21:BO23)+SUM(BP21:BP23)+SUM(BQ21:BQ23)+SUM(BR21:BR23)+SUM(BS21:BS23)+SUM(BT21:BT23)+SUM(BU21:BU23)+SUM(BV21:BV23)+SUM(BW21:BW23)+SUM(BX21:BX23)+SUM(BY21:BY23)+SUM(BZ21:BZ23)+SUM(CA21:CA23)+SUM(CB21:CB23)+SUM(CC21:CC23)+SUM(CD21:CD23)+SUM(CE21:CE23)+SUM(CF21:CF23)+SUM(CG21:CG23)+SUM(CH21:CH23)+SUM(CI21:CI23)+SUM(CJ21:CJ23)+SUM(CK21:CK23)+SUM(CL21:CL23)+SUM(CM21:CM23)+SUM(CN21:CN23)+SUM(CO21:CO23)+SUM(CP21:CP23)+SUM(CQ21:CQ23)+SUM(CR21:CR23)+SUM(CS21:CS23)+SUM(CT21:CT23)+SUM(CU21:CU23)+SUM(CV21:CV23)+SUM(CW21:CW23)+SUM(CX21:CX23)+SUM(CY21:CY23)+SUM(CZ21:CZ23)+SUM(DA21:DA23)+SUM(DB21:DB23)+SUM(DC21:DC23)+SUM(DD21:DD23)+SUM(DE21:DE23)+SUM(DF21:DF23)+SUM(DG21:DG23)+SUM(DH21:DH23)+SUM(DI21:DI23)+SUM(DJ21:DJ23)+SUM(DK21:DK23)+SUM(DL21:DL23)+SUM(DM21:DM23)+SUM(DN21:DN23)+SUM(DO21:DO23)+SUM(DP21:DP23)+SUM(DQ21:DQ23)+SUM(DR21:DR23)+SUM(DS21:DS23)+SUM(DT21:DT23)+SUM(DU21:DU23)+SUM(DV21:DV23)+SUM(DW21:DW23)+SUM(DX21:DX23)+SUM(DY21:DY23)+SUM(DZ21:DZ23)+SUM(EA21:EA23)+SUM(EB21:EB23)+SUM(EC21:EC23)+SUM(ED21:ED23)+SUM(EE21:EE23)+SUM(EF21:EF23)+SUM(EG21:EG23)+SUM(EH21:EH23)+SUM(EI21:EI23)+SUM(EJ21:EJ23)+SUM(EK21:EK23)+SUM(EL21:EL23)</f>
        <v>99</v>
      </c>
    </row>
    <row r="25" spans="1:142" ht="25" customHeight="1" x14ac:dyDescent="0.55000000000000004">
      <c r="A25" s="12" t="s">
        <v>326</v>
      </c>
      <c r="B25" s="11" t="s">
        <v>143</v>
      </c>
      <c r="C25" s="12">
        <f t="shared" ref="C25:AH25" si="45">IF(AND(C3&lt;0,C9&lt;0),1,0)</f>
        <v>0</v>
      </c>
      <c r="D25" s="12">
        <f t="shared" si="45"/>
        <v>0</v>
      </c>
      <c r="E25" s="12">
        <f t="shared" si="45"/>
        <v>0</v>
      </c>
      <c r="F25" s="12">
        <f t="shared" si="45"/>
        <v>0</v>
      </c>
      <c r="G25" s="12">
        <f t="shared" si="45"/>
        <v>0</v>
      </c>
      <c r="H25" s="12">
        <f t="shared" si="45"/>
        <v>0</v>
      </c>
      <c r="I25" s="12">
        <f t="shared" si="45"/>
        <v>0</v>
      </c>
      <c r="J25" s="12">
        <f t="shared" si="45"/>
        <v>0</v>
      </c>
      <c r="K25" s="12">
        <f t="shared" si="45"/>
        <v>0</v>
      </c>
      <c r="L25" s="12">
        <f t="shared" si="45"/>
        <v>0</v>
      </c>
      <c r="M25" s="12">
        <f t="shared" si="45"/>
        <v>0</v>
      </c>
      <c r="N25" s="12">
        <f t="shared" si="45"/>
        <v>0</v>
      </c>
      <c r="O25" s="12">
        <f t="shared" si="45"/>
        <v>0</v>
      </c>
      <c r="P25" s="12">
        <f t="shared" si="45"/>
        <v>0</v>
      </c>
      <c r="Q25" s="12">
        <f t="shared" si="45"/>
        <v>1</v>
      </c>
      <c r="R25" s="12">
        <f t="shared" si="45"/>
        <v>0</v>
      </c>
      <c r="S25" s="12">
        <f t="shared" si="45"/>
        <v>0</v>
      </c>
      <c r="T25" s="12">
        <f t="shared" si="45"/>
        <v>1</v>
      </c>
      <c r="U25" s="12">
        <f t="shared" si="45"/>
        <v>1</v>
      </c>
      <c r="V25" s="12">
        <f t="shared" si="45"/>
        <v>0</v>
      </c>
      <c r="W25" s="12">
        <f t="shared" si="45"/>
        <v>0</v>
      </c>
      <c r="X25" s="12">
        <f t="shared" si="45"/>
        <v>0</v>
      </c>
      <c r="Y25" s="12">
        <f t="shared" si="45"/>
        <v>0</v>
      </c>
      <c r="Z25" s="12">
        <f t="shared" si="45"/>
        <v>0</v>
      </c>
      <c r="AA25" s="12">
        <f t="shared" si="45"/>
        <v>0</v>
      </c>
      <c r="AB25" s="12">
        <f t="shared" si="45"/>
        <v>0</v>
      </c>
      <c r="AC25" s="12">
        <f t="shared" si="45"/>
        <v>0</v>
      </c>
      <c r="AD25" s="12">
        <f t="shared" si="45"/>
        <v>0</v>
      </c>
      <c r="AE25" s="12">
        <f t="shared" si="45"/>
        <v>1</v>
      </c>
      <c r="AF25" s="12">
        <f t="shared" si="45"/>
        <v>0</v>
      </c>
      <c r="AG25" s="12">
        <f t="shared" si="45"/>
        <v>0</v>
      </c>
      <c r="AH25" s="12">
        <f t="shared" si="45"/>
        <v>0</v>
      </c>
      <c r="AI25" s="12">
        <f t="shared" ref="AI25:BN25" si="46">IF(AND(AI3&lt;0,AI9&lt;0),1,0)</f>
        <v>0</v>
      </c>
      <c r="AJ25" s="12">
        <f t="shared" si="46"/>
        <v>0</v>
      </c>
      <c r="AK25" s="12">
        <f t="shared" si="46"/>
        <v>0</v>
      </c>
      <c r="AL25" s="12">
        <f t="shared" si="46"/>
        <v>0</v>
      </c>
      <c r="AM25" s="12">
        <f t="shared" si="46"/>
        <v>0</v>
      </c>
      <c r="AN25" s="12">
        <f t="shared" si="46"/>
        <v>0</v>
      </c>
      <c r="AO25" s="12">
        <f t="shared" si="46"/>
        <v>0</v>
      </c>
      <c r="AP25" s="12">
        <f t="shared" si="46"/>
        <v>0</v>
      </c>
      <c r="AQ25" s="12">
        <f t="shared" si="46"/>
        <v>1</v>
      </c>
      <c r="AR25" s="12">
        <f t="shared" si="46"/>
        <v>0</v>
      </c>
      <c r="AS25" s="12">
        <f t="shared" si="46"/>
        <v>0</v>
      </c>
      <c r="AT25" s="12">
        <f t="shared" si="46"/>
        <v>0</v>
      </c>
      <c r="AU25" s="12">
        <f t="shared" si="46"/>
        <v>0</v>
      </c>
      <c r="AV25" s="12">
        <f t="shared" si="46"/>
        <v>0</v>
      </c>
      <c r="AW25" s="12">
        <f t="shared" si="46"/>
        <v>0</v>
      </c>
      <c r="AX25" s="12">
        <f t="shared" si="46"/>
        <v>0</v>
      </c>
      <c r="AY25" s="12">
        <f t="shared" si="46"/>
        <v>0</v>
      </c>
      <c r="AZ25" s="12">
        <f t="shared" si="46"/>
        <v>0</v>
      </c>
      <c r="BA25" s="12">
        <f t="shared" si="46"/>
        <v>0</v>
      </c>
      <c r="BB25" s="12">
        <f t="shared" si="46"/>
        <v>0</v>
      </c>
      <c r="BC25" s="12">
        <f t="shared" si="46"/>
        <v>0</v>
      </c>
      <c r="BD25" s="12">
        <f t="shared" si="46"/>
        <v>0</v>
      </c>
      <c r="BE25" s="12">
        <f t="shared" si="46"/>
        <v>0</v>
      </c>
      <c r="BF25" s="12">
        <f t="shared" si="46"/>
        <v>0</v>
      </c>
      <c r="BG25" s="12">
        <f t="shared" si="46"/>
        <v>0</v>
      </c>
      <c r="BH25" s="12">
        <f t="shared" si="46"/>
        <v>0</v>
      </c>
      <c r="BI25" s="12">
        <f t="shared" si="46"/>
        <v>0</v>
      </c>
      <c r="BJ25" s="12">
        <f t="shared" si="46"/>
        <v>0</v>
      </c>
      <c r="BK25" s="12">
        <f t="shared" si="46"/>
        <v>0</v>
      </c>
      <c r="BL25" s="12">
        <f t="shared" si="46"/>
        <v>0</v>
      </c>
      <c r="BM25" s="12">
        <f t="shared" si="46"/>
        <v>0</v>
      </c>
      <c r="BN25" s="12">
        <f t="shared" si="46"/>
        <v>0</v>
      </c>
      <c r="BO25" s="12">
        <f t="shared" ref="BO25:CT25" si="47">IF(AND(BO3&lt;0,BO9&lt;0),1,0)</f>
        <v>0</v>
      </c>
      <c r="BP25" s="12">
        <f t="shared" si="47"/>
        <v>0</v>
      </c>
      <c r="BQ25" s="12">
        <f t="shared" si="47"/>
        <v>0</v>
      </c>
      <c r="BR25" s="12">
        <f t="shared" si="47"/>
        <v>0</v>
      </c>
      <c r="BS25" s="12">
        <f t="shared" si="47"/>
        <v>0</v>
      </c>
      <c r="BT25" s="12">
        <f t="shared" si="47"/>
        <v>0</v>
      </c>
      <c r="BU25" s="12">
        <f t="shared" si="47"/>
        <v>0</v>
      </c>
      <c r="BV25" s="12">
        <f t="shared" si="47"/>
        <v>0</v>
      </c>
      <c r="BW25" s="12">
        <f t="shared" si="47"/>
        <v>0</v>
      </c>
      <c r="BX25" s="12">
        <f t="shared" si="47"/>
        <v>0</v>
      </c>
      <c r="BY25" s="12">
        <f t="shared" si="47"/>
        <v>0</v>
      </c>
      <c r="BZ25" s="12">
        <f t="shared" si="47"/>
        <v>0</v>
      </c>
      <c r="CA25" s="12">
        <f t="shared" si="47"/>
        <v>1</v>
      </c>
      <c r="CB25" s="12">
        <f t="shared" si="47"/>
        <v>0</v>
      </c>
      <c r="CC25" s="12">
        <f t="shared" si="47"/>
        <v>1</v>
      </c>
      <c r="CD25" s="12">
        <f t="shared" si="47"/>
        <v>0</v>
      </c>
      <c r="CE25" s="12">
        <f t="shared" si="47"/>
        <v>0</v>
      </c>
      <c r="CF25" s="12">
        <f t="shared" si="47"/>
        <v>0</v>
      </c>
      <c r="CG25" s="12">
        <f t="shared" si="47"/>
        <v>0</v>
      </c>
      <c r="CH25" s="12">
        <f t="shared" si="47"/>
        <v>0</v>
      </c>
      <c r="CI25" s="12">
        <f t="shared" si="47"/>
        <v>0</v>
      </c>
      <c r="CJ25" s="12">
        <f t="shared" si="47"/>
        <v>1</v>
      </c>
      <c r="CK25" s="12">
        <f t="shared" si="47"/>
        <v>0</v>
      </c>
      <c r="CL25" s="12">
        <f t="shared" si="47"/>
        <v>0</v>
      </c>
      <c r="CM25" s="12">
        <f t="shared" si="47"/>
        <v>0</v>
      </c>
      <c r="CN25" s="12">
        <f t="shared" si="47"/>
        <v>1</v>
      </c>
      <c r="CO25" s="12">
        <f t="shared" si="47"/>
        <v>0</v>
      </c>
      <c r="CP25" s="12">
        <f t="shared" si="47"/>
        <v>0</v>
      </c>
      <c r="CQ25" s="12">
        <f t="shared" si="47"/>
        <v>0</v>
      </c>
      <c r="CR25" s="12">
        <f t="shared" si="47"/>
        <v>0</v>
      </c>
      <c r="CS25" s="12">
        <f t="shared" si="47"/>
        <v>1</v>
      </c>
      <c r="CT25" s="12">
        <f t="shared" si="47"/>
        <v>0</v>
      </c>
      <c r="CU25" s="12">
        <f t="shared" ref="CU25:DZ25" si="48">IF(AND(CU3&lt;0,CU9&lt;0),1,0)</f>
        <v>0</v>
      </c>
      <c r="CV25" s="12">
        <f t="shared" si="48"/>
        <v>0</v>
      </c>
      <c r="CW25" s="12">
        <f t="shared" si="48"/>
        <v>0</v>
      </c>
      <c r="CX25" s="12">
        <f t="shared" si="48"/>
        <v>0</v>
      </c>
      <c r="CY25" s="12">
        <f t="shared" si="48"/>
        <v>0</v>
      </c>
      <c r="CZ25" s="12">
        <f t="shared" si="48"/>
        <v>0</v>
      </c>
      <c r="DA25" s="12">
        <f t="shared" si="48"/>
        <v>0</v>
      </c>
      <c r="DB25" s="12">
        <f t="shared" si="48"/>
        <v>1</v>
      </c>
      <c r="DC25" s="12">
        <f t="shared" si="48"/>
        <v>0</v>
      </c>
      <c r="DD25" s="12">
        <f t="shared" si="48"/>
        <v>0</v>
      </c>
      <c r="DE25" s="12">
        <f t="shared" si="48"/>
        <v>0</v>
      </c>
      <c r="DF25" s="12">
        <f t="shared" si="48"/>
        <v>0</v>
      </c>
      <c r="DG25" s="12">
        <f t="shared" si="48"/>
        <v>1</v>
      </c>
      <c r="DH25" s="12">
        <f t="shared" si="48"/>
        <v>1</v>
      </c>
      <c r="DI25" s="12">
        <f t="shared" si="48"/>
        <v>0</v>
      </c>
      <c r="DJ25" s="12">
        <f t="shared" si="48"/>
        <v>0</v>
      </c>
      <c r="DK25" s="12">
        <f t="shared" si="48"/>
        <v>0</v>
      </c>
      <c r="DL25" s="12">
        <f t="shared" si="48"/>
        <v>1</v>
      </c>
      <c r="DM25" s="12">
        <f t="shared" si="48"/>
        <v>1</v>
      </c>
      <c r="DN25" s="12">
        <f t="shared" si="48"/>
        <v>0</v>
      </c>
      <c r="DO25" s="12">
        <f t="shared" si="48"/>
        <v>0</v>
      </c>
      <c r="DP25" s="12">
        <f t="shared" si="48"/>
        <v>0</v>
      </c>
      <c r="DQ25" s="12">
        <f t="shared" si="48"/>
        <v>0</v>
      </c>
      <c r="DR25" s="12">
        <f t="shared" si="48"/>
        <v>0</v>
      </c>
      <c r="DS25" s="12">
        <f t="shared" si="48"/>
        <v>0</v>
      </c>
      <c r="DT25" s="12">
        <f t="shared" si="48"/>
        <v>1</v>
      </c>
      <c r="DU25" s="12">
        <f t="shared" si="48"/>
        <v>0</v>
      </c>
      <c r="DV25" s="12">
        <f t="shared" si="48"/>
        <v>0</v>
      </c>
      <c r="DW25" s="12">
        <f t="shared" si="48"/>
        <v>0</v>
      </c>
      <c r="DX25" s="12">
        <f t="shared" si="48"/>
        <v>0</v>
      </c>
      <c r="DY25" s="12">
        <f t="shared" si="48"/>
        <v>0</v>
      </c>
      <c r="DZ25" s="12">
        <f t="shared" si="48"/>
        <v>0</v>
      </c>
      <c r="EA25" s="12">
        <f t="shared" ref="EA25:EL25" si="49">IF(AND(EA3&lt;0,EA9&lt;0),1,0)</f>
        <v>0</v>
      </c>
      <c r="EB25" s="12">
        <f t="shared" si="49"/>
        <v>0</v>
      </c>
      <c r="EC25" s="12">
        <f t="shared" si="49"/>
        <v>0</v>
      </c>
      <c r="ED25" s="12">
        <f t="shared" si="49"/>
        <v>1</v>
      </c>
      <c r="EE25" s="12">
        <f t="shared" si="49"/>
        <v>0</v>
      </c>
      <c r="EF25" s="12">
        <f t="shared" si="49"/>
        <v>0</v>
      </c>
      <c r="EG25" s="12">
        <f t="shared" si="49"/>
        <v>0</v>
      </c>
      <c r="EH25" s="12">
        <f t="shared" si="49"/>
        <v>0</v>
      </c>
      <c r="EI25" s="12">
        <f t="shared" si="49"/>
        <v>0</v>
      </c>
      <c r="EJ25" s="12">
        <f t="shared" si="49"/>
        <v>1</v>
      </c>
      <c r="EK25" s="12">
        <f t="shared" si="49"/>
        <v>0</v>
      </c>
      <c r="EL25" s="12">
        <f t="shared" si="49"/>
        <v>1</v>
      </c>
    </row>
    <row r="26" spans="1:142" ht="25" customHeight="1" x14ac:dyDescent="0.55000000000000004">
      <c r="A26" s="12" t="s">
        <v>327</v>
      </c>
      <c r="B26" s="11" t="s">
        <v>144</v>
      </c>
      <c r="C26" s="12">
        <f t="shared" ref="C26:AH26" si="50">IF(AND(C4&lt;0,C10&lt;0),1,0)</f>
        <v>1</v>
      </c>
      <c r="D26" s="12">
        <f t="shared" si="50"/>
        <v>1</v>
      </c>
      <c r="E26" s="12">
        <f t="shared" si="50"/>
        <v>1</v>
      </c>
      <c r="F26" s="12">
        <f t="shared" si="50"/>
        <v>0</v>
      </c>
      <c r="G26" s="12">
        <f t="shared" si="50"/>
        <v>0</v>
      </c>
      <c r="H26" s="12">
        <f t="shared" si="50"/>
        <v>1</v>
      </c>
      <c r="I26" s="12">
        <f t="shared" si="50"/>
        <v>0</v>
      </c>
      <c r="J26" s="12">
        <f t="shared" si="50"/>
        <v>0</v>
      </c>
      <c r="K26" s="12">
        <f t="shared" si="50"/>
        <v>1</v>
      </c>
      <c r="L26" s="12">
        <f t="shared" si="50"/>
        <v>0</v>
      </c>
      <c r="M26" s="12">
        <f t="shared" si="50"/>
        <v>0</v>
      </c>
      <c r="N26" s="12">
        <f t="shared" si="50"/>
        <v>0</v>
      </c>
      <c r="O26" s="12">
        <f t="shared" si="50"/>
        <v>1</v>
      </c>
      <c r="P26" s="12">
        <f t="shared" si="50"/>
        <v>0</v>
      </c>
      <c r="Q26" s="12">
        <f t="shared" si="50"/>
        <v>0</v>
      </c>
      <c r="R26" s="12">
        <f t="shared" si="50"/>
        <v>1</v>
      </c>
      <c r="S26" s="12">
        <f t="shared" si="50"/>
        <v>0</v>
      </c>
      <c r="T26" s="12">
        <f t="shared" si="50"/>
        <v>0</v>
      </c>
      <c r="U26" s="12">
        <f t="shared" si="50"/>
        <v>0</v>
      </c>
      <c r="V26" s="12">
        <f t="shared" si="50"/>
        <v>0</v>
      </c>
      <c r="W26" s="12">
        <f t="shared" si="50"/>
        <v>0</v>
      </c>
      <c r="X26" s="12">
        <f t="shared" si="50"/>
        <v>1</v>
      </c>
      <c r="Y26" s="12">
        <f t="shared" si="50"/>
        <v>1</v>
      </c>
      <c r="Z26" s="12">
        <f t="shared" si="50"/>
        <v>0</v>
      </c>
      <c r="AA26" s="12">
        <f t="shared" si="50"/>
        <v>0</v>
      </c>
      <c r="AB26" s="12">
        <f t="shared" si="50"/>
        <v>1</v>
      </c>
      <c r="AC26" s="12">
        <f t="shared" si="50"/>
        <v>1</v>
      </c>
      <c r="AD26" s="12">
        <f t="shared" si="50"/>
        <v>1</v>
      </c>
      <c r="AE26" s="12">
        <f t="shared" si="50"/>
        <v>0</v>
      </c>
      <c r="AF26" s="12">
        <f t="shared" si="50"/>
        <v>0</v>
      </c>
      <c r="AG26" s="12">
        <f t="shared" si="50"/>
        <v>1</v>
      </c>
      <c r="AH26" s="12">
        <f t="shared" si="50"/>
        <v>1</v>
      </c>
      <c r="AI26" s="12">
        <f t="shared" ref="AI26:BN26" si="51">IF(AND(AI4&lt;0,AI10&lt;0),1,0)</f>
        <v>1</v>
      </c>
      <c r="AJ26" s="12">
        <f t="shared" si="51"/>
        <v>0</v>
      </c>
      <c r="AK26" s="12">
        <f t="shared" si="51"/>
        <v>0</v>
      </c>
      <c r="AL26" s="12">
        <f t="shared" si="51"/>
        <v>1</v>
      </c>
      <c r="AM26" s="12">
        <f t="shared" si="51"/>
        <v>1</v>
      </c>
      <c r="AN26" s="12">
        <f t="shared" si="51"/>
        <v>1</v>
      </c>
      <c r="AO26" s="12">
        <f t="shared" si="51"/>
        <v>1</v>
      </c>
      <c r="AP26" s="12">
        <f t="shared" si="51"/>
        <v>0</v>
      </c>
      <c r="AQ26" s="12">
        <f t="shared" si="51"/>
        <v>0</v>
      </c>
      <c r="AR26" s="12">
        <f t="shared" si="51"/>
        <v>0</v>
      </c>
      <c r="AS26" s="12">
        <f t="shared" si="51"/>
        <v>0</v>
      </c>
      <c r="AT26" s="12">
        <f t="shared" si="51"/>
        <v>0</v>
      </c>
      <c r="AU26" s="12">
        <f t="shared" si="51"/>
        <v>1</v>
      </c>
      <c r="AV26" s="12">
        <f t="shared" si="51"/>
        <v>0</v>
      </c>
      <c r="AW26" s="12">
        <f t="shared" si="51"/>
        <v>0</v>
      </c>
      <c r="AX26" s="12">
        <f t="shared" si="51"/>
        <v>0</v>
      </c>
      <c r="AY26" s="12">
        <f t="shared" si="51"/>
        <v>0</v>
      </c>
      <c r="AZ26" s="12">
        <f t="shared" si="51"/>
        <v>0</v>
      </c>
      <c r="BA26" s="12">
        <f t="shared" si="51"/>
        <v>1</v>
      </c>
      <c r="BB26" s="12">
        <f t="shared" si="51"/>
        <v>0</v>
      </c>
      <c r="BC26" s="12">
        <f t="shared" si="51"/>
        <v>0</v>
      </c>
      <c r="BD26" s="12">
        <f t="shared" si="51"/>
        <v>0</v>
      </c>
      <c r="BE26" s="12">
        <f t="shared" si="51"/>
        <v>0</v>
      </c>
      <c r="BF26" s="12">
        <f t="shared" si="51"/>
        <v>0</v>
      </c>
      <c r="BG26" s="12">
        <f t="shared" si="51"/>
        <v>1</v>
      </c>
      <c r="BH26" s="12">
        <f t="shared" si="51"/>
        <v>0</v>
      </c>
      <c r="BI26" s="12">
        <f t="shared" si="51"/>
        <v>1</v>
      </c>
      <c r="BJ26" s="12">
        <f t="shared" si="51"/>
        <v>1</v>
      </c>
      <c r="BK26" s="12">
        <f t="shared" si="51"/>
        <v>0</v>
      </c>
      <c r="BL26" s="12">
        <f t="shared" si="51"/>
        <v>1</v>
      </c>
      <c r="BM26" s="12">
        <f t="shared" si="51"/>
        <v>0</v>
      </c>
      <c r="BN26" s="12">
        <f t="shared" si="51"/>
        <v>0</v>
      </c>
      <c r="BO26" s="12">
        <f t="shared" ref="BO26:CT26" si="52">IF(AND(BO4&lt;0,BO10&lt;0),1,0)</f>
        <v>0</v>
      </c>
      <c r="BP26" s="12">
        <f t="shared" si="52"/>
        <v>0</v>
      </c>
      <c r="BQ26" s="12">
        <f t="shared" si="52"/>
        <v>1</v>
      </c>
      <c r="BR26" s="12">
        <f t="shared" si="52"/>
        <v>1</v>
      </c>
      <c r="BS26" s="12">
        <f t="shared" si="52"/>
        <v>1</v>
      </c>
      <c r="BT26" s="12">
        <f t="shared" si="52"/>
        <v>0</v>
      </c>
      <c r="BU26" s="12">
        <f t="shared" si="52"/>
        <v>0</v>
      </c>
      <c r="BV26" s="12">
        <f t="shared" si="52"/>
        <v>0</v>
      </c>
      <c r="BW26" s="12">
        <f t="shared" si="52"/>
        <v>1</v>
      </c>
      <c r="BX26" s="12">
        <f t="shared" si="52"/>
        <v>1</v>
      </c>
      <c r="BY26" s="12">
        <f t="shared" si="52"/>
        <v>0</v>
      </c>
      <c r="BZ26" s="12">
        <f t="shared" si="52"/>
        <v>0</v>
      </c>
      <c r="CA26" s="12">
        <f t="shared" si="52"/>
        <v>0</v>
      </c>
      <c r="CB26" s="12">
        <f t="shared" si="52"/>
        <v>0</v>
      </c>
      <c r="CC26" s="12">
        <f t="shared" si="52"/>
        <v>1</v>
      </c>
      <c r="CD26" s="12">
        <f t="shared" si="52"/>
        <v>1</v>
      </c>
      <c r="CE26" s="12">
        <f t="shared" si="52"/>
        <v>1</v>
      </c>
      <c r="CF26" s="12">
        <f t="shared" si="52"/>
        <v>0</v>
      </c>
      <c r="CG26" s="12">
        <f t="shared" si="52"/>
        <v>0</v>
      </c>
      <c r="CH26" s="12">
        <f t="shared" si="52"/>
        <v>0</v>
      </c>
      <c r="CI26" s="12">
        <f t="shared" si="52"/>
        <v>0</v>
      </c>
      <c r="CJ26" s="12">
        <f t="shared" si="52"/>
        <v>0</v>
      </c>
      <c r="CK26" s="12">
        <f t="shared" si="52"/>
        <v>0</v>
      </c>
      <c r="CL26" s="12">
        <f t="shared" si="52"/>
        <v>1</v>
      </c>
      <c r="CM26" s="12">
        <f t="shared" si="52"/>
        <v>0</v>
      </c>
      <c r="CN26" s="12">
        <f t="shared" si="52"/>
        <v>0</v>
      </c>
      <c r="CO26" s="12">
        <f t="shared" si="52"/>
        <v>0</v>
      </c>
      <c r="CP26" s="12">
        <f t="shared" si="52"/>
        <v>0</v>
      </c>
      <c r="CQ26" s="12">
        <f t="shared" si="52"/>
        <v>1</v>
      </c>
      <c r="CR26" s="12">
        <f t="shared" si="52"/>
        <v>1</v>
      </c>
      <c r="CS26" s="12">
        <f t="shared" si="52"/>
        <v>1</v>
      </c>
      <c r="CT26" s="12">
        <f t="shared" si="52"/>
        <v>1</v>
      </c>
      <c r="CU26" s="12">
        <f t="shared" ref="CU26:DZ26" si="53">IF(AND(CU4&lt;0,CU10&lt;0),1,0)</f>
        <v>0</v>
      </c>
      <c r="CV26" s="12">
        <f t="shared" si="53"/>
        <v>0</v>
      </c>
      <c r="CW26" s="12">
        <f t="shared" si="53"/>
        <v>1</v>
      </c>
      <c r="CX26" s="12">
        <f t="shared" si="53"/>
        <v>0</v>
      </c>
      <c r="CY26" s="12">
        <f t="shared" si="53"/>
        <v>1</v>
      </c>
      <c r="CZ26" s="12">
        <f t="shared" si="53"/>
        <v>1</v>
      </c>
      <c r="DA26" s="12">
        <f t="shared" si="53"/>
        <v>1</v>
      </c>
      <c r="DB26" s="12">
        <f t="shared" si="53"/>
        <v>0</v>
      </c>
      <c r="DC26" s="12">
        <f t="shared" si="53"/>
        <v>1</v>
      </c>
      <c r="DD26" s="12">
        <f t="shared" si="53"/>
        <v>0</v>
      </c>
      <c r="DE26" s="12">
        <f t="shared" si="53"/>
        <v>0</v>
      </c>
      <c r="DF26" s="12">
        <f t="shared" si="53"/>
        <v>1</v>
      </c>
      <c r="DG26" s="12">
        <f t="shared" si="53"/>
        <v>0</v>
      </c>
      <c r="DH26" s="12">
        <f t="shared" si="53"/>
        <v>0</v>
      </c>
      <c r="DI26" s="12">
        <f t="shared" si="53"/>
        <v>1</v>
      </c>
      <c r="DJ26" s="12">
        <f t="shared" si="53"/>
        <v>1</v>
      </c>
      <c r="DK26" s="12">
        <f t="shared" si="53"/>
        <v>0</v>
      </c>
      <c r="DL26" s="12">
        <f t="shared" si="53"/>
        <v>0</v>
      </c>
      <c r="DM26" s="12">
        <f t="shared" si="53"/>
        <v>0</v>
      </c>
      <c r="DN26" s="12">
        <f t="shared" si="53"/>
        <v>0</v>
      </c>
      <c r="DO26" s="12">
        <f t="shared" si="53"/>
        <v>1</v>
      </c>
      <c r="DP26" s="12">
        <f t="shared" si="53"/>
        <v>1</v>
      </c>
      <c r="DQ26" s="12">
        <f t="shared" si="53"/>
        <v>0</v>
      </c>
      <c r="DR26" s="12">
        <f t="shared" si="53"/>
        <v>0</v>
      </c>
      <c r="DS26" s="12">
        <f t="shared" si="53"/>
        <v>0</v>
      </c>
      <c r="DT26" s="12">
        <f t="shared" si="53"/>
        <v>1</v>
      </c>
      <c r="DU26" s="12">
        <f t="shared" si="53"/>
        <v>0</v>
      </c>
      <c r="DV26" s="12">
        <f t="shared" si="53"/>
        <v>0</v>
      </c>
      <c r="DW26" s="12">
        <f t="shared" si="53"/>
        <v>0</v>
      </c>
      <c r="DX26" s="12">
        <f t="shared" si="53"/>
        <v>1</v>
      </c>
      <c r="DY26" s="12">
        <f t="shared" si="53"/>
        <v>0</v>
      </c>
      <c r="DZ26" s="12">
        <f t="shared" si="53"/>
        <v>1</v>
      </c>
      <c r="EA26" s="12">
        <f t="shared" ref="EA26:EL26" si="54">IF(AND(EA4&lt;0,EA10&lt;0),1,0)</f>
        <v>1</v>
      </c>
      <c r="EB26" s="12">
        <f t="shared" si="54"/>
        <v>1</v>
      </c>
      <c r="EC26" s="12">
        <f t="shared" si="54"/>
        <v>0</v>
      </c>
      <c r="ED26" s="12">
        <f t="shared" si="54"/>
        <v>0</v>
      </c>
      <c r="EE26" s="12">
        <f t="shared" si="54"/>
        <v>0</v>
      </c>
      <c r="EF26" s="12">
        <f t="shared" si="54"/>
        <v>0</v>
      </c>
      <c r="EG26" s="12">
        <f t="shared" si="54"/>
        <v>1</v>
      </c>
      <c r="EH26" s="12">
        <f t="shared" si="54"/>
        <v>0</v>
      </c>
      <c r="EI26" s="12">
        <f t="shared" si="54"/>
        <v>0</v>
      </c>
      <c r="EJ26" s="12">
        <f t="shared" si="54"/>
        <v>0</v>
      </c>
      <c r="EK26" s="12">
        <f t="shared" si="54"/>
        <v>0</v>
      </c>
      <c r="EL26" s="12">
        <f t="shared" si="54"/>
        <v>0</v>
      </c>
    </row>
    <row r="27" spans="1:142" ht="25" customHeight="1" x14ac:dyDescent="0.55000000000000004">
      <c r="B27" s="14" t="s">
        <v>145</v>
      </c>
      <c r="C27" s="12">
        <f t="shared" ref="C27:AH27" si="55">IF(AND(C5&lt;0,C11&lt;0),1,0)</f>
        <v>1</v>
      </c>
      <c r="D27" s="12">
        <f t="shared" si="55"/>
        <v>0</v>
      </c>
      <c r="E27" s="12">
        <f t="shared" si="55"/>
        <v>0</v>
      </c>
      <c r="F27" s="12">
        <f t="shared" si="55"/>
        <v>0</v>
      </c>
      <c r="G27" s="12">
        <f t="shared" si="55"/>
        <v>0</v>
      </c>
      <c r="H27" s="12">
        <f t="shared" si="55"/>
        <v>0</v>
      </c>
      <c r="I27" s="12">
        <f t="shared" si="55"/>
        <v>0</v>
      </c>
      <c r="J27" s="12">
        <f t="shared" si="55"/>
        <v>1</v>
      </c>
      <c r="K27" s="12">
        <f t="shared" si="55"/>
        <v>0</v>
      </c>
      <c r="L27" s="12">
        <f t="shared" si="55"/>
        <v>1</v>
      </c>
      <c r="M27" s="12">
        <f t="shared" si="55"/>
        <v>0</v>
      </c>
      <c r="N27" s="12">
        <f t="shared" si="55"/>
        <v>1</v>
      </c>
      <c r="O27" s="12">
        <f t="shared" si="55"/>
        <v>0</v>
      </c>
      <c r="P27" s="12">
        <f t="shared" si="55"/>
        <v>0</v>
      </c>
      <c r="Q27" s="12">
        <f t="shared" si="55"/>
        <v>0</v>
      </c>
      <c r="R27" s="12">
        <f t="shared" si="55"/>
        <v>1</v>
      </c>
      <c r="S27" s="12">
        <f t="shared" si="55"/>
        <v>0</v>
      </c>
      <c r="T27" s="12">
        <f t="shared" si="55"/>
        <v>0</v>
      </c>
      <c r="U27" s="12">
        <f t="shared" si="55"/>
        <v>0</v>
      </c>
      <c r="V27" s="12">
        <f t="shared" si="55"/>
        <v>0</v>
      </c>
      <c r="W27" s="12">
        <f t="shared" si="55"/>
        <v>1</v>
      </c>
      <c r="X27" s="12">
        <f t="shared" si="55"/>
        <v>1</v>
      </c>
      <c r="Y27" s="12">
        <f t="shared" si="55"/>
        <v>0</v>
      </c>
      <c r="Z27" s="12">
        <f t="shared" si="55"/>
        <v>1</v>
      </c>
      <c r="AA27" s="12">
        <f t="shared" si="55"/>
        <v>0</v>
      </c>
      <c r="AB27" s="12">
        <f t="shared" si="55"/>
        <v>0</v>
      </c>
      <c r="AC27" s="12">
        <f t="shared" si="55"/>
        <v>1</v>
      </c>
      <c r="AD27" s="12">
        <f t="shared" si="55"/>
        <v>0</v>
      </c>
      <c r="AE27" s="12">
        <f t="shared" si="55"/>
        <v>0</v>
      </c>
      <c r="AF27" s="12">
        <f t="shared" si="55"/>
        <v>0</v>
      </c>
      <c r="AG27" s="12">
        <f t="shared" si="55"/>
        <v>0</v>
      </c>
      <c r="AH27" s="12">
        <f t="shared" si="55"/>
        <v>0</v>
      </c>
      <c r="AI27" s="12">
        <f t="shared" ref="AI27:BN27" si="56">IF(AND(AI5&lt;0,AI11&lt;0),1,0)</f>
        <v>0</v>
      </c>
      <c r="AJ27" s="12">
        <f t="shared" si="56"/>
        <v>1</v>
      </c>
      <c r="AK27" s="12">
        <f t="shared" si="56"/>
        <v>0</v>
      </c>
      <c r="AL27" s="12">
        <f t="shared" si="56"/>
        <v>1</v>
      </c>
      <c r="AM27" s="12">
        <f t="shared" si="56"/>
        <v>0</v>
      </c>
      <c r="AN27" s="12">
        <f t="shared" si="56"/>
        <v>0</v>
      </c>
      <c r="AO27" s="12">
        <f t="shared" si="56"/>
        <v>0</v>
      </c>
      <c r="AP27" s="12">
        <f t="shared" si="56"/>
        <v>0</v>
      </c>
      <c r="AQ27" s="12">
        <f t="shared" si="56"/>
        <v>0</v>
      </c>
      <c r="AR27" s="12">
        <f t="shared" si="56"/>
        <v>0</v>
      </c>
      <c r="AS27" s="12">
        <f t="shared" si="56"/>
        <v>0</v>
      </c>
      <c r="AT27" s="12">
        <f t="shared" si="56"/>
        <v>0</v>
      </c>
      <c r="AU27" s="12">
        <f t="shared" si="56"/>
        <v>1</v>
      </c>
      <c r="AV27" s="12">
        <f t="shared" si="56"/>
        <v>0</v>
      </c>
      <c r="AW27" s="12">
        <f t="shared" si="56"/>
        <v>0</v>
      </c>
      <c r="AX27" s="12">
        <f t="shared" si="56"/>
        <v>1</v>
      </c>
      <c r="AY27" s="12">
        <f t="shared" si="56"/>
        <v>0</v>
      </c>
      <c r="AZ27" s="12">
        <f t="shared" si="56"/>
        <v>0</v>
      </c>
      <c r="BA27" s="12">
        <f t="shared" si="56"/>
        <v>1</v>
      </c>
      <c r="BB27" s="12">
        <f t="shared" si="56"/>
        <v>0</v>
      </c>
      <c r="BC27" s="12">
        <f t="shared" si="56"/>
        <v>0</v>
      </c>
      <c r="BD27" s="12">
        <f t="shared" si="56"/>
        <v>0</v>
      </c>
      <c r="BE27" s="12">
        <f t="shared" si="56"/>
        <v>0</v>
      </c>
      <c r="BF27" s="12">
        <f t="shared" si="56"/>
        <v>1</v>
      </c>
      <c r="BG27" s="12">
        <f t="shared" si="56"/>
        <v>1</v>
      </c>
      <c r="BH27" s="12">
        <f t="shared" si="56"/>
        <v>1</v>
      </c>
      <c r="BI27" s="12">
        <f t="shared" si="56"/>
        <v>0</v>
      </c>
      <c r="BJ27" s="12">
        <f t="shared" si="56"/>
        <v>1</v>
      </c>
      <c r="BK27" s="12">
        <f t="shared" si="56"/>
        <v>0</v>
      </c>
      <c r="BL27" s="12">
        <f t="shared" si="56"/>
        <v>1</v>
      </c>
      <c r="BM27" s="12">
        <f t="shared" si="56"/>
        <v>0</v>
      </c>
      <c r="BN27" s="12">
        <f t="shared" si="56"/>
        <v>1</v>
      </c>
      <c r="BO27" s="12">
        <f t="shared" ref="BO27:CT27" si="57">IF(AND(BO5&lt;0,BO11&lt;0),1,0)</f>
        <v>1</v>
      </c>
      <c r="BP27" s="12">
        <f t="shared" si="57"/>
        <v>0</v>
      </c>
      <c r="BQ27" s="12">
        <f t="shared" si="57"/>
        <v>1</v>
      </c>
      <c r="BR27" s="12">
        <f t="shared" si="57"/>
        <v>0</v>
      </c>
      <c r="BS27" s="12">
        <f t="shared" si="57"/>
        <v>0</v>
      </c>
      <c r="BT27" s="12">
        <f t="shared" si="57"/>
        <v>0</v>
      </c>
      <c r="BU27" s="12">
        <f t="shared" si="57"/>
        <v>0</v>
      </c>
      <c r="BV27" s="12">
        <f t="shared" si="57"/>
        <v>0</v>
      </c>
      <c r="BW27" s="12">
        <f t="shared" si="57"/>
        <v>1</v>
      </c>
      <c r="BX27" s="12">
        <f t="shared" si="57"/>
        <v>0</v>
      </c>
      <c r="BY27" s="12">
        <f t="shared" si="57"/>
        <v>0</v>
      </c>
      <c r="BZ27" s="12">
        <f t="shared" si="57"/>
        <v>0</v>
      </c>
      <c r="CA27" s="12">
        <f t="shared" si="57"/>
        <v>0</v>
      </c>
      <c r="CB27" s="12">
        <f t="shared" si="57"/>
        <v>0</v>
      </c>
      <c r="CC27" s="12">
        <f t="shared" si="57"/>
        <v>0</v>
      </c>
      <c r="CD27" s="12">
        <f t="shared" si="57"/>
        <v>0</v>
      </c>
      <c r="CE27" s="12">
        <f t="shared" si="57"/>
        <v>1</v>
      </c>
      <c r="CF27" s="12">
        <f t="shared" si="57"/>
        <v>1</v>
      </c>
      <c r="CG27" s="12">
        <f t="shared" si="57"/>
        <v>0</v>
      </c>
      <c r="CH27" s="12">
        <f t="shared" si="57"/>
        <v>1</v>
      </c>
      <c r="CI27" s="12">
        <f t="shared" si="57"/>
        <v>1</v>
      </c>
      <c r="CJ27" s="12">
        <f t="shared" si="57"/>
        <v>0</v>
      </c>
      <c r="CK27" s="12">
        <f t="shared" si="57"/>
        <v>0</v>
      </c>
      <c r="CL27" s="12">
        <f t="shared" si="57"/>
        <v>0</v>
      </c>
      <c r="CM27" s="12">
        <f t="shared" si="57"/>
        <v>1</v>
      </c>
      <c r="CN27" s="12">
        <f t="shared" si="57"/>
        <v>0</v>
      </c>
      <c r="CO27" s="12">
        <f t="shared" si="57"/>
        <v>0</v>
      </c>
      <c r="CP27" s="12">
        <f t="shared" si="57"/>
        <v>0</v>
      </c>
      <c r="CQ27" s="12">
        <f t="shared" si="57"/>
        <v>1</v>
      </c>
      <c r="CR27" s="12">
        <f t="shared" si="57"/>
        <v>0</v>
      </c>
      <c r="CS27" s="12">
        <f t="shared" si="57"/>
        <v>0</v>
      </c>
      <c r="CT27" s="12">
        <f t="shared" si="57"/>
        <v>0</v>
      </c>
      <c r="CU27" s="12">
        <f t="shared" ref="CU27:DZ27" si="58">IF(AND(CU5&lt;0,CU11&lt;0),1,0)</f>
        <v>1</v>
      </c>
      <c r="CV27" s="12">
        <f t="shared" si="58"/>
        <v>0</v>
      </c>
      <c r="CW27" s="12">
        <f t="shared" si="58"/>
        <v>0</v>
      </c>
      <c r="CX27" s="12">
        <f t="shared" si="58"/>
        <v>0</v>
      </c>
      <c r="CY27" s="12">
        <f t="shared" si="58"/>
        <v>0</v>
      </c>
      <c r="CZ27" s="12">
        <f t="shared" si="58"/>
        <v>0</v>
      </c>
      <c r="DA27" s="12">
        <f t="shared" si="58"/>
        <v>0</v>
      </c>
      <c r="DB27" s="12">
        <f t="shared" si="58"/>
        <v>0</v>
      </c>
      <c r="DC27" s="12">
        <f t="shared" si="58"/>
        <v>0</v>
      </c>
      <c r="DD27" s="12">
        <f t="shared" si="58"/>
        <v>1</v>
      </c>
      <c r="DE27" s="12">
        <f t="shared" si="58"/>
        <v>1</v>
      </c>
      <c r="DF27" s="12">
        <f t="shared" si="58"/>
        <v>0</v>
      </c>
      <c r="DG27" s="12">
        <f t="shared" si="58"/>
        <v>1</v>
      </c>
      <c r="DH27" s="12">
        <f t="shared" si="58"/>
        <v>0</v>
      </c>
      <c r="DI27" s="12">
        <f t="shared" si="58"/>
        <v>0</v>
      </c>
      <c r="DJ27" s="12">
        <f t="shared" si="58"/>
        <v>0</v>
      </c>
      <c r="DK27" s="12">
        <f t="shared" si="58"/>
        <v>0</v>
      </c>
      <c r="DL27" s="12">
        <f t="shared" si="58"/>
        <v>0</v>
      </c>
      <c r="DM27" s="12">
        <f t="shared" si="58"/>
        <v>0</v>
      </c>
      <c r="DN27" s="12">
        <f t="shared" si="58"/>
        <v>0</v>
      </c>
      <c r="DO27" s="12">
        <f t="shared" si="58"/>
        <v>1</v>
      </c>
      <c r="DP27" s="12">
        <f t="shared" si="58"/>
        <v>1</v>
      </c>
      <c r="DQ27" s="12">
        <f t="shared" si="58"/>
        <v>0</v>
      </c>
      <c r="DR27" s="12">
        <f t="shared" si="58"/>
        <v>0</v>
      </c>
      <c r="DS27" s="12">
        <f t="shared" si="58"/>
        <v>0</v>
      </c>
      <c r="DT27" s="12">
        <f t="shared" si="58"/>
        <v>0</v>
      </c>
      <c r="DU27" s="12">
        <f t="shared" si="58"/>
        <v>0</v>
      </c>
      <c r="DV27" s="12">
        <f t="shared" si="58"/>
        <v>0</v>
      </c>
      <c r="DW27" s="12">
        <f t="shared" si="58"/>
        <v>1</v>
      </c>
      <c r="DX27" s="12">
        <f t="shared" si="58"/>
        <v>0</v>
      </c>
      <c r="DY27" s="12">
        <f t="shared" si="58"/>
        <v>0</v>
      </c>
      <c r="DZ27" s="12">
        <f t="shared" si="58"/>
        <v>0</v>
      </c>
      <c r="EA27" s="12">
        <f t="shared" ref="EA27:EL27" si="59">IF(AND(EA5&lt;0,EA11&lt;0),1,0)</f>
        <v>0</v>
      </c>
      <c r="EB27" s="12">
        <f t="shared" si="59"/>
        <v>1</v>
      </c>
      <c r="EC27" s="12">
        <f t="shared" si="59"/>
        <v>0</v>
      </c>
      <c r="ED27" s="12">
        <f t="shared" si="59"/>
        <v>0</v>
      </c>
      <c r="EE27" s="12">
        <f t="shared" si="59"/>
        <v>0</v>
      </c>
      <c r="EF27" s="12">
        <f t="shared" si="59"/>
        <v>1</v>
      </c>
      <c r="EG27" s="12">
        <f t="shared" si="59"/>
        <v>0</v>
      </c>
      <c r="EH27" s="12">
        <f t="shared" si="59"/>
        <v>1</v>
      </c>
      <c r="EI27" s="12">
        <f t="shared" si="59"/>
        <v>1</v>
      </c>
      <c r="EJ27" s="12">
        <f t="shared" si="59"/>
        <v>0</v>
      </c>
      <c r="EK27" s="12">
        <f t="shared" si="59"/>
        <v>1</v>
      </c>
      <c r="EL27" s="12">
        <f t="shared" si="59"/>
        <v>0</v>
      </c>
    </row>
    <row r="28" spans="1:142" ht="25" customHeight="1" x14ac:dyDescent="0.55000000000000004">
      <c r="B28" s="16" t="s">
        <v>326</v>
      </c>
      <c r="C28" s="12">
        <f>SUM(C25:C27)+SUM(D25:D27)+SUM(E25:E27)+SUM(F25:F27)+SUM(G25:G27)+SUM(H25:H27)+SUM(I25:I27)+SUM(J25:J27)+SUM(K25:K27)+SUM(L25:L27)+SUM(M25:M27)+SUM(N25:N27)+SUM(O25:O27)+SUM(P25:P27)+SUM(Q25:Q27)+SUM(R25:R27)+SUM(S25:S27)+SUM(T25:T27)+SUM(U25:U27)+SUM(V25:V27)+SUM(W25:W27)+SUM(X25:X27)+SUM(Y25:Y27)+SUM(Z25:Z27)+SUM(AA25:AA27)+SUM(AB25:AB27)+SUM(AC25:AC27)+SUM(AD25:AD27)+SUM(AE25:AE27)+SUM(AF25:AF27)+SUM(AG25:AG27)+SUM(AH25:AH27)+SUM(AI25:AI27)+SUM(AJ25:AJ27)+SUM(AK25:AK27)+SUM(AL25:AL27)+SUM(AM25:AM27)+SUM(AN25:AN27)+SUM(AO25:AO27)+SUM(AP25:AP27)+SUM(AQ25:AQ27)+SUM(AR25:AR27)+SUM(AS25:AS27)+SUM(AT25:AT27)+SUM(AU25:AU27)+SUM(AV25:AV27)+SUM(AW25:AW27)+SUM(AX25:AX27)+SUM(AY25:AY27)+SUM(AZ25:AZ27)+SUM(BA25:BA27)+SUM(BB25:BB27)+SUM(BC25:BC27)+SUM(BD25:BD27)+SUM(BE25:BE27)+SUM(BF25:BF27)+SUM(BG25:BG27)+SUM(BH25:BH27)+SUM(BI25:BI27)+SUM(BJ25:BJ27)+SUM(BK25:BK27)+SUM(BL25:BL27)+SUM(BM25:BM27)+SUM(BN25:BN27)+SUM(BO25:BO27)+SUM(BP25:BP27)+SUM(BQ25:BQ27)+SUM(BR25:BR27)+SUM(BS25:BS27)+SUM(BT25:BT27)+SUM(BU25:BU27)+SUM(BV25:BV27)+SUM(BW25:BW27)+SUM(BX25:BX27)+SUM(BY25:BY27)+SUM(BZ25:BZ27)+SUM(CA25:CA27)+SUM(CB25:CB27)+SUM(CC25:CC27)+SUM(CD25:CD27)+SUM(CE25:CE27)+SUM(CF25:CF27)+SUM(CG25:CG27)+SUM(CH25:CH27)+SUM(CI25:CI27)+SUM(CJ25:CJ27)+SUM(CK25:CK27)+SUM(CL25:CL27)+SUM(CM25:CM27)+SUM(CN25:CN27)+SUM(CO25:CO27)+SUM(CP25:CP27)+SUM(CQ25:CQ27)+SUM(CR25:CR27)+SUM(CS25:CS27)+SUM(CT25:CT27)+SUM(CU25:CU27)+SUM(CV25:CV27)+SUM(CW25:CW27)+SUM(CX25:CX27)+SUM(CY25:CY27)+SUM(CZ25:CZ27)+SUM(DA25:DA27)+SUM(DB25:DB27)+SUM(DC25:DC27)+SUM(DD25:DD27)+SUM(DE25:DE27)+SUM(DF25:DF27)+SUM(DG25:DG27)+SUM(DH25:DH27)+SUM(DI25:DI27)+SUM(DJ25:DJ27)+SUM(DK25:DK27)+SUM(DL25:DL27)+SUM(DM25:DM27)+SUM(DN25:DN27)+SUM(DO25:DO27)+SUM(DP25:DP27)+SUM(DQ25:DQ27)+SUM(DR25:DR27)+SUM(DS25:DS27)+SUM(DT25:DT27)+SUM(DU25:DU27)+SUM(DV25:DV27)+SUM(DW25:DW27)+SUM(DX25:DX27)+SUM(DY25:DY27)+SUM(DZ25:DZ27)+SUM(EA25:EA27)+SUM(EB25:EB27)+SUM(EC25:EC27)+SUM(ED25:ED27)+SUM(EE25:EE27)+SUM(EF25:EF27)+SUM(EG25:EG27)+SUM(EH25:EH27)+SUM(EI25:EI27)+SUM(EJ25:EJ27)+SUM(EK25:EK27)+SUM(EL25:EL27)</f>
        <v>114</v>
      </c>
    </row>
    <row r="30" spans="1:142" ht="25" customHeight="1" x14ac:dyDescent="0.55000000000000004">
      <c r="A30" s="12" t="s">
        <v>328</v>
      </c>
      <c r="B30" s="12" t="s">
        <v>329</v>
      </c>
      <c r="C30" s="15">
        <f>(C16+C28)/(C16+C28+C20+C24)</f>
        <v>0.53095238095238095</v>
      </c>
    </row>
    <row r="31" spans="1:142" ht="25" customHeight="1" x14ac:dyDescent="0.55000000000000004">
      <c r="A31" s="12" t="s">
        <v>330</v>
      </c>
      <c r="B31" s="12" t="s">
        <v>331</v>
      </c>
      <c r="C31" s="15">
        <f>C16/(C16+C20)</f>
        <v>0.52657004830917875</v>
      </c>
    </row>
    <row r="32" spans="1:142" ht="25" customHeight="1" x14ac:dyDescent="0.55000000000000004">
      <c r="A32" s="12" t="s">
        <v>332</v>
      </c>
      <c r="B32" s="12" t="s">
        <v>333</v>
      </c>
      <c r="C32" s="15">
        <f>C16/(C16+C24)</f>
        <v>0.52403846153846156</v>
      </c>
    </row>
    <row r="33" spans="1:3" ht="25" customHeight="1" x14ac:dyDescent="0.55000000000000004">
      <c r="A33" s="12" t="s">
        <v>334</v>
      </c>
      <c r="B33" s="12" t="s">
        <v>335</v>
      </c>
      <c r="C33" s="15">
        <f>2*(C31*C32)/(C31+C32)</f>
        <v>0.52530120481927711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圖表</vt:lpstr>
      </vt:variant>
      <vt:variant>
        <vt:i4>1</vt:i4>
      </vt:variant>
    </vt:vector>
  </HeadingPairs>
  <TitlesOfParts>
    <vt:vector size="8" baseType="lpstr">
      <vt:lpstr>真實IC</vt:lpstr>
      <vt:lpstr>預測IC</vt:lpstr>
      <vt:lpstr>勝率</vt:lpstr>
      <vt:lpstr>累積報酬</vt:lpstr>
      <vt:lpstr>R-square</vt:lpstr>
      <vt:lpstr>畫圖0</vt:lpstr>
      <vt:lpstr>混淆矩陣</vt:lpstr>
      <vt:lpstr>圖表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Chen</dc:creator>
  <cp:lastModifiedBy>Raymond Chen</cp:lastModifiedBy>
  <dcterms:created xsi:type="dcterms:W3CDTF">2015-06-05T18:19:34Z</dcterms:created>
  <dcterms:modified xsi:type="dcterms:W3CDTF">2026-01-03T05:56:50Z</dcterms:modified>
</cp:coreProperties>
</file>