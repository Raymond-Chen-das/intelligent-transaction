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EC65332A-09D9-49D7-9DEF-320028CD9FA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O14" i="2" s="1"/>
  <c r="EM15" i="2"/>
  <c r="EO15" i="2" s="1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D25" i="7"/>
  <c r="AI24" i="7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D24" i="7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F23" i="7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E23" i="7"/>
  <c r="D23" i="7"/>
  <c r="E22" i="7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D22" i="7"/>
  <c r="F21" i="7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E21" i="7"/>
  <c r="D21" i="7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D18" i="7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G17" i="7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F17" i="7"/>
  <c r="D17" i="7"/>
  <c r="E17" i="7" s="1"/>
  <c r="J16" i="7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E16" i="7"/>
  <c r="F16" i="7" s="1"/>
  <c r="G16" i="7" s="1"/>
  <c r="H16" i="7" s="1"/>
  <c r="I16" i="7" s="1"/>
  <c r="D16" i="7"/>
  <c r="E15" i="7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D15" i="7"/>
  <c r="F14" i="7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E14" i="7"/>
  <c r="D14" i="7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BF12" i="7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F12" i="7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E12" i="7"/>
  <c r="D12" i="7"/>
  <c r="EL8" i="7"/>
  <c r="EK8" i="7"/>
  <c r="EH8" i="7"/>
  <c r="DV8" i="7"/>
  <c r="DU8" i="7"/>
  <c r="DR8" i="7"/>
  <c r="DP8" i="7"/>
  <c r="DM8" i="7"/>
  <c r="DH8" i="7"/>
  <c r="CY8" i="7"/>
  <c r="CU8" i="7"/>
  <c r="CT8" i="7"/>
  <c r="CI8" i="7"/>
  <c r="CD8" i="7"/>
  <c r="CC8" i="7"/>
  <c r="BX8" i="7"/>
  <c r="BU8" i="7"/>
  <c r="BI8" i="7"/>
  <c r="BG8" i="7"/>
  <c r="BE8" i="7"/>
  <c r="BD8" i="7"/>
  <c r="AY8" i="7"/>
  <c r="AX8" i="7"/>
  <c r="AU8" i="7"/>
  <c r="AS8" i="7"/>
  <c r="AP8" i="7"/>
  <c r="AI8" i="7"/>
  <c r="AG8" i="7"/>
  <c r="AF8" i="7"/>
  <c r="AD8" i="7"/>
  <c r="V8" i="7"/>
  <c r="J8" i="7"/>
  <c r="G8" i="7"/>
  <c r="E8" i="7"/>
  <c r="EK7" i="7"/>
  <c r="EF7" i="7"/>
  <c r="EE7" i="7"/>
  <c r="DZ7" i="7"/>
  <c r="DX7" i="7"/>
  <c r="DW7" i="7"/>
  <c r="DV7" i="7"/>
  <c r="DU7" i="7"/>
  <c r="DT7" i="7"/>
  <c r="DS7" i="7"/>
  <c r="DR7" i="7"/>
  <c r="DJ7" i="7"/>
  <c r="CX7" i="7"/>
  <c r="CP7" i="7"/>
  <c r="CM7" i="7"/>
  <c r="CJ7" i="7"/>
  <c r="CH7" i="7"/>
  <c r="CG7" i="7"/>
  <c r="CD7" i="7"/>
  <c r="CC7" i="7"/>
  <c r="BQ7" i="7"/>
  <c r="BM7" i="7"/>
  <c r="BK7" i="7"/>
  <c r="BF7" i="7"/>
  <c r="AY7" i="7"/>
  <c r="AV7" i="7"/>
  <c r="AP7" i="7"/>
  <c r="AL7" i="7"/>
  <c r="AI7" i="7"/>
  <c r="AA7" i="7"/>
  <c r="V7" i="7"/>
  <c r="U7" i="7"/>
  <c r="T7" i="7"/>
  <c r="P7" i="7"/>
  <c r="O7" i="7"/>
  <c r="K7" i="7"/>
  <c r="G7" i="7"/>
  <c r="E7" i="7"/>
  <c r="EL6" i="7" a="1"/>
  <c r="EL6" i="7"/>
  <c r="EL7" i="7" s="1"/>
  <c r="EK6" i="7" a="1"/>
  <c r="EK6" i="7"/>
  <c r="EJ6" i="7" a="1"/>
  <c r="EJ6" i="7"/>
  <c r="EI6" i="7" a="1"/>
  <c r="EI6" i="7" s="1"/>
  <c r="EH6" i="7" a="1"/>
  <c r="EH6" i="7"/>
  <c r="EH7" i="7" s="1"/>
  <c r="EG6" i="7" a="1"/>
  <c r="EG6" i="7" s="1"/>
  <c r="EF6" i="7" a="1"/>
  <c r="EF6" i="7"/>
  <c r="EF8" i="7" s="1"/>
  <c r="EE6" i="7" a="1"/>
  <c r="EE6" i="7"/>
  <c r="EE8" i="7" s="1"/>
  <c r="ED6" i="7" a="1"/>
  <c r="ED6" i="7" s="1"/>
  <c r="EC6" i="7" a="1"/>
  <c r="EC6" i="7" s="1"/>
  <c r="EB6" i="7" a="1"/>
  <c r="EB6" i="7"/>
  <c r="EA6" i="7" a="1"/>
  <c r="EA6" i="7"/>
  <c r="DZ6" i="7" a="1"/>
  <c r="DZ6" i="7" s="1"/>
  <c r="DZ8" i="7" s="1"/>
  <c r="DY6" i="7" a="1"/>
  <c r="DY6" i="7" s="1"/>
  <c r="DX6" i="7" a="1"/>
  <c r="DX6" i="7" s="1"/>
  <c r="DX8" i="7" s="1"/>
  <c r="DW6" i="7" a="1"/>
  <c r="DW6" i="7"/>
  <c r="DW8" i="7" s="1"/>
  <c r="DV6" i="7" a="1"/>
  <c r="DV6" i="7" s="1"/>
  <c r="DU6" i="7" a="1"/>
  <c r="DU6" i="7"/>
  <c r="DT6" i="7" a="1"/>
  <c r="DT6" i="7" s="1"/>
  <c r="DT8" i="7" s="1"/>
  <c r="DS6" i="7" a="1"/>
  <c r="DS6" i="7"/>
  <c r="DS8" i="7" s="1"/>
  <c r="DR6" i="7" a="1"/>
  <c r="DR6" i="7"/>
  <c r="DQ6" i="7" a="1"/>
  <c r="DQ6" i="7"/>
  <c r="DP6" i="7" a="1"/>
  <c r="DP6" i="7" s="1"/>
  <c r="DP7" i="7" s="1"/>
  <c r="DO6" i="7" a="1"/>
  <c r="DO6" i="7" s="1"/>
  <c r="DN6" i="7" a="1"/>
  <c r="DN6" i="7"/>
  <c r="DN8" i="7" s="1"/>
  <c r="DM6" i="7" a="1"/>
  <c r="DM6" i="7" s="1"/>
  <c r="DM7" i="7" s="1"/>
  <c r="DL6" i="7" a="1"/>
  <c r="DL6" i="7"/>
  <c r="DK6" i="7" a="1"/>
  <c r="DK6" i="7" s="1"/>
  <c r="DJ6" i="7" a="1"/>
  <c r="DJ6" i="7"/>
  <c r="DJ8" i="7" s="1"/>
  <c r="DI6" i="7" a="1"/>
  <c r="DI6" i="7" s="1"/>
  <c r="DH6" i="7" a="1"/>
  <c r="DH6" i="7" s="1"/>
  <c r="DH7" i="7" s="1"/>
  <c r="DG6" i="7" a="1"/>
  <c r="DG6" i="7" s="1"/>
  <c r="DF6" i="7" a="1"/>
  <c r="DF6" i="7"/>
  <c r="DE6" i="7" a="1"/>
  <c r="DE6" i="7"/>
  <c r="DE7" i="7" s="1"/>
  <c r="DD6" i="7" a="1"/>
  <c r="DD6" i="7"/>
  <c r="DC6" i="7" a="1"/>
  <c r="DC6" i="7" s="1"/>
  <c r="DB6" i="7" a="1"/>
  <c r="DB6" i="7"/>
  <c r="DA6" i="7" a="1"/>
  <c r="DA6" i="7" s="1"/>
  <c r="CZ6" i="7" a="1"/>
  <c r="CZ6" i="7" s="1"/>
  <c r="CY6" i="7" a="1"/>
  <c r="CY6" i="7"/>
  <c r="CY7" i="7" s="1"/>
  <c r="CX6" i="7" a="1"/>
  <c r="CX6" i="7"/>
  <c r="CX8" i="7" s="1"/>
  <c r="CW6" i="7" a="1"/>
  <c r="CW6" i="7" s="1"/>
  <c r="CV6" i="7" a="1"/>
  <c r="CV6" i="7" s="1"/>
  <c r="CV8" i="7" s="1"/>
  <c r="CU6" i="7" a="1"/>
  <c r="CU6" i="7"/>
  <c r="CU7" i="7" s="1"/>
  <c r="CT6" i="7" a="1"/>
  <c r="CT6" i="7"/>
  <c r="CT7" i="7" s="1"/>
  <c r="CS6" i="7" a="1"/>
  <c r="CS6" i="7" s="1"/>
  <c r="CR6" i="7" a="1"/>
  <c r="CR6" i="7"/>
  <c r="CQ6" i="7" a="1"/>
  <c r="CQ6" i="7"/>
  <c r="CQ7" i="7" s="1"/>
  <c r="CP6" i="7" a="1"/>
  <c r="CP6" i="7" s="1"/>
  <c r="CP8" i="7" s="1"/>
  <c r="CO6" i="7" a="1"/>
  <c r="CO6" i="7" s="1"/>
  <c r="CN6" i="7" a="1"/>
  <c r="CN6" i="7"/>
  <c r="CM6" i="7" a="1"/>
  <c r="CM6" i="7"/>
  <c r="CM8" i="7" s="1"/>
  <c r="CL6" i="7" a="1"/>
  <c r="CL6" i="7"/>
  <c r="CK6" i="7" a="1"/>
  <c r="CK6" i="7"/>
  <c r="CJ6" i="7" a="1"/>
  <c r="CJ6" i="7" s="1"/>
  <c r="CJ8" i="7" s="1"/>
  <c r="CI6" i="7" a="1"/>
  <c r="CI6" i="7"/>
  <c r="CI7" i="7" s="1"/>
  <c r="CH6" i="7" a="1"/>
  <c r="CH6" i="7"/>
  <c r="CH8" i="7" s="1"/>
  <c r="CG6" i="7" a="1"/>
  <c r="CG6" i="7"/>
  <c r="CG8" i="7" s="1"/>
  <c r="CF6" i="7" a="1"/>
  <c r="CF6" i="7" s="1"/>
  <c r="CF7" i="7" s="1"/>
  <c r="CE6" i="7" a="1"/>
  <c r="CE6" i="7"/>
  <c r="CE7" i="7" s="1"/>
  <c r="CD6" i="7" a="1"/>
  <c r="CD6" i="7" s="1"/>
  <c r="CC6" i="7" a="1"/>
  <c r="CC6" i="7"/>
  <c r="CB6" i="7" a="1"/>
  <c r="CB6" i="7"/>
  <c r="CA6" i="7" a="1"/>
  <c r="CA6" i="7"/>
  <c r="BZ6" i="7" a="1"/>
  <c r="BZ6" i="7" s="1"/>
  <c r="BY6" i="7" a="1"/>
  <c r="BY6" i="7"/>
  <c r="BX6" i="7" a="1"/>
  <c r="BX6" i="7"/>
  <c r="BX7" i="7" s="1"/>
  <c r="BW6" i="7" a="1"/>
  <c r="BW6" i="7"/>
  <c r="BV6" i="7" a="1"/>
  <c r="BV6" i="7" s="1"/>
  <c r="BU6" i="7" a="1"/>
  <c r="BU6" i="7"/>
  <c r="BU7" i="7" s="1"/>
  <c r="BT6" i="7" a="1"/>
  <c r="BT6" i="7" s="1"/>
  <c r="BS6" i="7" a="1"/>
  <c r="BS6" i="7" s="1"/>
  <c r="BR6" i="7" a="1"/>
  <c r="BR6" i="7"/>
  <c r="BQ6" i="7" a="1"/>
  <c r="BQ6" i="7"/>
  <c r="BQ8" i="7" s="1"/>
  <c r="BP6" i="7" a="1"/>
  <c r="BP6" i="7"/>
  <c r="BO6" i="7" a="1"/>
  <c r="BO6" i="7"/>
  <c r="BN6" i="7" a="1"/>
  <c r="BN6" i="7"/>
  <c r="BM6" i="7" a="1"/>
  <c r="BM6" i="7" s="1"/>
  <c r="BM8" i="7" s="1"/>
  <c r="BL6" i="7" a="1"/>
  <c r="BL6" i="7"/>
  <c r="BK6" i="7" a="1"/>
  <c r="BK6" i="7"/>
  <c r="BK8" i="7" s="1"/>
  <c r="BJ6" i="7" a="1"/>
  <c r="BJ6" i="7"/>
  <c r="BI6" i="7" a="1"/>
  <c r="BI6" i="7"/>
  <c r="BI7" i="7" s="1"/>
  <c r="BH6" i="7" a="1"/>
  <c r="BH6" i="7" s="1"/>
  <c r="BG6" i="7" a="1"/>
  <c r="BG6" i="7"/>
  <c r="BG7" i="7" s="1"/>
  <c r="BF6" i="7" a="1"/>
  <c r="BF6" i="7"/>
  <c r="BF8" i="7" s="1"/>
  <c r="BE6" i="7" a="1"/>
  <c r="BE6" i="7"/>
  <c r="BE7" i="7" s="1"/>
  <c r="BD6" i="7" a="1"/>
  <c r="BD6" i="7"/>
  <c r="BD7" i="7" s="1"/>
  <c r="BC6" i="7" a="1"/>
  <c r="BC6" i="7"/>
  <c r="BB6" i="7" a="1"/>
  <c r="BB6" i="7"/>
  <c r="BA6" i="7" a="1"/>
  <c r="BA6" i="7"/>
  <c r="AZ6" i="7" a="1"/>
  <c r="AZ6" i="7" s="1"/>
  <c r="AY6" i="7" a="1"/>
  <c r="AY6" i="7" s="1"/>
  <c r="AX6" i="7" a="1"/>
  <c r="AX6" i="7"/>
  <c r="AX7" i="7" s="1"/>
  <c r="AW6" i="7" a="1"/>
  <c r="AW6" i="7" s="1"/>
  <c r="AW8" i="7" s="1"/>
  <c r="AV6" i="7" a="1"/>
  <c r="AV6" i="7"/>
  <c r="AV8" i="7" s="1"/>
  <c r="AU6" i="7" a="1"/>
  <c r="AU6" i="7" s="1"/>
  <c r="AU7" i="7" s="1"/>
  <c r="AT6" i="7" a="1"/>
  <c r="AT6" i="7"/>
  <c r="AS6" i="7" a="1"/>
  <c r="AS6" i="7" s="1"/>
  <c r="AS7" i="7" s="1"/>
  <c r="AR6" i="7" a="1"/>
  <c r="AR6" i="7"/>
  <c r="AQ6" i="7" a="1"/>
  <c r="AQ6" i="7"/>
  <c r="AQ8" i="7" s="1"/>
  <c r="AP6" i="7" a="1"/>
  <c r="AP6" i="7" s="1"/>
  <c r="AO6" i="7" a="1"/>
  <c r="AO6" i="7"/>
  <c r="AN6" i="7" a="1"/>
  <c r="AN6" i="7" s="1"/>
  <c r="AM6" i="7" a="1"/>
  <c r="AM6" i="7"/>
  <c r="AL6" i="7" a="1"/>
  <c r="AL6" i="7" s="1"/>
  <c r="AL8" i="7" s="1"/>
  <c r="AK6" i="7" a="1"/>
  <c r="AK6" i="7"/>
  <c r="AJ6" i="7" a="1"/>
  <c r="AJ6" i="7"/>
  <c r="AI6" i="7" a="1"/>
  <c r="AI6" i="7"/>
  <c r="AH6" i="7" a="1"/>
  <c r="AH6" i="7"/>
  <c r="AG6" i="7" a="1"/>
  <c r="AG6" i="7" s="1"/>
  <c r="AG7" i="7" s="1"/>
  <c r="AF6" i="7" a="1"/>
  <c r="AF6" i="7"/>
  <c r="AF7" i="7" s="1"/>
  <c r="AE6" i="7" a="1"/>
  <c r="AE6" i="7" s="1"/>
  <c r="AD6" i="7" a="1"/>
  <c r="AD6" i="7"/>
  <c r="AD7" i="7" s="1"/>
  <c r="AC6" i="7" a="1"/>
  <c r="AC6" i="7" s="1"/>
  <c r="AB6" i="7" a="1"/>
  <c r="AB6" i="7" s="1"/>
  <c r="AA6" i="7" a="1"/>
  <c r="AA6" i="7" s="1"/>
  <c r="AA8" i="7" s="1"/>
  <c r="Z6" i="7" a="1"/>
  <c r="Z6" i="7"/>
  <c r="Y6" i="7" a="1"/>
  <c r="Y6" i="7"/>
  <c r="X6" i="7" a="1"/>
  <c r="X6" i="7"/>
  <c r="X8" i="7" s="1"/>
  <c r="W6" i="7" a="1"/>
  <c r="W6" i="7" s="1"/>
  <c r="V6" i="7" a="1"/>
  <c r="V6" i="7"/>
  <c r="U6" i="7" a="1"/>
  <c r="U6" i="7" s="1"/>
  <c r="U8" i="7" s="1"/>
  <c r="T6" i="7" a="1"/>
  <c r="T6" i="7"/>
  <c r="T8" i="7" s="1"/>
  <c r="S6" i="7" a="1"/>
  <c r="S6" i="7" s="1"/>
  <c r="R6" i="7" a="1"/>
  <c r="R6" i="7" s="1"/>
  <c r="Q6" i="7" a="1"/>
  <c r="Q6" i="7"/>
  <c r="P6" i="7" a="1"/>
  <c r="P6" i="7" s="1"/>
  <c r="P8" i="7" s="1"/>
  <c r="O6" i="7" a="1"/>
  <c r="O6" i="7"/>
  <c r="O8" i="7" s="1"/>
  <c r="N6" i="7" a="1"/>
  <c r="N6" i="7"/>
  <c r="M6" i="7" a="1"/>
  <c r="M6" i="7" s="1"/>
  <c r="L6" i="7" a="1"/>
  <c r="L6" i="7" s="1"/>
  <c r="K6" i="7" a="1"/>
  <c r="K6" i="7"/>
  <c r="K8" i="7" s="1"/>
  <c r="J6" i="7" a="1"/>
  <c r="J6" i="7"/>
  <c r="J7" i="7" s="1"/>
  <c r="I6" i="7" a="1"/>
  <c r="I6" i="7" s="1"/>
  <c r="H6" i="7" a="1"/>
  <c r="H6" i="7"/>
  <c r="G6" i="7" a="1"/>
  <c r="G6" i="7"/>
  <c r="F6" i="7" a="1"/>
  <c r="F6" i="7"/>
  <c r="E6" i="7" a="1"/>
  <c r="E6" i="7" s="1"/>
  <c r="D6" i="7" a="1"/>
  <c r="D6" i="7"/>
  <c r="C6" i="7" a="1"/>
  <c r="C6" i="7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V25" i="4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G23" i="4"/>
  <c r="D23" i="4"/>
  <c r="E23" i="4" s="1"/>
  <c r="F23" i="4" s="1"/>
  <c r="B23" i="4"/>
  <c r="G22" i="4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F22" i="4"/>
  <c r="E22" i="4"/>
  <c r="D22" i="4"/>
  <c r="B22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B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B20" i="4"/>
  <c r="G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D19" i="4"/>
  <c r="E19" i="4" s="1"/>
  <c r="F19" i="4" s="1"/>
  <c r="B19" i="4"/>
  <c r="K18" i="4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E18" i="4"/>
  <c r="F18" i="4" s="1"/>
  <c r="G18" i="4" s="1"/>
  <c r="H18" i="4" s="1"/>
  <c r="I18" i="4" s="1"/>
  <c r="J18" i="4" s="1"/>
  <c r="D18" i="4"/>
  <c r="B18" i="4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D17" i="4"/>
  <c r="E17" i="4" s="1"/>
  <c r="F17" i="4" s="1"/>
  <c r="B17" i="4"/>
  <c r="H16" i="4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D16" i="4"/>
  <c r="E16" i="4" s="1"/>
  <c r="F16" i="4" s="1"/>
  <c r="G16" i="4" s="1"/>
  <c r="B16" i="4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D15" i="4"/>
  <c r="B15" i="4"/>
  <c r="F14" i="4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14" i="4"/>
  <c r="E14" i="4" s="1"/>
  <c r="B14" i="4"/>
  <c r="R13" i="4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E13" i="4"/>
  <c r="D13" i="4"/>
  <c r="B13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B12" i="4"/>
  <c r="EL8" i="4"/>
  <c r="EF8" i="4"/>
  <c r="EE8" i="4"/>
  <c r="EC8" i="4"/>
  <c r="DY8" i="4"/>
  <c r="DS8" i="4"/>
  <c r="DR8" i="4"/>
  <c r="DQ8" i="4"/>
  <c r="DM8" i="4"/>
  <c r="DJ8" i="4"/>
  <c r="DG8" i="4"/>
  <c r="DB8" i="4"/>
  <c r="CX8" i="4"/>
  <c r="CW8" i="4"/>
  <c r="CT8" i="4"/>
  <c r="CS8" i="4"/>
  <c r="CR8" i="4"/>
  <c r="CJ8" i="4"/>
  <c r="CH8" i="4"/>
  <c r="CG8" i="4"/>
  <c r="CE8" i="4"/>
  <c r="BO8" i="4"/>
  <c r="BG8" i="4"/>
  <c r="BF8" i="4"/>
  <c r="BE8" i="4"/>
  <c r="BD8" i="4"/>
  <c r="AZ8" i="4"/>
  <c r="AS8" i="4"/>
  <c r="AP8" i="4"/>
  <c r="AO8" i="4"/>
  <c r="AM8" i="4"/>
  <c r="AF8" i="4"/>
  <c r="AA8" i="4"/>
  <c r="Z8" i="4"/>
  <c r="Q8" i="4"/>
  <c r="K8" i="4"/>
  <c r="H8" i="4"/>
  <c r="G8" i="4"/>
  <c r="F8" i="4"/>
  <c r="E8" i="4"/>
  <c r="D8" i="4"/>
  <c r="C8" i="4"/>
  <c r="EL7" i="4"/>
  <c r="EJ7" i="4"/>
  <c r="EI7" i="4"/>
  <c r="EG7" i="4"/>
  <c r="EF7" i="4"/>
  <c r="EE7" i="4"/>
  <c r="DS7" i="4"/>
  <c r="DR7" i="4"/>
  <c r="DQ7" i="4"/>
  <c r="DM7" i="4"/>
  <c r="DG7" i="4"/>
  <c r="DF7" i="4"/>
  <c r="DE7" i="4"/>
  <c r="DB7" i="4"/>
  <c r="DA7" i="4"/>
  <c r="CX7" i="4"/>
  <c r="CT7" i="4"/>
  <c r="CP7" i="4"/>
  <c r="CO7" i="4"/>
  <c r="CI7" i="4"/>
  <c r="CH7" i="4"/>
  <c r="BQ7" i="4"/>
  <c r="BF7" i="4"/>
  <c r="BE7" i="4"/>
  <c r="BC7" i="4"/>
  <c r="BB7" i="4"/>
  <c r="AZ7" i="4"/>
  <c r="AS7" i="4"/>
  <c r="AQ7" i="4"/>
  <c r="AO7" i="4"/>
  <c r="AB7" i="4"/>
  <c r="AA7" i="4"/>
  <c r="Z7" i="4"/>
  <c r="Y7" i="4"/>
  <c r="Q7" i="4"/>
  <c r="P7" i="4"/>
  <c r="O7" i="4"/>
  <c r="L7" i="4"/>
  <c r="F7" i="4"/>
  <c r="D7" i="4"/>
  <c r="EL6" i="4" a="1"/>
  <c r="EL6" i="4" s="1"/>
  <c r="EK6" i="4" a="1"/>
  <c r="EK6" i="4" s="1"/>
  <c r="EJ6" i="4" a="1"/>
  <c r="EJ6" i="4"/>
  <c r="EJ8" i="4" s="1"/>
  <c r="EI6" i="4" a="1"/>
  <c r="EI6" i="4" s="1"/>
  <c r="EI8" i="4" s="1"/>
  <c r="EH6" i="4" a="1"/>
  <c r="EH6" i="4" s="1"/>
  <c r="EG6" i="4" a="1"/>
  <c r="EG6" i="4"/>
  <c r="EG8" i="4" s="1"/>
  <c r="EF6" i="4" a="1"/>
  <c r="EF6" i="4"/>
  <c r="EE6" i="4" a="1"/>
  <c r="EE6" i="4"/>
  <c r="ED6" i="4" a="1"/>
  <c r="ED6" i="4" s="1"/>
  <c r="EC6" i="4" a="1"/>
  <c r="EC6" i="4"/>
  <c r="EC7" i="4" s="1"/>
  <c r="EB6" i="4" a="1"/>
  <c r="EB6" i="4"/>
  <c r="EA6" i="4" a="1"/>
  <c r="EA6" i="4" s="1"/>
  <c r="DZ6" i="4" a="1"/>
  <c r="DZ6" i="4"/>
  <c r="DY6" i="4" a="1"/>
  <c r="DY6" i="4" s="1"/>
  <c r="DY7" i="4" s="1"/>
  <c r="DX6" i="4" a="1"/>
  <c r="DX6" i="4"/>
  <c r="DW6" i="4" a="1"/>
  <c r="DW6" i="4" s="1"/>
  <c r="DV6" i="4" a="1"/>
  <c r="DV6" i="4" s="1"/>
  <c r="DU6" i="4" a="1"/>
  <c r="DU6" i="4"/>
  <c r="DT6" i="4" a="1"/>
  <c r="DT6" i="4"/>
  <c r="DT7" i="4" s="1"/>
  <c r="DS6" i="4" a="1"/>
  <c r="DS6" i="4" s="1"/>
  <c r="DR6" i="4" a="1"/>
  <c r="DR6" i="4"/>
  <c r="DQ6" i="4" a="1"/>
  <c r="DQ6" i="4"/>
  <c r="DP6" i="4" a="1"/>
  <c r="DP6" i="4"/>
  <c r="DO6" i="4" a="1"/>
  <c r="DO6" i="4"/>
  <c r="DN6" i="4" a="1"/>
  <c r="DN6" i="4"/>
  <c r="DN7" i="4" s="1"/>
  <c r="DM6" i="4" a="1"/>
  <c r="DM6" i="4"/>
  <c r="DL6" i="4" a="1"/>
  <c r="DL6" i="4"/>
  <c r="DK6" i="4" a="1"/>
  <c r="DK6" i="4"/>
  <c r="DJ6" i="4" a="1"/>
  <c r="DJ6" i="4"/>
  <c r="DJ7" i="4" s="1"/>
  <c r="DI6" i="4" a="1"/>
  <c r="DI6" i="4" s="1"/>
  <c r="DH6" i="4" a="1"/>
  <c r="DH6" i="4" s="1"/>
  <c r="DG6" i="4" a="1"/>
  <c r="DG6" i="4"/>
  <c r="DF6" i="4" a="1"/>
  <c r="DF6" i="4" s="1"/>
  <c r="DF8" i="4" s="1"/>
  <c r="DE6" i="4" a="1"/>
  <c r="DE6" i="4" s="1"/>
  <c r="DE8" i="4" s="1"/>
  <c r="DD6" i="4" a="1"/>
  <c r="DD6" i="4"/>
  <c r="DD7" i="4" s="1"/>
  <c r="DC6" i="4" a="1"/>
  <c r="DC6" i="4"/>
  <c r="DC7" i="4" s="1"/>
  <c r="DB6" i="4" a="1"/>
  <c r="DB6" i="4" s="1"/>
  <c r="DA6" i="4" a="1"/>
  <c r="DA6" i="4"/>
  <c r="DA8" i="4" s="1"/>
  <c r="CZ6" i="4" a="1"/>
  <c r="CZ6" i="4"/>
  <c r="CY6" i="4" a="1"/>
  <c r="CY6" i="4" s="1"/>
  <c r="CX6" i="4" a="1"/>
  <c r="CX6" i="4"/>
  <c r="CW6" i="4" a="1"/>
  <c r="CW6" i="4" s="1"/>
  <c r="CW7" i="4" s="1"/>
  <c r="CV6" i="4" a="1"/>
  <c r="CV6" i="4"/>
  <c r="CU6" i="4" a="1"/>
  <c r="CU6" i="4"/>
  <c r="CT6" i="4" a="1"/>
  <c r="CT6" i="4" s="1"/>
  <c r="CS6" i="4" a="1"/>
  <c r="CS6" i="4"/>
  <c r="CS7" i="4" s="1"/>
  <c r="CR6" i="4" a="1"/>
  <c r="CR6" i="4" s="1"/>
  <c r="CR7" i="4" s="1"/>
  <c r="CQ6" i="4" a="1"/>
  <c r="CQ6" i="4"/>
  <c r="CP6" i="4" a="1"/>
  <c r="CP6" i="4"/>
  <c r="CP8" i="4" s="1"/>
  <c r="CO6" i="4" a="1"/>
  <c r="CO6" i="4"/>
  <c r="CO8" i="4" s="1"/>
  <c r="CN6" i="4" a="1"/>
  <c r="CN6" i="4"/>
  <c r="CN8" i="4" s="1"/>
  <c r="CM6" i="4" a="1"/>
  <c r="CM6" i="4" s="1"/>
  <c r="CL6" i="4" a="1"/>
  <c r="CL6" i="4" s="1"/>
  <c r="CK6" i="4" a="1"/>
  <c r="CK6" i="4" s="1"/>
  <c r="CJ6" i="4" a="1"/>
  <c r="CJ6" i="4" s="1"/>
  <c r="CJ7" i="4" s="1"/>
  <c r="CI6" i="4" a="1"/>
  <c r="CI6" i="4" s="1"/>
  <c r="CI8" i="4" s="1"/>
  <c r="CH6" i="4" a="1"/>
  <c r="CH6" i="4"/>
  <c r="CG6" i="4" a="1"/>
  <c r="CG6" i="4" s="1"/>
  <c r="CG7" i="4" s="1"/>
  <c r="CF6" i="4" a="1"/>
  <c r="CF6" i="4"/>
  <c r="CF8" i="4" s="1"/>
  <c r="CE6" i="4" a="1"/>
  <c r="CE6" i="4" s="1"/>
  <c r="CE7" i="4" s="1"/>
  <c r="CD6" i="4" a="1"/>
  <c r="CD6" i="4"/>
  <c r="CC6" i="4" a="1"/>
  <c r="CC6" i="4"/>
  <c r="CC7" i="4" s="1"/>
  <c r="CB6" i="4" a="1"/>
  <c r="CB6" i="4" s="1"/>
  <c r="CA6" i="4" a="1"/>
  <c r="CA6" i="4" s="1"/>
  <c r="BZ6" i="4" a="1"/>
  <c r="BZ6" i="4" s="1"/>
  <c r="BY6" i="4" a="1"/>
  <c r="BY6" i="4"/>
  <c r="BX6" i="4" a="1"/>
  <c r="BX6" i="4" s="1"/>
  <c r="BW6" i="4" a="1"/>
  <c r="BW6" i="4"/>
  <c r="BV6" i="4" a="1"/>
  <c r="BV6" i="4"/>
  <c r="BU6" i="4" a="1"/>
  <c r="BU6" i="4" s="1"/>
  <c r="BT6" i="4" a="1"/>
  <c r="BT6" i="4" s="1"/>
  <c r="BS6" i="4" a="1"/>
  <c r="BS6" i="4"/>
  <c r="BS8" i="4" s="1"/>
  <c r="BR6" i="4" a="1"/>
  <c r="BR6" i="4" s="1"/>
  <c r="BQ6" i="4" a="1"/>
  <c r="BQ6" i="4"/>
  <c r="BQ8" i="4" s="1"/>
  <c r="BP6" i="4" a="1"/>
  <c r="BP6" i="4" s="1"/>
  <c r="BO6" i="4" a="1"/>
  <c r="BO6" i="4"/>
  <c r="BO7" i="4" s="1"/>
  <c r="BN6" i="4" a="1"/>
  <c r="BN6" i="4" s="1"/>
  <c r="BN7" i="4" s="1"/>
  <c r="BM6" i="4" a="1"/>
  <c r="BM6" i="4"/>
  <c r="BL6" i="4" a="1"/>
  <c r="BL6" i="4"/>
  <c r="BK6" i="4" a="1"/>
  <c r="BK6" i="4" s="1"/>
  <c r="BJ6" i="4" a="1"/>
  <c r="BJ6" i="4"/>
  <c r="BI6" i="4" a="1"/>
  <c r="BI6" i="4"/>
  <c r="BH6" i="4" a="1"/>
  <c r="BH6" i="4" s="1"/>
  <c r="BG6" i="4" a="1"/>
  <c r="BG6" i="4"/>
  <c r="BG7" i="4" s="1"/>
  <c r="BF6" i="4" a="1"/>
  <c r="BF6" i="4"/>
  <c r="BE6" i="4" a="1"/>
  <c r="BE6" i="4" s="1"/>
  <c r="BD6" i="4" a="1"/>
  <c r="BD6" i="4"/>
  <c r="BD7" i="4" s="1"/>
  <c r="BC6" i="4" a="1"/>
  <c r="BC6" i="4" s="1"/>
  <c r="BC8" i="4" s="1"/>
  <c r="BB6" i="4" a="1"/>
  <c r="BB6" i="4" s="1"/>
  <c r="BB8" i="4" s="1"/>
  <c r="BA6" i="4" a="1"/>
  <c r="BA6" i="4"/>
  <c r="AZ6" i="4" a="1"/>
  <c r="AZ6" i="4"/>
  <c r="AY6" i="4" a="1"/>
  <c r="AY6" i="4" s="1"/>
  <c r="AX6" i="4" a="1"/>
  <c r="AX6" i="4"/>
  <c r="AW6" i="4" a="1"/>
  <c r="AW6" i="4"/>
  <c r="AW8" i="4" s="1"/>
  <c r="AV6" i="4" a="1"/>
  <c r="AV6" i="4"/>
  <c r="AV8" i="4" s="1"/>
  <c r="AU6" i="4" a="1"/>
  <c r="AU6" i="4" s="1"/>
  <c r="AT6" i="4" a="1"/>
  <c r="AT6" i="4" s="1"/>
  <c r="AT8" i="4" s="1"/>
  <c r="AS6" i="4" a="1"/>
  <c r="AS6" i="4"/>
  <c r="AR6" i="4" a="1"/>
  <c r="AR6" i="4" s="1"/>
  <c r="AQ6" i="4" a="1"/>
  <c r="AQ6" i="4" s="1"/>
  <c r="AQ8" i="4" s="1"/>
  <c r="AP6" i="4" a="1"/>
  <c r="AP6" i="4" s="1"/>
  <c r="AP7" i="4" s="1"/>
  <c r="AO6" i="4" a="1"/>
  <c r="AO6" i="4" s="1"/>
  <c r="AN6" i="4" a="1"/>
  <c r="AN6" i="4"/>
  <c r="AM6" i="4" a="1"/>
  <c r="AM6" i="4"/>
  <c r="AM7" i="4" s="1"/>
  <c r="AL6" i="4" a="1"/>
  <c r="AL6" i="4" s="1"/>
  <c r="AK6" i="4" a="1"/>
  <c r="AK6" i="4" s="1"/>
  <c r="AK8" i="4" s="1"/>
  <c r="AJ6" i="4" a="1"/>
  <c r="AJ6" i="4" s="1"/>
  <c r="AJ7" i="4" s="1"/>
  <c r="AI6" i="4" a="1"/>
  <c r="AI6" i="4" s="1"/>
  <c r="AI7" i="4" s="1"/>
  <c r="AH6" i="4" a="1"/>
  <c r="AH6" i="4"/>
  <c r="AG6" i="4" a="1"/>
  <c r="AG6" i="4" s="1"/>
  <c r="AF6" i="4" a="1"/>
  <c r="AF6" i="4"/>
  <c r="AF7" i="4" s="1"/>
  <c r="AE6" i="4" a="1"/>
  <c r="AE6" i="4" s="1"/>
  <c r="AD6" i="4" a="1"/>
  <c r="AD6" i="4"/>
  <c r="AC6" i="4" a="1"/>
  <c r="AC6" i="4" s="1"/>
  <c r="AB6" i="4" a="1"/>
  <c r="AB6" i="4"/>
  <c r="AB8" i="4" s="1"/>
  <c r="AA6" i="4" a="1"/>
  <c r="AA6" i="4"/>
  <c r="Z6" i="4" a="1"/>
  <c r="Z6" i="4"/>
  <c r="Y6" i="4" a="1"/>
  <c r="Y6" i="4"/>
  <c r="Y8" i="4" s="1"/>
  <c r="X6" i="4" a="1"/>
  <c r="X6" i="4" s="1"/>
  <c r="W6" i="4" a="1"/>
  <c r="W6" i="4" s="1"/>
  <c r="W8" i="4" s="1"/>
  <c r="V6" i="4" a="1"/>
  <c r="V6" i="4"/>
  <c r="U6" i="4" a="1"/>
  <c r="U6" i="4"/>
  <c r="T6" i="4" a="1"/>
  <c r="T6" i="4"/>
  <c r="S6" i="4" a="1"/>
  <c r="S6" i="4" s="1"/>
  <c r="R6" i="4" a="1"/>
  <c r="R6" i="4"/>
  <c r="R8" i="4" s="1"/>
  <c r="Q6" i="4" a="1"/>
  <c r="Q6" i="4"/>
  <c r="P6" i="4" a="1"/>
  <c r="P6" i="4" s="1"/>
  <c r="P8" i="4" s="1"/>
  <c r="O6" i="4" a="1"/>
  <c r="O6" i="4" s="1"/>
  <c r="O8" i="4" s="1"/>
  <c r="N6" i="4" a="1"/>
  <c r="N6" i="4" s="1"/>
  <c r="M6" i="4" a="1"/>
  <c r="M6" i="4" s="1"/>
  <c r="L6" i="4" a="1"/>
  <c r="L6" i="4"/>
  <c r="L8" i="4" s="1"/>
  <c r="K6" i="4" a="1"/>
  <c r="K6" i="4"/>
  <c r="K7" i="4" s="1"/>
  <c r="J6" i="4" a="1"/>
  <c r="J6" i="4" s="1"/>
  <c r="I6" i="4" a="1"/>
  <c r="I6" i="4"/>
  <c r="H6" i="4" a="1"/>
  <c r="H6" i="4" s="1"/>
  <c r="H7" i="4" s="1"/>
  <c r="G6" i="4" a="1"/>
  <c r="G6" i="4"/>
  <c r="G7" i="4" s="1"/>
  <c r="F6" i="4" a="1"/>
  <c r="F6" i="4" s="1"/>
  <c r="E6" i="4" a="1"/>
  <c r="E6" i="4"/>
  <c r="E7" i="4" s="1"/>
  <c r="D6" i="4" a="1"/>
  <c r="D6" i="4" s="1"/>
  <c r="C6" i="4" a="1"/>
  <c r="C6" i="4"/>
  <c r="C7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EM15" i="3" s="1"/>
  <c r="EN15" i="3" s="1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EM13" i="3" s="1"/>
  <c r="EN13" i="3" s="1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M8" i="3"/>
  <c r="EK8" i="3"/>
  <c r="EH8" i="3"/>
  <c r="EG8" i="3"/>
  <c r="DT8" i="3"/>
  <c r="DO8" i="3"/>
  <c r="DL8" i="3"/>
  <c r="DK8" i="3"/>
  <c r="DJ8" i="3"/>
  <c r="DI8" i="3"/>
  <c r="DH8" i="3"/>
  <c r="DF8" i="3"/>
  <c r="DC8" i="3"/>
  <c r="DA8" i="3"/>
  <c r="CZ8" i="3"/>
  <c r="CX8" i="3"/>
  <c r="CR8" i="3"/>
  <c r="CO8" i="3"/>
  <c r="CM8" i="3"/>
  <c r="CL8" i="3"/>
  <c r="CK8" i="3"/>
  <c r="CF8" i="3"/>
  <c r="CC8" i="3"/>
  <c r="CA8" i="3"/>
  <c r="BZ8" i="3"/>
  <c r="BY8" i="3"/>
  <c r="BX8" i="3"/>
  <c r="BQ8" i="3"/>
  <c r="BN8" i="3"/>
  <c r="BL8" i="3"/>
  <c r="BJ8" i="3"/>
  <c r="BI8" i="3"/>
  <c r="BF8" i="3"/>
  <c r="BD8" i="3"/>
  <c r="BB8" i="3"/>
  <c r="AO8" i="3"/>
  <c r="AL8" i="3"/>
  <c r="AF8" i="3"/>
  <c r="AE8" i="3"/>
  <c r="AD8" i="3"/>
  <c r="AC8" i="3"/>
  <c r="AB8" i="3"/>
  <c r="AA8" i="3"/>
  <c r="Z8" i="3"/>
  <c r="X8" i="3"/>
  <c r="R8" i="3"/>
  <c r="I8" i="3"/>
  <c r="F8" i="3"/>
  <c r="D8" i="3"/>
  <c r="C8" i="3"/>
  <c r="EM7" i="3"/>
  <c r="EH7" i="3"/>
  <c r="EF7" i="3"/>
  <c r="EE7" i="3"/>
  <c r="ED7" i="3"/>
  <c r="EC7" i="3"/>
  <c r="EA7" i="3"/>
  <c r="DZ7" i="3"/>
  <c r="DT7" i="3"/>
  <c r="DJ7" i="3"/>
  <c r="DC7" i="3"/>
  <c r="CZ7" i="3"/>
  <c r="CY7" i="3"/>
  <c r="CX7" i="3"/>
  <c r="CQ7" i="3"/>
  <c r="CP7" i="3"/>
  <c r="CO7" i="3"/>
  <c r="CM7" i="3"/>
  <c r="CK7" i="3"/>
  <c r="CF7" i="3"/>
  <c r="CA7" i="3"/>
  <c r="BZ7" i="3"/>
  <c r="BY7" i="3"/>
  <c r="BP7" i="3"/>
  <c r="BO7" i="3"/>
  <c r="BN7" i="3"/>
  <c r="BL7" i="3"/>
  <c r="BF7" i="3"/>
  <c r="BD7" i="3"/>
  <c r="BC7" i="3"/>
  <c r="BB7" i="3"/>
  <c r="BA7" i="3"/>
  <c r="AY7" i="3"/>
  <c r="AP7" i="3"/>
  <c r="AO7" i="3"/>
  <c r="AC7" i="3"/>
  <c r="AB7" i="3"/>
  <c r="AA7" i="3"/>
  <c r="Y7" i="3"/>
  <c r="X7" i="3"/>
  <c r="P7" i="3"/>
  <c r="K7" i="3"/>
  <c r="I7" i="3"/>
  <c r="F7" i="3"/>
  <c r="D7" i="3"/>
  <c r="EM6" i="3" a="1"/>
  <c r="EM6" i="3"/>
  <c r="EL6" i="3" a="1"/>
  <c r="EL6" i="3" s="1"/>
  <c r="EL7" i="3" s="1"/>
  <c r="EK6" i="3" a="1"/>
  <c r="EK6" i="3"/>
  <c r="EK7" i="3" s="1"/>
  <c r="EJ6" i="3" a="1"/>
  <c r="EJ6" i="3" s="1"/>
  <c r="EI6" i="3" a="1"/>
  <c r="EI6" i="3"/>
  <c r="EI8" i="3" s="1"/>
  <c r="EH6" i="3" a="1"/>
  <c r="EH6" i="3" s="1"/>
  <c r="EG6" i="3" a="1"/>
  <c r="EG6" i="3" s="1"/>
  <c r="EG7" i="3" s="1"/>
  <c r="EF6" i="3" a="1"/>
  <c r="EF6" i="3" s="1"/>
  <c r="EF8" i="3" s="1"/>
  <c r="EE6" i="3" a="1"/>
  <c r="EE6" i="3"/>
  <c r="EE8" i="3" s="1"/>
  <c r="ED6" i="3" a="1"/>
  <c r="ED6" i="3" s="1"/>
  <c r="ED8" i="3" s="1"/>
  <c r="EC6" i="3" a="1"/>
  <c r="EC6" i="3"/>
  <c r="EC8" i="3" s="1"/>
  <c r="EB6" i="3" a="1"/>
  <c r="EB6" i="3"/>
  <c r="EB7" i="3" s="1"/>
  <c r="EA6" i="3" a="1"/>
  <c r="EA6" i="3"/>
  <c r="EA8" i="3" s="1"/>
  <c r="DZ6" i="3" a="1"/>
  <c r="DZ6" i="3"/>
  <c r="DZ8" i="3" s="1"/>
  <c r="DY6" i="3" a="1"/>
  <c r="DY6" i="3"/>
  <c r="DX6" i="3" a="1"/>
  <c r="DX6" i="3"/>
  <c r="DW6" i="3" a="1"/>
  <c r="DW6" i="3" s="1"/>
  <c r="DV6" i="3" a="1"/>
  <c r="DV6" i="3" s="1"/>
  <c r="DV8" i="3" s="1"/>
  <c r="DU6" i="3" a="1"/>
  <c r="DU6" i="3"/>
  <c r="DT6" i="3" a="1"/>
  <c r="DT6" i="3"/>
  <c r="DS6" i="3" a="1"/>
  <c r="DS6" i="3"/>
  <c r="DR6" i="3" a="1"/>
  <c r="DR6" i="3" s="1"/>
  <c r="DQ6" i="3" a="1"/>
  <c r="DQ6" i="3"/>
  <c r="DP6" i="3" a="1"/>
  <c r="DP6" i="3" s="1"/>
  <c r="DO6" i="3" a="1"/>
  <c r="DO6" i="3"/>
  <c r="DO7" i="3" s="1"/>
  <c r="DN6" i="3" a="1"/>
  <c r="DN6" i="3"/>
  <c r="DM6" i="3" a="1"/>
  <c r="DM6" i="3"/>
  <c r="DM7" i="3" s="1"/>
  <c r="DL6" i="3" a="1"/>
  <c r="DL6" i="3" s="1"/>
  <c r="DL7" i="3" s="1"/>
  <c r="DK6" i="3" a="1"/>
  <c r="DK6" i="3" s="1"/>
  <c r="DK7" i="3" s="1"/>
  <c r="DJ6" i="3" a="1"/>
  <c r="DJ6" i="3" s="1"/>
  <c r="DI6" i="3" a="1"/>
  <c r="DI6" i="3"/>
  <c r="DI7" i="3" s="1"/>
  <c r="DH6" i="3" a="1"/>
  <c r="DH6" i="3"/>
  <c r="DH7" i="3" s="1"/>
  <c r="DG6" i="3" a="1"/>
  <c r="DG6" i="3"/>
  <c r="DG7" i="3" s="1"/>
  <c r="DF6" i="3" a="1"/>
  <c r="DF6" i="3" s="1"/>
  <c r="DF7" i="3" s="1"/>
  <c r="DE6" i="3" a="1"/>
  <c r="DE6" i="3"/>
  <c r="DD6" i="3" a="1"/>
  <c r="DD6" i="3"/>
  <c r="DC6" i="3" a="1"/>
  <c r="DC6" i="3"/>
  <c r="DB6" i="3" a="1"/>
  <c r="DB6" i="3"/>
  <c r="DA6" i="3" a="1"/>
  <c r="DA6" i="3" s="1"/>
  <c r="DA7" i="3" s="1"/>
  <c r="CZ6" i="3" a="1"/>
  <c r="CZ6" i="3"/>
  <c r="CY6" i="3" a="1"/>
  <c r="CY6" i="3" s="1"/>
  <c r="CY8" i="3" s="1"/>
  <c r="CX6" i="3" a="1"/>
  <c r="CX6" i="3"/>
  <c r="CW6" i="3" a="1"/>
  <c r="CW6" i="3" s="1"/>
  <c r="CV6" i="3" a="1"/>
  <c r="CV6" i="3"/>
  <c r="CV8" i="3" s="1"/>
  <c r="CU6" i="3" a="1"/>
  <c r="CU6" i="3"/>
  <c r="CU8" i="3" s="1"/>
  <c r="CT6" i="3" a="1"/>
  <c r="CT6" i="3" s="1"/>
  <c r="CS6" i="3" a="1"/>
  <c r="CS6" i="3" s="1"/>
  <c r="CR6" i="3" a="1"/>
  <c r="CR6" i="3"/>
  <c r="CR7" i="3" s="1"/>
  <c r="CQ6" i="3" a="1"/>
  <c r="CQ6" i="3"/>
  <c r="CQ8" i="3" s="1"/>
  <c r="CP6" i="3" a="1"/>
  <c r="CP6" i="3" s="1"/>
  <c r="CP8" i="3" s="1"/>
  <c r="CO6" i="3" a="1"/>
  <c r="CO6" i="3"/>
  <c r="CN6" i="3" a="1"/>
  <c r="CN6" i="3" s="1"/>
  <c r="CM6" i="3" a="1"/>
  <c r="CM6" i="3"/>
  <c r="CL6" i="3" a="1"/>
  <c r="CL6" i="3"/>
  <c r="CL7" i="3" s="1"/>
  <c r="CK6" i="3" a="1"/>
  <c r="CK6" i="3"/>
  <c r="CJ6" i="3" a="1"/>
  <c r="CJ6" i="3"/>
  <c r="CJ8" i="3" s="1"/>
  <c r="CI6" i="3" a="1"/>
  <c r="CI6" i="3"/>
  <c r="CH6" i="3" a="1"/>
  <c r="CH6" i="3"/>
  <c r="CG6" i="3" a="1"/>
  <c r="CG6" i="3" s="1"/>
  <c r="CF6" i="3" a="1"/>
  <c r="CF6" i="3"/>
  <c r="CE6" i="3" a="1"/>
  <c r="CE6" i="3" s="1"/>
  <c r="CD6" i="3" a="1"/>
  <c r="CD6" i="3" s="1"/>
  <c r="CC6" i="3" a="1"/>
  <c r="CC6" i="3"/>
  <c r="CC7" i="3" s="1"/>
  <c r="CB6" i="3" a="1"/>
  <c r="CB6" i="3"/>
  <c r="CB8" i="3" s="1"/>
  <c r="CA6" i="3" a="1"/>
  <c r="CA6" i="3"/>
  <c r="BZ6" i="3" a="1"/>
  <c r="BZ6" i="3" s="1"/>
  <c r="BY6" i="3" a="1"/>
  <c r="BY6" i="3" s="1"/>
  <c r="BX6" i="3" a="1"/>
  <c r="BX6" i="3"/>
  <c r="BX7" i="3" s="1"/>
  <c r="BW6" i="3" a="1"/>
  <c r="BW6" i="3"/>
  <c r="BV6" i="3" a="1"/>
  <c r="BV6" i="3" s="1"/>
  <c r="BU6" i="3" a="1"/>
  <c r="BU6" i="3"/>
  <c r="BU7" i="3" s="1"/>
  <c r="BT6" i="3" a="1"/>
  <c r="BT6" i="3" s="1"/>
  <c r="BS6" i="3" a="1"/>
  <c r="BS6" i="3" s="1"/>
  <c r="BR6" i="3" a="1"/>
  <c r="BR6" i="3"/>
  <c r="BQ6" i="3" a="1"/>
  <c r="BQ6" i="3"/>
  <c r="BQ7" i="3" s="1"/>
  <c r="BP6" i="3" a="1"/>
  <c r="BP6" i="3" s="1"/>
  <c r="BP8" i="3" s="1"/>
  <c r="BO6" i="3" a="1"/>
  <c r="BO6" i="3"/>
  <c r="BO8" i="3" s="1"/>
  <c r="BN6" i="3" a="1"/>
  <c r="BN6" i="3"/>
  <c r="BM6" i="3" a="1"/>
  <c r="BM6" i="3" s="1"/>
  <c r="BL6" i="3" a="1"/>
  <c r="BL6" i="3"/>
  <c r="BK6" i="3" a="1"/>
  <c r="BK6" i="3"/>
  <c r="BJ6" i="3" a="1"/>
  <c r="BJ6" i="3"/>
  <c r="BJ7" i="3" s="1"/>
  <c r="BI6" i="3" a="1"/>
  <c r="BI6" i="3" s="1"/>
  <c r="BI7" i="3" s="1"/>
  <c r="BH6" i="3" a="1"/>
  <c r="BH6" i="3"/>
  <c r="BG6" i="3" a="1"/>
  <c r="BG6" i="3"/>
  <c r="BG8" i="3" s="1"/>
  <c r="BF6" i="3" a="1"/>
  <c r="BF6" i="3"/>
  <c r="BE6" i="3" a="1"/>
  <c r="BE6" i="3"/>
  <c r="BD6" i="3" a="1"/>
  <c r="BD6" i="3"/>
  <c r="BC6" i="3" a="1"/>
  <c r="BC6" i="3" s="1"/>
  <c r="BC8" i="3" s="1"/>
  <c r="BB6" i="3" a="1"/>
  <c r="BB6" i="3"/>
  <c r="BA6" i="3" a="1"/>
  <c r="BA6" i="3" s="1"/>
  <c r="BA8" i="3" s="1"/>
  <c r="AZ6" i="3" a="1"/>
  <c r="AZ6" i="3"/>
  <c r="AZ7" i="3" s="1"/>
  <c r="AY6" i="3" a="1"/>
  <c r="AY6" i="3"/>
  <c r="AY8" i="3" s="1"/>
  <c r="AX6" i="3" a="1"/>
  <c r="AX6" i="3" s="1"/>
  <c r="AX8" i="3" s="1"/>
  <c r="AW6" i="3" a="1"/>
  <c r="AW6" i="3"/>
  <c r="AV6" i="3" a="1"/>
  <c r="AV6" i="3"/>
  <c r="AU6" i="3" a="1"/>
  <c r="AU6" i="3"/>
  <c r="AT6" i="3" a="1"/>
  <c r="AT6" i="3" s="1"/>
  <c r="AS6" i="3" a="1"/>
  <c r="AS6" i="3" s="1"/>
  <c r="AR6" i="3" a="1"/>
  <c r="AR6" i="3"/>
  <c r="AQ6" i="3" a="1"/>
  <c r="AQ6" i="3"/>
  <c r="AP6" i="3" a="1"/>
  <c r="AP6" i="3"/>
  <c r="AP8" i="3" s="1"/>
  <c r="AO6" i="3" a="1"/>
  <c r="AO6" i="3" s="1"/>
  <c r="AN6" i="3" a="1"/>
  <c r="AN6" i="3"/>
  <c r="AM6" i="3" a="1"/>
  <c r="AM6" i="3" s="1"/>
  <c r="AL6" i="3" a="1"/>
  <c r="AL6" i="3"/>
  <c r="AL7" i="3" s="1"/>
  <c r="AK6" i="3" a="1"/>
  <c r="AK6" i="3"/>
  <c r="AJ6" i="3" a="1"/>
  <c r="AJ6" i="3"/>
  <c r="AJ8" i="3" s="1"/>
  <c r="AI6" i="3" a="1"/>
  <c r="AI6" i="3"/>
  <c r="AH6" i="3" a="1"/>
  <c r="AH6" i="3"/>
  <c r="AG6" i="3" a="1"/>
  <c r="AG6" i="3"/>
  <c r="AG7" i="3" s="1"/>
  <c r="AF6" i="3" a="1"/>
  <c r="AF6" i="3" s="1"/>
  <c r="AF7" i="3" s="1"/>
  <c r="AE6" i="3" a="1"/>
  <c r="AE6" i="3"/>
  <c r="AE7" i="3" s="1"/>
  <c r="AD6" i="3" a="1"/>
  <c r="AD6" i="3"/>
  <c r="AD7" i="3" s="1"/>
  <c r="AC6" i="3" a="1"/>
  <c r="AC6" i="3"/>
  <c r="AB6" i="3" a="1"/>
  <c r="AB6" i="3" s="1"/>
  <c r="AA6" i="3" a="1"/>
  <c r="AA6" i="3"/>
  <c r="Z6" i="3" a="1"/>
  <c r="Z6" i="3"/>
  <c r="Z7" i="3" s="1"/>
  <c r="Y6" i="3" a="1"/>
  <c r="Y6" i="3"/>
  <c r="Y8" i="3" s="1"/>
  <c r="X6" i="3" a="1"/>
  <c r="X6" i="3" s="1"/>
  <c r="W6" i="3" a="1"/>
  <c r="W6" i="3"/>
  <c r="W8" i="3" s="1"/>
  <c r="V6" i="3" a="1"/>
  <c r="V6" i="3" s="1"/>
  <c r="V8" i="3" s="1"/>
  <c r="U6" i="3" a="1"/>
  <c r="U6" i="3" s="1"/>
  <c r="U8" i="3" s="1"/>
  <c r="T6" i="3" a="1"/>
  <c r="T6" i="3"/>
  <c r="T7" i="3" s="1"/>
  <c r="S6" i="3" a="1"/>
  <c r="S6" i="3" s="1"/>
  <c r="R6" i="3" a="1"/>
  <c r="R6" i="3"/>
  <c r="R7" i="3" s="1"/>
  <c r="Q6" i="3" a="1"/>
  <c r="Q6" i="3" s="1"/>
  <c r="P6" i="3" a="1"/>
  <c r="P6" i="3"/>
  <c r="P8" i="3" s="1"/>
  <c r="O6" i="3" a="1"/>
  <c r="O6" i="3" s="1"/>
  <c r="N6" i="3" a="1"/>
  <c r="N6" i="3"/>
  <c r="M6" i="3" a="1"/>
  <c r="M6" i="3"/>
  <c r="M7" i="3" s="1"/>
  <c r="L6" i="3" a="1"/>
  <c r="L6" i="3" s="1"/>
  <c r="K6" i="3" a="1"/>
  <c r="K6" i="3"/>
  <c r="K8" i="3" s="1"/>
  <c r="J6" i="3" a="1"/>
  <c r="J6" i="3"/>
  <c r="I6" i="3" a="1"/>
  <c r="I6" i="3" s="1"/>
  <c r="H6" i="3" a="1"/>
  <c r="H6" i="3"/>
  <c r="G6" i="3" a="1"/>
  <c r="G6" i="3"/>
  <c r="F6" i="3" a="1"/>
  <c r="F6" i="3" s="1"/>
  <c r="E6" i="3" a="1"/>
  <c r="E6" i="3"/>
  <c r="D6" i="3" a="1"/>
  <c r="D6" i="3"/>
  <c r="C6" i="3" a="1"/>
  <c r="C6" i="3"/>
  <c r="C7" i="3" s="1"/>
  <c r="EN25" i="2"/>
  <c r="EM25" i="2"/>
  <c r="EO25" i="2" s="1"/>
  <c r="EN24" i="2"/>
  <c r="EO24" i="2" s="1"/>
  <c r="B24" i="2"/>
  <c r="EO23" i="2"/>
  <c r="EN23" i="2"/>
  <c r="B23" i="2"/>
  <c r="EO22" i="2"/>
  <c r="EN22" i="2"/>
  <c r="B22" i="2"/>
  <c r="EN21" i="2"/>
  <c r="EO21" i="2" s="1"/>
  <c r="B21" i="2"/>
  <c r="EN20" i="2"/>
  <c r="EO20" i="2" s="1"/>
  <c r="B20" i="2"/>
  <c r="EN19" i="2"/>
  <c r="B19" i="2"/>
  <c r="EN18" i="2"/>
  <c r="B18" i="2"/>
  <c r="EN17" i="2"/>
  <c r="B17" i="2"/>
  <c r="EN16" i="2"/>
  <c r="B16" i="2"/>
  <c r="EN15" i="2"/>
  <c r="B15" i="2"/>
  <c r="EN14" i="2"/>
  <c r="B14" i="2"/>
  <c r="EO13" i="2"/>
  <c r="EN13" i="2"/>
  <c r="B13" i="2"/>
  <c r="EN12" i="2"/>
  <c r="EO12" i="2" s="1"/>
  <c r="B12" i="2"/>
  <c r="EJ8" i="2"/>
  <c r="EI8" i="2"/>
  <c r="EH8" i="2"/>
  <c r="EF8" i="2"/>
  <c r="DZ8" i="2"/>
  <c r="DY8" i="2"/>
  <c r="DW8" i="2"/>
  <c r="DP8" i="2"/>
  <c r="DJ8" i="2"/>
  <c r="DI8" i="2"/>
  <c r="DH8" i="2"/>
  <c r="DG8" i="2"/>
  <c r="CY8" i="2"/>
  <c r="CW8" i="2"/>
  <c r="CV8" i="2"/>
  <c r="CS8" i="2"/>
  <c r="CF8" i="2"/>
  <c r="CC8" i="2"/>
  <c r="BZ8" i="2"/>
  <c r="BX8" i="2"/>
  <c r="BW8" i="2"/>
  <c r="BV8" i="2"/>
  <c r="BT8" i="2"/>
  <c r="BJ8" i="2"/>
  <c r="BI8" i="2"/>
  <c r="AY8" i="2"/>
  <c r="AM8" i="2"/>
  <c r="AJ8" i="2"/>
  <c r="AH8" i="2"/>
  <c r="AE8" i="2"/>
  <c r="AB8" i="2"/>
  <c r="AA8" i="2"/>
  <c r="Z8" i="2"/>
  <c r="Q8" i="2"/>
  <c r="P8" i="2"/>
  <c r="M8" i="2"/>
  <c r="E8" i="2"/>
  <c r="D8" i="2"/>
  <c r="C8" i="2"/>
  <c r="EM7" i="2"/>
  <c r="EL7" i="2"/>
  <c r="EK7" i="2"/>
  <c r="EJ7" i="2"/>
  <c r="EI7" i="2"/>
  <c r="EH7" i="2"/>
  <c r="EF7" i="2"/>
  <c r="DP7" i="2"/>
  <c r="DK7" i="2"/>
  <c r="DJ7" i="2"/>
  <c r="DI7" i="2"/>
  <c r="DH7" i="2"/>
  <c r="DG7" i="2"/>
  <c r="DF7" i="2"/>
  <c r="DE7" i="2"/>
  <c r="DD7" i="2"/>
  <c r="DC7" i="2"/>
  <c r="DB7" i="2"/>
  <c r="CZ7" i="2"/>
  <c r="CU7" i="2"/>
  <c r="CS7" i="2"/>
  <c r="CL7" i="2"/>
  <c r="CK7" i="2"/>
  <c r="CF7" i="2"/>
  <c r="CC7" i="2"/>
  <c r="BZ7" i="2"/>
  <c r="BV7" i="2"/>
  <c r="BN7" i="2"/>
  <c r="BA7" i="2"/>
  <c r="AZ7" i="2"/>
  <c r="AS7" i="2"/>
  <c r="AR7" i="2"/>
  <c r="AP7" i="2"/>
  <c r="AO7" i="2"/>
  <c r="AN7" i="2"/>
  <c r="AL7" i="2"/>
  <c r="AJ7" i="2"/>
  <c r="AB7" i="2"/>
  <c r="AA7" i="2"/>
  <c r="Q7" i="2"/>
  <c r="P7" i="2"/>
  <c r="O7" i="2"/>
  <c r="M7" i="2"/>
  <c r="K7" i="2"/>
  <c r="J7" i="2"/>
  <c r="H7" i="2"/>
  <c r="F7" i="2"/>
  <c r="E7" i="2"/>
  <c r="D7" i="2"/>
  <c r="C7" i="2"/>
  <c r="EM6" i="2" a="1"/>
  <c r="EM6" i="2"/>
  <c r="EM8" i="2" s="1"/>
  <c r="EL6" i="2" a="1"/>
  <c r="EL6" i="2" s="1"/>
  <c r="EL8" i="2" s="1"/>
  <c r="EK6" i="2" a="1"/>
  <c r="EK6" i="2"/>
  <c r="EK8" i="2" s="1"/>
  <c r="EJ6" i="2" a="1"/>
  <c r="EJ6" i="2" s="1"/>
  <c r="EI6" i="2" a="1"/>
  <c r="EI6" i="2"/>
  <c r="EH6" i="2" a="1"/>
  <c r="EH6" i="2"/>
  <c r="EG6" i="2" a="1"/>
  <c r="EG6" i="2"/>
  <c r="EG7" i="2" s="1"/>
  <c r="EF6" i="2" a="1"/>
  <c r="EF6" i="2" s="1"/>
  <c r="EE6" i="2" a="1"/>
  <c r="EE6" i="2"/>
  <c r="EE8" i="2" s="1"/>
  <c r="ED6" i="2" a="1"/>
  <c r="ED6" i="2" s="1"/>
  <c r="EC6" i="2" a="1"/>
  <c r="EC6" i="2"/>
  <c r="EB6" i="2" a="1"/>
  <c r="EB6" i="2" s="1"/>
  <c r="EA6" i="2" a="1"/>
  <c r="EA6" i="2"/>
  <c r="DZ6" i="2" a="1"/>
  <c r="DZ6" i="2"/>
  <c r="DZ7" i="2" s="1"/>
  <c r="DY6" i="2" a="1"/>
  <c r="DY6" i="2"/>
  <c r="DY7" i="2" s="1"/>
  <c r="DX6" i="2" a="1"/>
  <c r="DX6" i="2"/>
  <c r="DW6" i="2" a="1"/>
  <c r="DW6" i="2"/>
  <c r="DW7" i="2" s="1"/>
  <c r="DV6" i="2" a="1"/>
  <c r="DV6" i="2"/>
  <c r="DU6" i="2" a="1"/>
  <c r="DU6" i="2" s="1"/>
  <c r="DU8" i="2" s="1"/>
  <c r="DT6" i="2" a="1"/>
  <c r="DT6" i="2"/>
  <c r="DT7" i="2" s="1"/>
  <c r="DS6" i="2" a="1"/>
  <c r="DS6" i="2"/>
  <c r="DR6" i="2" a="1"/>
  <c r="DR6" i="2" s="1"/>
  <c r="DQ6" i="2" a="1"/>
  <c r="DQ6" i="2"/>
  <c r="DP6" i="2" a="1"/>
  <c r="DP6" i="2"/>
  <c r="DO6" i="2" a="1"/>
  <c r="DO6" i="2" s="1"/>
  <c r="DN6" i="2" a="1"/>
  <c r="DN6" i="2"/>
  <c r="DM6" i="2" a="1"/>
  <c r="DM6" i="2"/>
  <c r="DL6" i="2" a="1"/>
  <c r="DL6" i="2"/>
  <c r="DK6" i="2" a="1"/>
  <c r="DK6" i="2"/>
  <c r="DK8" i="2" s="1"/>
  <c r="DJ6" i="2" a="1"/>
  <c r="DJ6" i="2" s="1"/>
  <c r="DI6" i="2" a="1"/>
  <c r="DI6" i="2"/>
  <c r="DH6" i="2" a="1"/>
  <c r="DH6" i="2"/>
  <c r="DG6" i="2" a="1"/>
  <c r="DG6" i="2"/>
  <c r="DF6" i="2" a="1"/>
  <c r="DF6" i="2" s="1"/>
  <c r="DF8" i="2" s="1"/>
  <c r="DE6" i="2" a="1"/>
  <c r="DE6" i="2" s="1"/>
  <c r="DE8" i="2" s="1"/>
  <c r="DD6" i="2" a="1"/>
  <c r="DD6" i="2"/>
  <c r="DD8" i="2" s="1"/>
  <c r="DC6" i="2" a="1"/>
  <c r="DC6" i="2"/>
  <c r="DC8" i="2" s="1"/>
  <c r="DB6" i="2" a="1"/>
  <c r="DB6" i="2"/>
  <c r="DB8" i="2" s="1"/>
  <c r="DA6" i="2" a="1"/>
  <c r="DA6" i="2"/>
  <c r="DA7" i="2" s="1"/>
  <c r="CZ6" i="2" a="1"/>
  <c r="CZ6" i="2"/>
  <c r="CZ8" i="2" s="1"/>
  <c r="CY6" i="2" a="1"/>
  <c r="CY6" i="2" s="1"/>
  <c r="CY7" i="2" s="1"/>
  <c r="CX6" i="2" a="1"/>
  <c r="CX6" i="2" s="1"/>
  <c r="CW6" i="2" a="1"/>
  <c r="CW6" i="2"/>
  <c r="CW7" i="2" s="1"/>
  <c r="CV6" i="2" a="1"/>
  <c r="CV6" i="2"/>
  <c r="CV7" i="2" s="1"/>
  <c r="CU6" i="2" a="1"/>
  <c r="CU6" i="2"/>
  <c r="CU8" i="2" s="1"/>
  <c r="CT6" i="2" a="1"/>
  <c r="CT6" i="2" s="1"/>
  <c r="CT7" i="2" s="1"/>
  <c r="CS6" i="2" a="1"/>
  <c r="CS6" i="2"/>
  <c r="CR6" i="2" a="1"/>
  <c r="CR6" i="2" s="1"/>
  <c r="CQ6" i="2" a="1"/>
  <c r="CQ6" i="2"/>
  <c r="CP6" i="2" a="1"/>
  <c r="CP6" i="2"/>
  <c r="CO6" i="2" a="1"/>
  <c r="CO6" i="2"/>
  <c r="CN6" i="2" a="1"/>
  <c r="CN6" i="2" s="1"/>
  <c r="CM6" i="2" a="1"/>
  <c r="CM6" i="2" s="1"/>
  <c r="CL6" i="2" a="1"/>
  <c r="CL6" i="2"/>
  <c r="CL8" i="2" s="1"/>
  <c r="CK6" i="2" a="1"/>
  <c r="CK6" i="2"/>
  <c r="CK8" i="2" s="1"/>
  <c r="CJ6" i="2" a="1"/>
  <c r="CJ6" i="2"/>
  <c r="CJ7" i="2" s="1"/>
  <c r="CI6" i="2" a="1"/>
  <c r="CI6" i="2" s="1"/>
  <c r="CH6" i="2" a="1"/>
  <c r="CH6" i="2" s="1"/>
  <c r="CH8" i="2" s="1"/>
  <c r="CG6" i="2" a="1"/>
  <c r="CG6" i="2"/>
  <c r="CF6" i="2" a="1"/>
  <c r="CF6" i="2"/>
  <c r="CE6" i="2" a="1"/>
  <c r="CE6" i="2"/>
  <c r="CD6" i="2" a="1"/>
  <c r="CD6" i="2"/>
  <c r="CD8" i="2" s="1"/>
  <c r="CC6" i="2" a="1"/>
  <c r="CC6" i="2" s="1"/>
  <c r="CB6" i="2" a="1"/>
  <c r="CB6" i="2"/>
  <c r="CA6" i="2" a="1"/>
  <c r="CA6" i="2" s="1"/>
  <c r="CA8" i="2" s="1"/>
  <c r="BZ6" i="2" a="1"/>
  <c r="BZ6" i="2"/>
  <c r="BY6" i="2" a="1"/>
  <c r="BY6" i="2"/>
  <c r="BX6" i="2" a="1"/>
  <c r="BX6" i="2"/>
  <c r="BX7" i="2" s="1"/>
  <c r="BW6" i="2" a="1"/>
  <c r="BW6" i="2" s="1"/>
  <c r="BW7" i="2" s="1"/>
  <c r="BV6" i="2" a="1"/>
  <c r="BV6" i="2"/>
  <c r="BU6" i="2" a="1"/>
  <c r="BU6" i="2" s="1"/>
  <c r="BT6" i="2" a="1"/>
  <c r="BT6" i="2"/>
  <c r="BT7" i="2" s="1"/>
  <c r="BS6" i="2" a="1"/>
  <c r="BS6" i="2"/>
  <c r="BS8" i="2" s="1"/>
  <c r="BR6" i="2" a="1"/>
  <c r="BR6" i="2" s="1"/>
  <c r="BR8" i="2" s="1"/>
  <c r="BQ6" i="2" a="1"/>
  <c r="BQ6" i="2" s="1"/>
  <c r="BQ8" i="2" s="1"/>
  <c r="BP6" i="2" a="1"/>
  <c r="BP6" i="2"/>
  <c r="BP8" i="2" s="1"/>
  <c r="BO6" i="2" a="1"/>
  <c r="BO6" i="2"/>
  <c r="BN6" i="2" a="1"/>
  <c r="BN6" i="2"/>
  <c r="BN8" i="2" s="1"/>
  <c r="BM6" i="2" a="1"/>
  <c r="BM6" i="2" s="1"/>
  <c r="BM7" i="2" s="1"/>
  <c r="BL6" i="2" a="1"/>
  <c r="BL6" i="2"/>
  <c r="BL8" i="2" s="1"/>
  <c r="BK6" i="2" a="1"/>
  <c r="BK6" i="2" s="1"/>
  <c r="BK8" i="2" s="1"/>
  <c r="BJ6" i="2" a="1"/>
  <c r="BJ6" i="2"/>
  <c r="BJ7" i="2" s="1"/>
  <c r="BI6" i="2" a="1"/>
  <c r="BI6" i="2"/>
  <c r="BI7" i="2" s="1"/>
  <c r="BH6" i="2" a="1"/>
  <c r="BH6" i="2"/>
  <c r="BG6" i="2" a="1"/>
  <c r="BG6" i="2" s="1"/>
  <c r="BF6" i="2" a="1"/>
  <c r="BF6" i="2"/>
  <c r="BE6" i="2" a="1"/>
  <c r="BE6" i="2" s="1"/>
  <c r="BD6" i="2" a="1"/>
  <c r="BD6" i="2"/>
  <c r="BC6" i="2" a="1"/>
  <c r="BC6" i="2"/>
  <c r="BB6" i="2" a="1"/>
  <c r="BB6" i="2" s="1"/>
  <c r="BA6" i="2" a="1"/>
  <c r="BA6" i="2"/>
  <c r="BA8" i="2" s="1"/>
  <c r="AZ6" i="2" a="1"/>
  <c r="AZ6" i="2"/>
  <c r="AZ8" i="2" s="1"/>
  <c r="AY6" i="2" a="1"/>
  <c r="AY6" i="2"/>
  <c r="AY7" i="2" s="1"/>
  <c r="AX6" i="2" a="1"/>
  <c r="AX6" i="2" s="1"/>
  <c r="AX7" i="2" s="1"/>
  <c r="AW6" i="2" a="1"/>
  <c r="AW6" i="2"/>
  <c r="AW8" i="2" s="1"/>
  <c r="AV6" i="2" a="1"/>
  <c r="AV6" i="2" s="1"/>
  <c r="AV7" i="2" s="1"/>
  <c r="AU6" i="2" a="1"/>
  <c r="AU6" i="2"/>
  <c r="AT6" i="2" a="1"/>
  <c r="AT6" i="2" s="1"/>
  <c r="AS6" i="2" a="1"/>
  <c r="AS6" i="2" s="1"/>
  <c r="AS8" i="2" s="1"/>
  <c r="AR6" i="2" a="1"/>
  <c r="AR6" i="2"/>
  <c r="AR8" i="2" s="1"/>
  <c r="AQ6" i="2" a="1"/>
  <c r="AQ6" i="2"/>
  <c r="AP6" i="2" a="1"/>
  <c r="AP6" i="2"/>
  <c r="AP8" i="2" s="1"/>
  <c r="AO6" i="2" a="1"/>
  <c r="AO6" i="2"/>
  <c r="AO8" i="2" s="1"/>
  <c r="AN6" i="2" a="1"/>
  <c r="AN6" i="2" s="1"/>
  <c r="AN8" i="2" s="1"/>
  <c r="AM6" i="2" a="1"/>
  <c r="AM6" i="2"/>
  <c r="AM7" i="2" s="1"/>
  <c r="AL6" i="2" a="1"/>
  <c r="AL6" i="2"/>
  <c r="AL8" i="2" s="1"/>
  <c r="AK6" i="2" a="1"/>
  <c r="AK6" i="2" s="1"/>
  <c r="AK8" i="2" s="1"/>
  <c r="AJ6" i="2" a="1"/>
  <c r="AJ6" i="2"/>
  <c r="AI6" i="2" a="1"/>
  <c r="AI6" i="2"/>
  <c r="AI8" i="2" s="1"/>
  <c r="AH6" i="2" a="1"/>
  <c r="AH6" i="2"/>
  <c r="AH7" i="2" s="1"/>
  <c r="AG6" i="2" a="1"/>
  <c r="AG6" i="2" s="1"/>
  <c r="AG8" i="2" s="1"/>
  <c r="AF6" i="2" a="1"/>
  <c r="AF6" i="2"/>
  <c r="AF8" i="2" s="1"/>
  <c r="AE6" i="2" a="1"/>
  <c r="AE6" i="2"/>
  <c r="AE7" i="2" s="1"/>
  <c r="AD6" i="2" a="1"/>
  <c r="AD6" i="2"/>
  <c r="AD8" i="2" s="1"/>
  <c r="AC6" i="2" a="1"/>
  <c r="AC6" i="2" s="1"/>
  <c r="AC7" i="2" s="1"/>
  <c r="AB6" i="2" a="1"/>
  <c r="AB6" i="2"/>
  <c r="AA6" i="2" a="1"/>
  <c r="AA6" i="2"/>
  <c r="Z6" i="2" a="1"/>
  <c r="Z6" i="2" s="1"/>
  <c r="Z7" i="2" s="1"/>
  <c r="Y6" i="2" a="1"/>
  <c r="Y6" i="2"/>
  <c r="Y7" i="2" s="1"/>
  <c r="X6" i="2" a="1"/>
  <c r="X6" i="2"/>
  <c r="X8" i="2" s="1"/>
  <c r="W6" i="2" a="1"/>
  <c r="W6" i="2"/>
  <c r="V6" i="2" a="1"/>
  <c r="V6" i="2"/>
  <c r="U6" i="2" a="1"/>
  <c r="U6" i="2"/>
  <c r="T6" i="2" a="1"/>
  <c r="T6" i="2"/>
  <c r="S6" i="2" a="1"/>
  <c r="S6" i="2"/>
  <c r="R6" i="2" a="1"/>
  <c r="R6" i="2"/>
  <c r="Q6" i="2" a="1"/>
  <c r="Q6" i="2" s="1"/>
  <c r="P6" i="2" a="1"/>
  <c r="P6" i="2"/>
  <c r="O6" i="2" a="1"/>
  <c r="O6" i="2" s="1"/>
  <c r="O8" i="2" s="1"/>
  <c r="N6" i="2" a="1"/>
  <c r="N6" i="2"/>
  <c r="M6" i="2" a="1"/>
  <c r="M6" i="2"/>
  <c r="L6" i="2" a="1"/>
  <c r="L6" i="2"/>
  <c r="K6" i="2" a="1"/>
  <c r="K6" i="2"/>
  <c r="K8" i="2" s="1"/>
  <c r="J6" i="2" a="1"/>
  <c r="J6" i="2"/>
  <c r="J8" i="2" s="1"/>
  <c r="I6" i="2" a="1"/>
  <c r="I6" i="2"/>
  <c r="H6" i="2" a="1"/>
  <c r="H6" i="2"/>
  <c r="H8" i="2" s="1"/>
  <c r="G6" i="2" a="1"/>
  <c r="G6" i="2"/>
  <c r="F6" i="2" a="1"/>
  <c r="F6" i="2"/>
  <c r="F8" i="2" s="1"/>
  <c r="E6" i="2" a="1"/>
  <c r="E6" i="2"/>
  <c r="D6" i="2" a="1"/>
  <c r="D6" i="2" s="1"/>
  <c r="C6" i="2" a="1"/>
  <c r="C6" i="2"/>
  <c r="EN25" i="1"/>
  <c r="EM25" i="1"/>
  <c r="EO25" i="1" s="1"/>
  <c r="EN24" i="1"/>
  <c r="EM24" i="1"/>
  <c r="EO24" i="1" s="1"/>
  <c r="B24" i="1"/>
  <c r="EN23" i="1"/>
  <c r="EO23" i="1" s="1"/>
  <c r="EM23" i="1"/>
  <c r="B23" i="1"/>
  <c r="EN22" i="1"/>
  <c r="EM22" i="1"/>
  <c r="EO22" i="1" s="1"/>
  <c r="B22" i="1"/>
  <c r="EO21" i="1"/>
  <c r="EN21" i="1"/>
  <c r="EM21" i="1"/>
  <c r="B21" i="1"/>
  <c r="EN20" i="1"/>
  <c r="EM20" i="1"/>
  <c r="B20" i="1"/>
  <c r="EN19" i="1"/>
  <c r="EM19" i="1"/>
  <c r="EO19" i="1" s="1"/>
  <c r="B19" i="1"/>
  <c r="EN18" i="1"/>
  <c r="EM18" i="1"/>
  <c r="EO18" i="1" s="1"/>
  <c r="B18" i="1"/>
  <c r="EN17" i="1"/>
  <c r="EM17" i="1"/>
  <c r="EO17" i="1" s="1"/>
  <c r="B17" i="1"/>
  <c r="EN16" i="1"/>
  <c r="EM16" i="1"/>
  <c r="EO16" i="1" s="1"/>
  <c r="B16" i="1"/>
  <c r="EO15" i="1"/>
  <c r="EN15" i="1"/>
  <c r="EM15" i="1"/>
  <c r="B15" i="1"/>
  <c r="EN14" i="1"/>
  <c r="EM14" i="1"/>
  <c r="EO14" i="1" s="1"/>
  <c r="B14" i="1"/>
  <c r="EN13" i="1"/>
  <c r="EM13" i="1"/>
  <c r="EO13" i="1" s="1"/>
  <c r="B13" i="1"/>
  <c r="EN12" i="1"/>
  <c r="EM12" i="1"/>
  <c r="EO12" i="1" s="1"/>
  <c r="B12" i="1"/>
  <c r="EK8" i="1"/>
  <c r="EJ8" i="1"/>
  <c r="EI8" i="1"/>
  <c r="EG8" i="1"/>
  <c r="EF8" i="1"/>
  <c r="DY8" i="1"/>
  <c r="DW8" i="1"/>
  <c r="DR8" i="1"/>
  <c r="DM8" i="1"/>
  <c r="DK8" i="1"/>
  <c r="DH8" i="1"/>
  <c r="DG8" i="1"/>
  <c r="DD8" i="1"/>
  <c r="DA8" i="1"/>
  <c r="CZ8" i="1"/>
  <c r="CY8" i="1"/>
  <c r="CX8" i="1"/>
  <c r="CW8" i="1"/>
  <c r="CU8" i="1"/>
  <c r="CS8" i="1"/>
  <c r="CO8" i="1"/>
  <c r="CK8" i="1"/>
  <c r="CJ8" i="1"/>
  <c r="BY8" i="1"/>
  <c r="BX8" i="1"/>
  <c r="BW8" i="1"/>
  <c r="BV8" i="1"/>
  <c r="BU8" i="1"/>
  <c r="BP8" i="1"/>
  <c r="BO8" i="1"/>
  <c r="BN8" i="1"/>
  <c r="BL8" i="1"/>
  <c r="BK8" i="1"/>
  <c r="BH8" i="1"/>
  <c r="BA8" i="1"/>
  <c r="AZ8" i="1"/>
  <c r="AY8" i="1"/>
  <c r="AW8" i="1"/>
  <c r="AQ8" i="1"/>
  <c r="AN8" i="1"/>
  <c r="AJ8" i="1"/>
  <c r="AE8" i="1"/>
  <c r="AD8" i="1"/>
  <c r="AC8" i="1"/>
  <c r="AA8" i="1"/>
  <c r="T8" i="1"/>
  <c r="R8" i="1"/>
  <c r="P8" i="1"/>
  <c r="I8" i="1"/>
  <c r="H8" i="1"/>
  <c r="G8" i="1"/>
  <c r="EM7" i="1"/>
  <c r="EL7" i="1"/>
  <c r="EK7" i="1"/>
  <c r="EJ7" i="1"/>
  <c r="EI7" i="1"/>
  <c r="EH7" i="1"/>
  <c r="EG7" i="1"/>
  <c r="EE7" i="1"/>
  <c r="DM7" i="1"/>
  <c r="DK7" i="1"/>
  <c r="DJ7" i="1"/>
  <c r="DI7" i="1"/>
  <c r="DH7" i="1"/>
  <c r="DG7" i="1"/>
  <c r="DF7" i="1"/>
  <c r="DE7" i="1"/>
  <c r="DA7" i="1"/>
  <c r="CW7" i="1"/>
  <c r="CU7" i="1"/>
  <c r="CO7" i="1"/>
  <c r="CK7" i="1"/>
  <c r="CI7" i="1"/>
  <c r="CH7" i="1"/>
  <c r="CG7" i="1"/>
  <c r="CF7" i="1"/>
  <c r="BX7" i="1"/>
  <c r="BW7" i="1"/>
  <c r="BU7" i="1"/>
  <c r="BT7" i="1"/>
  <c r="BS7" i="1"/>
  <c r="BQ7" i="1"/>
  <c r="BP7" i="1"/>
  <c r="BN7" i="1"/>
  <c r="BL7" i="1"/>
  <c r="AZ7" i="1"/>
  <c r="AY7" i="1"/>
  <c r="AW7" i="1"/>
  <c r="AV7" i="1"/>
  <c r="AU7" i="1"/>
  <c r="AS7" i="1"/>
  <c r="AR7" i="1"/>
  <c r="AQ7" i="1"/>
  <c r="AP7" i="1"/>
  <c r="AO7" i="1"/>
  <c r="AN7" i="1"/>
  <c r="AL7" i="1"/>
  <c r="AI7" i="1"/>
  <c r="T7" i="1"/>
  <c r="R7" i="1"/>
  <c r="P7" i="1"/>
  <c r="N7" i="1"/>
  <c r="M7" i="1"/>
  <c r="K7" i="1"/>
  <c r="J7" i="1"/>
  <c r="G7" i="1"/>
  <c r="D7" i="1"/>
  <c r="EM6" i="1" a="1"/>
  <c r="EM6" i="1"/>
  <c r="EM8" i="1" s="1"/>
  <c r="EL6" i="1" a="1"/>
  <c r="EL6" i="1" s="1"/>
  <c r="EL8" i="1" s="1"/>
  <c r="EK6" i="1" a="1"/>
  <c r="EK6" i="1"/>
  <c r="EJ6" i="1" a="1"/>
  <c r="EJ6" i="1"/>
  <c r="EI6" i="1" a="1"/>
  <c r="EI6" i="1" s="1"/>
  <c r="EH6" i="1" a="1"/>
  <c r="EH6" i="1"/>
  <c r="EH8" i="1" s="1"/>
  <c r="EG6" i="1" a="1"/>
  <c r="EG6" i="1"/>
  <c r="EF6" i="1" a="1"/>
  <c r="EF6" i="1"/>
  <c r="EF7" i="1" s="1"/>
  <c r="EE6" i="1" a="1"/>
  <c r="EE6" i="1"/>
  <c r="EE8" i="1" s="1"/>
  <c r="ED6" i="1" a="1"/>
  <c r="ED6" i="1" s="1"/>
  <c r="EC6" i="1" a="1"/>
  <c r="EC6" i="1"/>
  <c r="EB6" i="1" a="1"/>
  <c r="EB6" i="1" s="1"/>
  <c r="EB7" i="1" s="1"/>
  <c r="EA6" i="1" a="1"/>
  <c r="EA6" i="1"/>
  <c r="DZ6" i="1" a="1"/>
  <c r="DZ6" i="1"/>
  <c r="DY6" i="1" a="1"/>
  <c r="DY6" i="1"/>
  <c r="DY7" i="1" s="1"/>
  <c r="DX6" i="1" a="1"/>
  <c r="DX6" i="1" s="1"/>
  <c r="DW6" i="1" a="1"/>
  <c r="DW6" i="1"/>
  <c r="DW7" i="1" s="1"/>
  <c r="DV6" i="1" a="1"/>
  <c r="DV6" i="1"/>
  <c r="DV8" i="1" s="1"/>
  <c r="DU6" i="1" a="1"/>
  <c r="DU6" i="1" s="1"/>
  <c r="DU7" i="1" s="1"/>
  <c r="DT6" i="1" a="1"/>
  <c r="DT6" i="1" s="1"/>
  <c r="DT8" i="1" s="1"/>
  <c r="DS6" i="1" a="1"/>
  <c r="DS6" i="1"/>
  <c r="DS8" i="1" s="1"/>
  <c r="DR6" i="1" a="1"/>
  <c r="DR6" i="1"/>
  <c r="DR7" i="1" s="1"/>
  <c r="DQ6" i="1" a="1"/>
  <c r="DQ6" i="1"/>
  <c r="DP6" i="1" a="1"/>
  <c r="DP6" i="1" s="1"/>
  <c r="DO6" i="1" a="1"/>
  <c r="DO6" i="1"/>
  <c r="DN6" i="1" a="1"/>
  <c r="DN6" i="1"/>
  <c r="DM6" i="1" a="1"/>
  <c r="DM6" i="1" s="1"/>
  <c r="DL6" i="1" a="1"/>
  <c r="DL6" i="1" s="1"/>
  <c r="DK6" i="1" a="1"/>
  <c r="DK6" i="1"/>
  <c r="DJ6" i="1" a="1"/>
  <c r="DJ6" i="1"/>
  <c r="DJ8" i="1" s="1"/>
  <c r="DI6" i="1" a="1"/>
  <c r="DI6" i="1" s="1"/>
  <c r="DI8" i="1" s="1"/>
  <c r="DH6" i="1" a="1"/>
  <c r="DH6" i="1"/>
  <c r="DG6" i="1" a="1"/>
  <c r="DG6" i="1" s="1"/>
  <c r="DF6" i="1" a="1"/>
  <c r="DF6" i="1"/>
  <c r="DF8" i="1" s="1"/>
  <c r="DE6" i="1" a="1"/>
  <c r="DE6" i="1"/>
  <c r="DE8" i="1" s="1"/>
  <c r="DD6" i="1" a="1"/>
  <c r="DD6" i="1" s="1"/>
  <c r="DD7" i="1" s="1"/>
  <c r="DC6" i="1" a="1"/>
  <c r="DC6" i="1"/>
  <c r="DB6" i="1" a="1"/>
  <c r="DB6" i="1" s="1"/>
  <c r="DA6" i="1" a="1"/>
  <c r="DA6" i="1" s="1"/>
  <c r="CZ6" i="1" a="1"/>
  <c r="CZ6" i="1"/>
  <c r="CZ7" i="1" s="1"/>
  <c r="CY6" i="1" a="1"/>
  <c r="CY6" i="1"/>
  <c r="CY7" i="1" s="1"/>
  <c r="CX6" i="1" a="1"/>
  <c r="CX6" i="1"/>
  <c r="CX7" i="1" s="1"/>
  <c r="CW6" i="1" a="1"/>
  <c r="CW6" i="1" s="1"/>
  <c r="CV6" i="1" a="1"/>
  <c r="CV6" i="1"/>
  <c r="CU6" i="1" a="1"/>
  <c r="CU6" i="1"/>
  <c r="CT6" i="1" a="1"/>
  <c r="CT6" i="1" s="1"/>
  <c r="CT8" i="1" s="1"/>
  <c r="CS6" i="1" a="1"/>
  <c r="CS6" i="1"/>
  <c r="CS7" i="1" s="1"/>
  <c r="CR6" i="1" a="1"/>
  <c r="CR6" i="1" s="1"/>
  <c r="CR7" i="1" s="1"/>
  <c r="CQ6" i="1" a="1"/>
  <c r="CQ6" i="1" s="1"/>
  <c r="CP6" i="1" a="1"/>
  <c r="CP6" i="1"/>
  <c r="CO6" i="1" a="1"/>
  <c r="CO6" i="1"/>
  <c r="CN6" i="1" a="1"/>
  <c r="CN6" i="1"/>
  <c r="CM6" i="1" a="1"/>
  <c r="CM6" i="1"/>
  <c r="CL6" i="1" a="1"/>
  <c r="CL6" i="1" s="1"/>
  <c r="CK6" i="1" a="1"/>
  <c r="CK6" i="1"/>
  <c r="CJ6" i="1" a="1"/>
  <c r="CJ6" i="1" s="1"/>
  <c r="CJ7" i="1" s="1"/>
  <c r="CI6" i="1" a="1"/>
  <c r="CI6" i="1"/>
  <c r="CI8" i="1" s="1"/>
  <c r="CH6" i="1" a="1"/>
  <c r="CH6" i="1"/>
  <c r="CH8" i="1" s="1"/>
  <c r="CG6" i="1" a="1"/>
  <c r="CG6" i="1"/>
  <c r="CG8" i="1" s="1"/>
  <c r="CF6" i="1" a="1"/>
  <c r="CF6" i="1" s="1"/>
  <c r="CF8" i="1" s="1"/>
  <c r="CE6" i="1" a="1"/>
  <c r="CE6" i="1"/>
  <c r="CD6" i="1" a="1"/>
  <c r="CD6" i="1"/>
  <c r="CC6" i="1" a="1"/>
  <c r="CC6" i="1" s="1"/>
  <c r="CB6" i="1" a="1"/>
  <c r="CB6" i="1"/>
  <c r="CB8" i="1" s="1"/>
  <c r="CA6" i="1" a="1"/>
  <c r="CA6" i="1"/>
  <c r="BZ6" i="1" a="1"/>
  <c r="BZ6" i="1" s="1"/>
  <c r="BY6" i="1" a="1"/>
  <c r="BY6" i="1"/>
  <c r="BY7" i="1" s="1"/>
  <c r="BX6" i="1" a="1"/>
  <c r="BX6" i="1"/>
  <c r="BW6" i="1" a="1"/>
  <c r="BW6" i="1"/>
  <c r="BV6" i="1" a="1"/>
  <c r="BV6" i="1"/>
  <c r="BV7" i="1" s="1"/>
  <c r="BU6" i="1" a="1"/>
  <c r="BU6" i="1" s="1"/>
  <c r="BT6" i="1" a="1"/>
  <c r="BT6" i="1"/>
  <c r="BT8" i="1" s="1"/>
  <c r="BS6" i="1" a="1"/>
  <c r="BS6" i="1"/>
  <c r="BS8" i="1" s="1"/>
  <c r="BR6" i="1" a="1"/>
  <c r="BR6" i="1" s="1"/>
  <c r="BQ6" i="1" a="1"/>
  <c r="BQ6" i="1" s="1"/>
  <c r="BQ8" i="1" s="1"/>
  <c r="BP6" i="1" a="1"/>
  <c r="BP6" i="1"/>
  <c r="BO6" i="1" a="1"/>
  <c r="BO6" i="1"/>
  <c r="BO7" i="1" s="1"/>
  <c r="BN6" i="1" a="1"/>
  <c r="BN6" i="1"/>
  <c r="BM6" i="1" a="1"/>
  <c r="BM6" i="1" s="1"/>
  <c r="BL6" i="1" a="1"/>
  <c r="BL6" i="1"/>
  <c r="BK6" i="1" a="1"/>
  <c r="BK6" i="1" s="1"/>
  <c r="BK7" i="1" s="1"/>
  <c r="BJ6" i="1" a="1"/>
  <c r="BJ6" i="1" s="1"/>
  <c r="BJ8" i="1" s="1"/>
  <c r="BI6" i="1" a="1"/>
  <c r="BI6" i="1"/>
  <c r="BI8" i="1" s="1"/>
  <c r="BH6" i="1" a="1"/>
  <c r="BH6" i="1"/>
  <c r="BH7" i="1" s="1"/>
  <c r="BG6" i="1" a="1"/>
  <c r="BG6" i="1"/>
  <c r="BF6" i="1" a="1"/>
  <c r="BF6" i="1"/>
  <c r="BE6" i="1" a="1"/>
  <c r="BE6" i="1" s="1"/>
  <c r="BD6" i="1" a="1"/>
  <c r="BD6" i="1"/>
  <c r="BC6" i="1" a="1"/>
  <c r="BC6" i="1" s="1"/>
  <c r="BB6" i="1" a="1"/>
  <c r="BB6" i="1"/>
  <c r="BA6" i="1" a="1"/>
  <c r="BA6" i="1"/>
  <c r="BA7" i="1" s="1"/>
  <c r="AZ6" i="1" a="1"/>
  <c r="AZ6" i="1"/>
  <c r="AY6" i="1" a="1"/>
  <c r="AY6" i="1" s="1"/>
  <c r="AX6" i="1" a="1"/>
  <c r="AX6" i="1" s="1"/>
  <c r="AW6" i="1" a="1"/>
  <c r="AW6" i="1"/>
  <c r="AV6" i="1" a="1"/>
  <c r="AV6" i="1"/>
  <c r="AV8" i="1" s="1"/>
  <c r="AU6" i="1" a="1"/>
  <c r="AU6" i="1"/>
  <c r="AU8" i="1" s="1"/>
  <c r="AT6" i="1" a="1"/>
  <c r="AT6" i="1"/>
  <c r="AS6" i="1" a="1"/>
  <c r="AS6" i="1" s="1"/>
  <c r="AS8" i="1" s="1"/>
  <c r="AR6" i="1" a="1"/>
  <c r="AR6" i="1"/>
  <c r="AR8" i="1" s="1"/>
  <c r="AQ6" i="1" a="1"/>
  <c r="AQ6" i="1"/>
  <c r="AP6" i="1" a="1"/>
  <c r="AP6" i="1" s="1"/>
  <c r="AP8" i="1" s="1"/>
  <c r="AO6" i="1" a="1"/>
  <c r="AO6" i="1"/>
  <c r="AO8" i="1" s="1"/>
  <c r="AN6" i="1" a="1"/>
  <c r="AN6" i="1" s="1"/>
  <c r="AM6" i="1" a="1"/>
  <c r="AM6" i="1" s="1"/>
  <c r="AM7" i="1" s="1"/>
  <c r="AL6" i="1" a="1"/>
  <c r="AL6" i="1"/>
  <c r="AL8" i="1" s="1"/>
  <c r="AK6" i="1" a="1"/>
  <c r="AK6" i="1"/>
  <c r="AJ6" i="1" a="1"/>
  <c r="AJ6" i="1"/>
  <c r="AJ7" i="1" s="1"/>
  <c r="AI6" i="1" a="1"/>
  <c r="AI6" i="1"/>
  <c r="AI8" i="1" s="1"/>
  <c r="AH6" i="1" a="1"/>
  <c r="AH6" i="1"/>
  <c r="AG6" i="1" a="1"/>
  <c r="AG6" i="1" s="1"/>
  <c r="AF6" i="1" a="1"/>
  <c r="AF6" i="1" s="1"/>
  <c r="AF7" i="1" s="1"/>
  <c r="AE6" i="1" a="1"/>
  <c r="AE6" i="1"/>
  <c r="AE7" i="1" s="1"/>
  <c r="AD6" i="1" a="1"/>
  <c r="AD6" i="1"/>
  <c r="AD7" i="1" s="1"/>
  <c r="AC6" i="1" a="1"/>
  <c r="AC6" i="1" s="1"/>
  <c r="AC7" i="1" s="1"/>
  <c r="AB6" i="1" a="1"/>
  <c r="AB6" i="1" s="1"/>
  <c r="AA6" i="1" a="1"/>
  <c r="AA6" i="1"/>
  <c r="AA7" i="1" s="1"/>
  <c r="Z6" i="1" a="1"/>
  <c r="Z6" i="1" s="1"/>
  <c r="Y6" i="1" a="1"/>
  <c r="Y6" i="1"/>
  <c r="Y8" i="1" s="1"/>
  <c r="X6" i="1" a="1"/>
  <c r="X6" i="1"/>
  <c r="X8" i="1" s="1"/>
  <c r="W6" i="1" a="1"/>
  <c r="W6" i="1"/>
  <c r="W8" i="1" s="1"/>
  <c r="V6" i="1" a="1"/>
  <c r="V6" i="1" s="1"/>
  <c r="U6" i="1" a="1"/>
  <c r="U6" i="1" s="1"/>
  <c r="U7" i="1" s="1"/>
  <c r="T6" i="1" a="1"/>
  <c r="T6" i="1"/>
  <c r="S6" i="1" a="1"/>
  <c r="S6" i="1" s="1"/>
  <c r="R6" i="1" a="1"/>
  <c r="R6" i="1" s="1"/>
  <c r="Q6" i="1" a="1"/>
  <c r="Q6" i="1" s="1"/>
  <c r="P6" i="1" a="1"/>
  <c r="P6" i="1"/>
  <c r="O6" i="1" a="1"/>
  <c r="O6" i="1"/>
  <c r="N6" i="1" a="1"/>
  <c r="N6" i="1"/>
  <c r="N8" i="1" s="1"/>
  <c r="M6" i="1" a="1"/>
  <c r="M6" i="1"/>
  <c r="M8" i="1" s="1"/>
  <c r="L6" i="1" a="1"/>
  <c r="L6" i="1" s="1"/>
  <c r="K6" i="1" a="1"/>
  <c r="K6" i="1"/>
  <c r="K8" i="1" s="1"/>
  <c r="J6" i="1" a="1"/>
  <c r="J6" i="1"/>
  <c r="J8" i="1" s="1"/>
  <c r="I6" i="1" a="1"/>
  <c r="I6" i="1" s="1"/>
  <c r="I7" i="1" s="1"/>
  <c r="H6" i="1" a="1"/>
  <c r="H6" i="1"/>
  <c r="H7" i="1" s="1"/>
  <c r="G6" i="1" a="1"/>
  <c r="G6" i="1" s="1"/>
  <c r="F6" i="1" a="1"/>
  <c r="F6" i="1"/>
  <c r="E6" i="1" a="1"/>
  <c r="E6" i="1"/>
  <c r="E7" i="1" s="1"/>
  <c r="D6" i="1" a="1"/>
  <c r="D6" i="1" s="1"/>
  <c r="D8" i="1" s="1"/>
  <c r="C6" i="1" a="1"/>
  <c r="C6" i="1"/>
  <c r="EO16" i="2" l="1"/>
  <c r="EO17" i="2"/>
  <c r="EO18" i="2"/>
  <c r="EO19" i="2"/>
  <c r="CG7" i="3"/>
  <c r="CG8" i="3"/>
  <c r="BR8" i="1"/>
  <c r="BR7" i="1"/>
  <c r="L8" i="7"/>
  <c r="L7" i="7"/>
  <c r="EK7" i="4"/>
  <c r="EK8" i="4"/>
  <c r="S7" i="3"/>
  <c r="S8" i="3"/>
  <c r="Q8" i="1"/>
  <c r="Q7" i="1"/>
  <c r="AT7" i="2"/>
  <c r="AT8" i="2"/>
  <c r="CK8" i="4"/>
  <c r="CK7" i="4"/>
  <c r="CS8" i="3"/>
  <c r="CS7" i="3"/>
  <c r="DB7" i="1"/>
  <c r="DB8" i="1"/>
  <c r="DP7" i="1"/>
  <c r="DP8" i="1"/>
  <c r="I8" i="2"/>
  <c r="I7" i="2"/>
  <c r="U8" i="2"/>
  <c r="U7" i="2"/>
  <c r="BG8" i="2"/>
  <c r="BG7" i="2"/>
  <c r="CA7" i="2"/>
  <c r="CN7" i="3"/>
  <c r="CN8" i="3"/>
  <c r="AT7" i="4"/>
  <c r="AJ8" i="4"/>
  <c r="DC8" i="4"/>
  <c r="Z7" i="7"/>
  <c r="Z8" i="7"/>
  <c r="AN8" i="7"/>
  <c r="AN7" i="7"/>
  <c r="CN7" i="7"/>
  <c r="CN8" i="7"/>
  <c r="AT7" i="1"/>
  <c r="AT8" i="1"/>
  <c r="CM8" i="2"/>
  <c r="CM7" i="2"/>
  <c r="AS7" i="3"/>
  <c r="AS8" i="3"/>
  <c r="BH8" i="4"/>
  <c r="BH7" i="4"/>
  <c r="G7" i="3"/>
  <c r="G8" i="3"/>
  <c r="BT8" i="3"/>
  <c r="BT7" i="3"/>
  <c r="CH7" i="3"/>
  <c r="CH8" i="3"/>
  <c r="DU8" i="3"/>
  <c r="DU7" i="3"/>
  <c r="AH8" i="3"/>
  <c r="AH7" i="3"/>
  <c r="AE8" i="4"/>
  <c r="AE7" i="4"/>
  <c r="CM7" i="4"/>
  <c r="CM8" i="4"/>
  <c r="CB7" i="2"/>
  <c r="CB8" i="2"/>
  <c r="EJ7" i="3"/>
  <c r="EJ8" i="3"/>
  <c r="BJ7" i="4"/>
  <c r="BJ8" i="4"/>
  <c r="EB7" i="4"/>
  <c r="EB8" i="4"/>
  <c r="CN7" i="4"/>
  <c r="CP8" i="2"/>
  <c r="CP7" i="2"/>
  <c r="T8" i="3"/>
  <c r="S8" i="4"/>
  <c r="S7" i="4"/>
  <c r="BY7" i="4"/>
  <c r="BY8" i="4"/>
  <c r="BB8" i="2"/>
  <c r="BB7" i="2"/>
  <c r="BW8" i="3"/>
  <c r="BW7" i="3"/>
  <c r="BK8" i="4"/>
  <c r="BK7" i="4"/>
  <c r="R7" i="4"/>
  <c r="V8" i="1"/>
  <c r="V7" i="1"/>
  <c r="DL8" i="1"/>
  <c r="DL7" i="1"/>
  <c r="ED7" i="2"/>
  <c r="ED8" i="2"/>
  <c r="BP7" i="2"/>
  <c r="CK8" i="7"/>
  <c r="CK7" i="7"/>
  <c r="BD8" i="2"/>
  <c r="BD7" i="2"/>
  <c r="CR7" i="2"/>
  <c r="CR8" i="2"/>
  <c r="CL8" i="1"/>
  <c r="CL7" i="1"/>
  <c r="BR7" i="2"/>
  <c r="BG7" i="3"/>
  <c r="EM16" i="3"/>
  <c r="EN16" i="3" s="1"/>
  <c r="BE7" i="2"/>
  <c r="BE8" i="2"/>
  <c r="DV7" i="3"/>
  <c r="ED8" i="7"/>
  <c r="ED7" i="7"/>
  <c r="DO8" i="1"/>
  <c r="DO7" i="1"/>
  <c r="DA8" i="2"/>
  <c r="BZ8" i="7"/>
  <c r="BZ7" i="7"/>
  <c r="DA8" i="7"/>
  <c r="DA7" i="7"/>
  <c r="X7" i="7"/>
  <c r="EC8" i="1"/>
  <c r="EC7" i="1"/>
  <c r="CG8" i="2"/>
  <c r="CG7" i="2"/>
  <c r="BB7" i="7"/>
  <c r="BB8" i="7"/>
  <c r="BN7" i="7"/>
  <c r="BN8" i="7"/>
  <c r="Z7" i="1"/>
  <c r="Z8" i="1"/>
  <c r="ED8" i="1"/>
  <c r="ED7" i="1"/>
  <c r="BH8" i="2"/>
  <c r="BH7" i="2"/>
  <c r="AG8" i="3"/>
  <c r="AV7" i="4"/>
  <c r="M7" i="7"/>
  <c r="M8" i="7"/>
  <c r="AB7" i="7"/>
  <c r="AB8" i="7"/>
  <c r="BD7" i="1"/>
  <c r="BD8" i="1"/>
  <c r="AM8" i="1"/>
  <c r="W7" i="2"/>
  <c r="W8" i="2"/>
  <c r="AI7" i="2"/>
  <c r="BM8" i="2"/>
  <c r="CD7" i="3"/>
  <c r="CD8" i="3"/>
  <c r="DD8" i="3"/>
  <c r="DD7" i="3"/>
  <c r="W7" i="3"/>
  <c r="CQ8" i="1"/>
  <c r="CQ7" i="1"/>
  <c r="CX8" i="2"/>
  <c r="CX7" i="2"/>
  <c r="Q7" i="3"/>
  <c r="Q8" i="3"/>
  <c r="AQ8" i="3"/>
  <c r="AQ7" i="3"/>
  <c r="CE8" i="3"/>
  <c r="CE7" i="3"/>
  <c r="DR8" i="3"/>
  <c r="DR7" i="3"/>
  <c r="EI7" i="3"/>
  <c r="DK8" i="4"/>
  <c r="DK7" i="4"/>
  <c r="DW7" i="4"/>
  <c r="DW8" i="4"/>
  <c r="BS8" i="3"/>
  <c r="BS7" i="3"/>
  <c r="DZ7" i="4"/>
  <c r="DZ8" i="4"/>
  <c r="AG7" i="1"/>
  <c r="AG8" i="1"/>
  <c r="AT7" i="3"/>
  <c r="AT8" i="3"/>
  <c r="CT8" i="3"/>
  <c r="CT7" i="3"/>
  <c r="AU8" i="4"/>
  <c r="AU7" i="4"/>
  <c r="F8" i="1"/>
  <c r="F7" i="1"/>
  <c r="CO8" i="2"/>
  <c r="CO7" i="2"/>
  <c r="AU8" i="3"/>
  <c r="AU7" i="3"/>
  <c r="DO8" i="2"/>
  <c r="DO7" i="2"/>
  <c r="CU7" i="3"/>
  <c r="BX8" i="4"/>
  <c r="BX7" i="4"/>
  <c r="BC8" i="2"/>
  <c r="BC7" i="2"/>
  <c r="CQ7" i="2"/>
  <c r="CQ8" i="2"/>
  <c r="DQ8" i="2"/>
  <c r="DQ7" i="2"/>
  <c r="AC8" i="2"/>
  <c r="J7" i="3"/>
  <c r="J8" i="3"/>
  <c r="AH8" i="4"/>
  <c r="AH7" i="4"/>
  <c r="BZ7" i="4"/>
  <c r="BZ8" i="4"/>
  <c r="DP8" i="4"/>
  <c r="DP7" i="4"/>
  <c r="EM23" i="3"/>
  <c r="EN23" i="3" s="1"/>
  <c r="U7" i="4"/>
  <c r="U8" i="4"/>
  <c r="EB7" i="7"/>
  <c r="EB8" i="7"/>
  <c r="DN7" i="1"/>
  <c r="DN8" i="1"/>
  <c r="G7" i="2"/>
  <c r="G8" i="2"/>
  <c r="S8" i="2"/>
  <c r="S7" i="2"/>
  <c r="V8" i="4"/>
  <c r="V7" i="4"/>
  <c r="AZ8" i="7"/>
  <c r="AZ7" i="7"/>
  <c r="CM8" i="1"/>
  <c r="CM7" i="1"/>
  <c r="BF7" i="2"/>
  <c r="BF8" i="2"/>
  <c r="EL8" i="3"/>
  <c r="L7" i="1"/>
  <c r="L8" i="1"/>
  <c r="CA7" i="1"/>
  <c r="CA8" i="1"/>
  <c r="CN8" i="1"/>
  <c r="CN7" i="1"/>
  <c r="AI8" i="4"/>
  <c r="CA8" i="7"/>
  <c r="CA7" i="7"/>
  <c r="BB7" i="1"/>
  <c r="BB8" i="1"/>
  <c r="DQ7" i="1"/>
  <c r="DQ8" i="1"/>
  <c r="BU7" i="2"/>
  <c r="BU8" i="2"/>
  <c r="AD7" i="2"/>
  <c r="DC8" i="7"/>
  <c r="DC7" i="7"/>
  <c r="V7" i="2"/>
  <c r="V8" i="2"/>
  <c r="AU7" i="2"/>
  <c r="AU8" i="2"/>
  <c r="CI7" i="2"/>
  <c r="CI8" i="2"/>
  <c r="AF7" i="2"/>
  <c r="O8" i="3"/>
  <c r="O7" i="3"/>
  <c r="U7" i="3"/>
  <c r="AW7" i="4"/>
  <c r="AB8" i="1"/>
  <c r="AB7" i="1"/>
  <c r="CC7" i="1"/>
  <c r="CC8" i="1"/>
  <c r="AG7" i="2"/>
  <c r="DQ8" i="3"/>
  <c r="DQ7" i="3"/>
  <c r="V7" i="3"/>
  <c r="O7" i="1"/>
  <c r="O8" i="1"/>
  <c r="CD7" i="1"/>
  <c r="CD8" i="1"/>
  <c r="C8" i="1"/>
  <c r="C7" i="1"/>
  <c r="CE7" i="1"/>
  <c r="CE8" i="1"/>
  <c r="BT8" i="4"/>
  <c r="BT7" i="4"/>
  <c r="DX8" i="4"/>
  <c r="DX7" i="4"/>
  <c r="E8" i="3"/>
  <c r="E7" i="3"/>
  <c r="AR8" i="3"/>
  <c r="AR7" i="3"/>
  <c r="BR8" i="3"/>
  <c r="BR7" i="3"/>
  <c r="EM17" i="3"/>
  <c r="EN17" i="3" s="1"/>
  <c r="BU7" i="4"/>
  <c r="BU8" i="4"/>
  <c r="DL8" i="4"/>
  <c r="DL7" i="4"/>
  <c r="AD7" i="4"/>
  <c r="AD8" i="4"/>
  <c r="CY8" i="4"/>
  <c r="CY7" i="4"/>
  <c r="CN8" i="2"/>
  <c r="CN7" i="2"/>
  <c r="DN8" i="2"/>
  <c r="DN7" i="2"/>
  <c r="BI7" i="4"/>
  <c r="BI8" i="4"/>
  <c r="BW8" i="4"/>
  <c r="BW7" i="4"/>
  <c r="S8" i="1"/>
  <c r="S7" i="1"/>
  <c r="EA8" i="2"/>
  <c r="EA7" i="2"/>
  <c r="H7" i="3"/>
  <c r="H8" i="3"/>
  <c r="BH8" i="3"/>
  <c r="BH7" i="3"/>
  <c r="CI8" i="3"/>
  <c r="CI7" i="3"/>
  <c r="E8" i="1"/>
  <c r="BO8" i="2"/>
  <c r="BO7" i="2"/>
  <c r="EB7" i="2"/>
  <c r="EB8" i="2"/>
  <c r="AI7" i="3"/>
  <c r="AI8" i="3"/>
  <c r="AV7" i="3"/>
  <c r="AV8" i="3"/>
  <c r="BV7" i="3"/>
  <c r="BV8" i="3"/>
  <c r="BU8" i="3"/>
  <c r="DO8" i="4"/>
  <c r="DO7" i="4"/>
  <c r="EC7" i="2"/>
  <c r="EC8" i="2"/>
  <c r="AG7" i="4"/>
  <c r="AG8" i="4"/>
  <c r="CT7" i="1"/>
  <c r="AW7" i="3"/>
  <c r="AW8" i="3"/>
  <c r="AX7" i="4"/>
  <c r="AX8" i="4"/>
  <c r="BL7" i="4"/>
  <c r="BL8" i="4"/>
  <c r="DZ7" i="1"/>
  <c r="DZ8" i="1"/>
  <c r="R8" i="2"/>
  <c r="R7" i="2"/>
  <c r="CA8" i="4"/>
  <c r="CA7" i="4"/>
  <c r="AX8" i="1"/>
  <c r="AX7" i="1"/>
  <c r="AQ7" i="2"/>
  <c r="AQ8" i="2"/>
  <c r="CE7" i="2"/>
  <c r="CE8" i="2"/>
  <c r="DR7" i="2"/>
  <c r="DR8" i="2"/>
  <c r="BQ7" i="2"/>
  <c r="BM8" i="4"/>
  <c r="BM7" i="4"/>
  <c r="AK7" i="7"/>
  <c r="AK8" i="7"/>
  <c r="C16" i="8"/>
  <c r="EA7" i="1"/>
  <c r="EA8" i="1"/>
  <c r="DS7" i="2"/>
  <c r="DS8" i="2"/>
  <c r="BL8" i="7"/>
  <c r="BL7" i="7"/>
  <c r="BY7" i="7"/>
  <c r="BY8" i="7"/>
  <c r="DN7" i="7"/>
  <c r="BM7" i="1"/>
  <c r="BM8" i="1"/>
  <c r="BS7" i="2"/>
  <c r="DO7" i="7"/>
  <c r="DO8" i="7"/>
  <c r="BZ7" i="1"/>
  <c r="BZ8" i="1"/>
  <c r="T7" i="2"/>
  <c r="T8" i="2"/>
  <c r="EE7" i="2"/>
  <c r="EM14" i="3"/>
  <c r="EN14" i="3" s="1"/>
  <c r="DB7" i="7"/>
  <c r="DB8" i="7"/>
  <c r="DQ8" i="7"/>
  <c r="DQ7" i="7"/>
  <c r="DC7" i="1"/>
  <c r="DC8" i="1"/>
  <c r="EB8" i="1"/>
  <c r="EM12" i="3"/>
  <c r="EN12" i="3" s="1"/>
  <c r="EH7" i="4"/>
  <c r="EH8" i="4"/>
  <c r="AO8" i="7"/>
  <c r="AO7" i="7"/>
  <c r="BC8" i="7"/>
  <c r="BC7" i="7"/>
  <c r="BO8" i="7"/>
  <c r="BO7" i="7"/>
  <c r="CB7" i="7"/>
  <c r="CB8" i="7"/>
  <c r="AF8" i="1"/>
  <c r="CD7" i="2"/>
  <c r="DP7" i="3"/>
  <c r="DP8" i="3"/>
  <c r="EM21" i="3"/>
  <c r="EN21" i="3" s="1"/>
  <c r="DI8" i="4"/>
  <c r="DI7" i="4"/>
  <c r="B21" i="6"/>
  <c r="EG7" i="7"/>
  <c r="EG8" i="7"/>
  <c r="BC7" i="1"/>
  <c r="BC8" i="1"/>
  <c r="CP8" i="1"/>
  <c r="CP7" i="1"/>
  <c r="N7" i="7"/>
  <c r="N8" i="7"/>
  <c r="BE7" i="1"/>
  <c r="BE8" i="1"/>
  <c r="CR8" i="1"/>
  <c r="BE8" i="3"/>
  <c r="BE7" i="3"/>
  <c r="DE8" i="3"/>
  <c r="DE7" i="3"/>
  <c r="DS8" i="3"/>
  <c r="DS7" i="3"/>
  <c r="CJ7" i="3"/>
  <c r="BF7" i="1"/>
  <c r="BF8" i="1"/>
  <c r="CB7" i="1"/>
  <c r="DM8" i="2"/>
  <c r="DM7" i="2"/>
  <c r="DG8" i="3"/>
  <c r="AC7" i="4"/>
  <c r="AC8" i="4"/>
  <c r="BV7" i="4"/>
  <c r="BV8" i="4"/>
  <c r="CH7" i="2"/>
  <c r="AV8" i="2"/>
  <c r="L8" i="3"/>
  <c r="L7" i="3"/>
  <c r="DM8" i="3"/>
  <c r="EM19" i="3"/>
  <c r="EN19" i="3" s="1"/>
  <c r="X8" i="4"/>
  <c r="X7" i="4"/>
  <c r="BA8" i="4"/>
  <c r="BA7" i="4"/>
  <c r="W7" i="4"/>
  <c r="AE7" i="7"/>
  <c r="AE8" i="7"/>
  <c r="BR8" i="7"/>
  <c r="BR7" i="7"/>
  <c r="AH7" i="1"/>
  <c r="AH8" i="1"/>
  <c r="BG7" i="1"/>
  <c r="BG8" i="1"/>
  <c r="DD8" i="4"/>
  <c r="AK8" i="3"/>
  <c r="AK7" i="3"/>
  <c r="CR8" i="7"/>
  <c r="CR7" i="7"/>
  <c r="BN8" i="4"/>
  <c r="Q8" i="7"/>
  <c r="Q7" i="7"/>
  <c r="AX8" i="2"/>
  <c r="BP8" i="4"/>
  <c r="BP7" i="4"/>
  <c r="R8" i="7"/>
  <c r="R7" i="7"/>
  <c r="AK7" i="1"/>
  <c r="AK8" i="1"/>
  <c r="CV7" i="1"/>
  <c r="CV8" i="1"/>
  <c r="X7" i="1"/>
  <c r="BJ7" i="1"/>
  <c r="DV7" i="1"/>
  <c r="BY8" i="2"/>
  <c r="BY7" i="2"/>
  <c r="AN7" i="3"/>
  <c r="AN8" i="3"/>
  <c r="DN7" i="3"/>
  <c r="DN8" i="3"/>
  <c r="CB7" i="3"/>
  <c r="DH7" i="4"/>
  <c r="DH8" i="4"/>
  <c r="Y7" i="1"/>
  <c r="U8" i="1"/>
  <c r="X7" i="2"/>
  <c r="DU7" i="2"/>
  <c r="EB8" i="3"/>
  <c r="EM22" i="3"/>
  <c r="EN22" i="3" s="1"/>
  <c r="BR8" i="4"/>
  <c r="BR7" i="4"/>
  <c r="CU7" i="4"/>
  <c r="CU8" i="4"/>
  <c r="DT8" i="4"/>
  <c r="CE8" i="7"/>
  <c r="AQ7" i="7"/>
  <c r="AW7" i="2"/>
  <c r="BK7" i="3"/>
  <c r="BK8" i="3"/>
  <c r="DT8" i="2"/>
  <c r="DY8" i="3"/>
  <c r="DY7" i="3"/>
  <c r="D7" i="7"/>
  <c r="D8" i="7"/>
  <c r="CS8" i="7"/>
  <c r="CS7" i="7"/>
  <c r="DG8" i="7"/>
  <c r="DG7" i="7"/>
  <c r="DV7" i="2"/>
  <c r="DV8" i="2"/>
  <c r="AT8" i="7"/>
  <c r="AT7" i="7"/>
  <c r="W7" i="1"/>
  <c r="DT7" i="1"/>
  <c r="N8" i="2"/>
  <c r="N7" i="2"/>
  <c r="CJ8" i="2"/>
  <c r="N8" i="3"/>
  <c r="N7" i="3"/>
  <c r="BM8" i="3"/>
  <c r="BM7" i="3"/>
  <c r="DX7" i="1"/>
  <c r="DX8" i="1"/>
  <c r="DX8" i="2"/>
  <c r="DX7" i="2"/>
  <c r="DU7" i="4"/>
  <c r="DU8" i="4"/>
  <c r="CF8" i="7"/>
  <c r="DL8" i="2"/>
  <c r="DL7" i="2"/>
  <c r="N8" i="4"/>
  <c r="N7" i="4"/>
  <c r="CV8" i="4"/>
  <c r="CV7" i="4"/>
  <c r="CF7" i="4"/>
  <c r="CC8" i="4"/>
  <c r="AC8" i="7"/>
  <c r="AC7" i="7"/>
  <c r="CB7" i="4"/>
  <c r="CB8" i="4"/>
  <c r="EI8" i="7"/>
  <c r="EI7" i="7"/>
  <c r="L7" i="2"/>
  <c r="L8" i="2"/>
  <c r="CW7" i="3"/>
  <c r="CW8" i="3"/>
  <c r="DX8" i="3"/>
  <c r="DX7" i="3"/>
  <c r="I7" i="4"/>
  <c r="I8" i="4"/>
  <c r="AL8" i="4"/>
  <c r="AL7" i="4"/>
  <c r="DF8" i="7"/>
  <c r="DF7" i="7"/>
  <c r="J7" i="4"/>
  <c r="J8" i="4"/>
  <c r="CD8" i="4"/>
  <c r="CD7" i="4"/>
  <c r="DS7" i="1"/>
  <c r="AN8" i="4"/>
  <c r="AN7" i="4"/>
  <c r="BI7" i="1"/>
  <c r="AM7" i="3"/>
  <c r="AM8" i="3"/>
  <c r="DB8" i="3"/>
  <c r="DB7" i="3"/>
  <c r="M8" i="3"/>
  <c r="AZ8" i="3"/>
  <c r="M7" i="4"/>
  <c r="M8" i="4"/>
  <c r="DU8" i="1"/>
  <c r="BK7" i="2"/>
  <c r="EM20" i="3"/>
  <c r="EN20" i="3" s="1"/>
  <c r="BL7" i="2"/>
  <c r="Y8" i="2"/>
  <c r="CT8" i="2"/>
  <c r="AX7" i="3"/>
  <c r="AR7" i="4"/>
  <c r="AR8" i="4"/>
  <c r="DV8" i="4"/>
  <c r="DV7" i="4"/>
  <c r="AK7" i="4"/>
  <c r="Y7" i="7"/>
  <c r="Y8" i="7"/>
  <c r="BA8" i="7"/>
  <c r="BA7" i="7"/>
  <c r="CL8" i="7"/>
  <c r="CL7" i="7"/>
  <c r="EG8" i="2"/>
  <c r="DW8" i="3"/>
  <c r="DW7" i="3"/>
  <c r="DN8" i="4"/>
  <c r="AM8" i="7"/>
  <c r="AM7" i="7"/>
  <c r="CZ8" i="7"/>
  <c r="CZ7" i="7"/>
  <c r="EC8" i="7"/>
  <c r="EC7" i="7"/>
  <c r="CL7" i="4"/>
  <c r="CL8" i="4"/>
  <c r="CZ8" i="4"/>
  <c r="CZ7" i="4"/>
  <c r="BP8" i="7"/>
  <c r="BP7" i="7"/>
  <c r="C7" i="7"/>
  <c r="C8" i="7"/>
  <c r="AK7" i="2"/>
  <c r="AJ7" i="3"/>
  <c r="EM24" i="3"/>
  <c r="EN24" i="3" s="1"/>
  <c r="AY7" i="4"/>
  <c r="AY8" i="4"/>
  <c r="EA8" i="4"/>
  <c r="EA7" i="4"/>
  <c r="CQ8" i="7"/>
  <c r="F8" i="7"/>
  <c r="F7" i="7"/>
  <c r="S8" i="7"/>
  <c r="S7" i="7"/>
  <c r="BT8" i="7"/>
  <c r="BT7" i="7"/>
  <c r="EM18" i="3"/>
  <c r="EN18" i="3" s="1"/>
  <c r="CQ7" i="4"/>
  <c r="CQ8" i="4"/>
  <c r="ED7" i="4"/>
  <c r="ED8" i="4"/>
  <c r="BH7" i="7"/>
  <c r="BH8" i="7"/>
  <c r="DI8" i="7"/>
  <c r="DI7" i="7"/>
  <c r="DE8" i="7"/>
  <c r="EO20" i="1"/>
  <c r="BV8" i="7"/>
  <c r="BV7" i="7"/>
  <c r="BJ7" i="7"/>
  <c r="BJ8" i="7"/>
  <c r="BW8" i="7"/>
  <c r="BW7" i="7"/>
  <c r="DK7" i="7"/>
  <c r="DK8" i="7"/>
  <c r="DY8" i="7"/>
  <c r="DY7" i="7"/>
  <c r="CV7" i="7"/>
  <c r="CV7" i="3"/>
  <c r="T8" i="4"/>
  <c r="T7" i="4"/>
  <c r="AJ7" i="7"/>
  <c r="AJ8" i="7"/>
  <c r="CW8" i="7"/>
  <c r="CW7" i="7"/>
  <c r="DL7" i="7"/>
  <c r="DL8" i="7"/>
  <c r="AW7" i="7"/>
  <c r="BS7" i="4"/>
  <c r="W7" i="7"/>
  <c r="W8" i="7"/>
  <c r="EA8" i="7"/>
  <c r="EA7" i="7"/>
  <c r="AR8" i="7"/>
  <c r="AR7" i="7"/>
  <c r="CO7" i="7"/>
  <c r="CO8" i="7"/>
  <c r="DD8" i="7"/>
  <c r="DD7" i="7"/>
  <c r="H7" i="7"/>
  <c r="H8" i="7"/>
  <c r="AH7" i="7"/>
  <c r="AH8" i="7"/>
  <c r="I8" i="7"/>
  <c r="I7" i="7"/>
  <c r="EJ8" i="7"/>
  <c r="EJ7" i="7"/>
  <c r="C24" i="8"/>
  <c r="BS7" i="7"/>
  <c r="BS8" i="7"/>
  <c r="C20" i="8"/>
  <c r="C28" i="8"/>
  <c r="C32" i="8" l="1"/>
  <c r="C31" i="8"/>
  <c r="C33" i="8" s="1"/>
  <c r="C30" i="8"/>
</calcChain>
</file>

<file path=xl/sharedStrings.xml><?xml version="1.0" encoding="utf-8"?>
<sst xmlns="http://schemas.openxmlformats.org/spreadsheetml/2006/main" count="2658" uniqueCount="313">
  <si>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</si>
  <si>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</si>
  <si>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</si>
  <si>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</si>
  <si>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</si>
  <si>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</si>
  <si>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</si>
  <si>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</si>
  <si>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</si>
  <si>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</si>
  <si>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</si>
  <si>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</si>
  <si>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</si>
  <si>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</si>
  <si>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</si>
  <si>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</si>
  <si>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</si>
  <si>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</si>
  <si>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</si>
  <si>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</si>
  <si>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</si>
  <si>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</si>
  <si>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</si>
  <si>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</si>
  <si>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</si>
  <si>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</si>
  <si>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</si>
  <si>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</si>
  <si>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</si>
  <si>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</si>
  <si>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</si>
  <si>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</si>
  <si>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</si>
  <si>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</si>
  <si>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</si>
  <si>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</si>
  <si>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</si>
  <si>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</si>
  <si>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</si>
  <si>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</si>
  <si>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</si>
  <si>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</si>
  <si>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</si>
  <si>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</si>
  <si>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</si>
  <si>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</si>
  <si>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</si>
  <si>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</si>
  <si>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</si>
  <si>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</si>
  <si>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</si>
  <si>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</si>
  <si>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</si>
  <si>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</si>
  <si>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</si>
  <si>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</si>
  <si>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</si>
  <si>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</si>
  <si>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</si>
  <si>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</si>
  <si>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</si>
  <si>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</si>
  <si>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</si>
  <si>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</si>
  <si>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</si>
  <si>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</si>
  <si>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</si>
  <si>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</si>
  <si>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</si>
  <si>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</si>
  <si>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</si>
  <si>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</si>
  <si>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</si>
  <si>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</si>
  <si>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</si>
  <si>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</si>
  <si>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</si>
  <si>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</si>
  <si>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</si>
  <si>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</si>
  <si>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</si>
  <si>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</si>
  <si>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</si>
  <si>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</si>
  <si>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</si>
  <si>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</si>
  <si>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</si>
  <si>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</si>
  <si>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</si>
  <si>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</si>
  <si>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</si>
  <si>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</si>
  <si>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</si>
  <si>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</si>
  <si>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</si>
  <si>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</si>
  <si>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</si>
  <si>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</si>
  <si>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</si>
  <si>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</si>
  <si>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</si>
  <si>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</si>
  <si>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</si>
  <si>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</si>
  <si>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</si>
  <si>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</si>
  <si>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</si>
  <si>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</si>
  <si>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</si>
  <si>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</si>
  <si>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</si>
  <si>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</si>
  <si>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</si>
  <si>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</si>
  <si>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</si>
  <si>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</si>
  <si>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</si>
  <si>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</si>
  <si>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</si>
  <si>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</si>
  <si>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</si>
  <si>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</si>
  <si>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</si>
  <si>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</si>
  <si>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</si>
  <si>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</si>
  <si>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</si>
  <si>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</si>
  <si>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</si>
  <si>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</si>
  <si>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</si>
  <si>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</si>
  <si>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</si>
  <si>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</si>
  <si>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</si>
  <si>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</si>
  <si>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</si>
  <si>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</si>
  <si>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</si>
  <si>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</si>
  <si>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</si>
  <si>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</si>
  <si>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</si>
  <si>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</si>
  <si>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</si>
  <si>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</si>
  <si>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</si>
  <si>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</si>
  <si>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</si>
  <si>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</si>
  <si>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</si>
  <si>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</si>
  <si>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</si>
  <si>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</si>
  <si>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</si>
  <si>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</si>
  <si>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</si>
  <si>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</si>
  <si>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3043</t>
  </si>
  <si>
    <t>2540</t>
  </si>
  <si>
    <t>5455</t>
  </si>
  <si>
    <t>8097</t>
  </si>
  <si>
    <t>6130</t>
  </si>
  <si>
    <t>9906</t>
  </si>
  <si>
    <t>5324</t>
  </si>
  <si>
    <t>6114</t>
  </si>
  <si>
    <t>6291</t>
  </si>
  <si>
    <t>6225</t>
  </si>
  <si>
    <t>3232</t>
  </si>
  <si>
    <t>3272</t>
  </si>
  <si>
    <t>3095</t>
  </si>
  <si>
    <t>5386</t>
  </si>
  <si>
    <t>4903</t>
  </si>
  <si>
    <t>8067</t>
  </si>
  <si>
    <t>3288</t>
  </si>
  <si>
    <t>1475</t>
  </si>
  <si>
    <t>4303</t>
  </si>
  <si>
    <t>5310</t>
  </si>
  <si>
    <t>1472</t>
  </si>
  <si>
    <t>8087</t>
  </si>
  <si>
    <t>4304</t>
  </si>
  <si>
    <t>3228</t>
  </si>
  <si>
    <t>1538</t>
  </si>
  <si>
    <t>5348</t>
  </si>
  <si>
    <t>3191</t>
  </si>
  <si>
    <t>1325</t>
  </si>
  <si>
    <t>3138</t>
  </si>
  <si>
    <t>5314</t>
  </si>
  <si>
    <t>2486</t>
  </si>
  <si>
    <t>5475</t>
  </si>
  <si>
    <t>3093</t>
  </si>
  <si>
    <t>3443</t>
  </si>
  <si>
    <t>5345</t>
  </si>
  <si>
    <t>2321</t>
  </si>
  <si>
    <t>1519</t>
  </si>
  <si>
    <t>1101</t>
  </si>
  <si>
    <t>公司名稱</t>
  </si>
  <si>
    <t>科風</t>
  </si>
  <si>
    <t>愛山林</t>
  </si>
  <si>
    <t>昇益</t>
  </si>
  <si>
    <t>常珵</t>
  </si>
  <si>
    <t>上亞科技</t>
  </si>
  <si>
    <t>欣巴巴</t>
  </si>
  <si>
    <t>士開</t>
  </si>
  <si>
    <t>久威</t>
  </si>
  <si>
    <t>沛亨</t>
  </si>
  <si>
    <t>天瀚</t>
  </si>
  <si>
    <t>昱捷</t>
  </si>
  <si>
    <t>東碩</t>
  </si>
  <si>
    <t>及成</t>
  </si>
  <si>
    <t>青雲</t>
  </si>
  <si>
    <t>聯光通</t>
  </si>
  <si>
    <t>志旭</t>
  </si>
  <si>
    <t>點晶</t>
  </si>
  <si>
    <t>業旺</t>
  </si>
  <si>
    <t>信立</t>
  </si>
  <si>
    <t>天剛</t>
  </si>
  <si>
    <t>三洋實業</t>
  </si>
  <si>
    <t>麗升能源</t>
  </si>
  <si>
    <t>勝昱</t>
  </si>
  <si>
    <t>金麗科</t>
  </si>
  <si>
    <t>正峰</t>
  </si>
  <si>
    <t>正能量智能</t>
  </si>
  <si>
    <t>雲嘉南</t>
  </si>
  <si>
    <t>恒大</t>
  </si>
  <si>
    <t>耀登</t>
  </si>
  <si>
    <t>世紀*</t>
  </si>
  <si>
    <t>一詮</t>
  </si>
  <si>
    <t>德宏</t>
  </si>
  <si>
    <t>港建*</t>
  </si>
  <si>
    <t>創意</t>
  </si>
  <si>
    <t>馥鴻</t>
  </si>
  <si>
    <t>東訊</t>
  </si>
  <si>
    <t>華城</t>
  </si>
  <si>
    <t>台泥</t>
  </si>
  <si>
    <t>高</t>
  </si>
  <si>
    <t>3168</t>
  </si>
  <si>
    <t>2330</t>
  </si>
  <si>
    <t>5364</t>
  </si>
  <si>
    <t>2323</t>
  </si>
  <si>
    <t>2408</t>
  </si>
  <si>
    <t>3205</t>
  </si>
  <si>
    <t>4502</t>
  </si>
  <si>
    <t>6246</t>
  </si>
  <si>
    <t>3252</t>
  </si>
  <si>
    <t>6150</t>
  </si>
  <si>
    <t>1906</t>
  </si>
  <si>
    <t>9958</t>
  </si>
  <si>
    <t>8085</t>
  </si>
  <si>
    <t>1529</t>
  </si>
  <si>
    <t>2409</t>
  </si>
  <si>
    <t>3311</t>
  </si>
  <si>
    <t>5608</t>
  </si>
  <si>
    <t>3067</t>
  </si>
  <si>
    <t>9103</t>
  </si>
  <si>
    <t>1314</t>
  </si>
  <si>
    <t>2364</t>
  </si>
  <si>
    <t>2362</t>
  </si>
  <si>
    <t>2603</t>
  </si>
  <si>
    <t>1312</t>
  </si>
  <si>
    <t>2104</t>
  </si>
  <si>
    <t>9962</t>
  </si>
  <si>
    <t>眾福科</t>
  </si>
  <si>
    <t>台積電</t>
  </si>
  <si>
    <t>力麗店</t>
  </si>
  <si>
    <t>中環</t>
  </si>
  <si>
    <t>南亞科</t>
  </si>
  <si>
    <t>佰研</t>
  </si>
  <si>
    <t>健信</t>
  </si>
  <si>
    <t>臺龍</t>
  </si>
  <si>
    <t>海灣</t>
  </si>
  <si>
    <t>撼訊</t>
  </si>
  <si>
    <t>寶隆</t>
  </si>
  <si>
    <t>世紀鋼</t>
  </si>
  <si>
    <t>福華</t>
  </si>
  <si>
    <t>樂事綠能</t>
  </si>
  <si>
    <t>友達</t>
  </si>
  <si>
    <t>閎暉</t>
  </si>
  <si>
    <t>四維航</t>
  </si>
  <si>
    <t>全域</t>
  </si>
  <si>
    <t>美德醫療-DR</t>
  </si>
  <si>
    <t>中石化</t>
  </si>
  <si>
    <t>倫飛</t>
  </si>
  <si>
    <t>藍天</t>
  </si>
  <si>
    <t>長榮</t>
  </si>
  <si>
    <t>國喬</t>
  </si>
  <si>
    <t>國際中橡</t>
  </si>
  <si>
    <t>有益</t>
  </si>
  <si>
    <t>sum</t>
  </si>
  <si>
    <t>勝率</t>
  </si>
  <si>
    <t>RF</t>
  </si>
  <si>
    <t>差距平方</t>
  </si>
  <si>
    <t>真實平方</t>
  </si>
  <si>
    <t>R-Square</t>
  </si>
  <si>
    <t>NN3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</si>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</sst>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4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3" fillId="2" borderId="1" xfId="0" applyFont="1" applyFill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3.6273022719572487E-2</c:v>
                </c:pt>
                <c:pt idx="2">
                  <c:v>7.4534804148423867E-2</c:v>
                </c:pt>
                <c:pt idx="3">
                  <c:v>6.7189694708318898E-2</c:v>
                </c:pt>
                <c:pt idx="4">
                  <c:v>5.2032758812329452E-2</c:v>
                </c:pt>
                <c:pt idx="5">
                  <c:v>8.9697466671521398E-3</c:v>
                </c:pt>
                <c:pt idx="6">
                  <c:v>3.2116049327960798E-2</c:v>
                </c:pt>
                <c:pt idx="7">
                  <c:v>3.3289966117179492E-2</c:v>
                </c:pt>
                <c:pt idx="8">
                  <c:v>2.5311550707564929E-2</c:v>
                </c:pt>
                <c:pt idx="9">
                  <c:v>9.9769052620662692E-3</c:v>
                </c:pt>
                <c:pt idx="10">
                  <c:v>6.2895098604671979E-3</c:v>
                </c:pt>
                <c:pt idx="11">
                  <c:v>-5.6179094924172494E-2</c:v>
                </c:pt>
                <c:pt idx="12">
                  <c:v>-3.7150999516570103E-2</c:v>
                </c:pt>
                <c:pt idx="13">
                  <c:v>-3.8900765487498892E-2</c:v>
                </c:pt>
                <c:pt idx="14">
                  <c:v>-6.3479333968336549E-2</c:v>
                </c:pt>
                <c:pt idx="15">
                  <c:v>-5.0319618548508083E-2</c:v>
                </c:pt>
                <c:pt idx="16">
                  <c:v>-0.1146571250604944</c:v>
                </c:pt>
                <c:pt idx="17">
                  <c:v>-0.15476216415630356</c:v>
                </c:pt>
                <c:pt idx="18">
                  <c:v>-0.13395919766552597</c:v>
                </c:pt>
                <c:pt idx="19">
                  <c:v>-0.17894084310617975</c:v>
                </c:pt>
                <c:pt idx="20">
                  <c:v>-0.16963197899642066</c:v>
                </c:pt>
                <c:pt idx="21">
                  <c:v>-0.13837879248370319</c:v>
                </c:pt>
                <c:pt idx="22">
                  <c:v>-0.10165716997679511</c:v>
                </c:pt>
                <c:pt idx="23">
                  <c:v>-9.8244921628611592E-2</c:v>
                </c:pt>
                <c:pt idx="24">
                  <c:v>-0.13115315933484414</c:v>
                </c:pt>
                <c:pt idx="25">
                  <c:v>-0.12791882194114332</c:v>
                </c:pt>
                <c:pt idx="26">
                  <c:v>-0.11720050444120585</c:v>
                </c:pt>
                <c:pt idx="27">
                  <c:v>-0.12927732696184202</c:v>
                </c:pt>
                <c:pt idx="28">
                  <c:v>-0.17423127074839326</c:v>
                </c:pt>
                <c:pt idx="29">
                  <c:v>-0.20863638185772679</c:v>
                </c:pt>
                <c:pt idx="30">
                  <c:v>-0.19947283512472347</c:v>
                </c:pt>
                <c:pt idx="31">
                  <c:v>-0.19556097515018428</c:v>
                </c:pt>
                <c:pt idx="32">
                  <c:v>-0.20829116685531723</c:v>
                </c:pt>
                <c:pt idx="33">
                  <c:v>-0.23411590764169329</c:v>
                </c:pt>
                <c:pt idx="34">
                  <c:v>-0.2752306008944822</c:v>
                </c:pt>
                <c:pt idx="35">
                  <c:v>-0.22776068629404758</c:v>
                </c:pt>
                <c:pt idx="36">
                  <c:v>-0.21466236852100604</c:v>
                </c:pt>
                <c:pt idx="37">
                  <c:v>-0.26227981609006223</c:v>
                </c:pt>
                <c:pt idx="38">
                  <c:v>-0.24137033970006813</c:v>
                </c:pt>
                <c:pt idx="39">
                  <c:v>-0.21983079143815293</c:v>
                </c:pt>
                <c:pt idx="40">
                  <c:v>-0.21257007846941878</c:v>
                </c:pt>
                <c:pt idx="41">
                  <c:v>-0.19129337673619481</c:v>
                </c:pt>
                <c:pt idx="42">
                  <c:v>-0.19117867603123204</c:v>
                </c:pt>
                <c:pt idx="43">
                  <c:v>-0.21626114823918297</c:v>
                </c:pt>
                <c:pt idx="44">
                  <c:v>-0.15275161819744265</c:v>
                </c:pt>
                <c:pt idx="45">
                  <c:v>-0.12619120671532646</c:v>
                </c:pt>
                <c:pt idx="46">
                  <c:v>-0.13160079966867841</c:v>
                </c:pt>
                <c:pt idx="47">
                  <c:v>-0.12344273242178505</c:v>
                </c:pt>
                <c:pt idx="48">
                  <c:v>-0.12687530321943619</c:v>
                </c:pt>
                <c:pt idx="49">
                  <c:v>-0.14003947284491641</c:v>
                </c:pt>
                <c:pt idx="50">
                  <c:v>-9.8614090469002755E-2</c:v>
                </c:pt>
                <c:pt idx="51">
                  <c:v>-7.5010460564215287E-2</c:v>
                </c:pt>
                <c:pt idx="52">
                  <c:v>-7.7274921253444873E-2</c:v>
                </c:pt>
                <c:pt idx="53">
                  <c:v>-6.2426972196971305E-2</c:v>
                </c:pt>
                <c:pt idx="54">
                  <c:v>-1.6289230730224175E-2</c:v>
                </c:pt>
                <c:pt idx="55">
                  <c:v>-2.5935017721806435E-2</c:v>
                </c:pt>
                <c:pt idx="56">
                  <c:v>-1.5160417950148546E-2</c:v>
                </c:pt>
                <c:pt idx="57">
                  <c:v>-3.8573436127902899E-2</c:v>
                </c:pt>
                <c:pt idx="58">
                  <c:v>1.1130088796412918E-2</c:v>
                </c:pt>
                <c:pt idx="59">
                  <c:v>3.0103441686123847E-2</c:v>
                </c:pt>
                <c:pt idx="60">
                  <c:v>5.0221274755979754E-3</c:v>
                </c:pt>
                <c:pt idx="61">
                  <c:v>-1.1011943302057584E-2</c:v>
                </c:pt>
                <c:pt idx="62">
                  <c:v>-5.1313542920857644E-2</c:v>
                </c:pt>
                <c:pt idx="63">
                  <c:v>-2.1275620141662843E-2</c:v>
                </c:pt>
                <c:pt idx="64">
                  <c:v>-3.944916134672783E-3</c:v>
                </c:pt>
                <c:pt idx="65">
                  <c:v>4.3024717762550919E-3</c:v>
                </c:pt>
                <c:pt idx="66">
                  <c:v>-1.4516053986707468E-2</c:v>
                </c:pt>
                <c:pt idx="67">
                  <c:v>-2.032222212638346E-2</c:v>
                </c:pt>
                <c:pt idx="68">
                  <c:v>-2.1897496215595853E-2</c:v>
                </c:pt>
                <c:pt idx="69">
                  <c:v>-1.3083985143229997E-2</c:v>
                </c:pt>
                <c:pt idx="70">
                  <c:v>-7.6002837716820466E-3</c:v>
                </c:pt>
                <c:pt idx="71">
                  <c:v>1.7856733060960073E-2</c:v>
                </c:pt>
                <c:pt idx="72">
                  <c:v>-3.4535164964089482E-2</c:v>
                </c:pt>
                <c:pt idx="73">
                  <c:v>-1.6336178744546622E-2</c:v>
                </c:pt>
                <c:pt idx="74">
                  <c:v>-3.5845455974351341E-2</c:v>
                </c:pt>
                <c:pt idx="75">
                  <c:v>5.0288722386891763E-3</c:v>
                </c:pt>
                <c:pt idx="76">
                  <c:v>8.834881899584604E-4</c:v>
                </c:pt>
                <c:pt idx="77">
                  <c:v>-7.6535603710109132E-3</c:v>
                </c:pt>
                <c:pt idx="78">
                  <c:v>4.721886283392622E-2</c:v>
                </c:pt>
                <c:pt idx="79">
                  <c:v>9.9322400798883853E-2</c:v>
                </c:pt>
                <c:pt idx="80">
                  <c:v>0.24073895013222626</c:v>
                </c:pt>
                <c:pt idx="81">
                  <c:v>0.27292073858786298</c:v>
                </c:pt>
                <c:pt idx="82">
                  <c:v>0.27578893088095729</c:v>
                </c:pt>
                <c:pt idx="83">
                  <c:v>0.34362160302147748</c:v>
                </c:pt>
                <c:pt idx="84">
                  <c:v>0.37420985234503928</c:v>
                </c:pt>
                <c:pt idx="85">
                  <c:v>0.38523260407440091</c:v>
                </c:pt>
                <c:pt idx="86">
                  <c:v>0.3991177011299184</c:v>
                </c:pt>
                <c:pt idx="87">
                  <c:v>0.4324514589735256</c:v>
                </c:pt>
                <c:pt idx="88">
                  <c:v>0.49688228870121626</c:v>
                </c:pt>
                <c:pt idx="89">
                  <c:v>0.46439764370880066</c:v>
                </c:pt>
                <c:pt idx="90">
                  <c:v>0.39607677269078201</c:v>
                </c:pt>
                <c:pt idx="91">
                  <c:v>0.44212801260207463</c:v>
                </c:pt>
                <c:pt idx="92">
                  <c:v>0.38491715612467398</c:v>
                </c:pt>
                <c:pt idx="93">
                  <c:v>0.43286314569282114</c:v>
                </c:pt>
                <c:pt idx="94">
                  <c:v>0.43858918896442473</c:v>
                </c:pt>
                <c:pt idx="95">
                  <c:v>0.44509790262993448</c:v>
                </c:pt>
                <c:pt idx="96">
                  <c:v>0.42129505965314629</c:v>
                </c:pt>
                <c:pt idx="97">
                  <c:v>0.4400394712241032</c:v>
                </c:pt>
                <c:pt idx="98">
                  <c:v>0.46681250254805506</c:v>
                </c:pt>
                <c:pt idx="99">
                  <c:v>0.44594030646827154</c:v>
                </c:pt>
                <c:pt idx="100">
                  <c:v>0.41447133076724846</c:v>
                </c:pt>
                <c:pt idx="101">
                  <c:v>0.50283239781923428</c:v>
                </c:pt>
                <c:pt idx="102">
                  <c:v>0.48657012302822766</c:v>
                </c:pt>
                <c:pt idx="103">
                  <c:v>0.47038095368434513</c:v>
                </c:pt>
                <c:pt idx="104">
                  <c:v>0.44445802173967264</c:v>
                </c:pt>
                <c:pt idx="105">
                  <c:v>0.46827973708289267</c:v>
                </c:pt>
                <c:pt idx="106">
                  <c:v>0.44842704599282951</c:v>
                </c:pt>
                <c:pt idx="107">
                  <c:v>0.43574666966114328</c:v>
                </c:pt>
                <c:pt idx="108">
                  <c:v>0.39509485540073019</c:v>
                </c:pt>
                <c:pt idx="109">
                  <c:v>0.39585008891019635</c:v>
                </c:pt>
                <c:pt idx="110">
                  <c:v>0.35008072350132069</c:v>
                </c:pt>
                <c:pt idx="111">
                  <c:v>0.38044261589486639</c:v>
                </c:pt>
                <c:pt idx="112">
                  <c:v>0.4145835164021377</c:v>
                </c:pt>
                <c:pt idx="113">
                  <c:v>0.41404010936703212</c:v>
                </c:pt>
                <c:pt idx="114">
                  <c:v>0.39205533149037619</c:v>
                </c:pt>
                <c:pt idx="115">
                  <c:v>0.42060647053674804</c:v>
                </c:pt>
                <c:pt idx="116">
                  <c:v>0.44494858607776483</c:v>
                </c:pt>
                <c:pt idx="117">
                  <c:v>0.50330058985745896</c:v>
                </c:pt>
                <c:pt idx="118">
                  <c:v>0.54448616371805147</c:v>
                </c:pt>
                <c:pt idx="119">
                  <c:v>0.56609685542213772</c:v>
                </c:pt>
                <c:pt idx="120">
                  <c:v>0.60861779788302761</c:v>
                </c:pt>
                <c:pt idx="121">
                  <c:v>0.56020917717083851</c:v>
                </c:pt>
                <c:pt idx="122">
                  <c:v>0.55260739585436225</c:v>
                </c:pt>
                <c:pt idx="123">
                  <c:v>0.57307950574843047</c:v>
                </c:pt>
                <c:pt idx="124">
                  <c:v>0.63097672999050303</c:v>
                </c:pt>
                <c:pt idx="125">
                  <c:v>0.58530231578444247</c:v>
                </c:pt>
                <c:pt idx="126">
                  <c:v>0.63394095486184177</c:v>
                </c:pt>
                <c:pt idx="127">
                  <c:v>0.63629891839525143</c:v>
                </c:pt>
                <c:pt idx="128">
                  <c:v>0.56254853339295097</c:v>
                </c:pt>
                <c:pt idx="129">
                  <c:v>0.56612639661609432</c:v>
                </c:pt>
                <c:pt idx="130">
                  <c:v>0.55217790355656815</c:v>
                </c:pt>
                <c:pt idx="131">
                  <c:v>0.5426776302556211</c:v>
                </c:pt>
                <c:pt idx="132">
                  <c:v>0.57084435749741902</c:v>
                </c:pt>
                <c:pt idx="133">
                  <c:v>0.54901187506353677</c:v>
                </c:pt>
                <c:pt idx="134">
                  <c:v>0.56284628118026059</c:v>
                </c:pt>
                <c:pt idx="135">
                  <c:v>0.55407797737534403</c:v>
                </c:pt>
                <c:pt idx="136">
                  <c:v>0.53690503220507824</c:v>
                </c:pt>
                <c:pt idx="137">
                  <c:v>0.46889401839117623</c:v>
                </c:pt>
                <c:pt idx="138">
                  <c:v>0.45892089673930342</c:v>
                </c:pt>
                <c:pt idx="139">
                  <c:v>0.47569361410815331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7-47AE-901B-98D9AE0C0E57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1.6304883391612412E-2</c:v>
                </c:pt>
                <c:pt idx="2">
                  <c:v>6.5523991907034507E-2</c:v>
                </c:pt>
                <c:pt idx="3">
                  <c:v>2.7536836478838048E-2</c:v>
                </c:pt>
                <c:pt idx="4">
                  <c:v>1.2332133531889538E-2</c:v>
                </c:pt>
                <c:pt idx="5">
                  <c:v>-1.6919130259771202E-2</c:v>
                </c:pt>
                <c:pt idx="6">
                  <c:v>-2.8013288403618733E-2</c:v>
                </c:pt>
                <c:pt idx="7">
                  <c:v>-3.8189211345391424E-2</c:v>
                </c:pt>
                <c:pt idx="8">
                  <c:v>-7.4127156472695355E-2</c:v>
                </c:pt>
                <c:pt idx="9">
                  <c:v>-7.485026003215578E-2</c:v>
                </c:pt>
                <c:pt idx="10">
                  <c:v>-5.493505363179766E-2</c:v>
                </c:pt>
                <c:pt idx="11">
                  <c:v>-0.13793871061810986</c:v>
                </c:pt>
                <c:pt idx="12">
                  <c:v>-0.11525748078162151</c:v>
                </c:pt>
                <c:pt idx="13">
                  <c:v>-9.9301759975450571E-2</c:v>
                </c:pt>
                <c:pt idx="14">
                  <c:v>-0.15439975055028493</c:v>
                </c:pt>
                <c:pt idx="15">
                  <c:v>-0.145273511506503</c:v>
                </c:pt>
                <c:pt idx="16">
                  <c:v>-0.21812141277688019</c:v>
                </c:pt>
                <c:pt idx="17">
                  <c:v>-0.27738841695482441</c:v>
                </c:pt>
                <c:pt idx="18">
                  <c:v>-0.26277042132608103</c:v>
                </c:pt>
                <c:pt idx="19">
                  <c:v>-0.29869564952077471</c:v>
                </c:pt>
                <c:pt idx="20">
                  <c:v>-0.28886200314722627</c:v>
                </c:pt>
                <c:pt idx="21">
                  <c:v>-0.24904988881957174</c:v>
                </c:pt>
                <c:pt idx="22">
                  <c:v>-0.24040298172827035</c:v>
                </c:pt>
                <c:pt idx="23">
                  <c:v>-0.22532933212193515</c:v>
                </c:pt>
                <c:pt idx="24">
                  <c:v>-0.2531863372351536</c:v>
                </c:pt>
                <c:pt idx="25">
                  <c:v>-0.23633429914205603</c:v>
                </c:pt>
                <c:pt idx="26">
                  <c:v>-0.2289812779486752</c:v>
                </c:pt>
                <c:pt idx="27">
                  <c:v>-0.23544761511399503</c:v>
                </c:pt>
                <c:pt idx="28">
                  <c:v>-0.30136634141519353</c:v>
                </c:pt>
                <c:pt idx="29">
                  <c:v>-0.3500203476819802</c:v>
                </c:pt>
                <c:pt idx="30">
                  <c:v>-0.34206293996438769</c:v>
                </c:pt>
                <c:pt idx="31">
                  <c:v>-0.32968969678964455</c:v>
                </c:pt>
                <c:pt idx="32">
                  <c:v>-0.34164496662297178</c:v>
                </c:pt>
                <c:pt idx="33">
                  <c:v>-0.34401695288582401</c:v>
                </c:pt>
                <c:pt idx="34">
                  <c:v>-0.40771007743630533</c:v>
                </c:pt>
                <c:pt idx="35">
                  <c:v>-0.36854993358499022</c:v>
                </c:pt>
                <c:pt idx="36">
                  <c:v>-0.37393632814133337</c:v>
                </c:pt>
                <c:pt idx="37">
                  <c:v>-0.43736932718528265</c:v>
                </c:pt>
                <c:pt idx="38">
                  <c:v>-0.42120068081238504</c:v>
                </c:pt>
                <c:pt idx="39">
                  <c:v>-0.37580221172184436</c:v>
                </c:pt>
                <c:pt idx="40">
                  <c:v>-0.37281236691026859</c:v>
                </c:pt>
                <c:pt idx="41">
                  <c:v>-0.34126044598056537</c:v>
                </c:pt>
                <c:pt idx="42">
                  <c:v>-0.35842908587633382</c:v>
                </c:pt>
                <c:pt idx="43">
                  <c:v>-0.34966444302013222</c:v>
                </c:pt>
                <c:pt idx="44">
                  <c:v>-0.27664631323699346</c:v>
                </c:pt>
                <c:pt idx="45">
                  <c:v>-0.24466714906558162</c:v>
                </c:pt>
                <c:pt idx="46">
                  <c:v>-0.24735480392270104</c:v>
                </c:pt>
                <c:pt idx="47">
                  <c:v>-0.25002147662344737</c:v>
                </c:pt>
                <c:pt idx="48">
                  <c:v>-0.24284332185042984</c:v>
                </c:pt>
                <c:pt idx="49">
                  <c:v>-0.25418679002711447</c:v>
                </c:pt>
                <c:pt idx="50">
                  <c:v>-0.22106657020946124</c:v>
                </c:pt>
                <c:pt idx="51">
                  <c:v>-0.17230412658244118</c:v>
                </c:pt>
                <c:pt idx="52">
                  <c:v>-0.16369719788933454</c:v>
                </c:pt>
                <c:pt idx="53">
                  <c:v>-0.14899444231706283</c:v>
                </c:pt>
                <c:pt idx="54">
                  <c:v>-9.8472979685217593E-2</c:v>
                </c:pt>
                <c:pt idx="55">
                  <c:v>-0.11082911065653119</c:v>
                </c:pt>
                <c:pt idx="56">
                  <c:v>-0.11332929092007872</c:v>
                </c:pt>
                <c:pt idx="57">
                  <c:v>-0.13862920569040701</c:v>
                </c:pt>
                <c:pt idx="58">
                  <c:v>-8.7950048519707891E-2</c:v>
                </c:pt>
                <c:pt idx="59">
                  <c:v>-7.3570693208266508E-2</c:v>
                </c:pt>
                <c:pt idx="60">
                  <c:v>-9.6007467237854346E-2</c:v>
                </c:pt>
                <c:pt idx="61">
                  <c:v>-0.12615709419672838</c:v>
                </c:pt>
                <c:pt idx="62">
                  <c:v>-0.1727696097617038</c:v>
                </c:pt>
                <c:pt idx="63">
                  <c:v>-0.14530324689048751</c:v>
                </c:pt>
                <c:pt idx="64">
                  <c:v>-0.13585235259493497</c:v>
                </c:pt>
                <c:pt idx="65">
                  <c:v>-0.12173741194863631</c:v>
                </c:pt>
                <c:pt idx="66">
                  <c:v>-0.16397697138658468</c:v>
                </c:pt>
                <c:pt idx="67">
                  <c:v>-0.16991452376235761</c:v>
                </c:pt>
                <c:pt idx="68">
                  <c:v>-0.16297473860733552</c:v>
                </c:pt>
                <c:pt idx="69">
                  <c:v>-0.16800011678181082</c:v>
                </c:pt>
                <c:pt idx="70">
                  <c:v>-0.16242420542450209</c:v>
                </c:pt>
                <c:pt idx="71">
                  <c:v>-0.14529888084093923</c:v>
                </c:pt>
                <c:pt idx="72">
                  <c:v>-0.25018892250791036</c:v>
                </c:pt>
                <c:pt idx="73">
                  <c:v>-0.22567110050828895</c:v>
                </c:pt>
                <c:pt idx="74">
                  <c:v>-0.23473478526278871</c:v>
                </c:pt>
                <c:pt idx="75">
                  <c:v>-0.16753865406484961</c:v>
                </c:pt>
                <c:pt idx="76">
                  <c:v>-0.15131738341833223</c:v>
                </c:pt>
                <c:pt idx="77">
                  <c:v>-0.17927394456533113</c:v>
                </c:pt>
                <c:pt idx="78">
                  <c:v>-8.2984242848575307E-2</c:v>
                </c:pt>
                <c:pt idx="79">
                  <c:v>-8.6169997350570945E-2</c:v>
                </c:pt>
                <c:pt idx="80">
                  <c:v>9.8032320479149768E-2</c:v>
                </c:pt>
                <c:pt idx="81">
                  <c:v>0.14551580545455328</c:v>
                </c:pt>
                <c:pt idx="82">
                  <c:v>0.14981165049276923</c:v>
                </c:pt>
                <c:pt idx="83">
                  <c:v>0.1993663935636999</c:v>
                </c:pt>
                <c:pt idx="84">
                  <c:v>0.24945963996127521</c:v>
                </c:pt>
                <c:pt idx="85">
                  <c:v>0.27446007836943381</c:v>
                </c:pt>
                <c:pt idx="86">
                  <c:v>0.30139223577471874</c:v>
                </c:pt>
                <c:pt idx="87">
                  <c:v>0.33509766868713603</c:v>
                </c:pt>
                <c:pt idx="88">
                  <c:v>0.41788943817802426</c:v>
                </c:pt>
                <c:pt idx="89">
                  <c:v>0.38041059165799279</c:v>
                </c:pt>
                <c:pt idx="90">
                  <c:v>0.30129509262556275</c:v>
                </c:pt>
                <c:pt idx="91">
                  <c:v>0.36808882868602044</c:v>
                </c:pt>
                <c:pt idx="92">
                  <c:v>0.31144709654659974</c:v>
                </c:pt>
                <c:pt idx="93">
                  <c:v>0.38296631595927128</c:v>
                </c:pt>
                <c:pt idx="94">
                  <c:v>0.38619732241413735</c:v>
                </c:pt>
                <c:pt idx="95">
                  <c:v>0.39472579066052121</c:v>
                </c:pt>
                <c:pt idx="96">
                  <c:v>0.35951029271435664</c:v>
                </c:pt>
                <c:pt idx="97">
                  <c:v>0.37657839732175413</c:v>
                </c:pt>
                <c:pt idx="98">
                  <c:v>0.39929845675199771</c:v>
                </c:pt>
                <c:pt idx="99">
                  <c:v>0.36888253166439289</c:v>
                </c:pt>
                <c:pt idx="100">
                  <c:v>0.32059260986784449</c:v>
                </c:pt>
                <c:pt idx="101">
                  <c:v>0.40094149924072997</c:v>
                </c:pt>
                <c:pt idx="102">
                  <c:v>0.374911100159106</c:v>
                </c:pt>
                <c:pt idx="103">
                  <c:v>0.33738526552929149</c:v>
                </c:pt>
                <c:pt idx="104">
                  <c:v>0.2986005914014494</c:v>
                </c:pt>
                <c:pt idx="105">
                  <c:v>0.29745426734741648</c:v>
                </c:pt>
                <c:pt idx="106">
                  <c:v>0.28282160134622519</c:v>
                </c:pt>
                <c:pt idx="107">
                  <c:v>0.25914848499927939</c:v>
                </c:pt>
                <c:pt idx="108">
                  <c:v>0.19432903247741085</c:v>
                </c:pt>
                <c:pt idx="109">
                  <c:v>0.1938743966772922</c:v>
                </c:pt>
                <c:pt idx="110">
                  <c:v>0.17356242388516024</c:v>
                </c:pt>
                <c:pt idx="111">
                  <c:v>0.17505403973222669</c:v>
                </c:pt>
                <c:pt idx="112">
                  <c:v>0.19585903231934693</c:v>
                </c:pt>
                <c:pt idx="113">
                  <c:v>0.16684415709492964</c:v>
                </c:pt>
                <c:pt idx="114">
                  <c:v>0.15874513575647314</c:v>
                </c:pt>
                <c:pt idx="115">
                  <c:v>0.19147726710474522</c:v>
                </c:pt>
                <c:pt idx="116">
                  <c:v>0.22745631181517051</c:v>
                </c:pt>
                <c:pt idx="117">
                  <c:v>0.29010703317602027</c:v>
                </c:pt>
                <c:pt idx="118">
                  <c:v>0.33545959866138231</c:v>
                </c:pt>
                <c:pt idx="119">
                  <c:v>0.35569291517022555</c:v>
                </c:pt>
                <c:pt idx="120">
                  <c:v>0.40996034445317941</c:v>
                </c:pt>
                <c:pt idx="121">
                  <c:v>0.35993443072875508</c:v>
                </c:pt>
                <c:pt idx="122">
                  <c:v>0.34349031373300176</c:v>
                </c:pt>
                <c:pt idx="123">
                  <c:v>0.37906645227750368</c:v>
                </c:pt>
                <c:pt idx="124">
                  <c:v>0.43795928937038536</c:v>
                </c:pt>
                <c:pt idx="125">
                  <c:v>0.37760630675071061</c:v>
                </c:pt>
                <c:pt idx="126">
                  <c:v>0.44110217495259108</c:v>
                </c:pt>
                <c:pt idx="127">
                  <c:v>0.44963837513080368</c:v>
                </c:pt>
                <c:pt idx="128">
                  <c:v>0.38350624052860327</c:v>
                </c:pt>
                <c:pt idx="129">
                  <c:v>0.38545347486141968</c:v>
                </c:pt>
                <c:pt idx="130">
                  <c:v>0.36883706831942836</c:v>
                </c:pt>
                <c:pt idx="131">
                  <c:v>0.3680329356834004</c:v>
                </c:pt>
                <c:pt idx="132">
                  <c:v>0.40519044740121335</c:v>
                </c:pt>
                <c:pt idx="133">
                  <c:v>0.36920851927580106</c:v>
                </c:pt>
                <c:pt idx="134">
                  <c:v>0.37484718822148827</c:v>
                </c:pt>
                <c:pt idx="135">
                  <c:v>0.36466870252707295</c:v>
                </c:pt>
                <c:pt idx="136">
                  <c:v>0.32729746855198844</c:v>
                </c:pt>
                <c:pt idx="137">
                  <c:v>0.23606250894357456</c:v>
                </c:pt>
                <c:pt idx="138">
                  <c:v>0.23196752606500076</c:v>
                </c:pt>
                <c:pt idx="139">
                  <c:v>0.28616788757484257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57-47AE-901B-98D9AE0C0E57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-1.521868015757695E-2</c:v>
                </c:pt>
                <c:pt idx="2">
                  <c:v>6.8420745984705059E-2</c:v>
                </c:pt>
                <c:pt idx="3">
                  <c:v>2.0979162099170376E-2</c:v>
                </c:pt>
                <c:pt idx="4">
                  <c:v>-7.6470531904669056E-2</c:v>
                </c:pt>
                <c:pt idx="5">
                  <c:v>-0.15268153496950557</c:v>
                </c:pt>
                <c:pt idx="6">
                  <c:v>-0.18239335930338044</c:v>
                </c:pt>
                <c:pt idx="7">
                  <c:v>-0.15802383679093535</c:v>
                </c:pt>
                <c:pt idx="8">
                  <c:v>-0.15965599078582426</c:v>
                </c:pt>
                <c:pt idx="9">
                  <c:v>-0.16362535942244322</c:v>
                </c:pt>
                <c:pt idx="10">
                  <c:v>-0.17193469491968821</c:v>
                </c:pt>
                <c:pt idx="11">
                  <c:v>-0.31783859942650883</c:v>
                </c:pt>
                <c:pt idx="12">
                  <c:v>-0.29279583178897439</c:v>
                </c:pt>
                <c:pt idx="13">
                  <c:v>-0.23811585351989561</c:v>
                </c:pt>
                <c:pt idx="14">
                  <c:v>-0.32572507949326768</c:v>
                </c:pt>
                <c:pt idx="15">
                  <c:v>-0.35446776571501637</c:v>
                </c:pt>
                <c:pt idx="16">
                  <c:v>-0.43707880032510926</c:v>
                </c:pt>
                <c:pt idx="17">
                  <c:v>-0.48561918296356033</c:v>
                </c:pt>
                <c:pt idx="18">
                  <c:v>-0.50429143429748113</c:v>
                </c:pt>
                <c:pt idx="19">
                  <c:v>-0.5236481222078756</c:v>
                </c:pt>
                <c:pt idx="20">
                  <c:v>-0.48716651543509371</c:v>
                </c:pt>
                <c:pt idx="21">
                  <c:v>-0.44210161218566524</c:v>
                </c:pt>
                <c:pt idx="22">
                  <c:v>-0.45132786221185639</c:v>
                </c:pt>
                <c:pt idx="23">
                  <c:v>-0.41076894889645849</c:v>
                </c:pt>
                <c:pt idx="24">
                  <c:v>-0.45515408371357291</c:v>
                </c:pt>
                <c:pt idx="25">
                  <c:v>-0.39184239204438792</c:v>
                </c:pt>
                <c:pt idx="26">
                  <c:v>-0.40779070456119948</c:v>
                </c:pt>
                <c:pt idx="27">
                  <c:v>-0.42153467375224801</c:v>
                </c:pt>
                <c:pt idx="28">
                  <c:v>-0.52983105806865538</c:v>
                </c:pt>
                <c:pt idx="29">
                  <c:v>-0.58784301185785526</c:v>
                </c:pt>
                <c:pt idx="30">
                  <c:v>-0.5691430323117046</c:v>
                </c:pt>
                <c:pt idx="31">
                  <c:v>-0.51826363619009364</c:v>
                </c:pt>
                <c:pt idx="32">
                  <c:v>-0.51401955196205384</c:v>
                </c:pt>
                <c:pt idx="33">
                  <c:v>-0.54832551373050198</c:v>
                </c:pt>
                <c:pt idx="34">
                  <c:v>-0.60677663636922086</c:v>
                </c:pt>
                <c:pt idx="35">
                  <c:v>-0.559567018935484</c:v>
                </c:pt>
                <c:pt idx="36">
                  <c:v>-0.55592113684087741</c:v>
                </c:pt>
                <c:pt idx="37">
                  <c:v>-0.65598007437796413</c:v>
                </c:pt>
                <c:pt idx="38">
                  <c:v>-0.67243606320140903</c:v>
                </c:pt>
                <c:pt idx="39">
                  <c:v>-0.61793433176663481</c:v>
                </c:pt>
                <c:pt idx="40">
                  <c:v>-0.59812424806539621</c:v>
                </c:pt>
                <c:pt idx="41">
                  <c:v>-0.53196402820729349</c:v>
                </c:pt>
                <c:pt idx="42">
                  <c:v>-0.58667148083911758</c:v>
                </c:pt>
                <c:pt idx="43">
                  <c:v>-0.60089238926788824</c:v>
                </c:pt>
                <c:pt idx="44">
                  <c:v>-0.49118569850909072</c:v>
                </c:pt>
                <c:pt idx="45">
                  <c:v>-0.45747487275657084</c:v>
                </c:pt>
                <c:pt idx="46">
                  <c:v>-0.48474145405836311</c:v>
                </c:pt>
                <c:pt idx="47">
                  <c:v>-0.45104693135859641</c:v>
                </c:pt>
                <c:pt idx="48">
                  <c:v>-0.40514798365980487</c:v>
                </c:pt>
                <c:pt idx="49">
                  <c:v>-0.44543606892577314</c:v>
                </c:pt>
                <c:pt idx="50">
                  <c:v>-0.39118132088156665</c:v>
                </c:pt>
                <c:pt idx="51">
                  <c:v>-0.33223823109433304</c:v>
                </c:pt>
                <c:pt idx="52">
                  <c:v>-0.3515778633874887</c:v>
                </c:pt>
                <c:pt idx="53">
                  <c:v>-0.30806947850891092</c:v>
                </c:pt>
                <c:pt idx="54">
                  <c:v>-0.27466753457866527</c:v>
                </c:pt>
                <c:pt idx="55">
                  <c:v>-0.26904096799948612</c:v>
                </c:pt>
                <c:pt idx="56">
                  <c:v>-0.25535154964361551</c:v>
                </c:pt>
                <c:pt idx="57">
                  <c:v>-0.3344963208706272</c:v>
                </c:pt>
                <c:pt idx="58">
                  <c:v>-0.2764056858746915</c:v>
                </c:pt>
                <c:pt idx="59">
                  <c:v>-0.2700773966315021</c:v>
                </c:pt>
                <c:pt idx="60">
                  <c:v>-0.27553413173416919</c:v>
                </c:pt>
                <c:pt idx="61">
                  <c:v>-0.32501404929922834</c:v>
                </c:pt>
                <c:pt idx="62">
                  <c:v>-0.3579352141226736</c:v>
                </c:pt>
                <c:pt idx="63">
                  <c:v>-0.34672931102029109</c:v>
                </c:pt>
                <c:pt idx="64">
                  <c:v>-0.32944683370813432</c:v>
                </c:pt>
                <c:pt idx="65">
                  <c:v>-0.31682380965877155</c:v>
                </c:pt>
                <c:pt idx="66">
                  <c:v>-0.35309841527251323</c:v>
                </c:pt>
                <c:pt idx="67">
                  <c:v>-0.39626496002870942</c:v>
                </c:pt>
                <c:pt idx="68">
                  <c:v>-0.3534107776230031</c:v>
                </c:pt>
                <c:pt idx="69">
                  <c:v>-0.39045604880185358</c:v>
                </c:pt>
                <c:pt idx="70">
                  <c:v>-0.40932395255629073</c:v>
                </c:pt>
                <c:pt idx="71">
                  <c:v>-0.39566121139390026</c:v>
                </c:pt>
                <c:pt idx="72">
                  <c:v>-0.54084072474335732</c:v>
                </c:pt>
                <c:pt idx="73">
                  <c:v>-0.54482806334371991</c:v>
                </c:pt>
                <c:pt idx="74">
                  <c:v>-0.5943220739210705</c:v>
                </c:pt>
                <c:pt idx="75">
                  <c:v>-0.51288693976049882</c:v>
                </c:pt>
                <c:pt idx="76">
                  <c:v>-0.43416334239660725</c:v>
                </c:pt>
                <c:pt idx="77">
                  <c:v>-0.42825648607753614</c:v>
                </c:pt>
                <c:pt idx="78">
                  <c:v>-0.34081266053267412</c:v>
                </c:pt>
                <c:pt idx="79">
                  <c:v>-0.38762800960465538</c:v>
                </c:pt>
                <c:pt idx="80">
                  <c:v>-0.18095998578035247</c:v>
                </c:pt>
                <c:pt idx="81">
                  <c:v>-0.10359834024308739</c:v>
                </c:pt>
                <c:pt idx="82">
                  <c:v>-0.1907226169840025</c:v>
                </c:pt>
                <c:pt idx="83">
                  <c:v>-0.13210931011242785</c:v>
                </c:pt>
                <c:pt idx="84">
                  <c:v>-1.8265095640451853E-2</c:v>
                </c:pt>
                <c:pt idx="85">
                  <c:v>3.9074400362968734E-2</c:v>
                </c:pt>
                <c:pt idx="86">
                  <c:v>2.2682647532010044E-2</c:v>
                </c:pt>
                <c:pt idx="87">
                  <c:v>8.7195020481117227E-2</c:v>
                </c:pt>
                <c:pt idx="88">
                  <c:v>0.17726575054646709</c:v>
                </c:pt>
                <c:pt idx="89">
                  <c:v>0.13147264843802375</c:v>
                </c:pt>
                <c:pt idx="90">
                  <c:v>-4.6430468581397433E-2</c:v>
                </c:pt>
                <c:pt idx="91">
                  <c:v>1.4816721976848649E-2</c:v>
                </c:pt>
                <c:pt idx="92">
                  <c:v>-2.1672640065551231E-3</c:v>
                </c:pt>
                <c:pt idx="93">
                  <c:v>4.745334579377708E-2</c:v>
                </c:pt>
                <c:pt idx="94">
                  <c:v>7.0880697094106104E-2</c:v>
                </c:pt>
                <c:pt idx="95">
                  <c:v>4.3702792457986056E-2</c:v>
                </c:pt>
                <c:pt idx="96">
                  <c:v>-4.2384573168384551E-2</c:v>
                </c:pt>
                <c:pt idx="97">
                  <c:v>-8.768206094080272E-3</c:v>
                </c:pt>
                <c:pt idx="98">
                  <c:v>6.9770858896192264E-4</c:v>
                </c:pt>
                <c:pt idx="99">
                  <c:v>-5.2861812171022204E-2</c:v>
                </c:pt>
                <c:pt idx="100">
                  <c:v>-0.1053999908557969</c:v>
                </c:pt>
                <c:pt idx="101">
                  <c:v>-3.8371507271177135E-2</c:v>
                </c:pt>
                <c:pt idx="102">
                  <c:v>-4.445137200833664E-3</c:v>
                </c:pt>
                <c:pt idx="103">
                  <c:v>-1.5350110218591074E-2</c:v>
                </c:pt>
                <c:pt idx="104">
                  <c:v>-6.9141699536056103E-2</c:v>
                </c:pt>
                <c:pt idx="105">
                  <c:v>-9.1309384956279965E-2</c:v>
                </c:pt>
                <c:pt idx="106">
                  <c:v>-0.15038278725188553</c:v>
                </c:pt>
                <c:pt idx="107">
                  <c:v>-0.24086579457316559</c:v>
                </c:pt>
                <c:pt idx="108">
                  <c:v>-0.32549904195157997</c:v>
                </c:pt>
                <c:pt idx="109">
                  <c:v>-0.3239346229974136</c:v>
                </c:pt>
                <c:pt idx="110">
                  <c:v>-0.33584982950916475</c:v>
                </c:pt>
                <c:pt idx="111">
                  <c:v>-0.34518604110118895</c:v>
                </c:pt>
                <c:pt idx="112">
                  <c:v>-0.30966060256814604</c:v>
                </c:pt>
                <c:pt idx="113">
                  <c:v>-0.32071882262419571</c:v>
                </c:pt>
                <c:pt idx="114">
                  <c:v>-0.33983528764765358</c:v>
                </c:pt>
                <c:pt idx="115">
                  <c:v>-0.28498495504674515</c:v>
                </c:pt>
                <c:pt idx="116">
                  <c:v>-0.24894807959407581</c:v>
                </c:pt>
                <c:pt idx="117">
                  <c:v>-0.18829896543225394</c:v>
                </c:pt>
                <c:pt idx="118">
                  <c:v>-0.17038534392907129</c:v>
                </c:pt>
                <c:pt idx="119">
                  <c:v>-0.11677157507986602</c:v>
                </c:pt>
                <c:pt idx="120">
                  <c:v>-6.2240326187865402E-2</c:v>
                </c:pt>
                <c:pt idx="121">
                  <c:v>-0.13205213805710464</c:v>
                </c:pt>
                <c:pt idx="122">
                  <c:v>-8.1024927578974698E-2</c:v>
                </c:pt>
                <c:pt idx="123">
                  <c:v>-7.6340220444278614E-2</c:v>
                </c:pt>
                <c:pt idx="124">
                  <c:v>-4.5140690842507269E-5</c:v>
                </c:pt>
                <c:pt idx="125">
                  <c:v>-7.1600794931477696E-2</c:v>
                </c:pt>
                <c:pt idx="126">
                  <c:v>-1.1030057039218465E-2</c:v>
                </c:pt>
                <c:pt idx="127">
                  <c:v>-3.1860426347144026E-3</c:v>
                </c:pt>
                <c:pt idx="128">
                  <c:v>-5.826991889013082E-2</c:v>
                </c:pt>
                <c:pt idx="129">
                  <c:v>-8.8983255480247603E-2</c:v>
                </c:pt>
                <c:pt idx="130">
                  <c:v>-8.5197544920324095E-2</c:v>
                </c:pt>
                <c:pt idx="131">
                  <c:v>-0.12453508554289459</c:v>
                </c:pt>
                <c:pt idx="132">
                  <c:v>-0.11200009287315213</c:v>
                </c:pt>
                <c:pt idx="133">
                  <c:v>-0.17107566585983858</c:v>
                </c:pt>
                <c:pt idx="134">
                  <c:v>-0.17142088624205978</c:v>
                </c:pt>
                <c:pt idx="135">
                  <c:v>-0.22345054477182627</c:v>
                </c:pt>
                <c:pt idx="136">
                  <c:v>-0.2557688068591073</c:v>
                </c:pt>
                <c:pt idx="137">
                  <c:v>-0.33102970991476205</c:v>
                </c:pt>
                <c:pt idx="138">
                  <c:v>-0.32943363007655818</c:v>
                </c:pt>
                <c:pt idx="139">
                  <c:v>-0.28166243765827581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7-47AE-901B-98D9AE0C0E57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-6.3006456012617479E-2</c:v>
                </c:pt>
                <c:pt idx="2">
                  <c:v>1.1563207024443439E-2</c:v>
                </c:pt>
                <c:pt idx="3">
                  <c:v>-7.0218819551717118E-2</c:v>
                </c:pt>
                <c:pt idx="4">
                  <c:v>-0.20815670220029814</c:v>
                </c:pt>
                <c:pt idx="5">
                  <c:v>-0.28997235212397238</c:v>
                </c:pt>
                <c:pt idx="6">
                  <c:v>-0.39784562549586411</c:v>
                </c:pt>
                <c:pt idx="7">
                  <c:v>-0.3543977580664387</c:v>
                </c:pt>
                <c:pt idx="8">
                  <c:v>-0.40025385274566605</c:v>
                </c:pt>
                <c:pt idx="9">
                  <c:v>-0.40003613293035317</c:v>
                </c:pt>
                <c:pt idx="10">
                  <c:v>-0.54713839624458949</c:v>
                </c:pt>
                <c:pt idx="11">
                  <c:v>-0.79452644174668774</c:v>
                </c:pt>
                <c:pt idx="12">
                  <c:v>-0.7479659912878418</c:v>
                </c:pt>
                <c:pt idx="13">
                  <c:v>-0.68060803073264498</c:v>
                </c:pt>
                <c:pt idx="14">
                  <c:v>-0.72298064735048273</c:v>
                </c:pt>
                <c:pt idx="15">
                  <c:v>-0.80865392765980237</c:v>
                </c:pt>
                <c:pt idx="16">
                  <c:v>-0.91216964099534548</c:v>
                </c:pt>
                <c:pt idx="17">
                  <c:v>-0.93677419409103702</c:v>
                </c:pt>
                <c:pt idx="18">
                  <c:v>-1.0208905776173789</c:v>
                </c:pt>
                <c:pt idx="19">
                  <c:v>-1.0037969150190387</c:v>
                </c:pt>
                <c:pt idx="20">
                  <c:v>-0.97975538711327759</c:v>
                </c:pt>
                <c:pt idx="21">
                  <c:v>-0.92073744036562921</c:v>
                </c:pt>
                <c:pt idx="22">
                  <c:v>-0.90952063539802885</c:v>
                </c:pt>
                <c:pt idx="23">
                  <c:v>-0.82954961705984553</c:v>
                </c:pt>
                <c:pt idx="24">
                  <c:v>-0.88412907043200584</c:v>
                </c:pt>
                <c:pt idx="25">
                  <c:v>-0.77446596770216458</c:v>
                </c:pt>
                <c:pt idx="26">
                  <c:v>-0.80252047931018911</c:v>
                </c:pt>
                <c:pt idx="27">
                  <c:v>-0.75551312073317056</c:v>
                </c:pt>
                <c:pt idx="28">
                  <c:v>-0.93153628831959323</c:v>
                </c:pt>
                <c:pt idx="29">
                  <c:v>-1.0176773641652825</c:v>
                </c:pt>
                <c:pt idx="30">
                  <c:v>-1.0325174562443153</c:v>
                </c:pt>
                <c:pt idx="31">
                  <c:v>-0.98542676344867797</c:v>
                </c:pt>
                <c:pt idx="32">
                  <c:v>-1.0049878162983139</c:v>
                </c:pt>
                <c:pt idx="33">
                  <c:v>-0.9928904938623857</c:v>
                </c:pt>
                <c:pt idx="34">
                  <c:v>-1.0508544350118136</c:v>
                </c:pt>
                <c:pt idx="35">
                  <c:v>-0.98045609804336564</c:v>
                </c:pt>
                <c:pt idx="36">
                  <c:v>-0.9755827520901984</c:v>
                </c:pt>
                <c:pt idx="37">
                  <c:v>-1.1577491675385372</c:v>
                </c:pt>
                <c:pt idx="38">
                  <c:v>-1.1107022860062028</c:v>
                </c:pt>
                <c:pt idx="39">
                  <c:v>-1.07286794666139</c:v>
                </c:pt>
                <c:pt idx="40">
                  <c:v>-1.0291180772580388</c:v>
                </c:pt>
                <c:pt idx="41">
                  <c:v>-0.9199279501400166</c:v>
                </c:pt>
                <c:pt idx="42">
                  <c:v>-0.96510255969129033</c:v>
                </c:pt>
                <c:pt idx="43">
                  <c:v>-0.95953343007060332</c:v>
                </c:pt>
                <c:pt idx="44">
                  <c:v>-0.82458781411527293</c:v>
                </c:pt>
                <c:pt idx="45">
                  <c:v>-0.77801290112427057</c:v>
                </c:pt>
                <c:pt idx="46">
                  <c:v>-0.75345254080971868</c:v>
                </c:pt>
                <c:pt idx="47">
                  <c:v>-0.68829961701332987</c:v>
                </c:pt>
                <c:pt idx="48">
                  <c:v>-0.68060271870380562</c:v>
                </c:pt>
                <c:pt idx="49">
                  <c:v>-0.72208201312095366</c:v>
                </c:pt>
                <c:pt idx="50">
                  <c:v>-0.63303567686931139</c:v>
                </c:pt>
                <c:pt idx="51">
                  <c:v>-0.49550223720303388</c:v>
                </c:pt>
                <c:pt idx="52">
                  <c:v>-0.46135749527244646</c:v>
                </c:pt>
                <c:pt idx="53">
                  <c:v>-0.37720057454295464</c:v>
                </c:pt>
                <c:pt idx="54">
                  <c:v>-0.32247807388006072</c:v>
                </c:pt>
                <c:pt idx="55">
                  <c:v>-0.38027080767561539</c:v>
                </c:pt>
                <c:pt idx="56">
                  <c:v>-0.36724925557979643</c:v>
                </c:pt>
                <c:pt idx="57">
                  <c:v>-0.43590926877813213</c:v>
                </c:pt>
                <c:pt idx="58">
                  <c:v>-0.36848371010409503</c:v>
                </c:pt>
                <c:pt idx="59">
                  <c:v>-0.32232867533016968</c:v>
                </c:pt>
                <c:pt idx="60">
                  <c:v>-0.32744707995479383</c:v>
                </c:pt>
                <c:pt idx="61">
                  <c:v>-0.39308353957863701</c:v>
                </c:pt>
                <c:pt idx="62">
                  <c:v>-0.44757637149246526</c:v>
                </c:pt>
                <c:pt idx="63">
                  <c:v>-0.48324699123867176</c:v>
                </c:pt>
                <c:pt idx="64">
                  <c:v>-0.42480904836027672</c:v>
                </c:pt>
                <c:pt idx="65">
                  <c:v>-0.4398423276485604</c:v>
                </c:pt>
                <c:pt idx="66">
                  <c:v>-0.47960846583171213</c:v>
                </c:pt>
                <c:pt idx="67">
                  <c:v>-0.55466546164426034</c:v>
                </c:pt>
                <c:pt idx="68">
                  <c:v>-0.53481218382962492</c:v>
                </c:pt>
                <c:pt idx="69">
                  <c:v>-0.58403942525068087</c:v>
                </c:pt>
                <c:pt idx="70">
                  <c:v>-0.58648562485427469</c:v>
                </c:pt>
                <c:pt idx="71">
                  <c:v>-0.55284683631056442</c:v>
                </c:pt>
                <c:pt idx="72">
                  <c:v>-0.74711633235035013</c:v>
                </c:pt>
                <c:pt idx="73">
                  <c:v>-0.70396084856630314</c:v>
                </c:pt>
                <c:pt idx="74">
                  <c:v>-0.80786844647287881</c:v>
                </c:pt>
                <c:pt idx="75">
                  <c:v>-0.7309127268031731</c:v>
                </c:pt>
                <c:pt idx="76">
                  <c:v>-0.55134896119986254</c:v>
                </c:pt>
                <c:pt idx="77">
                  <c:v>-0.49873697955228719</c:v>
                </c:pt>
                <c:pt idx="78">
                  <c:v>-0.37734446446306108</c:v>
                </c:pt>
                <c:pt idx="79">
                  <c:v>-0.39914939620597201</c:v>
                </c:pt>
                <c:pt idx="80">
                  <c:v>-0.27858602555078521</c:v>
                </c:pt>
                <c:pt idx="81">
                  <c:v>-0.19966556385601003</c:v>
                </c:pt>
                <c:pt idx="82">
                  <c:v>-0.45881456447757762</c:v>
                </c:pt>
                <c:pt idx="83">
                  <c:v>-0.39129478532963929</c:v>
                </c:pt>
                <c:pt idx="84">
                  <c:v>-0.35414984000928429</c:v>
                </c:pt>
                <c:pt idx="85">
                  <c:v>-0.36083183841727562</c:v>
                </c:pt>
                <c:pt idx="86">
                  <c:v>-0.33082608901352251</c:v>
                </c:pt>
                <c:pt idx="87">
                  <c:v>-0.23568827141491797</c:v>
                </c:pt>
                <c:pt idx="88">
                  <c:v>-0.18240710656334186</c:v>
                </c:pt>
                <c:pt idx="89">
                  <c:v>-0.26827923941105669</c:v>
                </c:pt>
                <c:pt idx="90">
                  <c:v>-0.43297604430331199</c:v>
                </c:pt>
                <c:pt idx="91">
                  <c:v>-0.3299732162706886</c:v>
                </c:pt>
                <c:pt idx="92">
                  <c:v>-0.33642150570059948</c:v>
                </c:pt>
                <c:pt idx="93">
                  <c:v>-0.30203322206060285</c:v>
                </c:pt>
                <c:pt idx="94">
                  <c:v>-0.27738455139994128</c:v>
                </c:pt>
                <c:pt idx="95">
                  <c:v>-0.30881106123269275</c:v>
                </c:pt>
                <c:pt idx="96">
                  <c:v>-0.47964018188264557</c:v>
                </c:pt>
                <c:pt idx="97">
                  <c:v>-0.45141697038943535</c:v>
                </c:pt>
                <c:pt idx="98">
                  <c:v>-0.46269635005712739</c:v>
                </c:pt>
                <c:pt idx="99">
                  <c:v>-0.54840669282425802</c:v>
                </c:pt>
                <c:pt idx="100">
                  <c:v>-0.57310076500927909</c:v>
                </c:pt>
                <c:pt idx="101">
                  <c:v>-0.4821769722152966</c:v>
                </c:pt>
                <c:pt idx="102">
                  <c:v>-0.54279879823676125</c:v>
                </c:pt>
                <c:pt idx="103">
                  <c:v>-0.5710361756730048</c:v>
                </c:pt>
                <c:pt idx="104">
                  <c:v>-0.63984667974206633</c:v>
                </c:pt>
                <c:pt idx="105">
                  <c:v>-0.48765890105690046</c:v>
                </c:pt>
                <c:pt idx="106">
                  <c:v>-0.56503552144920921</c:v>
                </c:pt>
                <c:pt idx="107">
                  <c:v>-0.55215663898353118</c:v>
                </c:pt>
                <c:pt idx="108">
                  <c:v>-0.65016595106580588</c:v>
                </c:pt>
                <c:pt idx="109">
                  <c:v>-0.58424213878658826</c:v>
                </c:pt>
                <c:pt idx="110">
                  <c:v>-0.58458645063750214</c:v>
                </c:pt>
                <c:pt idx="111">
                  <c:v>-0.52180748142411226</c:v>
                </c:pt>
                <c:pt idx="112">
                  <c:v>-0.4381296803008965</c:v>
                </c:pt>
                <c:pt idx="113">
                  <c:v>-0.43652634428224291</c:v>
                </c:pt>
                <c:pt idx="114">
                  <c:v>-0.4495096414378833</c:v>
                </c:pt>
                <c:pt idx="115">
                  <c:v>-0.46399587576957801</c:v>
                </c:pt>
                <c:pt idx="116">
                  <c:v>-0.44289346603848212</c:v>
                </c:pt>
                <c:pt idx="117">
                  <c:v>-0.45630489201255997</c:v>
                </c:pt>
                <c:pt idx="118">
                  <c:v>-0.41273975837894061</c:v>
                </c:pt>
                <c:pt idx="119">
                  <c:v>-0.38704158332412064</c:v>
                </c:pt>
                <c:pt idx="120">
                  <c:v>-0.29037462171022299</c:v>
                </c:pt>
                <c:pt idx="121">
                  <c:v>-0.3903329600339025</c:v>
                </c:pt>
                <c:pt idx="122">
                  <c:v>-0.34983864258746011</c:v>
                </c:pt>
                <c:pt idx="123">
                  <c:v>-0.3308539354733635</c:v>
                </c:pt>
                <c:pt idx="124">
                  <c:v>-0.32262760126095735</c:v>
                </c:pt>
                <c:pt idx="125">
                  <c:v>-0.40742777834842103</c:v>
                </c:pt>
                <c:pt idx="126">
                  <c:v>-0.28993634803825685</c:v>
                </c:pt>
                <c:pt idx="127">
                  <c:v>-0.28541890073957887</c:v>
                </c:pt>
                <c:pt idx="128">
                  <c:v>-0.2795073643489942</c:v>
                </c:pt>
                <c:pt idx="129">
                  <c:v>-0.35609822446043032</c:v>
                </c:pt>
                <c:pt idx="130">
                  <c:v>-0.36108543701755413</c:v>
                </c:pt>
                <c:pt idx="131">
                  <c:v>-0.41319721530949471</c:v>
                </c:pt>
                <c:pt idx="132">
                  <c:v>-0.40357965601257589</c:v>
                </c:pt>
                <c:pt idx="133">
                  <c:v>-0.44849260519129774</c:v>
                </c:pt>
                <c:pt idx="134">
                  <c:v>-0.45454120774642959</c:v>
                </c:pt>
                <c:pt idx="135">
                  <c:v>-0.51079226610677708</c:v>
                </c:pt>
                <c:pt idx="136">
                  <c:v>-0.60618712892798088</c:v>
                </c:pt>
                <c:pt idx="137">
                  <c:v>-0.68925181143189784</c:v>
                </c:pt>
                <c:pt idx="138">
                  <c:v>-0.79125054748861823</c:v>
                </c:pt>
                <c:pt idx="139">
                  <c:v>-0.83280822798985521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57-47AE-901B-98D9AE0C0E57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-8.8824306176499002E-2</c:v>
                </c:pt>
                <c:pt idx="2">
                  <c:v>-1.4338644814220508E-2</c:v>
                </c:pt>
                <c:pt idx="3">
                  <c:v>-6.739584184762698E-2</c:v>
                </c:pt>
                <c:pt idx="4">
                  <c:v>-0.22233312354253118</c:v>
                </c:pt>
                <c:pt idx="5">
                  <c:v>-0.30491441246652173</c:v>
                </c:pt>
                <c:pt idx="6">
                  <c:v>-0.42095271802997741</c:v>
                </c:pt>
                <c:pt idx="7">
                  <c:v>-0.36859623702153371</c:v>
                </c:pt>
                <c:pt idx="8">
                  <c:v>-0.40410865191101031</c:v>
                </c:pt>
                <c:pt idx="9">
                  <c:v>-0.41988380096643885</c:v>
                </c:pt>
                <c:pt idx="10">
                  <c:v>-0.57874336411895166</c:v>
                </c:pt>
                <c:pt idx="11">
                  <c:v>-0.86165917445774987</c:v>
                </c:pt>
                <c:pt idx="12">
                  <c:v>-0.80579772539766048</c:v>
                </c:pt>
                <c:pt idx="13">
                  <c:v>-0.72614816328453735</c:v>
                </c:pt>
                <c:pt idx="14">
                  <c:v>-0.77416849383756769</c:v>
                </c:pt>
                <c:pt idx="15">
                  <c:v>-0.84206524847940856</c:v>
                </c:pt>
                <c:pt idx="16">
                  <c:v>-0.95065377783181482</c:v>
                </c:pt>
                <c:pt idx="17">
                  <c:v>-0.98590590706143155</c:v>
                </c:pt>
                <c:pt idx="18">
                  <c:v>-1.0578931379490049</c:v>
                </c:pt>
                <c:pt idx="19">
                  <c:v>-1.0573710542169661</c:v>
                </c:pt>
                <c:pt idx="20">
                  <c:v>-0.96468430678972694</c:v>
                </c:pt>
                <c:pt idx="21">
                  <c:v>-0.89757955520709309</c:v>
                </c:pt>
                <c:pt idx="22">
                  <c:v>-0.88134233957345431</c:v>
                </c:pt>
                <c:pt idx="23">
                  <c:v>-0.80060715732411469</c:v>
                </c:pt>
                <c:pt idx="24">
                  <c:v>-0.84674009081424528</c:v>
                </c:pt>
                <c:pt idx="25">
                  <c:v>-0.72575078941463456</c:v>
                </c:pt>
                <c:pt idx="26">
                  <c:v>-0.75491819090038681</c:v>
                </c:pt>
                <c:pt idx="27">
                  <c:v>-0.74303465693185022</c:v>
                </c:pt>
                <c:pt idx="28">
                  <c:v>-0.93740483047614731</c:v>
                </c:pt>
                <c:pt idx="29">
                  <c:v>-1.0237920276067127</c:v>
                </c:pt>
                <c:pt idx="30">
                  <c:v>-1.0132983620153473</c:v>
                </c:pt>
                <c:pt idx="31">
                  <c:v>-0.95472139062239425</c:v>
                </c:pt>
                <c:pt idx="32">
                  <c:v>-0.98410253815159998</c:v>
                </c:pt>
                <c:pt idx="33">
                  <c:v>-0.9483824552416078</c:v>
                </c:pt>
                <c:pt idx="34">
                  <c:v>-1.0128038560739798</c:v>
                </c:pt>
                <c:pt idx="35">
                  <c:v>-0.93170801685729221</c:v>
                </c:pt>
                <c:pt idx="36">
                  <c:v>-0.93353316069105008</c:v>
                </c:pt>
                <c:pt idx="37">
                  <c:v>-1.0461907836755062</c:v>
                </c:pt>
                <c:pt idx="38">
                  <c:v>-1.0017711113341785</c:v>
                </c:pt>
                <c:pt idx="39">
                  <c:v>-0.93881563533123613</c:v>
                </c:pt>
                <c:pt idx="40">
                  <c:v>-0.89342004046334222</c:v>
                </c:pt>
                <c:pt idx="41">
                  <c:v>-0.78276700637526875</c:v>
                </c:pt>
                <c:pt idx="42">
                  <c:v>-0.82638513810260594</c:v>
                </c:pt>
                <c:pt idx="43">
                  <c:v>-0.82142590338468158</c:v>
                </c:pt>
                <c:pt idx="44">
                  <c:v>-0.6827252543620832</c:v>
                </c:pt>
                <c:pt idx="45">
                  <c:v>-0.61766722492194104</c:v>
                </c:pt>
                <c:pt idx="46">
                  <c:v>-0.61813053662464812</c:v>
                </c:pt>
                <c:pt idx="47">
                  <c:v>-0.55470987596082577</c:v>
                </c:pt>
                <c:pt idx="48">
                  <c:v>-0.559421274379305</c:v>
                </c:pt>
                <c:pt idx="49">
                  <c:v>-0.57757667264007961</c:v>
                </c:pt>
                <c:pt idx="50">
                  <c:v>-0.49843286466940689</c:v>
                </c:pt>
                <c:pt idx="51">
                  <c:v>-0.3654542079096989</c:v>
                </c:pt>
                <c:pt idx="52">
                  <c:v>-0.33064681108145866</c:v>
                </c:pt>
                <c:pt idx="53">
                  <c:v>-0.23985941976178196</c:v>
                </c:pt>
                <c:pt idx="54">
                  <c:v>-0.19259781014326235</c:v>
                </c:pt>
                <c:pt idx="55">
                  <c:v>-0.25164566687408585</c:v>
                </c:pt>
                <c:pt idx="56">
                  <c:v>-0.23029072140319878</c:v>
                </c:pt>
                <c:pt idx="57">
                  <c:v>-0.28950570031402095</c:v>
                </c:pt>
                <c:pt idx="58">
                  <c:v>-0.23846005162059247</c:v>
                </c:pt>
                <c:pt idx="59">
                  <c:v>-0.1872950676893671</c:v>
                </c:pt>
                <c:pt idx="60">
                  <c:v>-0.21783433384503079</c:v>
                </c:pt>
                <c:pt idx="61">
                  <c:v>-0.28991810765456344</c:v>
                </c:pt>
                <c:pt idx="62">
                  <c:v>-0.33437970183845805</c:v>
                </c:pt>
                <c:pt idx="63">
                  <c:v>-0.3560335392853663</c:v>
                </c:pt>
                <c:pt idx="64">
                  <c:v>-0.31479831769994715</c:v>
                </c:pt>
                <c:pt idx="65">
                  <c:v>-0.32602985272754509</c:v>
                </c:pt>
                <c:pt idx="66">
                  <c:v>-0.37272582498047307</c:v>
                </c:pt>
                <c:pt idx="67">
                  <c:v>-0.433315123059548</c:v>
                </c:pt>
                <c:pt idx="68">
                  <c:v>-0.42404176964135432</c:v>
                </c:pt>
                <c:pt idx="69">
                  <c:v>-0.4742013639483923</c:v>
                </c:pt>
                <c:pt idx="70">
                  <c:v>-0.44079471976291112</c:v>
                </c:pt>
                <c:pt idx="71">
                  <c:v>-0.41466854898354727</c:v>
                </c:pt>
                <c:pt idx="72">
                  <c:v>-0.62749919015925248</c:v>
                </c:pt>
                <c:pt idx="73">
                  <c:v>-0.58082128070933425</c:v>
                </c:pt>
                <c:pt idx="74">
                  <c:v>-0.68202349808274443</c:v>
                </c:pt>
                <c:pt idx="75">
                  <c:v>-0.57701982168582278</c:v>
                </c:pt>
                <c:pt idx="76">
                  <c:v>-0.40556649817525209</c:v>
                </c:pt>
                <c:pt idx="77">
                  <c:v>-0.34610052800930752</c:v>
                </c:pt>
                <c:pt idx="78">
                  <c:v>-0.27705764008901446</c:v>
                </c:pt>
                <c:pt idx="79">
                  <c:v>-0.29560323519322801</c:v>
                </c:pt>
                <c:pt idx="80">
                  <c:v>-0.22583999396181409</c:v>
                </c:pt>
                <c:pt idx="81">
                  <c:v>-0.14289965776506258</c:v>
                </c:pt>
                <c:pt idx="82">
                  <c:v>-0.38694756929781671</c:v>
                </c:pt>
                <c:pt idx="83">
                  <c:v>-0.33889306475210756</c:v>
                </c:pt>
                <c:pt idx="84">
                  <c:v>-0.28980332350207383</c:v>
                </c:pt>
                <c:pt idx="85">
                  <c:v>-0.27763026551843351</c:v>
                </c:pt>
                <c:pt idx="86">
                  <c:v>-0.24135061129793101</c:v>
                </c:pt>
                <c:pt idx="87">
                  <c:v>-0.1280936435192323</c:v>
                </c:pt>
                <c:pt idx="88">
                  <c:v>-7.5969572751576162E-2</c:v>
                </c:pt>
                <c:pt idx="89">
                  <c:v>-0.13734944768890153</c:v>
                </c:pt>
                <c:pt idx="90">
                  <c:v>-0.32035342078394802</c:v>
                </c:pt>
                <c:pt idx="91">
                  <c:v>-0.20761378909822362</c:v>
                </c:pt>
                <c:pt idx="92">
                  <c:v>-0.28327375772242874</c:v>
                </c:pt>
                <c:pt idx="93">
                  <c:v>-0.25254956607780127</c:v>
                </c:pt>
                <c:pt idx="94">
                  <c:v>-0.23713652095667398</c:v>
                </c:pt>
                <c:pt idx="95">
                  <c:v>-0.26900076320489902</c:v>
                </c:pt>
                <c:pt idx="96">
                  <c:v>-0.44189698442093411</c:v>
                </c:pt>
                <c:pt idx="97">
                  <c:v>-0.41641677747284739</c:v>
                </c:pt>
                <c:pt idx="98">
                  <c:v>-0.42297568585110362</c:v>
                </c:pt>
                <c:pt idx="99">
                  <c:v>-0.54899364510852056</c:v>
                </c:pt>
                <c:pt idx="100">
                  <c:v>-0.57848775413695175</c:v>
                </c:pt>
                <c:pt idx="101">
                  <c:v>-0.45977637632331886</c:v>
                </c:pt>
                <c:pt idx="102">
                  <c:v>-0.5534802103331451</c:v>
                </c:pt>
                <c:pt idx="103">
                  <c:v>-0.58892199634367948</c:v>
                </c:pt>
                <c:pt idx="104">
                  <c:v>-0.66533311731043698</c:v>
                </c:pt>
                <c:pt idx="105">
                  <c:v>-0.50133078250565155</c:v>
                </c:pt>
                <c:pt idx="106">
                  <c:v>-0.55378089318377588</c:v>
                </c:pt>
                <c:pt idx="107">
                  <c:v>-0.534152515402052</c:v>
                </c:pt>
                <c:pt idx="108">
                  <c:v>-0.62285527764231174</c:v>
                </c:pt>
                <c:pt idx="109">
                  <c:v>-0.57479114756171479</c:v>
                </c:pt>
                <c:pt idx="110">
                  <c:v>-0.56311725718776562</c:v>
                </c:pt>
                <c:pt idx="111">
                  <c:v>-0.50359880086898778</c:v>
                </c:pt>
                <c:pt idx="112">
                  <c:v>-0.42033820696993068</c:v>
                </c:pt>
                <c:pt idx="113">
                  <c:v>-0.41166129373295751</c:v>
                </c:pt>
                <c:pt idx="114">
                  <c:v>-0.37490154661397584</c:v>
                </c:pt>
                <c:pt idx="115">
                  <c:v>-0.37323541811134997</c:v>
                </c:pt>
                <c:pt idx="116">
                  <c:v>-0.34065147832061016</c:v>
                </c:pt>
                <c:pt idx="117">
                  <c:v>-0.335458320790395</c:v>
                </c:pt>
                <c:pt idx="118">
                  <c:v>-0.29653589456654833</c:v>
                </c:pt>
                <c:pt idx="119">
                  <c:v>-0.25870439763393427</c:v>
                </c:pt>
                <c:pt idx="120">
                  <c:v>-0.14225782908629048</c:v>
                </c:pt>
                <c:pt idx="121">
                  <c:v>-0.25496559972040239</c:v>
                </c:pt>
                <c:pt idx="122">
                  <c:v>-0.23959027226541751</c:v>
                </c:pt>
                <c:pt idx="123">
                  <c:v>-0.22041693199820703</c:v>
                </c:pt>
                <c:pt idx="124">
                  <c:v>-0.18267393454264635</c:v>
                </c:pt>
                <c:pt idx="125">
                  <c:v>-0.24695893516124945</c:v>
                </c:pt>
                <c:pt idx="126">
                  <c:v>-0.13248863284019086</c:v>
                </c:pt>
                <c:pt idx="127">
                  <c:v>-0.11937696402647435</c:v>
                </c:pt>
                <c:pt idx="128">
                  <c:v>-0.12051953375641467</c:v>
                </c:pt>
                <c:pt idx="129">
                  <c:v>-0.19383856090065174</c:v>
                </c:pt>
                <c:pt idx="130">
                  <c:v>-0.20858980643672489</c:v>
                </c:pt>
                <c:pt idx="131">
                  <c:v>-0.26776986775374956</c:v>
                </c:pt>
                <c:pt idx="132">
                  <c:v>-0.25623226045210984</c:v>
                </c:pt>
                <c:pt idx="133">
                  <c:v>-0.31647490042503967</c:v>
                </c:pt>
                <c:pt idx="134">
                  <c:v>-0.31809617949629654</c:v>
                </c:pt>
                <c:pt idx="135">
                  <c:v>-0.3861151525068825</c:v>
                </c:pt>
                <c:pt idx="136">
                  <c:v>-0.48660279245922777</c:v>
                </c:pt>
                <c:pt idx="137">
                  <c:v>-0.56421392752113553</c:v>
                </c:pt>
                <c:pt idx="138">
                  <c:v>-0.70339606922924736</c:v>
                </c:pt>
                <c:pt idx="139">
                  <c:v>-0.72375387928214496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57-47AE-901B-98D9AE0C0E57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-0.1080759683840035</c:v>
                </c:pt>
                <c:pt idx="2">
                  <c:v>-3.1373341960315299E-2</c:v>
                </c:pt>
                <c:pt idx="3">
                  <c:v>-8.7864368791779612E-2</c:v>
                </c:pt>
                <c:pt idx="4">
                  <c:v>-0.25666121410981341</c:v>
                </c:pt>
                <c:pt idx="5">
                  <c:v>-0.29661450933433103</c:v>
                </c:pt>
                <c:pt idx="6">
                  <c:v>-0.41972188521672271</c:v>
                </c:pt>
                <c:pt idx="7">
                  <c:v>-0.37584070687175475</c:v>
                </c:pt>
                <c:pt idx="8">
                  <c:v>-0.42219275373491055</c:v>
                </c:pt>
                <c:pt idx="9">
                  <c:v>-0.41455435289196968</c:v>
                </c:pt>
                <c:pt idx="10">
                  <c:v>-0.59511075430461546</c:v>
                </c:pt>
                <c:pt idx="11">
                  <c:v>-0.91438971468994823</c:v>
                </c:pt>
                <c:pt idx="12">
                  <c:v>-0.88781533404953017</c:v>
                </c:pt>
                <c:pt idx="13">
                  <c:v>-0.80061878500869299</c:v>
                </c:pt>
                <c:pt idx="14">
                  <c:v>-0.85083786190194366</c:v>
                </c:pt>
                <c:pt idx="15">
                  <c:v>-0.92173740571952356</c:v>
                </c:pt>
                <c:pt idx="16">
                  <c:v>-1.0549636160831233</c:v>
                </c:pt>
                <c:pt idx="17">
                  <c:v>-1.0974605018767654</c:v>
                </c:pt>
                <c:pt idx="18">
                  <c:v>-1.1710661838998986</c:v>
                </c:pt>
                <c:pt idx="19">
                  <c:v>-1.1812649430306399</c:v>
                </c:pt>
                <c:pt idx="20">
                  <c:v>-1.0831940139804235</c:v>
                </c:pt>
                <c:pt idx="21">
                  <c:v>-1.0229135001008123</c:v>
                </c:pt>
                <c:pt idx="22">
                  <c:v>-1.0199208546339271</c:v>
                </c:pt>
                <c:pt idx="23">
                  <c:v>-0.93409082813900213</c:v>
                </c:pt>
                <c:pt idx="24">
                  <c:v>-0.98521985580926885</c:v>
                </c:pt>
                <c:pt idx="25">
                  <c:v>-0.86441756402863856</c:v>
                </c:pt>
                <c:pt idx="26">
                  <c:v>-0.90390582518926754</c:v>
                </c:pt>
                <c:pt idx="27">
                  <c:v>-0.89166787768878564</c:v>
                </c:pt>
                <c:pt idx="28">
                  <c:v>-1.0665071273005586</c:v>
                </c:pt>
                <c:pt idx="29">
                  <c:v>-1.1301526548410521</c:v>
                </c:pt>
                <c:pt idx="30">
                  <c:v>-1.1076414608369891</c:v>
                </c:pt>
                <c:pt idx="31">
                  <c:v>-1.0138729004884688</c:v>
                </c:pt>
                <c:pt idx="32">
                  <c:v>-1.0419876385282665</c:v>
                </c:pt>
                <c:pt idx="33">
                  <c:v>-0.99942798266819333</c:v>
                </c:pt>
                <c:pt idx="34">
                  <c:v>-1.0312404686680132</c:v>
                </c:pt>
                <c:pt idx="35">
                  <c:v>-0.9449552219725148</c:v>
                </c:pt>
                <c:pt idx="36">
                  <c:v>-0.94379068948948253</c:v>
                </c:pt>
                <c:pt idx="37">
                  <c:v>-1.0684031754232524</c:v>
                </c:pt>
                <c:pt idx="38">
                  <c:v>-1.0396522516760009</c:v>
                </c:pt>
                <c:pt idx="39">
                  <c:v>-0.95444948105398009</c:v>
                </c:pt>
                <c:pt idx="40">
                  <c:v>-0.91860909306549676</c:v>
                </c:pt>
                <c:pt idx="41">
                  <c:v>-0.79249864743108966</c:v>
                </c:pt>
                <c:pt idx="42">
                  <c:v>-0.84350017980137815</c:v>
                </c:pt>
                <c:pt idx="43">
                  <c:v>-0.81504069107384602</c:v>
                </c:pt>
                <c:pt idx="44">
                  <c:v>-0.67726748518800561</c:v>
                </c:pt>
                <c:pt idx="45">
                  <c:v>-0.60508027025155686</c:v>
                </c:pt>
                <c:pt idx="46">
                  <c:v>-0.59255260399797005</c:v>
                </c:pt>
                <c:pt idx="47">
                  <c:v>-0.51741985568523052</c:v>
                </c:pt>
                <c:pt idx="48">
                  <c:v>-0.52225288864219377</c:v>
                </c:pt>
                <c:pt idx="49">
                  <c:v>-0.5022709654854941</c:v>
                </c:pt>
                <c:pt idx="50">
                  <c:v>-0.39308672128706551</c:v>
                </c:pt>
                <c:pt idx="51">
                  <c:v>-0.25076934594789102</c:v>
                </c:pt>
                <c:pt idx="52">
                  <c:v>-0.19843774982724197</c:v>
                </c:pt>
                <c:pt idx="53">
                  <c:v>-0.12026532919953646</c:v>
                </c:pt>
                <c:pt idx="54">
                  <c:v>-8.366693661546068E-2</c:v>
                </c:pt>
                <c:pt idx="55">
                  <c:v>-0.10702484649481758</c:v>
                </c:pt>
                <c:pt idx="56">
                  <c:v>-0.11790145146900706</c:v>
                </c:pt>
                <c:pt idx="57">
                  <c:v>-0.18199910698606103</c:v>
                </c:pt>
                <c:pt idx="58">
                  <c:v>-0.10842967318759472</c:v>
                </c:pt>
                <c:pt idx="59">
                  <c:v>-3.0843887345289617E-2</c:v>
                </c:pt>
                <c:pt idx="60">
                  <c:v>-8.6478205502894687E-2</c:v>
                </c:pt>
                <c:pt idx="61">
                  <c:v>-0.16476555099749779</c:v>
                </c:pt>
                <c:pt idx="62">
                  <c:v>-0.1884513244010852</c:v>
                </c:pt>
                <c:pt idx="63">
                  <c:v>-0.20623661678598582</c:v>
                </c:pt>
                <c:pt idx="64">
                  <c:v>-0.18043037498382095</c:v>
                </c:pt>
                <c:pt idx="65">
                  <c:v>-0.19383513038859332</c:v>
                </c:pt>
                <c:pt idx="66">
                  <c:v>-0.24845508408462952</c:v>
                </c:pt>
                <c:pt idx="67">
                  <c:v>-0.2809237595584605</c:v>
                </c:pt>
                <c:pt idx="68">
                  <c:v>-0.27029525858073394</c:v>
                </c:pt>
                <c:pt idx="69">
                  <c:v>-0.29743124014446515</c:v>
                </c:pt>
                <c:pt idx="70">
                  <c:v>-0.2615231900846986</c:v>
                </c:pt>
                <c:pt idx="71">
                  <c:v>-0.23774626995750536</c:v>
                </c:pt>
                <c:pt idx="72">
                  <c:v>-0.47199693046902125</c:v>
                </c:pt>
                <c:pt idx="73">
                  <c:v>-0.42015193722955985</c:v>
                </c:pt>
                <c:pt idx="74">
                  <c:v>-0.52499828513885727</c:v>
                </c:pt>
                <c:pt idx="75">
                  <c:v>-0.40682136936119778</c:v>
                </c:pt>
                <c:pt idx="76">
                  <c:v>-0.27756832480633209</c:v>
                </c:pt>
                <c:pt idx="77">
                  <c:v>-0.22125788102050636</c:v>
                </c:pt>
                <c:pt idx="78">
                  <c:v>-0.15685130688991392</c:v>
                </c:pt>
                <c:pt idx="79">
                  <c:v>-0.15513847636860759</c:v>
                </c:pt>
                <c:pt idx="80">
                  <c:v>-6.625496200139519E-2</c:v>
                </c:pt>
                <c:pt idx="81">
                  <c:v>9.1377220829371164E-3</c:v>
                </c:pt>
                <c:pt idx="82">
                  <c:v>-0.14832355174682729</c:v>
                </c:pt>
                <c:pt idx="83">
                  <c:v>-6.5451171947158313E-2</c:v>
                </c:pt>
                <c:pt idx="84">
                  <c:v>-9.5378831411307707E-3</c:v>
                </c:pt>
                <c:pt idx="85">
                  <c:v>1.1203272344338749E-2</c:v>
                </c:pt>
                <c:pt idx="86">
                  <c:v>5.5399641953756809E-2</c:v>
                </c:pt>
                <c:pt idx="87">
                  <c:v>0.16364595961412443</c:v>
                </c:pt>
                <c:pt idx="88">
                  <c:v>0.20233205089526696</c:v>
                </c:pt>
                <c:pt idx="89">
                  <c:v>0.13073031702564178</c:v>
                </c:pt>
                <c:pt idx="90">
                  <c:v>-6.3889101338690246E-3</c:v>
                </c:pt>
                <c:pt idx="91">
                  <c:v>0.11378690167795077</c:v>
                </c:pt>
                <c:pt idx="92">
                  <c:v>4.7633950440454639E-2</c:v>
                </c:pt>
                <c:pt idx="93">
                  <c:v>7.6917631157870495E-2</c:v>
                </c:pt>
                <c:pt idx="94">
                  <c:v>9.1665645320497091E-2</c:v>
                </c:pt>
                <c:pt idx="95">
                  <c:v>5.151029972112512E-2</c:v>
                </c:pt>
                <c:pt idx="96">
                  <c:v>-9.082827360594839E-2</c:v>
                </c:pt>
                <c:pt idx="97">
                  <c:v>-7.3330701749150712E-2</c:v>
                </c:pt>
                <c:pt idx="98">
                  <c:v>-8.2560922661215466E-2</c:v>
                </c:pt>
                <c:pt idx="99">
                  <c:v>-0.20822557040769268</c:v>
                </c:pt>
                <c:pt idx="100">
                  <c:v>-0.23242528300921853</c:v>
                </c:pt>
                <c:pt idx="101">
                  <c:v>-6.6186503198936236E-2</c:v>
                </c:pt>
                <c:pt idx="102">
                  <c:v>-0.14232126078794952</c:v>
                </c:pt>
                <c:pt idx="103">
                  <c:v>-0.16376632932569044</c:v>
                </c:pt>
                <c:pt idx="104">
                  <c:v>-0.23190892154062454</c:v>
                </c:pt>
                <c:pt idx="105">
                  <c:v>-7.0682148247991627E-2</c:v>
                </c:pt>
                <c:pt idx="106">
                  <c:v>-9.1298465183887165E-2</c:v>
                </c:pt>
                <c:pt idx="107">
                  <c:v>-6.53894655688433E-2</c:v>
                </c:pt>
                <c:pt idx="108">
                  <c:v>-0.16278287375012834</c:v>
                </c:pt>
                <c:pt idx="109">
                  <c:v>-9.796391319935388E-2</c:v>
                </c:pt>
                <c:pt idx="110">
                  <c:v>-9.9004872448047357E-2</c:v>
                </c:pt>
                <c:pt idx="111">
                  <c:v>-3.2832048746307893E-2</c:v>
                </c:pt>
                <c:pt idx="112">
                  <c:v>6.2944736568638873E-2</c:v>
                </c:pt>
                <c:pt idx="113">
                  <c:v>7.7935504532581024E-2</c:v>
                </c:pt>
                <c:pt idx="114">
                  <c:v>0.1213781015552878</c:v>
                </c:pt>
                <c:pt idx="115">
                  <c:v>0.12806662780540087</c:v>
                </c:pt>
                <c:pt idx="116">
                  <c:v>0.16994203379691075</c:v>
                </c:pt>
                <c:pt idx="117">
                  <c:v>0.17849306231030054</c:v>
                </c:pt>
                <c:pt idx="118">
                  <c:v>0.21782921282672563</c:v>
                </c:pt>
                <c:pt idx="119">
                  <c:v>0.27155733321753717</c:v>
                </c:pt>
                <c:pt idx="120">
                  <c:v>0.42140480952497367</c:v>
                </c:pt>
                <c:pt idx="121">
                  <c:v>0.3139083450317306</c:v>
                </c:pt>
                <c:pt idx="122">
                  <c:v>0.35991623555903979</c:v>
                </c:pt>
                <c:pt idx="123">
                  <c:v>0.38892907895764323</c:v>
                </c:pt>
                <c:pt idx="124">
                  <c:v>0.41393128014925196</c:v>
                </c:pt>
                <c:pt idx="125">
                  <c:v>0.3415707588199608</c:v>
                </c:pt>
                <c:pt idx="126">
                  <c:v>0.48250103450993431</c:v>
                </c:pt>
                <c:pt idx="127">
                  <c:v>0.48568447992087627</c:v>
                </c:pt>
                <c:pt idx="128">
                  <c:v>0.45253678009113174</c:v>
                </c:pt>
                <c:pt idx="129">
                  <c:v>0.37600677908820712</c:v>
                </c:pt>
                <c:pt idx="130">
                  <c:v>0.38818355393072251</c:v>
                </c:pt>
                <c:pt idx="131">
                  <c:v>0.33658411292419427</c:v>
                </c:pt>
                <c:pt idx="132">
                  <c:v>0.36269705251823453</c:v>
                </c:pt>
                <c:pt idx="133">
                  <c:v>0.2909769328299151</c:v>
                </c:pt>
                <c:pt idx="134">
                  <c:v>0.3191333708784343</c:v>
                </c:pt>
                <c:pt idx="135">
                  <c:v>0.26006014597440341</c:v>
                </c:pt>
                <c:pt idx="136">
                  <c:v>0.17051637830165478</c:v>
                </c:pt>
                <c:pt idx="137">
                  <c:v>9.3643972863241276E-2</c:v>
                </c:pt>
                <c:pt idx="138">
                  <c:v>-3.4590344346877216E-2</c:v>
                </c:pt>
                <c:pt idx="139">
                  <c:v>-5.3929991277168632E-2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57-47AE-901B-98D9AE0C0E57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-3.182509065277811E-2</c:v>
                </c:pt>
                <c:pt idx="2">
                  <c:v>6.835989623107129E-2</c:v>
                </c:pt>
                <c:pt idx="3">
                  <c:v>3.8693939016527928E-2</c:v>
                </c:pt>
                <c:pt idx="4">
                  <c:v>-0.15341024987211047</c:v>
                </c:pt>
                <c:pt idx="5">
                  <c:v>-0.21546293392165355</c:v>
                </c:pt>
                <c:pt idx="6">
                  <c:v>-0.37013220698746863</c:v>
                </c:pt>
                <c:pt idx="7">
                  <c:v>-0.33140319004950797</c:v>
                </c:pt>
                <c:pt idx="8">
                  <c:v>-0.39295826751240814</c:v>
                </c:pt>
                <c:pt idx="9">
                  <c:v>-0.38500402872608203</c:v>
                </c:pt>
                <c:pt idx="10">
                  <c:v>-0.57225557855481068</c:v>
                </c:pt>
                <c:pt idx="11">
                  <c:v>-0.93605944765444538</c:v>
                </c:pt>
                <c:pt idx="12">
                  <c:v>-0.90682027456417391</c:v>
                </c:pt>
                <c:pt idx="13">
                  <c:v>-0.79981550737701212</c:v>
                </c:pt>
                <c:pt idx="14">
                  <c:v>-0.85588178250567482</c:v>
                </c:pt>
                <c:pt idx="15">
                  <c:v>-0.93953113810693711</c:v>
                </c:pt>
                <c:pt idx="16">
                  <c:v>-1.0979624543228352</c:v>
                </c:pt>
                <c:pt idx="17">
                  <c:v>-1.1273630655101476</c:v>
                </c:pt>
                <c:pt idx="18">
                  <c:v>-1.1910780858112169</c:v>
                </c:pt>
                <c:pt idx="19">
                  <c:v>-1.2082289935074637</c:v>
                </c:pt>
                <c:pt idx="20">
                  <c:v>-1.0922221732509878</c:v>
                </c:pt>
                <c:pt idx="21">
                  <c:v>-1.0428966959312813</c:v>
                </c:pt>
                <c:pt idx="22">
                  <c:v>-1.0570210268123645</c:v>
                </c:pt>
                <c:pt idx="23">
                  <c:v>-0.97101707330132636</c:v>
                </c:pt>
                <c:pt idx="24">
                  <c:v>-1.0228177035781578</c:v>
                </c:pt>
                <c:pt idx="25">
                  <c:v>-0.88510925346935521</c:v>
                </c:pt>
                <c:pt idx="26">
                  <c:v>-0.897129910620587</c:v>
                </c:pt>
                <c:pt idx="27">
                  <c:v>-0.8587829167069625</c:v>
                </c:pt>
                <c:pt idx="28">
                  <c:v>-1.0611155786320325</c:v>
                </c:pt>
                <c:pt idx="29">
                  <c:v>-1.1388141403031435</c:v>
                </c:pt>
                <c:pt idx="30">
                  <c:v>-1.1401531671590044</c:v>
                </c:pt>
                <c:pt idx="31">
                  <c:v>-1.0532355924391887</c:v>
                </c:pt>
                <c:pt idx="32">
                  <c:v>-1.1162380523651496</c:v>
                </c:pt>
                <c:pt idx="33">
                  <c:v>-1.085650955521301</c:v>
                </c:pt>
                <c:pt idx="34">
                  <c:v>-1.0834634745526268</c:v>
                </c:pt>
                <c:pt idx="35">
                  <c:v>-0.99437840134698996</c:v>
                </c:pt>
                <c:pt idx="36">
                  <c:v>-0.98984621345700163</c:v>
                </c:pt>
                <c:pt idx="37">
                  <c:v>-1.0816344316202249</c:v>
                </c:pt>
                <c:pt idx="38">
                  <c:v>-1.0451074621862488</c:v>
                </c:pt>
                <c:pt idx="39">
                  <c:v>-0.95821434085336854</c:v>
                </c:pt>
                <c:pt idx="40">
                  <c:v>-0.91538415982083976</c:v>
                </c:pt>
                <c:pt idx="41">
                  <c:v>-0.80419685526030771</c:v>
                </c:pt>
                <c:pt idx="42">
                  <c:v>-0.85979753831631989</c:v>
                </c:pt>
                <c:pt idx="43">
                  <c:v>-0.83168382368819016</c:v>
                </c:pt>
                <c:pt idx="44">
                  <c:v>-0.69343008761521385</c:v>
                </c:pt>
                <c:pt idx="45">
                  <c:v>-0.61466545791249161</c:v>
                </c:pt>
                <c:pt idx="46">
                  <c:v>-0.60504900376107174</c:v>
                </c:pt>
                <c:pt idx="47">
                  <c:v>-0.49768423889043462</c:v>
                </c:pt>
                <c:pt idx="48">
                  <c:v>-0.50291124437169699</c:v>
                </c:pt>
                <c:pt idx="49">
                  <c:v>-0.4762088307951487</c:v>
                </c:pt>
                <c:pt idx="50">
                  <c:v>-0.41926105265869873</c:v>
                </c:pt>
                <c:pt idx="51">
                  <c:v>-0.2689770657117212</c:v>
                </c:pt>
                <c:pt idx="52">
                  <c:v>-0.21617061001765009</c:v>
                </c:pt>
                <c:pt idx="53">
                  <c:v>-0.16430353814930101</c:v>
                </c:pt>
                <c:pt idx="54">
                  <c:v>-0.11952565925029698</c:v>
                </c:pt>
                <c:pt idx="55">
                  <c:v>-0.16340681629922338</c:v>
                </c:pt>
                <c:pt idx="56">
                  <c:v>-0.16311310368977697</c:v>
                </c:pt>
                <c:pt idx="57">
                  <c:v>-0.21829075090681399</c:v>
                </c:pt>
                <c:pt idx="58">
                  <c:v>-0.11125953120341039</c:v>
                </c:pt>
                <c:pt idx="59">
                  <c:v>-7.0627732206950011E-2</c:v>
                </c:pt>
                <c:pt idx="60">
                  <c:v>-0.11770226358470329</c:v>
                </c:pt>
                <c:pt idx="61">
                  <c:v>-0.20492375029737267</c:v>
                </c:pt>
                <c:pt idx="62">
                  <c:v>-0.25198848338197893</c:v>
                </c:pt>
                <c:pt idx="63">
                  <c:v>-0.272437472572015</c:v>
                </c:pt>
                <c:pt idx="64">
                  <c:v>-0.21386469527431792</c:v>
                </c:pt>
                <c:pt idx="65">
                  <c:v>-0.23577991590689898</c:v>
                </c:pt>
                <c:pt idx="66">
                  <c:v>-0.29653185730762732</c:v>
                </c:pt>
                <c:pt idx="67">
                  <c:v>-0.29633079852213789</c:v>
                </c:pt>
                <c:pt idx="68">
                  <c:v>-0.27574939877921328</c:v>
                </c:pt>
                <c:pt idx="69">
                  <c:v>-0.30521356791337495</c:v>
                </c:pt>
                <c:pt idx="70">
                  <c:v>-0.289618469255776</c:v>
                </c:pt>
                <c:pt idx="71">
                  <c:v>-0.26179869996358462</c:v>
                </c:pt>
                <c:pt idx="72">
                  <c:v>-0.5015900124976288</c:v>
                </c:pt>
                <c:pt idx="73">
                  <c:v>-0.46638017306166585</c:v>
                </c:pt>
                <c:pt idx="74">
                  <c:v>-0.55606199249952792</c:v>
                </c:pt>
                <c:pt idx="75">
                  <c:v>-0.40526489868975701</c:v>
                </c:pt>
                <c:pt idx="76">
                  <c:v>-0.24539595471723222</c:v>
                </c:pt>
                <c:pt idx="77">
                  <c:v>-0.19117962682385767</c:v>
                </c:pt>
                <c:pt idx="78">
                  <c:v>-0.12136390608606429</c:v>
                </c:pt>
                <c:pt idx="79">
                  <c:v>-0.13034211785861566</c:v>
                </c:pt>
                <c:pt idx="80">
                  <c:v>-6.0881219316715973E-2</c:v>
                </c:pt>
                <c:pt idx="81">
                  <c:v>3.1433203845441945E-2</c:v>
                </c:pt>
                <c:pt idx="82">
                  <c:v>-0.13956213672819207</c:v>
                </c:pt>
                <c:pt idx="83">
                  <c:v>-3.144872545297657E-2</c:v>
                </c:pt>
                <c:pt idx="84">
                  <c:v>-1.1943157959172605E-3</c:v>
                </c:pt>
                <c:pt idx="85">
                  <c:v>3.1601793455250576E-2</c:v>
                </c:pt>
                <c:pt idx="86">
                  <c:v>0.10537032194749592</c:v>
                </c:pt>
                <c:pt idx="87">
                  <c:v>0.21758219337453483</c:v>
                </c:pt>
                <c:pt idx="88">
                  <c:v>0.24137429648313602</c:v>
                </c:pt>
                <c:pt idx="89">
                  <c:v>0.15814433167551828</c:v>
                </c:pt>
                <c:pt idx="90">
                  <c:v>-9.3520261695067275E-3</c:v>
                </c:pt>
                <c:pt idx="91">
                  <c:v>0.12150598862361958</c:v>
                </c:pt>
                <c:pt idx="92">
                  <c:v>7.3615083725040775E-2</c:v>
                </c:pt>
                <c:pt idx="93">
                  <c:v>0.11178913935574661</c:v>
                </c:pt>
                <c:pt idx="94">
                  <c:v>0.15034737088652475</c:v>
                </c:pt>
                <c:pt idx="95">
                  <c:v>0.11284572596694635</c:v>
                </c:pt>
                <c:pt idx="96">
                  <c:v>-2.9744121624350542E-2</c:v>
                </c:pt>
                <c:pt idx="97">
                  <c:v>1.6224049104262145E-2</c:v>
                </c:pt>
                <c:pt idx="98">
                  <c:v>-1.7070492114310457E-2</c:v>
                </c:pt>
                <c:pt idx="99">
                  <c:v>-0.11461036066760226</c:v>
                </c:pt>
                <c:pt idx="100">
                  <c:v>-0.12650055859012466</c:v>
                </c:pt>
                <c:pt idx="101">
                  <c:v>7.352824264702254E-2</c:v>
                </c:pt>
                <c:pt idx="102">
                  <c:v>-3.1526580805025559E-2</c:v>
                </c:pt>
                <c:pt idx="103">
                  <c:v>-5.3520087250890414E-2</c:v>
                </c:pt>
                <c:pt idx="104">
                  <c:v>-0.1190195492647762</c:v>
                </c:pt>
                <c:pt idx="105">
                  <c:v>8.0073190241851694E-2</c:v>
                </c:pt>
                <c:pt idx="106">
                  <c:v>3.9939283459906952E-2</c:v>
                </c:pt>
                <c:pt idx="107">
                  <c:v>8.8397688491644366E-2</c:v>
                </c:pt>
                <c:pt idx="108">
                  <c:v>-1.1996918546140073E-3</c:v>
                </c:pt>
                <c:pt idx="109">
                  <c:v>6.1345016887699014E-2</c:v>
                </c:pt>
                <c:pt idx="110">
                  <c:v>8.7926024830882882E-2</c:v>
                </c:pt>
                <c:pt idx="111">
                  <c:v>0.15394900035362843</c:v>
                </c:pt>
                <c:pt idx="112">
                  <c:v>0.22171773295272612</c:v>
                </c:pt>
                <c:pt idx="113">
                  <c:v>0.24038770435349915</c:v>
                </c:pt>
                <c:pt idx="114">
                  <c:v>0.27841516636827268</c:v>
                </c:pt>
                <c:pt idx="115">
                  <c:v>0.29351276318062464</c:v>
                </c:pt>
                <c:pt idx="116">
                  <c:v>0.33973778556601208</c:v>
                </c:pt>
                <c:pt idx="117">
                  <c:v>0.36632548379760399</c:v>
                </c:pt>
                <c:pt idx="118">
                  <c:v>0.39278533348228822</c:v>
                </c:pt>
                <c:pt idx="119">
                  <c:v>0.44488366144473457</c:v>
                </c:pt>
                <c:pt idx="120">
                  <c:v>0.62178430732803935</c:v>
                </c:pt>
                <c:pt idx="121">
                  <c:v>0.48935832886495767</c:v>
                </c:pt>
                <c:pt idx="122">
                  <c:v>0.56086420281931948</c:v>
                </c:pt>
                <c:pt idx="123">
                  <c:v>0.60702541050646075</c:v>
                </c:pt>
                <c:pt idx="124">
                  <c:v>0.66483797064274019</c:v>
                </c:pt>
                <c:pt idx="125">
                  <c:v>0.60224289252467611</c:v>
                </c:pt>
                <c:pt idx="126">
                  <c:v>0.77307373149778336</c:v>
                </c:pt>
                <c:pt idx="127">
                  <c:v>0.78325809561421977</c:v>
                </c:pt>
                <c:pt idx="128">
                  <c:v>0.74801536820141745</c:v>
                </c:pt>
                <c:pt idx="129">
                  <c:v>0.64783092861882796</c:v>
                </c:pt>
                <c:pt idx="130">
                  <c:v>0.66245774490613996</c:v>
                </c:pt>
                <c:pt idx="131">
                  <c:v>0.61790989894656723</c:v>
                </c:pt>
                <c:pt idx="132">
                  <c:v>0.63831728455588754</c:v>
                </c:pt>
                <c:pt idx="133">
                  <c:v>0.55627829284209818</c:v>
                </c:pt>
                <c:pt idx="134">
                  <c:v>0.59783148999504587</c:v>
                </c:pt>
                <c:pt idx="135">
                  <c:v>0.55147266652630345</c:v>
                </c:pt>
                <c:pt idx="136">
                  <c:v>0.46997352701521727</c:v>
                </c:pt>
                <c:pt idx="137">
                  <c:v>0.41735605821300603</c:v>
                </c:pt>
                <c:pt idx="138">
                  <c:v>0.28368610492467422</c:v>
                </c:pt>
                <c:pt idx="139">
                  <c:v>0.2922081035526119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57-47AE-901B-98D9AE0C0E57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-3.6758229727959169E-2</c:v>
                </c:pt>
                <c:pt idx="2">
                  <c:v>3.7060624303333414E-2</c:v>
                </c:pt>
                <c:pt idx="3">
                  <c:v>1.8521354909423443E-2</c:v>
                </c:pt>
                <c:pt idx="4">
                  <c:v>-0.20323014047474786</c:v>
                </c:pt>
                <c:pt idx="5">
                  <c:v>-0.28976393088692465</c:v>
                </c:pt>
                <c:pt idx="6">
                  <c:v>-0.45868164503683773</c:v>
                </c:pt>
                <c:pt idx="7">
                  <c:v>-0.41906599805387312</c:v>
                </c:pt>
                <c:pt idx="8">
                  <c:v>-0.54742913519945902</c:v>
                </c:pt>
                <c:pt idx="9">
                  <c:v>-0.54034757192601313</c:v>
                </c:pt>
                <c:pt idx="10">
                  <c:v>-0.77325459368129201</c:v>
                </c:pt>
                <c:pt idx="11">
                  <c:v>-1.1860234741940228</c:v>
                </c:pt>
                <c:pt idx="12">
                  <c:v>-1.1602242257631965</c:v>
                </c:pt>
                <c:pt idx="13">
                  <c:v>-1.0682845943061132</c:v>
                </c:pt>
                <c:pt idx="14">
                  <c:v>-1.1358470700533421</c:v>
                </c:pt>
                <c:pt idx="15">
                  <c:v>-1.2286102655066564</c:v>
                </c:pt>
                <c:pt idx="16">
                  <c:v>-1.3951808329356912</c:v>
                </c:pt>
                <c:pt idx="17">
                  <c:v>-1.4188082305948289</c:v>
                </c:pt>
                <c:pt idx="18">
                  <c:v>-1.4835663580925829</c:v>
                </c:pt>
                <c:pt idx="19">
                  <c:v>-1.4890383365697573</c:v>
                </c:pt>
                <c:pt idx="20">
                  <c:v>-1.3589324962929523</c:v>
                </c:pt>
                <c:pt idx="21">
                  <c:v>-1.314919061130692</c:v>
                </c:pt>
                <c:pt idx="22">
                  <c:v>-1.289943303217566</c:v>
                </c:pt>
                <c:pt idx="23">
                  <c:v>-1.2454228635013918</c:v>
                </c:pt>
                <c:pt idx="24">
                  <c:v>-1.298770997316006</c:v>
                </c:pt>
                <c:pt idx="25">
                  <c:v>-1.2005924153917897</c:v>
                </c:pt>
                <c:pt idx="26">
                  <c:v>-1.2115177098887908</c:v>
                </c:pt>
                <c:pt idx="27">
                  <c:v>-1.2090526429137287</c:v>
                </c:pt>
                <c:pt idx="28">
                  <c:v>-1.4458068212987552</c:v>
                </c:pt>
                <c:pt idx="29">
                  <c:v>-1.5340335844874962</c:v>
                </c:pt>
                <c:pt idx="30">
                  <c:v>-1.5524624906841551</c:v>
                </c:pt>
                <c:pt idx="31">
                  <c:v>-1.4713598602788263</c:v>
                </c:pt>
                <c:pt idx="32">
                  <c:v>-1.5555338139594437</c:v>
                </c:pt>
                <c:pt idx="33">
                  <c:v>-1.5405647437549885</c:v>
                </c:pt>
                <c:pt idx="34">
                  <c:v>-1.5481167862609413</c:v>
                </c:pt>
                <c:pt idx="35">
                  <c:v>-1.4564045899107507</c:v>
                </c:pt>
                <c:pt idx="36">
                  <c:v>-1.4282581867959832</c:v>
                </c:pt>
                <c:pt idx="37">
                  <c:v>-1.5184871391744172</c:v>
                </c:pt>
                <c:pt idx="38">
                  <c:v>-1.4806158134491676</c:v>
                </c:pt>
                <c:pt idx="39">
                  <c:v>-1.3848951628013291</c:v>
                </c:pt>
                <c:pt idx="40">
                  <c:v>-1.3063071176725192</c:v>
                </c:pt>
                <c:pt idx="41">
                  <c:v>-1.1796177510828807</c:v>
                </c:pt>
                <c:pt idx="42">
                  <c:v>-1.2563934364436078</c:v>
                </c:pt>
                <c:pt idx="43">
                  <c:v>-1.1964323072972149</c:v>
                </c:pt>
                <c:pt idx="44">
                  <c:v>-1.0443186255970047</c:v>
                </c:pt>
                <c:pt idx="45">
                  <c:v>-0.95420321782964357</c:v>
                </c:pt>
                <c:pt idx="46">
                  <c:v>-0.96233743744872091</c:v>
                </c:pt>
                <c:pt idx="47">
                  <c:v>-0.83793215345298666</c:v>
                </c:pt>
                <c:pt idx="48">
                  <c:v>-0.85174426032886763</c:v>
                </c:pt>
                <c:pt idx="49">
                  <c:v>-0.92288242589725089</c:v>
                </c:pt>
                <c:pt idx="50">
                  <c:v>-0.84905441034305384</c:v>
                </c:pt>
                <c:pt idx="51">
                  <c:v>-0.66928415929694507</c:v>
                </c:pt>
                <c:pt idx="52">
                  <c:v>-0.6195677627725944</c:v>
                </c:pt>
                <c:pt idx="53">
                  <c:v>-0.60854146182515767</c:v>
                </c:pt>
                <c:pt idx="54">
                  <c:v>-0.55155795918213602</c:v>
                </c:pt>
                <c:pt idx="55">
                  <c:v>-0.60768881668853403</c:v>
                </c:pt>
                <c:pt idx="56">
                  <c:v>-0.60368998883141567</c:v>
                </c:pt>
                <c:pt idx="57">
                  <c:v>-0.64596822175105251</c:v>
                </c:pt>
                <c:pt idx="58">
                  <c:v>-0.55638625166279898</c:v>
                </c:pt>
                <c:pt idx="59">
                  <c:v>-0.52694488349665591</c:v>
                </c:pt>
                <c:pt idx="60">
                  <c:v>-0.58940549745625725</c:v>
                </c:pt>
                <c:pt idx="61">
                  <c:v>-0.68605310311584855</c:v>
                </c:pt>
                <c:pt idx="62">
                  <c:v>-0.73516388445773018</c:v>
                </c:pt>
                <c:pt idx="63">
                  <c:v>-0.74855514947532165</c:v>
                </c:pt>
                <c:pt idx="64">
                  <c:v>-0.74802958540642572</c:v>
                </c:pt>
                <c:pt idx="65">
                  <c:v>-0.788007436898994</c:v>
                </c:pt>
                <c:pt idx="66">
                  <c:v>-0.85730399511338828</c:v>
                </c:pt>
                <c:pt idx="67">
                  <c:v>-0.86499773593303764</c:v>
                </c:pt>
                <c:pt idx="68">
                  <c:v>-0.85701254840872454</c:v>
                </c:pt>
                <c:pt idx="69">
                  <c:v>-0.8794978226575455</c:v>
                </c:pt>
                <c:pt idx="70">
                  <c:v>-0.85661205292113918</c:v>
                </c:pt>
                <c:pt idx="71">
                  <c:v>-0.80710753952645964</c:v>
                </c:pt>
                <c:pt idx="72">
                  <c:v>-1.0846383313781314</c:v>
                </c:pt>
                <c:pt idx="73">
                  <c:v>-1.0719366054460442</c:v>
                </c:pt>
                <c:pt idx="74">
                  <c:v>-1.2084463110651016</c:v>
                </c:pt>
                <c:pt idx="75">
                  <c:v>-1.1475742936228528</c:v>
                </c:pt>
                <c:pt idx="76">
                  <c:v>-1.0748654159622497</c:v>
                </c:pt>
                <c:pt idx="77">
                  <c:v>-0.98681127923079781</c:v>
                </c:pt>
                <c:pt idx="78">
                  <c:v>-0.93756767531153096</c:v>
                </c:pt>
                <c:pt idx="79">
                  <c:v>-0.91232437924048615</c:v>
                </c:pt>
                <c:pt idx="80">
                  <c:v>-0.87511525580485472</c:v>
                </c:pt>
                <c:pt idx="81">
                  <c:v>-0.81806598269793851</c:v>
                </c:pt>
                <c:pt idx="82">
                  <c:v>-1.0305021978279061</c:v>
                </c:pt>
                <c:pt idx="83">
                  <c:v>-0.9008313855209682</c:v>
                </c:pt>
                <c:pt idx="84">
                  <c:v>-0.87446825323622335</c:v>
                </c:pt>
                <c:pt idx="85">
                  <c:v>-0.82403057517115497</c:v>
                </c:pt>
                <c:pt idx="86">
                  <c:v>-0.73486344936084025</c:v>
                </c:pt>
                <c:pt idx="87">
                  <c:v>-0.59337120231405982</c:v>
                </c:pt>
                <c:pt idx="88">
                  <c:v>-0.56913390691502874</c:v>
                </c:pt>
                <c:pt idx="89">
                  <c:v>-0.6457892093042541</c:v>
                </c:pt>
                <c:pt idx="90">
                  <c:v>-0.83191918790311958</c:v>
                </c:pt>
                <c:pt idx="91">
                  <c:v>-0.66908994531782318</c:v>
                </c:pt>
                <c:pt idx="92">
                  <c:v>-0.71521897138664547</c:v>
                </c:pt>
                <c:pt idx="93">
                  <c:v>-0.67897121856712317</c:v>
                </c:pt>
                <c:pt idx="94">
                  <c:v>-0.63800194963072654</c:v>
                </c:pt>
                <c:pt idx="95">
                  <c:v>-0.63035678202554823</c:v>
                </c:pt>
                <c:pt idx="96">
                  <c:v>-0.67456579029460906</c:v>
                </c:pt>
                <c:pt idx="97">
                  <c:v>-0.62651653043018596</c:v>
                </c:pt>
                <c:pt idx="98">
                  <c:v>-0.65157465898607403</c:v>
                </c:pt>
                <c:pt idx="99">
                  <c:v>-0.7551401756048195</c:v>
                </c:pt>
                <c:pt idx="100">
                  <c:v>-0.75907598007204446</c:v>
                </c:pt>
                <c:pt idx="101">
                  <c:v>-0.5363908219068001</c:v>
                </c:pt>
                <c:pt idx="102">
                  <c:v>-0.72479474644692554</c:v>
                </c:pt>
                <c:pt idx="103">
                  <c:v>-0.75597555633002511</c:v>
                </c:pt>
                <c:pt idx="104">
                  <c:v>-0.80525770719624723</c:v>
                </c:pt>
                <c:pt idx="105">
                  <c:v>-0.56127013914966528</c:v>
                </c:pt>
                <c:pt idx="106">
                  <c:v>-0.64775436644615714</c:v>
                </c:pt>
                <c:pt idx="107">
                  <c:v>-0.63212998241265628</c:v>
                </c:pt>
                <c:pt idx="108">
                  <c:v>-0.74780408368814544</c:v>
                </c:pt>
                <c:pt idx="109">
                  <c:v>-0.69275829871239603</c:v>
                </c:pt>
                <c:pt idx="110">
                  <c:v>-0.66276140451113175</c:v>
                </c:pt>
                <c:pt idx="111">
                  <c:v>-0.62210109911702316</c:v>
                </c:pt>
                <c:pt idx="112">
                  <c:v>-0.55959493200770816</c:v>
                </c:pt>
                <c:pt idx="113">
                  <c:v>-0.57333070308778655</c:v>
                </c:pt>
                <c:pt idx="114">
                  <c:v>-0.50776588911221276</c:v>
                </c:pt>
                <c:pt idx="115">
                  <c:v>-0.52308095851399017</c:v>
                </c:pt>
                <c:pt idx="116">
                  <c:v>-0.47107893714913118</c:v>
                </c:pt>
                <c:pt idx="117">
                  <c:v>-0.43927056700835682</c:v>
                </c:pt>
                <c:pt idx="118">
                  <c:v>-0.42461010732639159</c:v>
                </c:pt>
                <c:pt idx="119">
                  <c:v>-0.37436386133834365</c:v>
                </c:pt>
                <c:pt idx="120">
                  <c:v>-0.16232655904753915</c:v>
                </c:pt>
                <c:pt idx="121">
                  <c:v>-0.31459841274434386</c:v>
                </c:pt>
                <c:pt idx="122">
                  <c:v>-0.20606480205416505</c:v>
                </c:pt>
                <c:pt idx="123">
                  <c:v>-0.15215290481060967</c:v>
                </c:pt>
                <c:pt idx="124">
                  <c:v>-7.6252959025600031E-2</c:v>
                </c:pt>
                <c:pt idx="125">
                  <c:v>-0.14362161968961457</c:v>
                </c:pt>
                <c:pt idx="126">
                  <c:v>6.0089193150960146E-2</c:v>
                </c:pt>
                <c:pt idx="127">
                  <c:v>6.6714191823871935E-2</c:v>
                </c:pt>
                <c:pt idx="128">
                  <c:v>5.8250997126788502E-2</c:v>
                </c:pt>
                <c:pt idx="129">
                  <c:v>-5.1660235945685203E-2</c:v>
                </c:pt>
                <c:pt idx="130">
                  <c:v>1.771954474990247E-2</c:v>
                </c:pt>
                <c:pt idx="131">
                  <c:v>-3.4979830666103898E-2</c:v>
                </c:pt>
                <c:pt idx="132">
                  <c:v>-4.5714759975612369E-3</c:v>
                </c:pt>
                <c:pt idx="133">
                  <c:v>-7.7474107516877194E-2</c:v>
                </c:pt>
                <c:pt idx="134">
                  <c:v>1.2626889650218034E-2</c:v>
                </c:pt>
                <c:pt idx="135">
                  <c:v>-2.4343559528591296E-2</c:v>
                </c:pt>
                <c:pt idx="136">
                  <c:v>-0.12623798264849478</c:v>
                </c:pt>
                <c:pt idx="137">
                  <c:v>-0.18378175770150243</c:v>
                </c:pt>
                <c:pt idx="138">
                  <c:v>-0.28932469547521283</c:v>
                </c:pt>
                <c:pt idx="139">
                  <c:v>-0.31309288112689693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57-47AE-901B-98D9AE0C0E57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-3.4182012073196794E-2</c:v>
                </c:pt>
                <c:pt idx="2">
                  <c:v>1.4633054290402375E-2</c:v>
                </c:pt>
                <c:pt idx="3">
                  <c:v>4.2044902808030346E-2</c:v>
                </c:pt>
                <c:pt idx="4">
                  <c:v>-0.19864704496069197</c:v>
                </c:pt>
                <c:pt idx="5">
                  <c:v>-0.32597990224170925</c:v>
                </c:pt>
                <c:pt idx="6">
                  <c:v>-0.50514331645680999</c:v>
                </c:pt>
                <c:pt idx="7">
                  <c:v>-0.42800349640609986</c:v>
                </c:pt>
                <c:pt idx="8">
                  <c:v>-0.53701079044095368</c:v>
                </c:pt>
                <c:pt idx="9">
                  <c:v>-0.57401696690318471</c:v>
                </c:pt>
                <c:pt idx="10">
                  <c:v>-0.85167113342402889</c:v>
                </c:pt>
                <c:pt idx="11">
                  <c:v>-1.3310325337577891</c:v>
                </c:pt>
                <c:pt idx="12">
                  <c:v>-1.3579559098133684</c:v>
                </c:pt>
                <c:pt idx="13">
                  <c:v>-1.3082902147035242</c:v>
                </c:pt>
                <c:pt idx="14">
                  <c:v>-1.3947307363142063</c:v>
                </c:pt>
                <c:pt idx="15">
                  <c:v>-1.471375552444055</c:v>
                </c:pt>
                <c:pt idx="16">
                  <c:v>-1.6265581707717978</c:v>
                </c:pt>
                <c:pt idx="17">
                  <c:v>-1.6108952602525384</c:v>
                </c:pt>
                <c:pt idx="18">
                  <c:v>-1.6557562592921207</c:v>
                </c:pt>
                <c:pt idx="19">
                  <c:v>-1.6887598152577044</c:v>
                </c:pt>
                <c:pt idx="20">
                  <c:v>-1.5435808135206717</c:v>
                </c:pt>
                <c:pt idx="21">
                  <c:v>-1.479522312197483</c:v>
                </c:pt>
                <c:pt idx="22">
                  <c:v>-1.454946983465939</c:v>
                </c:pt>
                <c:pt idx="23">
                  <c:v>-1.4275609540783316</c:v>
                </c:pt>
                <c:pt idx="24">
                  <c:v>-1.4543913264364965</c:v>
                </c:pt>
                <c:pt idx="25">
                  <c:v>-1.3652848630036616</c:v>
                </c:pt>
                <c:pt idx="26">
                  <c:v>-1.3754931665887415</c:v>
                </c:pt>
                <c:pt idx="27">
                  <c:v>-1.334758388869437</c:v>
                </c:pt>
                <c:pt idx="28">
                  <c:v>-1.4766940513995994</c:v>
                </c:pt>
                <c:pt idx="29">
                  <c:v>-1.5803315071064634</c:v>
                </c:pt>
                <c:pt idx="30">
                  <c:v>-1.606463980423811</c:v>
                </c:pt>
                <c:pt idx="31">
                  <c:v>-1.5528484807663889</c:v>
                </c:pt>
                <c:pt idx="32">
                  <c:v>-1.661425641913516</c:v>
                </c:pt>
                <c:pt idx="33">
                  <c:v>-1.6461038434930946</c:v>
                </c:pt>
                <c:pt idx="34">
                  <c:v>-1.6325087279970918</c:v>
                </c:pt>
                <c:pt idx="35">
                  <c:v>-1.5133211685776546</c:v>
                </c:pt>
                <c:pt idx="36">
                  <c:v>-1.4848380614925674</c:v>
                </c:pt>
                <c:pt idx="37">
                  <c:v>-1.5795160218381832</c:v>
                </c:pt>
                <c:pt idx="38">
                  <c:v>-1.5493182251948061</c:v>
                </c:pt>
                <c:pt idx="39">
                  <c:v>-1.4625729871019109</c:v>
                </c:pt>
                <c:pt idx="40">
                  <c:v>-1.3703856642606409</c:v>
                </c:pt>
                <c:pt idx="41">
                  <c:v>-1.2148651682481297</c:v>
                </c:pt>
                <c:pt idx="42">
                  <c:v>-1.2916554536043994</c:v>
                </c:pt>
                <c:pt idx="43">
                  <c:v>-1.237922007586322</c:v>
                </c:pt>
                <c:pt idx="44">
                  <c:v>-1.0639476587437482</c:v>
                </c:pt>
                <c:pt idx="45">
                  <c:v>-0.9662239791891456</c:v>
                </c:pt>
                <c:pt idx="46">
                  <c:v>-0.96536784932561015</c:v>
                </c:pt>
                <c:pt idx="47">
                  <c:v>-0.80706986562007166</c:v>
                </c:pt>
                <c:pt idx="48">
                  <c:v>-0.81443651552216167</c:v>
                </c:pt>
                <c:pt idx="49">
                  <c:v>-0.90916672340654348</c:v>
                </c:pt>
                <c:pt idx="50">
                  <c:v>-0.72030635428772971</c:v>
                </c:pt>
                <c:pt idx="51">
                  <c:v>-0.52862206854274785</c:v>
                </c:pt>
                <c:pt idx="52">
                  <c:v>-0.46968970150573813</c:v>
                </c:pt>
                <c:pt idx="53">
                  <c:v>-0.43407916531374285</c:v>
                </c:pt>
                <c:pt idx="54">
                  <c:v>-0.35983537833257168</c:v>
                </c:pt>
                <c:pt idx="55">
                  <c:v>-0.42308548685190772</c:v>
                </c:pt>
                <c:pt idx="56">
                  <c:v>-0.47116995087151392</c:v>
                </c:pt>
                <c:pt idx="57">
                  <c:v>-0.52704234256552407</c:v>
                </c:pt>
                <c:pt idx="58">
                  <c:v>-0.39821415647474789</c:v>
                </c:pt>
                <c:pt idx="59">
                  <c:v>-0.36907428540943987</c:v>
                </c:pt>
                <c:pt idx="60">
                  <c:v>-0.43393683593575355</c:v>
                </c:pt>
                <c:pt idx="61">
                  <c:v>-0.53225080915478107</c:v>
                </c:pt>
                <c:pt idx="62">
                  <c:v>-0.58873167188769493</c:v>
                </c:pt>
                <c:pt idx="63">
                  <c:v>-0.62525258293429742</c:v>
                </c:pt>
                <c:pt idx="64">
                  <c:v>-0.62311553427682509</c:v>
                </c:pt>
                <c:pt idx="65">
                  <c:v>-0.65406059346925338</c:v>
                </c:pt>
                <c:pt idx="66">
                  <c:v>-0.62708208673767341</c:v>
                </c:pt>
                <c:pt idx="67">
                  <c:v>-0.6324712445807873</c:v>
                </c:pt>
                <c:pt idx="68">
                  <c:v>-0.60753038245329394</c:v>
                </c:pt>
                <c:pt idx="69">
                  <c:v>-0.64358578725472482</c:v>
                </c:pt>
                <c:pt idx="70">
                  <c:v>-0.63496170598135104</c:v>
                </c:pt>
                <c:pt idx="71">
                  <c:v>-0.58280303865379124</c:v>
                </c:pt>
                <c:pt idx="72">
                  <c:v>-0.91085483507161324</c:v>
                </c:pt>
                <c:pt idx="73">
                  <c:v>-0.9269286317905856</c:v>
                </c:pt>
                <c:pt idx="74">
                  <c:v>-1.0667945610359799</c:v>
                </c:pt>
                <c:pt idx="75">
                  <c:v>-0.98005520836565441</c:v>
                </c:pt>
                <c:pt idx="76">
                  <c:v>-0.8922033092831454</c:v>
                </c:pt>
                <c:pt idx="77">
                  <c:v>-0.84397879040409063</c:v>
                </c:pt>
                <c:pt idx="78">
                  <c:v>-0.80967334487320719</c:v>
                </c:pt>
                <c:pt idx="79">
                  <c:v>-0.8311914908629946</c:v>
                </c:pt>
                <c:pt idx="80">
                  <c:v>-0.79833386643095239</c:v>
                </c:pt>
                <c:pt idx="81">
                  <c:v>-0.73240300037609674</c:v>
                </c:pt>
                <c:pt idx="82">
                  <c:v>-0.98199700381078825</c:v>
                </c:pt>
                <c:pt idx="83">
                  <c:v>-0.84284560306383804</c:v>
                </c:pt>
                <c:pt idx="84">
                  <c:v>-0.84702307636997909</c:v>
                </c:pt>
                <c:pt idx="85">
                  <c:v>-0.83186377672973078</c:v>
                </c:pt>
                <c:pt idx="86">
                  <c:v>-0.74059692701261182</c:v>
                </c:pt>
                <c:pt idx="87">
                  <c:v>-0.59653326148520125</c:v>
                </c:pt>
                <c:pt idx="88">
                  <c:v>-0.58819500360760379</c:v>
                </c:pt>
                <c:pt idx="89">
                  <c:v>-0.66688819957277601</c:v>
                </c:pt>
                <c:pt idx="90">
                  <c:v>-0.88472886507384696</c:v>
                </c:pt>
                <c:pt idx="91">
                  <c:v>-0.7323596211505643</c:v>
                </c:pt>
                <c:pt idx="92">
                  <c:v>-0.77753626532958142</c:v>
                </c:pt>
                <c:pt idx="93">
                  <c:v>-0.73243252760670174</c:v>
                </c:pt>
                <c:pt idx="94">
                  <c:v>-0.67385851469417446</c:v>
                </c:pt>
                <c:pt idx="95">
                  <c:v>-0.63949449536581826</c:v>
                </c:pt>
                <c:pt idx="96">
                  <c:v>-0.64078415967195279</c:v>
                </c:pt>
                <c:pt idx="97">
                  <c:v>-0.59841728105354042</c:v>
                </c:pt>
                <c:pt idx="98">
                  <c:v>-0.6156728778267041</c:v>
                </c:pt>
                <c:pt idx="99">
                  <c:v>-0.70684510850604931</c:v>
                </c:pt>
                <c:pt idx="100">
                  <c:v>-0.73342466264126382</c:v>
                </c:pt>
                <c:pt idx="101">
                  <c:v>-0.53162479949483843</c:v>
                </c:pt>
                <c:pt idx="102">
                  <c:v>-0.80370873496581896</c:v>
                </c:pt>
                <c:pt idx="103">
                  <c:v>-0.81661917881976398</c:v>
                </c:pt>
                <c:pt idx="104">
                  <c:v>-0.86832717194804998</c:v>
                </c:pt>
                <c:pt idx="105">
                  <c:v>-0.59821655335151935</c:v>
                </c:pt>
                <c:pt idx="106">
                  <c:v>-0.66575405744303207</c:v>
                </c:pt>
                <c:pt idx="107">
                  <c:v>-0.66571781600534419</c:v>
                </c:pt>
                <c:pt idx="108">
                  <c:v>-0.80614706677536474</c:v>
                </c:pt>
                <c:pt idx="109">
                  <c:v>-0.73061596376559024</c:v>
                </c:pt>
                <c:pt idx="110">
                  <c:v>-0.7071292020028388</c:v>
                </c:pt>
                <c:pt idx="111">
                  <c:v>-0.69140155260262393</c:v>
                </c:pt>
                <c:pt idx="112">
                  <c:v>-0.61809177266886317</c:v>
                </c:pt>
                <c:pt idx="113">
                  <c:v>-0.62874245957503727</c:v>
                </c:pt>
                <c:pt idx="114">
                  <c:v>-0.62121585530004131</c:v>
                </c:pt>
                <c:pt idx="115">
                  <c:v>-0.62483150699759404</c:v>
                </c:pt>
                <c:pt idx="116">
                  <c:v>-0.55688330800177221</c:v>
                </c:pt>
                <c:pt idx="117">
                  <c:v>-0.53881228674188009</c:v>
                </c:pt>
                <c:pt idx="118">
                  <c:v>-0.5287031725360738</c:v>
                </c:pt>
                <c:pt idx="119">
                  <c:v>-0.47009860957693411</c:v>
                </c:pt>
                <c:pt idx="120">
                  <c:v>-0.22316740559437842</c:v>
                </c:pt>
                <c:pt idx="121">
                  <c:v>-0.37957541390946326</c:v>
                </c:pt>
                <c:pt idx="122">
                  <c:v>-0.39126199201504197</c:v>
                </c:pt>
                <c:pt idx="123">
                  <c:v>-0.38191450843162228</c:v>
                </c:pt>
                <c:pt idx="124">
                  <c:v>-0.30701274651947769</c:v>
                </c:pt>
                <c:pt idx="125">
                  <c:v>-0.3756833078367966</c:v>
                </c:pt>
                <c:pt idx="126">
                  <c:v>-0.21782650080559071</c:v>
                </c:pt>
                <c:pt idx="127">
                  <c:v>-0.21895943807371604</c:v>
                </c:pt>
                <c:pt idx="128">
                  <c:v>-0.20667850036534341</c:v>
                </c:pt>
                <c:pt idx="129">
                  <c:v>-0.31738921727206532</c:v>
                </c:pt>
                <c:pt idx="130">
                  <c:v>-0.2684565754474067</c:v>
                </c:pt>
                <c:pt idx="131">
                  <c:v>-0.30604299079491026</c:v>
                </c:pt>
                <c:pt idx="132">
                  <c:v>-0.27173517207122799</c:v>
                </c:pt>
                <c:pt idx="133">
                  <c:v>-0.35619388745965053</c:v>
                </c:pt>
                <c:pt idx="134">
                  <c:v>-0.24456802133231953</c:v>
                </c:pt>
                <c:pt idx="135">
                  <c:v>-0.30114134076032073</c:v>
                </c:pt>
                <c:pt idx="136">
                  <c:v>-0.39935934897961001</c:v>
                </c:pt>
                <c:pt idx="137">
                  <c:v>-0.43674920563247455</c:v>
                </c:pt>
                <c:pt idx="138">
                  <c:v>-0.5583346377345223</c:v>
                </c:pt>
                <c:pt idx="139">
                  <c:v>-0.60293249044580044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57-47AE-901B-98D9AE0C0E57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4.9339726911951119E-2</c:v>
                </c:pt>
                <c:pt idx="2">
                  <c:v>0.11962200080639787</c:v>
                </c:pt>
                <c:pt idx="3">
                  <c:v>5.0212723715441374E-2</c:v>
                </c:pt>
                <c:pt idx="4">
                  <c:v>-0.16325266904053043</c:v>
                </c:pt>
                <c:pt idx="5">
                  <c:v>-0.24676186824364013</c:v>
                </c:pt>
                <c:pt idx="6">
                  <c:v>-0.48608493042139411</c:v>
                </c:pt>
                <c:pt idx="7">
                  <c:v>-0.39551829117694726</c:v>
                </c:pt>
                <c:pt idx="8">
                  <c:v>-0.45190411462964697</c:v>
                </c:pt>
                <c:pt idx="9">
                  <c:v>-0.53933794515832933</c:v>
                </c:pt>
                <c:pt idx="10">
                  <c:v>-0.83624253313643615</c:v>
                </c:pt>
                <c:pt idx="11">
                  <c:v>-1.4211337977571614</c:v>
                </c:pt>
                <c:pt idx="12">
                  <c:v>-1.5604112912041506</c:v>
                </c:pt>
                <c:pt idx="13">
                  <c:v>-1.4889170775778506</c:v>
                </c:pt>
                <c:pt idx="14">
                  <c:v>-1.6099634638112064</c:v>
                </c:pt>
                <c:pt idx="15">
                  <c:v>-1.7141896171679336</c:v>
                </c:pt>
                <c:pt idx="16">
                  <c:v>-1.8427799026178906</c:v>
                </c:pt>
                <c:pt idx="17">
                  <c:v>-1.8568202669580955</c:v>
                </c:pt>
                <c:pt idx="18">
                  <c:v>-1.8726122788208044</c:v>
                </c:pt>
                <c:pt idx="19">
                  <c:v>-1.891717715408241</c:v>
                </c:pt>
                <c:pt idx="20">
                  <c:v>-1.7199997636858844</c:v>
                </c:pt>
                <c:pt idx="21">
                  <c:v>-1.6477909814292016</c:v>
                </c:pt>
                <c:pt idx="22">
                  <c:v>-1.6346520991598439</c:v>
                </c:pt>
                <c:pt idx="23">
                  <c:v>-1.6115854851975617</c:v>
                </c:pt>
                <c:pt idx="24">
                  <c:v>-1.6030520885933759</c:v>
                </c:pt>
                <c:pt idx="25">
                  <c:v>-1.4963969805234598</c:v>
                </c:pt>
                <c:pt idx="26">
                  <c:v>-1.561281738241628</c:v>
                </c:pt>
                <c:pt idx="27">
                  <c:v>-1.4881673137205129</c:v>
                </c:pt>
                <c:pt idx="28">
                  <c:v>-1.6386012473275451</c:v>
                </c:pt>
                <c:pt idx="29">
                  <c:v>-1.7422516533147654</c:v>
                </c:pt>
                <c:pt idx="30">
                  <c:v>-1.737287676257387</c:v>
                </c:pt>
                <c:pt idx="31">
                  <c:v>-1.7113796703796484</c:v>
                </c:pt>
                <c:pt idx="32">
                  <c:v>-1.8568006141988029</c:v>
                </c:pt>
                <c:pt idx="33">
                  <c:v>-1.849018582167794</c:v>
                </c:pt>
                <c:pt idx="34">
                  <c:v>-1.8183751484303627</c:v>
                </c:pt>
                <c:pt idx="35">
                  <c:v>-1.7059236406230103</c:v>
                </c:pt>
                <c:pt idx="36">
                  <c:v>-1.7137567491992136</c:v>
                </c:pt>
                <c:pt idx="37">
                  <c:v>-1.8337543706390713</c:v>
                </c:pt>
                <c:pt idx="38">
                  <c:v>-1.7582302157095706</c:v>
                </c:pt>
                <c:pt idx="39">
                  <c:v>-1.6534220428079749</c:v>
                </c:pt>
                <c:pt idx="40">
                  <c:v>-1.5789781972284438</c:v>
                </c:pt>
                <c:pt idx="41">
                  <c:v>-1.3722558698786711</c:v>
                </c:pt>
                <c:pt idx="42">
                  <c:v>-1.5067195332072094</c:v>
                </c:pt>
                <c:pt idx="43">
                  <c:v>-1.4612148422953866</c:v>
                </c:pt>
                <c:pt idx="44">
                  <c:v>-1.2648179430584721</c:v>
                </c:pt>
                <c:pt idx="45">
                  <c:v>-1.1751588221608786</c:v>
                </c:pt>
                <c:pt idx="46">
                  <c:v>-1.2000619203511989</c:v>
                </c:pt>
                <c:pt idx="47">
                  <c:v>-1.043541107486305</c:v>
                </c:pt>
                <c:pt idx="48">
                  <c:v>-1.0593886712978628</c:v>
                </c:pt>
                <c:pt idx="49">
                  <c:v>-1.2234363995464566</c:v>
                </c:pt>
                <c:pt idx="50">
                  <c:v>-1.1779890783725118</c:v>
                </c:pt>
                <c:pt idx="51">
                  <c:v>-0.92260686537365777</c:v>
                </c:pt>
                <c:pt idx="52">
                  <c:v>-0.85625105932012746</c:v>
                </c:pt>
                <c:pt idx="53">
                  <c:v>-0.86908072144264881</c:v>
                </c:pt>
                <c:pt idx="54">
                  <c:v>-0.78377119576916876</c:v>
                </c:pt>
                <c:pt idx="55">
                  <c:v>-0.85610265557569065</c:v>
                </c:pt>
                <c:pt idx="56">
                  <c:v>-0.90328814405164781</c:v>
                </c:pt>
                <c:pt idx="57">
                  <c:v>-0.94345085617692614</c:v>
                </c:pt>
                <c:pt idx="58">
                  <c:v>-0.82872154894952588</c:v>
                </c:pt>
                <c:pt idx="59">
                  <c:v>-0.82641195872402939</c:v>
                </c:pt>
                <c:pt idx="60">
                  <c:v>-0.90355227262303239</c:v>
                </c:pt>
                <c:pt idx="61">
                  <c:v>-1.017550645142252</c:v>
                </c:pt>
                <c:pt idx="62">
                  <c:v>-1.0583459311709726</c:v>
                </c:pt>
                <c:pt idx="63">
                  <c:v>-1.0974431094465025</c:v>
                </c:pt>
                <c:pt idx="64">
                  <c:v>-1.0718025072945272</c:v>
                </c:pt>
                <c:pt idx="65">
                  <c:v>-1.0642113487086036</c:v>
                </c:pt>
                <c:pt idx="66">
                  <c:v>-1.0003229851566788</c:v>
                </c:pt>
                <c:pt idx="67">
                  <c:v>-0.98493995435140258</c:v>
                </c:pt>
                <c:pt idx="68">
                  <c:v>-0.9196035284439833</c:v>
                </c:pt>
                <c:pt idx="69">
                  <c:v>-0.93136761133747625</c:v>
                </c:pt>
                <c:pt idx="70">
                  <c:v>-0.88963404907108534</c:v>
                </c:pt>
                <c:pt idx="71">
                  <c:v>-0.89370054237754848</c:v>
                </c:pt>
                <c:pt idx="72">
                  <c:v>-1.263876294720756</c:v>
                </c:pt>
                <c:pt idx="73">
                  <c:v>-1.2970360209924612</c:v>
                </c:pt>
                <c:pt idx="74">
                  <c:v>-1.3907058258056915</c:v>
                </c:pt>
                <c:pt idx="75">
                  <c:v>-1.2969641798532408</c:v>
                </c:pt>
                <c:pt idx="76">
                  <c:v>-1.1472902864286925</c:v>
                </c:pt>
                <c:pt idx="77">
                  <c:v>-1.1209019038586547</c:v>
                </c:pt>
                <c:pt idx="78">
                  <c:v>-1.1289208581296211</c:v>
                </c:pt>
                <c:pt idx="79">
                  <c:v>-1.0741857884235806</c:v>
                </c:pt>
                <c:pt idx="80">
                  <c:v>-1.0430558266324825</c:v>
                </c:pt>
                <c:pt idx="81">
                  <c:v>-0.98887338128373226</c:v>
                </c:pt>
                <c:pt idx="82">
                  <c:v>-1.3300007945773435</c:v>
                </c:pt>
                <c:pt idx="83">
                  <c:v>-1.3297047165089022</c:v>
                </c:pt>
                <c:pt idx="84">
                  <c:v>-1.332708519841171</c:v>
                </c:pt>
                <c:pt idx="85">
                  <c:v>-1.3822315828707219</c:v>
                </c:pt>
                <c:pt idx="86">
                  <c:v>-1.3485574239774754</c:v>
                </c:pt>
                <c:pt idx="87">
                  <c:v>-1.2632265392132964</c:v>
                </c:pt>
                <c:pt idx="88">
                  <c:v>-1.3015193305792534</c:v>
                </c:pt>
                <c:pt idx="89">
                  <c:v>-1.4080145510157223</c:v>
                </c:pt>
                <c:pt idx="90">
                  <c:v>-1.6494086484613066</c:v>
                </c:pt>
                <c:pt idx="91">
                  <c:v>-1.4663390222355721</c:v>
                </c:pt>
                <c:pt idx="92">
                  <c:v>-1.513411442711404</c:v>
                </c:pt>
                <c:pt idx="93">
                  <c:v>-1.472091553945472</c:v>
                </c:pt>
                <c:pt idx="94">
                  <c:v>-1.4417452229021659</c:v>
                </c:pt>
                <c:pt idx="95">
                  <c:v>-1.390294221971538</c:v>
                </c:pt>
                <c:pt idx="96">
                  <c:v>-1.3983910031767881</c:v>
                </c:pt>
                <c:pt idx="97">
                  <c:v>-1.3628456175016685</c:v>
                </c:pt>
                <c:pt idx="98">
                  <c:v>-1.4009156608788493</c:v>
                </c:pt>
                <c:pt idx="99">
                  <c:v>-1.4387095639687202</c:v>
                </c:pt>
                <c:pt idx="100">
                  <c:v>-1.4470662235496667</c:v>
                </c:pt>
                <c:pt idx="101">
                  <c:v>-1.1515614406434023</c:v>
                </c:pt>
                <c:pt idx="102">
                  <c:v>-1.4793827512429667</c:v>
                </c:pt>
                <c:pt idx="103">
                  <c:v>-1.513067844718992</c:v>
                </c:pt>
                <c:pt idx="104">
                  <c:v>-1.5762101099797317</c:v>
                </c:pt>
                <c:pt idx="105">
                  <c:v>-1.278033270539187</c:v>
                </c:pt>
                <c:pt idx="106">
                  <c:v>-1.3101650479742142</c:v>
                </c:pt>
                <c:pt idx="107">
                  <c:v>-1.3220643856997103</c:v>
                </c:pt>
                <c:pt idx="108">
                  <c:v>-1.450295009299299</c:v>
                </c:pt>
                <c:pt idx="109">
                  <c:v>-1.4347531551152868</c:v>
                </c:pt>
                <c:pt idx="110">
                  <c:v>-1.4203745764688005</c:v>
                </c:pt>
                <c:pt idx="111">
                  <c:v>-1.4559735459293199</c:v>
                </c:pt>
                <c:pt idx="112">
                  <c:v>-1.3791271604390858</c:v>
                </c:pt>
                <c:pt idx="113">
                  <c:v>-1.4172829311444621</c:v>
                </c:pt>
                <c:pt idx="114">
                  <c:v>-1.3930816286166872</c:v>
                </c:pt>
                <c:pt idx="115">
                  <c:v>-1.3841511339714243</c:v>
                </c:pt>
                <c:pt idx="116">
                  <c:v>-1.2793681016568206</c:v>
                </c:pt>
                <c:pt idx="117">
                  <c:v>-1.266798880973808</c:v>
                </c:pt>
                <c:pt idx="118">
                  <c:v>-1.2533352917167173</c:v>
                </c:pt>
                <c:pt idx="119">
                  <c:v>-1.2348198615163619</c:v>
                </c:pt>
                <c:pt idx="120">
                  <c:v>-0.9828532468680129</c:v>
                </c:pt>
                <c:pt idx="121">
                  <c:v>-1.0238794072228503</c:v>
                </c:pt>
                <c:pt idx="122">
                  <c:v>-1.0196414694159444</c:v>
                </c:pt>
                <c:pt idx="123">
                  <c:v>-0.98195278190883006</c:v>
                </c:pt>
                <c:pt idx="124">
                  <c:v>-0.87296946290347521</c:v>
                </c:pt>
                <c:pt idx="125">
                  <c:v>-0.95244096657341382</c:v>
                </c:pt>
                <c:pt idx="126">
                  <c:v>-0.7176425471205985</c:v>
                </c:pt>
                <c:pt idx="127">
                  <c:v>-0.71116158009433761</c:v>
                </c:pt>
                <c:pt idx="128">
                  <c:v>-0.73028600612681005</c:v>
                </c:pt>
                <c:pt idx="129">
                  <c:v>-0.83907962772136124</c:v>
                </c:pt>
                <c:pt idx="130">
                  <c:v>-0.7794454089660372</c:v>
                </c:pt>
                <c:pt idx="131">
                  <c:v>-0.82446842448805346</c:v>
                </c:pt>
                <c:pt idx="132">
                  <c:v>-0.7925608875926905</c:v>
                </c:pt>
                <c:pt idx="133">
                  <c:v>-0.87697812753355664</c:v>
                </c:pt>
                <c:pt idx="134">
                  <c:v>-0.78129469829823961</c:v>
                </c:pt>
                <c:pt idx="135">
                  <c:v>-0.81856996968393692</c:v>
                </c:pt>
                <c:pt idx="136">
                  <c:v>-0.89798025198159204</c:v>
                </c:pt>
                <c:pt idx="137">
                  <c:v>-0.92234214711873497</c:v>
                </c:pt>
                <c:pt idx="138">
                  <c:v>-0.96947590691302932</c:v>
                </c:pt>
                <c:pt idx="139">
                  <c:v>-1.0136704594210193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57-47AE-901B-98D9AE0C0E57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-1.9574731449324007E-3</c:v>
                </c:pt>
                <c:pt idx="2">
                  <c:v>-1.9312572061391382E-2</c:v>
                </c:pt>
                <c:pt idx="3">
                  <c:v>-0.15918002237077838</c:v>
                </c:pt>
                <c:pt idx="4">
                  <c:v>-0.39212544696610108</c:v>
                </c:pt>
                <c:pt idx="5">
                  <c:v>-0.46063614050660034</c:v>
                </c:pt>
                <c:pt idx="6">
                  <c:v>-0.71506904341705035</c:v>
                </c:pt>
                <c:pt idx="7">
                  <c:v>-0.59669076223476225</c:v>
                </c:pt>
                <c:pt idx="8">
                  <c:v>-0.69735190768511435</c:v>
                </c:pt>
                <c:pt idx="9">
                  <c:v>-0.76579884676272636</c:v>
                </c:pt>
                <c:pt idx="10">
                  <c:v>-0.95046163410567641</c:v>
                </c:pt>
                <c:pt idx="11">
                  <c:v>-1.7066050772230152</c:v>
                </c:pt>
                <c:pt idx="12">
                  <c:v>-1.7730474093879693</c:v>
                </c:pt>
                <c:pt idx="13">
                  <c:v>-1.6824165349613351</c:v>
                </c:pt>
                <c:pt idx="14">
                  <c:v>-1.7991576670698355</c:v>
                </c:pt>
                <c:pt idx="15">
                  <c:v>-1.9855450636499072</c:v>
                </c:pt>
                <c:pt idx="16">
                  <c:v>-2.155191619207848</c:v>
                </c:pt>
                <c:pt idx="17">
                  <c:v>-2.2268435195974892</c:v>
                </c:pt>
                <c:pt idx="18">
                  <c:v>-2.2715270516071677</c:v>
                </c:pt>
                <c:pt idx="19">
                  <c:v>-2.3233241437533545</c:v>
                </c:pt>
                <c:pt idx="20">
                  <c:v>-2.1690222941454365</c:v>
                </c:pt>
                <c:pt idx="21">
                  <c:v>-2.1482110177596927</c:v>
                </c:pt>
                <c:pt idx="22">
                  <c:v>-2.0549918749853782</c:v>
                </c:pt>
                <c:pt idx="23">
                  <c:v>-2.0180966236256728</c:v>
                </c:pt>
                <c:pt idx="24">
                  <c:v>-2.0359854956601517</c:v>
                </c:pt>
                <c:pt idx="25">
                  <c:v>-1.9272903921829769</c:v>
                </c:pt>
                <c:pt idx="26">
                  <c:v>-1.986923391855703</c:v>
                </c:pt>
                <c:pt idx="27">
                  <c:v>-1.9289275207633569</c:v>
                </c:pt>
                <c:pt idx="28">
                  <c:v>-2.0621817724270581</c:v>
                </c:pt>
                <c:pt idx="29">
                  <c:v>-2.197804170978495</c:v>
                </c:pt>
                <c:pt idx="30">
                  <c:v>-2.2245484421448998</c:v>
                </c:pt>
                <c:pt idx="31">
                  <c:v>-2.4963499671517089</c:v>
                </c:pt>
                <c:pt idx="32">
                  <c:v>-2.6375060484304083</c:v>
                </c:pt>
                <c:pt idx="33">
                  <c:v>-2.6016723461275384</c:v>
                </c:pt>
                <c:pt idx="34">
                  <c:v>-2.7029609068679341</c:v>
                </c:pt>
                <c:pt idx="35">
                  <c:v>-2.5171165266028548</c:v>
                </c:pt>
                <c:pt idx="36">
                  <c:v>-2.4961409663250329</c:v>
                </c:pt>
                <c:pt idx="37">
                  <c:v>-2.6536220596997153</c:v>
                </c:pt>
                <c:pt idx="38">
                  <c:v>-2.5547825828119617</c:v>
                </c:pt>
                <c:pt idx="39">
                  <c:v>-2.3702219934581343</c:v>
                </c:pt>
                <c:pt idx="40">
                  <c:v>-2.4528998801666786</c:v>
                </c:pt>
                <c:pt idx="41">
                  <c:v>-2.2053601581210409</c:v>
                </c:pt>
                <c:pt idx="42">
                  <c:v>-2.3699495984682266</c:v>
                </c:pt>
                <c:pt idx="43">
                  <c:v>-2.3982744567168708</c:v>
                </c:pt>
                <c:pt idx="44">
                  <c:v>-2.1184383108897453</c:v>
                </c:pt>
                <c:pt idx="45">
                  <c:v>-1.9906755325713632</c:v>
                </c:pt>
                <c:pt idx="46">
                  <c:v>-2.0080789171935955</c:v>
                </c:pt>
                <c:pt idx="47">
                  <c:v>-1.9951532054382801</c:v>
                </c:pt>
                <c:pt idx="48">
                  <c:v>-2.011060552274782</c:v>
                </c:pt>
                <c:pt idx="49">
                  <c:v>-2.2129617078766546</c:v>
                </c:pt>
                <c:pt idx="50">
                  <c:v>-2.1324933437755678</c:v>
                </c:pt>
                <c:pt idx="51">
                  <c:v>-1.8305633992351447</c:v>
                </c:pt>
                <c:pt idx="52">
                  <c:v>-1.7614847932245363</c:v>
                </c:pt>
                <c:pt idx="53">
                  <c:v>-1.7050911753552451</c:v>
                </c:pt>
                <c:pt idx="54">
                  <c:v>-1.5769798809275868</c:v>
                </c:pt>
                <c:pt idx="55">
                  <c:v>-1.6452545752575045</c:v>
                </c:pt>
                <c:pt idx="56">
                  <c:v>-1.6909958718922322</c:v>
                </c:pt>
                <c:pt idx="57">
                  <c:v>-1.7006523382321641</c:v>
                </c:pt>
                <c:pt idx="58">
                  <c:v>-1.5595871698713979</c:v>
                </c:pt>
                <c:pt idx="59">
                  <c:v>-1.4888726051495469</c:v>
                </c:pt>
                <c:pt idx="60">
                  <c:v>-1.598768682606823</c:v>
                </c:pt>
                <c:pt idx="61">
                  <c:v>-1.7944474450977017</c:v>
                </c:pt>
                <c:pt idx="62">
                  <c:v>-1.796877928343235</c:v>
                </c:pt>
                <c:pt idx="63">
                  <c:v>-1.8426936328737027</c:v>
                </c:pt>
                <c:pt idx="64">
                  <c:v>-1.8072838815421437</c:v>
                </c:pt>
                <c:pt idx="65">
                  <c:v>-1.7627425980920584</c:v>
                </c:pt>
                <c:pt idx="66">
                  <c:v>-1.668984184833666</c:v>
                </c:pt>
                <c:pt idx="67">
                  <c:v>-1.6481571648483115</c:v>
                </c:pt>
                <c:pt idx="68">
                  <c:v>-1.6165509625690724</c:v>
                </c:pt>
                <c:pt idx="69">
                  <c:v>-1.5408975433139971</c:v>
                </c:pt>
                <c:pt idx="70">
                  <c:v>-1.4887497901047351</c:v>
                </c:pt>
                <c:pt idx="71">
                  <c:v>-1.4892607464718886</c:v>
                </c:pt>
                <c:pt idx="72">
                  <c:v>-2.0067943293226924</c:v>
                </c:pt>
                <c:pt idx="73">
                  <c:v>-2.0387057787064826</c:v>
                </c:pt>
                <c:pt idx="74">
                  <c:v>-2.1011725032360355</c:v>
                </c:pt>
                <c:pt idx="75">
                  <c:v>-2.0598015200230737</c:v>
                </c:pt>
                <c:pt idx="76">
                  <c:v>-1.8068268408350445</c:v>
                </c:pt>
                <c:pt idx="77">
                  <c:v>-1.6943599198184003</c:v>
                </c:pt>
                <c:pt idx="78">
                  <c:v>-1.8194639151384333</c:v>
                </c:pt>
                <c:pt idx="79">
                  <c:v>-1.9352332414585329</c:v>
                </c:pt>
                <c:pt idx="80">
                  <c:v>-1.9217297925260601</c:v>
                </c:pt>
                <c:pt idx="81">
                  <c:v>-1.819221689177098</c:v>
                </c:pt>
                <c:pt idx="82">
                  <c:v>-2.1220308099928706</c:v>
                </c:pt>
                <c:pt idx="83">
                  <c:v>-2.1484579724967001</c:v>
                </c:pt>
                <c:pt idx="84">
                  <c:v>-2.1643183905802377</c:v>
                </c:pt>
                <c:pt idx="85">
                  <c:v>-2.2079739378356837</c:v>
                </c:pt>
                <c:pt idx="86">
                  <c:v>-2.1453049915880205</c:v>
                </c:pt>
                <c:pt idx="87">
                  <c:v>-2.0303934076689263</c:v>
                </c:pt>
                <c:pt idx="88">
                  <c:v>-2.0777657752500884</c:v>
                </c:pt>
                <c:pt idx="89">
                  <c:v>-2.046985191867313</c:v>
                </c:pt>
                <c:pt idx="90">
                  <c:v>-2.2185148874815175</c:v>
                </c:pt>
                <c:pt idx="91">
                  <c:v>-2.0119469100483527</c:v>
                </c:pt>
                <c:pt idx="92">
                  <c:v>-2.1041128184566475</c:v>
                </c:pt>
                <c:pt idx="93">
                  <c:v>-2.0593732181334095</c:v>
                </c:pt>
                <c:pt idx="94">
                  <c:v>-2.0282811622828549</c:v>
                </c:pt>
                <c:pt idx="95">
                  <c:v>-2.0231939069287672</c:v>
                </c:pt>
                <c:pt idx="96">
                  <c:v>-2.0174600563832783</c:v>
                </c:pt>
                <c:pt idx="97">
                  <c:v>-1.9826431190295826</c:v>
                </c:pt>
                <c:pt idx="98">
                  <c:v>-2.012604228339018</c:v>
                </c:pt>
                <c:pt idx="99">
                  <c:v>-2.0662726664376887</c:v>
                </c:pt>
                <c:pt idx="100">
                  <c:v>-2.072200810374202</c:v>
                </c:pt>
                <c:pt idx="101">
                  <c:v>-1.7200492404053092</c:v>
                </c:pt>
                <c:pt idx="102">
                  <c:v>-2.0868517001102918</c:v>
                </c:pt>
                <c:pt idx="103">
                  <c:v>-2.105759886717975</c:v>
                </c:pt>
                <c:pt idx="104">
                  <c:v>-2.1899284517634783</c:v>
                </c:pt>
                <c:pt idx="105">
                  <c:v>-1.806228815094814</c:v>
                </c:pt>
                <c:pt idx="106">
                  <c:v>-1.7884723115928811</c:v>
                </c:pt>
                <c:pt idx="107">
                  <c:v>-1.7660944290716767</c:v>
                </c:pt>
                <c:pt idx="108">
                  <c:v>-1.9509316195647666</c:v>
                </c:pt>
                <c:pt idx="109">
                  <c:v>-2.0583652296901129</c:v>
                </c:pt>
                <c:pt idx="110">
                  <c:v>-2.0100328226720507</c:v>
                </c:pt>
                <c:pt idx="111">
                  <c:v>-2.0128193224404751</c:v>
                </c:pt>
                <c:pt idx="112">
                  <c:v>-1.9401231912699126</c:v>
                </c:pt>
                <c:pt idx="113">
                  <c:v>-1.9896554793247945</c:v>
                </c:pt>
                <c:pt idx="114">
                  <c:v>-1.9665111435546621</c:v>
                </c:pt>
                <c:pt idx="115">
                  <c:v>-1.9982082877309888</c:v>
                </c:pt>
                <c:pt idx="116">
                  <c:v>-1.8685121552604174</c:v>
                </c:pt>
                <c:pt idx="117">
                  <c:v>-1.9073740766859018</c:v>
                </c:pt>
                <c:pt idx="118">
                  <c:v>-1.8555238748482805</c:v>
                </c:pt>
                <c:pt idx="119">
                  <c:v>-1.9128209075092277</c:v>
                </c:pt>
                <c:pt idx="120">
                  <c:v>-1.6476864752732001</c:v>
                </c:pt>
                <c:pt idx="121">
                  <c:v>-1.7586484816409149</c:v>
                </c:pt>
                <c:pt idx="122">
                  <c:v>-1.6893348859950108</c:v>
                </c:pt>
                <c:pt idx="123">
                  <c:v>-1.7818413063361864</c:v>
                </c:pt>
                <c:pt idx="124">
                  <c:v>-1.8632567197161098</c:v>
                </c:pt>
                <c:pt idx="125">
                  <c:v>-1.9464409597423626</c:v>
                </c:pt>
                <c:pt idx="126">
                  <c:v>-1.7084806705949831</c:v>
                </c:pt>
                <c:pt idx="127">
                  <c:v>-1.6873339662262981</c:v>
                </c:pt>
                <c:pt idx="128">
                  <c:v>-1.7969974940377609</c:v>
                </c:pt>
                <c:pt idx="129">
                  <c:v>-1.920931927716417</c:v>
                </c:pt>
                <c:pt idx="130">
                  <c:v>-1.8328464802899924</c:v>
                </c:pt>
                <c:pt idx="131">
                  <c:v>-1.865593901875882</c:v>
                </c:pt>
                <c:pt idx="132">
                  <c:v>-1.8639236390732448</c:v>
                </c:pt>
                <c:pt idx="133">
                  <c:v>-1.8982785324486446</c:v>
                </c:pt>
                <c:pt idx="134">
                  <c:v>-1.7868887393068367</c:v>
                </c:pt>
                <c:pt idx="135">
                  <c:v>-1.7824021686027818</c:v>
                </c:pt>
                <c:pt idx="136">
                  <c:v>-1.8550831603735256</c:v>
                </c:pt>
                <c:pt idx="137">
                  <c:v>-1.9178170320664547</c:v>
                </c:pt>
                <c:pt idx="138">
                  <c:v>-1.8605550936209165</c:v>
                </c:pt>
                <c:pt idx="139">
                  <c:v>-1.8352478698820087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57-47AE-901B-98D9AE0C0E57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8.3268587706682148E-2</c:v>
                </c:pt>
                <c:pt idx="2">
                  <c:v>0.21627378176285317</c:v>
                </c:pt>
                <c:pt idx="3">
                  <c:v>0.21253354882094247</c:v>
                </c:pt>
                <c:pt idx="4">
                  <c:v>-0.14909857195749035</c:v>
                </c:pt>
                <c:pt idx="5">
                  <c:v>-0.13091010111600568</c:v>
                </c:pt>
                <c:pt idx="6">
                  <c:v>-0.38661297318158283</c:v>
                </c:pt>
                <c:pt idx="7">
                  <c:v>-0.23131915627859964</c:v>
                </c:pt>
                <c:pt idx="8">
                  <c:v>-0.37280187153624683</c:v>
                </c:pt>
                <c:pt idx="9">
                  <c:v>-0.5370138956545778</c:v>
                </c:pt>
                <c:pt idx="10">
                  <c:v>-0.68430086368207466</c:v>
                </c:pt>
                <c:pt idx="11">
                  <c:v>-1.6602023069533547</c:v>
                </c:pt>
                <c:pt idx="12">
                  <c:v>-1.7831020142605232</c:v>
                </c:pt>
                <c:pt idx="13">
                  <c:v>-1.7284204882259753</c:v>
                </c:pt>
                <c:pt idx="14">
                  <c:v>-1.6081182827964069</c:v>
                </c:pt>
                <c:pt idx="15">
                  <c:v>-1.6835316650772931</c:v>
                </c:pt>
                <c:pt idx="16">
                  <c:v>-1.7972561979045552</c:v>
                </c:pt>
                <c:pt idx="17">
                  <c:v>-1.797629567113034</c:v>
                </c:pt>
                <c:pt idx="18">
                  <c:v>-1.9915894303633936</c:v>
                </c:pt>
                <c:pt idx="19">
                  <c:v>-2.0462818928512836</c:v>
                </c:pt>
                <c:pt idx="20">
                  <c:v>-1.8098830832183685</c:v>
                </c:pt>
                <c:pt idx="21">
                  <c:v>-1.7812581438863682</c:v>
                </c:pt>
                <c:pt idx="22">
                  <c:v>-1.5771106948839222</c:v>
                </c:pt>
                <c:pt idx="23">
                  <c:v>-1.578660207426033</c:v>
                </c:pt>
                <c:pt idx="24">
                  <c:v>-1.6335634834978412</c:v>
                </c:pt>
                <c:pt idx="25">
                  <c:v>-1.4845882795363579</c:v>
                </c:pt>
                <c:pt idx="26">
                  <c:v>-1.6579083743338447</c:v>
                </c:pt>
                <c:pt idx="27">
                  <c:v>-1.6407205707442234</c:v>
                </c:pt>
                <c:pt idx="28">
                  <c:v>-1.7931571063120202</c:v>
                </c:pt>
                <c:pt idx="29">
                  <c:v>-1.8600633664017714</c:v>
                </c:pt>
                <c:pt idx="30">
                  <c:v>-1.9187611463430743</c:v>
                </c:pt>
                <c:pt idx="31">
                  <c:v>-2.3418758918059086</c:v>
                </c:pt>
                <c:pt idx="32">
                  <c:v>-2.4927899949279881</c:v>
                </c:pt>
                <c:pt idx="33">
                  <c:v>-2.5163774352220125</c:v>
                </c:pt>
                <c:pt idx="34">
                  <c:v>-2.6304885345692037</c:v>
                </c:pt>
                <c:pt idx="35">
                  <c:v>-2.4511605693616492</c:v>
                </c:pt>
                <c:pt idx="36">
                  <c:v>-2.4585424490995988</c:v>
                </c:pt>
                <c:pt idx="37">
                  <c:v>-2.4206470941921885</c:v>
                </c:pt>
                <c:pt idx="38">
                  <c:v>-2.4527816924544217</c:v>
                </c:pt>
                <c:pt idx="39">
                  <c:v>-2.3598639259370677</c:v>
                </c:pt>
                <c:pt idx="40">
                  <c:v>-2.4492889181966784</c:v>
                </c:pt>
                <c:pt idx="41">
                  <c:v>-2.1125448743516109</c:v>
                </c:pt>
                <c:pt idx="42">
                  <c:v>-2.1447118857618093</c:v>
                </c:pt>
                <c:pt idx="43">
                  <c:v>-2.1277606549460781</c:v>
                </c:pt>
                <c:pt idx="44">
                  <c:v>-1.809083124514387</c:v>
                </c:pt>
                <c:pt idx="45">
                  <c:v>-1.7123258741142535</c:v>
                </c:pt>
                <c:pt idx="46">
                  <c:v>-1.7643527839526563</c:v>
                </c:pt>
                <c:pt idx="47">
                  <c:v>-1.6992156296269538</c:v>
                </c:pt>
                <c:pt idx="48">
                  <c:v>-1.4465557462600445</c:v>
                </c:pt>
                <c:pt idx="49">
                  <c:v>-1.7383727384994401</c:v>
                </c:pt>
                <c:pt idx="50">
                  <c:v>-1.7477157642229988</c:v>
                </c:pt>
                <c:pt idx="51">
                  <c:v>-1.7987652483258838</c:v>
                </c:pt>
                <c:pt idx="52">
                  <c:v>-1.653147352103602</c:v>
                </c:pt>
                <c:pt idx="53">
                  <c:v>-1.5583164707571517</c:v>
                </c:pt>
                <c:pt idx="54">
                  <c:v>-1.3823416896278122</c:v>
                </c:pt>
                <c:pt idx="55">
                  <c:v>-1.4324526516494229</c:v>
                </c:pt>
                <c:pt idx="56">
                  <c:v>-1.4558620635385191</c:v>
                </c:pt>
                <c:pt idx="57">
                  <c:v>-1.4022651996035287</c:v>
                </c:pt>
                <c:pt idx="58">
                  <c:v>-1.309014179791574</c:v>
                </c:pt>
                <c:pt idx="59">
                  <c:v>-1.2375762706293862</c:v>
                </c:pt>
                <c:pt idx="60">
                  <c:v>-1.3003580594192183</c:v>
                </c:pt>
                <c:pt idx="61">
                  <c:v>-1.5113180907828792</c:v>
                </c:pt>
                <c:pt idx="62">
                  <c:v>-1.4418226287584286</c:v>
                </c:pt>
                <c:pt idx="63">
                  <c:v>-1.5964997971143406</c:v>
                </c:pt>
                <c:pt idx="64">
                  <c:v>-1.5160721072010459</c:v>
                </c:pt>
                <c:pt idx="65">
                  <c:v>-1.4841585540753994</c:v>
                </c:pt>
                <c:pt idx="66">
                  <c:v>-1.3087457947437375</c:v>
                </c:pt>
                <c:pt idx="67">
                  <c:v>-1.284351832419937</c:v>
                </c:pt>
                <c:pt idx="68">
                  <c:v>-1.2351441090334527</c:v>
                </c:pt>
                <c:pt idx="69">
                  <c:v>-0.89279050241692703</c:v>
                </c:pt>
                <c:pt idx="70">
                  <c:v>-0.75848338027285767</c:v>
                </c:pt>
                <c:pt idx="71">
                  <c:v>-0.77550233114878553</c:v>
                </c:pt>
                <c:pt idx="72">
                  <c:v>-1.5272268527049646</c:v>
                </c:pt>
                <c:pt idx="73">
                  <c:v>-1.6103877788966516</c:v>
                </c:pt>
                <c:pt idx="74">
                  <c:v>-1.7040990482461955</c:v>
                </c:pt>
                <c:pt idx="75">
                  <c:v>-1.7764295464842255</c:v>
                </c:pt>
                <c:pt idx="76">
                  <c:v>-1.2801357139948026</c:v>
                </c:pt>
                <c:pt idx="77">
                  <c:v>-1.2222668733943116</c:v>
                </c:pt>
                <c:pt idx="78">
                  <c:v>-1.306811488110087</c:v>
                </c:pt>
                <c:pt idx="79">
                  <c:v>-1.4186750588360797</c:v>
                </c:pt>
                <c:pt idx="80">
                  <c:v>-1.4336089975355195</c:v>
                </c:pt>
                <c:pt idx="81">
                  <c:v>-1.2659946162251932</c:v>
                </c:pt>
                <c:pt idx="82">
                  <c:v>-1.7686618696720717</c:v>
                </c:pt>
                <c:pt idx="83">
                  <c:v>-1.8417079676024464</c:v>
                </c:pt>
                <c:pt idx="84">
                  <c:v>-1.8360294753676083</c:v>
                </c:pt>
                <c:pt idx="85">
                  <c:v>-1.8896545329421193</c:v>
                </c:pt>
                <c:pt idx="86">
                  <c:v>-1.8450176428262337</c:v>
                </c:pt>
                <c:pt idx="87">
                  <c:v>-1.4987318090124222</c:v>
                </c:pt>
                <c:pt idx="88">
                  <c:v>-1.478812307215301</c:v>
                </c:pt>
                <c:pt idx="89">
                  <c:v>-1.4762098782035518</c:v>
                </c:pt>
                <c:pt idx="90">
                  <c:v>-1.6430421299538145</c:v>
                </c:pt>
                <c:pt idx="91">
                  <c:v>-1.4109422560954141</c:v>
                </c:pt>
                <c:pt idx="92">
                  <c:v>-1.5222743109445502</c:v>
                </c:pt>
                <c:pt idx="93">
                  <c:v>-1.5206454131997509</c:v>
                </c:pt>
                <c:pt idx="94">
                  <c:v>-1.4251327721537717</c:v>
                </c:pt>
                <c:pt idx="95">
                  <c:v>-1.5999132295383081</c:v>
                </c:pt>
                <c:pt idx="96">
                  <c:v>-1.6164384852204805</c:v>
                </c:pt>
                <c:pt idx="97">
                  <c:v>-1.5893132652587292</c:v>
                </c:pt>
                <c:pt idx="98">
                  <c:v>-1.5885852967464458</c:v>
                </c:pt>
                <c:pt idx="99">
                  <c:v>-1.676425159359082</c:v>
                </c:pt>
                <c:pt idx="100">
                  <c:v>-1.69583303202874</c:v>
                </c:pt>
                <c:pt idx="101">
                  <c:v>-1.2481276918282025</c:v>
                </c:pt>
                <c:pt idx="102">
                  <c:v>-1.7236317617686356</c:v>
                </c:pt>
                <c:pt idx="103">
                  <c:v>-1.7225541604677288</c:v>
                </c:pt>
                <c:pt idx="104">
                  <c:v>-1.7949701941241547</c:v>
                </c:pt>
                <c:pt idx="105">
                  <c:v>-1.356141093158602</c:v>
                </c:pt>
                <c:pt idx="106">
                  <c:v>-1.2960551456484304</c:v>
                </c:pt>
                <c:pt idx="107">
                  <c:v>-1.2362696181318864</c:v>
                </c:pt>
                <c:pt idx="108">
                  <c:v>-1.4848432409430834</c:v>
                </c:pt>
                <c:pt idx="109">
                  <c:v>-1.5402566882518258</c:v>
                </c:pt>
                <c:pt idx="110">
                  <c:v>-1.4533570822728799</c:v>
                </c:pt>
                <c:pt idx="111">
                  <c:v>-1.4628844764838906</c:v>
                </c:pt>
                <c:pt idx="112">
                  <c:v>-1.399737898576487</c:v>
                </c:pt>
                <c:pt idx="113">
                  <c:v>-1.3849085070908982</c:v>
                </c:pt>
                <c:pt idx="114">
                  <c:v>-1.3515417513810537</c:v>
                </c:pt>
                <c:pt idx="115">
                  <c:v>-1.392531661456575</c:v>
                </c:pt>
                <c:pt idx="116">
                  <c:v>-1.2296660231884176</c:v>
                </c:pt>
                <c:pt idx="117">
                  <c:v>-1.1687147114639245</c:v>
                </c:pt>
                <c:pt idx="118">
                  <c:v>-1.0475826702064668</c:v>
                </c:pt>
                <c:pt idx="119">
                  <c:v>-1.1080788272952005</c:v>
                </c:pt>
                <c:pt idx="120">
                  <c:v>-0.89034298534378253</c:v>
                </c:pt>
                <c:pt idx="121">
                  <c:v>-1.0474061073807233</c:v>
                </c:pt>
                <c:pt idx="122">
                  <c:v>-1.0639659854221231</c:v>
                </c:pt>
                <c:pt idx="123">
                  <c:v>-1.0558327318068488</c:v>
                </c:pt>
                <c:pt idx="124">
                  <c:v>-1.0327809110517869</c:v>
                </c:pt>
                <c:pt idx="125">
                  <c:v>-1.1373865647976904</c:v>
                </c:pt>
                <c:pt idx="126">
                  <c:v>-0.93510243826074413</c:v>
                </c:pt>
                <c:pt idx="127">
                  <c:v>-0.88869157729047765</c:v>
                </c:pt>
                <c:pt idx="128">
                  <c:v>-0.99802295256691287</c:v>
                </c:pt>
                <c:pt idx="129">
                  <c:v>-1.1138495352973026</c:v>
                </c:pt>
                <c:pt idx="130">
                  <c:v>-1.0202050021367826</c:v>
                </c:pt>
                <c:pt idx="131">
                  <c:v>-0.98130457956705863</c:v>
                </c:pt>
                <c:pt idx="132">
                  <c:v>-0.95367364690409639</c:v>
                </c:pt>
                <c:pt idx="133">
                  <c:v>-1.0437286411832167</c:v>
                </c:pt>
                <c:pt idx="134">
                  <c:v>-0.9178230786905951</c:v>
                </c:pt>
                <c:pt idx="135">
                  <c:v>-0.85450588366941815</c:v>
                </c:pt>
                <c:pt idx="136">
                  <c:v>-0.90309642240116439</c:v>
                </c:pt>
                <c:pt idx="137">
                  <c:v>-0.83364527115629605</c:v>
                </c:pt>
                <c:pt idx="138">
                  <c:v>-0.63833260482293563</c:v>
                </c:pt>
                <c:pt idx="139">
                  <c:v>-0.58860652050947659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57-47AE-901B-98D9AE0C0E57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0.14396179956413482</c:v>
                </c:pt>
                <c:pt idx="2">
                  <c:v>0.4284742972546367</c:v>
                </c:pt>
                <c:pt idx="3">
                  <c:v>0.50380079108634335</c:v>
                </c:pt>
                <c:pt idx="4">
                  <c:v>0.27419373922817958</c:v>
                </c:pt>
                <c:pt idx="5">
                  <c:v>0.23833794257322291</c:v>
                </c:pt>
                <c:pt idx="6">
                  <c:v>-2.0483021976928917E-3</c:v>
                </c:pt>
                <c:pt idx="7">
                  <c:v>1.987422741566755E-3</c:v>
                </c:pt>
                <c:pt idx="8">
                  <c:v>-4.8456913251921953E-2</c:v>
                </c:pt>
                <c:pt idx="9">
                  <c:v>-7.675534937434958E-2</c:v>
                </c:pt>
                <c:pt idx="10">
                  <c:v>-0.29454102241209107</c:v>
                </c:pt>
                <c:pt idx="11">
                  <c:v>-2.06357239152466</c:v>
                </c:pt>
                <c:pt idx="12">
                  <c:v>-2.3078502549128435</c:v>
                </c:pt>
                <c:pt idx="13">
                  <c:v>-2.3061139660484962</c:v>
                </c:pt>
                <c:pt idx="14">
                  <c:v>-2.3032668304460988</c:v>
                </c:pt>
                <c:pt idx="15">
                  <c:v>-2.4116323253582901</c:v>
                </c:pt>
                <c:pt idx="16">
                  <c:v>-2.7641467864184546</c:v>
                </c:pt>
                <c:pt idx="17">
                  <c:v>-2.6404557423266652</c:v>
                </c:pt>
                <c:pt idx="18">
                  <c:v>-2.9263120323080658</c:v>
                </c:pt>
                <c:pt idx="19">
                  <c:v>-2.7664857400786782</c:v>
                </c:pt>
                <c:pt idx="20">
                  <c:v>-2.3042274931269873</c:v>
                </c:pt>
                <c:pt idx="21">
                  <c:v>-2.3051263695920046</c:v>
                </c:pt>
                <c:pt idx="22">
                  <c:v>-1.8115863821130394</c:v>
                </c:pt>
                <c:pt idx="23">
                  <c:v>-1.8359809308626156</c:v>
                </c:pt>
                <c:pt idx="24">
                  <c:v>-1.8224331626250383</c:v>
                </c:pt>
                <c:pt idx="25">
                  <c:v>-1.6381817399562599</c:v>
                </c:pt>
                <c:pt idx="26">
                  <c:v>-1.8843506987409597</c:v>
                </c:pt>
                <c:pt idx="27">
                  <c:v>-1.4162805082251109</c:v>
                </c:pt>
                <c:pt idx="28">
                  <c:v>-1.5280117896489462</c:v>
                </c:pt>
                <c:pt idx="29">
                  <c:v>-1.5505337996837367</c:v>
                </c:pt>
                <c:pt idx="30">
                  <c:v>-1.4446333272093361</c:v>
                </c:pt>
                <c:pt idx="31">
                  <c:v>-1.9447427411376501</c:v>
                </c:pt>
                <c:pt idx="32">
                  <c:v>-2.2551569763669925</c:v>
                </c:pt>
                <c:pt idx="33">
                  <c:v>-2.3405921781578565</c:v>
                </c:pt>
                <c:pt idx="34">
                  <c:v>-2.4254761312260489</c:v>
                </c:pt>
                <c:pt idx="35">
                  <c:v>-2.0921380087952302</c:v>
                </c:pt>
                <c:pt idx="36">
                  <c:v>-2.0135395108221172</c:v>
                </c:pt>
                <c:pt idx="37">
                  <c:v>-1.8505977689654178</c:v>
                </c:pt>
                <c:pt idx="38">
                  <c:v>-1.7679060531203044</c:v>
                </c:pt>
                <c:pt idx="39">
                  <c:v>-1.745054337631208</c:v>
                </c:pt>
                <c:pt idx="40">
                  <c:v>-1.7921313104654537</c:v>
                </c:pt>
                <c:pt idx="41">
                  <c:v>-1.7824920538578468</c:v>
                </c:pt>
                <c:pt idx="42">
                  <c:v>-2.0203243975032881</c:v>
                </c:pt>
                <c:pt idx="43">
                  <c:v>-2.014395787914232</c:v>
                </c:pt>
                <c:pt idx="44">
                  <c:v>-1.5373416006718297</c:v>
                </c:pt>
                <c:pt idx="45">
                  <c:v>-1.5178193862493057</c:v>
                </c:pt>
                <c:pt idx="46">
                  <c:v>-1.5128318447382665</c:v>
                </c:pt>
                <c:pt idx="47">
                  <c:v>-1.5383936431561234</c:v>
                </c:pt>
                <c:pt idx="48">
                  <c:v>-1.0949202014196242</c:v>
                </c:pt>
                <c:pt idx="49">
                  <c:v>-1.704819761604401</c:v>
                </c:pt>
                <c:pt idx="50">
                  <c:v>-1.8066024559143434</c:v>
                </c:pt>
                <c:pt idx="51">
                  <c:v>-1.8927614893096782</c:v>
                </c:pt>
                <c:pt idx="52">
                  <c:v>-1.6870118888733565</c:v>
                </c:pt>
                <c:pt idx="53">
                  <c:v>-1.5014166696269213</c:v>
                </c:pt>
                <c:pt idx="54">
                  <c:v>-1.3119276740686561</c:v>
                </c:pt>
                <c:pt idx="55">
                  <c:v>-1.3919396243411906</c:v>
                </c:pt>
                <c:pt idx="56">
                  <c:v>-1.5685631600205074</c:v>
                </c:pt>
                <c:pt idx="57">
                  <c:v>-1.5589937090043566</c:v>
                </c:pt>
                <c:pt idx="58">
                  <c:v>-1.3353646029343096</c:v>
                </c:pt>
                <c:pt idx="59">
                  <c:v>-1.4005186981140956</c:v>
                </c:pt>
                <c:pt idx="60">
                  <c:v>-1.3964951512198094</c:v>
                </c:pt>
                <c:pt idx="61">
                  <c:v>-1.713659445144526</c:v>
                </c:pt>
                <c:pt idx="62">
                  <c:v>-1.7984423849835143</c:v>
                </c:pt>
                <c:pt idx="63">
                  <c:v>-1.6895291246669668</c:v>
                </c:pt>
                <c:pt idx="64">
                  <c:v>-1.6951535462254332</c:v>
                </c:pt>
                <c:pt idx="65">
                  <c:v>-1.8641854170511289</c:v>
                </c:pt>
                <c:pt idx="66">
                  <c:v>-1.5723279731888673</c:v>
                </c:pt>
                <c:pt idx="67">
                  <c:v>-1.5299717498854495</c:v>
                </c:pt>
                <c:pt idx="68">
                  <c:v>-1.5286870324009925</c:v>
                </c:pt>
                <c:pt idx="69">
                  <c:v>-1.2292225890577293</c:v>
                </c:pt>
                <c:pt idx="70">
                  <c:v>-0.91917434072054649</c:v>
                </c:pt>
                <c:pt idx="71">
                  <c:v>-1.122478492550997</c:v>
                </c:pt>
                <c:pt idx="72">
                  <c:v>-2.231490562588359</c:v>
                </c:pt>
                <c:pt idx="73">
                  <c:v>-2.4637168284768882</c:v>
                </c:pt>
                <c:pt idx="74">
                  <c:v>-2.3451907324392001</c:v>
                </c:pt>
                <c:pt idx="75">
                  <c:v>-2.5477715195010258</c:v>
                </c:pt>
                <c:pt idx="76">
                  <c:v>-2.4624193807137926</c:v>
                </c:pt>
                <c:pt idx="77">
                  <c:v>-2.4049422620873875</c:v>
                </c:pt>
                <c:pt idx="78">
                  <c:v>-2.5874121419749492</c:v>
                </c:pt>
                <c:pt idx="79">
                  <c:v>-2.8308942019375323</c:v>
                </c:pt>
                <c:pt idx="80">
                  <c:v>-2.8858989292398847</c:v>
                </c:pt>
                <c:pt idx="81">
                  <c:v>-2.769083534607292</c:v>
                </c:pt>
                <c:pt idx="82">
                  <c:v>-3.0063613694672173</c:v>
                </c:pt>
                <c:pt idx="83">
                  <c:v>-3.1076362972465277</c:v>
                </c:pt>
                <c:pt idx="84">
                  <c:v>-2.9864587079051939</c:v>
                </c:pt>
                <c:pt idx="85">
                  <c:v>-2.9877120278746916</c:v>
                </c:pt>
                <c:pt idx="86">
                  <c:v>-3.2928511865200751</c:v>
                </c:pt>
                <c:pt idx="87">
                  <c:v>-2.88776977774608</c:v>
                </c:pt>
                <c:pt idx="88">
                  <c:v>-2.8850503222862982</c:v>
                </c:pt>
                <c:pt idx="89">
                  <c:v>-2.9755989792614814</c:v>
                </c:pt>
                <c:pt idx="90">
                  <c:v>-3.0629534094277173</c:v>
                </c:pt>
                <c:pt idx="91">
                  <c:v>-2.9336593768077939</c:v>
                </c:pt>
                <c:pt idx="92">
                  <c:v>-3.0645865750080219</c:v>
                </c:pt>
                <c:pt idx="93">
                  <c:v>-3.0424602952140405</c:v>
                </c:pt>
                <c:pt idx="94">
                  <c:v>-2.9209499829011887</c:v>
                </c:pt>
                <c:pt idx="95">
                  <c:v>-3.1038465701933053</c:v>
                </c:pt>
                <c:pt idx="96">
                  <c:v>-2.9573909265878475</c:v>
                </c:pt>
                <c:pt idx="97">
                  <c:v>-2.8435861641473581</c:v>
                </c:pt>
                <c:pt idx="98">
                  <c:v>-2.8834110354402887</c:v>
                </c:pt>
                <c:pt idx="99">
                  <c:v>-3.061482234133865</c:v>
                </c:pt>
                <c:pt idx="100">
                  <c:v>-3.1101719311308611</c:v>
                </c:pt>
                <c:pt idx="101">
                  <c:v>-2.7638587169736706</c:v>
                </c:pt>
                <c:pt idx="102">
                  <c:v>-3.576881113880634</c:v>
                </c:pt>
                <c:pt idx="103">
                  <c:v>-3.3772823447725959</c:v>
                </c:pt>
                <c:pt idx="104">
                  <c:v>-3.5568354600119441</c:v>
                </c:pt>
                <c:pt idx="105">
                  <c:v>-3.4034540792728381</c:v>
                </c:pt>
                <c:pt idx="106">
                  <c:v>-3.5350396705683709</c:v>
                </c:pt>
                <c:pt idx="107">
                  <c:v>-3.6101066792912135</c:v>
                </c:pt>
                <c:pt idx="108">
                  <c:v>-3.7992169383654693</c:v>
                </c:pt>
                <c:pt idx="109">
                  <c:v>-3.8985839188654086</c:v>
                </c:pt>
                <c:pt idx="110">
                  <c:v>-3.7567084599271392</c:v>
                </c:pt>
                <c:pt idx="111">
                  <c:v>-4.0051331228802498</c:v>
                </c:pt>
                <c:pt idx="112">
                  <c:v>-3.9416497633389067</c:v>
                </c:pt>
                <c:pt idx="113">
                  <c:v>-3.9934569507152999</c:v>
                </c:pt>
                <c:pt idx="114">
                  <c:v>-4.0192646260290275</c:v>
                </c:pt>
                <c:pt idx="115">
                  <c:v>-4.0138681931548126</c:v>
                </c:pt>
                <c:pt idx="116">
                  <c:v>-3.8611409801146057</c:v>
                </c:pt>
                <c:pt idx="117">
                  <c:v>-3.879873988000055</c:v>
                </c:pt>
                <c:pt idx="118">
                  <c:v>-3.8293877975211297</c:v>
                </c:pt>
                <c:pt idx="119">
                  <c:v>-3.8760251083294603</c:v>
                </c:pt>
                <c:pt idx="120">
                  <c:v>-3.3561964284718511</c:v>
                </c:pt>
                <c:pt idx="121">
                  <c:v>-3.4607750923234644</c:v>
                </c:pt>
                <c:pt idx="122">
                  <c:v>-3.3776818906225117</c:v>
                </c:pt>
                <c:pt idx="123">
                  <c:v>-3.2796350558198859</c:v>
                </c:pt>
                <c:pt idx="124">
                  <c:v>-3.1784525591646418</c:v>
                </c:pt>
                <c:pt idx="125">
                  <c:v>-3.0722705816910203</c:v>
                </c:pt>
                <c:pt idx="126">
                  <c:v>-3.0755104582995632</c:v>
                </c:pt>
                <c:pt idx="127">
                  <c:v>-3.1576191501983661</c:v>
                </c:pt>
                <c:pt idx="128">
                  <c:v>-3.234970072425702</c:v>
                </c:pt>
                <c:pt idx="129">
                  <c:v>-3.3441988447985085</c:v>
                </c:pt>
                <c:pt idx="130">
                  <c:v>-3.2005553712387993</c:v>
                </c:pt>
                <c:pt idx="131">
                  <c:v>-3.2703905249054159</c:v>
                </c:pt>
                <c:pt idx="132">
                  <c:v>-3.1629098676709981</c:v>
                </c:pt>
                <c:pt idx="133">
                  <c:v>-3.2969969440212128</c:v>
                </c:pt>
                <c:pt idx="134">
                  <c:v>-3.2033379426440676</c:v>
                </c:pt>
                <c:pt idx="135">
                  <c:v>-3.2045333107356035</c:v>
                </c:pt>
                <c:pt idx="136">
                  <c:v>-3.1129794751220046</c:v>
                </c:pt>
                <c:pt idx="137">
                  <c:v>-3.0270377392407068</c:v>
                </c:pt>
                <c:pt idx="138">
                  <c:v>-2.9878041883871345</c:v>
                </c:pt>
                <c:pt idx="139">
                  <c:v>-2.7312127030053848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57-47AE-901B-98D9AE0C0E57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57-47AE-901B-98D9AE0C0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2" t="s">
        <v>147</v>
      </c>
      <c r="B10" s="23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20">
        <v>10</v>
      </c>
      <c r="B12" s="20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20">
        <v>20</v>
      </c>
      <c r="B13" s="20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20">
        <v>50</v>
      </c>
      <c r="B14" s="20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20">
        <v>110</v>
      </c>
      <c r="B15" s="20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20">
        <v>120</v>
      </c>
      <c r="B16" s="20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20">
        <v>130</v>
      </c>
      <c r="B17" s="20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20">
        <v>150</v>
      </c>
      <c r="B18" s="20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20">
        <v>180</v>
      </c>
      <c r="B19" s="20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20">
        <v>200</v>
      </c>
      <c r="B20" s="20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20">
        <v>256</v>
      </c>
      <c r="B21" s="20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20">
        <v>400</v>
      </c>
      <c r="B22" s="20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20">
        <v>512</v>
      </c>
      <c r="B23" s="20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20">
        <v>1051</v>
      </c>
      <c r="B24" s="20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20" t="s">
        <v>154</v>
      </c>
      <c r="B25" s="20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B9" sqref="EB9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6.1327576637268073E-2</v>
      </c>
      <c r="D3" s="2">
        <v>0.1053639203310013</v>
      </c>
      <c r="E3" s="2">
        <v>-3.0782786197960381E-3</v>
      </c>
      <c r="F3" s="2">
        <v>-0.1282243728637695</v>
      </c>
      <c r="G3" s="2">
        <v>-6.2722943723201752E-2</v>
      </c>
      <c r="H3" s="2">
        <v>1.9181370735168461E-2</v>
      </c>
      <c r="I3" s="2">
        <v>4.4782202690839767E-2</v>
      </c>
      <c r="J3" s="2">
        <v>0.13391287624835971</v>
      </c>
      <c r="K3" s="2">
        <v>-5.9629511088132858E-2</v>
      </c>
      <c r="L3" s="2">
        <v>-0.3462432324886322</v>
      </c>
      <c r="M3" s="2">
        <v>6.7439384758472443E-2</v>
      </c>
      <c r="N3" s="2">
        <v>5.727088451385498E-2</v>
      </c>
      <c r="O3" s="2">
        <v>-5.6388936936855323E-2</v>
      </c>
      <c r="P3" s="2">
        <v>-9.1544181108474731E-2</v>
      </c>
      <c r="Q3" s="2">
        <v>1.4503344893455511E-2</v>
      </c>
      <c r="R3" s="2">
        <v>-3.059724718332291E-2</v>
      </c>
      <c r="S3" s="2">
        <v>1.7472125589847561E-2</v>
      </c>
      <c r="T3" s="2">
        <v>3.4076657146215439E-2</v>
      </c>
      <c r="U3" s="2">
        <v>-1.1099047958850861E-2</v>
      </c>
      <c r="V3" s="2">
        <v>-4.9297574907541282E-2</v>
      </c>
      <c r="W3" s="2">
        <v>0.17203778028488159</v>
      </c>
      <c r="X3" s="2">
        <v>-1.236107293516397E-2</v>
      </c>
      <c r="Y3" s="2">
        <v>5.979146808385849E-2</v>
      </c>
      <c r="Z3" s="2">
        <v>-2.055832743644714E-2</v>
      </c>
      <c r="AA3" s="2">
        <v>7.4298478662967682E-2</v>
      </c>
      <c r="AB3" s="2">
        <v>-4.5949909836053848E-3</v>
      </c>
      <c r="AC3" s="2">
        <v>3.0291583389043808E-3</v>
      </c>
      <c r="AD3" s="2">
        <v>-4.4668029993772507E-2</v>
      </c>
      <c r="AE3" s="2">
        <v>4.6806998550891883E-2</v>
      </c>
      <c r="AF3" s="2">
        <v>-9.9812641739845276E-2</v>
      </c>
      <c r="AG3" s="2">
        <v>-6.4887501299381256E-2</v>
      </c>
      <c r="AH3" s="2">
        <v>7.1649104356765747E-2</v>
      </c>
      <c r="AI3" s="2">
        <v>5.1127530634403229E-2</v>
      </c>
      <c r="AJ3" s="2">
        <v>-0.11162372678518299</v>
      </c>
      <c r="AK3" s="2">
        <v>-7.5587287545204163E-2</v>
      </c>
      <c r="AL3" s="2">
        <v>6.8488046526908875E-2</v>
      </c>
      <c r="AM3" s="2">
        <v>-1.9246973097324371E-2</v>
      </c>
      <c r="AN3" s="2">
        <v>8.4199845790863037E-2</v>
      </c>
      <c r="AO3" s="2">
        <v>2.8502147644758221E-2</v>
      </c>
      <c r="AP3" s="2">
        <v>-0.32218533754348749</v>
      </c>
      <c r="AQ3" s="2">
        <v>-8.5807070136070251E-2</v>
      </c>
      <c r="AR3" s="2">
        <v>5.2739348262548447E-2</v>
      </c>
      <c r="AS3" s="2">
        <v>4.0903866291046143E-2</v>
      </c>
      <c r="AT3" s="2">
        <v>8.4397360682487488E-2</v>
      </c>
      <c r="AU3" s="2">
        <v>4.9148775637149811E-2</v>
      </c>
      <c r="AV3" s="2">
        <v>2.3600246757268909E-2</v>
      </c>
      <c r="AW3" s="2">
        <v>0.1143049001693726</v>
      </c>
      <c r="AX3" s="2">
        <v>-1.3772965408861641E-2</v>
      </c>
      <c r="AY3" s="2">
        <v>-1.255927607417107E-2</v>
      </c>
      <c r="AZ3" s="2">
        <v>-4.4304460287094123E-2</v>
      </c>
      <c r="BA3" s="2">
        <v>1.5913523733615879E-2</v>
      </c>
      <c r="BB3" s="2">
        <v>4.1215825825929642E-2</v>
      </c>
      <c r="BC3" s="2">
        <v>4.4085206463932991E-3</v>
      </c>
      <c r="BD3" s="2">
        <v>7.8439787030220032E-2</v>
      </c>
      <c r="BE3" s="2">
        <v>-6.1781518161296838E-2</v>
      </c>
      <c r="BF3" s="2">
        <v>4.0756359696388238E-2</v>
      </c>
      <c r="BG3" s="2">
        <v>1.560432836413383E-2</v>
      </c>
      <c r="BH3" s="2">
        <v>-2.2477094084024429E-2</v>
      </c>
      <c r="BI3" s="2">
        <v>0.10848069936037059</v>
      </c>
      <c r="BJ3" s="2">
        <v>-9.9942907691001892E-3</v>
      </c>
      <c r="BK3" s="2">
        <v>9.9805325269699097E-2</v>
      </c>
      <c r="BL3" s="2">
        <v>-6.4521826803684235E-2</v>
      </c>
      <c r="BM3" s="2">
        <v>-1.9436310976743702E-2</v>
      </c>
      <c r="BN3" s="2">
        <v>-8.3174323663115501E-3</v>
      </c>
      <c r="BO3" s="2">
        <v>5.1577024161815643E-2</v>
      </c>
      <c r="BP3" s="2">
        <v>-2.0200524479150769E-2</v>
      </c>
      <c r="BQ3" s="2">
        <v>9.7651019692420959E-2</v>
      </c>
      <c r="BR3" s="2">
        <v>0.12632341682910919</v>
      </c>
      <c r="BS3" s="2">
        <v>-1.8966048955917358E-2</v>
      </c>
      <c r="BT3" s="2">
        <v>-1.4316674321889881E-2</v>
      </c>
      <c r="BU3" s="2">
        <v>5.491241067647934E-2</v>
      </c>
      <c r="BV3" s="2">
        <v>4.1193921118974693E-2</v>
      </c>
      <c r="BW3" s="2">
        <v>-4.3307825922966003E-2</v>
      </c>
      <c r="BX3" s="2">
        <v>-3.2447922974824912E-2</v>
      </c>
      <c r="BY3" s="2">
        <v>4.9034658819437027E-2</v>
      </c>
      <c r="BZ3" s="2">
        <v>8.3267219364643097E-2</v>
      </c>
      <c r="CA3" s="2">
        <v>4.8628222197294242E-2</v>
      </c>
      <c r="CB3" s="2">
        <v>2.3098880425095562E-2</v>
      </c>
      <c r="CC3" s="2">
        <v>8.4969624876976013E-3</v>
      </c>
      <c r="CD3" s="2">
        <v>6.4693927764892578E-2</v>
      </c>
      <c r="CE3" s="2">
        <v>4.719095304608345E-2</v>
      </c>
      <c r="CF3" s="2">
        <v>5.2956856787204742E-2</v>
      </c>
      <c r="CG3" s="2">
        <v>5.5742617696523673E-2</v>
      </c>
      <c r="CH3" s="2">
        <v>0.1317044794559479</v>
      </c>
      <c r="CI3" s="2">
        <v>-8.7051913142204285E-2</v>
      </c>
      <c r="CJ3" s="2">
        <v>-4.5066077262163162E-2</v>
      </c>
      <c r="CK3" s="2">
        <v>1.5571171417832369E-2</v>
      </c>
      <c r="CL3" s="2">
        <v>1.54544860124588E-2</v>
      </c>
      <c r="CM3" s="2">
        <v>1.7500285059213638E-2</v>
      </c>
      <c r="CN3" s="2">
        <v>4.9111202359199517E-2</v>
      </c>
      <c r="CO3" s="2">
        <v>-7.0332828909158707E-3</v>
      </c>
      <c r="CP3" s="2">
        <v>7.0899978280067444E-2</v>
      </c>
      <c r="CQ3" s="2">
        <v>1.07280109077692E-2</v>
      </c>
      <c r="CR3" s="2">
        <v>2.8085175901651379E-2</v>
      </c>
      <c r="CS3" s="2">
        <v>4.8244483768939972E-2</v>
      </c>
      <c r="CT3" s="2">
        <v>-5.2411206066608429E-2</v>
      </c>
      <c r="CU3" s="2">
        <v>1.7789404839277271E-2</v>
      </c>
      <c r="CV3" s="2">
        <v>0.13697381317615509</v>
      </c>
      <c r="CW3" s="2">
        <v>5.8008372783660889E-2</v>
      </c>
      <c r="CX3" s="2">
        <v>-5.7537071406841278E-3</v>
      </c>
      <c r="CY3" s="2">
        <v>8.0949604511260986E-2</v>
      </c>
      <c r="CZ3" s="2">
        <v>4.3630726635456092E-2</v>
      </c>
      <c r="DA3" s="2">
        <v>1.2640822678804399E-2</v>
      </c>
      <c r="DB3" s="2">
        <v>0.1894510090351105</v>
      </c>
      <c r="DC3" s="2">
        <v>0.11115641891956329</v>
      </c>
      <c r="DD3" s="2">
        <v>4.7927461564540863E-2</v>
      </c>
      <c r="DE3" s="2">
        <v>3.4420855343341827E-2</v>
      </c>
      <c r="DF3" s="2">
        <v>5.4971545934677117E-2</v>
      </c>
      <c r="DG3" s="2">
        <v>3.6962892860174179E-2</v>
      </c>
      <c r="DH3" s="2">
        <v>-2.494002133607864E-2</v>
      </c>
      <c r="DI3" s="2">
        <v>0.1019171923398972</v>
      </c>
      <c r="DJ3" s="2">
        <v>-1.003191247582436E-2</v>
      </c>
      <c r="DK3" s="2">
        <v>8.8250096887350082E-3</v>
      </c>
      <c r="DL3" s="2">
        <v>4.2583052068948753E-2</v>
      </c>
      <c r="DM3" s="2">
        <v>4.7666128724813461E-2</v>
      </c>
      <c r="DN3" s="2">
        <v>2.0568389445543289E-2</v>
      </c>
      <c r="DO3" s="2">
        <v>0.12660396099090579</v>
      </c>
      <c r="DP3" s="2">
        <v>-9.9558494985103607E-3</v>
      </c>
      <c r="DQ3" s="2">
        <v>7.8000598587095737E-3</v>
      </c>
      <c r="DR3" s="2">
        <v>7.9334713518619537E-2</v>
      </c>
      <c r="DS3" s="2">
        <v>-4.9381494522094727E-2</v>
      </c>
      <c r="DT3" s="2">
        <v>1.7781071364879612E-2</v>
      </c>
      <c r="DU3" s="2">
        <v>-2.9499910771846771E-2</v>
      </c>
      <c r="DV3" s="2">
        <v>-1.2142566964030269E-2</v>
      </c>
      <c r="DW3" s="2">
        <v>3.4191828221082687E-2</v>
      </c>
      <c r="DX3" s="2">
        <v>3.6637254059314728E-2</v>
      </c>
      <c r="DY3" s="2">
        <v>6.7992527037858963E-3</v>
      </c>
      <c r="DZ3" s="2">
        <v>3.535803034901619E-2</v>
      </c>
      <c r="EA3" s="2">
        <v>-5.6017383933067322E-2</v>
      </c>
      <c r="EB3" s="2">
        <v>1.8131472170352939E-2</v>
      </c>
      <c r="EC3" s="2">
        <v>2.3855423554778099E-2</v>
      </c>
      <c r="ED3" s="2">
        <v>-6.1541076749563217E-2</v>
      </c>
      <c r="EE3" s="2">
        <v>3.3718269318342209E-2</v>
      </c>
      <c r="EF3" s="2">
        <v>-4.8368137329816818E-2</v>
      </c>
      <c r="EG3" s="2">
        <v>-3.2573796808719642E-2</v>
      </c>
      <c r="EH3" s="2">
        <v>-1.002400647848845E-2</v>
      </c>
      <c r="EI3" s="2">
        <v>6.7612059414386749E-2</v>
      </c>
      <c r="EJ3" s="2">
        <v>3.5830613225698471E-2</v>
      </c>
      <c r="EK3" s="2">
        <v>-5.9804715216159821E-2</v>
      </c>
      <c r="EL3" s="2">
        <v>2.2737292572855949E-2</v>
      </c>
      <c r="EM3" s="2">
        <v>2.1920144557952881E-2</v>
      </c>
    </row>
    <row r="4" spans="1:145" x14ac:dyDescent="0.3">
      <c r="B4" s="6" t="s">
        <v>144</v>
      </c>
      <c r="C4" s="2">
        <v>3.870559623464942E-3</v>
      </c>
      <c r="D4" s="2">
        <v>3.5997677594423287E-2</v>
      </c>
      <c r="E4" s="2">
        <v>-0.11142420023679731</v>
      </c>
      <c r="F4" s="2">
        <v>-1.511961102485657</v>
      </c>
      <c r="G4" s="2">
        <v>7.4539490044116974E-2</v>
      </c>
      <c r="H4" s="2">
        <v>0.62969094514846802</v>
      </c>
      <c r="I4" s="2">
        <v>4.3178446590900421E-2</v>
      </c>
      <c r="J4" s="2">
        <v>-5.2701528184115887E-3</v>
      </c>
      <c r="K4" s="2">
        <v>-1.118321903049946E-3</v>
      </c>
      <c r="L4" s="2">
        <v>-3.4464197233319283E-4</v>
      </c>
      <c r="M4" s="2">
        <v>-0.12803715467453</v>
      </c>
      <c r="N4" s="2">
        <v>0.16350230574607849</v>
      </c>
      <c r="O4" s="2">
        <v>-0.39166867733001709</v>
      </c>
      <c r="P4" s="2">
        <v>-0.45486584305763239</v>
      </c>
      <c r="Q4" s="2">
        <v>0.1261937469244003</v>
      </c>
      <c r="R4" s="2">
        <v>-0.17681904137134549</v>
      </c>
      <c r="S4" s="2">
        <v>-9.9162831902503967E-3</v>
      </c>
      <c r="T4" s="2">
        <v>2.5436170399189E-3</v>
      </c>
      <c r="U4" s="2">
        <v>6.453724205493927E-2</v>
      </c>
      <c r="V4" s="2">
        <v>-3.6361385136842728E-2</v>
      </c>
      <c r="W4" s="2">
        <v>7.7482402324676514E-2</v>
      </c>
      <c r="X4" s="2">
        <v>-1.7221692949533459E-2</v>
      </c>
      <c r="Y4" s="2">
        <v>-1.864603161811829E-2</v>
      </c>
      <c r="Z4" s="2">
        <v>-0.18653327226638791</v>
      </c>
      <c r="AA4" s="2">
        <v>-2.604332938790321E-2</v>
      </c>
      <c r="AB4" s="2">
        <v>0.28902542591094971</v>
      </c>
      <c r="AC4" s="2">
        <v>-0.13324955105781561</v>
      </c>
      <c r="AD4" s="2">
        <v>-4.2806375771760941E-2</v>
      </c>
      <c r="AE4" s="2">
        <v>2.730310894548893E-2</v>
      </c>
      <c r="AF4" s="2">
        <v>2.961502410471439E-2</v>
      </c>
      <c r="AG4" s="2">
        <v>-0.40827155113220209</v>
      </c>
      <c r="AH4" s="2">
        <v>-7.5332457199692726E-3</v>
      </c>
      <c r="AI4" s="2">
        <v>0.37125641107559199</v>
      </c>
      <c r="AJ4" s="2">
        <v>1.168565034866333</v>
      </c>
      <c r="AK4" s="2">
        <v>-4.1843324899673462E-2</v>
      </c>
      <c r="AL4" s="2">
        <v>5.6198220700025558E-3</v>
      </c>
      <c r="AM4" s="2">
        <v>-0.58320993185043335</v>
      </c>
      <c r="AN4" s="2">
        <v>8.6559981107711792E-2</v>
      </c>
      <c r="AO4" s="2">
        <v>-9.455205500125885E-2</v>
      </c>
      <c r="AP4" s="2">
        <v>-0.13015337288379669</v>
      </c>
      <c r="AQ4" s="2">
        <v>-5.3906351327896118E-2</v>
      </c>
      <c r="AR4" s="2">
        <v>-3.9724178612232208E-2</v>
      </c>
      <c r="AS4" s="2">
        <v>0.54399585723876953</v>
      </c>
      <c r="AT4" s="2">
        <v>-0.15387266874313349</v>
      </c>
      <c r="AU4" s="2">
        <v>-1.002355813980103</v>
      </c>
      <c r="AV4" s="2">
        <v>2.1820170879364009</v>
      </c>
      <c r="AW4" s="2">
        <v>-6.6789425909519196E-2</v>
      </c>
      <c r="AX4" s="2">
        <v>-3.687971830368042E-2</v>
      </c>
      <c r="AY4" s="2">
        <v>2.3489251732826229E-2</v>
      </c>
      <c r="AZ4" s="2">
        <v>2.6092387735843658E-2</v>
      </c>
      <c r="BA4" s="2">
        <v>2.5396239012479779E-2</v>
      </c>
      <c r="BB4" s="2">
        <v>-3.444623202085495E-2</v>
      </c>
      <c r="BC4" s="2">
        <v>0.1192516833543777</v>
      </c>
      <c r="BD4" s="2">
        <v>-2.7703525498509411E-2</v>
      </c>
      <c r="BE4" s="2">
        <v>0.17723888158798221</v>
      </c>
      <c r="BF4" s="2">
        <v>-0.1383980214595795</v>
      </c>
      <c r="BG4" s="2">
        <v>-0.27680736780166632</v>
      </c>
      <c r="BH4" s="2">
        <v>-0.1097642481327057</v>
      </c>
      <c r="BI4" s="2">
        <v>7.485111802816391E-2</v>
      </c>
      <c r="BJ4" s="2">
        <v>-8.5500866174697876E-2</v>
      </c>
      <c r="BK4" s="2">
        <v>1.942132972180843E-2</v>
      </c>
      <c r="BL4" s="2">
        <v>1.4647886157035829E-2</v>
      </c>
      <c r="BM4" s="2">
        <v>-1.6077449545264241E-2</v>
      </c>
      <c r="BN4" s="2">
        <v>0.14325195550918579</v>
      </c>
      <c r="BO4" s="2">
        <v>-7.1398638188838959E-2</v>
      </c>
      <c r="BP4" s="2">
        <v>9.2564776539802551E-2</v>
      </c>
      <c r="BQ4" s="2">
        <v>0.1667363494634628</v>
      </c>
      <c r="BR4" s="2">
        <v>-8.0824065953493118E-3</v>
      </c>
      <c r="BS4" s="2">
        <v>5.3763664327561864E-3</v>
      </c>
      <c r="BT4" s="2">
        <v>6.2633641064167023E-2</v>
      </c>
      <c r="BU4" s="2">
        <v>-1.6029242426157001E-2</v>
      </c>
      <c r="BV4" s="2">
        <v>-4.8218529671430588E-2</v>
      </c>
      <c r="BW4" s="2">
        <v>0.13876631855964661</v>
      </c>
      <c r="BX4" s="2">
        <v>-4.1642323136329651E-2</v>
      </c>
      <c r="BY4" s="2">
        <v>-3.6687850952148438E-2</v>
      </c>
      <c r="BZ4" s="2">
        <v>-6.5445929765701294E-2</v>
      </c>
      <c r="CA4" s="2">
        <v>-4.3612170964479453E-2</v>
      </c>
      <c r="CB4" s="2">
        <v>-1.8295582383871078E-2</v>
      </c>
      <c r="CC4" s="2">
        <v>-5.329618975520134E-2</v>
      </c>
      <c r="CD4" s="2">
        <v>7.70769864320755E-2</v>
      </c>
      <c r="CE4" s="2">
        <v>-8.4981024265289307E-2</v>
      </c>
      <c r="CF4" s="2">
        <v>-5.095333606004715E-2</v>
      </c>
      <c r="CG4" s="2">
        <v>0.31693470478057861</v>
      </c>
      <c r="CH4" s="2">
        <v>-8.0266706645488739E-2</v>
      </c>
      <c r="CI4" s="2">
        <v>1.7374251037836071E-2</v>
      </c>
      <c r="CJ4" s="2">
        <v>-8.8597118854522705E-2</v>
      </c>
      <c r="CK4" s="2">
        <v>1.151612680405378E-2</v>
      </c>
      <c r="CL4" s="2">
        <v>-4.5895207673311227E-2</v>
      </c>
      <c r="CM4" s="2">
        <v>6.536266952753067E-2</v>
      </c>
      <c r="CN4" s="2">
        <v>-3.100208193063736E-2</v>
      </c>
      <c r="CO4" s="2">
        <v>3.4829422831535339E-2</v>
      </c>
      <c r="CP4" s="2">
        <v>3.6704540252685552E-4</v>
      </c>
      <c r="CQ4" s="2">
        <v>1.010782830417156E-2</v>
      </c>
      <c r="CR4" s="2">
        <v>-0.1028320267796516</v>
      </c>
      <c r="CS4" s="2">
        <v>-5.6077510118484497E-2</v>
      </c>
      <c r="CT4" s="2">
        <v>-3.8787499070167542E-3</v>
      </c>
      <c r="CU4" s="2">
        <v>0.13234809041023249</v>
      </c>
      <c r="CV4" s="2">
        <v>0.10563398152589799</v>
      </c>
      <c r="CW4" s="2">
        <v>-8.7821513414382935E-2</v>
      </c>
      <c r="CX4" s="2">
        <v>7.1240111719816923E-4</v>
      </c>
      <c r="CY4" s="2">
        <v>0.36373773217201227</v>
      </c>
      <c r="CZ4" s="2">
        <v>-4.8349485732614994E-3</v>
      </c>
      <c r="DA4" s="2">
        <v>-8.3424828946590424E-2</v>
      </c>
      <c r="DB4" s="2">
        <v>-5.1979310810565948E-2</v>
      </c>
      <c r="DC4" s="2">
        <v>0.25393012166023249</v>
      </c>
      <c r="DD4" s="2">
        <v>-4.378100112080574E-2</v>
      </c>
      <c r="DE4" s="2">
        <v>-3.2883144449442629E-3</v>
      </c>
      <c r="DF4" s="2">
        <v>-4.7095447778701782E-2</v>
      </c>
      <c r="DG4" s="2">
        <v>-3.4358881413936608E-2</v>
      </c>
      <c r="DH4" s="2">
        <v>-2.17919647693634E-2</v>
      </c>
      <c r="DI4" s="2">
        <v>-4.2925726622343063E-2</v>
      </c>
      <c r="DJ4" s="2">
        <v>-1.0490339249372481E-2</v>
      </c>
      <c r="DK4" s="2">
        <v>0.22539284825325009</v>
      </c>
      <c r="DL4" s="2">
        <v>0.53151315450668335</v>
      </c>
      <c r="DM4" s="2">
        <v>-0.12688970565795901</v>
      </c>
      <c r="DN4" s="2">
        <v>-0.20791251957416529</v>
      </c>
      <c r="DO4" s="2">
        <v>4.3841160833835602E-2</v>
      </c>
      <c r="DP4" s="2">
        <v>-3.2787293195724487E-2</v>
      </c>
      <c r="DQ4" s="2">
        <v>4.3555703014135361E-2</v>
      </c>
      <c r="DR4" s="2">
        <v>3.419225662946701E-2</v>
      </c>
      <c r="DS4" s="2">
        <v>-2.9718950390815731E-2</v>
      </c>
      <c r="DT4" s="2">
        <v>2.568194642663002E-3</v>
      </c>
      <c r="DU4" s="2">
        <v>1.695318147540092E-3</v>
      </c>
      <c r="DV4" s="2">
        <v>-5.6332360953092582E-2</v>
      </c>
      <c r="DW4" s="2">
        <v>-3.6220617592334747E-2</v>
      </c>
      <c r="DX4" s="2">
        <v>-2.1964039653539661E-2</v>
      </c>
      <c r="DY4" s="2">
        <v>-6.252395361661911E-2</v>
      </c>
      <c r="DZ4" s="2">
        <v>-0.11916419863700869</v>
      </c>
      <c r="EA4" s="2">
        <v>-5.2916932851076133E-2</v>
      </c>
      <c r="EB4" s="2">
        <v>-4.9353361129760742E-2</v>
      </c>
      <c r="EC4" s="2">
        <v>-5.4525550454854972E-2</v>
      </c>
      <c r="ED4" s="2">
        <v>-0.14734306931495669</v>
      </c>
      <c r="EE4" s="2">
        <v>0.49940222501754761</v>
      </c>
      <c r="EF4" s="2">
        <v>7.0188522338867188E-2</v>
      </c>
      <c r="EG4" s="2">
        <v>-6.0505442321300507E-2</v>
      </c>
      <c r="EH4" s="2">
        <v>-3.9344668388366699E-2</v>
      </c>
      <c r="EI4" s="2">
        <v>-5.205858126282692E-2</v>
      </c>
      <c r="EJ4" s="2">
        <v>-2.626714296638966E-2</v>
      </c>
      <c r="EK4" s="2">
        <v>-3.1529854983091347E-2</v>
      </c>
      <c r="EL4" s="2">
        <v>-4.7431431710720062E-2</v>
      </c>
      <c r="EM4" s="2">
        <v>-5.4815758019685752E-2</v>
      </c>
    </row>
    <row r="5" spans="1:145" x14ac:dyDescent="0.3">
      <c r="B5" s="1" t="s">
        <v>145</v>
      </c>
      <c r="C5" s="2">
        <v>0.15728221833705899</v>
      </c>
      <c r="D5" s="2">
        <v>-9.360792487859726E-2</v>
      </c>
      <c r="E5" s="2">
        <v>4.7210998833179467E-2</v>
      </c>
      <c r="F5" s="2">
        <v>-0.70836770534515381</v>
      </c>
      <c r="G5" s="2">
        <v>3.882811963558197E-2</v>
      </c>
      <c r="H5" s="2">
        <v>0.1067815870046616</v>
      </c>
      <c r="I5" s="2">
        <v>-6.3020594418048859E-2</v>
      </c>
      <c r="J5" s="2">
        <v>0.25328341126441961</v>
      </c>
      <c r="K5" s="2">
        <v>-0.21305651962757111</v>
      </c>
      <c r="L5" s="2">
        <v>-1.068534329533577E-4</v>
      </c>
      <c r="M5" s="2">
        <v>3.7173189222812653E-2</v>
      </c>
      <c r="N5" s="2">
        <v>-2.4056751281023029E-2</v>
      </c>
      <c r="O5" s="2">
        <v>-0.2088502049446106</v>
      </c>
      <c r="P5" s="2">
        <v>-1.7341554164886471E-2</v>
      </c>
      <c r="Q5" s="2">
        <v>3.9374515414237983E-2</v>
      </c>
      <c r="R5" s="2">
        <v>0.25330221652984619</v>
      </c>
      <c r="S5" s="2">
        <v>-1.55029334127903E-2</v>
      </c>
      <c r="T5" s="2">
        <v>2.128894254565239E-2</v>
      </c>
      <c r="U5" s="2">
        <v>5.9901822358369827E-2</v>
      </c>
      <c r="V5" s="2">
        <v>1.8060449510812759E-2</v>
      </c>
      <c r="W5" s="2">
        <v>2.2303810343146321E-2</v>
      </c>
      <c r="X5" s="2">
        <v>1.35560529306531E-2</v>
      </c>
      <c r="Y5" s="2">
        <v>0.1066936030983925</v>
      </c>
      <c r="Z5" s="2">
        <v>-5.3154490888118744E-3</v>
      </c>
      <c r="AA5" s="2">
        <v>5.6201256811618798E-2</v>
      </c>
      <c r="AB5" s="2">
        <v>4.4481209479272374E-3</v>
      </c>
      <c r="AC5" s="2">
        <v>3.8542207330465317E-2</v>
      </c>
      <c r="AD5" s="2">
        <v>-9.2996269464492798E-2</v>
      </c>
      <c r="AE5" s="2">
        <v>-5.3630407899618149E-2</v>
      </c>
      <c r="AF5" s="2">
        <v>-2.3201905190944672E-2</v>
      </c>
      <c r="AG5" s="2">
        <v>-1.5007982030510901E-2</v>
      </c>
      <c r="AH5" s="2">
        <v>-0.1727122962474823</v>
      </c>
      <c r="AI5" s="2">
        <v>-4.985230416059494E-2</v>
      </c>
      <c r="AJ5" s="2">
        <v>-2.5916256010532379E-2</v>
      </c>
      <c r="AK5" s="2">
        <v>-7.142871618270874E-2</v>
      </c>
      <c r="AL5" s="2">
        <v>-7.443651556968689E-2</v>
      </c>
      <c r="AM5" s="2">
        <v>1.7243715701624749E-3</v>
      </c>
      <c r="AN5" s="2">
        <v>1.0147985070943831E-2</v>
      </c>
      <c r="AO5" s="2">
        <v>-3.4368205815553672E-2</v>
      </c>
      <c r="AP5" s="2">
        <v>4.3309431523084641E-2</v>
      </c>
      <c r="AQ5" s="2">
        <v>3.1201960518956181E-2</v>
      </c>
      <c r="AR5" s="2">
        <v>4.1792314499616623E-2</v>
      </c>
      <c r="AS5" s="2">
        <v>2.7980707585811612E-2</v>
      </c>
      <c r="AT5" s="2">
        <v>4.3570663779973977E-2</v>
      </c>
      <c r="AU5" s="2">
        <v>-6.0129731893539429E-2</v>
      </c>
      <c r="AV5" s="2">
        <v>5.8778803795576103E-2</v>
      </c>
      <c r="AW5" s="2">
        <v>-1.421161182224751E-2</v>
      </c>
      <c r="AX5" s="2">
        <v>3.5558942705392838E-2</v>
      </c>
      <c r="AY5" s="2">
        <v>-5.2718911319971076E-3</v>
      </c>
      <c r="AZ5" s="2">
        <v>0.20549611747264859</v>
      </c>
      <c r="BA5" s="2">
        <v>-5.8955032378435128E-2</v>
      </c>
      <c r="BB5" s="2">
        <v>1.978259906172752E-2</v>
      </c>
      <c r="BC5" s="2">
        <v>-5.2128564566373834E-3</v>
      </c>
      <c r="BD5" s="2">
        <v>1.5692710876464839E-3</v>
      </c>
      <c r="BE5" s="2">
        <v>6.6211316734552383E-3</v>
      </c>
      <c r="BF5" s="2">
        <v>-3.4770134836435318E-2</v>
      </c>
      <c r="BG5" s="2">
        <v>3.2832425087690353E-2</v>
      </c>
      <c r="BH5" s="2">
        <v>7.9831413924694061E-2</v>
      </c>
      <c r="BI5" s="2">
        <v>3.5669207572937012E-2</v>
      </c>
      <c r="BJ5" s="2">
        <v>-0.14304828643798831</v>
      </c>
      <c r="BK5" s="2">
        <v>-7.9762917011976242E-3</v>
      </c>
      <c r="BL5" s="2">
        <v>-2.2237086668610569E-2</v>
      </c>
      <c r="BM5" s="2">
        <v>-2.1434292197227481E-2</v>
      </c>
      <c r="BN5" s="2">
        <v>4.2074248194694519E-2</v>
      </c>
      <c r="BO5" s="2">
        <v>-4.8225275240838528E-3</v>
      </c>
      <c r="BP5" s="2">
        <v>0.19304460287094119</v>
      </c>
      <c r="BQ5" s="2">
        <v>-1.588580384850502E-2</v>
      </c>
      <c r="BR5" s="2">
        <v>4.7026313841342933E-2</v>
      </c>
      <c r="BS5" s="2">
        <v>-2.108896616846323E-3</v>
      </c>
      <c r="BT5" s="2">
        <v>7.1017861366271973E-2</v>
      </c>
      <c r="BU5" s="2">
        <v>1.4510871842503549E-2</v>
      </c>
      <c r="BV5" s="2">
        <v>-1.5541463159024721E-2</v>
      </c>
      <c r="BW5" s="2">
        <v>2.151111513376236E-2</v>
      </c>
      <c r="BX5" s="2">
        <v>5.2462355233728886E-4</v>
      </c>
      <c r="BY5" s="2">
        <v>1.4051110483705999E-2</v>
      </c>
      <c r="BZ5" s="2">
        <v>1.994649134576321E-2</v>
      </c>
      <c r="CA5" s="2">
        <v>6.0863859951496117E-2</v>
      </c>
      <c r="CB5" s="2">
        <v>-1.1056241579353809E-2</v>
      </c>
      <c r="CC5" s="2">
        <v>-1.7598947510123249E-2</v>
      </c>
      <c r="CD5" s="2">
        <v>-0.27556115388870239</v>
      </c>
      <c r="CE5" s="2">
        <v>1.9525907933712009E-2</v>
      </c>
      <c r="CF5" s="2">
        <v>1.444989629089832E-2</v>
      </c>
      <c r="CG5" s="2">
        <v>1.1521061882376671E-2</v>
      </c>
      <c r="CH5" s="2">
        <v>1.7888244241476059E-2</v>
      </c>
      <c r="CI5" s="2">
        <v>-3.4701935946941383E-2</v>
      </c>
      <c r="CJ5" s="2">
        <v>7.8718312084674835E-2</v>
      </c>
      <c r="CK5" s="2">
        <v>-9.0738311409950256E-3</v>
      </c>
      <c r="CL5" s="2">
        <v>7.3401955887675294E-3</v>
      </c>
      <c r="CM5" s="2">
        <v>3.0147809535264969E-2</v>
      </c>
      <c r="CN5" s="2">
        <v>-2.0948931574821469E-2</v>
      </c>
      <c r="CO5" s="2">
        <v>1.099514123052359E-2</v>
      </c>
      <c r="CP5" s="2">
        <v>3.048352338373661E-2</v>
      </c>
      <c r="CQ5" s="2">
        <v>1.575024425983429E-2</v>
      </c>
      <c r="CR5" s="2">
        <v>4.3309997767210007E-2</v>
      </c>
      <c r="CS5" s="2">
        <v>-7.0295911282300949E-3</v>
      </c>
      <c r="CT5" s="2">
        <v>-0.20210836827754969</v>
      </c>
      <c r="CU5" s="2">
        <v>5.5134397000074387E-2</v>
      </c>
      <c r="CV5" s="2">
        <v>-7.7904406934976578E-3</v>
      </c>
      <c r="CW5" s="2">
        <v>4.712243378162384E-2</v>
      </c>
      <c r="CX5" s="2">
        <v>2.407862804830074E-2</v>
      </c>
      <c r="CY5" s="2">
        <v>3.9282910525798798E-2</v>
      </c>
      <c r="CZ5" s="2">
        <v>2.5767353363335128E-3</v>
      </c>
      <c r="DA5" s="2">
        <v>-9.331473708152771E-2</v>
      </c>
      <c r="DB5" s="2">
        <v>2.7354532852768901E-2</v>
      </c>
      <c r="DC5" s="2">
        <v>-8.8319713249802589E-3</v>
      </c>
      <c r="DD5" s="2">
        <v>1.1949365027248859E-2</v>
      </c>
      <c r="DE5" s="2">
        <v>0.153162956237793</v>
      </c>
      <c r="DF5" s="2">
        <v>-0.1304758936166763</v>
      </c>
      <c r="DG5" s="2">
        <v>7.8797116875648499E-2</v>
      </c>
      <c r="DH5" s="2">
        <v>-3.4067621454596519E-3</v>
      </c>
      <c r="DI5" s="2">
        <v>-3.4042172133922577E-2</v>
      </c>
      <c r="DJ5" s="2">
        <v>1.7224639654159549E-2</v>
      </c>
      <c r="DK5" s="2">
        <v>-6.0201231390237808E-2</v>
      </c>
      <c r="DL5" s="2">
        <v>1.9497528672218319E-2</v>
      </c>
      <c r="DM5" s="2">
        <v>3.1447045505046838E-2</v>
      </c>
      <c r="DN5" s="2">
        <v>-1.072731986641884E-2</v>
      </c>
      <c r="DO5" s="2">
        <v>-9.3603963032364845E-3</v>
      </c>
      <c r="DP5" s="2">
        <v>1.4958190731704239E-3</v>
      </c>
      <c r="DQ5" s="2">
        <v>-1.0305615141987801E-2</v>
      </c>
      <c r="DR5" s="2">
        <v>-2.3077009245753292E-5</v>
      </c>
      <c r="DS5" s="2">
        <v>2.5312235578894619E-2</v>
      </c>
      <c r="DT5" s="2">
        <v>-5.9307925403118134E-3</v>
      </c>
      <c r="DU5" s="2">
        <v>-2.1439030766487122E-2</v>
      </c>
      <c r="DV5" s="2">
        <v>-6.631581112742424E-3</v>
      </c>
      <c r="DW5" s="2">
        <v>2.2088773548603058E-3</v>
      </c>
      <c r="DX5" s="2">
        <v>2.426446974277496E-2</v>
      </c>
      <c r="DY5" s="2">
        <v>-4.4387592934072018E-3</v>
      </c>
      <c r="DZ5" s="2">
        <v>-4.3286606669425956E-3</v>
      </c>
      <c r="EA5" s="2">
        <v>4.393279179930687E-2</v>
      </c>
      <c r="EB5" s="2">
        <v>4.3056784197688103E-3</v>
      </c>
      <c r="EC5" s="2">
        <v>1.4913066290318969E-2</v>
      </c>
      <c r="ED5" s="2">
        <v>3.3056620508432388E-2</v>
      </c>
      <c r="EE5" s="2">
        <v>-0.13893654942512509</v>
      </c>
      <c r="EF5" s="2">
        <v>2.2550139576196671E-2</v>
      </c>
      <c r="EG5" s="2">
        <v>3.9826378226280212E-2</v>
      </c>
      <c r="EH5" s="2">
        <v>-1.786313392221928E-2</v>
      </c>
      <c r="EI5" s="2">
        <v>-1.311898604035378E-2</v>
      </c>
      <c r="EJ5" s="2">
        <v>-1.775002107024193E-3</v>
      </c>
      <c r="EK5" s="2">
        <v>-1.7223425209522251E-2</v>
      </c>
      <c r="EL5" s="2">
        <v>-2.6442604139447209E-2</v>
      </c>
      <c r="EM5" s="2">
        <v>-2.5276720523834229E-2</v>
      </c>
    </row>
    <row r="6" spans="1:145" x14ac:dyDescent="0.3">
      <c r="A6" s="22" t="s">
        <v>146</v>
      </c>
      <c r="B6" s="23"/>
      <c r="C6" s="2">
        <f t="array" ref="C6">MATCH(MAX(ABS(C3:C5)), ABS(C3:C5), 0)</f>
        <v>3</v>
      </c>
      <c r="D6" s="2">
        <f t="array" ref="D6">MATCH(MAX(ABS(D3:D5)), ABS(D3:D5), 0)</f>
        <v>1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2</v>
      </c>
      <c r="H6" s="2">
        <f t="array" ref="H6">MATCH(MAX(ABS(H3:H5)), ABS(H3:H5), 0)</f>
        <v>2</v>
      </c>
      <c r="I6" s="2">
        <f t="array" ref="I6">MATCH(MAX(ABS(I3:I5)), ABS(I3:I5), 0)</f>
        <v>3</v>
      </c>
      <c r="J6" s="2">
        <f t="array" ref="J6">MATCH(MAX(ABS(J3:J5)), ABS(J3:J5), 0)</f>
        <v>3</v>
      </c>
      <c r="K6" s="2">
        <f t="array" ref="K6">MATCH(MAX(ABS(K3:K5)), ABS(K3:K5), 0)</f>
        <v>3</v>
      </c>
      <c r="L6" s="2">
        <f t="array" ref="L6">MATCH(MAX(ABS(L3:L5)), ABS(L3:L5), 0)</f>
        <v>1</v>
      </c>
      <c r="M6" s="2">
        <f t="array" ref="M6">MATCH(MAX(ABS(M3:M5)), ABS(M3:M5), 0)</f>
        <v>2</v>
      </c>
      <c r="N6" s="2">
        <f t="array" ref="N6">MATCH(MAX(ABS(N3:N5)), ABS(N3:N5), 0)</f>
        <v>2</v>
      </c>
      <c r="O6" s="2">
        <f t="array" ref="O6">MATCH(MAX(ABS(O3:O5)), ABS(O3:O5), 0)</f>
        <v>2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3</v>
      </c>
      <c r="S6" s="2">
        <f t="array" ref="S6">MATCH(MAX(ABS(S3:S5)), ABS(S3:S5), 0)</f>
        <v>1</v>
      </c>
      <c r="T6" s="2">
        <f t="array" ref="T6">MATCH(MAX(ABS(T3:T5)), ABS(T3:T5), 0)</f>
        <v>1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1</v>
      </c>
      <c r="X6" s="2">
        <f t="array" ref="X6">MATCH(MAX(ABS(X3:X5)), ABS(X3:X5), 0)</f>
        <v>2</v>
      </c>
      <c r="Y6" s="2">
        <f t="array" ref="Y6">MATCH(MAX(ABS(Y3:Y5)), ABS(Y3:Y5), 0)</f>
        <v>3</v>
      </c>
      <c r="Z6" s="2">
        <f t="array" ref="Z6">MATCH(MAX(ABS(Z3:Z5)), ABS(Z3:Z5), 0)</f>
        <v>2</v>
      </c>
      <c r="AA6" s="2">
        <f t="array" ref="AA6">MATCH(MAX(ABS(AA3:AA5)), ABS(AA3:AA5), 0)</f>
        <v>1</v>
      </c>
      <c r="AB6" s="2">
        <f t="array" ref="AB6">MATCH(MAX(ABS(AB3:AB5)), ABS(AB3:AB5), 0)</f>
        <v>2</v>
      </c>
      <c r="AC6" s="2">
        <f t="array" ref="AC6">MATCH(MAX(ABS(AC3:AC5)), ABS(AC3:AC5), 0)</f>
        <v>2</v>
      </c>
      <c r="AD6" s="2">
        <f t="array" ref="AD6">MATCH(MAX(ABS(AD3:AD5)), ABS(AD3:AD5), 0)</f>
        <v>3</v>
      </c>
      <c r="AE6" s="2">
        <f t="array" ref="AE6">MATCH(MAX(ABS(AE3:AE5)), ABS(AE3:AE5), 0)</f>
        <v>3</v>
      </c>
      <c r="AF6" s="2">
        <f t="array" ref="AF6">MATCH(MAX(ABS(AF3:AF5)), ABS(AF3:AF5), 0)</f>
        <v>1</v>
      </c>
      <c r="AG6" s="2">
        <f t="array" ref="AG6">MATCH(MAX(ABS(AG3:AG5)), ABS(AG3:AG5), 0)</f>
        <v>2</v>
      </c>
      <c r="AH6" s="2">
        <f t="array" ref="AH6">MATCH(MAX(ABS(AH3:AH5)), ABS(AH3:AH5), 0)</f>
        <v>3</v>
      </c>
      <c r="AI6" s="2">
        <f t="array" ref="AI6">MATCH(MAX(ABS(AI3:AI5)), ABS(AI3:AI5), 0)</f>
        <v>2</v>
      </c>
      <c r="AJ6" s="2">
        <f t="array" ref="AJ6">MATCH(MAX(ABS(AJ3:AJ5)), ABS(AJ3:AJ5), 0)</f>
        <v>2</v>
      </c>
      <c r="AK6" s="2">
        <f t="array" ref="AK6">MATCH(MAX(ABS(AK3:AK5)), ABS(AK3:AK5), 0)</f>
        <v>1</v>
      </c>
      <c r="AL6" s="2">
        <f t="array" ref="AL6">MATCH(MAX(ABS(AL3:AL5)), ABS(AL3:AL5), 0)</f>
        <v>3</v>
      </c>
      <c r="AM6" s="2">
        <f t="array" ref="AM6">MATCH(MAX(ABS(AM3:AM5)), ABS(AM3:AM5), 0)</f>
        <v>2</v>
      </c>
      <c r="AN6" s="2">
        <f t="array" ref="AN6">MATCH(MAX(ABS(AN3:AN5)), ABS(AN3:AN5), 0)</f>
        <v>2</v>
      </c>
      <c r="AO6" s="2">
        <f t="array" ref="AO6">MATCH(MAX(ABS(AO3:AO5)), ABS(AO3:AO5), 0)</f>
        <v>2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2</v>
      </c>
      <c r="AT6" s="2">
        <f t="array" ref="AT6">MATCH(MAX(ABS(AT3:AT5)), ABS(AT3:AT5), 0)</f>
        <v>2</v>
      </c>
      <c r="AU6" s="2">
        <f t="array" ref="AU6">MATCH(MAX(ABS(AU3:AU5)), ABS(AU3:AU5), 0)</f>
        <v>2</v>
      </c>
      <c r="AV6" s="2">
        <f t="array" ref="AV6">MATCH(MAX(ABS(AV3:AV5)), ABS(AV3:AV5), 0)</f>
        <v>2</v>
      </c>
      <c r="AW6" s="2">
        <f t="array" ref="AW6">MATCH(MAX(ABS(AW3:AW5)), ABS(AW3:AW5), 0)</f>
        <v>1</v>
      </c>
      <c r="AX6" s="2">
        <f t="array" ref="AX6">MATCH(MAX(ABS(AX3:AX5)), ABS(AX3:AX5), 0)</f>
        <v>2</v>
      </c>
      <c r="AY6" s="2">
        <f t="array" ref="AY6">MATCH(MAX(ABS(AY3:AY5)), ABS(AY3:AY5), 0)</f>
        <v>2</v>
      </c>
      <c r="AZ6" s="2">
        <f t="array" ref="AZ6">MATCH(MAX(ABS(AZ3:AZ5)), ABS(AZ3:AZ5), 0)</f>
        <v>3</v>
      </c>
      <c r="BA6" s="2">
        <f t="array" ref="BA6">MATCH(MAX(ABS(BA3:BA5)), ABS(BA3:BA5), 0)</f>
        <v>3</v>
      </c>
      <c r="BB6" s="2">
        <f t="array" ref="BB6">MATCH(MAX(ABS(BB3:BB5)), ABS(BB3:BB5), 0)</f>
        <v>1</v>
      </c>
      <c r="BC6" s="2">
        <f t="array" ref="BC6">MATCH(MAX(ABS(BC3:BC5)), ABS(BC3:BC5), 0)</f>
        <v>2</v>
      </c>
      <c r="BD6" s="2">
        <f t="array" ref="BD6">MATCH(MAX(ABS(BD3:BD5)), ABS(BD3:BD5), 0)</f>
        <v>1</v>
      </c>
      <c r="BE6" s="2">
        <f t="array" ref="BE6">MATCH(MAX(ABS(BE3:BE5)), ABS(BE3:BE5), 0)</f>
        <v>2</v>
      </c>
      <c r="BF6" s="2">
        <f t="array" ref="BF6">MATCH(MAX(ABS(BF3:BF5)), ABS(BF3:BF5), 0)</f>
        <v>2</v>
      </c>
      <c r="BG6" s="2">
        <f t="array" ref="BG6">MATCH(MAX(ABS(BG3:BG5)), ABS(BG3:BG5), 0)</f>
        <v>2</v>
      </c>
      <c r="BH6" s="2">
        <f t="array" ref="BH6">MATCH(MAX(ABS(BH3:BH5)), ABS(BH3:BH5), 0)</f>
        <v>2</v>
      </c>
      <c r="BI6" s="2">
        <f t="array" ref="BI6">MATCH(MAX(ABS(BI3:BI5)), ABS(BI3:BI5), 0)</f>
        <v>1</v>
      </c>
      <c r="BJ6" s="2">
        <f t="array" ref="BJ6">MATCH(MAX(ABS(BJ3:BJ5)), ABS(BJ3:BJ5), 0)</f>
        <v>3</v>
      </c>
      <c r="BK6" s="2">
        <f t="array" ref="BK6">MATCH(MAX(ABS(BK3:BK5)), ABS(BK3:BK5), 0)</f>
        <v>1</v>
      </c>
      <c r="BL6" s="2">
        <f t="array" ref="BL6">MATCH(MAX(ABS(BL3:BL5)), ABS(BL3:BL5), 0)</f>
        <v>1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2</v>
      </c>
      <c r="BP6" s="2">
        <f t="array" ref="BP6">MATCH(MAX(ABS(BP3:BP5)), ABS(BP3:BP5), 0)</f>
        <v>3</v>
      </c>
      <c r="BQ6" s="2">
        <f t="array" ref="BQ6">MATCH(MAX(ABS(BQ3:BQ5)), ABS(BQ3:BQ5), 0)</f>
        <v>2</v>
      </c>
      <c r="BR6" s="2">
        <f t="array" ref="BR6">MATCH(MAX(ABS(BR3:BR5)), ABS(BR3:BR5), 0)</f>
        <v>1</v>
      </c>
      <c r="BS6" s="2">
        <f t="array" ref="BS6">MATCH(MAX(ABS(BS3:BS5)), ABS(BS3:BS5), 0)</f>
        <v>1</v>
      </c>
      <c r="BT6" s="2">
        <f t="array" ref="BT6">MATCH(MAX(ABS(BT3:BT5)), ABS(BT3:BT5), 0)</f>
        <v>3</v>
      </c>
      <c r="BU6" s="2">
        <f t="array" ref="BU6">MATCH(MAX(ABS(BU3:BU5)), ABS(BU3:BU5), 0)</f>
        <v>1</v>
      </c>
      <c r="BV6" s="2">
        <f t="array" ref="BV6">MATCH(MAX(ABS(BV3:BV5)), ABS(BV3:BV5), 0)</f>
        <v>2</v>
      </c>
      <c r="BW6" s="2">
        <f t="array" ref="BW6">MATCH(MAX(ABS(BW3:BW5)), ABS(BW3:BW5), 0)</f>
        <v>2</v>
      </c>
      <c r="BX6" s="2">
        <f t="array" ref="BX6">MATCH(MAX(ABS(BX3:BX5)), ABS(BX3:BX5), 0)</f>
        <v>2</v>
      </c>
      <c r="BY6" s="2">
        <f t="array" ref="BY6">MATCH(MAX(ABS(BY3:BY5)), ABS(BY3:BY5), 0)</f>
        <v>1</v>
      </c>
      <c r="BZ6" s="2">
        <f t="array" ref="BZ6">MATCH(MAX(ABS(BZ3:BZ5)), ABS(BZ3:BZ5), 0)</f>
        <v>1</v>
      </c>
      <c r="CA6" s="2">
        <f t="array" ref="CA6">MATCH(MAX(ABS(CA3:CA5)), ABS(CA3:CA5), 0)</f>
        <v>3</v>
      </c>
      <c r="CB6" s="2">
        <f t="array" ref="CB6">MATCH(MAX(ABS(CB3:CB5)), ABS(CB3:CB5), 0)</f>
        <v>1</v>
      </c>
      <c r="CC6" s="2">
        <f t="array" ref="CC6">MATCH(MAX(ABS(CC3:CC5)), ABS(CC3:CC5), 0)</f>
        <v>2</v>
      </c>
      <c r="CD6" s="2">
        <f t="array" ref="CD6">MATCH(MAX(ABS(CD3:CD5)), ABS(CD3:CD5), 0)</f>
        <v>3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2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2</v>
      </c>
      <c r="CK6" s="2">
        <f t="array" ref="CK6">MATCH(MAX(ABS(CK3:CK5)), ABS(CK3:CK5), 0)</f>
        <v>1</v>
      </c>
      <c r="CL6" s="2">
        <f t="array" ref="CL6">MATCH(MAX(ABS(CL3:CL5)), ABS(CL3:CL5), 0)</f>
        <v>2</v>
      </c>
      <c r="CM6" s="2">
        <f t="array" ref="CM6">MATCH(MAX(ABS(CM3:CM5)), ABS(CM3:CM5), 0)</f>
        <v>2</v>
      </c>
      <c r="CN6" s="2">
        <f t="array" ref="CN6">MATCH(MAX(ABS(CN3:CN5)), ABS(CN3:CN5), 0)</f>
        <v>1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2</v>
      </c>
      <c r="CT6" s="2">
        <f t="array" ref="CT6">MATCH(MAX(ABS(CT3:CT5)), ABS(CT3:CT5), 0)</f>
        <v>3</v>
      </c>
      <c r="CU6" s="2">
        <f t="array" ref="CU6">MATCH(MAX(ABS(CU3:CU5)), ABS(CU3:CU5), 0)</f>
        <v>2</v>
      </c>
      <c r="CV6" s="2">
        <f t="array" ref="CV6">MATCH(MAX(ABS(CV3:CV5)), ABS(CV3:CV5), 0)</f>
        <v>1</v>
      </c>
      <c r="CW6" s="2">
        <f t="array" ref="CW6">MATCH(MAX(ABS(CW3:CW5)), ABS(CW3:CW5), 0)</f>
        <v>2</v>
      </c>
      <c r="CX6" s="2">
        <f t="array" ref="CX6">MATCH(MAX(ABS(CX3:CX5)), ABS(CX3:CX5), 0)</f>
        <v>3</v>
      </c>
      <c r="CY6" s="2">
        <f t="array" ref="CY6">MATCH(MAX(ABS(CY3:CY5)), ABS(CY3:CY5), 0)</f>
        <v>2</v>
      </c>
      <c r="CZ6" s="2">
        <f t="array" ref="CZ6">MATCH(MAX(ABS(CZ3:CZ5)), ABS(CZ3:CZ5), 0)</f>
        <v>1</v>
      </c>
      <c r="DA6" s="2">
        <f t="array" ref="DA6">MATCH(MAX(ABS(DA3:DA5)), ABS(DA3:DA5), 0)</f>
        <v>3</v>
      </c>
      <c r="DB6" s="2">
        <f t="array" ref="DB6">MATCH(MAX(ABS(DB3:DB5)), ABS(DB3:DB5), 0)</f>
        <v>1</v>
      </c>
      <c r="DC6" s="2">
        <f t="array" ref="DC6">MATCH(MAX(ABS(DC3:DC5)), ABS(DC3:DC5), 0)</f>
        <v>2</v>
      </c>
      <c r="DD6" s="2">
        <f t="array" ref="DD6">MATCH(MAX(ABS(DD3:DD5)), ABS(DD3:DD5), 0)</f>
        <v>1</v>
      </c>
      <c r="DE6" s="2">
        <f t="array" ref="DE6">MATCH(MAX(ABS(DE3:DE5)), ABS(DE3:DE5), 0)</f>
        <v>3</v>
      </c>
      <c r="DF6" s="2">
        <f t="array" ref="DF6">MATCH(MAX(ABS(DF3:DF5)), ABS(DF3:DF5), 0)</f>
        <v>3</v>
      </c>
      <c r="DG6" s="2">
        <f t="array" ref="DG6">MATCH(MAX(ABS(DG3:DG5)), ABS(DG3:DG5), 0)</f>
        <v>3</v>
      </c>
      <c r="DH6" s="2">
        <f t="array" ref="DH6">MATCH(MAX(ABS(DH3:DH5)), ABS(DH3:DH5), 0)</f>
        <v>1</v>
      </c>
      <c r="DI6" s="2">
        <f t="array" ref="DI6">MATCH(MAX(ABS(DI3:DI5)), ABS(DI3:DI5), 0)</f>
        <v>1</v>
      </c>
      <c r="DJ6" s="2">
        <f t="array" ref="DJ6">MATCH(MAX(ABS(DJ3:DJ5)), ABS(DJ3:DJ5), 0)</f>
        <v>3</v>
      </c>
      <c r="DK6" s="2">
        <f t="array" ref="DK6">MATCH(MAX(ABS(DK3:DK5)), ABS(DK3:DK5), 0)</f>
        <v>2</v>
      </c>
      <c r="DL6" s="2">
        <f t="array" ref="DL6">MATCH(MAX(ABS(DL3:DL5)), ABS(DL3:DL5), 0)</f>
        <v>2</v>
      </c>
      <c r="DM6" s="2">
        <f t="array" ref="DM6">MATCH(MAX(ABS(DM3:DM5)), ABS(DM3:DM5), 0)</f>
        <v>2</v>
      </c>
      <c r="DN6" s="2">
        <f t="array" ref="DN6">MATCH(MAX(ABS(DN3:DN5)), ABS(DN3:DN5), 0)</f>
        <v>2</v>
      </c>
      <c r="DO6" s="2">
        <f t="array" ref="DO6">MATCH(MAX(ABS(DO3:DO5)), ABS(DO3:DO5), 0)</f>
        <v>1</v>
      </c>
      <c r="DP6" s="2">
        <f t="array" ref="DP6">MATCH(MAX(ABS(DP3:DP5)), ABS(DP3:DP5), 0)</f>
        <v>2</v>
      </c>
      <c r="DQ6" s="2">
        <f t="array" ref="DQ6">MATCH(MAX(ABS(DQ3:DQ5)), ABS(DQ3:DQ5), 0)</f>
        <v>2</v>
      </c>
      <c r="DR6" s="2">
        <f t="array" ref="DR6">MATCH(MAX(ABS(DR3:DR5)), ABS(DR3:DR5), 0)</f>
        <v>1</v>
      </c>
      <c r="DS6" s="2">
        <f t="array" ref="DS6">MATCH(MAX(ABS(DS3:DS5)), ABS(DS3:DS5), 0)</f>
        <v>1</v>
      </c>
      <c r="DT6" s="2">
        <f t="array" ref="DT6">MATCH(MAX(ABS(DT3:DT5)), ABS(DT3:DT5), 0)</f>
        <v>1</v>
      </c>
      <c r="DU6" s="2">
        <f t="array" ref="DU6">MATCH(MAX(ABS(DU3:DU5)), ABS(DU3:DU5), 0)</f>
        <v>1</v>
      </c>
      <c r="DV6" s="2">
        <f t="array" ref="DV6">MATCH(MAX(ABS(DV3:DV5)), ABS(DV3:DV5), 0)</f>
        <v>2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2</v>
      </c>
      <c r="DZ6" s="2">
        <f t="array" ref="DZ6">MATCH(MAX(ABS(DZ3:DZ5)), ABS(DZ3:DZ5), 0)</f>
        <v>2</v>
      </c>
      <c r="EA6" s="2">
        <f t="array" ref="EA6">MATCH(MAX(ABS(EA3:EA5)), ABS(EA3:EA5), 0)</f>
        <v>1</v>
      </c>
      <c r="EB6" s="2">
        <f t="array" ref="EB6">MATCH(MAX(ABS(EB3:EB5)), ABS(EB3:EB5), 0)</f>
        <v>2</v>
      </c>
      <c r="EC6" s="2">
        <f t="array" ref="EC6">MATCH(MAX(ABS(EC3:EC5)), ABS(EC3:EC5), 0)</f>
        <v>2</v>
      </c>
      <c r="ED6" s="2">
        <f t="array" ref="ED6">MATCH(MAX(ABS(ED3:ED5)), ABS(ED3:ED5), 0)</f>
        <v>2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2</v>
      </c>
      <c r="EH6" s="2">
        <f t="array" ref="EH6">MATCH(MAX(ABS(EH3:EH5)), ABS(EH3:EH5), 0)</f>
        <v>2</v>
      </c>
      <c r="EI6" s="2">
        <f t="array" ref="EI6">MATCH(MAX(ABS(EI3:EI5)), ABS(EI3:EI5), 0)</f>
        <v>1</v>
      </c>
      <c r="EJ6" s="2">
        <f t="array" ref="EJ6">MATCH(MAX(ABS(EJ3:EJ5)), ABS(EJ3:EJ5), 0)</f>
        <v>1</v>
      </c>
      <c r="EK6" s="2">
        <f t="array" ref="EK6">MATCH(MAX(ABS(EK3:EK5)), ABS(EK3:EK5), 0)</f>
        <v>1</v>
      </c>
      <c r="EL6" s="2">
        <f t="array" ref="EL6">MATCH(MAX(ABS(EL3:EL5)), ABS(EL3:EL5), 0)</f>
        <v>2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mom</v>
      </c>
      <c r="D7" s="2" t="str">
        <f t="shared" si="0"/>
        <v>bm</v>
      </c>
      <c r="E7" s="2" t="str">
        <f t="shared" si="0"/>
        <v>size</v>
      </c>
      <c r="F7" s="2" t="str">
        <f t="shared" si="0"/>
        <v>size</v>
      </c>
      <c r="G7" s="2" t="str">
        <f t="shared" si="0"/>
        <v>size</v>
      </c>
      <c r="H7" s="2" t="str">
        <f t="shared" si="0"/>
        <v>size</v>
      </c>
      <c r="I7" s="2" t="str">
        <f t="shared" si="0"/>
        <v>mom</v>
      </c>
      <c r="J7" s="2" t="str">
        <f t="shared" si="0"/>
        <v>mom</v>
      </c>
      <c r="K7" s="2" t="str">
        <f t="shared" si="0"/>
        <v>mom</v>
      </c>
      <c r="L7" s="2" t="str">
        <f t="shared" si="0"/>
        <v>bm</v>
      </c>
      <c r="M7" s="2" t="str">
        <f t="shared" si="0"/>
        <v>size</v>
      </c>
      <c r="N7" s="2" t="str">
        <f t="shared" si="0"/>
        <v>size</v>
      </c>
      <c r="O7" s="2" t="str">
        <f t="shared" si="0"/>
        <v>size</v>
      </c>
      <c r="P7" s="2" t="str">
        <f t="shared" si="0"/>
        <v>size</v>
      </c>
      <c r="Q7" s="2" t="str">
        <f t="shared" si="0"/>
        <v>size</v>
      </c>
      <c r="R7" s="2" t="str">
        <f t="shared" si="0"/>
        <v>mom</v>
      </c>
      <c r="S7" s="2" t="str">
        <f t="shared" si="0"/>
        <v>bm</v>
      </c>
      <c r="T7" s="2" t="str">
        <f t="shared" si="0"/>
        <v>bm</v>
      </c>
      <c r="U7" s="2" t="str">
        <f t="shared" si="0"/>
        <v>size</v>
      </c>
      <c r="V7" s="2" t="str">
        <f t="shared" si="0"/>
        <v>bm</v>
      </c>
      <c r="W7" s="2" t="str">
        <f t="shared" si="0"/>
        <v>bm</v>
      </c>
      <c r="X7" s="2" t="str">
        <f t="shared" si="0"/>
        <v>size</v>
      </c>
      <c r="Y7" s="2" t="str">
        <f t="shared" si="0"/>
        <v>mom</v>
      </c>
      <c r="Z7" s="2" t="str">
        <f t="shared" si="0"/>
        <v>size</v>
      </c>
      <c r="AA7" s="2" t="str">
        <f t="shared" si="0"/>
        <v>bm</v>
      </c>
      <c r="AB7" s="2" t="str">
        <f t="shared" si="0"/>
        <v>size</v>
      </c>
      <c r="AC7" s="2" t="str">
        <f t="shared" si="0"/>
        <v>size</v>
      </c>
      <c r="AD7" s="2" t="str">
        <f t="shared" si="0"/>
        <v>mom</v>
      </c>
      <c r="AE7" s="2" t="str">
        <f t="shared" si="0"/>
        <v>mom</v>
      </c>
      <c r="AF7" s="2" t="str">
        <f t="shared" si="0"/>
        <v>bm</v>
      </c>
      <c r="AG7" s="2" t="str">
        <f t="shared" si="0"/>
        <v>size</v>
      </c>
      <c r="AH7" s="2" t="str">
        <f t="shared" si="0"/>
        <v>mom</v>
      </c>
      <c r="AI7" s="2" t="str">
        <f t="shared" ref="AI7:BN7" si="1">IF(AI6=1,"bm",IF(AI6=2,"size",IF(AI6=3,"mom")))</f>
        <v>size</v>
      </c>
      <c r="AJ7" s="2" t="str">
        <f t="shared" si="1"/>
        <v>size</v>
      </c>
      <c r="AK7" s="2" t="str">
        <f t="shared" si="1"/>
        <v>bm</v>
      </c>
      <c r="AL7" s="2" t="str">
        <f t="shared" si="1"/>
        <v>mom</v>
      </c>
      <c r="AM7" s="2" t="str">
        <f t="shared" si="1"/>
        <v>size</v>
      </c>
      <c r="AN7" s="2" t="str">
        <f t="shared" si="1"/>
        <v>size</v>
      </c>
      <c r="AO7" s="2" t="str">
        <f t="shared" si="1"/>
        <v>size</v>
      </c>
      <c r="AP7" s="2" t="str">
        <f t="shared" si="1"/>
        <v>bm</v>
      </c>
      <c r="AQ7" s="2" t="str">
        <f t="shared" si="1"/>
        <v>bm</v>
      </c>
      <c r="AR7" s="2" t="str">
        <f t="shared" si="1"/>
        <v>bm</v>
      </c>
      <c r="AS7" s="2" t="str">
        <f t="shared" si="1"/>
        <v>size</v>
      </c>
      <c r="AT7" s="2" t="str">
        <f t="shared" si="1"/>
        <v>size</v>
      </c>
      <c r="AU7" s="2" t="str">
        <f t="shared" si="1"/>
        <v>size</v>
      </c>
      <c r="AV7" s="2" t="str">
        <f t="shared" si="1"/>
        <v>size</v>
      </c>
      <c r="AW7" s="2" t="str">
        <f t="shared" si="1"/>
        <v>bm</v>
      </c>
      <c r="AX7" s="2" t="str">
        <f t="shared" si="1"/>
        <v>size</v>
      </c>
      <c r="AY7" s="2" t="str">
        <f t="shared" si="1"/>
        <v>size</v>
      </c>
      <c r="AZ7" s="2" t="str">
        <f t="shared" si="1"/>
        <v>mom</v>
      </c>
      <c r="BA7" s="2" t="str">
        <f t="shared" si="1"/>
        <v>mom</v>
      </c>
      <c r="BB7" s="2" t="str">
        <f t="shared" si="1"/>
        <v>bm</v>
      </c>
      <c r="BC7" s="2" t="str">
        <f t="shared" si="1"/>
        <v>size</v>
      </c>
      <c r="BD7" s="2" t="str">
        <f t="shared" si="1"/>
        <v>bm</v>
      </c>
      <c r="BE7" s="2" t="str">
        <f t="shared" si="1"/>
        <v>size</v>
      </c>
      <c r="BF7" s="2" t="str">
        <f t="shared" si="1"/>
        <v>size</v>
      </c>
      <c r="BG7" s="2" t="str">
        <f t="shared" si="1"/>
        <v>size</v>
      </c>
      <c r="BH7" s="2" t="str">
        <f t="shared" si="1"/>
        <v>size</v>
      </c>
      <c r="BI7" s="2" t="str">
        <f t="shared" si="1"/>
        <v>bm</v>
      </c>
      <c r="BJ7" s="2" t="str">
        <f t="shared" si="1"/>
        <v>mom</v>
      </c>
      <c r="BK7" s="2" t="str">
        <f t="shared" si="1"/>
        <v>bm</v>
      </c>
      <c r="BL7" s="2" t="str">
        <f t="shared" si="1"/>
        <v>bm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size</v>
      </c>
      <c r="BP7" s="2" t="str">
        <f t="shared" si="2"/>
        <v>mom</v>
      </c>
      <c r="BQ7" s="2" t="str">
        <f t="shared" si="2"/>
        <v>size</v>
      </c>
      <c r="BR7" s="2" t="str">
        <f t="shared" si="2"/>
        <v>bm</v>
      </c>
      <c r="BS7" s="2" t="str">
        <f t="shared" si="2"/>
        <v>bm</v>
      </c>
      <c r="BT7" s="2" t="str">
        <f t="shared" si="2"/>
        <v>mom</v>
      </c>
      <c r="BU7" s="2" t="str">
        <f t="shared" si="2"/>
        <v>bm</v>
      </c>
      <c r="BV7" s="2" t="str">
        <f t="shared" si="2"/>
        <v>size</v>
      </c>
      <c r="BW7" s="2" t="str">
        <f t="shared" si="2"/>
        <v>size</v>
      </c>
      <c r="BX7" s="2" t="str">
        <f t="shared" si="2"/>
        <v>size</v>
      </c>
      <c r="BY7" s="2" t="str">
        <f t="shared" si="2"/>
        <v>bm</v>
      </c>
      <c r="BZ7" s="2" t="str">
        <f t="shared" si="2"/>
        <v>bm</v>
      </c>
      <c r="CA7" s="2" t="str">
        <f t="shared" si="2"/>
        <v>mom</v>
      </c>
      <c r="CB7" s="2" t="str">
        <f t="shared" si="2"/>
        <v>bm</v>
      </c>
      <c r="CC7" s="2" t="str">
        <f t="shared" si="2"/>
        <v>size</v>
      </c>
      <c r="CD7" s="2" t="str">
        <f t="shared" si="2"/>
        <v>mom</v>
      </c>
      <c r="CE7" s="2" t="str">
        <f t="shared" si="2"/>
        <v>size</v>
      </c>
      <c r="CF7" s="2" t="str">
        <f t="shared" si="2"/>
        <v>bm</v>
      </c>
      <c r="CG7" s="2" t="str">
        <f t="shared" si="2"/>
        <v>size</v>
      </c>
      <c r="CH7" s="2" t="str">
        <f t="shared" si="2"/>
        <v>bm</v>
      </c>
      <c r="CI7" s="2" t="str">
        <f t="shared" si="2"/>
        <v>bm</v>
      </c>
      <c r="CJ7" s="2" t="str">
        <f t="shared" si="2"/>
        <v>size</v>
      </c>
      <c r="CK7" s="2" t="str">
        <f t="shared" si="2"/>
        <v>bm</v>
      </c>
      <c r="CL7" s="2" t="str">
        <f t="shared" si="2"/>
        <v>size</v>
      </c>
      <c r="CM7" s="2" t="str">
        <f t="shared" si="2"/>
        <v>size</v>
      </c>
      <c r="CN7" s="2" t="str">
        <f t="shared" si="2"/>
        <v>bm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size</v>
      </c>
      <c r="CT7" s="2" t="str">
        <f t="shared" si="2"/>
        <v>mom</v>
      </c>
      <c r="CU7" s="2" t="str">
        <f t="shared" ref="CU7:DZ7" si="3">IF(CU6=1,"bm",IF(CU6=2,"size",IF(CU6=3,"mom")))</f>
        <v>size</v>
      </c>
      <c r="CV7" s="2" t="str">
        <f t="shared" si="3"/>
        <v>bm</v>
      </c>
      <c r="CW7" s="2" t="str">
        <f t="shared" si="3"/>
        <v>size</v>
      </c>
      <c r="CX7" s="2" t="str">
        <f t="shared" si="3"/>
        <v>mom</v>
      </c>
      <c r="CY7" s="2" t="str">
        <f t="shared" si="3"/>
        <v>size</v>
      </c>
      <c r="CZ7" s="2" t="str">
        <f t="shared" si="3"/>
        <v>bm</v>
      </c>
      <c r="DA7" s="2" t="str">
        <f t="shared" si="3"/>
        <v>mom</v>
      </c>
      <c r="DB7" s="2" t="str">
        <f t="shared" si="3"/>
        <v>bm</v>
      </c>
      <c r="DC7" s="2" t="str">
        <f t="shared" si="3"/>
        <v>size</v>
      </c>
      <c r="DD7" s="2" t="str">
        <f t="shared" si="3"/>
        <v>bm</v>
      </c>
      <c r="DE7" s="2" t="str">
        <f t="shared" si="3"/>
        <v>mom</v>
      </c>
      <c r="DF7" s="2" t="str">
        <f t="shared" si="3"/>
        <v>mom</v>
      </c>
      <c r="DG7" s="2" t="str">
        <f t="shared" si="3"/>
        <v>mom</v>
      </c>
      <c r="DH7" s="2" t="str">
        <f t="shared" si="3"/>
        <v>bm</v>
      </c>
      <c r="DI7" s="2" t="str">
        <f t="shared" si="3"/>
        <v>bm</v>
      </c>
      <c r="DJ7" s="2" t="str">
        <f t="shared" si="3"/>
        <v>mom</v>
      </c>
      <c r="DK7" s="2" t="str">
        <f t="shared" si="3"/>
        <v>size</v>
      </c>
      <c r="DL7" s="2" t="str">
        <f t="shared" si="3"/>
        <v>size</v>
      </c>
      <c r="DM7" s="2" t="str">
        <f t="shared" si="3"/>
        <v>size</v>
      </c>
      <c r="DN7" s="2" t="str">
        <f t="shared" si="3"/>
        <v>size</v>
      </c>
      <c r="DO7" s="2" t="str">
        <f t="shared" si="3"/>
        <v>bm</v>
      </c>
      <c r="DP7" s="2" t="str">
        <f t="shared" si="3"/>
        <v>size</v>
      </c>
      <c r="DQ7" s="2" t="str">
        <f t="shared" si="3"/>
        <v>size</v>
      </c>
      <c r="DR7" s="2" t="str">
        <f t="shared" si="3"/>
        <v>bm</v>
      </c>
      <c r="DS7" s="2" t="str">
        <f t="shared" si="3"/>
        <v>bm</v>
      </c>
      <c r="DT7" s="2" t="str">
        <f t="shared" si="3"/>
        <v>bm</v>
      </c>
      <c r="DU7" s="2" t="str">
        <f t="shared" si="3"/>
        <v>bm</v>
      </c>
      <c r="DV7" s="2" t="str">
        <f t="shared" si="3"/>
        <v>size</v>
      </c>
      <c r="DW7" s="2" t="str">
        <f t="shared" si="3"/>
        <v>size</v>
      </c>
      <c r="DX7" s="2" t="str">
        <f t="shared" si="3"/>
        <v>bm</v>
      </c>
      <c r="DY7" s="2" t="str">
        <f t="shared" si="3"/>
        <v>size</v>
      </c>
      <c r="DZ7" s="2" t="str">
        <f t="shared" si="3"/>
        <v>size</v>
      </c>
      <c r="EA7" s="2" t="str">
        <f t="shared" ref="EA7:FF7" si="4">IF(EA6=1,"bm",IF(EA6=2,"size",IF(EA6=3,"mom")))</f>
        <v>bm</v>
      </c>
      <c r="EB7" s="2" t="str">
        <f t="shared" si="4"/>
        <v>size</v>
      </c>
      <c r="EC7" s="2" t="str">
        <f t="shared" si="4"/>
        <v>size</v>
      </c>
      <c r="ED7" s="2" t="str">
        <f t="shared" si="4"/>
        <v>size</v>
      </c>
      <c r="EE7" s="2" t="str">
        <f t="shared" si="4"/>
        <v>size</v>
      </c>
      <c r="EF7" s="2" t="str">
        <f t="shared" si="4"/>
        <v>size</v>
      </c>
      <c r="EG7" s="2" t="str">
        <f t="shared" si="4"/>
        <v>size</v>
      </c>
      <c r="EH7" s="2" t="str">
        <f t="shared" si="4"/>
        <v>size</v>
      </c>
      <c r="EI7" s="2" t="str">
        <f t="shared" si="4"/>
        <v>bm</v>
      </c>
      <c r="EJ7" s="2" t="str">
        <f t="shared" si="4"/>
        <v>bm</v>
      </c>
      <c r="EK7" s="2" t="str">
        <f t="shared" si="4"/>
        <v>bm</v>
      </c>
      <c r="EL7" s="2" t="str">
        <f t="shared" si="4"/>
        <v>size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0.15728221833705899</v>
      </c>
      <c r="D8" s="2">
        <f t="shared" si="5"/>
        <v>0.1053639203310013</v>
      </c>
      <c r="E8" s="2">
        <f t="shared" si="5"/>
        <v>-0.11142420023679731</v>
      </c>
      <c r="F8" s="2">
        <f t="shared" si="5"/>
        <v>-1.511961102485657</v>
      </c>
      <c r="G8" s="2">
        <f t="shared" si="5"/>
        <v>7.4539490044116974E-2</v>
      </c>
      <c r="H8" s="2">
        <f t="shared" si="5"/>
        <v>0.62969094514846802</v>
      </c>
      <c r="I8" s="2">
        <f t="shared" si="5"/>
        <v>-6.3020594418048859E-2</v>
      </c>
      <c r="J8" s="2">
        <f t="shared" si="5"/>
        <v>0.25328341126441961</v>
      </c>
      <c r="K8" s="2">
        <f t="shared" si="5"/>
        <v>-0.21305651962757111</v>
      </c>
      <c r="L8" s="2">
        <f t="shared" si="5"/>
        <v>-0.3462432324886322</v>
      </c>
      <c r="M8" s="2">
        <f t="shared" si="5"/>
        <v>-0.12803715467453</v>
      </c>
      <c r="N8" s="2">
        <f t="shared" si="5"/>
        <v>0.16350230574607849</v>
      </c>
      <c r="O8" s="2">
        <f t="shared" si="5"/>
        <v>-0.39166867733001709</v>
      </c>
      <c r="P8" s="2">
        <f t="shared" si="5"/>
        <v>-0.45486584305763239</v>
      </c>
      <c r="Q8" s="2">
        <f t="shared" si="5"/>
        <v>0.1261937469244003</v>
      </c>
      <c r="R8" s="2">
        <f t="shared" si="5"/>
        <v>0.25330221652984619</v>
      </c>
      <c r="S8" s="2">
        <f t="shared" si="5"/>
        <v>1.7472125589847561E-2</v>
      </c>
      <c r="T8" s="2">
        <f t="shared" si="5"/>
        <v>3.4076657146215439E-2</v>
      </c>
      <c r="U8" s="2">
        <f t="shared" si="5"/>
        <v>6.453724205493927E-2</v>
      </c>
      <c r="V8" s="2">
        <f t="shared" si="5"/>
        <v>-4.9297574907541282E-2</v>
      </c>
      <c r="W8" s="2">
        <f t="shared" si="5"/>
        <v>0.17203778028488159</v>
      </c>
      <c r="X8" s="2">
        <f t="shared" si="5"/>
        <v>-1.7221692949533459E-2</v>
      </c>
      <c r="Y8" s="2">
        <f t="shared" si="5"/>
        <v>0.1066936030983925</v>
      </c>
      <c r="Z8" s="2">
        <f t="shared" si="5"/>
        <v>-0.18653327226638791</v>
      </c>
      <c r="AA8" s="2">
        <f t="shared" si="5"/>
        <v>7.4298478662967682E-2</v>
      </c>
      <c r="AB8" s="2">
        <f t="shared" si="5"/>
        <v>0.28902542591094971</v>
      </c>
      <c r="AC8" s="2">
        <f t="shared" si="5"/>
        <v>-0.13324955105781561</v>
      </c>
      <c r="AD8" s="2">
        <f t="shared" si="5"/>
        <v>-9.2996269464492798E-2</v>
      </c>
      <c r="AE8" s="2">
        <f t="shared" si="5"/>
        <v>-5.3630407899618149E-2</v>
      </c>
      <c r="AF8" s="2">
        <f t="shared" si="5"/>
        <v>-9.9812641739845276E-2</v>
      </c>
      <c r="AG8" s="2">
        <f t="shared" si="5"/>
        <v>-0.40827155113220209</v>
      </c>
      <c r="AH8" s="2">
        <f t="shared" si="5"/>
        <v>-0.1727122962474823</v>
      </c>
      <c r="AI8" s="2">
        <f t="shared" ref="AI8:BN8" si="6">IF(AI6=1,AI3,IF(AI6=2,AI4,IF(AI6=3,AI5)))</f>
        <v>0.37125641107559199</v>
      </c>
      <c r="AJ8" s="2">
        <f t="shared" si="6"/>
        <v>1.168565034866333</v>
      </c>
      <c r="AK8" s="2">
        <f t="shared" si="6"/>
        <v>-7.5587287545204163E-2</v>
      </c>
      <c r="AL8" s="2">
        <f t="shared" si="6"/>
        <v>-7.443651556968689E-2</v>
      </c>
      <c r="AM8" s="2">
        <f t="shared" si="6"/>
        <v>-0.58320993185043335</v>
      </c>
      <c r="AN8" s="2">
        <f t="shared" si="6"/>
        <v>8.6559981107711792E-2</v>
      </c>
      <c r="AO8" s="2">
        <f t="shared" si="6"/>
        <v>-9.455205500125885E-2</v>
      </c>
      <c r="AP8" s="2">
        <f t="shared" si="6"/>
        <v>-0.32218533754348749</v>
      </c>
      <c r="AQ8" s="2">
        <f t="shared" si="6"/>
        <v>-8.5807070136070251E-2</v>
      </c>
      <c r="AR8" s="2">
        <f t="shared" si="6"/>
        <v>5.2739348262548447E-2</v>
      </c>
      <c r="AS8" s="2">
        <f t="shared" si="6"/>
        <v>0.54399585723876953</v>
      </c>
      <c r="AT8" s="2">
        <f t="shared" si="6"/>
        <v>-0.15387266874313349</v>
      </c>
      <c r="AU8" s="2">
        <f t="shared" si="6"/>
        <v>-1.002355813980103</v>
      </c>
      <c r="AV8" s="2">
        <f t="shared" si="6"/>
        <v>2.1820170879364009</v>
      </c>
      <c r="AW8" s="2">
        <f t="shared" si="6"/>
        <v>0.1143049001693726</v>
      </c>
      <c r="AX8" s="2">
        <f t="shared" si="6"/>
        <v>-3.687971830368042E-2</v>
      </c>
      <c r="AY8" s="2">
        <f t="shared" si="6"/>
        <v>2.3489251732826229E-2</v>
      </c>
      <c r="AZ8" s="2">
        <f t="shared" si="6"/>
        <v>0.20549611747264859</v>
      </c>
      <c r="BA8" s="2">
        <f t="shared" si="6"/>
        <v>-5.8955032378435128E-2</v>
      </c>
      <c r="BB8" s="2">
        <f t="shared" si="6"/>
        <v>4.1215825825929642E-2</v>
      </c>
      <c r="BC8" s="2">
        <f t="shared" si="6"/>
        <v>0.1192516833543777</v>
      </c>
      <c r="BD8" s="2">
        <f t="shared" si="6"/>
        <v>7.8439787030220032E-2</v>
      </c>
      <c r="BE8" s="2">
        <f t="shared" si="6"/>
        <v>0.17723888158798221</v>
      </c>
      <c r="BF8" s="2">
        <f t="shared" si="6"/>
        <v>-0.1383980214595795</v>
      </c>
      <c r="BG8" s="2">
        <f t="shared" si="6"/>
        <v>-0.27680736780166632</v>
      </c>
      <c r="BH8" s="2">
        <f t="shared" si="6"/>
        <v>-0.1097642481327057</v>
      </c>
      <c r="BI8" s="2">
        <f t="shared" si="6"/>
        <v>0.10848069936037059</v>
      </c>
      <c r="BJ8" s="2">
        <f t="shared" si="6"/>
        <v>-0.14304828643798831</v>
      </c>
      <c r="BK8" s="2">
        <f t="shared" si="6"/>
        <v>9.9805325269699097E-2</v>
      </c>
      <c r="BL8" s="2">
        <f t="shared" si="6"/>
        <v>-6.4521826803684235E-2</v>
      </c>
      <c r="BM8" s="2">
        <f t="shared" si="6"/>
        <v>-2.1434292197227481E-2</v>
      </c>
      <c r="BN8" s="2">
        <f t="shared" si="6"/>
        <v>0.14325195550918579</v>
      </c>
      <c r="BO8" s="2">
        <f t="shared" ref="BO8:CT8" si="7">IF(BO6=1,BO3,IF(BO6=2,BO4,IF(BO6=3,BO5)))</f>
        <v>-7.1398638188838959E-2</v>
      </c>
      <c r="BP8" s="2">
        <f t="shared" si="7"/>
        <v>0.19304460287094119</v>
      </c>
      <c r="BQ8" s="2">
        <f t="shared" si="7"/>
        <v>0.1667363494634628</v>
      </c>
      <c r="BR8" s="2">
        <f t="shared" si="7"/>
        <v>0.12632341682910919</v>
      </c>
      <c r="BS8" s="2">
        <f t="shared" si="7"/>
        <v>-1.8966048955917358E-2</v>
      </c>
      <c r="BT8" s="2">
        <f t="shared" si="7"/>
        <v>7.1017861366271973E-2</v>
      </c>
      <c r="BU8" s="2">
        <f t="shared" si="7"/>
        <v>5.491241067647934E-2</v>
      </c>
      <c r="BV8" s="2">
        <f t="shared" si="7"/>
        <v>-4.8218529671430588E-2</v>
      </c>
      <c r="BW8" s="2">
        <f t="shared" si="7"/>
        <v>0.13876631855964661</v>
      </c>
      <c r="BX8" s="2">
        <f t="shared" si="7"/>
        <v>-4.1642323136329651E-2</v>
      </c>
      <c r="BY8" s="2">
        <f t="shared" si="7"/>
        <v>4.9034658819437027E-2</v>
      </c>
      <c r="BZ8" s="2">
        <f t="shared" si="7"/>
        <v>8.3267219364643097E-2</v>
      </c>
      <c r="CA8" s="2">
        <f t="shared" si="7"/>
        <v>6.0863859951496117E-2</v>
      </c>
      <c r="CB8" s="2">
        <f t="shared" si="7"/>
        <v>2.3098880425095562E-2</v>
      </c>
      <c r="CC8" s="2">
        <f t="shared" si="7"/>
        <v>-5.329618975520134E-2</v>
      </c>
      <c r="CD8" s="2">
        <f t="shared" si="7"/>
        <v>-0.27556115388870239</v>
      </c>
      <c r="CE8" s="2">
        <f t="shared" si="7"/>
        <v>-8.4981024265289307E-2</v>
      </c>
      <c r="CF8" s="2">
        <f t="shared" si="7"/>
        <v>5.2956856787204742E-2</v>
      </c>
      <c r="CG8" s="2">
        <f t="shared" si="7"/>
        <v>0.31693470478057861</v>
      </c>
      <c r="CH8" s="2">
        <f t="shared" si="7"/>
        <v>0.1317044794559479</v>
      </c>
      <c r="CI8" s="2">
        <f t="shared" si="7"/>
        <v>-8.7051913142204285E-2</v>
      </c>
      <c r="CJ8" s="2">
        <f t="shared" si="7"/>
        <v>-8.8597118854522705E-2</v>
      </c>
      <c r="CK8" s="2">
        <f t="shared" si="7"/>
        <v>1.5571171417832369E-2</v>
      </c>
      <c r="CL8" s="2">
        <f t="shared" si="7"/>
        <v>-4.5895207673311227E-2</v>
      </c>
      <c r="CM8" s="2">
        <f t="shared" si="7"/>
        <v>6.536266952753067E-2</v>
      </c>
      <c r="CN8" s="2">
        <f t="shared" si="7"/>
        <v>4.9111202359199517E-2</v>
      </c>
      <c r="CO8" s="2">
        <f t="shared" si="7"/>
        <v>3.4829422831535339E-2</v>
      </c>
      <c r="CP8" s="2">
        <f t="shared" si="7"/>
        <v>7.0899978280067444E-2</v>
      </c>
      <c r="CQ8" s="2">
        <f t="shared" si="7"/>
        <v>1.575024425983429E-2</v>
      </c>
      <c r="CR8" s="2">
        <f t="shared" si="7"/>
        <v>-0.1028320267796516</v>
      </c>
      <c r="CS8" s="2">
        <f t="shared" si="7"/>
        <v>-5.6077510118484497E-2</v>
      </c>
      <c r="CT8" s="2">
        <f t="shared" si="7"/>
        <v>-0.20210836827754969</v>
      </c>
      <c r="CU8" s="2">
        <f t="shared" ref="CU8:DZ8" si="8">IF(CU6=1,CU3,IF(CU6=2,CU4,IF(CU6=3,CU5)))</f>
        <v>0.13234809041023249</v>
      </c>
      <c r="CV8" s="2">
        <f t="shared" si="8"/>
        <v>0.13697381317615509</v>
      </c>
      <c r="CW8" s="2">
        <f t="shared" si="8"/>
        <v>-8.7821513414382935E-2</v>
      </c>
      <c r="CX8" s="2">
        <f t="shared" si="8"/>
        <v>2.407862804830074E-2</v>
      </c>
      <c r="CY8" s="2">
        <f t="shared" si="8"/>
        <v>0.36373773217201227</v>
      </c>
      <c r="CZ8" s="2">
        <f t="shared" si="8"/>
        <v>4.3630726635456092E-2</v>
      </c>
      <c r="DA8" s="2">
        <f t="shared" si="8"/>
        <v>-9.331473708152771E-2</v>
      </c>
      <c r="DB8" s="2">
        <f t="shared" si="8"/>
        <v>0.1894510090351105</v>
      </c>
      <c r="DC8" s="2">
        <f t="shared" si="8"/>
        <v>0.25393012166023249</v>
      </c>
      <c r="DD8" s="2">
        <f t="shared" si="8"/>
        <v>4.7927461564540863E-2</v>
      </c>
      <c r="DE8" s="2">
        <f t="shared" si="8"/>
        <v>0.153162956237793</v>
      </c>
      <c r="DF8" s="2">
        <f t="shared" si="8"/>
        <v>-0.1304758936166763</v>
      </c>
      <c r="DG8" s="2">
        <f t="shared" si="8"/>
        <v>7.8797116875648499E-2</v>
      </c>
      <c r="DH8" s="2">
        <f t="shared" si="8"/>
        <v>-2.494002133607864E-2</v>
      </c>
      <c r="DI8" s="2">
        <f t="shared" si="8"/>
        <v>0.1019171923398972</v>
      </c>
      <c r="DJ8" s="2">
        <f t="shared" si="8"/>
        <v>1.7224639654159549E-2</v>
      </c>
      <c r="DK8" s="2">
        <f t="shared" si="8"/>
        <v>0.22539284825325009</v>
      </c>
      <c r="DL8" s="2">
        <f t="shared" si="8"/>
        <v>0.53151315450668335</v>
      </c>
      <c r="DM8" s="2">
        <f t="shared" si="8"/>
        <v>-0.12688970565795901</v>
      </c>
      <c r="DN8" s="2">
        <f t="shared" si="8"/>
        <v>-0.20791251957416529</v>
      </c>
      <c r="DO8" s="2">
        <f t="shared" si="8"/>
        <v>0.12660396099090579</v>
      </c>
      <c r="DP8" s="2">
        <f t="shared" si="8"/>
        <v>-3.2787293195724487E-2</v>
      </c>
      <c r="DQ8" s="2">
        <f t="shared" si="8"/>
        <v>4.3555703014135361E-2</v>
      </c>
      <c r="DR8" s="2">
        <f t="shared" si="8"/>
        <v>7.9334713518619537E-2</v>
      </c>
      <c r="DS8" s="2">
        <f t="shared" si="8"/>
        <v>-4.9381494522094727E-2</v>
      </c>
      <c r="DT8" s="2">
        <f t="shared" si="8"/>
        <v>1.7781071364879612E-2</v>
      </c>
      <c r="DU8" s="2">
        <f t="shared" si="8"/>
        <v>-2.9499910771846771E-2</v>
      </c>
      <c r="DV8" s="2">
        <f t="shared" si="8"/>
        <v>-5.6332360953092582E-2</v>
      </c>
      <c r="DW8" s="2">
        <f t="shared" si="8"/>
        <v>-3.6220617592334747E-2</v>
      </c>
      <c r="DX8" s="2">
        <f t="shared" si="8"/>
        <v>3.6637254059314728E-2</v>
      </c>
      <c r="DY8" s="2">
        <f t="shared" si="8"/>
        <v>-6.252395361661911E-2</v>
      </c>
      <c r="DZ8" s="2">
        <f t="shared" si="8"/>
        <v>-0.11916419863700869</v>
      </c>
      <c r="EA8" s="2">
        <f t="shared" ref="EA8:EM8" si="9">IF(EA6=1,EA3,IF(EA6=2,EA4,IF(EA6=3,EA5)))</f>
        <v>-5.6017383933067322E-2</v>
      </c>
      <c r="EB8" s="2">
        <f t="shared" si="9"/>
        <v>-4.9353361129760742E-2</v>
      </c>
      <c r="EC8" s="2">
        <f t="shared" si="9"/>
        <v>-5.4525550454854972E-2</v>
      </c>
      <c r="ED8" s="2">
        <f t="shared" si="9"/>
        <v>-0.14734306931495669</v>
      </c>
      <c r="EE8" s="2">
        <f t="shared" si="9"/>
        <v>0.49940222501754761</v>
      </c>
      <c r="EF8" s="2">
        <f t="shared" si="9"/>
        <v>7.0188522338867188E-2</v>
      </c>
      <c r="EG8" s="2">
        <f t="shared" si="9"/>
        <v>-6.0505442321300507E-2</v>
      </c>
      <c r="EH8" s="2">
        <f t="shared" si="9"/>
        <v>-3.9344668388366699E-2</v>
      </c>
      <c r="EI8" s="2">
        <f t="shared" si="9"/>
        <v>6.7612059414386749E-2</v>
      </c>
      <c r="EJ8" s="2">
        <f t="shared" si="9"/>
        <v>3.5830613225698471E-2</v>
      </c>
      <c r="EK8" s="2">
        <f t="shared" si="9"/>
        <v>-5.9804715216159821E-2</v>
      </c>
      <c r="EL8" s="2">
        <f t="shared" si="9"/>
        <v>-4.7431431710720062E-2</v>
      </c>
      <c r="EM8" s="2">
        <f t="shared" si="9"/>
        <v>-5.4815758019685752E-2</v>
      </c>
    </row>
    <row r="10" spans="1:145" x14ac:dyDescent="0.3">
      <c r="A10" s="22" t="s">
        <v>147</v>
      </c>
      <c r="B10" s="23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20">
        <v>10</v>
      </c>
      <c r="B12" s="20">
        <f t="shared" ref="B12:B24" si="10">ROUND($D$10/A12,0)</f>
        <v>105</v>
      </c>
      <c r="C12" s="3">
        <v>-6.6123725509230347E-3</v>
      </c>
      <c r="D12" s="3">
        <v>2.8187943285654441E-2</v>
      </c>
      <c r="E12" s="3">
        <v>3.8261781428851373E-2</v>
      </c>
      <c r="F12" s="3">
        <v>-7.3451094401049653E-3</v>
      </c>
      <c r="G12" s="3">
        <v>-1.5156935895989449E-2</v>
      </c>
      <c r="H12" s="3">
        <v>-4.3063012145177312E-2</v>
      </c>
      <c r="I12" s="3">
        <v>2.3146302660808658E-2</v>
      </c>
      <c r="J12" s="3">
        <v>1.173916789218694E-3</v>
      </c>
      <c r="K12" s="3">
        <v>-7.9784154096145636E-3</v>
      </c>
      <c r="L12" s="3">
        <v>-1.533464544549866E-2</v>
      </c>
      <c r="M12" s="3">
        <v>-3.6873954015990708E-3</v>
      </c>
      <c r="N12" s="3">
        <v>-6.2468604784639691E-2</v>
      </c>
      <c r="O12" s="3">
        <v>1.9028095407602391E-2</v>
      </c>
      <c r="P12" s="3">
        <v>-1.7497659709287891E-3</v>
      </c>
      <c r="Q12" s="3">
        <v>-2.457856848083766E-2</v>
      </c>
      <c r="R12" s="3">
        <v>1.315971541982847E-2</v>
      </c>
      <c r="S12" s="3">
        <v>-6.4337506511986317E-2</v>
      </c>
      <c r="T12" s="3">
        <v>-4.0105039095809147E-2</v>
      </c>
      <c r="U12" s="3">
        <v>2.0802966490777591E-2</v>
      </c>
      <c r="V12" s="3">
        <v>-4.4981645440653792E-2</v>
      </c>
      <c r="W12" s="3">
        <v>9.3088641097590907E-3</v>
      </c>
      <c r="X12" s="3">
        <v>3.1253186512717461E-2</v>
      </c>
      <c r="Y12" s="3">
        <v>3.6721622506908087E-2</v>
      </c>
      <c r="Z12" s="3">
        <v>3.4122483481835199E-3</v>
      </c>
      <c r="AA12" s="3">
        <v>-3.2908237706232552E-2</v>
      </c>
      <c r="AB12" s="3">
        <v>3.2343373937008262E-3</v>
      </c>
      <c r="AC12" s="3">
        <v>1.071831749993747E-2</v>
      </c>
      <c r="AD12" s="3">
        <v>-1.2076822520636179E-2</v>
      </c>
      <c r="AE12" s="3">
        <v>-4.4953943786551237E-2</v>
      </c>
      <c r="AF12" s="3">
        <v>-3.4405111109333537E-2</v>
      </c>
      <c r="AG12" s="3">
        <v>9.1635467330033124E-3</v>
      </c>
      <c r="AH12" s="3">
        <v>3.9118599745391926E-3</v>
      </c>
      <c r="AI12" s="3">
        <v>-1.273019170513294E-2</v>
      </c>
      <c r="AJ12" s="3">
        <v>-2.582474078637606E-2</v>
      </c>
      <c r="AK12" s="3">
        <v>-4.1114693252788923E-2</v>
      </c>
      <c r="AL12" s="3">
        <v>4.7469914600434628E-2</v>
      </c>
      <c r="AM12" s="3">
        <v>1.3098317773041551E-2</v>
      </c>
      <c r="AN12" s="3">
        <v>-4.7617447569056198E-2</v>
      </c>
      <c r="AO12" s="3">
        <v>2.0909476389994099E-2</v>
      </c>
      <c r="AP12" s="3">
        <v>2.153954826191519E-2</v>
      </c>
      <c r="AQ12" s="3">
        <v>7.260712968734144E-3</v>
      </c>
      <c r="AR12" s="3">
        <v>2.127670173322397E-2</v>
      </c>
      <c r="AS12" s="3">
        <v>1.147007049627736E-4</v>
      </c>
      <c r="AT12" s="3">
        <v>-2.5082472207950929E-2</v>
      </c>
      <c r="AU12" s="3">
        <v>6.3509530041740314E-2</v>
      </c>
      <c r="AV12" s="3">
        <v>2.6560411482116179E-2</v>
      </c>
      <c r="AW12" s="3">
        <v>-5.4095929533519542E-3</v>
      </c>
      <c r="AX12" s="3">
        <v>8.1580672468933579E-3</v>
      </c>
      <c r="AY12" s="3">
        <v>-3.432570797651139E-3</v>
      </c>
      <c r="AZ12" s="3">
        <v>-1.316416962548024E-2</v>
      </c>
      <c r="BA12" s="3">
        <v>4.1425382375913658E-2</v>
      </c>
      <c r="BB12" s="3">
        <v>2.3603629904787472E-2</v>
      </c>
      <c r="BC12" s="3">
        <v>-2.2644606892295929E-3</v>
      </c>
      <c r="BD12" s="3">
        <v>1.484794905647357E-2</v>
      </c>
      <c r="BE12" s="3">
        <v>4.613774146674713E-2</v>
      </c>
      <c r="BF12" s="3">
        <v>-9.6457869915822607E-3</v>
      </c>
      <c r="BG12" s="3">
        <v>1.077459977165789E-2</v>
      </c>
      <c r="BH12" s="3">
        <v>-2.341301817775435E-2</v>
      </c>
      <c r="BI12" s="3">
        <v>4.9703524924315817E-2</v>
      </c>
      <c r="BJ12" s="3">
        <v>1.8973352889710929E-2</v>
      </c>
      <c r="BK12" s="3">
        <v>-2.5081314210525871E-2</v>
      </c>
      <c r="BL12" s="3">
        <v>-1.6034070777655559E-2</v>
      </c>
      <c r="BM12" s="3">
        <v>-4.030159961880006E-2</v>
      </c>
      <c r="BN12" s="3">
        <v>3.0037922779194801E-2</v>
      </c>
      <c r="BO12" s="3">
        <v>1.733070400699006E-2</v>
      </c>
      <c r="BP12" s="3">
        <v>8.2473879109278749E-3</v>
      </c>
      <c r="BQ12" s="3">
        <v>-1.881852576296256E-2</v>
      </c>
      <c r="BR12" s="3">
        <v>-5.8061681396759917E-3</v>
      </c>
      <c r="BS12" s="3">
        <v>-1.575274089212392E-3</v>
      </c>
      <c r="BT12" s="3">
        <v>8.8135110723658559E-3</v>
      </c>
      <c r="BU12" s="3">
        <v>5.4837013715479501E-3</v>
      </c>
      <c r="BV12" s="3">
        <v>2.5457016832642121E-2</v>
      </c>
      <c r="BW12" s="3">
        <v>-5.2391898025049559E-2</v>
      </c>
      <c r="BX12" s="3">
        <v>1.819898621954286E-2</v>
      </c>
      <c r="BY12" s="3">
        <v>-1.9509277229804719E-2</v>
      </c>
      <c r="BZ12" s="3">
        <v>4.0874328213040517E-2</v>
      </c>
      <c r="CA12" s="3">
        <v>-4.1453840487307159E-3</v>
      </c>
      <c r="CB12" s="3">
        <v>-8.5370485609693736E-3</v>
      </c>
      <c r="CC12" s="3">
        <v>5.4872423204937133E-2</v>
      </c>
      <c r="CD12" s="3">
        <v>5.210353796495764E-2</v>
      </c>
      <c r="CE12" s="3">
        <v>0.14141654933334241</v>
      </c>
      <c r="CF12" s="3">
        <v>3.2181788455636733E-2</v>
      </c>
      <c r="CG12" s="3">
        <v>2.8681922930943178E-3</v>
      </c>
      <c r="CH12" s="3">
        <v>6.7832672140520189E-2</v>
      </c>
      <c r="CI12" s="3">
        <v>3.0588249323561779E-2</v>
      </c>
      <c r="CJ12" s="3">
        <v>1.102275172936161E-2</v>
      </c>
      <c r="CK12" s="3">
        <v>1.3885097055517499E-2</v>
      </c>
      <c r="CL12" s="3">
        <v>3.333375784360719E-2</v>
      </c>
      <c r="CM12" s="3">
        <v>6.4430829727690653E-2</v>
      </c>
      <c r="CN12" s="3">
        <v>-3.2484644992415608E-2</v>
      </c>
      <c r="CO12" s="3">
        <v>-6.832087101801862E-2</v>
      </c>
      <c r="CP12" s="3">
        <v>4.6051239911292612E-2</v>
      </c>
      <c r="CQ12" s="3">
        <v>-5.7210856477400672E-2</v>
      </c>
      <c r="CR12" s="3">
        <v>4.7945989568147183E-2</v>
      </c>
      <c r="CS12" s="3">
        <v>5.7260432716035939E-3</v>
      </c>
      <c r="CT12" s="3">
        <v>6.5087136655097647E-3</v>
      </c>
      <c r="CU12" s="3">
        <v>-2.38028429767882E-2</v>
      </c>
      <c r="CV12" s="3">
        <v>1.8744411570956909E-2</v>
      </c>
      <c r="CW12" s="3">
        <v>2.6773031323951889E-2</v>
      </c>
      <c r="CX12" s="3">
        <v>-2.0872196079783519E-2</v>
      </c>
      <c r="CY12" s="3">
        <v>-3.1468975701023062E-2</v>
      </c>
      <c r="CZ12" s="3">
        <v>8.8361067051985778E-2</v>
      </c>
      <c r="DA12" s="3">
        <v>-1.6262274791006639E-2</v>
      </c>
      <c r="DB12" s="3">
        <v>-1.6189169343882519E-2</v>
      </c>
      <c r="DC12" s="3">
        <v>-2.59229319446725E-2</v>
      </c>
      <c r="DD12" s="3">
        <v>2.3821715343220019E-2</v>
      </c>
      <c r="DE12" s="3">
        <v>-1.9852691090063181E-2</v>
      </c>
      <c r="DF12" s="3">
        <v>-1.268037633168625E-2</v>
      </c>
      <c r="DG12" s="3">
        <v>-4.0651814260413102E-2</v>
      </c>
      <c r="DH12" s="3">
        <v>7.5523350946613693E-4</v>
      </c>
      <c r="DI12" s="3">
        <v>-4.5769365408875662E-2</v>
      </c>
      <c r="DJ12" s="3">
        <v>3.0361892393545718E-2</v>
      </c>
      <c r="DK12" s="3">
        <v>3.4140900507271331E-2</v>
      </c>
      <c r="DL12" s="3">
        <v>-5.4340703510558086E-4</v>
      </c>
      <c r="DM12" s="3">
        <v>-2.1984777876655929E-2</v>
      </c>
      <c r="DN12" s="3">
        <v>2.855113904637185E-2</v>
      </c>
      <c r="DO12" s="3">
        <v>2.4342115541016809E-2</v>
      </c>
      <c r="DP12" s="3">
        <v>5.8352003779694087E-2</v>
      </c>
      <c r="DQ12" s="3">
        <v>4.1185573860592517E-2</v>
      </c>
      <c r="DR12" s="3">
        <v>2.1610691704086211E-2</v>
      </c>
      <c r="DS12" s="3">
        <v>4.2520942460889853E-2</v>
      </c>
      <c r="DT12" s="3">
        <v>-4.8408620712189078E-2</v>
      </c>
      <c r="DU12" s="3">
        <v>-7.6017813164762733E-3</v>
      </c>
      <c r="DV12" s="3">
        <v>2.0472109894068231E-2</v>
      </c>
      <c r="DW12" s="3">
        <v>5.7897224242072588E-2</v>
      </c>
      <c r="DX12" s="3">
        <v>-4.5674414206060603E-2</v>
      </c>
      <c r="DY12" s="3">
        <v>4.8638639077399258E-2</v>
      </c>
      <c r="DZ12" s="3">
        <v>2.3579635334096708E-3</v>
      </c>
      <c r="EA12" s="3">
        <v>-7.3750385002300425E-2</v>
      </c>
      <c r="EB12" s="3">
        <v>3.5778632231433E-3</v>
      </c>
      <c r="EC12" s="3">
        <v>-1.394849305952618E-2</v>
      </c>
      <c r="ED12" s="3">
        <v>-9.5002733009470174E-3</v>
      </c>
      <c r="EE12" s="3">
        <v>2.8166727241797949E-2</v>
      </c>
      <c r="EF12" s="3">
        <v>-2.1832482433882229E-2</v>
      </c>
      <c r="EG12" s="3">
        <v>1.383440611672382E-2</v>
      </c>
      <c r="EH12" s="3">
        <v>-8.7683038049165343E-3</v>
      </c>
      <c r="EI12" s="3">
        <v>-1.7172945170265849E-2</v>
      </c>
      <c r="EJ12" s="3">
        <v>-6.8011013813901997E-2</v>
      </c>
      <c r="EK12" s="3">
        <v>-9.9731216518727881E-3</v>
      </c>
      <c r="EL12" s="3">
        <v>1.677271736884987E-2</v>
      </c>
      <c r="EM12">
        <f t="shared" ref="EM12:EM24" si="11">AVERAGE(C12:EL12)</f>
        <v>3.2928297294522297E-3</v>
      </c>
      <c r="EN12">
        <f t="shared" ref="EN12:EN25" si="12">STDEV(C12:EL12)</f>
        <v>3.3885149617600079E-2</v>
      </c>
      <c r="EO12">
        <f t="shared" ref="EO12:EO25" si="13">EM12/EN12</f>
        <v>9.717618976490873E-2</v>
      </c>
    </row>
    <row r="13" spans="1:145" x14ac:dyDescent="0.3">
      <c r="A13" s="20">
        <v>20</v>
      </c>
      <c r="B13" s="20">
        <f t="shared" si="10"/>
        <v>53</v>
      </c>
      <c r="C13" s="3">
        <v>2.5000369039076591E-2</v>
      </c>
      <c r="D13" s="3">
        <v>4.5809477924638832E-2</v>
      </c>
      <c r="E13" s="3">
        <v>4.9219108515422091E-2</v>
      </c>
      <c r="F13" s="3">
        <v>-3.7987155428196459E-2</v>
      </c>
      <c r="G13" s="3">
        <v>-1.520470294694851E-2</v>
      </c>
      <c r="H13" s="3">
        <v>-2.925126379166074E-2</v>
      </c>
      <c r="I13" s="3">
        <v>-1.1094158143847529E-2</v>
      </c>
      <c r="J13" s="3">
        <v>-1.017592294177269E-2</v>
      </c>
      <c r="K13" s="3">
        <v>-3.5937945127303923E-2</v>
      </c>
      <c r="L13" s="3">
        <v>-7.2310355946043209E-4</v>
      </c>
      <c r="M13" s="3">
        <v>1.9915206400358119E-2</v>
      </c>
      <c r="N13" s="3">
        <v>-8.3003656986312194E-2</v>
      </c>
      <c r="O13" s="3">
        <v>2.2681229836488351E-2</v>
      </c>
      <c r="P13" s="3">
        <v>1.5955720806170949E-2</v>
      </c>
      <c r="Q13" s="3">
        <v>-5.5097990574834353E-2</v>
      </c>
      <c r="R13" s="3">
        <v>9.1262390437819342E-3</v>
      </c>
      <c r="S13" s="3">
        <v>-7.2847901270377186E-2</v>
      </c>
      <c r="T13" s="3">
        <v>-5.9267004177944199E-2</v>
      </c>
      <c r="U13" s="3">
        <v>1.461799562874341E-2</v>
      </c>
      <c r="V13" s="3">
        <v>-3.5925228194693667E-2</v>
      </c>
      <c r="W13" s="3">
        <v>9.8336463735484506E-3</v>
      </c>
      <c r="X13" s="3">
        <v>3.9812114327654517E-2</v>
      </c>
      <c r="Y13" s="3">
        <v>8.6469070913013785E-3</v>
      </c>
      <c r="Z13" s="3">
        <v>1.507364960633519E-2</v>
      </c>
      <c r="AA13" s="3">
        <v>-2.7857005113218439E-2</v>
      </c>
      <c r="AB13" s="3">
        <v>1.6852038093097581E-2</v>
      </c>
      <c r="AC13" s="3">
        <v>7.3530211933808334E-3</v>
      </c>
      <c r="AD13" s="3">
        <v>-6.4663371653198298E-3</v>
      </c>
      <c r="AE13" s="3">
        <v>-6.591872630119848E-2</v>
      </c>
      <c r="AF13" s="3">
        <v>-4.8654006266786648E-2</v>
      </c>
      <c r="AG13" s="3">
        <v>7.9574077175925267E-3</v>
      </c>
      <c r="AH13" s="3">
        <v>1.237324317474315E-2</v>
      </c>
      <c r="AI13" s="3">
        <v>-1.1955269833327221E-2</v>
      </c>
      <c r="AJ13" s="3">
        <v>-2.37198626285221E-3</v>
      </c>
      <c r="AK13" s="3">
        <v>-6.3693124550481303E-2</v>
      </c>
      <c r="AL13" s="3">
        <v>3.9160143851315117E-2</v>
      </c>
      <c r="AM13" s="3">
        <v>-5.3863945563431652E-3</v>
      </c>
      <c r="AN13" s="3">
        <v>-6.3432999043949306E-2</v>
      </c>
      <c r="AO13" s="3">
        <v>1.6168646372897621E-2</v>
      </c>
      <c r="AP13" s="3">
        <v>4.5398469090540697E-2</v>
      </c>
      <c r="AQ13" s="3">
        <v>2.989844811575759E-3</v>
      </c>
      <c r="AR13" s="3">
        <v>3.1551920929703242E-2</v>
      </c>
      <c r="AS13" s="3">
        <v>-1.7168639895768459E-2</v>
      </c>
      <c r="AT13" s="3">
        <v>8.7646428562015936E-3</v>
      </c>
      <c r="AU13" s="3">
        <v>7.3018129783138763E-2</v>
      </c>
      <c r="AV13" s="3">
        <v>3.1979164171411827E-2</v>
      </c>
      <c r="AW13" s="3">
        <v>-2.6876548571194161E-3</v>
      </c>
      <c r="AX13" s="3">
        <v>-2.6666727007463552E-3</v>
      </c>
      <c r="AY13" s="3">
        <v>7.1781547730175171E-3</v>
      </c>
      <c r="AZ13" s="3">
        <v>-1.134346817668464E-2</v>
      </c>
      <c r="BA13" s="3">
        <v>3.3120219817653222E-2</v>
      </c>
      <c r="BB13" s="3">
        <v>4.8762443627020063E-2</v>
      </c>
      <c r="BC13" s="3">
        <v>8.6069286931066413E-3</v>
      </c>
      <c r="BD13" s="3">
        <v>1.4702755572271719E-2</v>
      </c>
      <c r="BE13" s="3">
        <v>5.0521462631845232E-2</v>
      </c>
      <c r="BF13" s="3">
        <v>-1.235613097131359E-2</v>
      </c>
      <c r="BG13" s="3">
        <v>-2.5001802635475391E-3</v>
      </c>
      <c r="BH13" s="3">
        <v>-2.529991477032829E-2</v>
      </c>
      <c r="BI13" s="3">
        <v>5.0679157170699117E-2</v>
      </c>
      <c r="BJ13" s="3">
        <v>1.437935531144139E-2</v>
      </c>
      <c r="BK13" s="3">
        <v>-2.2436774029587839E-2</v>
      </c>
      <c r="BL13" s="3">
        <v>-3.0149626958874041E-2</v>
      </c>
      <c r="BM13" s="3">
        <v>-4.6612515564975428E-2</v>
      </c>
      <c r="BN13" s="3">
        <v>2.7466362871216281E-2</v>
      </c>
      <c r="BO13" s="3">
        <v>9.4508942955525456E-3</v>
      </c>
      <c r="BP13" s="3">
        <v>1.411494064629866E-2</v>
      </c>
      <c r="BQ13" s="3">
        <v>-4.2239559437948368E-2</v>
      </c>
      <c r="BR13" s="3">
        <v>-5.9375523757729393E-3</v>
      </c>
      <c r="BS13" s="3">
        <v>6.9397851550220746E-3</v>
      </c>
      <c r="BT13" s="3">
        <v>-5.0253781744752993E-3</v>
      </c>
      <c r="BU13" s="3">
        <v>5.5759113573087358E-3</v>
      </c>
      <c r="BV13" s="3">
        <v>1.7125324583562859E-2</v>
      </c>
      <c r="BW13" s="3">
        <v>-0.10489004166697111</v>
      </c>
      <c r="BX13" s="3">
        <v>2.4517821999621419E-2</v>
      </c>
      <c r="BY13" s="3">
        <v>-9.0636847544997567E-3</v>
      </c>
      <c r="BZ13" s="3">
        <v>6.7196131197939102E-2</v>
      </c>
      <c r="CA13" s="3">
        <v>1.622127064651737E-2</v>
      </c>
      <c r="CB13" s="3">
        <v>-2.79565611469989E-2</v>
      </c>
      <c r="CC13" s="3">
        <v>9.6289701716755827E-2</v>
      </c>
      <c r="CD13" s="3">
        <v>-3.185754501995632E-3</v>
      </c>
      <c r="CE13" s="3">
        <v>0.18420231782972071</v>
      </c>
      <c r="CF13" s="3">
        <v>4.7483484975403521E-2</v>
      </c>
      <c r="CG13" s="3">
        <v>4.2958450382159369E-3</v>
      </c>
      <c r="CH13" s="3">
        <v>4.9554743070930649E-2</v>
      </c>
      <c r="CI13" s="3">
        <v>5.0093246397575307E-2</v>
      </c>
      <c r="CJ13" s="3">
        <v>2.500043840815858E-2</v>
      </c>
      <c r="CK13" s="3">
        <v>2.6932157405284918E-2</v>
      </c>
      <c r="CL13" s="3">
        <v>3.3705432912417302E-2</v>
      </c>
      <c r="CM13" s="3">
        <v>8.2791769490888206E-2</v>
      </c>
      <c r="CN13" s="3">
        <v>-3.7478846520031493E-2</v>
      </c>
      <c r="CO13" s="3">
        <v>-7.9115499032430023E-2</v>
      </c>
      <c r="CP13" s="3">
        <v>6.6793736060457659E-2</v>
      </c>
      <c r="CQ13" s="3">
        <v>-5.6641732139420711E-2</v>
      </c>
      <c r="CR13" s="3">
        <v>7.1519219412671517E-2</v>
      </c>
      <c r="CS13" s="3">
        <v>3.231006454866073E-3</v>
      </c>
      <c r="CT13" s="3">
        <v>8.5284682463838482E-3</v>
      </c>
      <c r="CU13" s="3">
        <v>-3.5215497946164548E-2</v>
      </c>
      <c r="CV13" s="3">
        <v>1.706810460739748E-2</v>
      </c>
      <c r="CW13" s="3">
        <v>2.272005943024356E-2</v>
      </c>
      <c r="CX13" s="3">
        <v>-3.041592508760484E-2</v>
      </c>
      <c r="CY13" s="3">
        <v>-4.8289921796548382E-2</v>
      </c>
      <c r="CZ13" s="3">
        <v>8.0348889372885493E-2</v>
      </c>
      <c r="DA13" s="3">
        <v>-2.603039908162395E-2</v>
      </c>
      <c r="DB13" s="3">
        <v>-3.7525834629814493E-2</v>
      </c>
      <c r="DC13" s="3">
        <v>-3.8784674127842089E-2</v>
      </c>
      <c r="DD13" s="3">
        <v>-1.146324054032945E-3</v>
      </c>
      <c r="DE13" s="3">
        <v>-1.463266600119131E-2</v>
      </c>
      <c r="DF13" s="3">
        <v>-2.3673116346945779E-2</v>
      </c>
      <c r="DG13" s="3">
        <v>-6.4819452521868548E-2</v>
      </c>
      <c r="DH13" s="3">
        <v>-4.5463580011863991E-4</v>
      </c>
      <c r="DI13" s="3">
        <v>-2.0311972792131941E-2</v>
      </c>
      <c r="DJ13" s="3">
        <v>1.4916158470664399E-3</v>
      </c>
      <c r="DK13" s="3">
        <v>2.0804992587120239E-2</v>
      </c>
      <c r="DL13" s="3">
        <v>-2.9014875224417289E-2</v>
      </c>
      <c r="DM13" s="3">
        <v>-8.0990213384564986E-3</v>
      </c>
      <c r="DN13" s="3">
        <v>3.2732131348272062E-2</v>
      </c>
      <c r="DO13" s="3">
        <v>3.597904471042529E-2</v>
      </c>
      <c r="DP13" s="3">
        <v>6.2650721360849745E-2</v>
      </c>
      <c r="DQ13" s="3">
        <v>4.5352565485362061E-2</v>
      </c>
      <c r="DR13" s="3">
        <v>2.0233316508843229E-2</v>
      </c>
      <c r="DS13" s="3">
        <v>5.4267429282953868E-2</v>
      </c>
      <c r="DT13" s="3">
        <v>-5.0025913724424331E-2</v>
      </c>
      <c r="DU13" s="3">
        <v>-1.6444116995753329E-2</v>
      </c>
      <c r="DV13" s="3">
        <v>3.5576138544501937E-2</v>
      </c>
      <c r="DW13" s="3">
        <v>5.8892837092881692E-2</v>
      </c>
      <c r="DX13" s="3">
        <v>-6.0352982619674728E-2</v>
      </c>
      <c r="DY13" s="3">
        <v>6.349586820188044E-2</v>
      </c>
      <c r="DZ13" s="3">
        <v>8.5362001782125982E-3</v>
      </c>
      <c r="EA13" s="3">
        <v>-6.6132134602200437E-2</v>
      </c>
      <c r="EB13" s="3">
        <v>1.9472343328164211E-3</v>
      </c>
      <c r="EC13" s="3">
        <v>-1.6616406541991299E-2</v>
      </c>
      <c r="ED13" s="3">
        <v>-8.0413263602793815E-4</v>
      </c>
      <c r="EE13" s="3">
        <v>3.7157511717812938E-2</v>
      </c>
      <c r="EF13" s="3">
        <v>-3.5981928125412302E-2</v>
      </c>
      <c r="EG13" s="3">
        <v>5.6386689456871947E-3</v>
      </c>
      <c r="EH13" s="3">
        <v>-1.0178485694415309E-2</v>
      </c>
      <c r="EI13" s="3">
        <v>-3.7371233975084538E-2</v>
      </c>
      <c r="EJ13" s="3">
        <v>-9.1234959608413865E-2</v>
      </c>
      <c r="EK13" s="3">
        <v>-4.094982878573801E-3</v>
      </c>
      <c r="EL13" s="3">
        <v>5.4200361509841789E-2</v>
      </c>
      <c r="EM13">
        <f t="shared" si="11"/>
        <v>2.4333775081924677E-3</v>
      </c>
      <c r="EN13">
        <f t="shared" si="12"/>
        <v>4.1850681544835372E-2</v>
      </c>
      <c r="EO13">
        <f t="shared" si="13"/>
        <v>5.8144274319297466E-2</v>
      </c>
    </row>
    <row r="14" spans="1:145" x14ac:dyDescent="0.3">
      <c r="A14" s="20">
        <v>50</v>
      </c>
      <c r="B14" s="20">
        <f t="shared" si="10"/>
        <v>21</v>
      </c>
      <c r="C14" s="3">
        <v>7.0147677629209787E-2</v>
      </c>
      <c r="D14" s="3">
        <v>4.1634583372972357E-2</v>
      </c>
      <c r="E14" s="3">
        <v>8.3639426142282008E-2</v>
      </c>
      <c r="F14" s="3">
        <v>-4.7441583885534683E-2</v>
      </c>
      <c r="G14" s="3">
        <v>-9.7449694003839432E-2</v>
      </c>
      <c r="H14" s="3">
        <v>-7.6211003064836511E-2</v>
      </c>
      <c r="I14" s="3">
        <v>-2.971182433387488E-2</v>
      </c>
      <c r="J14" s="3">
        <v>2.4369522512445091E-2</v>
      </c>
      <c r="K14" s="3">
        <v>-1.632153994888911E-3</v>
      </c>
      <c r="L14" s="3">
        <v>-3.9693686366189529E-3</v>
      </c>
      <c r="M14" s="3">
        <v>-8.3093354972449858E-3</v>
      </c>
      <c r="N14" s="3">
        <v>-0.14590390450682059</v>
      </c>
      <c r="O14" s="3">
        <v>2.5042767637534429E-2</v>
      </c>
      <c r="P14" s="3">
        <v>5.4679978269078763E-2</v>
      </c>
      <c r="Q14" s="3">
        <v>-8.760922597337209E-2</v>
      </c>
      <c r="R14" s="3">
        <v>-2.8742686221748671E-2</v>
      </c>
      <c r="S14" s="3">
        <v>-8.2611034610092893E-2</v>
      </c>
      <c r="T14" s="3">
        <v>-4.8540382638451049E-2</v>
      </c>
      <c r="U14" s="3">
        <v>-1.8672251333920802E-2</v>
      </c>
      <c r="V14" s="3">
        <v>-1.9356687910394469E-2</v>
      </c>
      <c r="W14" s="3">
        <v>3.6481606772781908E-2</v>
      </c>
      <c r="X14" s="3">
        <v>4.5064903249428447E-2</v>
      </c>
      <c r="Y14" s="3">
        <v>-9.226250026191124E-3</v>
      </c>
      <c r="Z14" s="3">
        <v>4.0558913315397883E-2</v>
      </c>
      <c r="AA14" s="3">
        <v>-4.4385134817114417E-2</v>
      </c>
      <c r="AB14" s="3">
        <v>6.3311691669184988E-2</v>
      </c>
      <c r="AC14" s="3">
        <v>-1.5948312516811551E-2</v>
      </c>
      <c r="AD14" s="3">
        <v>-1.374396919104851E-2</v>
      </c>
      <c r="AE14" s="3">
        <v>-0.1082963843164074</v>
      </c>
      <c r="AF14" s="3">
        <v>-5.8011953789199912E-2</v>
      </c>
      <c r="AG14" s="3">
        <v>1.8699979546150668E-2</v>
      </c>
      <c r="AH14" s="3">
        <v>5.0879396121610992E-2</v>
      </c>
      <c r="AI14" s="3">
        <v>4.2440842280397377E-3</v>
      </c>
      <c r="AJ14" s="3">
        <v>-3.4305961768448127E-2</v>
      </c>
      <c r="AK14" s="3">
        <v>-5.8451122638718933E-2</v>
      </c>
      <c r="AL14" s="3">
        <v>4.720961743373684E-2</v>
      </c>
      <c r="AM14" s="3">
        <v>3.6458820946065622E-3</v>
      </c>
      <c r="AN14" s="3">
        <v>-0.1000589375370867</v>
      </c>
      <c r="AO14" s="3">
        <v>-1.6455988823444859E-2</v>
      </c>
      <c r="AP14" s="3">
        <v>5.4501731434774173E-2</v>
      </c>
      <c r="AQ14" s="3">
        <v>1.981008370123865E-2</v>
      </c>
      <c r="AR14" s="3">
        <v>6.6160219858102776E-2</v>
      </c>
      <c r="AS14" s="3">
        <v>-5.4707452631824062E-2</v>
      </c>
      <c r="AT14" s="3">
        <v>-1.422090842877069E-2</v>
      </c>
      <c r="AU14" s="3">
        <v>0.10970669075879751</v>
      </c>
      <c r="AV14" s="3">
        <v>3.371082575251988E-2</v>
      </c>
      <c r="AW14" s="3">
        <v>-2.7266581301792291E-2</v>
      </c>
      <c r="AX14" s="3">
        <v>3.3694522699766701E-2</v>
      </c>
      <c r="AY14" s="3">
        <v>4.589894769879152E-2</v>
      </c>
      <c r="AZ14" s="3">
        <v>-4.0288085265968249E-2</v>
      </c>
      <c r="BA14" s="3">
        <v>5.4254748044206463E-2</v>
      </c>
      <c r="BB14" s="3">
        <v>5.8943089787233602E-2</v>
      </c>
      <c r="BC14" s="3">
        <v>-1.9339632293155651E-2</v>
      </c>
      <c r="BD14" s="3">
        <v>4.3508384878577798E-2</v>
      </c>
      <c r="BE14" s="3">
        <v>3.3401943930245669E-2</v>
      </c>
      <c r="BF14" s="3">
        <v>5.6265665791791434E-3</v>
      </c>
      <c r="BG14" s="3">
        <v>1.3689418355870611E-2</v>
      </c>
      <c r="BH14" s="3">
        <v>-7.914477122701169E-2</v>
      </c>
      <c r="BI14" s="3">
        <v>5.8090634995935683E-2</v>
      </c>
      <c r="BJ14" s="3">
        <v>6.3282892431894208E-3</v>
      </c>
      <c r="BK14" s="3">
        <v>-5.4567351026670631E-3</v>
      </c>
      <c r="BL14" s="3">
        <v>-4.9479917565059157E-2</v>
      </c>
      <c r="BM14" s="3">
        <v>-3.292116482344528E-2</v>
      </c>
      <c r="BN14" s="3">
        <v>1.120590310238251E-2</v>
      </c>
      <c r="BO14" s="3">
        <v>1.7282477312156791E-2</v>
      </c>
      <c r="BP14" s="3">
        <v>1.262302404936279E-2</v>
      </c>
      <c r="BQ14" s="3">
        <v>-3.6274605613741698E-2</v>
      </c>
      <c r="BR14" s="3">
        <v>-4.3166544756196211E-2</v>
      </c>
      <c r="BS14" s="3">
        <v>4.2854182405706293E-2</v>
      </c>
      <c r="BT14" s="3">
        <v>-3.7045271178850502E-2</v>
      </c>
      <c r="BU14" s="3">
        <v>-1.886790375443716E-2</v>
      </c>
      <c r="BV14" s="3">
        <v>1.366274116239047E-2</v>
      </c>
      <c r="BW14" s="3">
        <v>-0.145179513349457</v>
      </c>
      <c r="BX14" s="3">
        <v>-3.9873386003625496E-3</v>
      </c>
      <c r="BY14" s="3">
        <v>-4.9494010577350561E-2</v>
      </c>
      <c r="BZ14" s="3">
        <v>8.1435134160571701E-2</v>
      </c>
      <c r="CA14" s="3">
        <v>7.8723597363891562E-2</v>
      </c>
      <c r="CB14" s="3">
        <v>5.9068563190711187E-3</v>
      </c>
      <c r="CC14" s="3">
        <v>8.7443825544862033E-2</v>
      </c>
      <c r="CD14" s="3">
        <v>-4.681534907198126E-2</v>
      </c>
      <c r="CE14" s="3">
        <v>0.20666802382430291</v>
      </c>
      <c r="CF14" s="3">
        <v>7.7361645537265072E-2</v>
      </c>
      <c r="CG14" s="3">
        <v>-8.7124276740915094E-2</v>
      </c>
      <c r="CH14" s="3">
        <v>5.8613306871574657E-2</v>
      </c>
      <c r="CI14" s="3">
        <v>0.113844214471976</v>
      </c>
      <c r="CJ14" s="3">
        <v>5.7339496003420587E-2</v>
      </c>
      <c r="CK14" s="3">
        <v>-1.639175283095869E-2</v>
      </c>
      <c r="CL14" s="3">
        <v>6.451237294910718E-2</v>
      </c>
      <c r="CM14" s="3">
        <v>9.007073006534988E-2</v>
      </c>
      <c r="CN14" s="3">
        <v>-4.5793102108443333E-2</v>
      </c>
      <c r="CO14" s="3">
        <v>-0.17790311701942119</v>
      </c>
      <c r="CP14" s="3">
        <v>6.1247190558246081E-2</v>
      </c>
      <c r="CQ14" s="3">
        <v>-1.6983985983403772E-2</v>
      </c>
      <c r="CR14" s="3">
        <v>4.9620609800332199E-2</v>
      </c>
      <c r="CS14" s="3">
        <v>2.3427351300329021E-2</v>
      </c>
      <c r="CT14" s="3">
        <v>-2.7177904636120052E-2</v>
      </c>
      <c r="CU14" s="3">
        <v>-8.6087365626370607E-2</v>
      </c>
      <c r="CV14" s="3">
        <v>3.3616367074304279E-2</v>
      </c>
      <c r="CW14" s="3">
        <v>9.4659146830421946E-3</v>
      </c>
      <c r="CX14" s="3">
        <v>-5.3559520759984131E-2</v>
      </c>
      <c r="CY14" s="3">
        <v>-5.2538178684774693E-2</v>
      </c>
      <c r="CZ14" s="3">
        <v>6.7028483584619769E-2</v>
      </c>
      <c r="DA14" s="3">
        <v>3.3926370070343471E-2</v>
      </c>
      <c r="DB14" s="3">
        <v>-1.090497301775741E-2</v>
      </c>
      <c r="DC14" s="3">
        <v>-5.3791589317465027E-2</v>
      </c>
      <c r="DD14" s="3">
        <v>-2.2167685420223859E-2</v>
      </c>
      <c r="DE14" s="3">
        <v>-5.9073402295605579E-2</v>
      </c>
      <c r="DF14" s="3">
        <v>-9.0483007321280048E-2</v>
      </c>
      <c r="DG14" s="3">
        <v>-8.4633247378414392E-2</v>
      </c>
      <c r="DH14" s="3">
        <v>1.564418954166383E-3</v>
      </c>
      <c r="DI14" s="3">
        <v>-1.191520651175115E-2</v>
      </c>
      <c r="DJ14" s="3">
        <v>-9.3362115920242045E-3</v>
      </c>
      <c r="DK14" s="3">
        <v>3.5525438533042929E-2</v>
      </c>
      <c r="DL14" s="3">
        <v>-1.1058220056049671E-2</v>
      </c>
      <c r="DM14" s="3">
        <v>-1.911646502345786E-2</v>
      </c>
      <c r="DN14" s="3">
        <v>5.4850332600908457E-2</v>
      </c>
      <c r="DO14" s="3">
        <v>3.6036875452669342E-2</v>
      </c>
      <c r="DP14" s="3">
        <v>6.0649114161821879E-2</v>
      </c>
      <c r="DQ14" s="3">
        <v>1.7913621503182649E-2</v>
      </c>
      <c r="DR14" s="3">
        <v>5.3613768849205268E-2</v>
      </c>
      <c r="DS14" s="3">
        <v>5.4531248892000617E-2</v>
      </c>
      <c r="DT14" s="3">
        <v>-6.9811811869239238E-2</v>
      </c>
      <c r="DU14" s="3">
        <v>5.1027210478129942E-2</v>
      </c>
      <c r="DV14" s="3">
        <v>4.6847071346960787E-3</v>
      </c>
      <c r="DW14" s="3">
        <v>7.6295079753436107E-2</v>
      </c>
      <c r="DX14" s="3">
        <v>-7.1555654240635189E-2</v>
      </c>
      <c r="DY14" s="3">
        <v>6.0570737892259231E-2</v>
      </c>
      <c r="DZ14" s="3">
        <v>7.844014404504062E-3</v>
      </c>
      <c r="EA14" s="3">
        <v>-5.5083876255416421E-2</v>
      </c>
      <c r="EB14" s="3">
        <v>-3.071333659011679E-2</v>
      </c>
      <c r="EC14" s="3">
        <v>3.7857105599235111E-3</v>
      </c>
      <c r="ED14" s="3">
        <v>-3.9337540622570499E-2</v>
      </c>
      <c r="EE14" s="3">
        <v>1.253499266974247E-2</v>
      </c>
      <c r="EF14" s="3">
        <v>-5.9075572986686441E-2</v>
      </c>
      <c r="EG14" s="3">
        <v>-3.4522038222119938E-4</v>
      </c>
      <c r="EH14" s="3">
        <v>-5.202965852976648E-2</v>
      </c>
      <c r="EI14" s="3">
        <v>-3.2318262087281058E-2</v>
      </c>
      <c r="EJ14" s="3">
        <v>-7.5260903055654749E-2</v>
      </c>
      <c r="EK14" s="3">
        <v>1.596079838203854E-3</v>
      </c>
      <c r="EL14" s="3">
        <v>4.7771192418282378E-2</v>
      </c>
      <c r="EM14">
        <f t="shared" si="11"/>
        <v>-1.1047249749894035E-3</v>
      </c>
      <c r="EN14">
        <f t="shared" si="12"/>
        <v>5.7577959669600394E-2</v>
      </c>
      <c r="EO14">
        <f t="shared" si="13"/>
        <v>-1.9186594685338745E-2</v>
      </c>
    </row>
    <row r="15" spans="1:145" x14ac:dyDescent="0.3">
      <c r="A15" s="20">
        <v>110</v>
      </c>
      <c r="B15" s="20">
        <f t="shared" si="10"/>
        <v>10</v>
      </c>
      <c r="C15" s="3">
        <v>9.5037535583778296E-2</v>
      </c>
      <c r="D15" s="3">
        <v>3.2031079571160817E-2</v>
      </c>
      <c r="E15" s="3">
        <v>7.4569663037060918E-2</v>
      </c>
      <c r="F15" s="3">
        <v>-8.1782026576160557E-2</v>
      </c>
      <c r="G15" s="3">
        <v>-0.13793788264858101</v>
      </c>
      <c r="H15" s="3">
        <v>-8.1815649923674238E-2</v>
      </c>
      <c r="I15" s="3">
        <v>-0.1078732733718917</v>
      </c>
      <c r="J15" s="3">
        <v>4.344786742942542E-2</v>
      </c>
      <c r="K15" s="3">
        <v>-4.5856094679227369E-2</v>
      </c>
      <c r="L15" s="3">
        <v>2.1771981531289181E-4</v>
      </c>
      <c r="M15" s="3">
        <v>-0.14710226331423629</v>
      </c>
      <c r="N15" s="3">
        <v>-0.24738804550209831</v>
      </c>
      <c r="O15" s="3">
        <v>4.6560450458845902E-2</v>
      </c>
      <c r="P15" s="3">
        <v>6.7357960555196841E-2</v>
      </c>
      <c r="Q15" s="3">
        <v>-4.2372616617837811E-2</v>
      </c>
      <c r="R15" s="3">
        <v>-8.5673280309319685E-2</v>
      </c>
      <c r="S15" s="3">
        <v>-0.1035157133355431</v>
      </c>
      <c r="T15" s="3">
        <v>-2.4604553095691529E-2</v>
      </c>
      <c r="U15" s="3">
        <v>-8.4116383526341848E-2</v>
      </c>
      <c r="V15" s="3">
        <v>1.7093662598340231E-2</v>
      </c>
      <c r="W15" s="3">
        <v>2.4041527905761102E-2</v>
      </c>
      <c r="X15" s="3">
        <v>5.9017946747648348E-2</v>
      </c>
      <c r="Y15" s="3">
        <v>1.121680496760034E-2</v>
      </c>
      <c r="Z15" s="3">
        <v>7.9971018338183361E-2</v>
      </c>
      <c r="AA15" s="3">
        <v>-5.4579453372160282E-2</v>
      </c>
      <c r="AB15" s="3">
        <v>0.1096631027298412</v>
      </c>
      <c r="AC15" s="3">
        <v>-2.8054511608024559E-2</v>
      </c>
      <c r="AD15" s="3">
        <v>4.7007358577018508E-2</v>
      </c>
      <c r="AE15" s="3">
        <v>-0.17602316758642261</v>
      </c>
      <c r="AF15" s="3">
        <v>-8.6141075845689322E-2</v>
      </c>
      <c r="AG15" s="3">
        <v>-1.4840092079032721E-2</v>
      </c>
      <c r="AH15" s="3">
        <v>4.7090692795637393E-2</v>
      </c>
      <c r="AI15" s="3">
        <v>-1.956105284963594E-2</v>
      </c>
      <c r="AJ15" s="3">
        <v>1.2097322435928211E-2</v>
      </c>
      <c r="AK15" s="3">
        <v>-5.7963941149427933E-2</v>
      </c>
      <c r="AL15" s="3">
        <v>7.0398336968447967E-2</v>
      </c>
      <c r="AM15" s="3">
        <v>4.8733459531672104E-3</v>
      </c>
      <c r="AN15" s="3">
        <v>-0.18216641544833881</v>
      </c>
      <c r="AO15" s="3">
        <v>4.7046881532334377E-2</v>
      </c>
      <c r="AP15" s="3">
        <v>3.7834339344812867E-2</v>
      </c>
      <c r="AQ15" s="3">
        <v>4.3749869403351023E-2</v>
      </c>
      <c r="AR15" s="3">
        <v>0.1091901271180222</v>
      </c>
      <c r="AS15" s="3">
        <v>-4.517460955127376E-2</v>
      </c>
      <c r="AT15" s="3">
        <v>5.56912962068698E-3</v>
      </c>
      <c r="AU15" s="3">
        <v>0.13494561595533039</v>
      </c>
      <c r="AV15" s="3">
        <v>4.6574912991002353E-2</v>
      </c>
      <c r="AW15" s="3">
        <v>2.456036031455194E-2</v>
      </c>
      <c r="AX15" s="3">
        <v>6.5152923796388831E-2</v>
      </c>
      <c r="AY15" s="3">
        <v>7.696898309524209E-3</v>
      </c>
      <c r="AZ15" s="3">
        <v>-4.147929441714801E-2</v>
      </c>
      <c r="BA15" s="3">
        <v>8.9046336251642294E-2</v>
      </c>
      <c r="BB15" s="3">
        <v>0.13753343966627751</v>
      </c>
      <c r="BC15" s="3">
        <v>3.4144741930587419E-2</v>
      </c>
      <c r="BD15" s="3">
        <v>8.4156920729491852E-2</v>
      </c>
      <c r="BE15" s="3">
        <v>5.4722500662893928E-2</v>
      </c>
      <c r="BF15" s="3">
        <v>-5.7792733795554677E-2</v>
      </c>
      <c r="BG15" s="3">
        <v>1.302155209581895E-2</v>
      </c>
      <c r="BH15" s="3">
        <v>-6.8660013198335687E-2</v>
      </c>
      <c r="BI15" s="3">
        <v>6.7425558674037114E-2</v>
      </c>
      <c r="BJ15" s="3">
        <v>4.6155034773925352E-2</v>
      </c>
      <c r="BK15" s="3">
        <v>-5.118404624624151E-3</v>
      </c>
      <c r="BL15" s="3">
        <v>-6.5636459623843166E-2</v>
      </c>
      <c r="BM15" s="3">
        <v>-5.4492831913828248E-2</v>
      </c>
      <c r="BN15" s="3">
        <v>-3.5670619746206479E-2</v>
      </c>
      <c r="BO15" s="3">
        <v>5.843794287839503E-2</v>
      </c>
      <c r="BP15" s="3">
        <v>-1.503327928828367E-2</v>
      </c>
      <c r="BQ15" s="3">
        <v>-3.9766138183151709E-2</v>
      </c>
      <c r="BR15" s="3">
        <v>-7.5056995812548238E-2</v>
      </c>
      <c r="BS15" s="3">
        <v>1.9853277814635362E-2</v>
      </c>
      <c r="BT15" s="3">
        <v>-4.9227241421055903E-2</v>
      </c>
      <c r="BU15" s="3">
        <v>-2.446199603593855E-3</v>
      </c>
      <c r="BV15" s="3">
        <v>3.3638788543710267E-2</v>
      </c>
      <c r="BW15" s="3">
        <v>-0.19426949603978569</v>
      </c>
      <c r="BX15" s="3">
        <v>4.3155483784047023E-2</v>
      </c>
      <c r="BY15" s="3">
        <v>-0.10390759790657569</v>
      </c>
      <c r="BZ15" s="3">
        <v>7.6955719669705741E-2</v>
      </c>
      <c r="CA15" s="3">
        <v>0.17956376560331061</v>
      </c>
      <c r="CB15" s="3">
        <v>5.261198164757537E-2</v>
      </c>
      <c r="CC15" s="3">
        <v>0.12139251508922611</v>
      </c>
      <c r="CD15" s="3">
        <v>-2.180493174291093E-2</v>
      </c>
      <c r="CE15" s="3">
        <v>0.1205633706551868</v>
      </c>
      <c r="CF15" s="3">
        <v>7.8920461694775179E-2</v>
      </c>
      <c r="CG15" s="3">
        <v>-0.25914900062156759</v>
      </c>
      <c r="CH15" s="3">
        <v>6.751977914793833E-2</v>
      </c>
      <c r="CI15" s="3">
        <v>3.7144945320355012E-2</v>
      </c>
      <c r="CJ15" s="3">
        <v>-6.6819984079913436E-3</v>
      </c>
      <c r="CK15" s="3">
        <v>3.0005749403753092E-2</v>
      </c>
      <c r="CL15" s="3">
        <v>9.513781759860454E-2</v>
      </c>
      <c r="CM15" s="3">
        <v>5.3281164851576093E-2</v>
      </c>
      <c r="CN15" s="3">
        <v>-8.5872132847714805E-2</v>
      </c>
      <c r="CO15" s="3">
        <v>-0.1646968048922553</v>
      </c>
      <c r="CP15" s="3">
        <v>0.10300282803262339</v>
      </c>
      <c r="CQ15" s="3">
        <v>-6.4482894299108936E-3</v>
      </c>
      <c r="CR15" s="3">
        <v>3.4388283639996638E-2</v>
      </c>
      <c r="CS15" s="3">
        <v>2.4648670660661589E-2</v>
      </c>
      <c r="CT15" s="3">
        <v>-3.1426509832751442E-2</v>
      </c>
      <c r="CU15" s="3">
        <v>-0.17082912064995279</v>
      </c>
      <c r="CV15" s="3">
        <v>2.8223211493210231E-2</v>
      </c>
      <c r="CW15" s="3">
        <v>-1.127937966769206E-2</v>
      </c>
      <c r="CX15" s="3">
        <v>-8.5710342767130659E-2</v>
      </c>
      <c r="CY15" s="3">
        <v>-2.46940721850211E-2</v>
      </c>
      <c r="CZ15" s="3">
        <v>9.092379279398248E-2</v>
      </c>
      <c r="DA15" s="3">
        <v>-6.0621826021464688E-2</v>
      </c>
      <c r="DB15" s="3">
        <v>-2.8237377436243511E-2</v>
      </c>
      <c r="DC15" s="3">
        <v>-6.8810504069061584E-2</v>
      </c>
      <c r="DD15" s="3">
        <v>0.15218777868516589</v>
      </c>
      <c r="DE15" s="3">
        <v>-7.737662039230872E-2</v>
      </c>
      <c r="DF15" s="3">
        <v>1.287888246567803E-2</v>
      </c>
      <c r="DG15" s="3">
        <v>-9.8009312082274744E-2</v>
      </c>
      <c r="DH15" s="3">
        <v>6.5923812279217592E-2</v>
      </c>
      <c r="DI15" s="3">
        <v>-3.4431185091384278E-4</v>
      </c>
      <c r="DJ15" s="3">
        <v>6.2778969213389879E-2</v>
      </c>
      <c r="DK15" s="3">
        <v>8.3677801123215767E-2</v>
      </c>
      <c r="DL15" s="3">
        <v>1.6033360186535691E-3</v>
      </c>
      <c r="DM15" s="3">
        <v>-1.298329715564042E-2</v>
      </c>
      <c r="DN15" s="3">
        <v>-1.4486234331694711E-2</v>
      </c>
      <c r="DO15" s="3">
        <v>2.1102409731095891E-2</v>
      </c>
      <c r="DP15" s="3">
        <v>-1.3411425974077859E-2</v>
      </c>
      <c r="DQ15" s="3">
        <v>4.3565133633619371E-2</v>
      </c>
      <c r="DR15" s="3">
        <v>2.5698175054819961E-2</v>
      </c>
      <c r="DS15" s="3">
        <v>9.6666961613897678E-2</v>
      </c>
      <c r="DT15" s="3">
        <v>-9.9958338323679508E-2</v>
      </c>
      <c r="DU15" s="3">
        <v>4.0494317446442378E-2</v>
      </c>
      <c r="DV15" s="3">
        <v>1.8984707114096611E-2</v>
      </c>
      <c r="DW15" s="3">
        <v>8.2263342124061778E-3</v>
      </c>
      <c r="DX15" s="3">
        <v>-8.4800177087463693E-2</v>
      </c>
      <c r="DY15" s="3">
        <v>0.11749143031016419</v>
      </c>
      <c r="DZ15" s="3">
        <v>4.5174472986779816E-3</v>
      </c>
      <c r="EA15" s="3">
        <v>5.9115363905846846E-3</v>
      </c>
      <c r="EB15" s="3">
        <v>-7.6590860111436121E-2</v>
      </c>
      <c r="EC15" s="3">
        <v>-4.9872125571237824E-3</v>
      </c>
      <c r="ED15" s="3">
        <v>-5.211177829194058E-2</v>
      </c>
      <c r="EE15" s="3">
        <v>9.617559296918831E-3</v>
      </c>
      <c r="EF15" s="3">
        <v>-4.4912949178721878E-2</v>
      </c>
      <c r="EG15" s="3">
        <v>-6.0486025551318573E-3</v>
      </c>
      <c r="EH15" s="3">
        <v>-5.6251058360347488E-2</v>
      </c>
      <c r="EI15" s="3">
        <v>-9.5394862821203755E-2</v>
      </c>
      <c r="EJ15" s="3">
        <v>-8.3064682503916965E-2</v>
      </c>
      <c r="EK15" s="3">
        <v>-0.1019987360567204</v>
      </c>
      <c r="EL15" s="3">
        <v>-4.1557680501237038E-2</v>
      </c>
      <c r="EM15">
        <f t="shared" si="11"/>
        <v>-4.5909511201592769E-3</v>
      </c>
      <c r="EN15">
        <f t="shared" si="12"/>
        <v>7.9180576905522979E-2</v>
      </c>
      <c r="EO15">
        <f t="shared" si="13"/>
        <v>-5.7980773815744333E-2</v>
      </c>
    </row>
    <row r="16" spans="1:145" x14ac:dyDescent="0.3">
      <c r="A16" s="20">
        <v>120</v>
      </c>
      <c r="B16" s="20">
        <f t="shared" si="10"/>
        <v>9</v>
      </c>
      <c r="C16" s="3">
        <v>9.71680377431344E-2</v>
      </c>
      <c r="D16" s="3">
        <v>8.3437315666353984E-3</v>
      </c>
      <c r="E16" s="3">
        <v>7.4485661362278494E-2</v>
      </c>
      <c r="F16" s="3">
        <v>-5.3057197033406472E-2</v>
      </c>
      <c r="G16" s="3">
        <v>-0.1549372816949042</v>
      </c>
      <c r="H16" s="3">
        <v>-8.2581288923990526E-2</v>
      </c>
      <c r="I16" s="3">
        <v>-0.11603830556345569</v>
      </c>
      <c r="J16" s="3">
        <v>5.2356481008443707E-2</v>
      </c>
      <c r="K16" s="3">
        <v>-3.5512414889476568E-2</v>
      </c>
      <c r="L16" s="3">
        <v>-1.5775149055428539E-2</v>
      </c>
      <c r="M16" s="3">
        <v>-0.15885956315251279</v>
      </c>
      <c r="N16" s="3">
        <v>-0.2829158103387982</v>
      </c>
      <c r="O16" s="3">
        <v>5.5861449060089337E-2</v>
      </c>
      <c r="P16" s="3">
        <v>7.9649562113123101E-2</v>
      </c>
      <c r="Q16" s="3">
        <v>-4.802033055303033E-2</v>
      </c>
      <c r="R16" s="3">
        <v>-6.789675464184089E-2</v>
      </c>
      <c r="S16" s="3">
        <v>-0.1085885293524063</v>
      </c>
      <c r="T16" s="3">
        <v>-3.5252129229616777E-2</v>
      </c>
      <c r="U16" s="3">
        <v>-7.1987230887573209E-2</v>
      </c>
      <c r="V16" s="3">
        <v>5.2208373203866537E-4</v>
      </c>
      <c r="W16" s="3">
        <v>9.2686747427239119E-2</v>
      </c>
      <c r="X16" s="3">
        <v>6.7104751582633862E-2</v>
      </c>
      <c r="Y16" s="3">
        <v>1.6237215633638821E-2</v>
      </c>
      <c r="Z16" s="3">
        <v>8.0735182249339565E-2</v>
      </c>
      <c r="AA16" s="3">
        <v>-4.6132933490130541E-2</v>
      </c>
      <c r="AB16" s="3">
        <v>0.1209893013996107</v>
      </c>
      <c r="AC16" s="3">
        <v>-2.9167401485752299E-2</v>
      </c>
      <c r="AD16" s="3">
        <v>1.1883533968536541E-2</v>
      </c>
      <c r="AE16" s="3">
        <v>-0.19437017354429709</v>
      </c>
      <c r="AF16" s="3">
        <v>-8.638719713056546E-2</v>
      </c>
      <c r="AG16" s="3">
        <v>1.049366559136538E-2</v>
      </c>
      <c r="AH16" s="3">
        <v>5.8576971392953057E-2</v>
      </c>
      <c r="AI16" s="3">
        <v>-2.93811475292057E-2</v>
      </c>
      <c r="AJ16" s="3">
        <v>3.5720082909992207E-2</v>
      </c>
      <c r="AK16" s="3">
        <v>-6.4421400832372078E-2</v>
      </c>
      <c r="AL16" s="3">
        <v>8.1095839216687587E-2</v>
      </c>
      <c r="AM16" s="3">
        <v>-1.825143833757844E-3</v>
      </c>
      <c r="AN16" s="3">
        <v>-0.1126576229844562</v>
      </c>
      <c r="AO16" s="3">
        <v>4.4419672341327737E-2</v>
      </c>
      <c r="AP16" s="3">
        <v>6.2955476002942351E-2</v>
      </c>
      <c r="AQ16" s="3">
        <v>4.5395594867893942E-2</v>
      </c>
      <c r="AR16" s="3">
        <v>0.1106530340880735</v>
      </c>
      <c r="AS16" s="3">
        <v>-4.361813172733716E-2</v>
      </c>
      <c r="AT16" s="3">
        <v>4.9592347179244177E-3</v>
      </c>
      <c r="AU16" s="3">
        <v>0.1387006490225984</v>
      </c>
      <c r="AV16" s="3">
        <v>6.505802944014219E-2</v>
      </c>
      <c r="AW16" s="3">
        <v>-4.6331170270706761E-4</v>
      </c>
      <c r="AX16" s="3">
        <v>6.3420660663822376E-2</v>
      </c>
      <c r="AY16" s="3">
        <v>-4.7113984184792151E-3</v>
      </c>
      <c r="AZ16" s="3">
        <v>-1.8155398260774568E-2</v>
      </c>
      <c r="BA16" s="3">
        <v>7.9143807970672733E-2</v>
      </c>
      <c r="BB16" s="3">
        <v>0.13297865675970799</v>
      </c>
      <c r="BC16" s="3">
        <v>3.4807396828240238E-2</v>
      </c>
      <c r="BD16" s="3">
        <v>9.0787391319676697E-2</v>
      </c>
      <c r="BE16" s="3">
        <v>4.7261609618519607E-2</v>
      </c>
      <c r="BF16" s="3">
        <v>-5.9047856730823467E-2</v>
      </c>
      <c r="BG16" s="3">
        <v>2.1354945470887069E-2</v>
      </c>
      <c r="BH16" s="3">
        <v>-5.9214978910822183E-2</v>
      </c>
      <c r="BI16" s="3">
        <v>5.1045648693428487E-2</v>
      </c>
      <c r="BJ16" s="3">
        <v>5.1164983931225379E-2</v>
      </c>
      <c r="BK16" s="3">
        <v>-3.0539266155663689E-2</v>
      </c>
      <c r="BL16" s="3">
        <v>-7.2083773809532653E-2</v>
      </c>
      <c r="BM16" s="3">
        <v>-4.4461594183894608E-2</v>
      </c>
      <c r="BN16" s="3">
        <v>-2.1653837446908231E-2</v>
      </c>
      <c r="BO16" s="3">
        <v>4.1235221585419167E-2</v>
      </c>
      <c r="BP16" s="3">
        <v>-1.123153502759794E-2</v>
      </c>
      <c r="BQ16" s="3">
        <v>-4.6695972252927993E-2</v>
      </c>
      <c r="BR16" s="3">
        <v>-6.0589298079074913E-2</v>
      </c>
      <c r="BS16" s="3">
        <v>9.2733534181936965E-3</v>
      </c>
      <c r="BT16" s="3">
        <v>-5.015959430703798E-2</v>
      </c>
      <c r="BU16" s="3">
        <v>3.3406644185481171E-2</v>
      </c>
      <c r="BV16" s="3">
        <v>2.6126170779363841E-2</v>
      </c>
      <c r="BW16" s="3">
        <v>-0.21283064117570519</v>
      </c>
      <c r="BX16" s="3">
        <v>4.6677909449918273E-2</v>
      </c>
      <c r="BY16" s="3">
        <v>-0.1012022173734102</v>
      </c>
      <c r="BZ16" s="3">
        <v>0.10500367639692169</v>
      </c>
      <c r="CA16" s="3">
        <v>0.17145332351057069</v>
      </c>
      <c r="CB16" s="3">
        <v>5.9465970165944591E-2</v>
      </c>
      <c r="CC16" s="3">
        <v>6.9042887920293089E-2</v>
      </c>
      <c r="CD16" s="3">
        <v>-1.8545595104213549E-2</v>
      </c>
      <c r="CE16" s="3">
        <v>6.9763241231413919E-2</v>
      </c>
      <c r="CF16" s="3">
        <v>8.2940336196751507E-2</v>
      </c>
      <c r="CG16" s="3">
        <v>-0.2440479115327541</v>
      </c>
      <c r="CH16" s="3">
        <v>4.8054504545709149E-2</v>
      </c>
      <c r="CI16" s="3">
        <v>4.9089741250033729E-2</v>
      </c>
      <c r="CJ16" s="3">
        <v>1.217305798364034E-2</v>
      </c>
      <c r="CK16" s="3">
        <v>3.6279654220502493E-2</v>
      </c>
      <c r="CL16" s="3">
        <v>0.1132569677786987</v>
      </c>
      <c r="CM16" s="3">
        <v>5.2124070767656142E-2</v>
      </c>
      <c r="CN16" s="3">
        <v>-6.1379874937325371E-2</v>
      </c>
      <c r="CO16" s="3">
        <v>-0.18300397309504651</v>
      </c>
      <c r="CP16" s="3">
        <v>0.1127396316857244</v>
      </c>
      <c r="CQ16" s="3">
        <v>-7.5659968624205126E-2</v>
      </c>
      <c r="CR16" s="3">
        <v>3.0724191644627481E-2</v>
      </c>
      <c r="CS16" s="3">
        <v>1.541304512112728E-2</v>
      </c>
      <c r="CT16" s="3">
        <v>-3.1864242248225039E-2</v>
      </c>
      <c r="CU16" s="3">
        <v>-0.1728962212160351</v>
      </c>
      <c r="CV16" s="3">
        <v>2.5480206948086701E-2</v>
      </c>
      <c r="CW16" s="3">
        <v>-6.558908378256241E-3</v>
      </c>
      <c r="CX16" s="3">
        <v>-0.12601795925741691</v>
      </c>
      <c r="CY16" s="3">
        <v>-2.949410902843114E-2</v>
      </c>
      <c r="CZ16" s="3">
        <v>0.1187113778136329</v>
      </c>
      <c r="DA16" s="3">
        <v>-9.3703834009826195E-2</v>
      </c>
      <c r="DB16" s="3">
        <v>-3.5441786010534389E-2</v>
      </c>
      <c r="DC16" s="3">
        <v>-7.6411120966757506E-2</v>
      </c>
      <c r="DD16" s="3">
        <v>0.1640023348047854</v>
      </c>
      <c r="DE16" s="3">
        <v>-5.2450110678124301E-2</v>
      </c>
      <c r="DF16" s="3">
        <v>1.9628377781723921E-2</v>
      </c>
      <c r="DG16" s="3">
        <v>-8.8702762240259705E-2</v>
      </c>
      <c r="DH16" s="3">
        <v>4.8064130080596928E-2</v>
      </c>
      <c r="DI16" s="3">
        <v>1.167389037394919E-2</v>
      </c>
      <c r="DJ16" s="3">
        <v>5.9518456318777779E-2</v>
      </c>
      <c r="DK16" s="3">
        <v>8.32605938990571E-2</v>
      </c>
      <c r="DL16" s="3">
        <v>8.676913236973182E-3</v>
      </c>
      <c r="DM16" s="3">
        <v>3.6759747118981653E-2</v>
      </c>
      <c r="DN16" s="3">
        <v>1.6661285026258769E-3</v>
      </c>
      <c r="DO16" s="3">
        <v>3.2583939790739827E-2</v>
      </c>
      <c r="DP16" s="3">
        <v>5.1931575302151334E-3</v>
      </c>
      <c r="DQ16" s="3">
        <v>3.8922426223846653E-2</v>
      </c>
      <c r="DR16" s="3">
        <v>3.7831496932614089E-2</v>
      </c>
      <c r="DS16" s="3">
        <v>0.11644656854764381</v>
      </c>
      <c r="DT16" s="3">
        <v>-0.1127077706341119</v>
      </c>
      <c r="DU16" s="3">
        <v>1.537532745498487E-2</v>
      </c>
      <c r="DV16" s="3">
        <v>1.917334026721049E-2</v>
      </c>
      <c r="DW16" s="3">
        <v>3.7742997455560673E-2</v>
      </c>
      <c r="DX16" s="3">
        <v>-6.4285000618603108E-2</v>
      </c>
      <c r="DY16" s="3">
        <v>0.11447030232105861</v>
      </c>
      <c r="DZ16" s="3">
        <v>1.31116688137165E-2</v>
      </c>
      <c r="EA16" s="3">
        <v>-1.1425697299403069E-3</v>
      </c>
      <c r="EB16" s="3">
        <v>-7.3319027144237076E-2</v>
      </c>
      <c r="EC16" s="3">
        <v>-1.4751245536073151E-2</v>
      </c>
      <c r="ED16" s="3">
        <v>-5.9180061317024683E-2</v>
      </c>
      <c r="EE16" s="3">
        <v>1.153760730163971E-2</v>
      </c>
      <c r="EF16" s="3">
        <v>-6.0242639972929821E-2</v>
      </c>
      <c r="EG16" s="3">
        <v>-1.6212790712568791E-3</v>
      </c>
      <c r="EH16" s="3">
        <v>-6.8018973010585973E-2</v>
      </c>
      <c r="EI16" s="3">
        <v>-0.1004876399523453</v>
      </c>
      <c r="EJ16" s="3">
        <v>-7.7611135061907699E-2</v>
      </c>
      <c r="EK16" s="3">
        <v>-0.1391821417081118</v>
      </c>
      <c r="EL16" s="3">
        <v>-2.0357810052897621E-2</v>
      </c>
      <c r="EM16">
        <f t="shared" si="11"/>
        <v>-3.7815557413991134E-3</v>
      </c>
      <c r="EN16">
        <f t="shared" si="12"/>
        <v>8.1604201114455543E-2</v>
      </c>
      <c r="EO16">
        <f t="shared" si="13"/>
        <v>-4.6340209079373494E-2</v>
      </c>
    </row>
    <row r="17" spans="1:145" x14ac:dyDescent="0.3">
      <c r="A17" s="20">
        <v>130</v>
      </c>
      <c r="B17" s="20">
        <f t="shared" si="10"/>
        <v>8</v>
      </c>
      <c r="C17" s="3">
        <v>0.10848541786298629</v>
      </c>
      <c r="D17" s="3">
        <v>4.0944947898279021E-4</v>
      </c>
      <c r="E17" s="3">
        <v>7.6702626423688205E-2</v>
      </c>
      <c r="F17" s="3">
        <v>-5.6491026831464307E-2</v>
      </c>
      <c r="G17" s="3">
        <v>-0.16879684531803379</v>
      </c>
      <c r="H17" s="3">
        <v>-3.995329522451764E-2</v>
      </c>
      <c r="I17" s="3">
        <v>-0.12310737588239171</v>
      </c>
      <c r="J17" s="3">
        <v>4.3881178344967943E-2</v>
      </c>
      <c r="K17" s="3">
        <v>-4.6352046863155791E-2</v>
      </c>
      <c r="L17" s="3">
        <v>7.6384008429408734E-3</v>
      </c>
      <c r="M17" s="3">
        <v>-0.18055640141264581</v>
      </c>
      <c r="N17" s="3">
        <v>-0.31927896038533282</v>
      </c>
      <c r="O17" s="3">
        <v>2.6574380640418029E-2</v>
      </c>
      <c r="P17" s="3">
        <v>8.7196549040837179E-2</v>
      </c>
      <c r="Q17" s="3">
        <v>-5.0219076893250669E-2</v>
      </c>
      <c r="R17" s="3">
        <v>-7.0899543817579888E-2</v>
      </c>
      <c r="S17" s="3">
        <v>-0.1332262103635998</v>
      </c>
      <c r="T17" s="3">
        <v>-4.2496885793642067E-2</v>
      </c>
      <c r="U17" s="3">
        <v>-7.3605682023133237E-2</v>
      </c>
      <c r="V17" s="3">
        <v>-1.01987591307414E-2</v>
      </c>
      <c r="W17" s="3">
        <v>9.8070929050216346E-2</v>
      </c>
      <c r="X17" s="3">
        <v>6.0280513879611142E-2</v>
      </c>
      <c r="Y17" s="3">
        <v>2.9926454668850501E-3</v>
      </c>
      <c r="Z17" s="3">
        <v>8.583002649492498E-2</v>
      </c>
      <c r="AA17" s="3">
        <v>-5.1129027670266718E-2</v>
      </c>
      <c r="AB17" s="3">
        <v>0.1208022917806303</v>
      </c>
      <c r="AC17" s="3">
        <v>-3.9488261160628951E-2</v>
      </c>
      <c r="AD17" s="3">
        <v>1.223794750048187E-2</v>
      </c>
      <c r="AE17" s="3">
        <v>-0.17483924961177291</v>
      </c>
      <c r="AF17" s="3">
        <v>-6.3645527540493393E-2</v>
      </c>
      <c r="AG17" s="3">
        <v>2.2511194004063029E-2</v>
      </c>
      <c r="AH17" s="3">
        <v>9.3768560348520436E-2</v>
      </c>
      <c r="AI17" s="3">
        <v>-2.811473803979769E-2</v>
      </c>
      <c r="AJ17" s="3">
        <v>4.2559655860073133E-2</v>
      </c>
      <c r="AK17" s="3">
        <v>-3.1812485999819867E-2</v>
      </c>
      <c r="AL17" s="3">
        <v>8.6285246695498405E-2</v>
      </c>
      <c r="AM17" s="3">
        <v>1.164532483032311E-3</v>
      </c>
      <c r="AN17" s="3">
        <v>-0.12461248593376981</v>
      </c>
      <c r="AO17" s="3">
        <v>2.8750923747251439E-2</v>
      </c>
      <c r="AP17" s="3">
        <v>8.5202770622020807E-2</v>
      </c>
      <c r="AQ17" s="3">
        <v>3.5840387988483297E-2</v>
      </c>
      <c r="AR17" s="3">
        <v>0.1261104456344071</v>
      </c>
      <c r="AS17" s="3">
        <v>-5.1001532370288483E-2</v>
      </c>
      <c r="AT17" s="3">
        <v>2.8459488727532171E-2</v>
      </c>
      <c r="AU17" s="3">
        <v>0.13777320588584041</v>
      </c>
      <c r="AV17" s="3">
        <v>7.218721493644871E-2</v>
      </c>
      <c r="AW17" s="3">
        <v>1.252766625358679E-2</v>
      </c>
      <c r="AX17" s="3">
        <v>7.5132748312739556E-2</v>
      </c>
      <c r="AY17" s="3">
        <v>-4.8330329569632319E-3</v>
      </c>
      <c r="AZ17" s="3">
        <v>1.9981923156699631E-2</v>
      </c>
      <c r="BA17" s="3">
        <v>0.10918424419842861</v>
      </c>
      <c r="BB17" s="3">
        <v>0.14231737533917449</v>
      </c>
      <c r="BC17" s="3">
        <v>5.2331596120649061E-2</v>
      </c>
      <c r="BD17" s="3">
        <v>7.8172420627705505E-2</v>
      </c>
      <c r="BE17" s="3">
        <v>3.6598392584075781E-2</v>
      </c>
      <c r="BF17" s="3">
        <v>-2.3357909879356899E-2</v>
      </c>
      <c r="BG17" s="3">
        <v>-1.0876604974189481E-2</v>
      </c>
      <c r="BH17" s="3">
        <v>-6.4097655517053986E-2</v>
      </c>
      <c r="BI17" s="3">
        <v>7.356943379846631E-2</v>
      </c>
      <c r="BJ17" s="3">
        <v>7.7585785842305105E-2</v>
      </c>
      <c r="BK17" s="3">
        <v>-5.563431815760507E-2</v>
      </c>
      <c r="BL17" s="3">
        <v>-7.8287345494603117E-2</v>
      </c>
      <c r="BM17" s="3">
        <v>-2.368577340358741E-2</v>
      </c>
      <c r="BN17" s="3">
        <v>-1.7785292384900609E-2</v>
      </c>
      <c r="BO17" s="3">
        <v>2.5806241802164859E-2</v>
      </c>
      <c r="BP17" s="3">
        <v>-1.3404755404772369E-2</v>
      </c>
      <c r="BQ17" s="3">
        <v>-5.4619953696036207E-2</v>
      </c>
      <c r="BR17" s="3">
        <v>-3.2468675473830998E-2</v>
      </c>
      <c r="BS17" s="3">
        <v>1.0628500977726539E-2</v>
      </c>
      <c r="BT17" s="3">
        <v>-2.713598156373118E-2</v>
      </c>
      <c r="BU17" s="3">
        <v>3.5908050059766577E-2</v>
      </c>
      <c r="BV17" s="3">
        <v>2.3776920127193239E-2</v>
      </c>
      <c r="BW17" s="3">
        <v>-0.23425066051151591</v>
      </c>
      <c r="BX17" s="3">
        <v>5.1844993239461408E-2</v>
      </c>
      <c r="BY17" s="3">
        <v>-0.10484634790929739</v>
      </c>
      <c r="BZ17" s="3">
        <v>0.1181769157776595</v>
      </c>
      <c r="CA17" s="3">
        <v>0.12925304455486569</v>
      </c>
      <c r="CB17" s="3">
        <v>5.631044378582574E-2</v>
      </c>
      <c r="CC17" s="3">
        <v>6.4406574130592448E-2</v>
      </c>
      <c r="CD17" s="3">
        <v>1.71283052130633E-3</v>
      </c>
      <c r="CE17" s="3">
        <v>8.8883514367212396E-2</v>
      </c>
      <c r="CF17" s="3">
        <v>7.5392684084332307E-2</v>
      </c>
      <c r="CG17" s="3">
        <v>-0.15746127382976441</v>
      </c>
      <c r="CH17" s="3">
        <v>8.287237979966898E-2</v>
      </c>
      <c r="CI17" s="3">
        <v>5.5913288806027542E-2</v>
      </c>
      <c r="CJ17" s="3">
        <v>2.0741155485469519E-2</v>
      </c>
      <c r="CK17" s="3">
        <v>4.4196369609418057E-2</v>
      </c>
      <c r="CL17" s="3">
        <v>0.1082463176603676</v>
      </c>
      <c r="CM17" s="3">
        <v>3.8686091281142518E-2</v>
      </c>
      <c r="CN17" s="3">
        <v>-7.1601733869625178E-2</v>
      </c>
      <c r="CO17" s="3">
        <v>-0.1371192271595108</v>
      </c>
      <c r="CP17" s="3">
        <v>0.1201758118118198</v>
      </c>
      <c r="CQ17" s="3">
        <v>-6.6152951237496135E-2</v>
      </c>
      <c r="CR17" s="3">
        <v>2.9283680717415859E-2</v>
      </c>
      <c r="CS17" s="3">
        <v>1.474801416262659E-2</v>
      </c>
      <c r="CT17" s="3">
        <v>-4.0155345599371971E-2</v>
      </c>
      <c r="CU17" s="3">
        <v>-0.1423385733270735</v>
      </c>
      <c r="CV17" s="3">
        <v>1.7497571856797681E-2</v>
      </c>
      <c r="CW17" s="3">
        <v>-9.2302209120647544E-3</v>
      </c>
      <c r="CX17" s="3">
        <v>-0.1256646477464772</v>
      </c>
      <c r="CY17" s="3">
        <v>-2.4199712601525831E-2</v>
      </c>
      <c r="CZ17" s="3">
        <v>0.16623877981028229</v>
      </c>
      <c r="DA17" s="3">
        <v>-7.613475758901328E-2</v>
      </c>
      <c r="DB17" s="3">
        <v>-2.1445068537740919E-2</v>
      </c>
      <c r="DC17" s="3">
        <v>-6.81425922149341E-2</v>
      </c>
      <c r="DD17" s="3">
        <v>0.16122677329263291</v>
      </c>
      <c r="DE17" s="3">
        <v>-2.0616316935895541E-2</v>
      </c>
      <c r="DF17" s="3">
        <v>2.5908999615043869E-2</v>
      </c>
      <c r="DG17" s="3">
        <v>-9.7393408181285029E-2</v>
      </c>
      <c r="DH17" s="3">
        <v>6.4818960550774463E-2</v>
      </c>
      <c r="DI17" s="3">
        <v>-1.0409592486934701E-3</v>
      </c>
      <c r="DJ17" s="3">
        <v>6.6172823701739464E-2</v>
      </c>
      <c r="DK17" s="3">
        <v>9.5776785314946766E-2</v>
      </c>
      <c r="DL17" s="3">
        <v>1.499076796394215E-2</v>
      </c>
      <c r="DM17" s="3">
        <v>4.3442597022706787E-2</v>
      </c>
      <c r="DN17" s="3">
        <v>6.6885262501130589E-3</v>
      </c>
      <c r="DO17" s="3">
        <v>4.1875405991509879E-2</v>
      </c>
      <c r="DP17" s="3">
        <v>8.5510285133897947E-3</v>
      </c>
      <c r="DQ17" s="3">
        <v>3.933615051642507E-2</v>
      </c>
      <c r="DR17" s="3">
        <v>5.3728120390811533E-2</v>
      </c>
      <c r="DS17" s="3">
        <v>0.1498474763074365</v>
      </c>
      <c r="DT17" s="3">
        <v>-0.1074964644932431</v>
      </c>
      <c r="DU17" s="3">
        <v>4.6007890527309178E-2</v>
      </c>
      <c r="DV17" s="3">
        <v>2.9012843398603459E-2</v>
      </c>
      <c r="DW17" s="3">
        <v>2.500220119160872E-2</v>
      </c>
      <c r="DX17" s="3">
        <v>-7.2360521329291189E-2</v>
      </c>
      <c r="DY17" s="3">
        <v>0.14093027568997349</v>
      </c>
      <c r="DZ17" s="3">
        <v>3.183445410941981E-3</v>
      </c>
      <c r="EA17" s="3">
        <v>-3.3147699829744533E-2</v>
      </c>
      <c r="EB17" s="3">
        <v>-7.6530001002924619E-2</v>
      </c>
      <c r="EC17" s="3">
        <v>1.2176774842515401E-2</v>
      </c>
      <c r="ED17" s="3">
        <v>-5.1599441006528267E-2</v>
      </c>
      <c r="EE17" s="3">
        <v>2.611293959404028E-2</v>
      </c>
      <c r="EF17" s="3">
        <v>-7.17201196883194E-2</v>
      </c>
      <c r="EG17" s="3">
        <v>2.8156438048519181E-2</v>
      </c>
      <c r="EH17" s="3">
        <v>-5.9073224904030899E-2</v>
      </c>
      <c r="EI17" s="3">
        <v>-8.9543767672748631E-2</v>
      </c>
      <c r="EJ17" s="3">
        <v>-7.6872405438413505E-2</v>
      </c>
      <c r="EK17" s="3">
        <v>-0.12823431721011849</v>
      </c>
      <c r="EL17" s="3">
        <v>-1.9339646930291419E-2</v>
      </c>
      <c r="EM17">
        <f t="shared" si="11"/>
        <v>1.1645774603485984E-3</v>
      </c>
      <c r="EN17">
        <f t="shared" si="12"/>
        <v>8.3040328787197054E-2</v>
      </c>
      <c r="EO17">
        <f t="shared" si="13"/>
        <v>1.4024239515392549E-2</v>
      </c>
    </row>
    <row r="18" spans="1:145" x14ac:dyDescent="0.3">
      <c r="A18" s="20">
        <v>150</v>
      </c>
      <c r="B18" s="20">
        <f t="shared" si="10"/>
        <v>7</v>
      </c>
      <c r="C18" s="3">
        <v>5.264358642546442E-2</v>
      </c>
      <c r="D18" s="3">
        <v>2.081849577268631E-2</v>
      </c>
      <c r="E18" s="3">
        <v>0.1001849868838494</v>
      </c>
      <c r="F18" s="3">
        <v>-2.9665957214543359E-2</v>
      </c>
      <c r="G18" s="3">
        <v>-0.19210418888863839</v>
      </c>
      <c r="H18" s="3">
        <v>-6.2052684049543103E-2</v>
      </c>
      <c r="I18" s="3">
        <v>-0.1546692730658151</v>
      </c>
      <c r="J18" s="3">
        <v>3.8729016937960679E-2</v>
      </c>
      <c r="K18" s="3">
        <v>-6.1555077462900148E-2</v>
      </c>
      <c r="L18" s="3">
        <v>7.9542387863260969E-3</v>
      </c>
      <c r="M18" s="3">
        <v>-0.1872515498287286</v>
      </c>
      <c r="N18" s="3">
        <v>-0.36380386909963469</v>
      </c>
      <c r="O18" s="3">
        <v>2.923917309027145E-2</v>
      </c>
      <c r="P18" s="3">
        <v>0.1070047671871618</v>
      </c>
      <c r="Q18" s="3">
        <v>-5.6066275128662739E-2</v>
      </c>
      <c r="R18" s="3">
        <v>-8.3649355601262257E-2</v>
      </c>
      <c r="S18" s="3">
        <v>-0.15843131621589801</v>
      </c>
      <c r="T18" s="3">
        <v>-2.9400611187312329E-2</v>
      </c>
      <c r="U18" s="3">
        <v>-6.3715020301069139E-2</v>
      </c>
      <c r="V18" s="3">
        <v>-1.7150907696246741E-2</v>
      </c>
      <c r="W18" s="3">
        <v>0.1160068202564758</v>
      </c>
      <c r="X18" s="3">
        <v>4.9325477319706448E-2</v>
      </c>
      <c r="Y18" s="3">
        <v>-1.4124330881083129E-2</v>
      </c>
      <c r="Z18" s="3">
        <v>8.6003953511038206E-2</v>
      </c>
      <c r="AA18" s="3">
        <v>-5.1800630276831391E-2</v>
      </c>
      <c r="AB18" s="3">
        <v>0.13770845010880259</v>
      </c>
      <c r="AC18" s="3">
        <v>-1.2020657151231819E-2</v>
      </c>
      <c r="AD18" s="3">
        <v>3.834699391362445E-2</v>
      </c>
      <c r="AE18" s="3">
        <v>-0.20233266192506999</v>
      </c>
      <c r="AF18" s="3">
        <v>-7.7698561671110986E-2</v>
      </c>
      <c r="AG18" s="3">
        <v>-1.3390268558608929E-3</v>
      </c>
      <c r="AH18" s="3">
        <v>8.6917574719815691E-2</v>
      </c>
      <c r="AI18" s="3">
        <v>-6.3002459925960916E-2</v>
      </c>
      <c r="AJ18" s="3">
        <v>3.0587096843848569E-2</v>
      </c>
      <c r="AK18" s="3">
        <v>2.1874809686740931E-3</v>
      </c>
      <c r="AL18" s="3">
        <v>8.9085073205636855E-2</v>
      </c>
      <c r="AM18" s="3">
        <v>4.532187889988366E-3</v>
      </c>
      <c r="AN18" s="3">
        <v>-9.1788218163223176E-2</v>
      </c>
      <c r="AO18" s="3">
        <v>3.6526969433976049E-2</v>
      </c>
      <c r="AP18" s="3">
        <v>8.6893121332880269E-2</v>
      </c>
      <c r="AQ18" s="3">
        <v>4.2830181032528787E-2</v>
      </c>
      <c r="AR18" s="3">
        <v>0.11118730456053209</v>
      </c>
      <c r="AS18" s="3">
        <v>-5.5600683056012179E-2</v>
      </c>
      <c r="AT18" s="3">
        <v>2.8113714628129779E-2</v>
      </c>
      <c r="AU18" s="3">
        <v>0.13825373607297631</v>
      </c>
      <c r="AV18" s="3">
        <v>7.8764629702722203E-2</v>
      </c>
      <c r="AW18" s="3">
        <v>9.6164541514198228E-3</v>
      </c>
      <c r="AX18" s="3">
        <v>0.10736476487063711</v>
      </c>
      <c r="AY18" s="3">
        <v>-5.2270054812624048E-3</v>
      </c>
      <c r="AZ18" s="3">
        <v>2.670241357654829E-2</v>
      </c>
      <c r="BA18" s="3">
        <v>5.6947778136449981E-2</v>
      </c>
      <c r="BB18" s="3">
        <v>0.1502839869469775</v>
      </c>
      <c r="BC18" s="3">
        <v>5.2806455694071122E-2</v>
      </c>
      <c r="BD18" s="3">
        <v>5.1867071868349067E-2</v>
      </c>
      <c r="BE18" s="3">
        <v>4.4777878899004038E-2</v>
      </c>
      <c r="BF18" s="3">
        <v>-4.3881157048926409E-2</v>
      </c>
      <c r="BG18" s="3">
        <v>2.9371260944640459E-4</v>
      </c>
      <c r="BH18" s="3">
        <v>-5.5177647217037037E-2</v>
      </c>
      <c r="BI18" s="3">
        <v>0.1070312197034036</v>
      </c>
      <c r="BJ18" s="3">
        <v>4.0631798996460383E-2</v>
      </c>
      <c r="BK18" s="3">
        <v>-4.7074531377753283E-2</v>
      </c>
      <c r="BL18" s="3">
        <v>-8.7221486712669383E-2</v>
      </c>
      <c r="BM18" s="3">
        <v>-4.7064733084606243E-2</v>
      </c>
      <c r="BN18" s="3">
        <v>-2.0448989190036061E-2</v>
      </c>
      <c r="BO18" s="3">
        <v>5.8572777297697082E-2</v>
      </c>
      <c r="BP18" s="3">
        <v>-2.191522063258106E-2</v>
      </c>
      <c r="BQ18" s="3">
        <v>-6.0751941400728343E-2</v>
      </c>
      <c r="BR18" s="3">
        <v>2.010587854894344E-4</v>
      </c>
      <c r="BS18" s="3">
        <v>2.058139974292459E-2</v>
      </c>
      <c r="BT18" s="3">
        <v>-2.9464169134161639E-2</v>
      </c>
      <c r="BU18" s="3">
        <v>1.559509865759897E-2</v>
      </c>
      <c r="BV18" s="3">
        <v>2.7819769292191369E-2</v>
      </c>
      <c r="BW18" s="3">
        <v>-0.2397913125340442</v>
      </c>
      <c r="BX18" s="3">
        <v>3.520983943596296E-2</v>
      </c>
      <c r="BY18" s="3">
        <v>-8.9681819437862104E-2</v>
      </c>
      <c r="BZ18" s="3">
        <v>0.15079709380977091</v>
      </c>
      <c r="CA18" s="3">
        <v>0.1598689439725248</v>
      </c>
      <c r="CB18" s="3">
        <v>5.4216327893374543E-2</v>
      </c>
      <c r="CC18" s="3">
        <v>6.981572073779338E-2</v>
      </c>
      <c r="CD18" s="3">
        <v>-8.9782117725513699E-3</v>
      </c>
      <c r="CE18" s="3">
        <v>6.9460898541899685E-2</v>
      </c>
      <c r="CF18" s="3">
        <v>9.2314423162157919E-2</v>
      </c>
      <c r="CG18" s="3">
        <v>-0.170995340573634</v>
      </c>
      <c r="CH18" s="3">
        <v>0.1081134112752155</v>
      </c>
      <c r="CI18" s="3">
        <v>3.0254409657059309E-2</v>
      </c>
      <c r="CJ18" s="3">
        <v>3.279610925116784E-2</v>
      </c>
      <c r="CK18" s="3">
        <v>7.3768528492245342E-2</v>
      </c>
      <c r="CL18" s="3">
        <v>0.1122118714270389</v>
      </c>
      <c r="CM18" s="3">
        <v>2.3792103108601179E-2</v>
      </c>
      <c r="CN18" s="3">
        <v>-8.3229964807617754E-2</v>
      </c>
      <c r="CO18" s="3">
        <v>-0.16749635784502501</v>
      </c>
      <c r="CP18" s="3">
        <v>0.13085801479312631</v>
      </c>
      <c r="CQ18" s="3">
        <v>-4.7890904898578807E-2</v>
      </c>
      <c r="CR18" s="3">
        <v>3.8174055630705833E-2</v>
      </c>
      <c r="CS18" s="3">
        <v>3.8558231530778142E-2</v>
      </c>
      <c r="CT18" s="3">
        <v>-3.75016449195784E-2</v>
      </c>
      <c r="CU18" s="3">
        <v>-0.14258984759129689</v>
      </c>
      <c r="CV18" s="3">
        <v>4.5968170728612687E-2</v>
      </c>
      <c r="CW18" s="3">
        <v>-3.3294541218572601E-2</v>
      </c>
      <c r="CX18" s="3">
        <v>-9.7539868553291803E-2</v>
      </c>
      <c r="CY18" s="3">
        <v>-1.18901979225224E-2</v>
      </c>
      <c r="CZ18" s="3">
        <v>0.2000288012371472</v>
      </c>
      <c r="DA18" s="3">
        <v>-0.1050548234520481</v>
      </c>
      <c r="DB18" s="3">
        <v>-2.1993506445864858E-2</v>
      </c>
      <c r="DC18" s="3">
        <v>-6.549946201388579E-2</v>
      </c>
      <c r="DD18" s="3">
        <v>0.1990927395066279</v>
      </c>
      <c r="DE18" s="3">
        <v>-4.0133906781944742E-2</v>
      </c>
      <c r="DF18" s="3">
        <v>4.8458405031737407E-2</v>
      </c>
      <c r="DG18" s="3">
        <v>-8.9597380346258373E-2</v>
      </c>
      <c r="DH18" s="3">
        <v>6.2544708742313021E-2</v>
      </c>
      <c r="DI18" s="3">
        <v>2.6581007943183861E-2</v>
      </c>
      <c r="DJ18" s="3">
        <v>6.6022975522745553E-2</v>
      </c>
      <c r="DK18" s="3">
        <v>6.7768732599097686E-2</v>
      </c>
      <c r="DL18" s="3">
        <v>1.8669971400773019E-2</v>
      </c>
      <c r="DM18" s="3">
        <v>3.8027462014773541E-2</v>
      </c>
      <c r="DN18" s="3">
        <v>1.509759681235196E-2</v>
      </c>
      <c r="DO18" s="3">
        <v>4.6225022385387449E-2</v>
      </c>
      <c r="DP18" s="3">
        <v>2.6587698231591898E-2</v>
      </c>
      <c r="DQ18" s="3">
        <v>2.6459849684684209E-2</v>
      </c>
      <c r="DR18" s="3">
        <v>5.2098327962446359E-2</v>
      </c>
      <c r="DS18" s="3">
        <v>0.17690064588330481</v>
      </c>
      <c r="DT18" s="3">
        <v>-0.13242597846308171</v>
      </c>
      <c r="DU18" s="3">
        <v>7.1505873954361795E-2</v>
      </c>
      <c r="DV18" s="3">
        <v>4.6161207687141277E-2</v>
      </c>
      <c r="DW18" s="3">
        <v>5.7812560136279459E-2</v>
      </c>
      <c r="DX18" s="3">
        <v>-6.259507811806414E-2</v>
      </c>
      <c r="DY18" s="3">
        <v>0.17083083897310719</v>
      </c>
      <c r="DZ18" s="3">
        <v>1.0184364116436421E-2</v>
      </c>
      <c r="EA18" s="3">
        <v>-3.5242727412802342E-2</v>
      </c>
      <c r="EB18" s="3">
        <v>-0.1001844395825895</v>
      </c>
      <c r="EC18" s="3">
        <v>1.4626816287311989E-2</v>
      </c>
      <c r="ED18" s="3">
        <v>-4.4547845959572688E-2</v>
      </c>
      <c r="EE18" s="3">
        <v>2.0407385609320341E-2</v>
      </c>
      <c r="EF18" s="3">
        <v>-8.2038991713789311E-2</v>
      </c>
      <c r="EG18" s="3">
        <v>4.1553197152947668E-2</v>
      </c>
      <c r="EH18" s="3">
        <v>-4.6358823468742448E-2</v>
      </c>
      <c r="EI18" s="3">
        <v>-8.1499139511086158E-2</v>
      </c>
      <c r="EJ18" s="3">
        <v>-5.2617468802211249E-2</v>
      </c>
      <c r="EK18" s="3">
        <v>-0.13366995328833181</v>
      </c>
      <c r="EL18" s="3">
        <v>8.5219986279376769E-3</v>
      </c>
      <c r="EM18">
        <f t="shared" si="11"/>
        <v>2.8392519743110052E-3</v>
      </c>
      <c r="EN18">
        <f t="shared" si="12"/>
        <v>9.0073580185155169E-2</v>
      </c>
      <c r="EO18">
        <f t="shared" si="13"/>
        <v>3.1521473538352107E-2</v>
      </c>
    </row>
    <row r="19" spans="1:145" x14ac:dyDescent="0.3">
      <c r="A19" s="20">
        <v>180</v>
      </c>
      <c r="B19" s="20">
        <f t="shared" si="10"/>
        <v>6</v>
      </c>
      <c r="C19" s="3">
        <v>6.3862070951592978E-2</v>
      </c>
      <c r="D19" s="3">
        <v>2.7103841223633809E-2</v>
      </c>
      <c r="E19" s="3">
        <v>7.3818854031292583E-2</v>
      </c>
      <c r="F19" s="3">
        <v>-1.8539269393909971E-2</v>
      </c>
      <c r="G19" s="3">
        <v>-0.2217514953841713</v>
      </c>
      <c r="H19" s="3">
        <v>-8.6533790412176764E-2</v>
      </c>
      <c r="I19" s="3">
        <v>-0.16891771414991311</v>
      </c>
      <c r="J19" s="3">
        <v>3.9615646982964582E-2</v>
      </c>
      <c r="K19" s="3">
        <v>-0.12836313714558589</v>
      </c>
      <c r="L19" s="3">
        <v>7.0815632734459039E-3</v>
      </c>
      <c r="M19" s="3">
        <v>-0.23290702175527889</v>
      </c>
      <c r="N19" s="3">
        <v>-0.41276888051273081</v>
      </c>
      <c r="O19" s="3">
        <v>2.5799248430826181E-2</v>
      </c>
      <c r="P19" s="3">
        <v>9.1939631457083199E-2</v>
      </c>
      <c r="Q19" s="3">
        <v>-6.7562475747228831E-2</v>
      </c>
      <c r="R19" s="3">
        <v>-9.2763195453314254E-2</v>
      </c>
      <c r="S19" s="3">
        <v>-0.1665705674290347</v>
      </c>
      <c r="T19" s="3">
        <v>-2.362739765913777E-2</v>
      </c>
      <c r="U19" s="3">
        <v>-6.4758127497753892E-2</v>
      </c>
      <c r="V19" s="3">
        <v>-5.4719784771743024E-3</v>
      </c>
      <c r="W19" s="3">
        <v>0.130105840276805</v>
      </c>
      <c r="X19" s="3">
        <v>4.4013435162260382E-2</v>
      </c>
      <c r="Y19" s="3">
        <v>2.497575791312592E-2</v>
      </c>
      <c r="Z19" s="3">
        <v>4.4520439716174198E-2</v>
      </c>
      <c r="AA19" s="3">
        <v>-5.3348133814614278E-2</v>
      </c>
      <c r="AB19" s="3">
        <v>9.8178581924216149E-2</v>
      </c>
      <c r="AC19" s="3">
        <v>-1.092529449700118E-2</v>
      </c>
      <c r="AD19" s="3">
        <v>2.4650669750622E-3</v>
      </c>
      <c r="AE19" s="3">
        <v>-0.23675417838502649</v>
      </c>
      <c r="AF19" s="3">
        <v>-8.8226763188740967E-2</v>
      </c>
      <c r="AG19" s="3">
        <v>-1.8428906196658958E-2</v>
      </c>
      <c r="AH19" s="3">
        <v>8.1102630405328863E-2</v>
      </c>
      <c r="AI19" s="3">
        <v>-8.4173953680617503E-2</v>
      </c>
      <c r="AJ19" s="3">
        <v>1.4969070204455081E-2</v>
      </c>
      <c r="AK19" s="3">
        <v>-7.5520425059527104E-3</v>
      </c>
      <c r="AL19" s="3">
        <v>9.1712196350190511E-2</v>
      </c>
      <c r="AM19" s="3">
        <v>2.814640311476763E-2</v>
      </c>
      <c r="AN19" s="3">
        <v>-9.0228952378434021E-2</v>
      </c>
      <c r="AO19" s="3">
        <v>3.7871325725249649E-2</v>
      </c>
      <c r="AP19" s="3">
        <v>9.5720650647838565E-2</v>
      </c>
      <c r="AQ19" s="3">
        <v>7.8588045128809875E-2</v>
      </c>
      <c r="AR19" s="3">
        <v>0.1266893665896385</v>
      </c>
      <c r="AS19" s="3">
        <v>-7.677568536072707E-2</v>
      </c>
      <c r="AT19" s="3">
        <v>5.9961129146392927E-2</v>
      </c>
      <c r="AU19" s="3">
        <v>0.15211368170021031</v>
      </c>
      <c r="AV19" s="3">
        <v>9.0115407767361155E-2</v>
      </c>
      <c r="AW19" s="3">
        <v>-8.1342196190773517E-3</v>
      </c>
      <c r="AX19" s="3">
        <v>0.12440528399573419</v>
      </c>
      <c r="AY19" s="3">
        <v>-1.381210687588093E-2</v>
      </c>
      <c r="AZ19" s="3">
        <v>-7.1138165568383274E-2</v>
      </c>
      <c r="BA19" s="3">
        <v>7.382801555419706E-2</v>
      </c>
      <c r="BB19" s="3">
        <v>0.1797702510461088</v>
      </c>
      <c r="BC19" s="3">
        <v>4.9716396524350628E-2</v>
      </c>
      <c r="BD19" s="3">
        <v>1.102630094743672E-2</v>
      </c>
      <c r="BE19" s="3">
        <v>5.698350264302169E-2</v>
      </c>
      <c r="BF19" s="3">
        <v>-5.6130857506398013E-2</v>
      </c>
      <c r="BG19" s="3">
        <v>3.9988278571183589E-3</v>
      </c>
      <c r="BH19" s="3">
        <v>-4.2278232919636879E-2</v>
      </c>
      <c r="BI19" s="3">
        <v>8.9581970088253526E-2</v>
      </c>
      <c r="BJ19" s="3">
        <v>2.9441368166143039E-2</v>
      </c>
      <c r="BK19" s="3">
        <v>-6.2460613959601292E-2</v>
      </c>
      <c r="BL19" s="3">
        <v>-9.664760565959124E-2</v>
      </c>
      <c r="BM19" s="3">
        <v>-4.9110781341881633E-2</v>
      </c>
      <c r="BN19" s="3">
        <v>-1.3391265017591461E-2</v>
      </c>
      <c r="BO19" s="3">
        <v>5.2556406889595758E-4</v>
      </c>
      <c r="BP19" s="3">
        <v>-3.9977851492568321E-2</v>
      </c>
      <c r="BQ19" s="3">
        <v>-6.9296558214394233E-2</v>
      </c>
      <c r="BR19" s="3">
        <v>-7.6937408196493286E-3</v>
      </c>
      <c r="BS19" s="3">
        <v>7.9851875243131046E-3</v>
      </c>
      <c r="BT19" s="3">
        <v>-2.2485274248821002E-2</v>
      </c>
      <c r="BU19" s="3">
        <v>2.288576973640629E-2</v>
      </c>
      <c r="BV19" s="3">
        <v>4.9504513394679588E-2</v>
      </c>
      <c r="BW19" s="3">
        <v>-0.27753079185167168</v>
      </c>
      <c r="BX19" s="3">
        <v>1.2701725932087189E-2</v>
      </c>
      <c r="BY19" s="3">
        <v>-0.13650970561905751</v>
      </c>
      <c r="BZ19" s="3">
        <v>6.087201744224871E-2</v>
      </c>
      <c r="CA19" s="3">
        <v>7.2708877660603174E-2</v>
      </c>
      <c r="CB19" s="3">
        <v>8.8054136731451904E-2</v>
      </c>
      <c r="CC19" s="3">
        <v>4.9243603919266868E-2</v>
      </c>
      <c r="CD19" s="3">
        <v>2.5243296071044839E-2</v>
      </c>
      <c r="CE19" s="3">
        <v>3.7209123435631417E-2</v>
      </c>
      <c r="CF19" s="3">
        <v>5.7049273106916203E-2</v>
      </c>
      <c r="CG19" s="3">
        <v>-0.21243621512996749</v>
      </c>
      <c r="CH19" s="3">
        <v>0.12967081230693789</v>
      </c>
      <c r="CI19" s="3">
        <v>2.6363132284744802E-2</v>
      </c>
      <c r="CJ19" s="3">
        <v>5.0437678065068367E-2</v>
      </c>
      <c r="CK19" s="3">
        <v>8.916712581031469E-2</v>
      </c>
      <c r="CL19" s="3">
        <v>0.1414922470467804</v>
      </c>
      <c r="CM19" s="3">
        <v>2.4237295399031029E-2</v>
      </c>
      <c r="CN19" s="3">
        <v>-7.6655302389225299E-2</v>
      </c>
      <c r="CO19" s="3">
        <v>-0.18612997859886549</v>
      </c>
      <c r="CP19" s="3">
        <v>0.16282924258529641</v>
      </c>
      <c r="CQ19" s="3">
        <v>-4.6129026068822333E-2</v>
      </c>
      <c r="CR19" s="3">
        <v>3.6247752819522333E-2</v>
      </c>
      <c r="CS19" s="3">
        <v>4.0969268936396581E-2</v>
      </c>
      <c r="CT19" s="3">
        <v>7.6451676051782907E-3</v>
      </c>
      <c r="CU19" s="3">
        <v>-4.4209008269060823E-2</v>
      </c>
      <c r="CV19" s="3">
        <v>4.8049259864423127E-2</v>
      </c>
      <c r="CW19" s="3">
        <v>-2.505812855588805E-2</v>
      </c>
      <c r="CX19" s="3">
        <v>-0.1035655166187455</v>
      </c>
      <c r="CY19" s="3">
        <v>-3.9358044672250167E-3</v>
      </c>
      <c r="CZ19" s="3">
        <v>0.2226851581652444</v>
      </c>
      <c r="DA19" s="3">
        <v>-0.18840392454012539</v>
      </c>
      <c r="DB19" s="3">
        <v>-3.118080988309958E-2</v>
      </c>
      <c r="DC19" s="3">
        <v>-4.928215086622216E-2</v>
      </c>
      <c r="DD19" s="3">
        <v>0.24398756804658189</v>
      </c>
      <c r="DE19" s="3">
        <v>-8.648422729649187E-2</v>
      </c>
      <c r="DF19" s="3">
        <v>1.562438403350085E-2</v>
      </c>
      <c r="DG19" s="3">
        <v>-0.1156741012754892</v>
      </c>
      <c r="DH19" s="3">
        <v>5.5045784975749371E-2</v>
      </c>
      <c r="DI19" s="3">
        <v>2.9996894201264258E-2</v>
      </c>
      <c r="DJ19" s="3">
        <v>4.0660305394108559E-2</v>
      </c>
      <c r="DK19" s="3">
        <v>6.2506167109315031E-2</v>
      </c>
      <c r="DL19" s="3">
        <v>-1.373577108007836E-2</v>
      </c>
      <c r="DM19" s="3">
        <v>6.5564813975573816E-2</v>
      </c>
      <c r="DN19" s="3">
        <v>-1.531506940177736E-2</v>
      </c>
      <c r="DO19" s="3">
        <v>5.2002021364858972E-2</v>
      </c>
      <c r="DP19" s="3">
        <v>3.1808370140774388E-2</v>
      </c>
      <c r="DQ19" s="3">
        <v>1.46604596819652E-2</v>
      </c>
      <c r="DR19" s="3">
        <v>5.0246245988047958E-2</v>
      </c>
      <c r="DS19" s="3">
        <v>0.2120373022908045</v>
      </c>
      <c r="DT19" s="3">
        <v>-0.15227185369680471</v>
      </c>
      <c r="DU19" s="3">
        <v>0.10853361069017881</v>
      </c>
      <c r="DV19" s="3">
        <v>5.3911897243555398E-2</v>
      </c>
      <c r="DW19" s="3">
        <v>7.5899945785009637E-2</v>
      </c>
      <c r="DX19" s="3">
        <v>-6.7368660664014535E-2</v>
      </c>
      <c r="DY19" s="3">
        <v>0.20371081284057471</v>
      </c>
      <c r="DZ19" s="3">
        <v>6.624998672911794E-3</v>
      </c>
      <c r="EA19" s="3">
        <v>-8.4631946970834329E-3</v>
      </c>
      <c r="EB19" s="3">
        <v>-0.1099112330724737</v>
      </c>
      <c r="EC19" s="3">
        <v>6.9379780695587673E-2</v>
      </c>
      <c r="ED19" s="3">
        <v>-5.2699375416006368E-2</v>
      </c>
      <c r="EE19" s="3">
        <v>3.0408354668542661E-2</v>
      </c>
      <c r="EF19" s="3">
        <v>-7.2902631519315961E-2</v>
      </c>
      <c r="EG19" s="3">
        <v>9.0100997167095229E-2</v>
      </c>
      <c r="EH19" s="3">
        <v>-3.6970449178809331E-2</v>
      </c>
      <c r="EI19" s="3">
        <v>-0.1018944231199035</v>
      </c>
      <c r="EJ19" s="3">
        <v>-5.7543775053007652E-2</v>
      </c>
      <c r="EK19" s="3">
        <v>-0.1055429377737104</v>
      </c>
      <c r="EL19" s="3">
        <v>-2.37681856516841E-2</v>
      </c>
      <c r="EM19">
        <f t="shared" si="11"/>
        <v>-1.3240624230265057E-3</v>
      </c>
      <c r="EN19">
        <f t="shared" si="12"/>
        <v>9.99090875803582E-2</v>
      </c>
      <c r="EO19">
        <f t="shared" si="13"/>
        <v>-1.3252672555552516E-2</v>
      </c>
    </row>
    <row r="20" spans="1:145" x14ac:dyDescent="0.3">
      <c r="A20" s="20">
        <v>200</v>
      </c>
      <c r="B20" s="20">
        <f t="shared" si="10"/>
        <v>5</v>
      </c>
      <c r="C20" s="3">
        <v>7.7247532291167223E-2</v>
      </c>
      <c r="D20" s="3">
        <v>4.3065520217970429E-2</v>
      </c>
      <c r="E20" s="3">
        <v>4.8815066363599169E-2</v>
      </c>
      <c r="F20" s="3">
        <v>2.7411848517627971E-2</v>
      </c>
      <c r="G20" s="3">
        <v>-0.2406919477687223</v>
      </c>
      <c r="H20" s="3">
        <v>-0.12733285728101729</v>
      </c>
      <c r="I20" s="3">
        <v>-0.17916341421510079</v>
      </c>
      <c r="J20" s="3">
        <v>7.7139820050710142E-2</v>
      </c>
      <c r="K20" s="3">
        <v>-0.1090072940348538</v>
      </c>
      <c r="L20" s="3">
        <v>-3.7006176462230977E-2</v>
      </c>
      <c r="M20" s="3">
        <v>-0.27765416652084418</v>
      </c>
      <c r="N20" s="3">
        <v>-0.47936140033376018</v>
      </c>
      <c r="O20" s="3">
        <v>-2.6923376055579429E-2</v>
      </c>
      <c r="P20" s="3">
        <v>4.9665695109844102E-2</v>
      </c>
      <c r="Q20" s="3">
        <v>-8.6440521610681997E-2</v>
      </c>
      <c r="R20" s="3">
        <v>-7.6644816129848664E-2</v>
      </c>
      <c r="S20" s="3">
        <v>-0.15518261832774261</v>
      </c>
      <c r="T20" s="3">
        <v>1.566291051925937E-2</v>
      </c>
      <c r="U20" s="3">
        <v>-4.4860999039582378E-2</v>
      </c>
      <c r="V20" s="3">
        <v>-3.3003555965583707E-2</v>
      </c>
      <c r="W20" s="3">
        <v>0.1451790017370326</v>
      </c>
      <c r="X20" s="3">
        <v>6.4058501323188785E-2</v>
      </c>
      <c r="Y20" s="3">
        <v>2.457532873154393E-2</v>
      </c>
      <c r="Z20" s="3">
        <v>2.7386029387607459E-2</v>
      </c>
      <c r="AA20" s="3">
        <v>-2.6830372358164871E-2</v>
      </c>
      <c r="AB20" s="3">
        <v>8.9106463432834987E-2</v>
      </c>
      <c r="AC20" s="3">
        <v>-1.0208303585079971E-2</v>
      </c>
      <c r="AD20" s="3">
        <v>4.0734777719304643E-2</v>
      </c>
      <c r="AE20" s="3">
        <v>-0.14193566253016249</v>
      </c>
      <c r="AF20" s="3">
        <v>-0.1036374557068641</v>
      </c>
      <c r="AG20" s="3">
        <v>-2.6132473317347481E-2</v>
      </c>
      <c r="AH20" s="3">
        <v>5.3615499657421961E-2</v>
      </c>
      <c r="AI20" s="3">
        <v>-0.10857716114712709</v>
      </c>
      <c r="AJ20" s="3">
        <v>1.532179842042147E-2</v>
      </c>
      <c r="AK20" s="3">
        <v>1.359511549600285E-2</v>
      </c>
      <c r="AL20" s="3">
        <v>0.11918755941943721</v>
      </c>
      <c r="AM20" s="3">
        <v>2.8483107085087351E-2</v>
      </c>
      <c r="AN20" s="3">
        <v>-9.467796034561575E-2</v>
      </c>
      <c r="AO20" s="3">
        <v>3.0197796643377031E-2</v>
      </c>
      <c r="AP20" s="3">
        <v>8.6745238092895305E-2</v>
      </c>
      <c r="AQ20" s="3">
        <v>9.2187322841269848E-2</v>
      </c>
      <c r="AR20" s="3">
        <v>0.15552049601251119</v>
      </c>
      <c r="AS20" s="3">
        <v>-7.6790285356269722E-2</v>
      </c>
      <c r="AT20" s="3">
        <v>5.3733446018077453E-2</v>
      </c>
      <c r="AU20" s="3">
        <v>0.1739743488425739</v>
      </c>
      <c r="AV20" s="3">
        <v>9.7723679554602538E-2</v>
      </c>
      <c r="AW20" s="3">
        <v>8.561298635354278E-4</v>
      </c>
      <c r="AX20" s="3">
        <v>0.15829798370553849</v>
      </c>
      <c r="AY20" s="3">
        <v>-7.3666499020899889E-3</v>
      </c>
      <c r="AZ20" s="3">
        <v>-9.4730207884381773E-2</v>
      </c>
      <c r="BA20" s="3">
        <v>0.18886036911881371</v>
      </c>
      <c r="BB20" s="3">
        <v>0.19168428574498189</v>
      </c>
      <c r="BC20" s="3">
        <v>5.8932367037009693E-2</v>
      </c>
      <c r="BD20" s="3">
        <v>3.5610536191995293E-2</v>
      </c>
      <c r="BE20" s="3">
        <v>7.4243786981171164E-2</v>
      </c>
      <c r="BF20" s="3">
        <v>-6.3250108519336073E-2</v>
      </c>
      <c r="BG20" s="3">
        <v>-4.8084464019606227E-2</v>
      </c>
      <c r="BH20" s="3">
        <v>-5.5872391694010148E-2</v>
      </c>
      <c r="BI20" s="3">
        <v>0.1288281860907762</v>
      </c>
      <c r="BJ20" s="3">
        <v>2.9139871065308031E-2</v>
      </c>
      <c r="BK20" s="3">
        <v>-6.4862550526313664E-2</v>
      </c>
      <c r="BL20" s="3">
        <v>-9.831397321902749E-2</v>
      </c>
      <c r="BM20" s="3">
        <v>-5.6480862732913917E-2</v>
      </c>
      <c r="BN20" s="3">
        <v>-3.6520911046602517E-2</v>
      </c>
      <c r="BO20" s="3">
        <v>2.1370486574723291E-3</v>
      </c>
      <c r="BP20" s="3">
        <v>-3.0945059192428279E-2</v>
      </c>
      <c r="BQ20" s="3">
        <v>2.6978506731579931E-2</v>
      </c>
      <c r="BR20" s="3">
        <v>-5.3891578431138863E-3</v>
      </c>
      <c r="BS20" s="3">
        <v>2.4940862127493382E-2</v>
      </c>
      <c r="BT20" s="3">
        <v>-3.6055404801430851E-2</v>
      </c>
      <c r="BU20" s="3">
        <v>8.6240812733737598E-3</v>
      </c>
      <c r="BV20" s="3">
        <v>5.2158667327559798E-2</v>
      </c>
      <c r="BW20" s="3">
        <v>-0.32805179641782201</v>
      </c>
      <c r="BX20" s="3">
        <v>-1.6073796718972331E-2</v>
      </c>
      <c r="BY20" s="3">
        <v>-0.1398659292453944</v>
      </c>
      <c r="BZ20" s="3">
        <v>8.6739352670325481E-2</v>
      </c>
      <c r="CA20" s="3">
        <v>8.7851899082509066E-2</v>
      </c>
      <c r="CB20" s="3">
        <v>4.8224518879054767E-2</v>
      </c>
      <c r="CC20" s="3">
        <v>3.4305445530883383E-2</v>
      </c>
      <c r="CD20" s="3">
        <v>-2.1518145989787421E-2</v>
      </c>
      <c r="CE20" s="3">
        <v>3.2857624432042237E-2</v>
      </c>
      <c r="CF20" s="3">
        <v>6.5930866054855666E-2</v>
      </c>
      <c r="CG20" s="3">
        <v>-0.24959400343469151</v>
      </c>
      <c r="CH20" s="3">
        <v>0.1391514007469502</v>
      </c>
      <c r="CI20" s="3">
        <v>-4.1774733061409894E-3</v>
      </c>
      <c r="CJ20" s="3">
        <v>1.515929964024827E-2</v>
      </c>
      <c r="CK20" s="3">
        <v>9.1266849717118986E-2</v>
      </c>
      <c r="CL20" s="3">
        <v>0.14406366552741051</v>
      </c>
      <c r="CM20" s="3">
        <v>8.33825787759742E-3</v>
      </c>
      <c r="CN20" s="3">
        <v>-7.8693195965172158E-2</v>
      </c>
      <c r="CO20" s="3">
        <v>-0.21784066550107101</v>
      </c>
      <c r="CP20" s="3">
        <v>0.15236924392328269</v>
      </c>
      <c r="CQ20" s="3">
        <v>-4.5176644179017067E-2</v>
      </c>
      <c r="CR20" s="3">
        <v>4.510373772287965E-2</v>
      </c>
      <c r="CS20" s="3">
        <v>5.8574012912527229E-2</v>
      </c>
      <c r="CT20" s="3">
        <v>3.4364019328356241E-2</v>
      </c>
      <c r="CU20" s="3">
        <v>-1.2896643061345271E-3</v>
      </c>
      <c r="CV20" s="3">
        <v>4.2366878618412318E-2</v>
      </c>
      <c r="CW20" s="3">
        <v>-1.7255596773163719E-2</v>
      </c>
      <c r="CX20" s="3">
        <v>-9.1172230679345184E-2</v>
      </c>
      <c r="CY20" s="3">
        <v>-2.657955413521448E-2</v>
      </c>
      <c r="CZ20" s="3">
        <v>0.2017998631464254</v>
      </c>
      <c r="DA20" s="3">
        <v>-0.27208393547098048</v>
      </c>
      <c r="DB20" s="3">
        <v>-1.2910443853945011E-2</v>
      </c>
      <c r="DC20" s="3">
        <v>-5.1707993128286028E-2</v>
      </c>
      <c r="DD20" s="3">
        <v>0.27011061859653068</v>
      </c>
      <c r="DE20" s="3">
        <v>-6.7537504091512657E-2</v>
      </c>
      <c r="DF20" s="3">
        <v>3.6241437687836719E-5</v>
      </c>
      <c r="DG20" s="3">
        <v>-0.14042925077002061</v>
      </c>
      <c r="DH20" s="3">
        <v>7.5531103009774489E-2</v>
      </c>
      <c r="DI20" s="3">
        <v>2.348676176275143E-2</v>
      </c>
      <c r="DJ20" s="3">
        <v>1.5727649400214851E-2</v>
      </c>
      <c r="DK20" s="3">
        <v>7.3309779933760713E-2</v>
      </c>
      <c r="DL20" s="3">
        <v>-1.065068690617408E-2</v>
      </c>
      <c r="DM20" s="3">
        <v>7.5266042749959619E-3</v>
      </c>
      <c r="DN20" s="3">
        <v>-3.6156516975527752E-3</v>
      </c>
      <c r="DO20" s="3">
        <v>6.7948198995821801E-2</v>
      </c>
      <c r="DP20" s="3">
        <v>1.8071021259892101E-2</v>
      </c>
      <c r="DQ20" s="3">
        <v>1.01091142058063E-2</v>
      </c>
      <c r="DR20" s="3">
        <v>5.8604562959139697E-2</v>
      </c>
      <c r="DS20" s="3">
        <v>0.24693120398255569</v>
      </c>
      <c r="DT20" s="3">
        <v>-0.15640800831508481</v>
      </c>
      <c r="DU20" s="3">
        <v>-1.1686578105578689E-2</v>
      </c>
      <c r="DV20" s="3">
        <v>9.3474835834196912E-3</v>
      </c>
      <c r="DW20" s="3">
        <v>7.4901761912144607E-2</v>
      </c>
      <c r="DX20" s="3">
        <v>-6.8670561317318912E-2</v>
      </c>
      <c r="DY20" s="3">
        <v>0.15785680703120589</v>
      </c>
      <c r="DZ20" s="3">
        <v>-1.132937268125333E-3</v>
      </c>
      <c r="EA20" s="3">
        <v>1.228093770837262E-2</v>
      </c>
      <c r="EB20" s="3">
        <v>-0.11071071690672191</v>
      </c>
      <c r="EC20" s="3">
        <v>4.8932641824658597E-2</v>
      </c>
      <c r="ED20" s="3">
        <v>-3.7586415347503538E-2</v>
      </c>
      <c r="EE20" s="3">
        <v>3.4307818723682257E-2</v>
      </c>
      <c r="EF20" s="3">
        <v>-8.4458715388422562E-2</v>
      </c>
      <c r="EG20" s="3">
        <v>0.111625866127331</v>
      </c>
      <c r="EH20" s="3">
        <v>-5.6573319428001229E-2</v>
      </c>
      <c r="EI20" s="3">
        <v>-9.8218008219289304E-2</v>
      </c>
      <c r="EJ20" s="3">
        <v>-3.738985665286456E-2</v>
      </c>
      <c r="EK20" s="3">
        <v>-0.12158543210204779</v>
      </c>
      <c r="EL20" s="3">
        <v>-4.4597852711278162E-2</v>
      </c>
      <c r="EM20">
        <f t="shared" si="11"/>
        <v>-3.2031244704533303E-3</v>
      </c>
      <c r="EN20">
        <f t="shared" si="12"/>
        <v>0.10847793182456777</v>
      </c>
      <c r="EO20">
        <f t="shared" si="13"/>
        <v>-2.9527890296004847E-2</v>
      </c>
    </row>
    <row r="21" spans="1:145" x14ac:dyDescent="0.3">
      <c r="A21" s="20">
        <v>256</v>
      </c>
      <c r="B21" s="20">
        <f t="shared" si="10"/>
        <v>4</v>
      </c>
      <c r="C21" s="3">
        <v>-1.190207271587417E-2</v>
      </c>
      <c r="D21" s="3">
        <v>3.7437654196076947E-2</v>
      </c>
      <c r="E21" s="3">
        <v>7.0282273894446745E-2</v>
      </c>
      <c r="F21" s="3">
        <v>-6.9409277090956498E-2</v>
      </c>
      <c r="G21" s="3">
        <v>-0.21346539275597179</v>
      </c>
      <c r="H21" s="3">
        <v>-8.3509199203109702E-2</v>
      </c>
      <c r="I21" s="3">
        <v>-0.23932306217775401</v>
      </c>
      <c r="J21" s="3">
        <v>9.0566639244446828E-2</v>
      </c>
      <c r="K21" s="3">
        <v>-5.6385823452699692E-2</v>
      </c>
      <c r="L21" s="3">
        <v>-8.7433830528682366E-2</v>
      </c>
      <c r="M21" s="3">
        <v>-0.29690458797810682</v>
      </c>
      <c r="N21" s="3">
        <v>-0.58489126462072527</v>
      </c>
      <c r="O21" s="3">
        <v>-0.1392774934469892</v>
      </c>
      <c r="P21" s="3">
        <v>7.1494213626299832E-2</v>
      </c>
      <c r="Q21" s="3">
        <v>-0.1210463862333558</v>
      </c>
      <c r="R21" s="3">
        <v>-0.1042261533567273</v>
      </c>
      <c r="S21" s="3">
        <v>-0.12859028544995699</v>
      </c>
      <c r="T21" s="3">
        <v>-1.4040364340204919E-2</v>
      </c>
      <c r="U21" s="3">
        <v>-1.5792011862708909E-2</v>
      </c>
      <c r="V21" s="3">
        <v>-1.9105436587436481E-2</v>
      </c>
      <c r="W21" s="3">
        <v>0.17171795172235671</v>
      </c>
      <c r="X21" s="3">
        <v>7.2208782256682882E-2</v>
      </c>
      <c r="Y21" s="3">
        <v>1.3138882269357629E-2</v>
      </c>
      <c r="Z21" s="3">
        <v>2.3066613962282059E-2</v>
      </c>
      <c r="AA21" s="3">
        <v>8.533396604185858E-3</v>
      </c>
      <c r="AB21" s="3">
        <v>0.106655108069916</v>
      </c>
      <c r="AC21" s="3">
        <v>-6.4884757718168068E-2</v>
      </c>
      <c r="AD21" s="3">
        <v>7.3114424521115023E-2</v>
      </c>
      <c r="AE21" s="3">
        <v>-0.15043393360703219</v>
      </c>
      <c r="AF21" s="3">
        <v>-0.10365040598722031</v>
      </c>
      <c r="AG21" s="3">
        <v>4.9639770573784298E-3</v>
      </c>
      <c r="AH21" s="3">
        <v>2.590800587773848E-2</v>
      </c>
      <c r="AI21" s="3">
        <v>-0.14542094381915449</v>
      </c>
      <c r="AJ21" s="3">
        <v>7.7820320310089466E-3</v>
      </c>
      <c r="AK21" s="3">
        <v>3.064343373743127E-2</v>
      </c>
      <c r="AL21" s="3">
        <v>0.1124515078073525</v>
      </c>
      <c r="AM21" s="3">
        <v>-7.8331085762032623E-3</v>
      </c>
      <c r="AN21" s="3">
        <v>-0.11999762143985759</v>
      </c>
      <c r="AO21" s="3">
        <v>7.5524154929500695E-2</v>
      </c>
      <c r="AP21" s="3">
        <v>0.1048081729015958</v>
      </c>
      <c r="AQ21" s="3">
        <v>7.4443845579531084E-2</v>
      </c>
      <c r="AR21" s="3">
        <v>0.20672232734977269</v>
      </c>
      <c r="AS21" s="3">
        <v>-0.13446366332853829</v>
      </c>
      <c r="AT21" s="3">
        <v>4.5504690911822951E-2</v>
      </c>
      <c r="AU21" s="3">
        <v>0.1963968992369145</v>
      </c>
      <c r="AV21" s="3">
        <v>8.9659120897593467E-2</v>
      </c>
      <c r="AW21" s="3">
        <v>-2.4903098190320189E-2</v>
      </c>
      <c r="AX21" s="3">
        <v>0.15652081286489389</v>
      </c>
      <c r="AY21" s="3">
        <v>-1.5847563811557799E-2</v>
      </c>
      <c r="AZ21" s="3">
        <v>-0.16404772824859379</v>
      </c>
      <c r="BA21" s="3">
        <v>4.544732117394476E-2</v>
      </c>
      <c r="BB21" s="3">
        <v>0.255382212998854</v>
      </c>
      <c r="BC21" s="3">
        <v>6.6355806053530267E-2</v>
      </c>
      <c r="BD21" s="3">
        <v>-1.2829662122521301E-2</v>
      </c>
      <c r="BE21" s="3">
        <v>8.5309525673480019E-2</v>
      </c>
      <c r="BF21" s="3">
        <v>-7.2331459806521906E-2</v>
      </c>
      <c r="BG21" s="3">
        <v>-4.7185488475957139E-2</v>
      </c>
      <c r="BH21" s="3">
        <v>-4.0162712125278291E-2</v>
      </c>
      <c r="BI21" s="3">
        <v>0.1147293072274003</v>
      </c>
      <c r="BJ21" s="3">
        <v>2.3095902254964521E-3</v>
      </c>
      <c r="BK21" s="3">
        <v>-7.7140313899002971E-2</v>
      </c>
      <c r="BL21" s="3">
        <v>-0.1139983725192197</v>
      </c>
      <c r="BM21" s="3">
        <v>-4.0795286028720637E-2</v>
      </c>
      <c r="BN21" s="3">
        <v>-3.9097178275529887E-2</v>
      </c>
      <c r="BO21" s="3">
        <v>2.5640602151975261E-2</v>
      </c>
      <c r="BP21" s="3">
        <v>7.591158585923595E-3</v>
      </c>
      <c r="BQ21" s="3">
        <v>6.3888363551924704E-2</v>
      </c>
      <c r="BR21" s="3">
        <v>1.5383030805276299E-2</v>
      </c>
      <c r="BS21" s="3">
        <v>6.5336425907419268E-2</v>
      </c>
      <c r="BT21" s="3">
        <v>-1.176408289349291E-2</v>
      </c>
      <c r="BU21" s="3">
        <v>4.1733562266390863E-2</v>
      </c>
      <c r="BV21" s="3">
        <v>-4.0664933064631301E-3</v>
      </c>
      <c r="BW21" s="3">
        <v>-0.37017575234320749</v>
      </c>
      <c r="BX21" s="3">
        <v>-3.3159726271705207E-2</v>
      </c>
      <c r="BY21" s="3">
        <v>-9.366980481323034E-2</v>
      </c>
      <c r="BZ21" s="3">
        <v>9.3741645952450769E-2</v>
      </c>
      <c r="CA21" s="3">
        <v>0.1496738934245482</v>
      </c>
      <c r="CB21" s="3">
        <v>2.6388382570037779E-2</v>
      </c>
      <c r="CC21" s="3">
        <v>-8.0189542709663136E-3</v>
      </c>
      <c r="CD21" s="3">
        <v>5.473506970604039E-2</v>
      </c>
      <c r="CE21" s="3">
        <v>3.1129961791098129E-2</v>
      </c>
      <c r="CF21" s="3">
        <v>5.4182445348750309E-2</v>
      </c>
      <c r="CG21" s="3">
        <v>-0.3411274132936114</v>
      </c>
      <c r="CH21" s="3">
        <v>2.9607806844142442E-4</v>
      </c>
      <c r="CI21" s="3">
        <v>-3.003803332268698E-3</v>
      </c>
      <c r="CJ21" s="3">
        <v>-4.9523063029550958E-2</v>
      </c>
      <c r="CK21" s="3">
        <v>3.367415889324657E-2</v>
      </c>
      <c r="CL21" s="3">
        <v>8.5330884764178966E-2</v>
      </c>
      <c r="CM21" s="3">
        <v>-3.8292791365956903E-2</v>
      </c>
      <c r="CN21" s="3">
        <v>-0.10649522043646879</v>
      </c>
      <c r="CO21" s="3">
        <v>-0.24139409744558429</v>
      </c>
      <c r="CP21" s="3">
        <v>0.1830696262257345</v>
      </c>
      <c r="CQ21" s="3">
        <v>-4.7072420475831933E-2</v>
      </c>
      <c r="CR21" s="3">
        <v>4.1319888765932039E-2</v>
      </c>
      <c r="CS21" s="3">
        <v>3.034633104330612E-2</v>
      </c>
      <c r="CT21" s="3">
        <v>5.1451000930628023E-2</v>
      </c>
      <c r="CU21" s="3">
        <v>-8.0967812052500521E-3</v>
      </c>
      <c r="CV21" s="3">
        <v>3.554538567511966E-2</v>
      </c>
      <c r="CW21" s="3">
        <v>-3.8070043377180722E-2</v>
      </c>
      <c r="CX21" s="3">
        <v>-3.7793903089870851E-2</v>
      </c>
      <c r="CY21" s="3">
        <v>-8.3566595809466543E-3</v>
      </c>
      <c r="CZ21" s="3">
        <v>0.29550478290626442</v>
      </c>
      <c r="DA21" s="3">
        <v>-0.32782131059956438</v>
      </c>
      <c r="DB21" s="3">
        <v>-3.3685093476025392E-2</v>
      </c>
      <c r="DC21" s="3">
        <v>-6.3142265260739516E-2</v>
      </c>
      <c r="DD21" s="3">
        <v>0.29817683944054463</v>
      </c>
      <c r="DE21" s="3">
        <v>-3.2131777435027223E-2</v>
      </c>
      <c r="DF21" s="3">
        <v>-1.189933772549615E-2</v>
      </c>
      <c r="DG21" s="3">
        <v>-0.1282306235995887</v>
      </c>
      <c r="DH21" s="3">
        <v>1.5541854184012259E-2</v>
      </c>
      <c r="DI21" s="3">
        <v>1.437857864648638E-2</v>
      </c>
      <c r="DJ21" s="3">
        <v>-3.5598969460519367E-2</v>
      </c>
      <c r="DK21" s="3">
        <v>7.6846385490234217E-2</v>
      </c>
      <c r="DL21" s="3">
        <v>-3.8155770705376423E-2</v>
      </c>
      <c r="DM21" s="3">
        <v>2.420130252777496E-2</v>
      </c>
      <c r="DN21" s="3">
        <v>8.9304946452627605E-3</v>
      </c>
      <c r="DO21" s="3">
        <v>0.1047830323146038</v>
      </c>
      <c r="DP21" s="3">
        <v>1.25692206830125E-2</v>
      </c>
      <c r="DQ21" s="3">
        <v>1.34635892570906E-2</v>
      </c>
      <c r="DR21" s="3">
        <v>1.851543020035536E-2</v>
      </c>
      <c r="DS21" s="3">
        <v>0.25196661464834907</v>
      </c>
      <c r="DT21" s="3">
        <v>-4.1026160354837353E-2</v>
      </c>
      <c r="DU21" s="3">
        <v>4.2379378069059394E-3</v>
      </c>
      <c r="DV21" s="3">
        <v>3.7688687507114273E-2</v>
      </c>
      <c r="DW21" s="3">
        <v>0.10898331900535491</v>
      </c>
      <c r="DX21" s="3">
        <v>-7.9471503669938631E-2</v>
      </c>
      <c r="DY21" s="3">
        <v>0.23479841945281529</v>
      </c>
      <c r="DZ21" s="3">
        <v>6.4809670262609394E-3</v>
      </c>
      <c r="EA21" s="3">
        <v>-1.9124426032472479E-2</v>
      </c>
      <c r="EB21" s="3">
        <v>-0.10879362159455119</v>
      </c>
      <c r="EC21" s="3">
        <v>5.9634218755324007E-2</v>
      </c>
      <c r="ED21" s="3">
        <v>-4.5023015522016277E-2</v>
      </c>
      <c r="EE21" s="3">
        <v>3.1907536895362978E-2</v>
      </c>
      <c r="EF21" s="3">
        <v>-8.4417239940866182E-2</v>
      </c>
      <c r="EG21" s="3">
        <v>9.5683429235316975E-2</v>
      </c>
      <c r="EH21" s="3">
        <v>-3.7275271385697313E-2</v>
      </c>
      <c r="EI21" s="3">
        <v>-7.9410282297655121E-2</v>
      </c>
      <c r="EJ21" s="3">
        <v>-2.4361895137142941E-2</v>
      </c>
      <c r="EK21" s="3">
        <v>-4.7133759794294378E-2</v>
      </c>
      <c r="EL21" s="3">
        <v>-4.4194552507990002E-2</v>
      </c>
      <c r="EM21">
        <f t="shared" si="11"/>
        <v>-7.4105328918054819E-3</v>
      </c>
      <c r="EN21">
        <f t="shared" si="12"/>
        <v>0.12094506436972323</v>
      </c>
      <c r="EO21">
        <f t="shared" si="13"/>
        <v>-6.127189175038876E-2</v>
      </c>
    </row>
    <row r="22" spans="1:145" x14ac:dyDescent="0.3">
      <c r="A22" s="20">
        <v>400</v>
      </c>
      <c r="B22" s="20">
        <f t="shared" si="10"/>
        <v>3</v>
      </c>
      <c r="C22" s="3">
        <v>-1.083089340061978E-2</v>
      </c>
      <c r="D22" s="3">
        <v>-1.278836654555218E-2</v>
      </c>
      <c r="E22" s="3">
        <v>-1.7355098916458981E-2</v>
      </c>
      <c r="F22" s="3">
        <v>-0.13986745030938699</v>
      </c>
      <c r="G22" s="3">
        <v>-0.23294542459532269</v>
      </c>
      <c r="H22" s="3">
        <v>-6.8510693540499268E-2</v>
      </c>
      <c r="I22" s="3">
        <v>-0.25443290291045001</v>
      </c>
      <c r="J22" s="3">
        <v>0.1183782811822881</v>
      </c>
      <c r="K22" s="3">
        <v>-0.1006611454503521</v>
      </c>
      <c r="L22" s="3">
        <v>-6.8446939077612026E-2</v>
      </c>
      <c r="M22" s="3">
        <v>-0.18466278734295011</v>
      </c>
      <c r="N22" s="3">
        <v>-0.75614344311733894</v>
      </c>
      <c r="O22" s="3">
        <v>-6.6442332164954182E-2</v>
      </c>
      <c r="P22" s="3">
        <v>9.0630874426634297E-2</v>
      </c>
      <c r="Q22" s="3">
        <v>-0.1167411321085003</v>
      </c>
      <c r="R22" s="3">
        <v>-0.18638739658007181</v>
      </c>
      <c r="S22" s="3">
        <v>-0.16964655555794059</v>
      </c>
      <c r="T22" s="3">
        <v>-7.1651900389641296E-2</v>
      </c>
      <c r="U22" s="3">
        <v>-4.4683532009678548E-2</v>
      </c>
      <c r="V22" s="3">
        <v>-5.1797092146186767E-2</v>
      </c>
      <c r="W22" s="3">
        <v>0.1543018496079179</v>
      </c>
      <c r="X22" s="3">
        <v>2.081127638574393E-2</v>
      </c>
      <c r="Y22" s="3">
        <v>9.3219142774314478E-2</v>
      </c>
      <c r="Z22" s="3">
        <v>3.6895251359705381E-2</v>
      </c>
      <c r="AA22" s="3">
        <v>-1.7888872034478979E-2</v>
      </c>
      <c r="AB22" s="3">
        <v>0.1086951034771748</v>
      </c>
      <c r="AC22" s="3">
        <v>-5.963299967272595E-2</v>
      </c>
      <c r="AD22" s="3">
        <v>5.7995871092346052E-2</v>
      </c>
      <c r="AE22" s="3">
        <v>-0.13325425166370131</v>
      </c>
      <c r="AF22" s="3">
        <v>-0.1356223985514371</v>
      </c>
      <c r="AG22" s="3">
        <v>-2.6744271166404709E-2</v>
      </c>
      <c r="AH22" s="3">
        <v>-0.27180152500680921</v>
      </c>
      <c r="AI22" s="3">
        <v>-0.14115608127869941</v>
      </c>
      <c r="AJ22" s="3">
        <v>3.5833702302869933E-2</v>
      </c>
      <c r="AK22" s="3">
        <v>-0.1012885607403957</v>
      </c>
      <c r="AL22" s="3">
        <v>0.18584438026507921</v>
      </c>
      <c r="AM22" s="3">
        <v>2.097556027782203E-2</v>
      </c>
      <c r="AN22" s="3">
        <v>-0.15748109337468261</v>
      </c>
      <c r="AO22" s="3">
        <v>9.8839476887753644E-2</v>
      </c>
      <c r="AP22" s="3">
        <v>0.18456058935382719</v>
      </c>
      <c r="AQ22" s="3">
        <v>-8.2677886708544118E-2</v>
      </c>
      <c r="AR22" s="3">
        <v>0.24753972204563771</v>
      </c>
      <c r="AS22" s="3">
        <v>-0.16458944034718581</v>
      </c>
      <c r="AT22" s="3">
        <v>-2.8324858248643971E-2</v>
      </c>
      <c r="AU22" s="3">
        <v>0.27983614582712568</v>
      </c>
      <c r="AV22" s="3">
        <v>0.1277627783183822</v>
      </c>
      <c r="AW22" s="3">
        <v>-1.740338462223227E-2</v>
      </c>
      <c r="AX22" s="3">
        <v>1.292571175531548E-2</v>
      </c>
      <c r="AY22" s="3">
        <v>-1.590734683650193E-2</v>
      </c>
      <c r="AZ22" s="3">
        <v>-0.20190115560187241</v>
      </c>
      <c r="BA22" s="3">
        <v>8.046836410108664E-2</v>
      </c>
      <c r="BB22" s="3">
        <v>0.30192994454042299</v>
      </c>
      <c r="BC22" s="3">
        <v>6.9078606010608376E-2</v>
      </c>
      <c r="BD22" s="3">
        <v>5.6393617869291167E-2</v>
      </c>
      <c r="BE22" s="3">
        <v>0.1281112944276584</v>
      </c>
      <c r="BF22" s="3">
        <v>-6.8274694329917812E-2</v>
      </c>
      <c r="BG22" s="3">
        <v>-4.5741296634727709E-2</v>
      </c>
      <c r="BH22" s="3">
        <v>-9.6564663399318351E-3</v>
      </c>
      <c r="BI22" s="3">
        <v>0.14106516836076621</v>
      </c>
      <c r="BJ22" s="3">
        <v>7.0714564721851059E-2</v>
      </c>
      <c r="BK22" s="3">
        <v>-0.1098960774572762</v>
      </c>
      <c r="BL22" s="3">
        <v>-0.19567876249087879</v>
      </c>
      <c r="BM22" s="3">
        <v>-2.4304832455331882E-3</v>
      </c>
      <c r="BN22" s="3">
        <v>-4.5815704530467682E-2</v>
      </c>
      <c r="BO22" s="3">
        <v>3.5409751331559047E-2</v>
      </c>
      <c r="BP22" s="3">
        <v>4.4541283450085241E-2</v>
      </c>
      <c r="BQ22" s="3">
        <v>9.3758413258392473E-2</v>
      </c>
      <c r="BR22" s="3">
        <v>2.0827019985354332E-2</v>
      </c>
      <c r="BS22" s="3">
        <v>3.1606202279239173E-2</v>
      </c>
      <c r="BT22" s="3">
        <v>7.5653419255075294E-2</v>
      </c>
      <c r="BU22" s="3">
        <v>5.214775320926196E-2</v>
      </c>
      <c r="BV22" s="3">
        <v>-5.1095636715343257E-4</v>
      </c>
      <c r="BW22" s="3">
        <v>-0.51753358285080375</v>
      </c>
      <c r="BX22" s="3">
        <v>-3.1911449383790043E-2</v>
      </c>
      <c r="BY22" s="3">
        <v>-6.2466724529553042E-2</v>
      </c>
      <c r="BZ22" s="3">
        <v>4.1370983212962009E-2</v>
      </c>
      <c r="CA22" s="3">
        <v>0.25297467918802918</v>
      </c>
      <c r="CB22" s="3">
        <v>0.11246692101664429</v>
      </c>
      <c r="CC22" s="3">
        <v>-0.12510399532003291</v>
      </c>
      <c r="CD22" s="3">
        <v>-0.1157693263200997</v>
      </c>
      <c r="CE22" s="3">
        <v>1.350344893247271E-2</v>
      </c>
      <c r="CF22" s="3">
        <v>0.102508103348962</v>
      </c>
      <c r="CG22" s="3">
        <v>-0.30280912081577271</v>
      </c>
      <c r="CH22" s="3">
        <v>-2.6427162503829611E-2</v>
      </c>
      <c r="CI22" s="3">
        <v>-1.5860418083537709E-2</v>
      </c>
      <c r="CJ22" s="3">
        <v>-4.3655547255446001E-2</v>
      </c>
      <c r="CK22" s="3">
        <v>6.2668946247663213E-2</v>
      </c>
      <c r="CL22" s="3">
        <v>0.1149115839190942</v>
      </c>
      <c r="CM22" s="3">
        <v>-4.7372367581162061E-2</v>
      </c>
      <c r="CN22" s="3">
        <v>3.078058338277545E-2</v>
      </c>
      <c r="CO22" s="3">
        <v>-0.17152969561420439</v>
      </c>
      <c r="CP22" s="3">
        <v>0.20656797743316491</v>
      </c>
      <c r="CQ22" s="3">
        <v>-9.2165908408294861E-2</v>
      </c>
      <c r="CR22" s="3">
        <v>4.4739600323238288E-2</v>
      </c>
      <c r="CS22" s="3">
        <v>3.1092055850554679E-2</v>
      </c>
      <c r="CT22" s="3">
        <v>5.0872553540877996E-3</v>
      </c>
      <c r="CU22" s="3">
        <v>5.7338505454889374E-3</v>
      </c>
      <c r="CV22" s="3">
        <v>3.4816937353695621E-2</v>
      </c>
      <c r="CW22" s="3">
        <v>-2.9961109309435231E-2</v>
      </c>
      <c r="CX22" s="3">
        <v>-5.3668438098670723E-2</v>
      </c>
      <c r="CY22" s="3">
        <v>-5.928143936513447E-3</v>
      </c>
      <c r="CZ22" s="3">
        <v>0.35215156996889291</v>
      </c>
      <c r="DA22" s="3">
        <v>-0.36680245970498249</v>
      </c>
      <c r="DB22" s="3">
        <v>-1.8908186607683109E-2</v>
      </c>
      <c r="DC22" s="3">
        <v>-8.4168565045503352E-2</v>
      </c>
      <c r="DD22" s="3">
        <v>0.38369963666866419</v>
      </c>
      <c r="DE22" s="3">
        <v>1.7756503501932811E-2</v>
      </c>
      <c r="DF22" s="3">
        <v>2.237788252120439E-2</v>
      </c>
      <c r="DG22" s="3">
        <v>-0.1848371904930898</v>
      </c>
      <c r="DH22" s="3">
        <v>-0.1074336101253462</v>
      </c>
      <c r="DI22" s="3">
        <v>4.833240701806199E-2</v>
      </c>
      <c r="DJ22" s="3">
        <v>-2.786499768424489E-3</v>
      </c>
      <c r="DK22" s="3">
        <v>7.269613117056245E-2</v>
      </c>
      <c r="DL22" s="3">
        <v>-4.953228805488176E-2</v>
      </c>
      <c r="DM22" s="3">
        <v>2.314433577013247E-2</v>
      </c>
      <c r="DN22" s="3">
        <v>-3.169714417632663E-2</v>
      </c>
      <c r="DO22" s="3">
        <v>0.12969613247057141</v>
      </c>
      <c r="DP22" s="3">
        <v>-3.8861921425484378E-2</v>
      </c>
      <c r="DQ22" s="3">
        <v>5.1850201837621311E-2</v>
      </c>
      <c r="DR22" s="3">
        <v>-5.7297032660947191E-2</v>
      </c>
      <c r="DS22" s="3">
        <v>0.26513443223602767</v>
      </c>
      <c r="DT22" s="3">
        <v>-0.1109620063677149</v>
      </c>
      <c r="DU22" s="3">
        <v>6.931359564590403E-2</v>
      </c>
      <c r="DV22" s="3">
        <v>-9.2506420341175538E-2</v>
      </c>
      <c r="DW22" s="3">
        <v>-8.1415413379923474E-2</v>
      </c>
      <c r="DX22" s="3">
        <v>-8.3184240026252868E-2</v>
      </c>
      <c r="DY22" s="3">
        <v>0.23796028914737949</v>
      </c>
      <c r="DZ22" s="3">
        <v>2.114670436868513E-2</v>
      </c>
      <c r="EA22" s="3">
        <v>-0.1096635278114628</v>
      </c>
      <c r="EB22" s="3">
        <v>-0.1239344336786561</v>
      </c>
      <c r="EC22" s="3">
        <v>8.808544742642449E-2</v>
      </c>
      <c r="ED22" s="3">
        <v>-3.2747421585889641E-2</v>
      </c>
      <c r="EE22" s="3">
        <v>1.670262802637313E-3</v>
      </c>
      <c r="EF22" s="3">
        <v>-3.4354893375399979E-2</v>
      </c>
      <c r="EG22" s="3">
        <v>0.1113897931418079</v>
      </c>
      <c r="EH22" s="3">
        <v>4.4865707040549693E-3</v>
      </c>
      <c r="EI22" s="3">
        <v>-7.2680991770743858E-2</v>
      </c>
      <c r="EJ22" s="3">
        <v>-6.2733871692929141E-2</v>
      </c>
      <c r="EK22" s="3">
        <v>5.726193844553823E-2</v>
      </c>
      <c r="EL22" s="3">
        <v>2.5307223738907911E-2</v>
      </c>
      <c r="EM22">
        <f t="shared" si="11"/>
        <v>-1.3263640404880345E-2</v>
      </c>
      <c r="EN22">
        <f t="shared" si="12"/>
        <v>0.1452484765682876</v>
      </c>
      <c r="EO22">
        <f t="shared" si="13"/>
        <v>-9.1316898588223977E-2</v>
      </c>
    </row>
    <row r="23" spans="1:145" x14ac:dyDescent="0.3">
      <c r="A23" s="20">
        <v>512</v>
      </c>
      <c r="B23" s="20">
        <f t="shared" si="10"/>
        <v>2</v>
      </c>
      <c r="C23" s="3">
        <v>-3.1325684581971477E-2</v>
      </c>
      <c r="D23" s="3">
        <v>5.1942903124710671E-2</v>
      </c>
      <c r="E23" s="3">
        <v>0.13300519405617101</v>
      </c>
      <c r="F23" s="3">
        <v>-3.740232941910691E-3</v>
      </c>
      <c r="G23" s="3">
        <v>-0.36163212077843282</v>
      </c>
      <c r="H23" s="3">
        <v>1.8188470841484668E-2</v>
      </c>
      <c r="I23" s="3">
        <v>-0.25570287206557712</v>
      </c>
      <c r="J23" s="3">
        <v>0.15529381690298319</v>
      </c>
      <c r="K23" s="3">
        <v>-0.14148271525764719</v>
      </c>
      <c r="L23" s="3">
        <v>-0.164212024118331</v>
      </c>
      <c r="M23" s="3">
        <v>-0.14728696802749691</v>
      </c>
      <c r="N23" s="3">
        <v>-0.97590144327128003</v>
      </c>
      <c r="O23" s="3">
        <v>-0.1228997073071684</v>
      </c>
      <c r="P23" s="3">
        <v>5.46815260345479E-2</v>
      </c>
      <c r="Q23" s="3">
        <v>0.12030220542956831</v>
      </c>
      <c r="R23" s="3">
        <v>-7.5413382280886121E-2</v>
      </c>
      <c r="S23" s="3">
        <v>-0.1137245328272621</v>
      </c>
      <c r="T23" s="3">
        <v>-3.733692084787466E-4</v>
      </c>
      <c r="U23" s="3">
        <v>-0.1939598632503596</v>
      </c>
      <c r="V23" s="3">
        <v>-5.4692462487890163E-2</v>
      </c>
      <c r="W23" s="3">
        <v>0.2363988096329151</v>
      </c>
      <c r="X23" s="3">
        <v>2.8624939332000349E-2</v>
      </c>
      <c r="Y23" s="3">
        <v>0.20414744900244591</v>
      </c>
      <c r="Z23" s="3">
        <v>-1.5495125421108231E-3</v>
      </c>
      <c r="AA23" s="3">
        <v>-5.4903276071808282E-2</v>
      </c>
      <c r="AB23" s="3">
        <v>0.14897520396148331</v>
      </c>
      <c r="AC23" s="3">
        <v>-0.173320094797487</v>
      </c>
      <c r="AD23" s="3">
        <v>1.7187803589621329E-2</v>
      </c>
      <c r="AE23" s="3">
        <v>-0.15243653556779671</v>
      </c>
      <c r="AF23" s="3">
        <v>-6.6906260089751285E-2</v>
      </c>
      <c r="AG23" s="3">
        <v>-5.8697779941302833E-2</v>
      </c>
      <c r="AH23" s="3">
        <v>-0.42311474546283429</v>
      </c>
      <c r="AI23" s="3">
        <v>-0.15091410312207951</v>
      </c>
      <c r="AJ23" s="3">
        <v>-2.3587440294024171E-2</v>
      </c>
      <c r="AK23" s="3">
        <v>-0.11411109934719101</v>
      </c>
      <c r="AL23" s="3">
        <v>0.1793279652075544</v>
      </c>
      <c r="AM23" s="3">
        <v>-7.3818797379495531E-3</v>
      </c>
      <c r="AN23" s="3">
        <v>3.7895354907410569E-2</v>
      </c>
      <c r="AO23" s="3">
        <v>-3.2134598262233353E-2</v>
      </c>
      <c r="AP23" s="3">
        <v>9.2917766517353895E-2</v>
      </c>
      <c r="AQ23" s="3">
        <v>-8.9424992259610633E-2</v>
      </c>
      <c r="AR23" s="3">
        <v>0.33674404384506768</v>
      </c>
      <c r="AS23" s="3">
        <v>-3.2167011410198447E-2</v>
      </c>
      <c r="AT23" s="3">
        <v>1.6951230815730939E-2</v>
      </c>
      <c r="AU23" s="3">
        <v>0.31867753043169111</v>
      </c>
      <c r="AV23" s="3">
        <v>9.6757250400133471E-2</v>
      </c>
      <c r="AW23" s="3">
        <v>-5.202690983840276E-2</v>
      </c>
      <c r="AX23" s="3">
        <v>6.513715432570244E-2</v>
      </c>
      <c r="AY23" s="3">
        <v>0.25265988336690948</v>
      </c>
      <c r="AZ23" s="3">
        <v>-0.29181699223939561</v>
      </c>
      <c r="BA23" s="3">
        <v>-9.3430257235587177E-3</v>
      </c>
      <c r="BB23" s="3">
        <v>-5.1049484102885123E-2</v>
      </c>
      <c r="BC23" s="3">
        <v>0.1456178962222818</v>
      </c>
      <c r="BD23" s="3">
        <v>9.4830881346450333E-2</v>
      </c>
      <c r="BE23" s="3">
        <v>0.17597478112933951</v>
      </c>
      <c r="BF23" s="3">
        <v>-5.0110962021610701E-2</v>
      </c>
      <c r="BG23" s="3">
        <v>-2.3409411889096111E-2</v>
      </c>
      <c r="BH23" s="3">
        <v>5.3596863934990302E-2</v>
      </c>
      <c r="BI23" s="3">
        <v>9.3251019811954772E-2</v>
      </c>
      <c r="BJ23" s="3">
        <v>7.1437909162187813E-2</v>
      </c>
      <c r="BK23" s="3">
        <v>-6.278178878983208E-2</v>
      </c>
      <c r="BL23" s="3">
        <v>-0.2109600313636607</v>
      </c>
      <c r="BM23" s="3">
        <v>6.9495462024450616E-2</v>
      </c>
      <c r="BN23" s="3">
        <v>-0.15467716835591211</v>
      </c>
      <c r="BO23" s="3">
        <v>8.0427689913294784E-2</v>
      </c>
      <c r="BP23" s="3">
        <v>3.1913553125646393E-2</v>
      </c>
      <c r="BQ23" s="3">
        <v>0.17541275933166189</v>
      </c>
      <c r="BR23" s="3">
        <v>2.4393962323800509E-2</v>
      </c>
      <c r="BS23" s="3">
        <v>4.9207723386484208E-2</v>
      </c>
      <c r="BT23" s="3">
        <v>0.3423536066165257</v>
      </c>
      <c r="BU23" s="3">
        <v>0.1343071221440694</v>
      </c>
      <c r="BV23" s="3">
        <v>-1.7018950875927849E-2</v>
      </c>
      <c r="BW23" s="3">
        <v>-0.75172452155617908</v>
      </c>
      <c r="BX23" s="3">
        <v>-8.3160926191687107E-2</v>
      </c>
      <c r="BY23" s="3">
        <v>-9.3711269349543963E-2</v>
      </c>
      <c r="BZ23" s="3">
        <v>-7.233049823802995E-2</v>
      </c>
      <c r="CA23" s="3">
        <v>0.49629383248942283</v>
      </c>
      <c r="CB23" s="3">
        <v>5.7868840600491009E-2</v>
      </c>
      <c r="CC23" s="3">
        <v>-8.4544614715775346E-2</v>
      </c>
      <c r="CD23" s="3">
        <v>-0.1118635707259928</v>
      </c>
      <c r="CE23" s="3">
        <v>-1.493393869943984E-2</v>
      </c>
      <c r="CF23" s="3">
        <v>0.1676143813103263</v>
      </c>
      <c r="CG23" s="3">
        <v>-0.50266725344687857</v>
      </c>
      <c r="CH23" s="3">
        <v>-7.3046097930374615E-2</v>
      </c>
      <c r="CI23" s="3">
        <v>5.6784922348380729E-3</v>
      </c>
      <c r="CJ23" s="3">
        <v>-5.3625057574510977E-2</v>
      </c>
      <c r="CK23" s="3">
        <v>4.4636890115885487E-2</v>
      </c>
      <c r="CL23" s="3">
        <v>0.34628583381381162</v>
      </c>
      <c r="CM23" s="3">
        <v>1.9919501797121219E-2</v>
      </c>
      <c r="CN23" s="3">
        <v>2.602429011749285E-3</v>
      </c>
      <c r="CO23" s="3">
        <v>-0.1668322517502627</v>
      </c>
      <c r="CP23" s="3">
        <v>0.23209987385840031</v>
      </c>
      <c r="CQ23" s="3">
        <v>-0.11133205484913621</v>
      </c>
      <c r="CR23" s="3">
        <v>1.6288977447992781E-3</v>
      </c>
      <c r="CS23" s="3">
        <v>9.5512641045979257E-2</v>
      </c>
      <c r="CT23" s="3">
        <v>-0.1747804573845364</v>
      </c>
      <c r="CU23" s="3">
        <v>-1.6525255682172519E-2</v>
      </c>
      <c r="CV23" s="3">
        <v>2.7125219961751389E-2</v>
      </c>
      <c r="CW23" s="3">
        <v>7.2796851228351667E-4</v>
      </c>
      <c r="CX23" s="3">
        <v>-8.7839862612636183E-2</v>
      </c>
      <c r="CY23" s="3">
        <v>-1.940787266965804E-2</v>
      </c>
      <c r="CZ23" s="3">
        <v>0.44770534020053748</v>
      </c>
      <c r="DA23" s="3">
        <v>-0.47550406994043309</v>
      </c>
      <c r="DB23" s="3">
        <v>1.077601300906769E-3</v>
      </c>
      <c r="DC23" s="3">
        <v>-7.2416033656425932E-2</v>
      </c>
      <c r="DD23" s="3">
        <v>0.43882910096555272</v>
      </c>
      <c r="DE23" s="3">
        <v>6.0085947510171572E-2</v>
      </c>
      <c r="DF23" s="3">
        <v>5.978552751654391E-2</v>
      </c>
      <c r="DG23" s="3">
        <v>-0.24857362281119699</v>
      </c>
      <c r="DH23" s="3">
        <v>-5.5413447308742453E-2</v>
      </c>
      <c r="DI23" s="3">
        <v>8.6899605978946026E-2</v>
      </c>
      <c r="DJ23" s="3">
        <v>-9.5273942110107451E-3</v>
      </c>
      <c r="DK23" s="3">
        <v>6.3146577907403523E-2</v>
      </c>
      <c r="DL23" s="3">
        <v>1.482939148558879E-2</v>
      </c>
      <c r="DM23" s="3">
        <v>3.3366755709844542E-2</v>
      </c>
      <c r="DN23" s="3">
        <v>-4.098991007552126E-2</v>
      </c>
      <c r="DO23" s="3">
        <v>0.1628656382681575</v>
      </c>
      <c r="DP23" s="3">
        <v>6.0951311724493133E-2</v>
      </c>
      <c r="DQ23" s="3">
        <v>0.12113204125745761</v>
      </c>
      <c r="DR23" s="3">
        <v>-6.0496157088733682E-2</v>
      </c>
      <c r="DS23" s="3">
        <v>0.2177358419514179</v>
      </c>
      <c r="DT23" s="3">
        <v>-0.15706312203694081</v>
      </c>
      <c r="DU23" s="3">
        <v>-1.655987804139988E-2</v>
      </c>
      <c r="DV23" s="3">
        <v>8.1332536152743107E-3</v>
      </c>
      <c r="DW23" s="3">
        <v>2.3051820755061941E-2</v>
      </c>
      <c r="DX23" s="3">
        <v>-0.1046056537459035</v>
      </c>
      <c r="DY23" s="3">
        <v>0.2022841265369463</v>
      </c>
      <c r="DZ23" s="3">
        <v>4.6410860970266463E-2</v>
      </c>
      <c r="EA23" s="3">
        <v>-0.1093313752764352</v>
      </c>
      <c r="EB23" s="3">
        <v>-0.11582658273038959</v>
      </c>
      <c r="EC23" s="3">
        <v>9.3644533160520085E-2</v>
      </c>
      <c r="ED23" s="3">
        <v>3.8900422569723918E-2</v>
      </c>
      <c r="EE23" s="3">
        <v>2.7630932662962199E-2</v>
      </c>
      <c r="EF23" s="3">
        <v>-9.0054994279120365E-2</v>
      </c>
      <c r="EG23" s="3">
        <v>0.12590556249262161</v>
      </c>
      <c r="EH23" s="3">
        <v>6.3317195021176956E-2</v>
      </c>
      <c r="EI23" s="3">
        <v>-4.8590538731746208E-2</v>
      </c>
      <c r="EJ23" s="3">
        <v>6.9451151244868392E-2</v>
      </c>
      <c r="EK23" s="3">
        <v>0.19531266633336039</v>
      </c>
      <c r="EL23" s="3">
        <v>4.9726084313458999E-2</v>
      </c>
      <c r="EM23">
        <f t="shared" si="11"/>
        <v>-4.6518420690958573E-3</v>
      </c>
      <c r="EN23">
        <f t="shared" si="12"/>
        <v>0.18835344143363972</v>
      </c>
      <c r="EO23">
        <f t="shared" si="13"/>
        <v>-2.4697409474914129E-2</v>
      </c>
    </row>
    <row r="24" spans="1:145" x14ac:dyDescent="0.3">
      <c r="A24" s="20">
        <v>1051</v>
      </c>
      <c r="B24" s="20">
        <f t="shared" si="10"/>
        <v>1</v>
      </c>
      <c r="C24" s="3">
        <v>-2.776696731044102E-2</v>
      </c>
      <c r="D24" s="3">
        <v>0.1161948322536938</v>
      </c>
      <c r="E24" s="3">
        <v>0.28451249769050191</v>
      </c>
      <c r="F24" s="3">
        <v>7.5326493831706698E-2</v>
      </c>
      <c r="G24" s="3">
        <v>-0.2296070518581638</v>
      </c>
      <c r="H24" s="3">
        <v>-3.5855796654956661E-2</v>
      </c>
      <c r="I24" s="3">
        <v>-0.2403862447709158</v>
      </c>
      <c r="J24" s="3">
        <v>4.0357249392596467E-3</v>
      </c>
      <c r="K24" s="3">
        <v>-5.0444335993488708E-2</v>
      </c>
      <c r="L24" s="3">
        <v>-2.829843612242763E-2</v>
      </c>
      <c r="M24" s="3">
        <v>-0.21778567303774149</v>
      </c>
      <c r="N24" s="3">
        <v>-1.769031369112569</v>
      </c>
      <c r="O24" s="3">
        <v>-0.24427786338818341</v>
      </c>
      <c r="P24" s="3">
        <v>1.736288864347235E-3</v>
      </c>
      <c r="Q24" s="3">
        <v>2.847135602397292E-3</v>
      </c>
      <c r="R24" s="3">
        <v>-0.1083654949121912</v>
      </c>
      <c r="S24" s="3">
        <v>-0.35251446106016437</v>
      </c>
      <c r="T24" s="3">
        <v>0.1236910440917892</v>
      </c>
      <c r="U24" s="3">
        <v>-0.28585628998140078</v>
      </c>
      <c r="V24" s="3">
        <v>0.15982629222938771</v>
      </c>
      <c r="W24" s="3">
        <v>0.46225824695169082</v>
      </c>
      <c r="X24" s="3">
        <v>-8.988764650171982E-4</v>
      </c>
      <c r="Y24" s="3">
        <v>0.49353998747896521</v>
      </c>
      <c r="Z24" s="3">
        <v>-2.439454874957615E-2</v>
      </c>
      <c r="AA24" s="3">
        <v>1.354776823757727E-2</v>
      </c>
      <c r="AB24" s="3">
        <v>0.18425142266877839</v>
      </c>
      <c r="AC24" s="3">
        <v>-0.24616895878469969</v>
      </c>
      <c r="AD24" s="3">
        <v>0.46807019051584892</v>
      </c>
      <c r="AE24" s="3">
        <v>-0.1117312814238354</v>
      </c>
      <c r="AF24" s="3">
        <v>-2.2522010034790499E-2</v>
      </c>
      <c r="AG24" s="3">
        <v>0.10590047247440069</v>
      </c>
      <c r="AH24" s="3">
        <v>-0.50010941392831398</v>
      </c>
      <c r="AI24" s="3">
        <v>-0.31041423522934231</v>
      </c>
      <c r="AJ24" s="3">
        <v>-8.5435201790864113E-2</v>
      </c>
      <c r="AK24" s="3">
        <v>-8.4883953068192297E-2</v>
      </c>
      <c r="AL24" s="3">
        <v>0.33333812243081878</v>
      </c>
      <c r="AM24" s="3">
        <v>7.859849797311308E-2</v>
      </c>
      <c r="AN24" s="3">
        <v>0.16294174185669941</v>
      </c>
      <c r="AO24" s="3">
        <v>8.2691715845113409E-2</v>
      </c>
      <c r="AP24" s="3">
        <v>2.28517154890964E-2</v>
      </c>
      <c r="AQ24" s="3">
        <v>-4.7076972834245667E-2</v>
      </c>
      <c r="AR24" s="3">
        <v>9.6392566076069844E-3</v>
      </c>
      <c r="AS24" s="3">
        <v>-0.23783234364544109</v>
      </c>
      <c r="AT24" s="3">
        <v>5.9286095890559252E-3</v>
      </c>
      <c r="AU24" s="3">
        <v>0.47705418724240228</v>
      </c>
      <c r="AV24" s="3">
        <v>1.952221442252405E-2</v>
      </c>
      <c r="AW24" s="3">
        <v>4.9875415110391882E-3</v>
      </c>
      <c r="AX24" s="3">
        <v>-2.5561798417856881E-2</v>
      </c>
      <c r="AY24" s="3">
        <v>0.44347344173649922</v>
      </c>
      <c r="AZ24" s="3">
        <v>-0.60989956018477687</v>
      </c>
      <c r="BA24" s="3">
        <v>-0.1017826943099424</v>
      </c>
      <c r="BB24" s="3">
        <v>-8.6159033395334803E-2</v>
      </c>
      <c r="BC24" s="3">
        <v>0.20574960043632179</v>
      </c>
      <c r="BD24" s="3">
        <v>0.18559521924643521</v>
      </c>
      <c r="BE24" s="3">
        <v>0.18948899555826529</v>
      </c>
      <c r="BF24" s="3">
        <v>-8.001195027253441E-2</v>
      </c>
      <c r="BG24" s="3">
        <v>-0.17662353567931691</v>
      </c>
      <c r="BH24" s="3">
        <v>9.5694510161506985E-3</v>
      </c>
      <c r="BI24" s="3">
        <v>0.2236291060700471</v>
      </c>
      <c r="BJ24" s="3">
        <v>-6.5154095179785917E-2</v>
      </c>
      <c r="BK24" s="3">
        <v>4.0235468942862278E-3</v>
      </c>
      <c r="BL24" s="3">
        <v>-0.31716429392471662</v>
      </c>
      <c r="BM24" s="3">
        <v>-8.4782939838988242E-2</v>
      </c>
      <c r="BN24" s="3">
        <v>0.10891326031654749</v>
      </c>
      <c r="BO24" s="3">
        <v>-5.6244215584665136E-3</v>
      </c>
      <c r="BP24" s="3">
        <v>-0.16903187082569571</v>
      </c>
      <c r="BQ24" s="3">
        <v>0.29185744386226159</v>
      </c>
      <c r="BR24" s="3">
        <v>4.2356223303417713E-2</v>
      </c>
      <c r="BS24" s="3">
        <v>1.284717484456964E-3</v>
      </c>
      <c r="BT24" s="3">
        <v>0.29946444334326322</v>
      </c>
      <c r="BU24" s="3">
        <v>0.31004824833718281</v>
      </c>
      <c r="BV24" s="3">
        <v>-0.20330415183045039</v>
      </c>
      <c r="BW24" s="3">
        <v>-1.109012070037362</v>
      </c>
      <c r="BX24" s="3">
        <v>-0.2322262658885291</v>
      </c>
      <c r="BY24" s="3">
        <v>0.1185260960376882</v>
      </c>
      <c r="BZ24" s="3">
        <v>-0.20258078706182561</v>
      </c>
      <c r="CA24" s="3">
        <v>8.5352138787233134E-2</v>
      </c>
      <c r="CB24" s="3">
        <v>5.7477118626405088E-2</v>
      </c>
      <c r="CC24" s="3">
        <v>-0.18246987988756161</v>
      </c>
      <c r="CD24" s="3">
        <v>-0.24348205996258329</v>
      </c>
      <c r="CE24" s="3">
        <v>-5.5004727302352542E-2</v>
      </c>
      <c r="CF24" s="3">
        <v>0.1168153946325929</v>
      </c>
      <c r="CG24" s="3">
        <v>-0.23727783485992521</v>
      </c>
      <c r="CH24" s="3">
        <v>-0.10127492777931051</v>
      </c>
      <c r="CI24" s="3">
        <v>0.1211775893413336</v>
      </c>
      <c r="CJ24" s="3">
        <v>-1.253319969497613E-3</v>
      </c>
      <c r="CK24" s="3">
        <v>-0.30513915864538371</v>
      </c>
      <c r="CL24" s="3">
        <v>0.40508140877399501</v>
      </c>
      <c r="CM24" s="3">
        <v>2.719455459781923E-3</v>
      </c>
      <c r="CN24" s="3">
        <v>-9.0548656975183314E-2</v>
      </c>
      <c r="CO24" s="3">
        <v>-8.735443016623605E-2</v>
      </c>
      <c r="CP24" s="3">
        <v>0.12929403261992339</v>
      </c>
      <c r="CQ24" s="3">
        <v>-0.13092719820022791</v>
      </c>
      <c r="CR24" s="3">
        <v>2.2126279793981289E-2</v>
      </c>
      <c r="CS24" s="3">
        <v>0.1215103123128518</v>
      </c>
      <c r="CT24" s="3">
        <v>-0.1828965872921165</v>
      </c>
      <c r="CU24" s="3">
        <v>0.14645564360545801</v>
      </c>
      <c r="CV24" s="3">
        <v>0.1138047624404894</v>
      </c>
      <c r="CW24" s="3">
        <v>-3.9824871292930469E-2</v>
      </c>
      <c r="CX24" s="3">
        <v>-0.1780711986935764</v>
      </c>
      <c r="CY24" s="3">
        <v>-4.8689696996996011E-2</v>
      </c>
      <c r="CZ24" s="3">
        <v>0.34631321415719057</v>
      </c>
      <c r="DA24" s="3">
        <v>-0.81302239690696343</v>
      </c>
      <c r="DB24" s="3">
        <v>0.19959876910803809</v>
      </c>
      <c r="DC24" s="3">
        <v>-0.17955311523934811</v>
      </c>
      <c r="DD24" s="3">
        <v>0.15338138073910601</v>
      </c>
      <c r="DE24" s="3">
        <v>-0.13158559129553279</v>
      </c>
      <c r="DF24" s="3">
        <v>-7.5067008722842665E-2</v>
      </c>
      <c r="DG24" s="3">
        <v>-0.18911025907425591</v>
      </c>
      <c r="DH24" s="3">
        <v>-9.936698049993925E-2</v>
      </c>
      <c r="DI24" s="3">
        <v>0.1418754589382695</v>
      </c>
      <c r="DJ24" s="3">
        <v>-0.24842466295311089</v>
      </c>
      <c r="DK24" s="3">
        <v>6.348335954134332E-2</v>
      </c>
      <c r="DL24" s="3">
        <v>-5.1807187376393303E-2</v>
      </c>
      <c r="DM24" s="3">
        <v>-2.5807675313727092E-2</v>
      </c>
      <c r="DN24" s="3">
        <v>5.396432874214898E-3</v>
      </c>
      <c r="DO24" s="3">
        <v>0.15272721304020689</v>
      </c>
      <c r="DP24" s="3">
        <v>-1.8733007885449279E-2</v>
      </c>
      <c r="DQ24" s="3">
        <v>5.0486190478925157E-2</v>
      </c>
      <c r="DR24" s="3">
        <v>-4.6637310808330813E-2</v>
      </c>
      <c r="DS24" s="3">
        <v>0.51982867985760917</v>
      </c>
      <c r="DT24" s="3">
        <v>-0.1045786638516135</v>
      </c>
      <c r="DU24" s="3">
        <v>8.3093201700952621E-2</v>
      </c>
      <c r="DV24" s="3">
        <v>9.8046834802625854E-2</v>
      </c>
      <c r="DW24" s="3">
        <v>0.10118249665524411</v>
      </c>
      <c r="DX24" s="3">
        <v>0.10618197747362131</v>
      </c>
      <c r="DY24" s="3">
        <v>-3.239876608542996E-3</v>
      </c>
      <c r="DZ24" s="3">
        <v>-8.2108691898803127E-2</v>
      </c>
      <c r="EA24" s="3">
        <v>-7.7350922227335792E-2</v>
      </c>
      <c r="EB24" s="3">
        <v>-0.1092287723728063</v>
      </c>
      <c r="EC24" s="3">
        <v>0.14364347355970919</v>
      </c>
      <c r="ED24" s="3">
        <v>-6.9835153666616717E-2</v>
      </c>
      <c r="EE24" s="3">
        <v>0.10748065723441801</v>
      </c>
      <c r="EF24" s="3">
        <v>-0.13408707635021461</v>
      </c>
      <c r="EG24" s="3">
        <v>9.3659001377145279E-2</v>
      </c>
      <c r="EH24" s="3">
        <v>-1.195368091535848E-3</v>
      </c>
      <c r="EI24" s="3">
        <v>9.1553835613599033E-2</v>
      </c>
      <c r="EJ24" s="3">
        <v>8.5941735881297818E-2</v>
      </c>
      <c r="EK24" s="3">
        <v>3.923355085357258E-2</v>
      </c>
      <c r="EL24" s="3">
        <v>0.25659148538174992</v>
      </c>
      <c r="EM24">
        <f t="shared" si="11"/>
        <v>-1.9905333125901908E-2</v>
      </c>
      <c r="EN24">
        <f t="shared" si="12"/>
        <v>0.2685432380860357</v>
      </c>
      <c r="EO24">
        <f t="shared" si="13"/>
        <v>-7.4123382393730772E-2</v>
      </c>
    </row>
    <row r="25" spans="1:145" x14ac:dyDescent="0.3">
      <c r="A25" s="20" t="s">
        <v>154</v>
      </c>
      <c r="B25" s="20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9" t="s">
        <v>157</v>
      </c>
      <c r="C27" s="4" t="s">
        <v>158</v>
      </c>
      <c r="D27" s="4" t="s">
        <v>159</v>
      </c>
      <c r="E27" s="4" t="s">
        <v>160</v>
      </c>
      <c r="F27" s="4" t="s">
        <v>161</v>
      </c>
      <c r="G27" s="4" t="s">
        <v>160</v>
      </c>
      <c r="H27" s="4" t="s">
        <v>160</v>
      </c>
      <c r="I27" s="4" t="s">
        <v>162</v>
      </c>
      <c r="J27" s="4" t="s">
        <v>163</v>
      </c>
      <c r="K27" s="4" t="s">
        <v>164</v>
      </c>
      <c r="L27" s="4" t="s">
        <v>165</v>
      </c>
      <c r="M27" s="4" t="s">
        <v>160</v>
      </c>
      <c r="N27" s="4" t="s">
        <v>160</v>
      </c>
      <c r="O27" s="4" t="s">
        <v>160</v>
      </c>
      <c r="P27" s="4" t="s">
        <v>166</v>
      </c>
      <c r="Q27" s="4" t="s">
        <v>166</v>
      </c>
      <c r="R27" s="4" t="s">
        <v>164</v>
      </c>
      <c r="S27" s="4" t="s">
        <v>160</v>
      </c>
      <c r="T27" s="4" t="s">
        <v>160</v>
      </c>
      <c r="U27" s="4" t="s">
        <v>166</v>
      </c>
      <c r="V27" s="4" t="s">
        <v>167</v>
      </c>
      <c r="W27" s="4" t="s">
        <v>167</v>
      </c>
      <c r="X27" s="4" t="s">
        <v>166</v>
      </c>
      <c r="Y27" s="4" t="s">
        <v>168</v>
      </c>
      <c r="Z27" s="4" t="s">
        <v>166</v>
      </c>
      <c r="AA27" s="4" t="s">
        <v>167</v>
      </c>
      <c r="AB27" s="4" t="s">
        <v>166</v>
      </c>
      <c r="AC27" s="4" t="s">
        <v>166</v>
      </c>
      <c r="AD27" s="4" t="s">
        <v>163</v>
      </c>
      <c r="AE27" s="4" t="s">
        <v>169</v>
      </c>
      <c r="AF27" s="4" t="s">
        <v>167</v>
      </c>
      <c r="AG27" s="4" t="s">
        <v>166</v>
      </c>
      <c r="AH27" s="4" t="s">
        <v>170</v>
      </c>
      <c r="AI27" s="4" t="s">
        <v>166</v>
      </c>
      <c r="AJ27" s="4" t="s">
        <v>166</v>
      </c>
      <c r="AK27" s="4" t="s">
        <v>167</v>
      </c>
      <c r="AL27" s="4" t="s">
        <v>170</v>
      </c>
      <c r="AM27" s="4" t="s">
        <v>166</v>
      </c>
      <c r="AN27" s="4" t="s">
        <v>166</v>
      </c>
      <c r="AO27" s="4" t="s">
        <v>166</v>
      </c>
      <c r="AP27" s="4" t="s">
        <v>167</v>
      </c>
      <c r="AQ27" s="4" t="s">
        <v>167</v>
      </c>
      <c r="AR27" s="4" t="s">
        <v>167</v>
      </c>
      <c r="AS27" s="4" t="s">
        <v>166</v>
      </c>
      <c r="AT27" s="4" t="s">
        <v>166</v>
      </c>
      <c r="AU27" s="4" t="s">
        <v>166</v>
      </c>
      <c r="AV27" s="4" t="s">
        <v>166</v>
      </c>
      <c r="AW27" s="4" t="s">
        <v>158</v>
      </c>
      <c r="AX27" s="4" t="s">
        <v>166</v>
      </c>
      <c r="AY27" s="4" t="s">
        <v>166</v>
      </c>
      <c r="AZ27" s="4" t="s">
        <v>171</v>
      </c>
      <c r="BA27" s="4" t="s">
        <v>172</v>
      </c>
      <c r="BB27" s="4" t="s">
        <v>167</v>
      </c>
      <c r="BC27" s="4" t="s">
        <v>166</v>
      </c>
      <c r="BD27" s="4" t="s">
        <v>167</v>
      </c>
      <c r="BE27" s="4" t="s">
        <v>173</v>
      </c>
      <c r="BF27" s="4" t="s">
        <v>174</v>
      </c>
      <c r="BG27" s="4" t="s">
        <v>175</v>
      </c>
      <c r="BH27" s="4" t="s">
        <v>175</v>
      </c>
      <c r="BI27" s="4" t="s">
        <v>167</v>
      </c>
      <c r="BJ27" s="4" t="s">
        <v>175</v>
      </c>
      <c r="BK27" s="4" t="s">
        <v>167</v>
      </c>
      <c r="BL27" s="4" t="s">
        <v>167</v>
      </c>
      <c r="BM27" s="4" t="s">
        <v>176</v>
      </c>
      <c r="BN27" s="4" t="s">
        <v>175</v>
      </c>
      <c r="BO27" s="4" t="s">
        <v>175</v>
      </c>
      <c r="BP27" s="4" t="s">
        <v>176</v>
      </c>
      <c r="BQ27" s="4" t="s">
        <v>175</v>
      </c>
      <c r="BR27" s="4" t="s">
        <v>167</v>
      </c>
      <c r="BS27" s="4" t="s">
        <v>167</v>
      </c>
      <c r="BT27" s="4" t="s">
        <v>177</v>
      </c>
      <c r="BU27" s="4" t="s">
        <v>167</v>
      </c>
      <c r="BV27" s="4" t="s">
        <v>175</v>
      </c>
      <c r="BW27" s="4" t="s">
        <v>175</v>
      </c>
      <c r="BX27" s="4" t="s">
        <v>175</v>
      </c>
      <c r="BY27" s="4" t="s">
        <v>167</v>
      </c>
      <c r="BZ27" s="4" t="s">
        <v>167</v>
      </c>
      <c r="CA27" s="4" t="s">
        <v>178</v>
      </c>
      <c r="CB27" s="4" t="s">
        <v>167</v>
      </c>
      <c r="CC27" s="4" t="s">
        <v>179</v>
      </c>
      <c r="CD27" s="4" t="s">
        <v>177</v>
      </c>
      <c r="CE27" s="4" t="s">
        <v>180</v>
      </c>
      <c r="CF27" s="4" t="s">
        <v>167</v>
      </c>
      <c r="CG27" s="4" t="s">
        <v>180</v>
      </c>
      <c r="CH27" s="4" t="s">
        <v>181</v>
      </c>
      <c r="CI27" s="4" t="s">
        <v>181</v>
      </c>
      <c r="CJ27" s="4" t="s">
        <v>182</v>
      </c>
      <c r="CK27" s="4" t="s">
        <v>181</v>
      </c>
      <c r="CL27" s="4" t="s">
        <v>180</v>
      </c>
      <c r="CM27" s="4" t="s">
        <v>183</v>
      </c>
      <c r="CN27" s="4" t="s">
        <v>181</v>
      </c>
      <c r="CO27" s="4" t="s">
        <v>183</v>
      </c>
      <c r="CP27" s="4" t="s">
        <v>181</v>
      </c>
      <c r="CQ27" s="4" t="s">
        <v>184</v>
      </c>
      <c r="CR27" s="4" t="s">
        <v>180</v>
      </c>
      <c r="CS27" s="4" t="s">
        <v>183</v>
      </c>
      <c r="CT27" s="4" t="s">
        <v>185</v>
      </c>
      <c r="CU27" s="4" t="s">
        <v>183</v>
      </c>
      <c r="CV27" s="4" t="s">
        <v>181</v>
      </c>
      <c r="CW27" s="4" t="s">
        <v>183</v>
      </c>
      <c r="CX27" s="4" t="s">
        <v>186</v>
      </c>
      <c r="CY27" s="4" t="s">
        <v>182</v>
      </c>
      <c r="CZ27" s="4" t="s">
        <v>167</v>
      </c>
      <c r="DA27" s="4" t="s">
        <v>185</v>
      </c>
      <c r="DB27" s="4" t="s">
        <v>181</v>
      </c>
      <c r="DC27" s="4" t="s">
        <v>187</v>
      </c>
      <c r="DD27" s="4" t="s">
        <v>167</v>
      </c>
      <c r="DE27" s="4" t="s">
        <v>188</v>
      </c>
      <c r="DF27" s="4" t="s">
        <v>181</v>
      </c>
      <c r="DG27" s="4" t="s">
        <v>189</v>
      </c>
      <c r="DH27" s="4" t="s">
        <v>167</v>
      </c>
      <c r="DI27" s="4" t="s">
        <v>167</v>
      </c>
      <c r="DJ27" s="4" t="s">
        <v>190</v>
      </c>
      <c r="DK27" s="4" t="s">
        <v>170</v>
      </c>
      <c r="DL27" s="4" t="s">
        <v>170</v>
      </c>
      <c r="DM27" s="4" t="s">
        <v>170</v>
      </c>
      <c r="DN27" s="4" t="s">
        <v>170</v>
      </c>
      <c r="DO27" s="4" t="s">
        <v>191</v>
      </c>
      <c r="DP27" s="4" t="s">
        <v>192</v>
      </c>
      <c r="DQ27" s="4" t="s">
        <v>193</v>
      </c>
      <c r="DR27" s="4" t="s">
        <v>191</v>
      </c>
      <c r="DS27" s="4" t="s">
        <v>181</v>
      </c>
      <c r="DT27" s="4" t="s">
        <v>181</v>
      </c>
      <c r="DU27" s="4" t="s">
        <v>181</v>
      </c>
      <c r="DV27" s="4" t="s">
        <v>193</v>
      </c>
      <c r="DW27" s="4" t="s">
        <v>180</v>
      </c>
      <c r="DX27" s="4" t="s">
        <v>181</v>
      </c>
      <c r="DY27" s="4" t="s">
        <v>193</v>
      </c>
      <c r="DZ27" s="4" t="s">
        <v>193</v>
      </c>
      <c r="EA27" s="4" t="s">
        <v>194</v>
      </c>
      <c r="EB27" s="4" t="s">
        <v>193</v>
      </c>
      <c r="EC27" s="4" t="s">
        <v>193</v>
      </c>
      <c r="ED27" s="4" t="s">
        <v>193</v>
      </c>
      <c r="EE27" s="4" t="s">
        <v>193</v>
      </c>
      <c r="EF27" s="4" t="s">
        <v>193</v>
      </c>
      <c r="EG27" s="4" t="s">
        <v>193</v>
      </c>
      <c r="EH27" s="4" t="s">
        <v>193</v>
      </c>
      <c r="EI27" s="4" t="s">
        <v>187</v>
      </c>
      <c r="EJ27" s="4" t="s">
        <v>187</v>
      </c>
      <c r="EK27" s="4" t="s">
        <v>194</v>
      </c>
      <c r="EL27" s="4" t="s">
        <v>193</v>
      </c>
      <c r="EM27" t="s">
        <v>195</v>
      </c>
    </row>
    <row r="28" spans="1:145" x14ac:dyDescent="0.3">
      <c r="B28" s="19" t="s">
        <v>196</v>
      </c>
      <c r="C28" s="4" t="s">
        <v>197</v>
      </c>
      <c r="D28" s="4" t="s">
        <v>198</v>
      </c>
      <c r="E28" s="4" t="s">
        <v>199</v>
      </c>
      <c r="F28" s="4" t="s">
        <v>200</v>
      </c>
      <c r="G28" s="4" t="s">
        <v>199</v>
      </c>
      <c r="H28" s="4" t="s">
        <v>199</v>
      </c>
      <c r="I28" s="4" t="s">
        <v>201</v>
      </c>
      <c r="J28" s="4" t="s">
        <v>202</v>
      </c>
      <c r="K28" s="4" t="s">
        <v>203</v>
      </c>
      <c r="L28" s="4" t="s">
        <v>204</v>
      </c>
      <c r="M28" s="4" t="s">
        <v>199</v>
      </c>
      <c r="N28" s="4" t="s">
        <v>199</v>
      </c>
      <c r="O28" s="4" t="s">
        <v>199</v>
      </c>
      <c r="P28" s="4" t="s">
        <v>205</v>
      </c>
      <c r="Q28" s="4" t="s">
        <v>205</v>
      </c>
      <c r="R28" s="4" t="s">
        <v>203</v>
      </c>
      <c r="S28" s="4" t="s">
        <v>199</v>
      </c>
      <c r="T28" s="4" t="s">
        <v>199</v>
      </c>
      <c r="U28" s="4" t="s">
        <v>205</v>
      </c>
      <c r="V28" s="4" t="s">
        <v>206</v>
      </c>
      <c r="W28" s="4" t="s">
        <v>206</v>
      </c>
      <c r="X28" s="4" t="s">
        <v>205</v>
      </c>
      <c r="Y28" s="4" t="s">
        <v>207</v>
      </c>
      <c r="Z28" s="4" t="s">
        <v>205</v>
      </c>
      <c r="AA28" s="4" t="s">
        <v>206</v>
      </c>
      <c r="AB28" s="4" t="s">
        <v>205</v>
      </c>
      <c r="AC28" s="4" t="s">
        <v>205</v>
      </c>
      <c r="AD28" s="4" t="s">
        <v>202</v>
      </c>
      <c r="AE28" s="4" t="s">
        <v>208</v>
      </c>
      <c r="AF28" s="4" t="s">
        <v>206</v>
      </c>
      <c r="AG28" s="4" t="s">
        <v>205</v>
      </c>
      <c r="AH28" s="4" t="s">
        <v>209</v>
      </c>
      <c r="AI28" s="4" t="s">
        <v>205</v>
      </c>
      <c r="AJ28" s="4" t="s">
        <v>205</v>
      </c>
      <c r="AK28" s="4" t="s">
        <v>206</v>
      </c>
      <c r="AL28" s="4" t="s">
        <v>209</v>
      </c>
      <c r="AM28" s="4" t="s">
        <v>205</v>
      </c>
      <c r="AN28" s="4" t="s">
        <v>205</v>
      </c>
      <c r="AO28" s="4" t="s">
        <v>205</v>
      </c>
      <c r="AP28" s="4" t="s">
        <v>206</v>
      </c>
      <c r="AQ28" s="4" t="s">
        <v>206</v>
      </c>
      <c r="AR28" s="4" t="s">
        <v>206</v>
      </c>
      <c r="AS28" s="4" t="s">
        <v>205</v>
      </c>
      <c r="AT28" s="4" t="s">
        <v>205</v>
      </c>
      <c r="AU28" s="4" t="s">
        <v>205</v>
      </c>
      <c r="AV28" s="4" t="s">
        <v>205</v>
      </c>
      <c r="AW28" s="4" t="s">
        <v>197</v>
      </c>
      <c r="AX28" s="4" t="s">
        <v>205</v>
      </c>
      <c r="AY28" s="4" t="s">
        <v>205</v>
      </c>
      <c r="AZ28" s="4" t="s">
        <v>210</v>
      </c>
      <c r="BA28" s="4" t="s">
        <v>211</v>
      </c>
      <c r="BB28" s="4" t="s">
        <v>206</v>
      </c>
      <c r="BC28" s="4" t="s">
        <v>205</v>
      </c>
      <c r="BD28" s="4" t="s">
        <v>206</v>
      </c>
      <c r="BE28" s="4" t="s">
        <v>212</v>
      </c>
      <c r="BF28" s="4" t="s">
        <v>213</v>
      </c>
      <c r="BG28" s="4" t="s">
        <v>214</v>
      </c>
      <c r="BH28" s="4" t="s">
        <v>214</v>
      </c>
      <c r="BI28" s="4" t="s">
        <v>206</v>
      </c>
      <c r="BJ28" s="4" t="s">
        <v>214</v>
      </c>
      <c r="BK28" s="4" t="s">
        <v>206</v>
      </c>
      <c r="BL28" s="4" t="s">
        <v>206</v>
      </c>
      <c r="BM28" s="4" t="s">
        <v>215</v>
      </c>
      <c r="BN28" s="4" t="s">
        <v>214</v>
      </c>
      <c r="BO28" s="4" t="s">
        <v>214</v>
      </c>
      <c r="BP28" s="4" t="s">
        <v>215</v>
      </c>
      <c r="BQ28" s="4" t="s">
        <v>214</v>
      </c>
      <c r="BR28" s="4" t="s">
        <v>206</v>
      </c>
      <c r="BS28" s="4" t="s">
        <v>206</v>
      </c>
      <c r="BT28" s="4" t="s">
        <v>216</v>
      </c>
      <c r="BU28" s="4" t="s">
        <v>206</v>
      </c>
      <c r="BV28" s="4" t="s">
        <v>214</v>
      </c>
      <c r="BW28" s="4" t="s">
        <v>214</v>
      </c>
      <c r="BX28" s="4" t="s">
        <v>214</v>
      </c>
      <c r="BY28" s="4" t="s">
        <v>206</v>
      </c>
      <c r="BZ28" s="4" t="s">
        <v>206</v>
      </c>
      <c r="CA28" s="4" t="s">
        <v>217</v>
      </c>
      <c r="CB28" s="4" t="s">
        <v>206</v>
      </c>
      <c r="CC28" s="4" t="s">
        <v>218</v>
      </c>
      <c r="CD28" s="4" t="s">
        <v>216</v>
      </c>
      <c r="CE28" s="4" t="s">
        <v>219</v>
      </c>
      <c r="CF28" s="4" t="s">
        <v>206</v>
      </c>
      <c r="CG28" s="4" t="s">
        <v>219</v>
      </c>
      <c r="CH28" s="4" t="s">
        <v>220</v>
      </c>
      <c r="CI28" s="4" t="s">
        <v>220</v>
      </c>
      <c r="CJ28" s="4" t="s">
        <v>221</v>
      </c>
      <c r="CK28" s="4" t="s">
        <v>220</v>
      </c>
      <c r="CL28" s="4" t="s">
        <v>219</v>
      </c>
      <c r="CM28" s="4" t="s">
        <v>222</v>
      </c>
      <c r="CN28" s="4" t="s">
        <v>220</v>
      </c>
      <c r="CO28" s="4" t="s">
        <v>222</v>
      </c>
      <c r="CP28" s="4" t="s">
        <v>220</v>
      </c>
      <c r="CQ28" s="4" t="s">
        <v>223</v>
      </c>
      <c r="CR28" s="4" t="s">
        <v>219</v>
      </c>
      <c r="CS28" s="4" t="s">
        <v>222</v>
      </c>
      <c r="CT28" s="4" t="s">
        <v>224</v>
      </c>
      <c r="CU28" s="4" t="s">
        <v>222</v>
      </c>
      <c r="CV28" s="4" t="s">
        <v>220</v>
      </c>
      <c r="CW28" s="4" t="s">
        <v>222</v>
      </c>
      <c r="CX28" s="4" t="s">
        <v>225</v>
      </c>
      <c r="CY28" s="4" t="s">
        <v>221</v>
      </c>
      <c r="CZ28" s="4" t="s">
        <v>206</v>
      </c>
      <c r="DA28" s="4" t="s">
        <v>224</v>
      </c>
      <c r="DB28" s="4" t="s">
        <v>220</v>
      </c>
      <c r="DC28" s="4" t="s">
        <v>226</v>
      </c>
      <c r="DD28" s="4" t="s">
        <v>206</v>
      </c>
      <c r="DE28" s="4" t="s">
        <v>227</v>
      </c>
      <c r="DF28" s="4" t="s">
        <v>220</v>
      </c>
      <c r="DG28" s="4" t="s">
        <v>228</v>
      </c>
      <c r="DH28" s="4" t="s">
        <v>206</v>
      </c>
      <c r="DI28" s="4" t="s">
        <v>206</v>
      </c>
      <c r="DJ28" s="4" t="s">
        <v>229</v>
      </c>
      <c r="DK28" s="4" t="s">
        <v>209</v>
      </c>
      <c r="DL28" s="4" t="s">
        <v>209</v>
      </c>
      <c r="DM28" s="4" t="s">
        <v>209</v>
      </c>
      <c r="DN28" s="4" t="s">
        <v>209</v>
      </c>
      <c r="DO28" s="4" t="s">
        <v>230</v>
      </c>
      <c r="DP28" s="4" t="s">
        <v>231</v>
      </c>
      <c r="DQ28" s="4" t="s">
        <v>232</v>
      </c>
      <c r="DR28" s="4" t="s">
        <v>230</v>
      </c>
      <c r="DS28" s="4" t="s">
        <v>220</v>
      </c>
      <c r="DT28" s="4" t="s">
        <v>220</v>
      </c>
      <c r="DU28" s="4" t="s">
        <v>220</v>
      </c>
      <c r="DV28" s="4" t="s">
        <v>232</v>
      </c>
      <c r="DW28" s="4" t="s">
        <v>219</v>
      </c>
      <c r="DX28" s="4" t="s">
        <v>220</v>
      </c>
      <c r="DY28" s="4" t="s">
        <v>232</v>
      </c>
      <c r="DZ28" s="4" t="s">
        <v>232</v>
      </c>
      <c r="EA28" s="4" t="s">
        <v>233</v>
      </c>
      <c r="EB28" s="4" t="s">
        <v>232</v>
      </c>
      <c r="EC28" s="4" t="s">
        <v>232</v>
      </c>
      <c r="ED28" s="4" t="s">
        <v>232</v>
      </c>
      <c r="EE28" s="4" t="s">
        <v>232</v>
      </c>
      <c r="EF28" s="4" t="s">
        <v>232</v>
      </c>
      <c r="EG28" s="4" t="s">
        <v>232</v>
      </c>
      <c r="EH28" s="4" t="s">
        <v>232</v>
      </c>
      <c r="EI28" s="4" t="s">
        <v>226</v>
      </c>
      <c r="EJ28" s="4" t="s">
        <v>226</v>
      </c>
      <c r="EK28" s="4" t="s">
        <v>233</v>
      </c>
      <c r="EL28" s="4" t="s">
        <v>232</v>
      </c>
      <c r="EM28" t="s">
        <v>234</v>
      </c>
    </row>
    <row r="29" spans="1:145" x14ac:dyDescent="0.3">
      <c r="B29" s="19" t="s">
        <v>235</v>
      </c>
      <c r="C29" s="4" t="s">
        <v>159</v>
      </c>
      <c r="D29" s="4" t="s">
        <v>236</v>
      </c>
      <c r="E29" s="4" t="s">
        <v>237</v>
      </c>
      <c r="F29" s="4" t="s">
        <v>237</v>
      </c>
      <c r="G29" s="4" t="s">
        <v>237</v>
      </c>
      <c r="H29" s="4" t="s">
        <v>237</v>
      </c>
      <c r="I29" s="4" t="s">
        <v>238</v>
      </c>
      <c r="J29" s="4" t="s">
        <v>238</v>
      </c>
      <c r="K29" s="4" t="s">
        <v>238</v>
      </c>
      <c r="L29" s="4" t="s">
        <v>239</v>
      </c>
      <c r="M29" s="4" t="s">
        <v>237</v>
      </c>
      <c r="N29" s="4" t="s">
        <v>237</v>
      </c>
      <c r="O29" s="4" t="s">
        <v>237</v>
      </c>
      <c r="P29" s="4" t="s">
        <v>237</v>
      </c>
      <c r="Q29" s="4" t="s">
        <v>237</v>
      </c>
      <c r="R29" s="4" t="s">
        <v>240</v>
      </c>
      <c r="S29" s="4" t="s">
        <v>239</v>
      </c>
      <c r="T29" s="4" t="s">
        <v>239</v>
      </c>
      <c r="U29" s="4" t="s">
        <v>237</v>
      </c>
      <c r="V29" s="4" t="s">
        <v>239</v>
      </c>
      <c r="W29" s="4" t="s">
        <v>239</v>
      </c>
      <c r="X29" s="4" t="s">
        <v>237</v>
      </c>
      <c r="Y29" s="4" t="s">
        <v>241</v>
      </c>
      <c r="Z29" s="4" t="s">
        <v>237</v>
      </c>
      <c r="AA29" s="4" t="s">
        <v>239</v>
      </c>
      <c r="AB29" s="4" t="s">
        <v>237</v>
      </c>
      <c r="AC29" s="4" t="s">
        <v>237</v>
      </c>
      <c r="AD29" s="4" t="s">
        <v>241</v>
      </c>
      <c r="AE29" s="4" t="s">
        <v>241</v>
      </c>
      <c r="AF29" s="4" t="s">
        <v>239</v>
      </c>
      <c r="AG29" s="4" t="s">
        <v>237</v>
      </c>
      <c r="AH29" s="4" t="s">
        <v>242</v>
      </c>
      <c r="AI29" s="4" t="s">
        <v>237</v>
      </c>
      <c r="AJ29" s="4" t="s">
        <v>237</v>
      </c>
      <c r="AK29" s="4" t="s">
        <v>239</v>
      </c>
      <c r="AL29" s="4" t="s">
        <v>243</v>
      </c>
      <c r="AM29" s="4" t="s">
        <v>237</v>
      </c>
      <c r="AN29" s="4" t="s">
        <v>237</v>
      </c>
      <c r="AO29" s="4" t="s">
        <v>237</v>
      </c>
      <c r="AP29" s="4" t="s">
        <v>239</v>
      </c>
      <c r="AQ29" s="4" t="s">
        <v>239</v>
      </c>
      <c r="AR29" s="4" t="s">
        <v>239</v>
      </c>
      <c r="AS29" s="4" t="s">
        <v>237</v>
      </c>
      <c r="AT29" s="4" t="s">
        <v>237</v>
      </c>
      <c r="AU29" s="4" t="s">
        <v>237</v>
      </c>
      <c r="AV29" s="4" t="s">
        <v>237</v>
      </c>
      <c r="AW29" s="4" t="s">
        <v>244</v>
      </c>
      <c r="AX29" s="4" t="s">
        <v>237</v>
      </c>
      <c r="AY29" s="4" t="s">
        <v>237</v>
      </c>
      <c r="AZ29" s="4" t="s">
        <v>176</v>
      </c>
      <c r="BA29" s="4" t="s">
        <v>245</v>
      </c>
      <c r="BB29" s="4" t="s">
        <v>244</v>
      </c>
      <c r="BC29" s="4" t="s">
        <v>237</v>
      </c>
      <c r="BD29" s="4" t="s">
        <v>246</v>
      </c>
      <c r="BE29" s="4" t="s">
        <v>237</v>
      </c>
      <c r="BF29" s="4" t="s">
        <v>237</v>
      </c>
      <c r="BG29" s="4" t="s">
        <v>237</v>
      </c>
      <c r="BH29" s="4" t="s">
        <v>237</v>
      </c>
      <c r="BI29" s="4" t="s">
        <v>246</v>
      </c>
      <c r="BJ29" s="4" t="s">
        <v>247</v>
      </c>
      <c r="BK29" s="4" t="s">
        <v>248</v>
      </c>
      <c r="BL29" s="4" t="s">
        <v>248</v>
      </c>
      <c r="BM29" s="4" t="s">
        <v>249</v>
      </c>
      <c r="BN29" s="4" t="s">
        <v>237</v>
      </c>
      <c r="BO29" s="4" t="s">
        <v>237</v>
      </c>
      <c r="BP29" s="4" t="s">
        <v>249</v>
      </c>
      <c r="BQ29" s="4" t="s">
        <v>237</v>
      </c>
      <c r="BR29" s="4" t="s">
        <v>250</v>
      </c>
      <c r="BS29" s="4" t="s">
        <v>244</v>
      </c>
      <c r="BT29" s="4" t="s">
        <v>249</v>
      </c>
      <c r="BU29" s="4" t="s">
        <v>251</v>
      </c>
      <c r="BV29" s="4" t="s">
        <v>237</v>
      </c>
      <c r="BW29" s="4" t="s">
        <v>237</v>
      </c>
      <c r="BX29" s="4" t="s">
        <v>237</v>
      </c>
      <c r="BY29" s="4" t="s">
        <v>244</v>
      </c>
      <c r="BZ29" s="4" t="s">
        <v>252</v>
      </c>
      <c r="CA29" s="4" t="s">
        <v>253</v>
      </c>
      <c r="CB29" s="4" t="s">
        <v>252</v>
      </c>
      <c r="CC29" s="4" t="s">
        <v>237</v>
      </c>
      <c r="CD29" s="4" t="s">
        <v>254</v>
      </c>
      <c r="CE29" s="4" t="s">
        <v>237</v>
      </c>
      <c r="CF29" s="4" t="s">
        <v>255</v>
      </c>
      <c r="CG29" s="4" t="s">
        <v>237</v>
      </c>
      <c r="CH29" s="4" t="s">
        <v>255</v>
      </c>
      <c r="CI29" s="4" t="s">
        <v>244</v>
      </c>
      <c r="CJ29" s="4" t="s">
        <v>237</v>
      </c>
      <c r="CK29" s="4" t="s">
        <v>244</v>
      </c>
      <c r="CL29" s="4" t="s">
        <v>237</v>
      </c>
      <c r="CM29" s="4" t="s">
        <v>237</v>
      </c>
      <c r="CN29" s="4" t="s">
        <v>244</v>
      </c>
      <c r="CO29" s="4" t="s">
        <v>237</v>
      </c>
      <c r="CP29" s="4" t="s">
        <v>246</v>
      </c>
      <c r="CQ29" s="4" t="s">
        <v>189</v>
      </c>
      <c r="CR29" s="4" t="s">
        <v>237</v>
      </c>
      <c r="CS29" s="4" t="s">
        <v>237</v>
      </c>
      <c r="CT29" s="4" t="s">
        <v>189</v>
      </c>
      <c r="CU29" s="4" t="s">
        <v>237</v>
      </c>
      <c r="CV29" s="4" t="s">
        <v>246</v>
      </c>
      <c r="CW29" s="4" t="s">
        <v>237</v>
      </c>
      <c r="CX29" s="4" t="s">
        <v>189</v>
      </c>
      <c r="CY29" s="4" t="s">
        <v>237</v>
      </c>
      <c r="CZ29" s="4" t="s">
        <v>246</v>
      </c>
      <c r="DA29" s="4" t="s">
        <v>256</v>
      </c>
      <c r="DB29" s="4" t="s">
        <v>246</v>
      </c>
      <c r="DC29" s="4" t="s">
        <v>237</v>
      </c>
      <c r="DD29" s="4" t="s">
        <v>246</v>
      </c>
      <c r="DE29" s="4" t="s">
        <v>256</v>
      </c>
      <c r="DF29" s="4" t="s">
        <v>170</v>
      </c>
      <c r="DG29" s="4" t="s">
        <v>170</v>
      </c>
      <c r="DH29" s="4" t="s">
        <v>244</v>
      </c>
      <c r="DI29" s="4" t="s">
        <v>257</v>
      </c>
      <c r="DJ29" s="4" t="s">
        <v>170</v>
      </c>
      <c r="DK29" s="4" t="s">
        <v>237</v>
      </c>
      <c r="DL29" s="4" t="s">
        <v>237</v>
      </c>
      <c r="DM29" s="4" t="s">
        <v>237</v>
      </c>
      <c r="DN29" s="4" t="s">
        <v>237</v>
      </c>
      <c r="DO29" s="4" t="s">
        <v>258</v>
      </c>
      <c r="DP29" s="4" t="s">
        <v>237</v>
      </c>
      <c r="DQ29" s="4" t="s">
        <v>237</v>
      </c>
      <c r="DR29" s="4" t="s">
        <v>246</v>
      </c>
      <c r="DS29" s="4" t="s">
        <v>255</v>
      </c>
      <c r="DT29" s="4" t="s">
        <v>255</v>
      </c>
      <c r="DU29" s="4" t="s">
        <v>255</v>
      </c>
      <c r="DV29" s="4" t="s">
        <v>237</v>
      </c>
      <c r="DW29" s="4" t="s">
        <v>237</v>
      </c>
      <c r="DX29" s="4" t="s">
        <v>255</v>
      </c>
      <c r="DY29" s="4" t="s">
        <v>237</v>
      </c>
      <c r="DZ29" s="4" t="s">
        <v>237</v>
      </c>
      <c r="EA29" s="4" t="s">
        <v>259</v>
      </c>
      <c r="EB29" s="4" t="s">
        <v>237</v>
      </c>
      <c r="EC29" s="4" t="s">
        <v>237</v>
      </c>
      <c r="ED29" s="4" t="s">
        <v>237</v>
      </c>
      <c r="EE29" s="4" t="s">
        <v>237</v>
      </c>
      <c r="EF29" s="4" t="s">
        <v>237</v>
      </c>
      <c r="EG29" s="4" t="s">
        <v>237</v>
      </c>
      <c r="EH29" s="4" t="s">
        <v>237</v>
      </c>
      <c r="EI29" s="4" t="s">
        <v>260</v>
      </c>
      <c r="EJ29" s="4" t="s">
        <v>255</v>
      </c>
      <c r="EK29" s="4" t="s">
        <v>255</v>
      </c>
      <c r="EL29" s="4" t="s">
        <v>237</v>
      </c>
      <c r="EM29" t="s">
        <v>261</v>
      </c>
    </row>
    <row r="30" spans="1:145" x14ac:dyDescent="0.3">
      <c r="B30" s="19" t="s">
        <v>196</v>
      </c>
      <c r="C30" s="4" t="s">
        <v>198</v>
      </c>
      <c r="D30" s="4" t="s">
        <v>262</v>
      </c>
      <c r="E30" s="4" t="s">
        <v>263</v>
      </c>
      <c r="F30" s="4" t="s">
        <v>263</v>
      </c>
      <c r="G30" s="4" t="s">
        <v>263</v>
      </c>
      <c r="H30" s="4" t="s">
        <v>263</v>
      </c>
      <c r="I30" s="4" t="s">
        <v>264</v>
      </c>
      <c r="J30" s="4" t="s">
        <v>264</v>
      </c>
      <c r="K30" s="4" t="s">
        <v>264</v>
      </c>
      <c r="L30" s="4" t="s">
        <v>265</v>
      </c>
      <c r="M30" s="4" t="s">
        <v>263</v>
      </c>
      <c r="N30" s="4" t="s">
        <v>263</v>
      </c>
      <c r="O30" s="4" t="s">
        <v>263</v>
      </c>
      <c r="P30" s="4" t="s">
        <v>263</v>
      </c>
      <c r="Q30" s="4" t="s">
        <v>263</v>
      </c>
      <c r="R30" s="4" t="s">
        <v>266</v>
      </c>
      <c r="S30" s="4" t="s">
        <v>265</v>
      </c>
      <c r="T30" s="4" t="s">
        <v>265</v>
      </c>
      <c r="U30" s="4" t="s">
        <v>263</v>
      </c>
      <c r="V30" s="4" t="s">
        <v>265</v>
      </c>
      <c r="W30" s="4" t="s">
        <v>265</v>
      </c>
      <c r="X30" s="4" t="s">
        <v>263</v>
      </c>
      <c r="Y30" s="4" t="s">
        <v>267</v>
      </c>
      <c r="Z30" s="4" t="s">
        <v>263</v>
      </c>
      <c r="AA30" s="4" t="s">
        <v>265</v>
      </c>
      <c r="AB30" s="4" t="s">
        <v>263</v>
      </c>
      <c r="AC30" s="4" t="s">
        <v>263</v>
      </c>
      <c r="AD30" s="4" t="s">
        <v>267</v>
      </c>
      <c r="AE30" s="4" t="s">
        <v>267</v>
      </c>
      <c r="AF30" s="4" t="s">
        <v>265</v>
      </c>
      <c r="AG30" s="4" t="s">
        <v>263</v>
      </c>
      <c r="AH30" s="4" t="s">
        <v>268</v>
      </c>
      <c r="AI30" s="4" t="s">
        <v>263</v>
      </c>
      <c r="AJ30" s="4" t="s">
        <v>263</v>
      </c>
      <c r="AK30" s="4" t="s">
        <v>265</v>
      </c>
      <c r="AL30" s="4" t="s">
        <v>269</v>
      </c>
      <c r="AM30" s="4" t="s">
        <v>263</v>
      </c>
      <c r="AN30" s="4" t="s">
        <v>263</v>
      </c>
      <c r="AO30" s="4" t="s">
        <v>263</v>
      </c>
      <c r="AP30" s="4" t="s">
        <v>265</v>
      </c>
      <c r="AQ30" s="4" t="s">
        <v>265</v>
      </c>
      <c r="AR30" s="4" t="s">
        <v>265</v>
      </c>
      <c r="AS30" s="4" t="s">
        <v>263</v>
      </c>
      <c r="AT30" s="4" t="s">
        <v>263</v>
      </c>
      <c r="AU30" s="4" t="s">
        <v>263</v>
      </c>
      <c r="AV30" s="4" t="s">
        <v>263</v>
      </c>
      <c r="AW30" s="4" t="s">
        <v>270</v>
      </c>
      <c r="AX30" s="4" t="s">
        <v>263</v>
      </c>
      <c r="AY30" s="4" t="s">
        <v>263</v>
      </c>
      <c r="AZ30" s="4" t="s">
        <v>215</v>
      </c>
      <c r="BA30" s="4" t="s">
        <v>271</v>
      </c>
      <c r="BB30" s="4" t="s">
        <v>270</v>
      </c>
      <c r="BC30" s="4" t="s">
        <v>263</v>
      </c>
      <c r="BD30" s="4" t="s">
        <v>272</v>
      </c>
      <c r="BE30" s="4" t="s">
        <v>263</v>
      </c>
      <c r="BF30" s="4" t="s">
        <v>263</v>
      </c>
      <c r="BG30" s="4" t="s">
        <v>263</v>
      </c>
      <c r="BH30" s="4" t="s">
        <v>263</v>
      </c>
      <c r="BI30" s="4" t="s">
        <v>272</v>
      </c>
      <c r="BJ30" s="4" t="s">
        <v>273</v>
      </c>
      <c r="BK30" s="4" t="s">
        <v>274</v>
      </c>
      <c r="BL30" s="4" t="s">
        <v>274</v>
      </c>
      <c r="BM30" s="4" t="s">
        <v>275</v>
      </c>
      <c r="BN30" s="4" t="s">
        <v>263</v>
      </c>
      <c r="BO30" s="4" t="s">
        <v>263</v>
      </c>
      <c r="BP30" s="4" t="s">
        <v>275</v>
      </c>
      <c r="BQ30" s="4" t="s">
        <v>263</v>
      </c>
      <c r="BR30" s="4" t="s">
        <v>276</v>
      </c>
      <c r="BS30" s="4" t="s">
        <v>270</v>
      </c>
      <c r="BT30" s="4" t="s">
        <v>275</v>
      </c>
      <c r="BU30" s="4" t="s">
        <v>277</v>
      </c>
      <c r="BV30" s="4" t="s">
        <v>263</v>
      </c>
      <c r="BW30" s="4" t="s">
        <v>263</v>
      </c>
      <c r="BX30" s="4" t="s">
        <v>263</v>
      </c>
      <c r="BY30" s="4" t="s">
        <v>270</v>
      </c>
      <c r="BZ30" s="4" t="s">
        <v>278</v>
      </c>
      <c r="CA30" s="4" t="s">
        <v>279</v>
      </c>
      <c r="CB30" s="4" t="s">
        <v>278</v>
      </c>
      <c r="CC30" s="4" t="s">
        <v>263</v>
      </c>
      <c r="CD30" s="4" t="s">
        <v>280</v>
      </c>
      <c r="CE30" s="4" t="s">
        <v>263</v>
      </c>
      <c r="CF30" s="4" t="s">
        <v>281</v>
      </c>
      <c r="CG30" s="4" t="s">
        <v>263</v>
      </c>
      <c r="CH30" s="4" t="s">
        <v>281</v>
      </c>
      <c r="CI30" s="4" t="s">
        <v>270</v>
      </c>
      <c r="CJ30" s="4" t="s">
        <v>263</v>
      </c>
      <c r="CK30" s="4" t="s">
        <v>270</v>
      </c>
      <c r="CL30" s="4" t="s">
        <v>263</v>
      </c>
      <c r="CM30" s="4" t="s">
        <v>263</v>
      </c>
      <c r="CN30" s="4" t="s">
        <v>270</v>
      </c>
      <c r="CO30" s="4" t="s">
        <v>263</v>
      </c>
      <c r="CP30" s="4" t="s">
        <v>272</v>
      </c>
      <c r="CQ30" s="4" t="s">
        <v>228</v>
      </c>
      <c r="CR30" s="4" t="s">
        <v>263</v>
      </c>
      <c r="CS30" s="4" t="s">
        <v>263</v>
      </c>
      <c r="CT30" s="4" t="s">
        <v>228</v>
      </c>
      <c r="CU30" s="4" t="s">
        <v>263</v>
      </c>
      <c r="CV30" s="4" t="s">
        <v>272</v>
      </c>
      <c r="CW30" s="4" t="s">
        <v>263</v>
      </c>
      <c r="CX30" s="4" t="s">
        <v>228</v>
      </c>
      <c r="CY30" s="4" t="s">
        <v>263</v>
      </c>
      <c r="CZ30" s="4" t="s">
        <v>272</v>
      </c>
      <c r="DA30" s="4" t="s">
        <v>282</v>
      </c>
      <c r="DB30" s="4" t="s">
        <v>272</v>
      </c>
      <c r="DC30" s="4" t="s">
        <v>263</v>
      </c>
      <c r="DD30" s="4" t="s">
        <v>272</v>
      </c>
      <c r="DE30" s="4" t="s">
        <v>282</v>
      </c>
      <c r="DF30" s="4" t="s">
        <v>209</v>
      </c>
      <c r="DG30" s="4" t="s">
        <v>209</v>
      </c>
      <c r="DH30" s="4" t="s">
        <v>270</v>
      </c>
      <c r="DI30" s="4" t="s">
        <v>283</v>
      </c>
      <c r="DJ30" s="4" t="s">
        <v>209</v>
      </c>
      <c r="DK30" s="4" t="s">
        <v>263</v>
      </c>
      <c r="DL30" s="4" t="s">
        <v>263</v>
      </c>
      <c r="DM30" s="4" t="s">
        <v>263</v>
      </c>
      <c r="DN30" s="4" t="s">
        <v>263</v>
      </c>
      <c r="DO30" s="4" t="s">
        <v>284</v>
      </c>
      <c r="DP30" s="4" t="s">
        <v>263</v>
      </c>
      <c r="DQ30" s="4" t="s">
        <v>263</v>
      </c>
      <c r="DR30" s="4" t="s">
        <v>272</v>
      </c>
      <c r="DS30" s="4" t="s">
        <v>281</v>
      </c>
      <c r="DT30" s="4" t="s">
        <v>281</v>
      </c>
      <c r="DU30" s="4" t="s">
        <v>281</v>
      </c>
      <c r="DV30" s="4" t="s">
        <v>263</v>
      </c>
      <c r="DW30" s="4" t="s">
        <v>263</v>
      </c>
      <c r="DX30" s="4" t="s">
        <v>281</v>
      </c>
      <c r="DY30" s="4" t="s">
        <v>263</v>
      </c>
      <c r="DZ30" s="4" t="s">
        <v>263</v>
      </c>
      <c r="EA30" s="4" t="s">
        <v>285</v>
      </c>
      <c r="EB30" s="4" t="s">
        <v>263</v>
      </c>
      <c r="EC30" s="4" t="s">
        <v>263</v>
      </c>
      <c r="ED30" s="4" t="s">
        <v>263</v>
      </c>
      <c r="EE30" s="4" t="s">
        <v>263</v>
      </c>
      <c r="EF30" s="4" t="s">
        <v>263</v>
      </c>
      <c r="EG30" s="4" t="s">
        <v>263</v>
      </c>
      <c r="EH30" s="4" t="s">
        <v>263</v>
      </c>
      <c r="EI30" s="4" t="s">
        <v>286</v>
      </c>
      <c r="EJ30" s="4" t="s">
        <v>281</v>
      </c>
      <c r="EK30" s="4" t="s">
        <v>281</v>
      </c>
      <c r="EL30" s="4" t="s">
        <v>263</v>
      </c>
      <c r="EM30" t="s">
        <v>287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6">
      <formula>EN12&lt;$EN$25</formula>
    </cfRule>
  </conditionalFormatting>
  <conditionalFormatting sqref="EO12:EO24">
    <cfRule type="expression" dxfId="4" priority="5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1" zoomScale="130" zoomScaleNormal="130" workbookViewId="0">
      <selection activeCell="EL7" sqref="EL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2" t="s">
        <v>147</v>
      </c>
      <c r="B10" s="23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288</v>
      </c>
      <c r="EN11" s="6" t="s">
        <v>289</v>
      </c>
    </row>
    <row r="12" spans="1:144" x14ac:dyDescent="0.3">
      <c r="A12" s="20">
        <v>10</v>
      </c>
      <c r="B12" s="20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0</v>
      </c>
      <c r="I12" s="10">
        <f>IF(預測IC!I12&gt;預測IC!I$25,1,0)</f>
        <v>1</v>
      </c>
      <c r="J12" s="10">
        <f>IF(預測IC!J12&gt;預測IC!J$25,1,0)</f>
        <v>0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0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0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0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0</v>
      </c>
      <c r="Y12" s="10">
        <f>IF(預測IC!Y12&gt;預測IC!Y$25,1,0)</f>
        <v>1</v>
      </c>
      <c r="Z12" s="10">
        <f>IF(預測IC!Z12&gt;預測IC!Z$25,1,0)</f>
        <v>1</v>
      </c>
      <c r="AA12" s="10">
        <f>IF(預測IC!AA12&gt;預測IC!AA$25,1,0)</f>
        <v>0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0</v>
      </c>
      <c r="AG12" s="10">
        <f>IF(預測IC!AG12&gt;預測IC!AG$25,1,0)</f>
        <v>0</v>
      </c>
      <c r="AH12" s="10">
        <f>IF(預測IC!AH12&gt;預測IC!AH$25,1,0)</f>
        <v>0</v>
      </c>
      <c r="AI12" s="10">
        <f>IF(預測IC!AI12&gt;預測IC!AI$25,1,0)</f>
        <v>0</v>
      </c>
      <c r="AJ12" s="10">
        <f>IF(預測IC!AJ12&gt;預測IC!AJ$25,1,0)</f>
        <v>0</v>
      </c>
      <c r="AK12" s="10">
        <f>IF(預測IC!AK12&gt;預測IC!AK$25,1,0)</f>
        <v>0</v>
      </c>
      <c r="AL12" s="10">
        <f>IF(預測IC!AL12&gt;預測IC!AL$25,1,0)</f>
        <v>1</v>
      </c>
      <c r="AM12" s="10">
        <f>IF(預測IC!AM12&gt;預測IC!AM$25,1,0)</f>
        <v>0</v>
      </c>
      <c r="AN12" s="10">
        <f>IF(預測IC!AN12&gt;預測IC!AN$25,1,0)</f>
        <v>0</v>
      </c>
      <c r="AO12" s="10">
        <f>IF(預測IC!AO12&gt;預測IC!AO$25,1,0)</f>
        <v>1</v>
      </c>
      <c r="AP12" s="10">
        <f>IF(預測IC!AP12&gt;預測IC!AP$25,1,0)</f>
        <v>1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0</v>
      </c>
      <c r="AT12" s="10">
        <f>IF(預測IC!AT12&gt;預測IC!AT$25,1,0)</f>
        <v>0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1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1</v>
      </c>
      <c r="BF12" s="10">
        <f>IF(預測IC!BF12&gt;預測IC!BF$25,1,0)</f>
        <v>0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0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1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0</v>
      </c>
      <c r="CM12" s="10">
        <f>IF(預測IC!CM12&gt;預測IC!CM$25,1,0)</f>
        <v>1</v>
      </c>
      <c r="CN12" s="10">
        <f>IF(預測IC!CN12&gt;預測IC!CN$25,1,0)</f>
        <v>0</v>
      </c>
      <c r="CO12" s="10">
        <f>IF(預測IC!CO12&gt;預測IC!CO$25,1,0)</f>
        <v>0</v>
      </c>
      <c r="CP12" s="10">
        <f>IF(預測IC!CP12&gt;預測IC!CP$25,1,0)</f>
        <v>1</v>
      </c>
      <c r="CQ12" s="10">
        <f>IF(預測IC!CQ12&gt;預測IC!CQ$25,1,0)</f>
        <v>0</v>
      </c>
      <c r="CR12" s="10">
        <f>IF(預測IC!CR12&gt;預測IC!CR$25,1,0)</f>
        <v>1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1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0</v>
      </c>
      <c r="DB12" s="10">
        <f>IF(預測IC!DB12&gt;預測IC!DB$25,1,0)</f>
        <v>0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0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1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1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0</v>
      </c>
      <c r="EA12" s="10">
        <f>IF(預測IC!EA12&gt;預測IC!EA$25,1,0)</f>
        <v>0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1</v>
      </c>
      <c r="EF12" s="10">
        <f>IF(預測IC!EF12&gt;預測IC!EF$25,1,0)</f>
        <v>0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59</v>
      </c>
      <c r="EN12" s="21">
        <f t="shared" ref="EN12:EN24" si="12">EM12/140</f>
        <v>0.42142857142857143</v>
      </c>
    </row>
    <row r="13" spans="1:144" x14ac:dyDescent="0.3">
      <c r="A13" s="20">
        <v>20</v>
      </c>
      <c r="B13" s="20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0</v>
      </c>
      <c r="J13" s="10">
        <f>IF(預測IC!J13&gt;預測IC!J$25,1,0)</f>
        <v>0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0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0</v>
      </c>
      <c r="R13" s="10">
        <f>IF(預測IC!R13&gt;預測IC!R$25,1,0)</f>
        <v>0</v>
      </c>
      <c r="S13" s="10">
        <f>IF(預測IC!S13&gt;預測IC!S$25,1,0)</f>
        <v>0</v>
      </c>
      <c r="T13" s="10">
        <f>IF(預測IC!T13&gt;預測IC!T$25,1,0)</f>
        <v>0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0</v>
      </c>
      <c r="Y13" s="10">
        <f>IF(預測IC!Y13&gt;預測IC!Y$25,1,0)</f>
        <v>1</v>
      </c>
      <c r="Z13" s="10">
        <f>IF(預測IC!Z13&gt;預測IC!Z$25,1,0)</f>
        <v>1</v>
      </c>
      <c r="AA13" s="10">
        <f>IF(預測IC!AA13&gt;預測IC!AA$25,1,0)</f>
        <v>0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0</v>
      </c>
      <c r="AG13" s="10">
        <f>IF(預測IC!AG13&gt;預測IC!AG$25,1,0)</f>
        <v>0</v>
      </c>
      <c r="AH13" s="10">
        <f>IF(預測IC!AH13&gt;預測IC!AH$25,1,0)</f>
        <v>1</v>
      </c>
      <c r="AI13" s="10">
        <f>IF(預測IC!AI13&gt;預測IC!AI$25,1,0)</f>
        <v>0</v>
      </c>
      <c r="AJ13" s="10">
        <f>IF(預測IC!AJ13&gt;預測IC!AJ$25,1,0)</f>
        <v>0</v>
      </c>
      <c r="AK13" s="10">
        <f>IF(預測IC!AK13&gt;預測IC!AK$25,1,0)</f>
        <v>0</v>
      </c>
      <c r="AL13" s="10">
        <f>IF(預測IC!AL13&gt;預測IC!AL$25,1,0)</f>
        <v>1</v>
      </c>
      <c r="AM13" s="10">
        <f>IF(預測IC!AM13&gt;預測IC!AM$25,1,0)</f>
        <v>0</v>
      </c>
      <c r="AN13" s="10">
        <f>IF(預測IC!AN13&gt;預測IC!AN$25,1,0)</f>
        <v>0</v>
      </c>
      <c r="AO13" s="10">
        <f>IF(預測IC!AO13&gt;預測IC!AO$25,1,0)</f>
        <v>1</v>
      </c>
      <c r="AP13" s="10">
        <f>IF(預測IC!AP13&gt;預測IC!AP$25,1,0)</f>
        <v>1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0</v>
      </c>
      <c r="AT13" s="10">
        <f>IF(預測IC!AT13&gt;預測IC!AT$25,1,0)</f>
        <v>0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0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1</v>
      </c>
      <c r="BF13" s="10">
        <f>IF(預測IC!BF13&gt;預測IC!BF$25,1,0)</f>
        <v>0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0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0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1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1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0</v>
      </c>
      <c r="CM13" s="10">
        <f>IF(預測IC!CM13&gt;預測IC!CM$25,1,0)</f>
        <v>1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1</v>
      </c>
      <c r="CQ13" s="10">
        <f>IF(預測IC!CQ13&gt;預測IC!CQ$25,1,0)</f>
        <v>0</v>
      </c>
      <c r="CR13" s="10">
        <f>IF(預測IC!CR13&gt;預測IC!CR$25,1,0)</f>
        <v>1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0</v>
      </c>
      <c r="CV13" s="10">
        <f>IF(預測IC!CV13&gt;預測IC!CV$25,1,0)</f>
        <v>1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0</v>
      </c>
      <c r="DB13" s="10">
        <f>IF(預測IC!DB13&gt;預測IC!DB$25,1,0)</f>
        <v>0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0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0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1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1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1</v>
      </c>
      <c r="EA13" s="10">
        <f>IF(預測IC!EA13&gt;預測IC!EA$25,1,0)</f>
        <v>0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1</v>
      </c>
      <c r="EF13" s="10">
        <f>IF(預測IC!EF13&gt;預測IC!EF$25,1,0)</f>
        <v>0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1</v>
      </c>
      <c r="EM13" s="6">
        <f t="shared" si="11"/>
        <v>60</v>
      </c>
      <c r="EN13" s="21">
        <f t="shared" si="12"/>
        <v>0.42857142857142855</v>
      </c>
    </row>
    <row r="14" spans="1:144" x14ac:dyDescent="0.3">
      <c r="A14" s="20">
        <v>50</v>
      </c>
      <c r="B14" s="20">
        <f t="shared" si="10"/>
        <v>21</v>
      </c>
      <c r="C14" s="10">
        <f>IF(預測IC!C14&gt;預測IC!C$25,1,0)</f>
        <v>1</v>
      </c>
      <c r="D14" s="10">
        <f>IF(預測IC!D14&gt;預測IC!D$25,1,0)</f>
        <v>1</v>
      </c>
      <c r="E14" s="10">
        <f>IF(預測IC!E14&gt;預測IC!E$25,1,0)</f>
        <v>1</v>
      </c>
      <c r="F14" s="10">
        <f>IF(預測IC!F14&gt;預測IC!F$25,1,0)</f>
        <v>0</v>
      </c>
      <c r="G14" s="10">
        <f>IF(預測IC!G14&gt;預測IC!G$25,1,0)</f>
        <v>0</v>
      </c>
      <c r="H14" s="10">
        <f>IF(預測IC!H14&gt;預測IC!H$25,1,0)</f>
        <v>0</v>
      </c>
      <c r="I14" s="10">
        <f>IF(預測IC!I14&gt;預測IC!I$25,1,0)</f>
        <v>0</v>
      </c>
      <c r="J14" s="10">
        <f>IF(預測IC!J14&gt;預測IC!J$25,1,0)</f>
        <v>1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0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0</v>
      </c>
      <c r="R14" s="10">
        <f>IF(預測IC!R14&gt;預測IC!R$25,1,0)</f>
        <v>0</v>
      </c>
      <c r="S14" s="10">
        <f>IF(預測IC!S14&gt;預測IC!S$25,1,0)</f>
        <v>0</v>
      </c>
      <c r="T14" s="10">
        <f>IF(預測IC!T14&gt;預測IC!T$25,1,0)</f>
        <v>0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1</v>
      </c>
      <c r="X14" s="10">
        <f>IF(預測IC!X14&gt;預測IC!X$25,1,0)</f>
        <v>1</v>
      </c>
      <c r="Y14" s="10">
        <f>IF(預測IC!Y14&gt;預測IC!Y$25,1,0)</f>
        <v>1</v>
      </c>
      <c r="Z14" s="10">
        <f>IF(預測IC!Z14&gt;預測IC!Z$25,1,0)</f>
        <v>1</v>
      </c>
      <c r="AA14" s="10">
        <f>IF(預測IC!AA14&gt;預測IC!AA$25,1,0)</f>
        <v>0</v>
      </c>
      <c r="AB14" s="10">
        <f>IF(預測IC!AB14&gt;預測IC!AB$25,1,0)</f>
        <v>1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0</v>
      </c>
      <c r="AJ14" s="10">
        <f>IF(預測IC!AJ14&gt;預測IC!AJ$25,1,0)</f>
        <v>0</v>
      </c>
      <c r="AK14" s="10">
        <f>IF(預測IC!AK14&gt;預測IC!AK$25,1,0)</f>
        <v>0</v>
      </c>
      <c r="AL14" s="10">
        <f>IF(預測IC!AL14&gt;預測IC!AL$25,1,0)</f>
        <v>1</v>
      </c>
      <c r="AM14" s="10">
        <f>IF(預測IC!AM14&gt;預測IC!AM$25,1,0)</f>
        <v>0</v>
      </c>
      <c r="AN14" s="10">
        <f>IF(預測IC!AN14&gt;預測IC!AN$25,1,0)</f>
        <v>0</v>
      </c>
      <c r="AO14" s="10">
        <f>IF(預測IC!AO14&gt;預測IC!AO$25,1,0)</f>
        <v>0</v>
      </c>
      <c r="AP14" s="10">
        <f>IF(預測IC!AP14&gt;預測IC!AP$25,1,0)</f>
        <v>1</v>
      </c>
      <c r="AQ14" s="10">
        <f>IF(預測IC!AQ14&gt;預測IC!AQ$25,1,0)</f>
        <v>1</v>
      </c>
      <c r="AR14" s="10">
        <f>IF(預測IC!AR14&gt;預測IC!AR$25,1,0)</f>
        <v>1</v>
      </c>
      <c r="AS14" s="10">
        <f>IF(預測IC!AS14&gt;預測IC!AS$25,1,0)</f>
        <v>0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0</v>
      </c>
      <c r="AX14" s="10">
        <f>IF(預測IC!AX14&gt;預測IC!AX$25,1,0)</f>
        <v>1</v>
      </c>
      <c r="AY14" s="10">
        <f>IF(預測IC!AY14&gt;預測IC!AY$25,1,0)</f>
        <v>1</v>
      </c>
      <c r="AZ14" s="10">
        <f>IF(預測IC!AZ14&gt;預測IC!AZ$25,1,0)</f>
        <v>0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0</v>
      </c>
      <c r="BD14" s="10">
        <f>IF(預測IC!BD14&gt;預測IC!BD$25,1,0)</f>
        <v>1</v>
      </c>
      <c r="BE14" s="10">
        <f>IF(預測IC!BE14&gt;預測IC!BE$25,1,0)</f>
        <v>1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0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0</v>
      </c>
      <c r="BS14" s="10">
        <f>IF(預測IC!BS14&gt;預測IC!BS$25,1,0)</f>
        <v>1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0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0</v>
      </c>
      <c r="CC14" s="10">
        <f>IF(預測IC!CC14&gt;預測IC!CC$25,1,0)</f>
        <v>1</v>
      </c>
      <c r="CD14" s="10">
        <f>IF(預測IC!CD14&gt;預測IC!CD$25,1,0)</f>
        <v>0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1</v>
      </c>
      <c r="CJ14" s="10">
        <f>IF(預測IC!CJ14&gt;預測IC!CJ$25,1,0)</f>
        <v>1</v>
      </c>
      <c r="CK14" s="10">
        <f>IF(預測IC!CK14&gt;預測IC!CK$25,1,0)</f>
        <v>0</v>
      </c>
      <c r="CL14" s="10">
        <f>IF(預測IC!CL14&gt;預測IC!CL$25,1,0)</f>
        <v>0</v>
      </c>
      <c r="CM14" s="10">
        <f>IF(預測IC!CM14&gt;預測IC!CM$25,1,0)</f>
        <v>1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1</v>
      </c>
      <c r="CS14" s="10">
        <f>IF(預測IC!CS14&gt;預測IC!CS$25,1,0)</f>
        <v>0</v>
      </c>
      <c r="CT14" s="10">
        <f>IF(預測IC!CT14&gt;預測IC!CT$25,1,0)</f>
        <v>0</v>
      </c>
      <c r="CU14" s="10">
        <f>IF(預測IC!CU14&gt;預測IC!CU$25,1,0)</f>
        <v>0</v>
      </c>
      <c r="CV14" s="10">
        <f>IF(預測IC!CV14&gt;預測IC!CV$25,1,0)</f>
        <v>1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0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0</v>
      </c>
      <c r="DG14" s="10">
        <f>IF(預測IC!DG14&gt;預測IC!DG$25,1,0)</f>
        <v>0</v>
      </c>
      <c r="DH14" s="10">
        <f>IF(預測IC!DH14&gt;預測IC!DH$25,1,0)</f>
        <v>0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0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1</v>
      </c>
      <c r="DS14" s="10">
        <f>IF(預測IC!DS14&gt;預測IC!DS$25,1,0)</f>
        <v>1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1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1</v>
      </c>
      <c r="EA14" s="10">
        <f>IF(預測IC!EA14&gt;預測IC!EA$25,1,0)</f>
        <v>0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0</v>
      </c>
      <c r="EG14" s="10">
        <f>IF(預測IC!EG14&gt;預測IC!EG$25,1,0)</f>
        <v>1</v>
      </c>
      <c r="EH14" s="10">
        <f>IF(預測IC!EH14&gt;預測IC!EH$25,1,0)</f>
        <v>0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1</v>
      </c>
      <c r="EM14" s="6">
        <f t="shared" si="11"/>
        <v>65</v>
      </c>
      <c r="EN14" s="21">
        <f t="shared" si="12"/>
        <v>0.4642857142857143</v>
      </c>
    </row>
    <row r="15" spans="1:144" x14ac:dyDescent="0.3">
      <c r="A15" s="20">
        <v>110</v>
      </c>
      <c r="B15" s="20">
        <f t="shared" si="10"/>
        <v>10</v>
      </c>
      <c r="C15" s="10">
        <f>IF(預測IC!C15&gt;預測IC!C$25,1,0)</f>
        <v>1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0</v>
      </c>
      <c r="H15" s="10">
        <f>IF(預測IC!H15&gt;預測IC!H$25,1,0)</f>
        <v>0</v>
      </c>
      <c r="I15" s="10">
        <f>IF(預測IC!I15&gt;預測IC!I$25,1,0)</f>
        <v>0</v>
      </c>
      <c r="J15" s="10">
        <f>IF(預測IC!J15&gt;預測IC!J$25,1,0)</f>
        <v>1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0</v>
      </c>
      <c r="N15" s="10">
        <f>IF(預測IC!N15&gt;預測IC!N$25,1,0)</f>
        <v>0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0</v>
      </c>
      <c r="R15" s="10">
        <f>IF(預測IC!R15&gt;預測IC!R$25,1,0)</f>
        <v>0</v>
      </c>
      <c r="S15" s="10">
        <f>IF(預測IC!S15&gt;預測IC!S$25,1,0)</f>
        <v>0</v>
      </c>
      <c r="T15" s="10">
        <f>IF(預測IC!T15&gt;預測IC!T$25,1,0)</f>
        <v>1</v>
      </c>
      <c r="U15" s="10">
        <f>IF(預測IC!U15&gt;預測IC!U$25,1,0)</f>
        <v>0</v>
      </c>
      <c r="V15" s="10">
        <f>IF(預測IC!V15&gt;預測IC!V$25,1,0)</f>
        <v>1</v>
      </c>
      <c r="W15" s="10">
        <f>IF(預測IC!W15&gt;預測IC!W$25,1,0)</f>
        <v>1</v>
      </c>
      <c r="X15" s="10">
        <f>IF(預測IC!X15&gt;預測IC!X$25,1,0)</f>
        <v>1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0</v>
      </c>
      <c r="AB15" s="10">
        <f>IF(預測IC!AB15&gt;預測IC!AB$25,1,0)</f>
        <v>1</v>
      </c>
      <c r="AC15" s="10">
        <f>IF(預測IC!AC15&gt;預測IC!AC$25,1,0)</f>
        <v>0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1</v>
      </c>
      <c r="AI15" s="10">
        <f>IF(預測IC!AI15&gt;預測IC!AI$25,1,0)</f>
        <v>0</v>
      </c>
      <c r="AJ15" s="10">
        <f>IF(預測IC!AJ15&gt;預測IC!AJ$25,1,0)</f>
        <v>0</v>
      </c>
      <c r="AK15" s="10">
        <f>IF(預測IC!AK15&gt;預測IC!AK$25,1,0)</f>
        <v>0</v>
      </c>
      <c r="AL15" s="10">
        <f>IF(預測IC!AL15&gt;預測IC!AL$25,1,0)</f>
        <v>1</v>
      </c>
      <c r="AM15" s="10">
        <f>IF(預測IC!AM15&gt;預測IC!AM$25,1,0)</f>
        <v>0</v>
      </c>
      <c r="AN15" s="10">
        <f>IF(預測IC!AN15&gt;預測IC!AN$25,1,0)</f>
        <v>0</v>
      </c>
      <c r="AO15" s="10">
        <f>IF(預測IC!AO15&gt;預測IC!AO$25,1,0)</f>
        <v>1</v>
      </c>
      <c r="AP15" s="10">
        <f>IF(預測IC!AP15&gt;預測IC!AP$25,1,0)</f>
        <v>1</v>
      </c>
      <c r="AQ15" s="10">
        <f>IF(預測IC!AQ15&gt;預測IC!AQ$25,1,0)</f>
        <v>1</v>
      </c>
      <c r="AR15" s="10">
        <f>IF(預測IC!AR15&gt;預測IC!AR$25,1,0)</f>
        <v>1</v>
      </c>
      <c r="AS15" s="10">
        <f>IF(預測IC!AS15&gt;預測IC!AS$25,1,0)</f>
        <v>0</v>
      </c>
      <c r="AT15" s="10">
        <f>IF(預測IC!AT15&gt;預測IC!AT$25,1,0)</f>
        <v>0</v>
      </c>
      <c r="AU15" s="10">
        <f>IF(預測IC!AU15&gt;預測IC!AU$25,1,0)</f>
        <v>1</v>
      </c>
      <c r="AV15" s="10">
        <f>IF(預測IC!AV15&gt;預測IC!AV$25,1,0)</f>
        <v>1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0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1</v>
      </c>
      <c r="BE15" s="10">
        <f>IF(預測IC!BE15&gt;預測IC!BE$25,1,0)</f>
        <v>1</v>
      </c>
      <c r="BF15" s="10">
        <f>IF(預測IC!BF15&gt;預測IC!BF$25,1,0)</f>
        <v>0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0</v>
      </c>
      <c r="BO15" s="10">
        <f>IF(預測IC!BO15&gt;預測IC!BO$25,1,0)</f>
        <v>1</v>
      </c>
      <c r="BP15" s="10">
        <f>IF(預測IC!BP15&gt;預測IC!BP$25,1,0)</f>
        <v>0</v>
      </c>
      <c r="BQ15" s="10">
        <f>IF(預測IC!BQ15&gt;預測IC!BQ$25,1,0)</f>
        <v>0</v>
      </c>
      <c r="BR15" s="10">
        <f>IF(預測IC!BR15&gt;預測IC!BR$25,1,0)</f>
        <v>0</v>
      </c>
      <c r="BS15" s="10">
        <f>IF(預測IC!BS15&gt;預測IC!BS$25,1,0)</f>
        <v>1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0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1</v>
      </c>
      <c r="CB15" s="10">
        <f>IF(預測IC!CB15&gt;預測IC!CB$25,1,0)</f>
        <v>0</v>
      </c>
      <c r="CC15" s="10">
        <f>IF(預測IC!CC15&gt;預測IC!CC$25,1,0)</f>
        <v>1</v>
      </c>
      <c r="CD15" s="10">
        <f>IF(預測IC!CD15&gt;預測IC!CD$25,1,0)</f>
        <v>0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0</v>
      </c>
      <c r="CI15" s="10">
        <f>IF(預測IC!CI15&gt;預測IC!CI$25,1,0)</f>
        <v>1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1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0</v>
      </c>
      <c r="CV15" s="10">
        <f>IF(預測IC!CV15&gt;預測IC!CV$25,1,0)</f>
        <v>1</v>
      </c>
      <c r="CW15" s="10">
        <f>IF(預測IC!CW15&gt;預測IC!CW$25,1,0)</f>
        <v>0</v>
      </c>
      <c r="CX15" s="10">
        <f>IF(預測IC!CX15&gt;預測IC!CX$25,1,0)</f>
        <v>0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0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1</v>
      </c>
      <c r="DL15" s="10">
        <f>IF(預測IC!DL15&gt;預測IC!DL$25,1,0)</f>
        <v>0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1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0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1</v>
      </c>
      <c r="EA15" s="10">
        <f>IF(預測IC!EA15&gt;預測IC!EA$25,1,0)</f>
        <v>1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0</v>
      </c>
      <c r="EG15" s="10">
        <f>IF(預測IC!EG15&gt;預測IC!EG$25,1,0)</f>
        <v>1</v>
      </c>
      <c r="EH15" s="10">
        <f>IF(預測IC!EH15&gt;預測IC!EH$25,1,0)</f>
        <v>0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67</v>
      </c>
      <c r="EN15" s="21">
        <f t="shared" si="12"/>
        <v>0.47857142857142859</v>
      </c>
    </row>
    <row r="16" spans="1:144" x14ac:dyDescent="0.3">
      <c r="A16" s="20">
        <v>120</v>
      </c>
      <c r="B16" s="20">
        <f t="shared" si="10"/>
        <v>9</v>
      </c>
      <c r="C16" s="10">
        <f>IF(預測IC!C16&gt;預測IC!C$25,1,0)</f>
        <v>1</v>
      </c>
      <c r="D16" s="10">
        <f>IF(預測IC!D16&gt;預測IC!D$25,1,0)</f>
        <v>0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0</v>
      </c>
      <c r="H16" s="10">
        <f>IF(預測IC!H16&gt;預測IC!H$25,1,0)</f>
        <v>0</v>
      </c>
      <c r="I16" s="10">
        <f>IF(預測IC!I16&gt;預測IC!I$25,1,0)</f>
        <v>0</v>
      </c>
      <c r="J16" s="10">
        <f>IF(預測IC!J16&gt;預測IC!J$25,1,0)</f>
        <v>1</v>
      </c>
      <c r="K16" s="10">
        <f>IF(預測IC!K16&gt;預測IC!K$25,1,0)</f>
        <v>1</v>
      </c>
      <c r="L16" s="10">
        <f>IF(預測IC!L16&gt;預測IC!L$25,1,0)</f>
        <v>0</v>
      </c>
      <c r="M16" s="10">
        <f>IF(預測IC!M16&gt;預測IC!M$25,1,0)</f>
        <v>0</v>
      </c>
      <c r="N16" s="10">
        <f>IF(預測IC!N16&gt;預測IC!N$25,1,0)</f>
        <v>0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0</v>
      </c>
      <c r="R16" s="10">
        <f>IF(預測IC!R16&gt;預測IC!R$25,1,0)</f>
        <v>0</v>
      </c>
      <c r="S16" s="10">
        <f>IF(預測IC!S16&gt;預測IC!S$25,1,0)</f>
        <v>0</v>
      </c>
      <c r="T16" s="10">
        <f>IF(預測IC!T16&gt;預測IC!T$25,1,0)</f>
        <v>1</v>
      </c>
      <c r="U16" s="10">
        <f>IF(預測IC!U16&gt;預測IC!U$25,1,0)</f>
        <v>1</v>
      </c>
      <c r="V16" s="10">
        <f>IF(預測IC!V16&gt;預測IC!V$25,1,0)</f>
        <v>1</v>
      </c>
      <c r="W16" s="10">
        <f>IF(預測IC!W16&gt;預測IC!W$25,1,0)</f>
        <v>1</v>
      </c>
      <c r="X16" s="10">
        <f>IF(預測IC!X16&gt;預測IC!X$25,1,0)</f>
        <v>1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0</v>
      </c>
      <c r="AB16" s="10">
        <f>IF(預測IC!AB16&gt;預測IC!AB$25,1,0)</f>
        <v>1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0</v>
      </c>
      <c r="AJ16" s="10">
        <f>IF(預測IC!AJ16&gt;預測IC!AJ$25,1,0)</f>
        <v>1</v>
      </c>
      <c r="AK16" s="10">
        <f>IF(預測IC!AK16&gt;預測IC!AK$25,1,0)</f>
        <v>0</v>
      </c>
      <c r="AL16" s="10">
        <f>IF(預測IC!AL16&gt;預測IC!AL$25,1,0)</f>
        <v>1</v>
      </c>
      <c r="AM16" s="10">
        <f>IF(預測IC!AM16&gt;預測IC!AM$25,1,0)</f>
        <v>0</v>
      </c>
      <c r="AN16" s="10">
        <f>IF(預測IC!AN16&gt;預測IC!AN$25,1,0)</f>
        <v>0</v>
      </c>
      <c r="AO16" s="10">
        <f>IF(預測IC!AO16&gt;預測IC!AO$25,1,0)</f>
        <v>1</v>
      </c>
      <c r="AP16" s="10">
        <f>IF(預測IC!AP16&gt;預測IC!AP$25,1,0)</f>
        <v>1</v>
      </c>
      <c r="AQ16" s="10">
        <f>IF(預測IC!AQ16&gt;預測IC!AQ$25,1,0)</f>
        <v>1</v>
      </c>
      <c r="AR16" s="10">
        <f>IF(預測IC!AR16&gt;預測IC!AR$25,1,0)</f>
        <v>1</v>
      </c>
      <c r="AS16" s="10">
        <f>IF(預測IC!AS16&gt;預測IC!AS$25,1,0)</f>
        <v>0</v>
      </c>
      <c r="AT16" s="10">
        <f>IF(預測IC!AT16&gt;預測IC!AT$25,1,0)</f>
        <v>0</v>
      </c>
      <c r="AU16" s="10">
        <f>IF(預測IC!AU16&gt;預測IC!AU$25,1,0)</f>
        <v>1</v>
      </c>
      <c r="AV16" s="10">
        <f>IF(預測IC!AV16&gt;預測IC!AV$25,1,0)</f>
        <v>1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1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1</v>
      </c>
      <c r="BE16" s="10">
        <f>IF(預測IC!BE16&gt;預測IC!BE$25,1,0)</f>
        <v>1</v>
      </c>
      <c r="BF16" s="10">
        <f>IF(預測IC!BF16&gt;預測IC!BF$25,1,0)</f>
        <v>0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0</v>
      </c>
      <c r="BO16" s="10">
        <f>IF(預測IC!BO16&gt;預測IC!BO$25,1,0)</f>
        <v>1</v>
      </c>
      <c r="BP16" s="10">
        <f>IF(預測IC!BP16&gt;預測IC!BP$25,1,0)</f>
        <v>0</v>
      </c>
      <c r="BQ16" s="10">
        <f>IF(預測IC!BQ16&gt;預測IC!BQ$25,1,0)</f>
        <v>0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1</v>
      </c>
      <c r="BV16" s="10">
        <f>IF(預測IC!BV16&gt;預測IC!BV$25,1,0)</f>
        <v>0</v>
      </c>
      <c r="BW16" s="10">
        <f>IF(預測IC!BW16&gt;預測IC!BW$25,1,0)</f>
        <v>0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0</v>
      </c>
      <c r="CA16" s="10">
        <f>IF(預測IC!CA16&gt;預測IC!CA$25,1,0)</f>
        <v>1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0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0</v>
      </c>
      <c r="CH16" s="10">
        <f>IF(預測IC!CH16&gt;預測IC!CH$25,1,0)</f>
        <v>0</v>
      </c>
      <c r="CI16" s="10">
        <f>IF(預測IC!CI16&gt;預測IC!CI$25,1,0)</f>
        <v>1</v>
      </c>
      <c r="CJ16" s="10">
        <f>IF(預測IC!CJ16&gt;預測IC!CJ$25,1,0)</f>
        <v>0</v>
      </c>
      <c r="CK16" s="10">
        <f>IF(預測IC!CK16&gt;預測IC!CK$25,1,0)</f>
        <v>1</v>
      </c>
      <c r="CL16" s="10">
        <f>IF(預測IC!CL16&gt;預測IC!CL$25,1,0)</f>
        <v>1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0</v>
      </c>
      <c r="CR16" s="10">
        <f>IF(預測IC!CR16&gt;預測IC!CR$25,1,0)</f>
        <v>1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0</v>
      </c>
      <c r="CV16" s="10">
        <f>IF(預測IC!CV16&gt;預測IC!CV$25,1,0)</f>
        <v>1</v>
      </c>
      <c r="CW16" s="10">
        <f>IF(預測IC!CW16&gt;預測IC!CW$25,1,0)</f>
        <v>0</v>
      </c>
      <c r="CX16" s="10">
        <f>IF(預測IC!CX16&gt;預測IC!CX$25,1,0)</f>
        <v>0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0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1</v>
      </c>
      <c r="DL16" s="10">
        <f>IF(預測IC!DL16&gt;預測IC!DL$25,1,0)</f>
        <v>0</v>
      </c>
      <c r="DM16" s="10">
        <f>IF(預測IC!DM16&gt;預測IC!DM$25,1,0)</f>
        <v>1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1</v>
      </c>
      <c r="DS16" s="10">
        <f>IF(預測IC!DS16&gt;預測IC!DS$25,1,0)</f>
        <v>1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1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1</v>
      </c>
      <c r="EA16" s="10">
        <f>IF(預測IC!EA16&gt;預測IC!EA$25,1,0)</f>
        <v>1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0</v>
      </c>
      <c r="EG16" s="10">
        <f>IF(預測IC!EG16&gt;預測IC!EG$25,1,0)</f>
        <v>1</v>
      </c>
      <c r="EH16" s="10">
        <f>IF(預測IC!EH16&gt;預測IC!EH$25,1,0)</f>
        <v>0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70</v>
      </c>
      <c r="EN16" s="21">
        <f t="shared" si="12"/>
        <v>0.5</v>
      </c>
    </row>
    <row r="17" spans="1:144" x14ac:dyDescent="0.3">
      <c r="A17" s="20">
        <v>130</v>
      </c>
      <c r="B17" s="20">
        <f t="shared" si="10"/>
        <v>8</v>
      </c>
      <c r="C17" s="10">
        <f>IF(預測IC!C17&gt;預測IC!C$25,1,0)</f>
        <v>1</v>
      </c>
      <c r="D17" s="10">
        <f>IF(預測IC!D17&gt;預測IC!D$25,1,0)</f>
        <v>0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0</v>
      </c>
      <c r="H17" s="10">
        <f>IF(預測IC!H17&gt;預測IC!H$25,1,0)</f>
        <v>0</v>
      </c>
      <c r="I17" s="10">
        <f>IF(預測IC!I17&gt;預測IC!I$25,1,0)</f>
        <v>0</v>
      </c>
      <c r="J17" s="10">
        <f>IF(預測IC!J17&gt;預測IC!J$25,1,0)</f>
        <v>1</v>
      </c>
      <c r="K17" s="10">
        <f>IF(預測IC!K17&gt;預測IC!K$25,1,0)</f>
        <v>1</v>
      </c>
      <c r="L17" s="10">
        <f>IF(預測IC!L17&gt;預測IC!L$25,1,0)</f>
        <v>1</v>
      </c>
      <c r="M17" s="10">
        <f>IF(預測IC!M17&gt;預測IC!M$25,1,0)</f>
        <v>0</v>
      </c>
      <c r="N17" s="10">
        <f>IF(預測IC!N17&gt;預測IC!N$25,1,0)</f>
        <v>0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0</v>
      </c>
      <c r="R17" s="10">
        <f>IF(預測IC!R17&gt;預測IC!R$25,1,0)</f>
        <v>0</v>
      </c>
      <c r="S17" s="10">
        <f>IF(預測IC!S17&gt;預測IC!S$25,1,0)</f>
        <v>0</v>
      </c>
      <c r="T17" s="10">
        <f>IF(預測IC!T17&gt;預測IC!T$25,1,0)</f>
        <v>0</v>
      </c>
      <c r="U17" s="10">
        <f>IF(預測IC!U17&gt;預測IC!U$25,1,0)</f>
        <v>0</v>
      </c>
      <c r="V17" s="10">
        <f>IF(預測IC!V17&gt;預測IC!V$25,1,0)</f>
        <v>1</v>
      </c>
      <c r="W17" s="10">
        <f>IF(預測IC!W17&gt;預測IC!W$25,1,0)</f>
        <v>1</v>
      </c>
      <c r="X17" s="10">
        <f>IF(預測IC!X17&gt;預測IC!X$25,1,0)</f>
        <v>1</v>
      </c>
      <c r="Y17" s="10">
        <f>IF(預測IC!Y17&gt;預測IC!Y$25,1,0)</f>
        <v>1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1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1</v>
      </c>
      <c r="AI17" s="10">
        <f>IF(預測IC!AI17&gt;預測IC!AI$25,1,0)</f>
        <v>0</v>
      </c>
      <c r="AJ17" s="10">
        <f>IF(預測IC!AJ17&gt;預測IC!AJ$25,1,0)</f>
        <v>1</v>
      </c>
      <c r="AK17" s="10">
        <f>IF(預測IC!AK17&gt;預測IC!AK$25,1,0)</f>
        <v>0</v>
      </c>
      <c r="AL17" s="10">
        <f>IF(預測IC!AL17&gt;預測IC!AL$25,1,0)</f>
        <v>1</v>
      </c>
      <c r="AM17" s="10">
        <f>IF(預測IC!AM17&gt;預測IC!AM$25,1,0)</f>
        <v>0</v>
      </c>
      <c r="AN17" s="10">
        <f>IF(預測IC!AN17&gt;預測IC!AN$25,1,0)</f>
        <v>0</v>
      </c>
      <c r="AO17" s="10">
        <f>IF(預測IC!AO17&gt;預測IC!AO$25,1,0)</f>
        <v>1</v>
      </c>
      <c r="AP17" s="10">
        <f>IF(預測IC!AP17&gt;預測IC!AP$25,1,0)</f>
        <v>1</v>
      </c>
      <c r="AQ17" s="10">
        <f>IF(預測IC!AQ17&gt;預測IC!AQ$25,1,0)</f>
        <v>1</v>
      </c>
      <c r="AR17" s="10">
        <f>IF(預測IC!AR17&gt;預測IC!AR$25,1,0)</f>
        <v>1</v>
      </c>
      <c r="AS17" s="10">
        <f>IF(預測IC!AS17&gt;預測IC!AS$25,1,0)</f>
        <v>0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1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1</v>
      </c>
      <c r="BE17" s="10">
        <f>IF(預測IC!BE17&gt;預測IC!BE$25,1,0)</f>
        <v>1</v>
      </c>
      <c r="BF17" s="10">
        <f>IF(預測IC!BF17&gt;預測IC!BF$25,1,0)</f>
        <v>0</v>
      </c>
      <c r="BG17" s="10">
        <f>IF(預測IC!BG17&gt;預測IC!BG$25,1,0)</f>
        <v>0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1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0</v>
      </c>
      <c r="BO17" s="10">
        <f>IF(預測IC!BO17&gt;預測IC!BO$25,1,0)</f>
        <v>1</v>
      </c>
      <c r="BP17" s="10">
        <f>IF(預測IC!BP17&gt;預測IC!BP$25,1,0)</f>
        <v>0</v>
      </c>
      <c r="BQ17" s="10">
        <f>IF(預測IC!BQ17&gt;預測IC!BQ$25,1,0)</f>
        <v>0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1</v>
      </c>
      <c r="BV17" s="10">
        <f>IF(預測IC!BV17&gt;預測IC!BV$25,1,0)</f>
        <v>0</v>
      </c>
      <c r="BW17" s="10">
        <f>IF(預測IC!BW17&gt;預測IC!BW$25,1,0)</f>
        <v>0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1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0</v>
      </c>
      <c r="CH17" s="10">
        <f>IF(預測IC!CH17&gt;預測IC!CH$25,1,0)</f>
        <v>1</v>
      </c>
      <c r="CI17" s="10">
        <f>IF(預測IC!CI17&gt;預測IC!CI$25,1,0)</f>
        <v>1</v>
      </c>
      <c r="CJ17" s="10">
        <f>IF(預測IC!CJ17&gt;預測IC!CJ$25,1,0)</f>
        <v>0</v>
      </c>
      <c r="CK17" s="10">
        <f>IF(預測IC!CK17&gt;預測IC!CK$25,1,0)</f>
        <v>1</v>
      </c>
      <c r="CL17" s="10">
        <f>IF(預測IC!CL17&gt;預測IC!CL$25,1,0)</f>
        <v>1</v>
      </c>
      <c r="CM17" s="10">
        <f>IF(預測IC!CM17&gt;預測IC!CM$25,1,0)</f>
        <v>1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0</v>
      </c>
      <c r="CR17" s="10">
        <f>IF(預測IC!CR17&gt;預測IC!CR$25,1,0)</f>
        <v>1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0</v>
      </c>
      <c r="CV17" s="10">
        <f>IF(預測IC!CV17&gt;預測IC!CV$25,1,0)</f>
        <v>1</v>
      </c>
      <c r="CW17" s="10">
        <f>IF(預測IC!CW17&gt;預測IC!CW$25,1,0)</f>
        <v>0</v>
      </c>
      <c r="CX17" s="10">
        <f>IF(預測IC!CX17&gt;預測IC!CX$25,1,0)</f>
        <v>0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0</v>
      </c>
      <c r="DC17" s="10">
        <f>IF(預測IC!DC17&gt;預測IC!DC$25,1,0)</f>
        <v>1</v>
      </c>
      <c r="DD17" s="10">
        <f>IF(預測IC!DD17&gt;預測IC!DD$25,1,0)</f>
        <v>1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1</v>
      </c>
      <c r="DL17" s="10">
        <f>IF(預測IC!DL17&gt;預測IC!DL$25,1,0)</f>
        <v>0</v>
      </c>
      <c r="DM17" s="10">
        <f>IF(預測IC!DM17&gt;預測IC!DM$25,1,0)</f>
        <v>1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1</v>
      </c>
      <c r="DS17" s="10">
        <f>IF(預測IC!DS17&gt;預測IC!DS$25,1,0)</f>
        <v>1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1</v>
      </c>
      <c r="EA17" s="10">
        <f>IF(預測IC!EA17&gt;預測IC!EA$25,1,0)</f>
        <v>0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1</v>
      </c>
      <c r="EF17" s="10">
        <f>IF(預測IC!EF17&gt;預測IC!EF$25,1,0)</f>
        <v>0</v>
      </c>
      <c r="EG17" s="10">
        <f>IF(預測IC!EG17&gt;預測IC!EG$25,1,0)</f>
        <v>1</v>
      </c>
      <c r="EH17" s="10">
        <f>IF(預測IC!EH17&gt;預測IC!EH$25,1,0)</f>
        <v>0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70</v>
      </c>
      <c r="EN17" s="21">
        <f t="shared" si="12"/>
        <v>0.5</v>
      </c>
    </row>
    <row r="18" spans="1:144" x14ac:dyDescent="0.3">
      <c r="A18" s="20">
        <v>150</v>
      </c>
      <c r="B18" s="20">
        <f t="shared" si="10"/>
        <v>7</v>
      </c>
      <c r="C18" s="10">
        <f>IF(預測IC!C18&gt;預測IC!C$25,1,0)</f>
        <v>1</v>
      </c>
      <c r="D18" s="10">
        <f>IF(預測IC!D18&gt;預測IC!D$25,1,0)</f>
        <v>1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0</v>
      </c>
      <c r="H18" s="10">
        <f>IF(預測IC!H18&gt;預測IC!H$25,1,0)</f>
        <v>0</v>
      </c>
      <c r="I18" s="10">
        <f>IF(預測IC!I18&gt;預測IC!I$25,1,0)</f>
        <v>0</v>
      </c>
      <c r="J18" s="10">
        <f>IF(預測IC!J18&gt;預測IC!J$25,1,0)</f>
        <v>1</v>
      </c>
      <c r="K18" s="10">
        <f>IF(預測IC!K18&gt;預測IC!K$25,1,0)</f>
        <v>0</v>
      </c>
      <c r="L18" s="10">
        <f>IF(預測IC!L18&gt;預測IC!L$25,1,0)</f>
        <v>1</v>
      </c>
      <c r="M18" s="10">
        <f>IF(預測IC!M18&gt;預測IC!M$25,1,0)</f>
        <v>0</v>
      </c>
      <c r="N18" s="10">
        <f>IF(預測IC!N18&gt;預測IC!N$25,1,0)</f>
        <v>0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0</v>
      </c>
      <c r="R18" s="10">
        <f>IF(預測IC!R18&gt;預測IC!R$25,1,0)</f>
        <v>0</v>
      </c>
      <c r="S18" s="10">
        <f>IF(預測IC!S18&gt;預測IC!S$25,1,0)</f>
        <v>0</v>
      </c>
      <c r="T18" s="10">
        <f>IF(預測IC!T18&gt;預測IC!T$25,1,0)</f>
        <v>1</v>
      </c>
      <c r="U18" s="10">
        <f>IF(預測IC!U18&gt;預測IC!U$25,1,0)</f>
        <v>1</v>
      </c>
      <c r="V18" s="10">
        <f>IF(預測IC!V18&gt;預測IC!V$25,1,0)</f>
        <v>1</v>
      </c>
      <c r="W18" s="10">
        <f>IF(預測IC!W18&gt;預測IC!W$25,1,0)</f>
        <v>1</v>
      </c>
      <c r="X18" s="10">
        <f>IF(預測IC!X18&gt;預測IC!X$25,1,0)</f>
        <v>1</v>
      </c>
      <c r="Y18" s="10">
        <f>IF(預測IC!Y18&gt;預測IC!Y$25,1,0)</f>
        <v>1</v>
      </c>
      <c r="Z18" s="10">
        <f>IF(預測IC!Z18&gt;預測IC!Z$25,1,0)</f>
        <v>1</v>
      </c>
      <c r="AA18" s="10">
        <f>IF(預測IC!AA18&gt;預測IC!AA$25,1,0)</f>
        <v>0</v>
      </c>
      <c r="AB18" s="10">
        <f>IF(預測IC!AB18&gt;預測IC!AB$25,1,0)</f>
        <v>1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0</v>
      </c>
      <c r="AG18" s="10">
        <f>IF(預測IC!AG18&gt;預測IC!AG$25,1,0)</f>
        <v>0</v>
      </c>
      <c r="AH18" s="10">
        <f>IF(預測IC!AH18&gt;預測IC!AH$25,1,0)</f>
        <v>1</v>
      </c>
      <c r="AI18" s="10">
        <f>IF(預測IC!AI18&gt;預測IC!AI$25,1,0)</f>
        <v>0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0</v>
      </c>
      <c r="AN18" s="10">
        <f>IF(預測IC!AN18&gt;預測IC!AN$25,1,0)</f>
        <v>0</v>
      </c>
      <c r="AO18" s="10">
        <f>IF(預測IC!AO18&gt;預測IC!AO$25,1,0)</f>
        <v>1</v>
      </c>
      <c r="AP18" s="10">
        <f>IF(預測IC!AP18&gt;預測IC!AP$25,1,0)</f>
        <v>1</v>
      </c>
      <c r="AQ18" s="10">
        <f>IF(預測IC!AQ18&gt;預測IC!AQ$25,1,0)</f>
        <v>1</v>
      </c>
      <c r="AR18" s="10">
        <f>IF(預測IC!AR18&gt;預測IC!AR$25,1,0)</f>
        <v>1</v>
      </c>
      <c r="AS18" s="10">
        <f>IF(預測IC!AS18&gt;預測IC!AS$25,1,0)</f>
        <v>0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1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1</v>
      </c>
      <c r="BE18" s="10">
        <f>IF(預測IC!BE18&gt;預測IC!BE$25,1,0)</f>
        <v>1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0</v>
      </c>
      <c r="BO18" s="10">
        <f>IF(預測IC!BO18&gt;預測IC!BO$25,1,0)</f>
        <v>1</v>
      </c>
      <c r="BP18" s="10">
        <f>IF(預測IC!BP18&gt;預測IC!BP$25,1,0)</f>
        <v>0</v>
      </c>
      <c r="BQ18" s="10">
        <f>IF(預測IC!BQ18&gt;預測IC!BQ$25,1,0)</f>
        <v>0</v>
      </c>
      <c r="BR18" s="10">
        <f>IF(預測IC!BR18&gt;預測IC!BR$25,1,0)</f>
        <v>1</v>
      </c>
      <c r="BS18" s="10">
        <f>IF(預測IC!BS18&gt;預測IC!BS$25,1,0)</f>
        <v>1</v>
      </c>
      <c r="BT18" s="10">
        <f>IF(預測IC!BT18&gt;預測IC!BT$25,1,0)</f>
        <v>0</v>
      </c>
      <c r="BU18" s="10">
        <f>IF(預測IC!BU18&gt;預測IC!BU$25,1,0)</f>
        <v>1</v>
      </c>
      <c r="BV18" s="10">
        <f>IF(預測IC!BV18&gt;預測IC!BV$25,1,0)</f>
        <v>0</v>
      </c>
      <c r="BW18" s="10">
        <f>IF(預測IC!BW18&gt;預測IC!BW$25,1,0)</f>
        <v>0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1</v>
      </c>
      <c r="CA18" s="10">
        <f>IF(預測IC!CA18&gt;預測IC!CA$25,1,0)</f>
        <v>1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0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0</v>
      </c>
      <c r="CH18" s="10">
        <f>IF(預測IC!CH18&gt;預測IC!CH$25,1,0)</f>
        <v>1</v>
      </c>
      <c r="CI18" s="10">
        <f>IF(預測IC!CI18&gt;預測IC!CI$25,1,0)</f>
        <v>1</v>
      </c>
      <c r="CJ18" s="10">
        <f>IF(預測IC!CJ18&gt;預測IC!CJ$25,1,0)</f>
        <v>0</v>
      </c>
      <c r="CK18" s="10">
        <f>IF(預測IC!CK18&gt;預測IC!CK$25,1,0)</f>
        <v>1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0</v>
      </c>
      <c r="CR18" s="10">
        <f>IF(預測IC!CR18&gt;預測IC!CR$25,1,0)</f>
        <v>1</v>
      </c>
      <c r="CS18" s="10">
        <f>IF(預測IC!CS18&gt;預測IC!CS$25,1,0)</f>
        <v>1</v>
      </c>
      <c r="CT18" s="10">
        <f>IF(預測IC!CT18&gt;預測IC!CT$25,1,0)</f>
        <v>0</v>
      </c>
      <c r="CU18" s="10">
        <f>IF(預測IC!CU18&gt;預測IC!CU$25,1,0)</f>
        <v>0</v>
      </c>
      <c r="CV18" s="10">
        <f>IF(預測IC!CV18&gt;預測IC!CV$25,1,0)</f>
        <v>1</v>
      </c>
      <c r="CW18" s="10">
        <f>IF(預測IC!CW18&gt;預測IC!CW$25,1,0)</f>
        <v>0</v>
      </c>
      <c r="CX18" s="10">
        <f>IF(預測IC!CX18&gt;預測IC!CX$25,1,0)</f>
        <v>0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0</v>
      </c>
      <c r="DC18" s="10">
        <f>IF(預測IC!DC18&gt;預測IC!DC$25,1,0)</f>
        <v>1</v>
      </c>
      <c r="DD18" s="10">
        <f>IF(預測IC!DD18&gt;預測IC!DD$25,1,0)</f>
        <v>1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1</v>
      </c>
      <c r="DJ18" s="10">
        <f>IF(預測IC!DJ18&gt;預測IC!DJ$25,1,0)</f>
        <v>1</v>
      </c>
      <c r="DK18" s="10">
        <f>IF(預測IC!DK18&gt;預測IC!DK$25,1,0)</f>
        <v>1</v>
      </c>
      <c r="DL18" s="10">
        <f>IF(預測IC!DL18&gt;預測IC!DL$25,1,0)</f>
        <v>0</v>
      </c>
      <c r="DM18" s="10">
        <f>IF(預測IC!DM18&gt;預測IC!DM$25,1,0)</f>
        <v>1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1</v>
      </c>
      <c r="DS18" s="10">
        <f>IF(預測IC!DS18&gt;預測IC!DS$25,1,0)</f>
        <v>1</v>
      </c>
      <c r="DT18" s="10">
        <f>IF(預測IC!DT18&gt;預測IC!DT$25,1,0)</f>
        <v>0</v>
      </c>
      <c r="DU18" s="10">
        <f>IF(預測IC!DU18&gt;預測IC!DU$25,1,0)</f>
        <v>1</v>
      </c>
      <c r="DV18" s="10">
        <f>IF(預測IC!DV18&gt;預測IC!DV$25,1,0)</f>
        <v>1</v>
      </c>
      <c r="DW18" s="10">
        <f>IF(預測IC!DW18&gt;預測IC!DW$25,1,0)</f>
        <v>1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1</v>
      </c>
      <c r="EA18" s="10">
        <f>IF(預測IC!EA18&gt;預測IC!EA$25,1,0)</f>
        <v>0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0</v>
      </c>
      <c r="EG18" s="10">
        <f>IF(預測IC!EG18&gt;預測IC!EG$25,1,0)</f>
        <v>1</v>
      </c>
      <c r="EH18" s="10">
        <f>IF(預測IC!EH18&gt;預測IC!EH$25,1,0)</f>
        <v>0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79</v>
      </c>
      <c r="EN18" s="21">
        <f t="shared" si="12"/>
        <v>0.56428571428571428</v>
      </c>
    </row>
    <row r="19" spans="1:144" x14ac:dyDescent="0.3">
      <c r="A19" s="20">
        <v>180</v>
      </c>
      <c r="B19" s="20">
        <f t="shared" si="10"/>
        <v>6</v>
      </c>
      <c r="C19" s="10">
        <f>IF(預測IC!C19&gt;預測IC!C$25,1,0)</f>
        <v>1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0</v>
      </c>
      <c r="H19" s="10">
        <f>IF(預測IC!H19&gt;預測IC!H$25,1,0)</f>
        <v>0</v>
      </c>
      <c r="I19" s="10">
        <f>IF(預測IC!I19&gt;預測IC!I$25,1,0)</f>
        <v>0</v>
      </c>
      <c r="J19" s="10">
        <f>IF(預測IC!J19&gt;預測IC!J$25,1,0)</f>
        <v>1</v>
      </c>
      <c r="K19" s="10">
        <f>IF(預測IC!K19&gt;預測IC!K$25,1,0)</f>
        <v>0</v>
      </c>
      <c r="L19" s="10">
        <f>IF(預測IC!L19&gt;預測IC!L$25,1,0)</f>
        <v>1</v>
      </c>
      <c r="M19" s="10">
        <f>IF(預測IC!M19&gt;預測IC!M$25,1,0)</f>
        <v>0</v>
      </c>
      <c r="N19" s="10">
        <f>IF(預測IC!N19&gt;預測IC!N$25,1,0)</f>
        <v>0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0</v>
      </c>
      <c r="R19" s="10">
        <f>IF(預測IC!R19&gt;預測IC!R$25,1,0)</f>
        <v>0</v>
      </c>
      <c r="S19" s="10">
        <f>IF(預測IC!S19&gt;預測IC!S$25,1,0)</f>
        <v>0</v>
      </c>
      <c r="T19" s="10">
        <f>IF(預測IC!T19&gt;預測IC!T$25,1,0)</f>
        <v>1</v>
      </c>
      <c r="U19" s="10">
        <f>IF(預測IC!U19&gt;預測IC!U$25,1,0)</f>
        <v>1</v>
      </c>
      <c r="V19" s="10">
        <f>IF(預測IC!V19&gt;預測IC!V$25,1,0)</f>
        <v>1</v>
      </c>
      <c r="W19" s="10">
        <f>IF(預測IC!W19&gt;預測IC!W$25,1,0)</f>
        <v>1</v>
      </c>
      <c r="X19" s="10">
        <f>IF(預測IC!X19&gt;預測IC!X$25,1,0)</f>
        <v>0</v>
      </c>
      <c r="Y19" s="10">
        <f>IF(預測IC!Y19&gt;預測IC!Y$25,1,0)</f>
        <v>1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1</v>
      </c>
      <c r="AC19" s="10">
        <f>IF(預測IC!AC19&gt;預測IC!AC$25,1,0)</f>
        <v>0</v>
      </c>
      <c r="AD19" s="10">
        <f>IF(預測IC!AD19&gt;預測IC!AD$25,1,0)</f>
        <v>1</v>
      </c>
      <c r="AE19" s="10">
        <f>IF(預測IC!AE19&gt;預測IC!AE$25,1,0)</f>
        <v>0</v>
      </c>
      <c r="AF19" s="10">
        <f>IF(預測IC!AF19&gt;預測IC!AF$25,1,0)</f>
        <v>0</v>
      </c>
      <c r="AG19" s="10">
        <f>IF(預測IC!AG19&gt;預測IC!AG$25,1,0)</f>
        <v>0</v>
      </c>
      <c r="AH19" s="10">
        <f>IF(預測IC!AH19&gt;預測IC!AH$25,1,0)</f>
        <v>1</v>
      </c>
      <c r="AI19" s="10">
        <f>IF(預測IC!AI19&gt;預測IC!AI$25,1,0)</f>
        <v>0</v>
      </c>
      <c r="AJ19" s="10">
        <f>IF(預測IC!AJ19&gt;預測IC!AJ$25,1,0)</f>
        <v>1</v>
      </c>
      <c r="AK19" s="10">
        <f>IF(預測IC!AK19&gt;預測IC!AK$25,1,0)</f>
        <v>0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0</v>
      </c>
      <c r="AO19" s="10">
        <f>IF(預測IC!AO19&gt;預測IC!AO$25,1,0)</f>
        <v>1</v>
      </c>
      <c r="AP19" s="10">
        <f>IF(預測IC!AP19&gt;預測IC!AP$25,1,0)</f>
        <v>1</v>
      </c>
      <c r="AQ19" s="10">
        <f>IF(預測IC!AQ19&gt;預測IC!AQ$25,1,0)</f>
        <v>1</v>
      </c>
      <c r="AR19" s="10">
        <f>IF(預測IC!AR19&gt;預測IC!AR$25,1,0)</f>
        <v>1</v>
      </c>
      <c r="AS19" s="10">
        <f>IF(預測IC!AS19&gt;預測IC!AS$25,1,0)</f>
        <v>0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1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0</v>
      </c>
      <c r="BA19" s="10">
        <f>IF(預測IC!BA19&gt;預測IC!BA$25,1,0)</f>
        <v>1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1</v>
      </c>
      <c r="BE19" s="10">
        <f>IF(預測IC!BE19&gt;預測IC!BE$25,1,0)</f>
        <v>1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0</v>
      </c>
      <c r="BN19" s="10">
        <f>IF(預測IC!BN19&gt;預測IC!BN$25,1,0)</f>
        <v>0</v>
      </c>
      <c r="BO19" s="10">
        <f>IF(預測IC!BO19&gt;預測IC!BO$25,1,0)</f>
        <v>1</v>
      </c>
      <c r="BP19" s="10">
        <f>IF(預測IC!BP19&gt;預測IC!BP$25,1,0)</f>
        <v>0</v>
      </c>
      <c r="BQ19" s="10">
        <f>IF(預測IC!BQ19&gt;預測IC!BQ$25,1,0)</f>
        <v>0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1</v>
      </c>
      <c r="BV19" s="10">
        <f>IF(預測IC!BV19&gt;預測IC!BV$25,1,0)</f>
        <v>1</v>
      </c>
      <c r="BW19" s="10">
        <f>IF(預測IC!BW19&gt;預測IC!BW$25,1,0)</f>
        <v>0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0</v>
      </c>
      <c r="CA19" s="10">
        <f>IF(預測IC!CA19&gt;預測IC!CA$25,1,0)</f>
        <v>1</v>
      </c>
      <c r="CB19" s="10">
        <f>IF(預測IC!CB19&gt;預測IC!CB$25,1,0)</f>
        <v>1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0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1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0</v>
      </c>
      <c r="CR19" s="10">
        <f>IF(預測IC!CR19&gt;預測IC!CR$25,1,0)</f>
        <v>1</v>
      </c>
      <c r="CS19" s="10">
        <f>IF(預測IC!CS19&gt;預測IC!CS$25,1,0)</f>
        <v>1</v>
      </c>
      <c r="CT19" s="10">
        <f>IF(預測IC!CT19&gt;預測IC!CT$25,1,0)</f>
        <v>0</v>
      </c>
      <c r="CU19" s="10">
        <f>IF(預測IC!CU19&gt;預測IC!CU$25,1,0)</f>
        <v>0</v>
      </c>
      <c r="CV19" s="10">
        <f>IF(預測IC!CV19&gt;預測IC!CV$25,1,0)</f>
        <v>1</v>
      </c>
      <c r="CW19" s="10">
        <f>IF(預測IC!CW19&gt;預測IC!CW$25,1,0)</f>
        <v>0</v>
      </c>
      <c r="CX19" s="10">
        <f>IF(預測IC!CX19&gt;預測IC!CX$25,1,0)</f>
        <v>0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0</v>
      </c>
      <c r="DB19" s="10">
        <f>IF(預測IC!DB19&gt;預測IC!DB$25,1,0)</f>
        <v>0</v>
      </c>
      <c r="DC19" s="10">
        <f>IF(預測IC!DC19&gt;預測IC!DC$25,1,0)</f>
        <v>1</v>
      </c>
      <c r="DD19" s="10">
        <f>IF(預測IC!DD19&gt;預測IC!DD$25,1,0)</f>
        <v>1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1</v>
      </c>
      <c r="DJ19" s="10">
        <f>IF(預測IC!DJ19&gt;預測IC!DJ$25,1,0)</f>
        <v>1</v>
      </c>
      <c r="DK19" s="10">
        <f>IF(預測IC!DK19&gt;預測IC!DK$25,1,0)</f>
        <v>1</v>
      </c>
      <c r="DL19" s="10">
        <f>IF(預測IC!DL19&gt;預測IC!DL$25,1,0)</f>
        <v>0</v>
      </c>
      <c r="DM19" s="10">
        <f>IF(預測IC!DM19&gt;預測IC!DM$25,1,0)</f>
        <v>1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1</v>
      </c>
      <c r="DS19" s="10">
        <f>IF(預測IC!DS19&gt;預測IC!DS$25,1,0)</f>
        <v>1</v>
      </c>
      <c r="DT19" s="10">
        <f>IF(預測IC!DT19&gt;預測IC!DT$25,1,0)</f>
        <v>0</v>
      </c>
      <c r="DU19" s="10">
        <f>IF(預測IC!DU19&gt;預測IC!DU$25,1,0)</f>
        <v>1</v>
      </c>
      <c r="DV19" s="10">
        <f>IF(預測IC!DV19&gt;預測IC!DV$25,1,0)</f>
        <v>1</v>
      </c>
      <c r="DW19" s="10">
        <f>IF(預測IC!DW19&gt;預測IC!DW$25,1,0)</f>
        <v>1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1</v>
      </c>
      <c r="EA19" s="10">
        <f>IF(預測IC!EA19&gt;預測IC!EA$25,1,0)</f>
        <v>0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1</v>
      </c>
      <c r="EF19" s="10">
        <f>IF(預測IC!EF19&gt;預測IC!EF$25,1,0)</f>
        <v>0</v>
      </c>
      <c r="EG19" s="10">
        <f>IF(預測IC!EG19&gt;預測IC!EG$25,1,0)</f>
        <v>1</v>
      </c>
      <c r="EH19" s="10">
        <f>IF(預測IC!EH19&gt;預測IC!EH$25,1,0)</f>
        <v>0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78</v>
      </c>
      <c r="EN19" s="21">
        <f t="shared" si="12"/>
        <v>0.55714285714285716</v>
      </c>
    </row>
    <row r="20" spans="1:144" x14ac:dyDescent="0.3">
      <c r="A20" s="20">
        <v>200</v>
      </c>
      <c r="B20" s="20">
        <f t="shared" si="10"/>
        <v>5</v>
      </c>
      <c r="C20" s="10">
        <f>IF(預測IC!C20&gt;預測IC!C$25,1,0)</f>
        <v>1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1</v>
      </c>
      <c r="G20" s="10">
        <f>IF(預測IC!G20&gt;預測IC!G$25,1,0)</f>
        <v>0</v>
      </c>
      <c r="H20" s="10">
        <f>IF(預測IC!H20&gt;預測IC!H$25,1,0)</f>
        <v>0</v>
      </c>
      <c r="I20" s="10">
        <f>IF(預測IC!I20&gt;預測IC!I$25,1,0)</f>
        <v>0</v>
      </c>
      <c r="J20" s="10">
        <f>IF(預測IC!J20&gt;預測IC!J$25,1,0)</f>
        <v>1</v>
      </c>
      <c r="K20" s="10">
        <f>IF(預測IC!K20&gt;預測IC!K$25,1,0)</f>
        <v>0</v>
      </c>
      <c r="L20" s="10">
        <f>IF(預測IC!L20&gt;預測IC!L$25,1,0)</f>
        <v>0</v>
      </c>
      <c r="M20" s="10">
        <f>IF(預測IC!M20&gt;預測IC!M$25,1,0)</f>
        <v>0</v>
      </c>
      <c r="N20" s="10">
        <f>IF(預測IC!N20&gt;預測IC!N$25,1,0)</f>
        <v>0</v>
      </c>
      <c r="O20" s="10">
        <f>IF(預測IC!O20&gt;預測IC!O$25,1,0)</f>
        <v>0</v>
      </c>
      <c r="P20" s="10">
        <f>IF(預測IC!P20&gt;預測IC!P$25,1,0)</f>
        <v>1</v>
      </c>
      <c r="Q20" s="10">
        <f>IF(預測IC!Q20&gt;預測IC!Q$25,1,0)</f>
        <v>0</v>
      </c>
      <c r="R20" s="10">
        <f>IF(預測IC!R20&gt;預測IC!R$25,1,0)</f>
        <v>0</v>
      </c>
      <c r="S20" s="10">
        <f>IF(預測IC!S20&gt;預測IC!S$25,1,0)</f>
        <v>0</v>
      </c>
      <c r="T20" s="10">
        <f>IF(預測IC!T20&gt;預測IC!T$25,1,0)</f>
        <v>1</v>
      </c>
      <c r="U20" s="10">
        <f>IF(預測IC!U20&gt;預測IC!U$25,1,0)</f>
        <v>1</v>
      </c>
      <c r="V20" s="10">
        <f>IF(預測IC!V20&gt;預測IC!V$25,1,0)</f>
        <v>1</v>
      </c>
      <c r="W20" s="10">
        <f>IF(預測IC!W20&gt;預測IC!W$25,1,0)</f>
        <v>1</v>
      </c>
      <c r="X20" s="10">
        <f>IF(預測IC!X20&gt;預測IC!X$25,1,0)</f>
        <v>1</v>
      </c>
      <c r="Y20" s="10">
        <f>IF(預測IC!Y20&gt;預測IC!Y$25,1,0)</f>
        <v>1</v>
      </c>
      <c r="Z20" s="10">
        <f>IF(預測IC!Z20&gt;預測IC!Z$25,1,0)</f>
        <v>1</v>
      </c>
      <c r="AA20" s="10">
        <f>IF(預測IC!AA20&gt;預測IC!AA$25,1,0)</f>
        <v>0</v>
      </c>
      <c r="AB20" s="10">
        <f>IF(預測IC!AB20&gt;預測IC!AB$25,1,0)</f>
        <v>1</v>
      </c>
      <c r="AC20" s="10">
        <f>IF(預測IC!AC20&gt;預測IC!AC$25,1,0)</f>
        <v>0</v>
      </c>
      <c r="AD20" s="10">
        <f>IF(預測IC!AD20&gt;預測IC!AD$25,1,0)</f>
        <v>1</v>
      </c>
      <c r="AE20" s="10">
        <f>IF(預測IC!AE20&gt;預測IC!AE$25,1,0)</f>
        <v>0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1</v>
      </c>
      <c r="AI20" s="10">
        <f>IF(預測IC!AI20&gt;預測IC!AI$25,1,0)</f>
        <v>0</v>
      </c>
      <c r="AJ20" s="10">
        <f>IF(預測IC!AJ20&gt;預測IC!AJ$25,1,0)</f>
        <v>1</v>
      </c>
      <c r="AK20" s="10">
        <f>IF(預測IC!AK20&gt;預測IC!AK$25,1,0)</f>
        <v>1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0</v>
      </c>
      <c r="AO20" s="10">
        <f>IF(預測IC!AO20&gt;預測IC!AO$25,1,0)</f>
        <v>1</v>
      </c>
      <c r="AP20" s="10">
        <f>IF(預測IC!AP20&gt;預測IC!AP$25,1,0)</f>
        <v>1</v>
      </c>
      <c r="AQ20" s="10">
        <f>IF(預測IC!AQ20&gt;預測IC!AQ$25,1,0)</f>
        <v>1</v>
      </c>
      <c r="AR20" s="10">
        <f>IF(預測IC!AR20&gt;預測IC!AR$25,1,0)</f>
        <v>1</v>
      </c>
      <c r="AS20" s="10">
        <f>IF(預測IC!AS20&gt;預測IC!AS$25,1,0)</f>
        <v>0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1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0</v>
      </c>
      <c r="BA20" s="10">
        <f>IF(預測IC!BA20&gt;預測IC!BA$25,1,0)</f>
        <v>1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1</v>
      </c>
      <c r="BE20" s="10">
        <f>IF(預測IC!BE20&gt;預測IC!BE$25,1,0)</f>
        <v>1</v>
      </c>
      <c r="BF20" s="10">
        <f>IF(預測IC!BF20&gt;預測IC!BF$25,1,0)</f>
        <v>0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0</v>
      </c>
      <c r="BO20" s="10">
        <f>IF(預測IC!BO20&gt;預測IC!BO$25,1,0)</f>
        <v>1</v>
      </c>
      <c r="BP20" s="10">
        <f>IF(預測IC!BP20&gt;預測IC!BP$25,1,0)</f>
        <v>0</v>
      </c>
      <c r="BQ20" s="10">
        <f>IF(預測IC!BQ20&gt;預測IC!BQ$25,1,0)</f>
        <v>1</v>
      </c>
      <c r="BR20" s="10">
        <f>IF(預測IC!BR20&gt;預測IC!BR$25,1,0)</f>
        <v>1</v>
      </c>
      <c r="BS20" s="10">
        <f>IF(預測IC!BS20&gt;預測IC!BS$25,1,0)</f>
        <v>1</v>
      </c>
      <c r="BT20" s="10">
        <f>IF(預測IC!BT20&gt;預測IC!BT$25,1,0)</f>
        <v>0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0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1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0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0</v>
      </c>
      <c r="CH20" s="10">
        <f>IF(預測IC!CH20&gt;預測IC!CH$25,1,0)</f>
        <v>1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1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0</v>
      </c>
      <c r="CR20" s="10">
        <f>IF(預測IC!CR20&gt;預測IC!CR$25,1,0)</f>
        <v>1</v>
      </c>
      <c r="CS20" s="10">
        <f>IF(預測IC!CS20&gt;預測IC!CS$25,1,0)</f>
        <v>1</v>
      </c>
      <c r="CT20" s="10">
        <f>IF(預測IC!CT20&gt;預測IC!CT$25,1,0)</f>
        <v>0</v>
      </c>
      <c r="CU20" s="10">
        <f>IF(預測IC!CU20&gt;預測IC!CU$25,1,0)</f>
        <v>1</v>
      </c>
      <c r="CV20" s="10">
        <f>IF(預測IC!CV20&gt;預測IC!CV$25,1,0)</f>
        <v>1</v>
      </c>
      <c r="CW20" s="10">
        <f>IF(預測IC!CW20&gt;預測IC!CW$25,1,0)</f>
        <v>0</v>
      </c>
      <c r="CX20" s="10">
        <f>IF(預測IC!CX20&gt;預測IC!CX$25,1,0)</f>
        <v>0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0</v>
      </c>
      <c r="DB20" s="10">
        <f>IF(預測IC!DB20&gt;預測IC!DB$25,1,0)</f>
        <v>0</v>
      </c>
      <c r="DC20" s="10">
        <f>IF(預測IC!DC20&gt;預測IC!DC$25,1,0)</f>
        <v>1</v>
      </c>
      <c r="DD20" s="10">
        <f>IF(預測IC!DD20&gt;預測IC!DD$25,1,0)</f>
        <v>1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1</v>
      </c>
      <c r="DJ20" s="10">
        <f>IF(預測IC!DJ20&gt;預測IC!DJ$25,1,0)</f>
        <v>1</v>
      </c>
      <c r="DK20" s="10">
        <f>IF(預測IC!DK20&gt;預測IC!DK$25,1,0)</f>
        <v>1</v>
      </c>
      <c r="DL20" s="10">
        <f>IF(預測IC!DL20&gt;預測IC!DL$25,1,0)</f>
        <v>0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1</v>
      </c>
      <c r="DS20" s="10">
        <f>IF(預測IC!DS20&gt;預測IC!DS$25,1,0)</f>
        <v>1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1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1</v>
      </c>
      <c r="EB20" s="10">
        <f>IF(預測IC!EB20&gt;預測IC!EB$25,1,0)</f>
        <v>0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1</v>
      </c>
      <c r="EF20" s="10">
        <f>IF(預測IC!EF20&gt;預測IC!EF$25,1,0)</f>
        <v>0</v>
      </c>
      <c r="EG20" s="10">
        <f>IF(預測IC!EG20&gt;預測IC!EG$25,1,0)</f>
        <v>1</v>
      </c>
      <c r="EH20" s="10">
        <f>IF(預測IC!EH20&gt;預測IC!EH$25,1,0)</f>
        <v>0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0</v>
      </c>
      <c r="EL20" s="10">
        <f>IF(預測IC!EL20&gt;預測IC!EL$25,1,0)</f>
        <v>0</v>
      </c>
      <c r="EM20" s="6">
        <f t="shared" si="11"/>
        <v>76</v>
      </c>
      <c r="EN20" s="21">
        <f t="shared" si="12"/>
        <v>0.54285714285714282</v>
      </c>
    </row>
    <row r="21" spans="1:144" x14ac:dyDescent="0.3">
      <c r="A21" s="20">
        <v>256</v>
      </c>
      <c r="B21" s="20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1</v>
      </c>
      <c r="F21" s="10">
        <f>IF(預測IC!F21&gt;預測IC!F$25,1,0)</f>
        <v>0</v>
      </c>
      <c r="G21" s="10">
        <f>IF(預測IC!G21&gt;預測IC!G$25,1,0)</f>
        <v>0</v>
      </c>
      <c r="H21" s="10">
        <f>IF(預測IC!H21&gt;預測IC!H$25,1,0)</f>
        <v>0</v>
      </c>
      <c r="I21" s="10">
        <f>IF(預測IC!I21&gt;預測IC!I$25,1,0)</f>
        <v>0</v>
      </c>
      <c r="J21" s="10">
        <f>IF(預測IC!J21&gt;預測IC!J$25,1,0)</f>
        <v>1</v>
      </c>
      <c r="K21" s="10">
        <f>IF(預測IC!K21&gt;預測IC!K$25,1,0)</f>
        <v>0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0</v>
      </c>
      <c r="O21" s="10">
        <f>IF(預測IC!O21&gt;預測IC!O$25,1,0)</f>
        <v>0</v>
      </c>
      <c r="P21" s="10">
        <f>IF(預測IC!P21&gt;預測IC!P$25,1,0)</f>
        <v>1</v>
      </c>
      <c r="Q21" s="10">
        <f>IF(預測IC!Q21&gt;預測IC!Q$25,1,0)</f>
        <v>0</v>
      </c>
      <c r="R21" s="10">
        <f>IF(預測IC!R21&gt;預測IC!R$25,1,0)</f>
        <v>0</v>
      </c>
      <c r="S21" s="10">
        <f>IF(預測IC!S21&gt;預測IC!S$25,1,0)</f>
        <v>0</v>
      </c>
      <c r="T21" s="10">
        <f>IF(預測IC!T21&gt;預測IC!T$25,1,0)</f>
        <v>1</v>
      </c>
      <c r="U21" s="10">
        <f>IF(預測IC!U21&gt;預測IC!U$25,1,0)</f>
        <v>1</v>
      </c>
      <c r="V21" s="10">
        <f>IF(預測IC!V21&gt;預測IC!V$25,1,0)</f>
        <v>1</v>
      </c>
      <c r="W21" s="10">
        <f>IF(預測IC!W21&gt;預測IC!W$25,1,0)</f>
        <v>1</v>
      </c>
      <c r="X21" s="10">
        <f>IF(預測IC!X21&gt;預測IC!X$25,1,0)</f>
        <v>1</v>
      </c>
      <c r="Y21" s="10">
        <f>IF(預測IC!Y21&gt;預測IC!Y$25,1,0)</f>
        <v>1</v>
      </c>
      <c r="Z21" s="10">
        <f>IF(預測IC!Z21&gt;預測IC!Z$25,1,0)</f>
        <v>1</v>
      </c>
      <c r="AA21" s="10">
        <f>IF(預測IC!AA21&gt;預測IC!AA$25,1,0)</f>
        <v>1</v>
      </c>
      <c r="AB21" s="10">
        <f>IF(預測IC!AB21&gt;預測IC!AB$25,1,0)</f>
        <v>1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0</v>
      </c>
      <c r="AG21" s="10">
        <f>IF(預測IC!AG21&gt;預測IC!AG$25,1,0)</f>
        <v>0</v>
      </c>
      <c r="AH21" s="10">
        <f>IF(預測IC!AH21&gt;預測IC!AH$25,1,0)</f>
        <v>1</v>
      </c>
      <c r="AI21" s="10">
        <f>IF(預測IC!AI21&gt;預測IC!AI$25,1,0)</f>
        <v>0</v>
      </c>
      <c r="AJ21" s="10">
        <f>IF(預測IC!AJ21&gt;預測IC!AJ$25,1,0)</f>
        <v>0</v>
      </c>
      <c r="AK21" s="10">
        <f>IF(預測IC!AK21&gt;預測IC!AK$25,1,0)</f>
        <v>1</v>
      </c>
      <c r="AL21" s="10">
        <f>IF(預測IC!AL21&gt;預測IC!AL$25,1,0)</f>
        <v>1</v>
      </c>
      <c r="AM21" s="10">
        <f>IF(預測IC!AM21&gt;預測IC!AM$25,1,0)</f>
        <v>0</v>
      </c>
      <c r="AN21" s="10">
        <f>IF(預測IC!AN21&gt;預測IC!AN$25,1,0)</f>
        <v>0</v>
      </c>
      <c r="AO21" s="10">
        <f>IF(預測IC!AO21&gt;預測IC!AO$25,1,0)</f>
        <v>1</v>
      </c>
      <c r="AP21" s="10">
        <f>IF(預測IC!AP21&gt;預測IC!AP$25,1,0)</f>
        <v>1</v>
      </c>
      <c r="AQ21" s="10">
        <f>IF(預測IC!AQ21&gt;預測IC!AQ$25,1,0)</f>
        <v>1</v>
      </c>
      <c r="AR21" s="10">
        <f>IF(預測IC!AR21&gt;預測IC!AR$25,1,0)</f>
        <v>1</v>
      </c>
      <c r="AS21" s="10">
        <f>IF(預測IC!AS21&gt;預測IC!AS$25,1,0)</f>
        <v>0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1</v>
      </c>
      <c r="AW21" s="10">
        <f>IF(預測IC!AW21&gt;預測IC!AW$25,1,0)</f>
        <v>0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0</v>
      </c>
      <c r="BA21" s="10">
        <f>IF(預測IC!BA21&gt;預測IC!BA$25,1,0)</f>
        <v>1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1</v>
      </c>
      <c r="BF21" s="10">
        <f>IF(預測IC!BF21&gt;預測IC!BF$25,1,0)</f>
        <v>0</v>
      </c>
      <c r="BG21" s="10">
        <f>IF(預測IC!BG21&gt;預測IC!BG$25,1,0)</f>
        <v>0</v>
      </c>
      <c r="BH21" s="10">
        <f>IF(預測IC!BH21&gt;預測IC!BH$25,1,0)</f>
        <v>1</v>
      </c>
      <c r="BI21" s="10">
        <f>IF(預測IC!BI21&gt;預測IC!BI$25,1,0)</f>
        <v>1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0</v>
      </c>
      <c r="BM21" s="10">
        <f>IF(預測IC!BM21&gt;預測IC!BM$25,1,0)</f>
        <v>0</v>
      </c>
      <c r="BN21" s="10">
        <f>IF(預測IC!BN21&gt;預測IC!BN$25,1,0)</f>
        <v>0</v>
      </c>
      <c r="BO21" s="10">
        <f>IF(預測IC!BO21&gt;預測IC!BO$25,1,0)</f>
        <v>1</v>
      </c>
      <c r="BP21" s="10">
        <f>IF(預測IC!BP21&gt;預測IC!BP$25,1,0)</f>
        <v>0</v>
      </c>
      <c r="BQ21" s="10">
        <f>IF(預測IC!BQ21&gt;預測IC!BQ$25,1,0)</f>
        <v>1</v>
      </c>
      <c r="BR21" s="10">
        <f>IF(預測IC!BR21&gt;預測IC!BR$25,1,0)</f>
        <v>1</v>
      </c>
      <c r="BS21" s="10">
        <f>IF(預測IC!BS21&gt;預測IC!BS$25,1,0)</f>
        <v>1</v>
      </c>
      <c r="BT21" s="10">
        <f>IF(預測IC!BT21&gt;預測IC!BT$25,1,0)</f>
        <v>0</v>
      </c>
      <c r="BU21" s="10">
        <f>IF(預測IC!BU21&gt;預測IC!BU$25,1,0)</f>
        <v>1</v>
      </c>
      <c r="BV21" s="10">
        <f>IF(預測IC!BV21&gt;預測IC!BV$25,1,0)</f>
        <v>0</v>
      </c>
      <c r="BW21" s="10">
        <f>IF(預測IC!BW21&gt;預測IC!BW$25,1,0)</f>
        <v>0</v>
      </c>
      <c r="BX21" s="10">
        <f>IF(預測IC!BX21&gt;預測IC!BX$25,1,0)</f>
        <v>0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1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0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1</v>
      </c>
      <c r="CM21" s="10">
        <f>IF(預測IC!CM21&gt;預測IC!CM$25,1,0)</f>
        <v>0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0</v>
      </c>
      <c r="CR21" s="10">
        <f>IF(預測IC!CR21&gt;預測IC!CR$25,1,0)</f>
        <v>1</v>
      </c>
      <c r="CS21" s="10">
        <f>IF(預測IC!CS21&gt;預測IC!CS$25,1,0)</f>
        <v>1</v>
      </c>
      <c r="CT21" s="10">
        <f>IF(預測IC!CT21&gt;預測IC!CT$25,1,0)</f>
        <v>1</v>
      </c>
      <c r="CU21" s="10">
        <f>IF(預測IC!CU21&gt;預測IC!CU$25,1,0)</f>
        <v>1</v>
      </c>
      <c r="CV21" s="10">
        <f>IF(預測IC!CV21&gt;預測IC!CV$25,1,0)</f>
        <v>1</v>
      </c>
      <c r="CW21" s="10">
        <f>IF(預測IC!CW21&gt;預測IC!CW$25,1,0)</f>
        <v>0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0</v>
      </c>
      <c r="DB21" s="10">
        <f>IF(預測IC!DB21&gt;預測IC!DB$25,1,0)</f>
        <v>0</v>
      </c>
      <c r="DC21" s="10">
        <f>IF(預測IC!DC21&gt;預測IC!DC$25,1,0)</f>
        <v>1</v>
      </c>
      <c r="DD21" s="10">
        <f>IF(預測IC!DD21&gt;預測IC!DD$25,1,0)</f>
        <v>1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0</v>
      </c>
      <c r="DK21" s="10">
        <f>IF(預測IC!DK21&gt;預測IC!DK$25,1,0)</f>
        <v>1</v>
      </c>
      <c r="DL21" s="10">
        <f>IF(預測IC!DL21&gt;預測IC!DL$25,1,0)</f>
        <v>0</v>
      </c>
      <c r="DM21" s="10">
        <f>IF(預測IC!DM21&gt;預測IC!DM$25,1,0)</f>
        <v>1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1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1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1</v>
      </c>
      <c r="EA21" s="10">
        <f>IF(預測IC!EA21&gt;預測IC!EA$25,1,0)</f>
        <v>0</v>
      </c>
      <c r="EB21" s="10">
        <f>IF(預測IC!EB21&gt;預測IC!EB$25,1,0)</f>
        <v>0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1</v>
      </c>
      <c r="EF21" s="10">
        <f>IF(預測IC!EF21&gt;預測IC!EF$25,1,0)</f>
        <v>0</v>
      </c>
      <c r="EG21" s="10">
        <f>IF(預測IC!EG21&gt;預測IC!EG$25,1,0)</f>
        <v>1</v>
      </c>
      <c r="EH21" s="10">
        <f>IF(預測IC!EH21&gt;預測IC!EH$25,1,0)</f>
        <v>0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70</v>
      </c>
      <c r="EN21" s="21">
        <f t="shared" si="12"/>
        <v>0.5</v>
      </c>
    </row>
    <row r="22" spans="1:144" x14ac:dyDescent="0.3">
      <c r="A22" s="20">
        <v>400</v>
      </c>
      <c r="B22" s="20">
        <f t="shared" si="10"/>
        <v>3</v>
      </c>
      <c r="C22" s="10">
        <f>IF(預測IC!C22&gt;預測IC!C$25,1,0)</f>
        <v>1</v>
      </c>
      <c r="D22" s="10">
        <f>IF(預測IC!D22&gt;預測IC!D$25,1,0)</f>
        <v>0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0</v>
      </c>
      <c r="H22" s="10">
        <f>IF(預測IC!H22&gt;預測IC!H$25,1,0)</f>
        <v>0</v>
      </c>
      <c r="I22" s="10">
        <f>IF(預測IC!I22&gt;預測IC!I$25,1,0)</f>
        <v>0</v>
      </c>
      <c r="J22" s="10">
        <f>IF(預測IC!J22&gt;預測IC!J$25,1,0)</f>
        <v>1</v>
      </c>
      <c r="K22" s="10">
        <f>IF(預測IC!K22&gt;預測IC!K$25,1,0)</f>
        <v>0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0</v>
      </c>
      <c r="O22" s="10">
        <f>IF(預測IC!O22&gt;預測IC!O$25,1,0)</f>
        <v>0</v>
      </c>
      <c r="P22" s="10">
        <f>IF(預測IC!P22&gt;預測IC!P$25,1,0)</f>
        <v>1</v>
      </c>
      <c r="Q22" s="10">
        <f>IF(預測IC!Q22&gt;預測IC!Q$25,1,0)</f>
        <v>0</v>
      </c>
      <c r="R22" s="10">
        <f>IF(預測IC!R22&gt;預測IC!R$25,1,0)</f>
        <v>0</v>
      </c>
      <c r="S22" s="10">
        <f>IF(預測IC!S22&gt;預測IC!S$25,1,0)</f>
        <v>0</v>
      </c>
      <c r="T22" s="10">
        <f>IF(預測IC!T22&gt;預測IC!T$25,1,0)</f>
        <v>0</v>
      </c>
      <c r="U22" s="10">
        <f>IF(預測IC!U22&gt;預測IC!U$25,1,0)</f>
        <v>1</v>
      </c>
      <c r="V22" s="10">
        <f>IF(預測IC!V22&gt;預測IC!V$25,1,0)</f>
        <v>1</v>
      </c>
      <c r="W22" s="10">
        <f>IF(預測IC!W22&gt;預測IC!W$25,1,0)</f>
        <v>1</v>
      </c>
      <c r="X22" s="10">
        <f>IF(預測IC!X22&gt;預測IC!X$25,1,0)</f>
        <v>0</v>
      </c>
      <c r="Y22" s="10">
        <f>IF(預測IC!Y22&gt;預測IC!Y$25,1,0)</f>
        <v>1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0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0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0</v>
      </c>
      <c r="AJ22" s="10">
        <f>IF(預測IC!AJ22&gt;預測IC!AJ$25,1,0)</f>
        <v>1</v>
      </c>
      <c r="AK22" s="10">
        <f>IF(預測IC!AK22&gt;預測IC!AK$25,1,0)</f>
        <v>0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0</v>
      </c>
      <c r="AO22" s="10">
        <f>IF(預測IC!AO22&gt;預測IC!AO$25,1,0)</f>
        <v>1</v>
      </c>
      <c r="AP22" s="10">
        <f>IF(預測IC!AP22&gt;預測IC!AP$25,1,0)</f>
        <v>1</v>
      </c>
      <c r="AQ22" s="10">
        <f>IF(預測IC!AQ22&gt;預測IC!AQ$25,1,0)</f>
        <v>0</v>
      </c>
      <c r="AR22" s="10">
        <f>IF(預測IC!AR22&gt;預測IC!AR$25,1,0)</f>
        <v>1</v>
      </c>
      <c r="AS22" s="10">
        <f>IF(預測IC!AS22&gt;預測IC!AS$25,1,0)</f>
        <v>0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1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0</v>
      </c>
      <c r="BA22" s="10">
        <f>IF(預測IC!BA22&gt;預測IC!BA$25,1,0)</f>
        <v>1</v>
      </c>
      <c r="BB22" s="10">
        <f>IF(預測IC!BB22&gt;預測IC!BB$25,1,0)</f>
        <v>1</v>
      </c>
      <c r="BC22" s="10">
        <f>IF(預測IC!BC22&gt;預測IC!BC$25,1,0)</f>
        <v>1</v>
      </c>
      <c r="BD22" s="10">
        <f>IF(預測IC!BD22&gt;預測IC!BD$25,1,0)</f>
        <v>1</v>
      </c>
      <c r="BE22" s="10">
        <f>IF(預測IC!BE22&gt;預測IC!BE$25,1,0)</f>
        <v>1</v>
      </c>
      <c r="BF22" s="10">
        <f>IF(預測IC!BF22&gt;預測IC!BF$25,1,0)</f>
        <v>0</v>
      </c>
      <c r="BG22" s="10">
        <f>IF(預測IC!BG22&gt;預測IC!BG$25,1,0)</f>
        <v>0</v>
      </c>
      <c r="BH22" s="10">
        <f>IF(預測IC!BH22&gt;預測IC!BH$25,1,0)</f>
        <v>1</v>
      </c>
      <c r="BI22" s="10">
        <f>IF(預測IC!BI22&gt;預測IC!BI$25,1,0)</f>
        <v>1</v>
      </c>
      <c r="BJ22" s="10">
        <f>IF(預測IC!BJ22&gt;預測IC!BJ$25,1,0)</f>
        <v>1</v>
      </c>
      <c r="BK22" s="10">
        <f>IF(預測IC!BK22&gt;預測IC!BK$25,1,0)</f>
        <v>0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0</v>
      </c>
      <c r="BO22" s="10">
        <f>IF(預測IC!BO22&gt;預測IC!BO$25,1,0)</f>
        <v>1</v>
      </c>
      <c r="BP22" s="10">
        <f>IF(預測IC!BP22&gt;預測IC!BP$25,1,0)</f>
        <v>1</v>
      </c>
      <c r="BQ22" s="10">
        <f>IF(預測IC!BQ22&gt;預測IC!BQ$25,1,0)</f>
        <v>1</v>
      </c>
      <c r="BR22" s="10">
        <f>IF(預測IC!BR22&gt;預測IC!BR$25,1,0)</f>
        <v>1</v>
      </c>
      <c r="BS22" s="10">
        <f>IF(預測IC!BS22&gt;預測IC!BS$25,1,0)</f>
        <v>1</v>
      </c>
      <c r="BT22" s="10">
        <f>IF(預測IC!BT22&gt;預測IC!BT$25,1,0)</f>
        <v>1</v>
      </c>
      <c r="BU22" s="10">
        <f>IF(預測IC!BU22&gt;預測IC!BU$25,1,0)</f>
        <v>1</v>
      </c>
      <c r="BV22" s="10">
        <f>IF(預測IC!BV22&gt;預測IC!BV$25,1,0)</f>
        <v>0</v>
      </c>
      <c r="BW22" s="10">
        <f>IF(預測IC!BW22&gt;預測IC!BW$25,1,0)</f>
        <v>0</v>
      </c>
      <c r="BX22" s="10">
        <f>IF(預測IC!BX22&gt;預測IC!BX$25,1,0)</f>
        <v>0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1</v>
      </c>
      <c r="CB22" s="10">
        <f>IF(預測IC!CB22&gt;預測IC!CB$25,1,0)</f>
        <v>1</v>
      </c>
      <c r="CC22" s="10">
        <f>IF(預測IC!CC22&gt;預測IC!CC$25,1,0)</f>
        <v>0</v>
      </c>
      <c r="CD22" s="10">
        <f>IF(預測IC!CD22&gt;預測IC!CD$25,1,0)</f>
        <v>0</v>
      </c>
      <c r="CE22" s="10">
        <f>IF(預測IC!CE22&gt;預測IC!CE$25,1,0)</f>
        <v>1</v>
      </c>
      <c r="CF22" s="10">
        <f>IF(預測IC!CF22&gt;預測IC!CF$25,1,0)</f>
        <v>1</v>
      </c>
      <c r="CG22" s="10">
        <f>IF(預測IC!CG22&gt;預測IC!CG$25,1,0)</f>
        <v>0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1</v>
      </c>
      <c r="CL22" s="10">
        <f>IF(預測IC!CL22&gt;預測IC!CL$25,1,0)</f>
        <v>1</v>
      </c>
      <c r="CM22" s="10">
        <f>IF(預測IC!CM22&gt;預測IC!CM$25,1,0)</f>
        <v>0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0</v>
      </c>
      <c r="CR22" s="10">
        <f>IF(預測IC!CR22&gt;預測IC!CR$25,1,0)</f>
        <v>1</v>
      </c>
      <c r="CS22" s="10">
        <f>IF(預測IC!CS22&gt;預測IC!CS$25,1,0)</f>
        <v>1</v>
      </c>
      <c r="CT22" s="10">
        <f>IF(預測IC!CT22&gt;預測IC!CT$25,1,0)</f>
        <v>0</v>
      </c>
      <c r="CU22" s="10">
        <f>IF(預測IC!CU22&gt;預測IC!CU$25,1,0)</f>
        <v>1</v>
      </c>
      <c r="CV22" s="10">
        <f>IF(預測IC!CV22&gt;預測IC!CV$25,1,0)</f>
        <v>1</v>
      </c>
      <c r="CW22" s="10">
        <f>IF(預測IC!CW22&gt;預測IC!CW$25,1,0)</f>
        <v>0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0</v>
      </c>
      <c r="DB22" s="10">
        <f>IF(預測IC!DB22&gt;預測IC!DB$25,1,0)</f>
        <v>0</v>
      </c>
      <c r="DC22" s="10">
        <f>IF(預測IC!DC22&gt;預測IC!DC$25,1,0)</f>
        <v>1</v>
      </c>
      <c r="DD22" s="10">
        <f>IF(預測IC!DD22&gt;預測IC!DD$25,1,0)</f>
        <v>1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0</v>
      </c>
      <c r="DI22" s="10">
        <f>IF(預測IC!DI22&gt;預測IC!DI$25,1,0)</f>
        <v>1</v>
      </c>
      <c r="DJ22" s="10">
        <f>IF(預測IC!DJ22&gt;預測IC!DJ$25,1,0)</f>
        <v>1</v>
      </c>
      <c r="DK22" s="10">
        <f>IF(預測IC!DK22&gt;預測IC!DK$25,1,0)</f>
        <v>1</v>
      </c>
      <c r="DL22" s="10">
        <f>IF(預測IC!DL22&gt;預測IC!DL$25,1,0)</f>
        <v>0</v>
      </c>
      <c r="DM22" s="10">
        <f>IF(預測IC!DM22&gt;預測IC!DM$25,1,0)</f>
        <v>1</v>
      </c>
      <c r="DN22" s="10">
        <f>IF(預測IC!DN22&gt;預測IC!DN$25,1,0)</f>
        <v>0</v>
      </c>
      <c r="DO22" s="10">
        <f>IF(預測IC!DO22&gt;預測IC!DO$25,1,0)</f>
        <v>1</v>
      </c>
      <c r="DP22" s="10">
        <f>IF(預測IC!DP22&gt;預測IC!DP$25,1,0)</f>
        <v>0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1</v>
      </c>
      <c r="DT22" s="10">
        <f>IF(預測IC!DT22&gt;預測IC!DT$25,1,0)</f>
        <v>0</v>
      </c>
      <c r="DU22" s="10">
        <f>IF(預測IC!DU22&gt;預測IC!DU$25,1,0)</f>
        <v>1</v>
      </c>
      <c r="DV22" s="10">
        <f>IF(預測IC!DV22&gt;預測IC!DV$25,1,0)</f>
        <v>0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1</v>
      </c>
      <c r="EA22" s="10">
        <f>IF(預測IC!EA22&gt;預測IC!EA$25,1,0)</f>
        <v>0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0</v>
      </c>
      <c r="EF22" s="10">
        <f>IF(預測IC!EF22&gt;預測IC!EF$25,1,0)</f>
        <v>0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1</v>
      </c>
      <c r="EL22" s="10">
        <f>IF(預測IC!EL22&gt;預測IC!EL$25,1,0)</f>
        <v>0</v>
      </c>
      <c r="EM22" s="6">
        <f t="shared" si="11"/>
        <v>66</v>
      </c>
      <c r="EN22" s="21">
        <f t="shared" si="12"/>
        <v>0.47142857142857142</v>
      </c>
    </row>
    <row r="23" spans="1:144" x14ac:dyDescent="0.3">
      <c r="A23" s="20">
        <v>512</v>
      </c>
      <c r="B23" s="20">
        <f t="shared" si="10"/>
        <v>2</v>
      </c>
      <c r="C23" s="10">
        <f>IF(預測IC!C23&gt;預測IC!C$25,1,0)</f>
        <v>0</v>
      </c>
      <c r="D23" s="10">
        <f>IF(預測IC!D23&gt;預測IC!D$25,1,0)</f>
        <v>1</v>
      </c>
      <c r="E23" s="10">
        <f>IF(預測IC!E23&gt;預測IC!E$25,1,0)</f>
        <v>1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0</v>
      </c>
      <c r="I23" s="10">
        <f>IF(預測IC!I23&gt;預測IC!I$25,1,0)</f>
        <v>0</v>
      </c>
      <c r="J23" s="10">
        <f>IF(預測IC!J23&gt;預測IC!J$25,1,0)</f>
        <v>1</v>
      </c>
      <c r="K23" s="10">
        <f>IF(預測IC!K23&gt;預測IC!K$25,1,0)</f>
        <v>0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0</v>
      </c>
      <c r="O23" s="10">
        <f>IF(預測IC!O23&gt;預測IC!O$25,1,0)</f>
        <v>0</v>
      </c>
      <c r="P23" s="10">
        <f>IF(預測IC!P23&gt;預測IC!P$25,1,0)</f>
        <v>1</v>
      </c>
      <c r="Q23" s="10">
        <f>IF(預測IC!Q23&gt;預測IC!Q$25,1,0)</f>
        <v>1</v>
      </c>
      <c r="R23" s="10">
        <f>IF(預測IC!R23&gt;預測IC!R$25,1,0)</f>
        <v>0</v>
      </c>
      <c r="S23" s="10">
        <f>IF(預測IC!S23&gt;預測IC!S$25,1,0)</f>
        <v>0</v>
      </c>
      <c r="T23" s="10">
        <f>IF(預測IC!T23&gt;預測IC!T$25,1,0)</f>
        <v>1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1</v>
      </c>
      <c r="X23" s="10">
        <f>IF(預測IC!X23&gt;預測IC!X$25,1,0)</f>
        <v>0</v>
      </c>
      <c r="Y23" s="10">
        <f>IF(預測IC!Y23&gt;預測IC!Y$25,1,0)</f>
        <v>1</v>
      </c>
      <c r="Z23" s="10">
        <f>IF(預測IC!Z23&gt;預測IC!Z$25,1,0)</f>
        <v>0</v>
      </c>
      <c r="AA23" s="10">
        <f>IF(預測IC!AA23&gt;預測IC!AA$25,1,0)</f>
        <v>0</v>
      </c>
      <c r="AB23" s="10">
        <f>IF(預測IC!AB23&gt;預測IC!AB$25,1,0)</f>
        <v>1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0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0</v>
      </c>
      <c r="AJ23" s="10">
        <f>IF(預測IC!AJ23&gt;預測IC!AJ$25,1,0)</f>
        <v>0</v>
      </c>
      <c r="AK23" s="10">
        <f>IF(預測IC!AK23&gt;預測IC!AK$25,1,0)</f>
        <v>0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0</v>
      </c>
      <c r="AP23" s="10">
        <f>IF(預測IC!AP23&gt;預測IC!AP$25,1,0)</f>
        <v>1</v>
      </c>
      <c r="AQ23" s="10">
        <f>IF(預測IC!AQ23&gt;預測IC!AQ$25,1,0)</f>
        <v>0</v>
      </c>
      <c r="AR23" s="10">
        <f>IF(預測IC!AR23&gt;預測IC!AR$25,1,0)</f>
        <v>1</v>
      </c>
      <c r="AS23" s="10">
        <f>IF(預測IC!AS23&gt;預測IC!AS$25,1,0)</f>
        <v>0</v>
      </c>
      <c r="AT23" s="10">
        <f>IF(預測IC!AT23&gt;預測IC!AT$25,1,0)</f>
        <v>1</v>
      </c>
      <c r="AU23" s="10">
        <f>IF(預測IC!AU23&gt;預測IC!AU$25,1,0)</f>
        <v>1</v>
      </c>
      <c r="AV23" s="10">
        <f>IF(預測IC!AV23&gt;預測IC!AV$25,1,0)</f>
        <v>1</v>
      </c>
      <c r="AW23" s="10">
        <f>IF(預測IC!AW23&gt;預測IC!AW$25,1,0)</f>
        <v>0</v>
      </c>
      <c r="AX23" s="10">
        <f>IF(預測IC!AX23&gt;預測IC!AX$25,1,0)</f>
        <v>1</v>
      </c>
      <c r="AY23" s="10">
        <f>IF(預測IC!AY23&gt;預測IC!AY$25,1,0)</f>
        <v>1</v>
      </c>
      <c r="AZ23" s="10">
        <f>IF(預測IC!AZ23&gt;預測IC!AZ$25,1,0)</f>
        <v>0</v>
      </c>
      <c r="BA23" s="10">
        <f>IF(預測IC!BA23&gt;預測IC!BA$25,1,0)</f>
        <v>0</v>
      </c>
      <c r="BB23" s="10">
        <f>IF(預測IC!BB23&gt;預測IC!BB$25,1,0)</f>
        <v>0</v>
      </c>
      <c r="BC23" s="10">
        <f>IF(預測IC!BC23&gt;預測IC!BC$25,1,0)</f>
        <v>1</v>
      </c>
      <c r="BD23" s="10">
        <f>IF(預測IC!BD23&gt;預測IC!BD$25,1,0)</f>
        <v>1</v>
      </c>
      <c r="BE23" s="10">
        <f>IF(預測IC!BE23&gt;預測IC!BE$25,1,0)</f>
        <v>1</v>
      </c>
      <c r="BF23" s="10">
        <f>IF(預測IC!BF23&gt;預測IC!BF$25,1,0)</f>
        <v>0</v>
      </c>
      <c r="BG23" s="10">
        <f>IF(預測IC!BG23&gt;預測IC!BG$25,1,0)</f>
        <v>0</v>
      </c>
      <c r="BH23" s="10">
        <f>IF(預測IC!BH23&gt;預測IC!BH$25,1,0)</f>
        <v>1</v>
      </c>
      <c r="BI23" s="10">
        <f>IF(預測IC!BI23&gt;預測IC!BI$25,1,0)</f>
        <v>1</v>
      </c>
      <c r="BJ23" s="10">
        <f>IF(預測IC!BJ23&gt;預測IC!BJ$25,1,0)</f>
        <v>1</v>
      </c>
      <c r="BK23" s="10">
        <f>IF(預測IC!BK23&gt;預測IC!BK$25,1,0)</f>
        <v>0</v>
      </c>
      <c r="BL23" s="10">
        <f>IF(預測IC!BL23&gt;預測IC!BL$25,1,0)</f>
        <v>0</v>
      </c>
      <c r="BM23" s="10">
        <f>IF(預測IC!BM23&gt;預測IC!BM$25,1,0)</f>
        <v>1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1</v>
      </c>
      <c r="BT23" s="10">
        <f>IF(預測IC!BT23&gt;預測IC!BT$25,1,0)</f>
        <v>1</v>
      </c>
      <c r="BU23" s="10">
        <f>IF(預測IC!BU23&gt;預測IC!BU$25,1,0)</f>
        <v>1</v>
      </c>
      <c r="BV23" s="10">
        <f>IF(預測IC!BV23&gt;預測IC!BV$25,1,0)</f>
        <v>0</v>
      </c>
      <c r="BW23" s="10">
        <f>IF(預測IC!BW23&gt;預測IC!BW$25,1,0)</f>
        <v>0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1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0</v>
      </c>
      <c r="CE23" s="10">
        <f>IF(預測IC!CE23&gt;預測IC!CE$25,1,0)</f>
        <v>0</v>
      </c>
      <c r="CF23" s="10">
        <f>IF(預測IC!CF23&gt;預測IC!CF$25,1,0)</f>
        <v>1</v>
      </c>
      <c r="CG23" s="10">
        <f>IF(預測IC!CG23&gt;預測IC!CG$25,1,0)</f>
        <v>0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1</v>
      </c>
      <c r="CL23" s="10">
        <f>IF(預測IC!CL23&gt;預測IC!CL$25,1,0)</f>
        <v>1</v>
      </c>
      <c r="CM23" s="10">
        <f>IF(預測IC!CM23&gt;預測IC!CM$25,1,0)</f>
        <v>1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0</v>
      </c>
      <c r="CR23" s="10">
        <f>IF(預測IC!CR23&gt;預測IC!CR$25,1,0)</f>
        <v>0</v>
      </c>
      <c r="CS23" s="10">
        <f>IF(預測IC!CS23&gt;預測IC!CS$25,1,0)</f>
        <v>1</v>
      </c>
      <c r="CT23" s="10">
        <f>IF(預測IC!CT23&gt;預測IC!CT$25,1,0)</f>
        <v>0</v>
      </c>
      <c r="CU23" s="10">
        <f>IF(預測IC!CU23&gt;預測IC!CU$25,1,0)</f>
        <v>1</v>
      </c>
      <c r="CV23" s="10">
        <f>IF(預測IC!CV23&gt;預測IC!CV$25,1,0)</f>
        <v>1</v>
      </c>
      <c r="CW23" s="10">
        <f>IF(預測IC!CW23&gt;預測IC!CW$25,1,0)</f>
        <v>0</v>
      </c>
      <c r="CX23" s="10">
        <f>IF(預測IC!CX23&gt;預測IC!CX$25,1,0)</f>
        <v>0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0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0</v>
      </c>
      <c r="DI23" s="10">
        <f>IF(預測IC!DI23&gt;預測IC!DI$25,1,0)</f>
        <v>1</v>
      </c>
      <c r="DJ23" s="10">
        <f>IF(預測IC!DJ23&gt;預測IC!DJ$25,1,0)</f>
        <v>1</v>
      </c>
      <c r="DK23" s="10">
        <f>IF(預測IC!DK23&gt;預測IC!DK$25,1,0)</f>
        <v>1</v>
      </c>
      <c r="DL23" s="10">
        <f>IF(預測IC!DL23&gt;預測IC!DL$25,1,0)</f>
        <v>0</v>
      </c>
      <c r="DM23" s="10">
        <f>IF(預測IC!DM23&gt;預測IC!DM$25,1,0)</f>
        <v>1</v>
      </c>
      <c r="DN23" s="10">
        <f>IF(預測IC!DN23&gt;預測IC!DN$25,1,0)</f>
        <v>0</v>
      </c>
      <c r="DO23" s="10">
        <f>IF(預測IC!DO23&gt;預測IC!DO$25,1,0)</f>
        <v>1</v>
      </c>
      <c r="DP23" s="10">
        <f>IF(預測IC!DP23&gt;預測IC!DP$25,1,0)</f>
        <v>1</v>
      </c>
      <c r="DQ23" s="10">
        <f>IF(預測IC!DQ23&gt;預測IC!DQ$25,1,0)</f>
        <v>1</v>
      </c>
      <c r="DR23" s="10">
        <f>IF(預測IC!DR23&gt;預測IC!DR$25,1,0)</f>
        <v>0</v>
      </c>
      <c r="DS23" s="10">
        <f>IF(預測IC!DS23&gt;預測IC!DS$25,1,0)</f>
        <v>1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1</v>
      </c>
      <c r="EA23" s="10">
        <f>IF(預測IC!EA23&gt;預測IC!EA$25,1,0)</f>
        <v>0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1</v>
      </c>
      <c r="EE23" s="10">
        <f>IF(預測IC!EE23&gt;預測IC!EE$25,1,0)</f>
        <v>1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1</v>
      </c>
      <c r="EK23" s="10">
        <f>IF(預測IC!EK23&gt;預測IC!EK$25,1,0)</f>
        <v>1</v>
      </c>
      <c r="EL23" s="10">
        <f>IF(預測IC!EL23&gt;預測IC!EL$25,1,0)</f>
        <v>1</v>
      </c>
      <c r="EM23" s="6">
        <f t="shared" si="11"/>
        <v>68</v>
      </c>
      <c r="EN23" s="21">
        <f t="shared" si="12"/>
        <v>0.48571428571428571</v>
      </c>
    </row>
    <row r="24" spans="1:144" x14ac:dyDescent="0.3">
      <c r="A24" s="20">
        <v>1051</v>
      </c>
      <c r="B24" s="20">
        <f t="shared" si="10"/>
        <v>1</v>
      </c>
      <c r="C24" s="10">
        <f>IF(預測IC!C24&gt;預測IC!C$25,1,0)</f>
        <v>0</v>
      </c>
      <c r="D24" s="10">
        <f>IF(預測IC!D24&gt;預測IC!D$25,1,0)</f>
        <v>1</v>
      </c>
      <c r="E24" s="10">
        <f>IF(預測IC!E24&gt;預測IC!E$25,1,0)</f>
        <v>1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0</v>
      </c>
      <c r="I24" s="10">
        <f>IF(預測IC!I24&gt;預測IC!I$25,1,0)</f>
        <v>0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0</v>
      </c>
      <c r="O24" s="10">
        <f>IF(預測IC!O24&gt;預測IC!O$25,1,0)</f>
        <v>0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0</v>
      </c>
      <c r="S24" s="10">
        <f>IF(預測IC!S24&gt;預測IC!S$25,1,0)</f>
        <v>0</v>
      </c>
      <c r="T24" s="10">
        <f>IF(預測IC!T24&gt;預測IC!T$25,1,0)</f>
        <v>1</v>
      </c>
      <c r="U24" s="10">
        <f>IF(預測IC!U24&gt;預測IC!U$25,1,0)</f>
        <v>0</v>
      </c>
      <c r="V24" s="10">
        <f>IF(預測IC!V24&gt;預測IC!V$25,1,0)</f>
        <v>1</v>
      </c>
      <c r="W24" s="10">
        <f>IF(預測IC!W24&gt;預測IC!W$25,1,0)</f>
        <v>1</v>
      </c>
      <c r="X24" s="10">
        <f>IF(預測IC!X24&gt;預測IC!X$25,1,0)</f>
        <v>0</v>
      </c>
      <c r="Y24" s="10">
        <f>IF(預測IC!Y24&gt;預測IC!Y$25,1,0)</f>
        <v>1</v>
      </c>
      <c r="Z24" s="10">
        <f>IF(預測IC!Z24&gt;預測IC!Z$25,1,0)</f>
        <v>0</v>
      </c>
      <c r="AA24" s="10">
        <f>IF(預測IC!AA24&gt;預測IC!AA$25,1,0)</f>
        <v>1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0</v>
      </c>
      <c r="AF24" s="10">
        <f>IF(預測IC!AF24&gt;預測IC!AF$25,1,0)</f>
        <v>0</v>
      </c>
      <c r="AG24" s="10">
        <f>IF(預測IC!AG24&gt;預測IC!AG$25,1,0)</f>
        <v>1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0</v>
      </c>
      <c r="AK24" s="10">
        <f>IF(預測IC!AK24&gt;預測IC!AK$25,1,0)</f>
        <v>0</v>
      </c>
      <c r="AL24" s="10">
        <f>IF(預測IC!AL24&gt;預測IC!AL$25,1,0)</f>
        <v>1</v>
      </c>
      <c r="AM24" s="10">
        <f>IF(預測IC!AM24&gt;預測IC!AM$25,1,0)</f>
        <v>1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1</v>
      </c>
      <c r="AQ24" s="10">
        <f>IF(預測IC!AQ24&gt;預測IC!AQ$25,1,0)</f>
        <v>0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0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0</v>
      </c>
      <c r="AY24" s="10">
        <f>IF(預測IC!AY24&gt;預測IC!AY$25,1,0)</f>
        <v>1</v>
      </c>
      <c r="AZ24" s="10">
        <f>IF(預測IC!AZ24&gt;預測IC!AZ$25,1,0)</f>
        <v>0</v>
      </c>
      <c r="BA24" s="10">
        <f>IF(預測IC!BA24&gt;預測IC!BA$25,1,0)</f>
        <v>0</v>
      </c>
      <c r="BB24" s="10">
        <f>IF(預測IC!BB24&gt;預測IC!BB$25,1,0)</f>
        <v>0</v>
      </c>
      <c r="BC24" s="10">
        <f>IF(預測IC!BC24&gt;預測IC!BC$25,1,0)</f>
        <v>1</v>
      </c>
      <c r="BD24" s="10">
        <f>IF(預測IC!BD24&gt;預測IC!BD$25,1,0)</f>
        <v>1</v>
      </c>
      <c r="BE24" s="10">
        <f>IF(預測IC!BE24&gt;預測IC!BE$25,1,0)</f>
        <v>1</v>
      </c>
      <c r="BF24" s="10">
        <f>IF(預測IC!BF24&gt;預測IC!BF$25,1,0)</f>
        <v>0</v>
      </c>
      <c r="BG24" s="10">
        <f>IF(預測IC!BG24&gt;預測IC!BG$25,1,0)</f>
        <v>0</v>
      </c>
      <c r="BH24" s="10">
        <f>IF(預測IC!BH24&gt;預測IC!BH$25,1,0)</f>
        <v>1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0</v>
      </c>
      <c r="BL24" s="10">
        <f>IF(預測IC!BL24&gt;預測IC!BL$25,1,0)</f>
        <v>0</v>
      </c>
      <c r="BM24" s="10">
        <f>IF(預測IC!BM24&gt;預測IC!BM$25,1,0)</f>
        <v>0</v>
      </c>
      <c r="BN24" s="10">
        <f>IF(預測IC!BN24&gt;預測IC!BN$25,1,0)</f>
        <v>1</v>
      </c>
      <c r="BO24" s="10">
        <f>IF(預測IC!BO24&gt;預測IC!BO$25,1,0)</f>
        <v>1</v>
      </c>
      <c r="BP24" s="10">
        <f>IF(預測IC!BP24&gt;預測IC!BP$25,1,0)</f>
        <v>0</v>
      </c>
      <c r="BQ24" s="10">
        <f>IF(預測IC!BQ24&gt;預測IC!BQ$25,1,0)</f>
        <v>1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1</v>
      </c>
      <c r="BV24" s="10">
        <f>IF(預測IC!BV24&gt;預測IC!BV$25,1,0)</f>
        <v>0</v>
      </c>
      <c r="BW24" s="10">
        <f>IF(預測IC!BW24&gt;預測IC!BW$25,1,0)</f>
        <v>0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1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0</v>
      </c>
      <c r="CE24" s="10">
        <f>IF(預測IC!CE24&gt;預測IC!CE$25,1,0)</f>
        <v>0</v>
      </c>
      <c r="CF24" s="10">
        <f>IF(預測IC!CF24&gt;預測IC!CF$25,1,0)</f>
        <v>1</v>
      </c>
      <c r="CG24" s="10">
        <f>IF(預測IC!CG24&gt;預測IC!CG$25,1,0)</f>
        <v>0</v>
      </c>
      <c r="CH24" s="10">
        <f>IF(預測IC!CH24&gt;預測IC!CH$25,1,0)</f>
        <v>0</v>
      </c>
      <c r="CI24" s="10">
        <f>IF(預測IC!CI24&gt;預測IC!CI$25,1,0)</f>
        <v>1</v>
      </c>
      <c r="CJ24" s="10">
        <f>IF(預測IC!CJ24&gt;預測IC!CJ$25,1,0)</f>
        <v>0</v>
      </c>
      <c r="CK24" s="10">
        <f>IF(預測IC!CK24&gt;預測IC!CK$25,1,0)</f>
        <v>0</v>
      </c>
      <c r="CL24" s="10">
        <f>IF(預測IC!CL24&gt;預測IC!CL$25,1,0)</f>
        <v>1</v>
      </c>
      <c r="CM24" s="10">
        <f>IF(預測IC!CM24&gt;預測IC!CM$25,1,0)</f>
        <v>1</v>
      </c>
      <c r="CN24" s="10">
        <f>IF(預測IC!CN24&gt;預測IC!CN$25,1,0)</f>
        <v>0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0</v>
      </c>
      <c r="CR24" s="10">
        <f>IF(預測IC!CR24&gt;預測IC!CR$25,1,0)</f>
        <v>1</v>
      </c>
      <c r="CS24" s="10">
        <f>IF(預測IC!CS24&gt;預測IC!CS$25,1,0)</f>
        <v>1</v>
      </c>
      <c r="CT24" s="10">
        <f>IF(預測IC!CT24&gt;預測IC!CT$25,1,0)</f>
        <v>0</v>
      </c>
      <c r="CU24" s="10">
        <f>IF(預測IC!CU24&gt;預測IC!CU$25,1,0)</f>
        <v>1</v>
      </c>
      <c r="CV24" s="10">
        <f>IF(預測IC!CV24&gt;預測IC!CV$25,1,0)</f>
        <v>1</v>
      </c>
      <c r="CW24" s="10">
        <f>IF(預測IC!CW24&gt;預測IC!CW$25,1,0)</f>
        <v>0</v>
      </c>
      <c r="CX24" s="10">
        <f>IF(預測IC!CX24&gt;預測IC!CX$25,1,0)</f>
        <v>0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0</v>
      </c>
      <c r="DB24" s="10">
        <f>IF(預測IC!DB24&gt;預測IC!DB$25,1,0)</f>
        <v>1</v>
      </c>
      <c r="DC24" s="10">
        <f>IF(預測IC!DC24&gt;預測IC!DC$25,1,0)</f>
        <v>0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0</v>
      </c>
      <c r="DG24" s="10">
        <f>IF(預測IC!DG24&gt;預測IC!DG$25,1,0)</f>
        <v>0</v>
      </c>
      <c r="DH24" s="10">
        <f>IF(預測IC!DH24&gt;預測IC!DH$25,1,0)</f>
        <v>0</v>
      </c>
      <c r="DI24" s="10">
        <f>IF(預測IC!DI24&gt;預測IC!DI$25,1,0)</f>
        <v>1</v>
      </c>
      <c r="DJ24" s="10">
        <f>IF(預測IC!DJ24&gt;預測IC!DJ$25,1,0)</f>
        <v>0</v>
      </c>
      <c r="DK24" s="10">
        <f>IF(預測IC!DK24&gt;預測IC!DK$25,1,0)</f>
        <v>1</v>
      </c>
      <c r="DL24" s="10">
        <f>IF(預測IC!DL24&gt;預測IC!DL$25,1,0)</f>
        <v>0</v>
      </c>
      <c r="DM24" s="10">
        <f>IF(預測IC!DM24&gt;預測IC!DM$25,1,0)</f>
        <v>0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1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1</v>
      </c>
      <c r="DT24" s="10">
        <f>IF(預測IC!DT24&gt;預測IC!DT$25,1,0)</f>
        <v>0</v>
      </c>
      <c r="DU24" s="10">
        <f>IF(預測IC!DU24&gt;預測IC!DU$25,1,0)</f>
        <v>1</v>
      </c>
      <c r="DV24" s="10">
        <f>IF(預測IC!DV24&gt;預測IC!DV$25,1,0)</f>
        <v>1</v>
      </c>
      <c r="DW24" s="10">
        <f>IF(預測IC!DW24&gt;預測IC!DW$25,1,0)</f>
        <v>1</v>
      </c>
      <c r="DX24" s="10">
        <f>IF(預測IC!DX24&gt;預測IC!DX$25,1,0)</f>
        <v>1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0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1</v>
      </c>
      <c r="EJ24" s="10">
        <f>IF(預測IC!EJ24&gt;預測IC!EJ$25,1,0)</f>
        <v>1</v>
      </c>
      <c r="EK24" s="10">
        <f>IF(預測IC!EK24&gt;預測IC!EK$25,1,0)</f>
        <v>0</v>
      </c>
      <c r="EL24" s="10">
        <f>IF(預測IC!EL24&gt;預測IC!EL$25,1,0)</f>
        <v>1</v>
      </c>
      <c r="EM24" s="6">
        <f t="shared" si="11"/>
        <v>64</v>
      </c>
      <c r="EN24" s="21">
        <f t="shared" si="12"/>
        <v>0.45714285714285713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2" t="s">
        <v>147</v>
      </c>
      <c r="B10" s="23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20">
        <v>10</v>
      </c>
      <c r="B12" s="20">
        <f t="shared" ref="B12:B24" si="10">ROUND($D$10/A12,0)</f>
        <v>105</v>
      </c>
      <c r="C12" s="2">
        <v>8.0850794339180423E-3</v>
      </c>
      <c r="D12" s="2">
        <f>C12+預測IC!D12</f>
        <v>3.6273022719572487E-2</v>
      </c>
      <c r="E12" s="2">
        <f>D12+預測IC!E12</f>
        <v>7.4534804148423867E-2</v>
      </c>
      <c r="F12" s="2">
        <f>E12+預測IC!F12</f>
        <v>6.7189694708318898E-2</v>
      </c>
      <c r="G12" s="2">
        <f>F12+預測IC!G12</f>
        <v>5.2032758812329452E-2</v>
      </c>
      <c r="H12" s="2">
        <f>G12+預測IC!H12</f>
        <v>8.9697466671521398E-3</v>
      </c>
      <c r="I12" s="2">
        <f>H12+預測IC!I12</f>
        <v>3.2116049327960798E-2</v>
      </c>
      <c r="J12" s="2">
        <f>I12+預測IC!J12</f>
        <v>3.3289966117179492E-2</v>
      </c>
      <c r="K12" s="2">
        <f>J12+預測IC!K12</f>
        <v>2.5311550707564929E-2</v>
      </c>
      <c r="L12" s="2">
        <f>K12+預測IC!L12</f>
        <v>9.9769052620662692E-3</v>
      </c>
      <c r="M12" s="2">
        <f>L12+預測IC!M12</f>
        <v>6.2895098604671979E-3</v>
      </c>
      <c r="N12" s="2">
        <f>M12+預測IC!N12</f>
        <v>-5.6179094924172494E-2</v>
      </c>
      <c r="O12" s="2">
        <f>N12+預測IC!O12</f>
        <v>-3.7150999516570103E-2</v>
      </c>
      <c r="P12" s="2">
        <f>O12+預測IC!P12</f>
        <v>-3.8900765487498892E-2</v>
      </c>
      <c r="Q12" s="2">
        <f>P12+預測IC!Q12</f>
        <v>-6.3479333968336549E-2</v>
      </c>
      <c r="R12" s="2">
        <f>Q12+預測IC!R12</f>
        <v>-5.0319618548508083E-2</v>
      </c>
      <c r="S12" s="2">
        <f>R12+預測IC!S12</f>
        <v>-0.1146571250604944</v>
      </c>
      <c r="T12" s="2">
        <f>S12+預測IC!T12</f>
        <v>-0.15476216415630356</v>
      </c>
      <c r="U12" s="2">
        <f>T12+預測IC!U12</f>
        <v>-0.13395919766552597</v>
      </c>
      <c r="V12" s="2">
        <f>U12+預測IC!V12</f>
        <v>-0.17894084310617975</v>
      </c>
      <c r="W12" s="2">
        <f>V12+預測IC!W12</f>
        <v>-0.16963197899642066</v>
      </c>
      <c r="X12" s="2">
        <f>W12+預測IC!X12</f>
        <v>-0.13837879248370319</v>
      </c>
      <c r="Y12" s="2">
        <f>X12+預測IC!Y12</f>
        <v>-0.10165716997679511</v>
      </c>
      <c r="Z12" s="2">
        <f>Y12+預測IC!Z12</f>
        <v>-9.8244921628611592E-2</v>
      </c>
      <c r="AA12" s="2">
        <f>Z12+預測IC!AA12</f>
        <v>-0.13115315933484414</v>
      </c>
      <c r="AB12" s="2">
        <f>AA12+預測IC!AB12</f>
        <v>-0.12791882194114332</v>
      </c>
      <c r="AC12" s="2">
        <f>AB12+預測IC!AC12</f>
        <v>-0.11720050444120585</v>
      </c>
      <c r="AD12" s="2">
        <f>AC12+預測IC!AD12</f>
        <v>-0.12927732696184202</v>
      </c>
      <c r="AE12" s="2">
        <f>AD12+預測IC!AE12</f>
        <v>-0.17423127074839326</v>
      </c>
      <c r="AF12" s="2">
        <f>AE12+預測IC!AF12</f>
        <v>-0.20863638185772679</v>
      </c>
      <c r="AG12" s="2">
        <f>AF12+預測IC!AG12</f>
        <v>-0.19947283512472347</v>
      </c>
      <c r="AH12" s="2">
        <f>AG12+預測IC!AH12</f>
        <v>-0.19556097515018428</v>
      </c>
      <c r="AI12" s="2">
        <f>AH12+預測IC!AI12</f>
        <v>-0.20829116685531723</v>
      </c>
      <c r="AJ12" s="2">
        <f>AI12+預測IC!AJ12</f>
        <v>-0.23411590764169329</v>
      </c>
      <c r="AK12" s="2">
        <f>AJ12+預測IC!AK12</f>
        <v>-0.2752306008944822</v>
      </c>
      <c r="AL12" s="2">
        <f>AK12+預測IC!AL12</f>
        <v>-0.22776068629404758</v>
      </c>
      <c r="AM12" s="2">
        <f>AL12+預測IC!AM12</f>
        <v>-0.21466236852100604</v>
      </c>
      <c r="AN12" s="2">
        <f>AM12+預測IC!AN12</f>
        <v>-0.26227981609006223</v>
      </c>
      <c r="AO12" s="2">
        <f>AN12+預測IC!AO12</f>
        <v>-0.24137033970006813</v>
      </c>
      <c r="AP12" s="2">
        <f>AO12+預測IC!AP12</f>
        <v>-0.21983079143815293</v>
      </c>
      <c r="AQ12" s="2">
        <f>AP12+預測IC!AQ12</f>
        <v>-0.21257007846941878</v>
      </c>
      <c r="AR12" s="2">
        <f>AQ12+預測IC!AR12</f>
        <v>-0.19129337673619481</v>
      </c>
      <c r="AS12" s="2">
        <f>AR12+預測IC!AS12</f>
        <v>-0.19117867603123204</v>
      </c>
      <c r="AT12" s="2">
        <f>AS12+預測IC!AT12</f>
        <v>-0.21626114823918297</v>
      </c>
      <c r="AU12" s="2">
        <f>AT12+預測IC!AU12</f>
        <v>-0.15275161819744265</v>
      </c>
      <c r="AV12" s="2">
        <f>AU12+預測IC!AV12</f>
        <v>-0.12619120671532646</v>
      </c>
      <c r="AW12" s="2">
        <f>AV12+預測IC!AW12</f>
        <v>-0.13160079966867841</v>
      </c>
      <c r="AX12" s="2">
        <f>AW12+預測IC!AX12</f>
        <v>-0.12344273242178505</v>
      </c>
      <c r="AY12" s="2">
        <f>AX12+預測IC!AY12</f>
        <v>-0.12687530321943619</v>
      </c>
      <c r="AZ12" s="2">
        <f>AY12+預測IC!AZ12</f>
        <v>-0.14003947284491641</v>
      </c>
      <c r="BA12" s="2">
        <f>AZ12+預測IC!BA12</f>
        <v>-9.8614090469002755E-2</v>
      </c>
      <c r="BB12" s="2">
        <f>BA12+預測IC!BB12</f>
        <v>-7.5010460564215287E-2</v>
      </c>
      <c r="BC12" s="2">
        <f>BB12+預測IC!BC12</f>
        <v>-7.7274921253444873E-2</v>
      </c>
      <c r="BD12" s="2">
        <f>BC12+預測IC!BD12</f>
        <v>-6.2426972196971305E-2</v>
      </c>
      <c r="BE12" s="2">
        <f>BD12+預測IC!BE12</f>
        <v>-1.6289230730224175E-2</v>
      </c>
      <c r="BF12" s="2">
        <f>BE12+預測IC!BF12</f>
        <v>-2.5935017721806435E-2</v>
      </c>
      <c r="BG12" s="2">
        <f>BF12+預測IC!BG12</f>
        <v>-1.5160417950148546E-2</v>
      </c>
      <c r="BH12" s="2">
        <f>BG12+預測IC!BH12</f>
        <v>-3.8573436127902899E-2</v>
      </c>
      <c r="BI12" s="2">
        <f>BH12+預測IC!BI12</f>
        <v>1.1130088796412918E-2</v>
      </c>
      <c r="BJ12" s="2">
        <f>BI12+預測IC!BJ12</f>
        <v>3.0103441686123847E-2</v>
      </c>
      <c r="BK12" s="2">
        <f>BJ12+預測IC!BK12</f>
        <v>5.0221274755979754E-3</v>
      </c>
      <c r="BL12" s="2">
        <f>BK12+預測IC!BL12</f>
        <v>-1.1011943302057584E-2</v>
      </c>
      <c r="BM12" s="2">
        <f>BL12+預測IC!BM12</f>
        <v>-5.1313542920857644E-2</v>
      </c>
      <c r="BN12" s="2">
        <f>BM12+預測IC!BN12</f>
        <v>-2.1275620141662843E-2</v>
      </c>
      <c r="BO12" s="2">
        <f>BN12+預測IC!BO12</f>
        <v>-3.944916134672783E-3</v>
      </c>
      <c r="BP12" s="2">
        <f>BO12+預測IC!BP12</f>
        <v>4.3024717762550919E-3</v>
      </c>
      <c r="BQ12" s="2">
        <f>BP12+預測IC!BQ12</f>
        <v>-1.4516053986707468E-2</v>
      </c>
      <c r="BR12" s="2">
        <f>BQ12+預測IC!BR12</f>
        <v>-2.032222212638346E-2</v>
      </c>
      <c r="BS12" s="2">
        <f>BR12+預測IC!BS12</f>
        <v>-2.1897496215595853E-2</v>
      </c>
      <c r="BT12" s="2">
        <f>BS12+預測IC!BT12</f>
        <v>-1.3083985143229997E-2</v>
      </c>
      <c r="BU12" s="2">
        <f>BT12+預測IC!BU12</f>
        <v>-7.6002837716820466E-3</v>
      </c>
      <c r="BV12" s="2">
        <f>BU12+預測IC!BV12</f>
        <v>1.7856733060960073E-2</v>
      </c>
      <c r="BW12" s="2">
        <f>BV12+預測IC!BW12</f>
        <v>-3.4535164964089482E-2</v>
      </c>
      <c r="BX12" s="2">
        <f>BW12+預測IC!BX12</f>
        <v>-1.6336178744546622E-2</v>
      </c>
      <c r="BY12" s="2">
        <f>BX12+預測IC!BY12</f>
        <v>-3.5845455974351341E-2</v>
      </c>
      <c r="BZ12" s="2">
        <f>BY12+預測IC!BZ12</f>
        <v>5.0288722386891763E-3</v>
      </c>
      <c r="CA12" s="2">
        <f>BZ12+預測IC!CA12</f>
        <v>8.834881899584604E-4</v>
      </c>
      <c r="CB12" s="2">
        <f>CA12+預測IC!CB12</f>
        <v>-7.6535603710109132E-3</v>
      </c>
      <c r="CC12" s="2">
        <f>CB12+預測IC!CC12</f>
        <v>4.721886283392622E-2</v>
      </c>
      <c r="CD12" s="2">
        <f>CC12+預測IC!CD12</f>
        <v>9.9322400798883853E-2</v>
      </c>
      <c r="CE12" s="2">
        <f>CD12+預測IC!CE12</f>
        <v>0.24073895013222626</v>
      </c>
      <c r="CF12" s="2">
        <f>CE12+預測IC!CF12</f>
        <v>0.27292073858786298</v>
      </c>
      <c r="CG12" s="2">
        <f>CF12+預測IC!CG12</f>
        <v>0.27578893088095729</v>
      </c>
      <c r="CH12" s="2">
        <f>CG12+預測IC!CH12</f>
        <v>0.34362160302147748</v>
      </c>
      <c r="CI12" s="2">
        <f>CH12+預測IC!CI12</f>
        <v>0.37420985234503928</v>
      </c>
      <c r="CJ12" s="2">
        <f>CI12+預測IC!CJ12</f>
        <v>0.38523260407440091</v>
      </c>
      <c r="CK12" s="2">
        <f>CJ12+預測IC!CK12</f>
        <v>0.3991177011299184</v>
      </c>
      <c r="CL12" s="2">
        <f>CK12+預測IC!CL12</f>
        <v>0.4324514589735256</v>
      </c>
      <c r="CM12" s="2">
        <f>CL12+預測IC!CM12</f>
        <v>0.49688228870121626</v>
      </c>
      <c r="CN12" s="2">
        <f>CM12+預測IC!CN12</f>
        <v>0.46439764370880066</v>
      </c>
      <c r="CO12" s="2">
        <f>CN12+預測IC!CO12</f>
        <v>0.39607677269078201</v>
      </c>
      <c r="CP12" s="2">
        <f>CO12+預測IC!CP12</f>
        <v>0.44212801260207463</v>
      </c>
      <c r="CQ12" s="2">
        <f>CP12+預測IC!CQ12</f>
        <v>0.38491715612467398</v>
      </c>
      <c r="CR12" s="2">
        <f>CQ12+預測IC!CR12</f>
        <v>0.43286314569282114</v>
      </c>
      <c r="CS12" s="2">
        <f>CR12+預測IC!CS12</f>
        <v>0.43858918896442473</v>
      </c>
      <c r="CT12" s="2">
        <f>CS12+預測IC!CT12</f>
        <v>0.44509790262993448</v>
      </c>
      <c r="CU12" s="2">
        <f>CT12+預測IC!CU12</f>
        <v>0.42129505965314629</v>
      </c>
      <c r="CV12" s="2">
        <f>CU12+預測IC!CV12</f>
        <v>0.4400394712241032</v>
      </c>
      <c r="CW12" s="2">
        <f>CV12+預測IC!CW12</f>
        <v>0.46681250254805506</v>
      </c>
      <c r="CX12" s="2">
        <f>CW12+預測IC!CX12</f>
        <v>0.44594030646827154</v>
      </c>
      <c r="CY12" s="2">
        <f>CX12+預測IC!CY12</f>
        <v>0.41447133076724846</v>
      </c>
      <c r="CZ12" s="2">
        <f>CY12+預測IC!CZ12</f>
        <v>0.50283239781923428</v>
      </c>
      <c r="DA12" s="2">
        <f>CZ12+預測IC!DA12</f>
        <v>0.48657012302822766</v>
      </c>
      <c r="DB12" s="2">
        <f>DA12+預測IC!DB12</f>
        <v>0.47038095368434513</v>
      </c>
      <c r="DC12" s="2">
        <f>DB12+預測IC!DC12</f>
        <v>0.44445802173967264</v>
      </c>
      <c r="DD12" s="2">
        <f>DC12+預測IC!DD12</f>
        <v>0.46827973708289267</v>
      </c>
      <c r="DE12" s="2">
        <f>DD12+預測IC!DE12</f>
        <v>0.44842704599282951</v>
      </c>
      <c r="DF12" s="2">
        <f>DE12+預測IC!DF12</f>
        <v>0.43574666966114328</v>
      </c>
      <c r="DG12" s="2">
        <f>DF12+預測IC!DG12</f>
        <v>0.39509485540073019</v>
      </c>
      <c r="DH12" s="2">
        <f>DG12+預測IC!DH12</f>
        <v>0.39585008891019635</v>
      </c>
      <c r="DI12" s="2">
        <f>DH12+預測IC!DI12</f>
        <v>0.35008072350132069</v>
      </c>
      <c r="DJ12" s="2">
        <f>DI12+預測IC!DJ12</f>
        <v>0.38044261589486639</v>
      </c>
      <c r="DK12" s="2">
        <f>DJ12+預測IC!DK12</f>
        <v>0.4145835164021377</v>
      </c>
      <c r="DL12" s="2">
        <f>DK12+預測IC!DL12</f>
        <v>0.41404010936703212</v>
      </c>
      <c r="DM12" s="2">
        <f>DL12+預測IC!DM12</f>
        <v>0.39205533149037619</v>
      </c>
      <c r="DN12" s="2">
        <f>DM12+預測IC!DN12</f>
        <v>0.42060647053674804</v>
      </c>
      <c r="DO12" s="2">
        <f>DN12+預測IC!DO12</f>
        <v>0.44494858607776483</v>
      </c>
      <c r="DP12" s="2">
        <f>DO12+預測IC!DP12</f>
        <v>0.50330058985745896</v>
      </c>
      <c r="DQ12" s="2">
        <f>DP12+預測IC!DQ12</f>
        <v>0.54448616371805147</v>
      </c>
      <c r="DR12" s="2">
        <f>DQ12+預測IC!DR12</f>
        <v>0.56609685542213772</v>
      </c>
      <c r="DS12" s="2">
        <f>DR12+預測IC!DS12</f>
        <v>0.60861779788302761</v>
      </c>
      <c r="DT12" s="2">
        <f>DS12+預測IC!DT12</f>
        <v>0.56020917717083851</v>
      </c>
      <c r="DU12" s="2">
        <f>DT12+預測IC!DU12</f>
        <v>0.55260739585436225</v>
      </c>
      <c r="DV12" s="2">
        <f>DU12+預測IC!DV12</f>
        <v>0.57307950574843047</v>
      </c>
      <c r="DW12" s="2">
        <f>DV12+預測IC!DW12</f>
        <v>0.63097672999050303</v>
      </c>
      <c r="DX12" s="2">
        <f>DW12+預測IC!DX12</f>
        <v>0.58530231578444247</v>
      </c>
      <c r="DY12" s="2">
        <f>DX12+預測IC!DY12</f>
        <v>0.63394095486184177</v>
      </c>
      <c r="DZ12" s="2">
        <f>DY12+預測IC!DZ12</f>
        <v>0.63629891839525143</v>
      </c>
      <c r="EA12" s="2">
        <f>DZ12+預測IC!EA12</f>
        <v>0.56254853339295097</v>
      </c>
      <c r="EB12" s="2">
        <f>EA12+預測IC!EB12</f>
        <v>0.56612639661609432</v>
      </c>
      <c r="EC12" s="2">
        <f>EB12+預測IC!EC12</f>
        <v>0.55217790355656815</v>
      </c>
      <c r="ED12" s="2">
        <f>EC12+預測IC!ED12</f>
        <v>0.5426776302556211</v>
      </c>
      <c r="EE12" s="2">
        <f>ED12+預測IC!EE12</f>
        <v>0.57084435749741902</v>
      </c>
      <c r="EF12" s="2">
        <f>EE12+預測IC!EF12</f>
        <v>0.54901187506353677</v>
      </c>
      <c r="EG12" s="2">
        <f>EF12+預測IC!EG12</f>
        <v>0.56284628118026059</v>
      </c>
      <c r="EH12" s="2">
        <f>EG12+預測IC!EH12</f>
        <v>0.55407797737534403</v>
      </c>
      <c r="EI12" s="2">
        <f>EH12+預測IC!EI12</f>
        <v>0.53690503220507824</v>
      </c>
      <c r="EJ12" s="2">
        <f>EI12+預測IC!EJ12</f>
        <v>0.46889401839117623</v>
      </c>
      <c r="EK12" s="2">
        <f>EJ12+預測IC!EK12</f>
        <v>0.45892089673930342</v>
      </c>
      <c r="EL12" s="2">
        <f>EK12+預測IC!EL12</f>
        <v>0.47569361410815331</v>
      </c>
    </row>
    <row r="13" spans="1:142" x14ac:dyDescent="0.3">
      <c r="A13" s="20">
        <v>20</v>
      </c>
      <c r="B13" s="20">
        <f t="shared" si="10"/>
        <v>53</v>
      </c>
      <c r="C13" s="2">
        <v>-2.950459453302642E-2</v>
      </c>
      <c r="D13" s="2">
        <f>C13+預測IC!D13</f>
        <v>1.6304883391612412E-2</v>
      </c>
      <c r="E13" s="2">
        <f>D13+預測IC!E13</f>
        <v>6.5523991907034507E-2</v>
      </c>
      <c r="F13" s="2">
        <f>E13+預測IC!F13</f>
        <v>2.7536836478838048E-2</v>
      </c>
      <c r="G13" s="2">
        <f>F13+預測IC!G13</f>
        <v>1.2332133531889538E-2</v>
      </c>
      <c r="H13" s="2">
        <f>G13+預測IC!H13</f>
        <v>-1.6919130259771202E-2</v>
      </c>
      <c r="I13" s="2">
        <f>H13+預測IC!I13</f>
        <v>-2.8013288403618733E-2</v>
      </c>
      <c r="J13" s="2">
        <f>I13+預測IC!J13</f>
        <v>-3.8189211345391424E-2</v>
      </c>
      <c r="K13" s="2">
        <f>J13+預測IC!K13</f>
        <v>-7.4127156472695355E-2</v>
      </c>
      <c r="L13" s="2">
        <f>K13+預測IC!L13</f>
        <v>-7.485026003215578E-2</v>
      </c>
      <c r="M13" s="2">
        <f>L13+預測IC!M13</f>
        <v>-5.493505363179766E-2</v>
      </c>
      <c r="N13" s="2">
        <f>M13+預測IC!N13</f>
        <v>-0.13793871061810986</v>
      </c>
      <c r="O13" s="2">
        <f>N13+預測IC!O13</f>
        <v>-0.11525748078162151</v>
      </c>
      <c r="P13" s="2">
        <f>O13+預測IC!P13</f>
        <v>-9.9301759975450571E-2</v>
      </c>
      <c r="Q13" s="2">
        <f>P13+預測IC!Q13</f>
        <v>-0.15439975055028493</v>
      </c>
      <c r="R13" s="2">
        <f>Q13+預測IC!R13</f>
        <v>-0.145273511506503</v>
      </c>
      <c r="S13" s="2">
        <f>R13+預測IC!S13</f>
        <v>-0.21812141277688019</v>
      </c>
      <c r="T13" s="2">
        <f>S13+預測IC!T13</f>
        <v>-0.27738841695482441</v>
      </c>
      <c r="U13" s="2">
        <f>T13+預測IC!U13</f>
        <v>-0.26277042132608103</v>
      </c>
      <c r="V13" s="2">
        <f>U13+預測IC!V13</f>
        <v>-0.29869564952077471</v>
      </c>
      <c r="W13" s="2">
        <f>V13+預測IC!W13</f>
        <v>-0.28886200314722627</v>
      </c>
      <c r="X13" s="2">
        <f>W13+預測IC!X13</f>
        <v>-0.24904988881957174</v>
      </c>
      <c r="Y13" s="2">
        <f>X13+預測IC!Y13</f>
        <v>-0.24040298172827035</v>
      </c>
      <c r="Z13" s="2">
        <f>Y13+預測IC!Z13</f>
        <v>-0.22532933212193515</v>
      </c>
      <c r="AA13" s="2">
        <f>Z13+預測IC!AA13</f>
        <v>-0.2531863372351536</v>
      </c>
      <c r="AB13" s="2">
        <f>AA13+預測IC!AB13</f>
        <v>-0.23633429914205603</v>
      </c>
      <c r="AC13" s="2">
        <f>AB13+預測IC!AC13</f>
        <v>-0.2289812779486752</v>
      </c>
      <c r="AD13" s="2">
        <f>AC13+預測IC!AD13</f>
        <v>-0.23544761511399503</v>
      </c>
      <c r="AE13" s="2">
        <f>AD13+預測IC!AE13</f>
        <v>-0.30136634141519353</v>
      </c>
      <c r="AF13" s="2">
        <f>AE13+預測IC!AF13</f>
        <v>-0.3500203476819802</v>
      </c>
      <c r="AG13" s="2">
        <f>AF13+預測IC!AG13</f>
        <v>-0.34206293996438769</v>
      </c>
      <c r="AH13" s="2">
        <f>AG13+預測IC!AH13</f>
        <v>-0.32968969678964455</v>
      </c>
      <c r="AI13" s="2">
        <f>AH13+預測IC!AI13</f>
        <v>-0.34164496662297178</v>
      </c>
      <c r="AJ13" s="2">
        <f>AI13+預測IC!AJ13</f>
        <v>-0.34401695288582401</v>
      </c>
      <c r="AK13" s="2">
        <f>AJ13+預測IC!AK13</f>
        <v>-0.40771007743630533</v>
      </c>
      <c r="AL13" s="2">
        <f>AK13+預測IC!AL13</f>
        <v>-0.36854993358499022</v>
      </c>
      <c r="AM13" s="2">
        <f>AL13+預測IC!AM13</f>
        <v>-0.37393632814133337</v>
      </c>
      <c r="AN13" s="2">
        <f>AM13+預測IC!AN13</f>
        <v>-0.43736932718528265</v>
      </c>
      <c r="AO13" s="2">
        <f>AN13+預測IC!AO13</f>
        <v>-0.42120068081238504</v>
      </c>
      <c r="AP13" s="2">
        <f>AO13+預測IC!AP13</f>
        <v>-0.37580221172184436</v>
      </c>
      <c r="AQ13" s="2">
        <f>AP13+預測IC!AQ13</f>
        <v>-0.37281236691026859</v>
      </c>
      <c r="AR13" s="2">
        <f>AQ13+預測IC!AR13</f>
        <v>-0.34126044598056537</v>
      </c>
      <c r="AS13" s="2">
        <f>AR13+預測IC!AS13</f>
        <v>-0.35842908587633382</v>
      </c>
      <c r="AT13" s="2">
        <f>AS13+預測IC!AT13</f>
        <v>-0.34966444302013222</v>
      </c>
      <c r="AU13" s="2">
        <f>AT13+預測IC!AU13</f>
        <v>-0.27664631323699346</v>
      </c>
      <c r="AV13" s="2">
        <f>AU13+預測IC!AV13</f>
        <v>-0.24466714906558162</v>
      </c>
      <c r="AW13" s="2">
        <f>AV13+預測IC!AW13</f>
        <v>-0.24735480392270104</v>
      </c>
      <c r="AX13" s="2">
        <f>AW13+預測IC!AX13</f>
        <v>-0.25002147662344737</v>
      </c>
      <c r="AY13" s="2">
        <f>AX13+預測IC!AY13</f>
        <v>-0.24284332185042984</v>
      </c>
      <c r="AZ13" s="2">
        <f>AY13+預測IC!AZ13</f>
        <v>-0.25418679002711447</v>
      </c>
      <c r="BA13" s="2">
        <f>AZ13+預測IC!BA13</f>
        <v>-0.22106657020946124</v>
      </c>
      <c r="BB13" s="2">
        <f>BA13+預測IC!BB13</f>
        <v>-0.17230412658244118</v>
      </c>
      <c r="BC13" s="2">
        <f>BB13+預測IC!BC13</f>
        <v>-0.16369719788933454</v>
      </c>
      <c r="BD13" s="2">
        <f>BC13+預測IC!BD13</f>
        <v>-0.14899444231706283</v>
      </c>
      <c r="BE13" s="2">
        <f>BD13+預測IC!BE13</f>
        <v>-9.8472979685217593E-2</v>
      </c>
      <c r="BF13" s="2">
        <f>BE13+預測IC!BF13</f>
        <v>-0.11082911065653119</v>
      </c>
      <c r="BG13" s="2">
        <f>BF13+預測IC!BG13</f>
        <v>-0.11332929092007872</v>
      </c>
      <c r="BH13" s="2">
        <f>BG13+預測IC!BH13</f>
        <v>-0.13862920569040701</v>
      </c>
      <c r="BI13" s="2">
        <f>BH13+預測IC!BI13</f>
        <v>-8.7950048519707891E-2</v>
      </c>
      <c r="BJ13" s="2">
        <f>BI13+預測IC!BJ13</f>
        <v>-7.3570693208266508E-2</v>
      </c>
      <c r="BK13" s="2">
        <f>BJ13+預測IC!BK13</f>
        <v>-9.6007467237854346E-2</v>
      </c>
      <c r="BL13" s="2">
        <f>BK13+預測IC!BL13</f>
        <v>-0.12615709419672838</v>
      </c>
      <c r="BM13" s="2">
        <f>BL13+預測IC!BM13</f>
        <v>-0.1727696097617038</v>
      </c>
      <c r="BN13" s="2">
        <f>BM13+預測IC!BN13</f>
        <v>-0.14530324689048751</v>
      </c>
      <c r="BO13" s="2">
        <f>BN13+預測IC!BO13</f>
        <v>-0.13585235259493497</v>
      </c>
      <c r="BP13" s="2">
        <f>BO13+預測IC!BP13</f>
        <v>-0.12173741194863631</v>
      </c>
      <c r="BQ13" s="2">
        <f>BP13+預測IC!BQ13</f>
        <v>-0.16397697138658468</v>
      </c>
      <c r="BR13" s="2">
        <f>BQ13+預測IC!BR13</f>
        <v>-0.16991452376235761</v>
      </c>
      <c r="BS13" s="2">
        <f>BR13+預測IC!BS13</f>
        <v>-0.16297473860733552</v>
      </c>
      <c r="BT13" s="2">
        <f>BS13+預測IC!BT13</f>
        <v>-0.16800011678181082</v>
      </c>
      <c r="BU13" s="2">
        <f>BT13+預測IC!BU13</f>
        <v>-0.16242420542450209</v>
      </c>
      <c r="BV13" s="2">
        <f>BU13+預測IC!BV13</f>
        <v>-0.14529888084093923</v>
      </c>
      <c r="BW13" s="2">
        <f>BV13+預測IC!BW13</f>
        <v>-0.25018892250791036</v>
      </c>
      <c r="BX13" s="2">
        <f>BW13+預測IC!BX13</f>
        <v>-0.22567110050828895</v>
      </c>
      <c r="BY13" s="2">
        <f>BX13+預測IC!BY13</f>
        <v>-0.23473478526278871</v>
      </c>
      <c r="BZ13" s="2">
        <f>BY13+預測IC!BZ13</f>
        <v>-0.16753865406484961</v>
      </c>
      <c r="CA13" s="2">
        <f>BZ13+預測IC!CA13</f>
        <v>-0.15131738341833223</v>
      </c>
      <c r="CB13" s="2">
        <f>CA13+預測IC!CB13</f>
        <v>-0.17927394456533113</v>
      </c>
      <c r="CC13" s="2">
        <f>CB13+預測IC!CC13</f>
        <v>-8.2984242848575307E-2</v>
      </c>
      <c r="CD13" s="2">
        <f>CC13+預測IC!CD13</f>
        <v>-8.6169997350570945E-2</v>
      </c>
      <c r="CE13" s="2">
        <f>CD13+預測IC!CE13</f>
        <v>9.8032320479149768E-2</v>
      </c>
      <c r="CF13" s="2">
        <f>CE13+預測IC!CF13</f>
        <v>0.14551580545455328</v>
      </c>
      <c r="CG13" s="2">
        <f>CF13+預測IC!CG13</f>
        <v>0.14981165049276923</v>
      </c>
      <c r="CH13" s="2">
        <f>CG13+預測IC!CH13</f>
        <v>0.1993663935636999</v>
      </c>
      <c r="CI13" s="2">
        <f>CH13+預測IC!CI13</f>
        <v>0.24945963996127521</v>
      </c>
      <c r="CJ13" s="2">
        <f>CI13+預測IC!CJ13</f>
        <v>0.27446007836943381</v>
      </c>
      <c r="CK13" s="2">
        <f>CJ13+預測IC!CK13</f>
        <v>0.30139223577471874</v>
      </c>
      <c r="CL13" s="2">
        <f>CK13+預測IC!CL13</f>
        <v>0.33509766868713603</v>
      </c>
      <c r="CM13" s="2">
        <f>CL13+預測IC!CM13</f>
        <v>0.41788943817802426</v>
      </c>
      <c r="CN13" s="2">
        <f>CM13+預測IC!CN13</f>
        <v>0.38041059165799279</v>
      </c>
      <c r="CO13" s="2">
        <f>CN13+預測IC!CO13</f>
        <v>0.30129509262556275</v>
      </c>
      <c r="CP13" s="2">
        <f>CO13+預測IC!CP13</f>
        <v>0.36808882868602044</v>
      </c>
      <c r="CQ13" s="2">
        <f>CP13+預測IC!CQ13</f>
        <v>0.31144709654659974</v>
      </c>
      <c r="CR13" s="2">
        <f>CQ13+預測IC!CR13</f>
        <v>0.38296631595927128</v>
      </c>
      <c r="CS13" s="2">
        <f>CR13+預測IC!CS13</f>
        <v>0.38619732241413735</v>
      </c>
      <c r="CT13" s="2">
        <f>CS13+預測IC!CT13</f>
        <v>0.39472579066052121</v>
      </c>
      <c r="CU13" s="2">
        <f>CT13+預測IC!CU13</f>
        <v>0.35951029271435664</v>
      </c>
      <c r="CV13" s="2">
        <f>CU13+預測IC!CV13</f>
        <v>0.37657839732175413</v>
      </c>
      <c r="CW13" s="2">
        <f>CV13+預測IC!CW13</f>
        <v>0.39929845675199771</v>
      </c>
      <c r="CX13" s="2">
        <f>CW13+預測IC!CX13</f>
        <v>0.36888253166439289</v>
      </c>
      <c r="CY13" s="2">
        <f>CX13+預測IC!CY13</f>
        <v>0.32059260986784449</v>
      </c>
      <c r="CZ13" s="2">
        <f>CY13+預測IC!CZ13</f>
        <v>0.40094149924072997</v>
      </c>
      <c r="DA13" s="2">
        <f>CZ13+預測IC!DA13</f>
        <v>0.374911100159106</v>
      </c>
      <c r="DB13" s="2">
        <f>DA13+預測IC!DB13</f>
        <v>0.33738526552929149</v>
      </c>
      <c r="DC13" s="2">
        <f>DB13+預測IC!DC13</f>
        <v>0.2986005914014494</v>
      </c>
      <c r="DD13" s="2">
        <f>DC13+預測IC!DD13</f>
        <v>0.29745426734741648</v>
      </c>
      <c r="DE13" s="2">
        <f>DD13+預測IC!DE13</f>
        <v>0.28282160134622519</v>
      </c>
      <c r="DF13" s="2">
        <f>DE13+預測IC!DF13</f>
        <v>0.25914848499927939</v>
      </c>
      <c r="DG13" s="2">
        <f>DF13+預測IC!DG13</f>
        <v>0.19432903247741085</v>
      </c>
      <c r="DH13" s="2">
        <f>DG13+預測IC!DH13</f>
        <v>0.1938743966772922</v>
      </c>
      <c r="DI13" s="2">
        <f>DH13+預測IC!DI13</f>
        <v>0.17356242388516024</v>
      </c>
      <c r="DJ13" s="2">
        <f>DI13+預測IC!DJ13</f>
        <v>0.17505403973222669</v>
      </c>
      <c r="DK13" s="2">
        <f>DJ13+預測IC!DK13</f>
        <v>0.19585903231934693</v>
      </c>
      <c r="DL13" s="2">
        <f>DK13+預測IC!DL13</f>
        <v>0.16684415709492964</v>
      </c>
      <c r="DM13" s="2">
        <f>DL13+預測IC!DM13</f>
        <v>0.15874513575647314</v>
      </c>
      <c r="DN13" s="2">
        <f>DM13+預測IC!DN13</f>
        <v>0.19147726710474522</v>
      </c>
      <c r="DO13" s="2">
        <f>DN13+預測IC!DO13</f>
        <v>0.22745631181517051</v>
      </c>
      <c r="DP13" s="2">
        <f>DO13+預測IC!DP13</f>
        <v>0.29010703317602027</v>
      </c>
      <c r="DQ13" s="2">
        <f>DP13+預測IC!DQ13</f>
        <v>0.33545959866138231</v>
      </c>
      <c r="DR13" s="2">
        <f>DQ13+預測IC!DR13</f>
        <v>0.35569291517022555</v>
      </c>
      <c r="DS13" s="2">
        <f>DR13+預測IC!DS13</f>
        <v>0.40996034445317941</v>
      </c>
      <c r="DT13" s="2">
        <f>DS13+預測IC!DT13</f>
        <v>0.35993443072875508</v>
      </c>
      <c r="DU13" s="2">
        <f>DT13+預測IC!DU13</f>
        <v>0.34349031373300176</v>
      </c>
      <c r="DV13" s="2">
        <f>DU13+預測IC!DV13</f>
        <v>0.37906645227750368</v>
      </c>
      <c r="DW13" s="2">
        <f>DV13+預測IC!DW13</f>
        <v>0.43795928937038536</v>
      </c>
      <c r="DX13" s="2">
        <f>DW13+預測IC!DX13</f>
        <v>0.37760630675071061</v>
      </c>
      <c r="DY13" s="2">
        <f>DX13+預測IC!DY13</f>
        <v>0.44110217495259108</v>
      </c>
      <c r="DZ13" s="2">
        <f>DY13+預測IC!DZ13</f>
        <v>0.44963837513080368</v>
      </c>
      <c r="EA13" s="2">
        <f>DZ13+預測IC!EA13</f>
        <v>0.38350624052860327</v>
      </c>
      <c r="EB13" s="2">
        <f>EA13+預測IC!EB13</f>
        <v>0.38545347486141968</v>
      </c>
      <c r="EC13" s="2">
        <f>EB13+預測IC!EC13</f>
        <v>0.36883706831942836</v>
      </c>
      <c r="ED13" s="2">
        <f>EC13+預測IC!ED13</f>
        <v>0.3680329356834004</v>
      </c>
      <c r="EE13" s="2">
        <f>ED13+預測IC!EE13</f>
        <v>0.40519044740121335</v>
      </c>
      <c r="EF13" s="2">
        <f>EE13+預測IC!EF13</f>
        <v>0.36920851927580106</v>
      </c>
      <c r="EG13" s="2">
        <f>EF13+預測IC!EG13</f>
        <v>0.37484718822148827</v>
      </c>
      <c r="EH13" s="2">
        <f>EG13+預測IC!EH13</f>
        <v>0.36466870252707295</v>
      </c>
      <c r="EI13" s="2">
        <f>EH13+預測IC!EI13</f>
        <v>0.32729746855198844</v>
      </c>
      <c r="EJ13" s="2">
        <f>EI13+預測IC!EJ13</f>
        <v>0.23606250894357456</v>
      </c>
      <c r="EK13" s="2">
        <f>EJ13+預測IC!EK13</f>
        <v>0.23196752606500076</v>
      </c>
      <c r="EL13" s="2">
        <f>EK13+預測IC!EL13</f>
        <v>0.28616788757484257</v>
      </c>
    </row>
    <row r="14" spans="1:142" x14ac:dyDescent="0.3">
      <c r="A14" s="20">
        <v>50</v>
      </c>
      <c r="B14" s="20">
        <f t="shared" si="10"/>
        <v>21</v>
      </c>
      <c r="C14" s="2">
        <v>-5.6853263530549307E-2</v>
      </c>
      <c r="D14" s="2">
        <f>C14+預測IC!D14</f>
        <v>-1.521868015757695E-2</v>
      </c>
      <c r="E14" s="2">
        <f>D14+預測IC!E14</f>
        <v>6.8420745984705059E-2</v>
      </c>
      <c r="F14" s="2">
        <f>E14+預測IC!F14</f>
        <v>2.0979162099170376E-2</v>
      </c>
      <c r="G14" s="2">
        <f>F14+預測IC!G14</f>
        <v>-7.6470531904669056E-2</v>
      </c>
      <c r="H14" s="2">
        <f>G14+預測IC!H14</f>
        <v>-0.15268153496950557</v>
      </c>
      <c r="I14" s="2">
        <f>H14+預測IC!I14</f>
        <v>-0.18239335930338044</v>
      </c>
      <c r="J14" s="2">
        <f>I14+預測IC!J14</f>
        <v>-0.15802383679093535</v>
      </c>
      <c r="K14" s="2">
        <f>J14+預測IC!K14</f>
        <v>-0.15965599078582426</v>
      </c>
      <c r="L14" s="2">
        <f>K14+預測IC!L14</f>
        <v>-0.16362535942244322</v>
      </c>
      <c r="M14" s="2">
        <f>L14+預測IC!M14</f>
        <v>-0.17193469491968821</v>
      </c>
      <c r="N14" s="2">
        <f>M14+預測IC!N14</f>
        <v>-0.31783859942650883</v>
      </c>
      <c r="O14" s="2">
        <f>N14+預測IC!O14</f>
        <v>-0.29279583178897439</v>
      </c>
      <c r="P14" s="2">
        <f>O14+預測IC!P14</f>
        <v>-0.23811585351989561</v>
      </c>
      <c r="Q14" s="2">
        <f>P14+預測IC!Q14</f>
        <v>-0.32572507949326768</v>
      </c>
      <c r="R14" s="2">
        <f>Q14+預測IC!R14</f>
        <v>-0.35446776571501637</v>
      </c>
      <c r="S14" s="2">
        <f>R14+預測IC!S14</f>
        <v>-0.43707880032510926</v>
      </c>
      <c r="T14" s="2">
        <f>S14+預測IC!T14</f>
        <v>-0.48561918296356033</v>
      </c>
      <c r="U14" s="2">
        <f>T14+預測IC!U14</f>
        <v>-0.50429143429748113</v>
      </c>
      <c r="V14" s="2">
        <f>U14+預測IC!V14</f>
        <v>-0.5236481222078756</v>
      </c>
      <c r="W14" s="2">
        <f>V14+預測IC!W14</f>
        <v>-0.48716651543509371</v>
      </c>
      <c r="X14" s="2">
        <f>W14+預測IC!X14</f>
        <v>-0.44210161218566524</v>
      </c>
      <c r="Y14" s="2">
        <f>X14+預測IC!Y14</f>
        <v>-0.45132786221185639</v>
      </c>
      <c r="Z14" s="2">
        <f>Y14+預測IC!Z14</f>
        <v>-0.41076894889645849</v>
      </c>
      <c r="AA14" s="2">
        <f>Z14+預測IC!AA14</f>
        <v>-0.45515408371357291</v>
      </c>
      <c r="AB14" s="2">
        <f>AA14+預測IC!AB14</f>
        <v>-0.39184239204438792</v>
      </c>
      <c r="AC14" s="2">
        <f>AB14+預測IC!AC14</f>
        <v>-0.40779070456119948</v>
      </c>
      <c r="AD14" s="2">
        <f>AC14+預測IC!AD14</f>
        <v>-0.42153467375224801</v>
      </c>
      <c r="AE14" s="2">
        <f>AD14+預測IC!AE14</f>
        <v>-0.52983105806865538</v>
      </c>
      <c r="AF14" s="2">
        <f>AE14+預測IC!AF14</f>
        <v>-0.58784301185785526</v>
      </c>
      <c r="AG14" s="2">
        <f>AF14+預測IC!AG14</f>
        <v>-0.5691430323117046</v>
      </c>
      <c r="AH14" s="2">
        <f>AG14+預測IC!AH14</f>
        <v>-0.51826363619009364</v>
      </c>
      <c r="AI14" s="2">
        <f>AH14+預測IC!AI14</f>
        <v>-0.51401955196205384</v>
      </c>
      <c r="AJ14" s="2">
        <f>AI14+預測IC!AJ14</f>
        <v>-0.54832551373050198</v>
      </c>
      <c r="AK14" s="2">
        <f>AJ14+預測IC!AK14</f>
        <v>-0.60677663636922086</v>
      </c>
      <c r="AL14" s="2">
        <f>AK14+預測IC!AL14</f>
        <v>-0.559567018935484</v>
      </c>
      <c r="AM14" s="2">
        <f>AL14+預測IC!AM14</f>
        <v>-0.55592113684087741</v>
      </c>
      <c r="AN14" s="2">
        <f>AM14+預測IC!AN14</f>
        <v>-0.65598007437796413</v>
      </c>
      <c r="AO14" s="2">
        <f>AN14+預測IC!AO14</f>
        <v>-0.67243606320140903</v>
      </c>
      <c r="AP14" s="2">
        <f>AO14+預測IC!AP14</f>
        <v>-0.61793433176663481</v>
      </c>
      <c r="AQ14" s="2">
        <f>AP14+預測IC!AQ14</f>
        <v>-0.59812424806539621</v>
      </c>
      <c r="AR14" s="2">
        <f>AQ14+預測IC!AR14</f>
        <v>-0.53196402820729349</v>
      </c>
      <c r="AS14" s="2">
        <f>AR14+預測IC!AS14</f>
        <v>-0.58667148083911758</v>
      </c>
      <c r="AT14" s="2">
        <f>AS14+預測IC!AT14</f>
        <v>-0.60089238926788824</v>
      </c>
      <c r="AU14" s="2">
        <f>AT14+預測IC!AU14</f>
        <v>-0.49118569850909072</v>
      </c>
      <c r="AV14" s="2">
        <f>AU14+預測IC!AV14</f>
        <v>-0.45747487275657084</v>
      </c>
      <c r="AW14" s="2">
        <f>AV14+預測IC!AW14</f>
        <v>-0.48474145405836311</v>
      </c>
      <c r="AX14" s="2">
        <f>AW14+預測IC!AX14</f>
        <v>-0.45104693135859641</v>
      </c>
      <c r="AY14" s="2">
        <f>AX14+預測IC!AY14</f>
        <v>-0.40514798365980487</v>
      </c>
      <c r="AZ14" s="2">
        <f>AY14+預測IC!AZ14</f>
        <v>-0.44543606892577314</v>
      </c>
      <c r="BA14" s="2">
        <f>AZ14+預測IC!BA14</f>
        <v>-0.39118132088156665</v>
      </c>
      <c r="BB14" s="2">
        <f>BA14+預測IC!BB14</f>
        <v>-0.33223823109433304</v>
      </c>
      <c r="BC14" s="2">
        <f>BB14+預測IC!BC14</f>
        <v>-0.3515778633874887</v>
      </c>
      <c r="BD14" s="2">
        <f>BC14+預測IC!BD14</f>
        <v>-0.30806947850891092</v>
      </c>
      <c r="BE14" s="2">
        <f>BD14+預測IC!BE14</f>
        <v>-0.27466753457866527</v>
      </c>
      <c r="BF14" s="2">
        <f>BE14+預測IC!BF14</f>
        <v>-0.26904096799948612</v>
      </c>
      <c r="BG14" s="2">
        <f>BF14+預測IC!BG14</f>
        <v>-0.25535154964361551</v>
      </c>
      <c r="BH14" s="2">
        <f>BG14+預測IC!BH14</f>
        <v>-0.3344963208706272</v>
      </c>
      <c r="BI14" s="2">
        <f>BH14+預測IC!BI14</f>
        <v>-0.2764056858746915</v>
      </c>
      <c r="BJ14" s="2">
        <f>BI14+預測IC!BJ14</f>
        <v>-0.2700773966315021</v>
      </c>
      <c r="BK14" s="2">
        <f>BJ14+預測IC!BK14</f>
        <v>-0.27553413173416919</v>
      </c>
      <c r="BL14" s="2">
        <f>BK14+預測IC!BL14</f>
        <v>-0.32501404929922834</v>
      </c>
      <c r="BM14" s="2">
        <f>BL14+預測IC!BM14</f>
        <v>-0.3579352141226736</v>
      </c>
      <c r="BN14" s="2">
        <f>BM14+預測IC!BN14</f>
        <v>-0.34672931102029109</v>
      </c>
      <c r="BO14" s="2">
        <f>BN14+預測IC!BO14</f>
        <v>-0.32944683370813432</v>
      </c>
      <c r="BP14" s="2">
        <f>BO14+預測IC!BP14</f>
        <v>-0.31682380965877155</v>
      </c>
      <c r="BQ14" s="2">
        <f>BP14+預測IC!BQ14</f>
        <v>-0.35309841527251323</v>
      </c>
      <c r="BR14" s="2">
        <f>BQ14+預測IC!BR14</f>
        <v>-0.39626496002870942</v>
      </c>
      <c r="BS14" s="2">
        <f>BR14+預測IC!BS14</f>
        <v>-0.3534107776230031</v>
      </c>
      <c r="BT14" s="2">
        <f>BS14+預測IC!BT14</f>
        <v>-0.39045604880185358</v>
      </c>
      <c r="BU14" s="2">
        <f>BT14+預測IC!BU14</f>
        <v>-0.40932395255629073</v>
      </c>
      <c r="BV14" s="2">
        <f>BU14+預測IC!BV14</f>
        <v>-0.39566121139390026</v>
      </c>
      <c r="BW14" s="2">
        <f>BV14+預測IC!BW14</f>
        <v>-0.54084072474335732</v>
      </c>
      <c r="BX14" s="2">
        <f>BW14+預測IC!BX14</f>
        <v>-0.54482806334371991</v>
      </c>
      <c r="BY14" s="2">
        <f>BX14+預測IC!BY14</f>
        <v>-0.5943220739210705</v>
      </c>
      <c r="BZ14" s="2">
        <f>BY14+預測IC!BZ14</f>
        <v>-0.51288693976049882</v>
      </c>
      <c r="CA14" s="2">
        <f>BZ14+預測IC!CA14</f>
        <v>-0.43416334239660725</v>
      </c>
      <c r="CB14" s="2">
        <f>CA14+預測IC!CB14</f>
        <v>-0.42825648607753614</v>
      </c>
      <c r="CC14" s="2">
        <f>CB14+預測IC!CC14</f>
        <v>-0.34081266053267412</v>
      </c>
      <c r="CD14" s="2">
        <f>CC14+預測IC!CD14</f>
        <v>-0.38762800960465538</v>
      </c>
      <c r="CE14" s="2">
        <f>CD14+預測IC!CE14</f>
        <v>-0.18095998578035247</v>
      </c>
      <c r="CF14" s="2">
        <f>CE14+預測IC!CF14</f>
        <v>-0.10359834024308739</v>
      </c>
      <c r="CG14" s="2">
        <f>CF14+預測IC!CG14</f>
        <v>-0.1907226169840025</v>
      </c>
      <c r="CH14" s="2">
        <f>CG14+預測IC!CH14</f>
        <v>-0.13210931011242785</v>
      </c>
      <c r="CI14" s="2">
        <f>CH14+預測IC!CI14</f>
        <v>-1.8265095640451853E-2</v>
      </c>
      <c r="CJ14" s="2">
        <f>CI14+預測IC!CJ14</f>
        <v>3.9074400362968734E-2</v>
      </c>
      <c r="CK14" s="2">
        <f>CJ14+預測IC!CK14</f>
        <v>2.2682647532010044E-2</v>
      </c>
      <c r="CL14" s="2">
        <f>CK14+預測IC!CL14</f>
        <v>8.7195020481117227E-2</v>
      </c>
      <c r="CM14" s="2">
        <f>CL14+預測IC!CM14</f>
        <v>0.17726575054646709</v>
      </c>
      <c r="CN14" s="2">
        <f>CM14+預測IC!CN14</f>
        <v>0.13147264843802375</v>
      </c>
      <c r="CO14" s="2">
        <f>CN14+預測IC!CO14</f>
        <v>-4.6430468581397433E-2</v>
      </c>
      <c r="CP14" s="2">
        <f>CO14+預測IC!CP14</f>
        <v>1.4816721976848649E-2</v>
      </c>
      <c r="CQ14" s="2">
        <f>CP14+預測IC!CQ14</f>
        <v>-2.1672640065551231E-3</v>
      </c>
      <c r="CR14" s="2">
        <f>CQ14+預測IC!CR14</f>
        <v>4.745334579377708E-2</v>
      </c>
      <c r="CS14" s="2">
        <f>CR14+預測IC!CS14</f>
        <v>7.0880697094106104E-2</v>
      </c>
      <c r="CT14" s="2">
        <f>CS14+預測IC!CT14</f>
        <v>4.3702792457986056E-2</v>
      </c>
      <c r="CU14" s="2">
        <f>CT14+預測IC!CU14</f>
        <v>-4.2384573168384551E-2</v>
      </c>
      <c r="CV14" s="2">
        <f>CU14+預測IC!CV14</f>
        <v>-8.768206094080272E-3</v>
      </c>
      <c r="CW14" s="2">
        <f>CV14+預測IC!CW14</f>
        <v>6.9770858896192264E-4</v>
      </c>
      <c r="CX14" s="2">
        <f>CW14+預測IC!CX14</f>
        <v>-5.2861812171022204E-2</v>
      </c>
      <c r="CY14" s="2">
        <f>CX14+預測IC!CY14</f>
        <v>-0.1053999908557969</v>
      </c>
      <c r="CZ14" s="2">
        <f>CY14+預測IC!CZ14</f>
        <v>-3.8371507271177135E-2</v>
      </c>
      <c r="DA14" s="2">
        <f>CZ14+預測IC!DA14</f>
        <v>-4.445137200833664E-3</v>
      </c>
      <c r="DB14" s="2">
        <f>DA14+預測IC!DB14</f>
        <v>-1.5350110218591074E-2</v>
      </c>
      <c r="DC14" s="2">
        <f>DB14+預測IC!DC14</f>
        <v>-6.9141699536056103E-2</v>
      </c>
      <c r="DD14" s="2">
        <f>DC14+預測IC!DD14</f>
        <v>-9.1309384956279965E-2</v>
      </c>
      <c r="DE14" s="2">
        <f>DD14+預測IC!DE14</f>
        <v>-0.15038278725188553</v>
      </c>
      <c r="DF14" s="2">
        <f>DE14+預測IC!DF14</f>
        <v>-0.24086579457316559</v>
      </c>
      <c r="DG14" s="2">
        <f>DF14+預測IC!DG14</f>
        <v>-0.32549904195157997</v>
      </c>
      <c r="DH14" s="2">
        <f>DG14+預測IC!DH14</f>
        <v>-0.3239346229974136</v>
      </c>
      <c r="DI14" s="2">
        <f>DH14+預測IC!DI14</f>
        <v>-0.33584982950916475</v>
      </c>
      <c r="DJ14" s="2">
        <f>DI14+預測IC!DJ14</f>
        <v>-0.34518604110118895</v>
      </c>
      <c r="DK14" s="2">
        <f>DJ14+預測IC!DK14</f>
        <v>-0.30966060256814604</v>
      </c>
      <c r="DL14" s="2">
        <f>DK14+預測IC!DL14</f>
        <v>-0.32071882262419571</v>
      </c>
      <c r="DM14" s="2">
        <f>DL14+預測IC!DM14</f>
        <v>-0.33983528764765358</v>
      </c>
      <c r="DN14" s="2">
        <f>DM14+預測IC!DN14</f>
        <v>-0.28498495504674515</v>
      </c>
      <c r="DO14" s="2">
        <f>DN14+預測IC!DO14</f>
        <v>-0.24894807959407581</v>
      </c>
      <c r="DP14" s="2">
        <f>DO14+預測IC!DP14</f>
        <v>-0.18829896543225394</v>
      </c>
      <c r="DQ14" s="2">
        <f>DP14+預測IC!DQ14</f>
        <v>-0.17038534392907129</v>
      </c>
      <c r="DR14" s="2">
        <f>DQ14+預測IC!DR14</f>
        <v>-0.11677157507986602</v>
      </c>
      <c r="DS14" s="2">
        <f>DR14+預測IC!DS14</f>
        <v>-6.2240326187865402E-2</v>
      </c>
      <c r="DT14" s="2">
        <f>DS14+預測IC!DT14</f>
        <v>-0.13205213805710464</v>
      </c>
      <c r="DU14" s="2">
        <f>DT14+預測IC!DU14</f>
        <v>-8.1024927578974698E-2</v>
      </c>
      <c r="DV14" s="2">
        <f>DU14+預測IC!DV14</f>
        <v>-7.6340220444278614E-2</v>
      </c>
      <c r="DW14" s="2">
        <f>DV14+預測IC!DW14</f>
        <v>-4.5140690842507269E-5</v>
      </c>
      <c r="DX14" s="2">
        <f>DW14+預測IC!DX14</f>
        <v>-7.1600794931477696E-2</v>
      </c>
      <c r="DY14" s="2">
        <f>DX14+預測IC!DY14</f>
        <v>-1.1030057039218465E-2</v>
      </c>
      <c r="DZ14" s="2">
        <f>DY14+預測IC!DZ14</f>
        <v>-3.1860426347144026E-3</v>
      </c>
      <c r="EA14" s="2">
        <f>DZ14+預測IC!EA14</f>
        <v>-5.826991889013082E-2</v>
      </c>
      <c r="EB14" s="2">
        <f>EA14+預測IC!EB14</f>
        <v>-8.8983255480247603E-2</v>
      </c>
      <c r="EC14" s="2">
        <f>EB14+預測IC!EC14</f>
        <v>-8.5197544920324095E-2</v>
      </c>
      <c r="ED14" s="2">
        <f>EC14+預測IC!ED14</f>
        <v>-0.12453508554289459</v>
      </c>
      <c r="EE14" s="2">
        <f>ED14+預測IC!EE14</f>
        <v>-0.11200009287315213</v>
      </c>
      <c r="EF14" s="2">
        <f>EE14+預測IC!EF14</f>
        <v>-0.17107566585983858</v>
      </c>
      <c r="EG14" s="2">
        <f>EF14+預測IC!EG14</f>
        <v>-0.17142088624205978</v>
      </c>
      <c r="EH14" s="2">
        <f>EG14+預測IC!EH14</f>
        <v>-0.22345054477182627</v>
      </c>
      <c r="EI14" s="2">
        <f>EH14+預測IC!EI14</f>
        <v>-0.2557688068591073</v>
      </c>
      <c r="EJ14" s="2">
        <f>EI14+預測IC!EJ14</f>
        <v>-0.33102970991476205</v>
      </c>
      <c r="EK14" s="2">
        <f>EJ14+預測IC!EK14</f>
        <v>-0.32943363007655818</v>
      </c>
      <c r="EL14" s="2">
        <f>EK14+預測IC!EL14</f>
        <v>-0.28166243765827581</v>
      </c>
    </row>
    <row r="15" spans="1:142" x14ac:dyDescent="0.3">
      <c r="A15" s="20">
        <v>110</v>
      </c>
      <c r="B15" s="20">
        <f t="shared" si="10"/>
        <v>10</v>
      </c>
      <c r="C15" s="2">
        <v>-9.5037535583778296E-2</v>
      </c>
      <c r="D15" s="2">
        <f>C15+預測IC!D15</f>
        <v>-6.3006456012617479E-2</v>
      </c>
      <c r="E15" s="2">
        <f>D15+預測IC!E15</f>
        <v>1.1563207024443439E-2</v>
      </c>
      <c r="F15" s="2">
        <f>E15+預測IC!F15</f>
        <v>-7.0218819551717118E-2</v>
      </c>
      <c r="G15" s="2">
        <f>F15+預測IC!G15</f>
        <v>-0.20815670220029814</v>
      </c>
      <c r="H15" s="2">
        <f>G15+預測IC!H15</f>
        <v>-0.28997235212397238</v>
      </c>
      <c r="I15" s="2">
        <f>H15+預測IC!I15</f>
        <v>-0.39784562549586411</v>
      </c>
      <c r="J15" s="2">
        <f>I15+預測IC!J15</f>
        <v>-0.3543977580664387</v>
      </c>
      <c r="K15" s="2">
        <f>J15+預測IC!K15</f>
        <v>-0.40025385274566605</v>
      </c>
      <c r="L15" s="2">
        <f>K15+預測IC!L15</f>
        <v>-0.40003613293035317</v>
      </c>
      <c r="M15" s="2">
        <f>L15+預測IC!M15</f>
        <v>-0.54713839624458949</v>
      </c>
      <c r="N15" s="2">
        <f>M15+預測IC!N15</f>
        <v>-0.79452644174668774</v>
      </c>
      <c r="O15" s="2">
        <f>N15+預測IC!O15</f>
        <v>-0.7479659912878418</v>
      </c>
      <c r="P15" s="2">
        <f>O15+預測IC!P15</f>
        <v>-0.68060803073264498</v>
      </c>
      <c r="Q15" s="2">
        <f>P15+預測IC!Q15</f>
        <v>-0.72298064735048273</v>
      </c>
      <c r="R15" s="2">
        <f>Q15+預測IC!R15</f>
        <v>-0.80865392765980237</v>
      </c>
      <c r="S15" s="2">
        <f>R15+預測IC!S15</f>
        <v>-0.91216964099534548</v>
      </c>
      <c r="T15" s="2">
        <f>S15+預測IC!T15</f>
        <v>-0.93677419409103702</v>
      </c>
      <c r="U15" s="2">
        <f>T15+預測IC!U15</f>
        <v>-1.0208905776173789</v>
      </c>
      <c r="V15" s="2">
        <f>U15+預測IC!V15</f>
        <v>-1.0037969150190387</v>
      </c>
      <c r="W15" s="2">
        <f>V15+預測IC!W15</f>
        <v>-0.97975538711327759</v>
      </c>
      <c r="X15" s="2">
        <f>W15+預測IC!X15</f>
        <v>-0.92073744036562921</v>
      </c>
      <c r="Y15" s="2">
        <f>X15+預測IC!Y15</f>
        <v>-0.90952063539802885</v>
      </c>
      <c r="Z15" s="2">
        <f>Y15+預測IC!Z15</f>
        <v>-0.82954961705984553</v>
      </c>
      <c r="AA15" s="2">
        <f>Z15+預測IC!AA15</f>
        <v>-0.88412907043200584</v>
      </c>
      <c r="AB15" s="2">
        <f>AA15+預測IC!AB15</f>
        <v>-0.77446596770216458</v>
      </c>
      <c r="AC15" s="2">
        <f>AB15+預測IC!AC15</f>
        <v>-0.80252047931018911</v>
      </c>
      <c r="AD15" s="2">
        <f>AC15+預測IC!AD15</f>
        <v>-0.75551312073317056</v>
      </c>
      <c r="AE15" s="2">
        <f>AD15+預測IC!AE15</f>
        <v>-0.93153628831959323</v>
      </c>
      <c r="AF15" s="2">
        <f>AE15+預測IC!AF15</f>
        <v>-1.0176773641652825</v>
      </c>
      <c r="AG15" s="2">
        <f>AF15+預測IC!AG15</f>
        <v>-1.0325174562443153</v>
      </c>
      <c r="AH15" s="2">
        <f>AG15+預測IC!AH15</f>
        <v>-0.98542676344867797</v>
      </c>
      <c r="AI15" s="2">
        <f>AH15+預測IC!AI15</f>
        <v>-1.0049878162983139</v>
      </c>
      <c r="AJ15" s="2">
        <f>AI15+預測IC!AJ15</f>
        <v>-0.9928904938623857</v>
      </c>
      <c r="AK15" s="2">
        <f>AJ15+預測IC!AK15</f>
        <v>-1.0508544350118136</v>
      </c>
      <c r="AL15" s="2">
        <f>AK15+預測IC!AL15</f>
        <v>-0.98045609804336564</v>
      </c>
      <c r="AM15" s="2">
        <f>AL15+預測IC!AM15</f>
        <v>-0.9755827520901984</v>
      </c>
      <c r="AN15" s="2">
        <f>AM15+預測IC!AN15</f>
        <v>-1.1577491675385372</v>
      </c>
      <c r="AO15" s="2">
        <f>AN15+預測IC!AO15</f>
        <v>-1.1107022860062028</v>
      </c>
      <c r="AP15" s="2">
        <f>AO15+預測IC!AP15</f>
        <v>-1.07286794666139</v>
      </c>
      <c r="AQ15" s="2">
        <f>AP15+預測IC!AQ15</f>
        <v>-1.0291180772580388</v>
      </c>
      <c r="AR15" s="2">
        <f>AQ15+預測IC!AR15</f>
        <v>-0.9199279501400166</v>
      </c>
      <c r="AS15" s="2">
        <f>AR15+預測IC!AS15</f>
        <v>-0.96510255969129033</v>
      </c>
      <c r="AT15" s="2">
        <f>AS15+預測IC!AT15</f>
        <v>-0.95953343007060332</v>
      </c>
      <c r="AU15" s="2">
        <f>AT15+預測IC!AU15</f>
        <v>-0.82458781411527293</v>
      </c>
      <c r="AV15" s="2">
        <f>AU15+預測IC!AV15</f>
        <v>-0.77801290112427057</v>
      </c>
      <c r="AW15" s="2">
        <f>AV15+預測IC!AW15</f>
        <v>-0.75345254080971868</v>
      </c>
      <c r="AX15" s="2">
        <f>AW15+預測IC!AX15</f>
        <v>-0.68829961701332987</v>
      </c>
      <c r="AY15" s="2">
        <f>AX15+預測IC!AY15</f>
        <v>-0.68060271870380562</v>
      </c>
      <c r="AZ15" s="2">
        <f>AY15+預測IC!AZ15</f>
        <v>-0.72208201312095366</v>
      </c>
      <c r="BA15" s="2">
        <f>AZ15+預測IC!BA15</f>
        <v>-0.63303567686931139</v>
      </c>
      <c r="BB15" s="2">
        <f>BA15+預測IC!BB15</f>
        <v>-0.49550223720303388</v>
      </c>
      <c r="BC15" s="2">
        <f>BB15+預測IC!BC15</f>
        <v>-0.46135749527244646</v>
      </c>
      <c r="BD15" s="2">
        <f>BC15+預測IC!BD15</f>
        <v>-0.37720057454295464</v>
      </c>
      <c r="BE15" s="2">
        <f>BD15+預測IC!BE15</f>
        <v>-0.32247807388006072</v>
      </c>
      <c r="BF15" s="2">
        <f>BE15+預測IC!BF15</f>
        <v>-0.38027080767561539</v>
      </c>
      <c r="BG15" s="2">
        <f>BF15+預測IC!BG15</f>
        <v>-0.36724925557979643</v>
      </c>
      <c r="BH15" s="2">
        <f>BG15+預測IC!BH15</f>
        <v>-0.43590926877813213</v>
      </c>
      <c r="BI15" s="2">
        <f>BH15+預測IC!BI15</f>
        <v>-0.36848371010409503</v>
      </c>
      <c r="BJ15" s="2">
        <f>BI15+預測IC!BJ15</f>
        <v>-0.32232867533016968</v>
      </c>
      <c r="BK15" s="2">
        <f>BJ15+預測IC!BK15</f>
        <v>-0.32744707995479383</v>
      </c>
      <c r="BL15" s="2">
        <f>BK15+預測IC!BL15</f>
        <v>-0.39308353957863701</v>
      </c>
      <c r="BM15" s="2">
        <f>BL15+預測IC!BM15</f>
        <v>-0.44757637149246526</v>
      </c>
      <c r="BN15" s="2">
        <f>BM15+預測IC!BN15</f>
        <v>-0.48324699123867176</v>
      </c>
      <c r="BO15" s="2">
        <f>BN15+預測IC!BO15</f>
        <v>-0.42480904836027672</v>
      </c>
      <c r="BP15" s="2">
        <f>BO15+預測IC!BP15</f>
        <v>-0.4398423276485604</v>
      </c>
      <c r="BQ15" s="2">
        <f>BP15+預測IC!BQ15</f>
        <v>-0.47960846583171213</v>
      </c>
      <c r="BR15" s="2">
        <f>BQ15+預測IC!BR15</f>
        <v>-0.55466546164426034</v>
      </c>
      <c r="BS15" s="2">
        <f>BR15+預測IC!BS15</f>
        <v>-0.53481218382962492</v>
      </c>
      <c r="BT15" s="2">
        <f>BS15+預測IC!BT15</f>
        <v>-0.58403942525068087</v>
      </c>
      <c r="BU15" s="2">
        <f>BT15+預測IC!BU15</f>
        <v>-0.58648562485427469</v>
      </c>
      <c r="BV15" s="2">
        <f>BU15+預測IC!BV15</f>
        <v>-0.55284683631056442</v>
      </c>
      <c r="BW15" s="2">
        <f>BV15+預測IC!BW15</f>
        <v>-0.74711633235035013</v>
      </c>
      <c r="BX15" s="2">
        <f>BW15+預測IC!BX15</f>
        <v>-0.70396084856630314</v>
      </c>
      <c r="BY15" s="2">
        <f>BX15+預測IC!BY15</f>
        <v>-0.80786844647287881</v>
      </c>
      <c r="BZ15" s="2">
        <f>BY15+預測IC!BZ15</f>
        <v>-0.7309127268031731</v>
      </c>
      <c r="CA15" s="2">
        <f>BZ15+預測IC!CA15</f>
        <v>-0.55134896119986254</v>
      </c>
      <c r="CB15" s="2">
        <f>CA15+預測IC!CB15</f>
        <v>-0.49873697955228719</v>
      </c>
      <c r="CC15" s="2">
        <f>CB15+預測IC!CC15</f>
        <v>-0.37734446446306108</v>
      </c>
      <c r="CD15" s="2">
        <f>CC15+預測IC!CD15</f>
        <v>-0.39914939620597201</v>
      </c>
      <c r="CE15" s="2">
        <f>CD15+預測IC!CE15</f>
        <v>-0.27858602555078521</v>
      </c>
      <c r="CF15" s="2">
        <f>CE15+預測IC!CF15</f>
        <v>-0.19966556385601003</v>
      </c>
      <c r="CG15" s="2">
        <f>CF15+預測IC!CG15</f>
        <v>-0.45881456447757762</v>
      </c>
      <c r="CH15" s="2">
        <f>CG15+預測IC!CH15</f>
        <v>-0.39129478532963929</v>
      </c>
      <c r="CI15" s="2">
        <f>CH15+預測IC!CI15</f>
        <v>-0.35414984000928429</v>
      </c>
      <c r="CJ15" s="2">
        <f>CI15+預測IC!CJ15</f>
        <v>-0.36083183841727562</v>
      </c>
      <c r="CK15" s="2">
        <f>CJ15+預測IC!CK15</f>
        <v>-0.33082608901352251</v>
      </c>
      <c r="CL15" s="2">
        <f>CK15+預測IC!CL15</f>
        <v>-0.23568827141491797</v>
      </c>
      <c r="CM15" s="2">
        <f>CL15+預測IC!CM15</f>
        <v>-0.18240710656334186</v>
      </c>
      <c r="CN15" s="2">
        <f>CM15+預測IC!CN15</f>
        <v>-0.26827923941105669</v>
      </c>
      <c r="CO15" s="2">
        <f>CN15+預測IC!CO15</f>
        <v>-0.43297604430331199</v>
      </c>
      <c r="CP15" s="2">
        <f>CO15+預測IC!CP15</f>
        <v>-0.3299732162706886</v>
      </c>
      <c r="CQ15" s="2">
        <f>CP15+預測IC!CQ15</f>
        <v>-0.33642150570059948</v>
      </c>
      <c r="CR15" s="2">
        <f>CQ15+預測IC!CR15</f>
        <v>-0.30203322206060285</v>
      </c>
      <c r="CS15" s="2">
        <f>CR15+預測IC!CS15</f>
        <v>-0.27738455139994128</v>
      </c>
      <c r="CT15" s="2">
        <f>CS15+預測IC!CT15</f>
        <v>-0.30881106123269275</v>
      </c>
      <c r="CU15" s="2">
        <f>CT15+預測IC!CU15</f>
        <v>-0.47964018188264557</v>
      </c>
      <c r="CV15" s="2">
        <f>CU15+預測IC!CV15</f>
        <v>-0.45141697038943535</v>
      </c>
      <c r="CW15" s="2">
        <f>CV15+預測IC!CW15</f>
        <v>-0.46269635005712739</v>
      </c>
      <c r="CX15" s="2">
        <f>CW15+預測IC!CX15</f>
        <v>-0.54840669282425802</v>
      </c>
      <c r="CY15" s="2">
        <f>CX15+預測IC!CY15</f>
        <v>-0.57310076500927909</v>
      </c>
      <c r="CZ15" s="2">
        <f>CY15+預測IC!CZ15</f>
        <v>-0.4821769722152966</v>
      </c>
      <c r="DA15" s="2">
        <f>CZ15+預測IC!DA15</f>
        <v>-0.54279879823676125</v>
      </c>
      <c r="DB15" s="2">
        <f>DA15+預測IC!DB15</f>
        <v>-0.5710361756730048</v>
      </c>
      <c r="DC15" s="2">
        <f>DB15+預測IC!DC15</f>
        <v>-0.63984667974206633</v>
      </c>
      <c r="DD15" s="2">
        <f>DC15+預測IC!DD15</f>
        <v>-0.48765890105690046</v>
      </c>
      <c r="DE15" s="2">
        <f>DD15+預測IC!DE15</f>
        <v>-0.56503552144920921</v>
      </c>
      <c r="DF15" s="2">
        <f>DE15+預測IC!DF15</f>
        <v>-0.55215663898353118</v>
      </c>
      <c r="DG15" s="2">
        <f>DF15+預測IC!DG15</f>
        <v>-0.65016595106580588</v>
      </c>
      <c r="DH15" s="2">
        <f>DG15+預測IC!DH15</f>
        <v>-0.58424213878658826</v>
      </c>
      <c r="DI15" s="2">
        <f>DH15+預測IC!DI15</f>
        <v>-0.58458645063750214</v>
      </c>
      <c r="DJ15" s="2">
        <f>DI15+預測IC!DJ15</f>
        <v>-0.52180748142411226</v>
      </c>
      <c r="DK15" s="2">
        <f>DJ15+預測IC!DK15</f>
        <v>-0.4381296803008965</v>
      </c>
      <c r="DL15" s="2">
        <f>DK15+預測IC!DL15</f>
        <v>-0.43652634428224291</v>
      </c>
      <c r="DM15" s="2">
        <f>DL15+預測IC!DM15</f>
        <v>-0.4495096414378833</v>
      </c>
      <c r="DN15" s="2">
        <f>DM15+預測IC!DN15</f>
        <v>-0.46399587576957801</v>
      </c>
      <c r="DO15" s="2">
        <f>DN15+預測IC!DO15</f>
        <v>-0.44289346603848212</v>
      </c>
      <c r="DP15" s="2">
        <f>DO15+預測IC!DP15</f>
        <v>-0.45630489201255997</v>
      </c>
      <c r="DQ15" s="2">
        <f>DP15+預測IC!DQ15</f>
        <v>-0.41273975837894061</v>
      </c>
      <c r="DR15" s="2">
        <f>DQ15+預測IC!DR15</f>
        <v>-0.38704158332412064</v>
      </c>
      <c r="DS15" s="2">
        <f>DR15+預測IC!DS15</f>
        <v>-0.29037462171022299</v>
      </c>
      <c r="DT15" s="2">
        <f>DS15+預測IC!DT15</f>
        <v>-0.3903329600339025</v>
      </c>
      <c r="DU15" s="2">
        <f>DT15+預測IC!DU15</f>
        <v>-0.34983864258746011</v>
      </c>
      <c r="DV15" s="2">
        <f>DU15+預測IC!DV15</f>
        <v>-0.3308539354733635</v>
      </c>
      <c r="DW15" s="2">
        <f>DV15+預測IC!DW15</f>
        <v>-0.32262760126095735</v>
      </c>
      <c r="DX15" s="2">
        <f>DW15+預測IC!DX15</f>
        <v>-0.40742777834842103</v>
      </c>
      <c r="DY15" s="2">
        <f>DX15+預測IC!DY15</f>
        <v>-0.28993634803825685</v>
      </c>
      <c r="DZ15" s="2">
        <f>DY15+預測IC!DZ15</f>
        <v>-0.28541890073957887</v>
      </c>
      <c r="EA15" s="2">
        <f>DZ15+預測IC!EA15</f>
        <v>-0.2795073643489942</v>
      </c>
      <c r="EB15" s="2">
        <f>EA15+預測IC!EB15</f>
        <v>-0.35609822446043032</v>
      </c>
      <c r="EC15" s="2">
        <f>EB15+預測IC!EC15</f>
        <v>-0.36108543701755413</v>
      </c>
      <c r="ED15" s="2">
        <f>EC15+預測IC!ED15</f>
        <v>-0.41319721530949471</v>
      </c>
      <c r="EE15" s="2">
        <f>ED15+預測IC!EE15</f>
        <v>-0.40357965601257589</v>
      </c>
      <c r="EF15" s="2">
        <f>EE15+預測IC!EF15</f>
        <v>-0.44849260519129774</v>
      </c>
      <c r="EG15" s="2">
        <f>EF15+預測IC!EG15</f>
        <v>-0.45454120774642959</v>
      </c>
      <c r="EH15" s="2">
        <f>EG15+預測IC!EH15</f>
        <v>-0.51079226610677708</v>
      </c>
      <c r="EI15" s="2">
        <f>EH15+預測IC!EI15</f>
        <v>-0.60618712892798088</v>
      </c>
      <c r="EJ15" s="2">
        <f>EI15+預測IC!EJ15</f>
        <v>-0.68925181143189784</v>
      </c>
      <c r="EK15" s="2">
        <f>EJ15+預測IC!EK15</f>
        <v>-0.79125054748861823</v>
      </c>
      <c r="EL15" s="2">
        <f>EK15+預測IC!EL15</f>
        <v>-0.83280822798985521</v>
      </c>
    </row>
    <row r="16" spans="1:142" x14ac:dyDescent="0.3">
      <c r="A16" s="20">
        <v>120</v>
      </c>
      <c r="B16" s="20">
        <f t="shared" si="10"/>
        <v>9</v>
      </c>
      <c r="C16" s="2">
        <v>-9.71680377431344E-2</v>
      </c>
      <c r="D16" s="2">
        <f>C16+預測IC!D16</f>
        <v>-8.8824306176499002E-2</v>
      </c>
      <c r="E16" s="2">
        <f>D16+預測IC!E16</f>
        <v>-1.4338644814220508E-2</v>
      </c>
      <c r="F16" s="2">
        <f>E16+預測IC!F16</f>
        <v>-6.739584184762698E-2</v>
      </c>
      <c r="G16" s="2">
        <f>F16+預測IC!G16</f>
        <v>-0.22233312354253118</v>
      </c>
      <c r="H16" s="2">
        <f>G16+預測IC!H16</f>
        <v>-0.30491441246652173</v>
      </c>
      <c r="I16" s="2">
        <f>H16+預測IC!I16</f>
        <v>-0.42095271802997741</v>
      </c>
      <c r="J16" s="2">
        <f>I16+預測IC!J16</f>
        <v>-0.36859623702153371</v>
      </c>
      <c r="K16" s="2">
        <f>J16+預測IC!K16</f>
        <v>-0.40410865191101031</v>
      </c>
      <c r="L16" s="2">
        <f>K16+預測IC!L16</f>
        <v>-0.41988380096643885</v>
      </c>
      <c r="M16" s="2">
        <f>L16+預測IC!M16</f>
        <v>-0.57874336411895166</v>
      </c>
      <c r="N16" s="2">
        <f>M16+預測IC!N16</f>
        <v>-0.86165917445774987</v>
      </c>
      <c r="O16" s="2">
        <f>N16+預測IC!O16</f>
        <v>-0.80579772539766048</v>
      </c>
      <c r="P16" s="2">
        <f>O16+預測IC!P16</f>
        <v>-0.72614816328453735</v>
      </c>
      <c r="Q16" s="2">
        <f>P16+預測IC!Q16</f>
        <v>-0.77416849383756769</v>
      </c>
      <c r="R16" s="2">
        <f>Q16+預測IC!R16</f>
        <v>-0.84206524847940856</v>
      </c>
      <c r="S16" s="2">
        <f>R16+預測IC!S16</f>
        <v>-0.95065377783181482</v>
      </c>
      <c r="T16" s="2">
        <f>S16+預測IC!T16</f>
        <v>-0.98590590706143155</v>
      </c>
      <c r="U16" s="2">
        <f>T16+預測IC!U16</f>
        <v>-1.0578931379490049</v>
      </c>
      <c r="V16" s="2">
        <f>U16+預測IC!V16</f>
        <v>-1.0573710542169661</v>
      </c>
      <c r="W16" s="2">
        <f>V16+預測IC!W16</f>
        <v>-0.96468430678972694</v>
      </c>
      <c r="X16" s="2">
        <f>W16+預測IC!X16</f>
        <v>-0.89757955520709309</v>
      </c>
      <c r="Y16" s="2">
        <f>X16+預測IC!Y16</f>
        <v>-0.88134233957345431</v>
      </c>
      <c r="Z16" s="2">
        <f>Y16+預測IC!Z16</f>
        <v>-0.80060715732411469</v>
      </c>
      <c r="AA16" s="2">
        <f>Z16+預測IC!AA16</f>
        <v>-0.84674009081424528</v>
      </c>
      <c r="AB16" s="2">
        <f>AA16+預測IC!AB16</f>
        <v>-0.72575078941463456</v>
      </c>
      <c r="AC16" s="2">
        <f>AB16+預測IC!AC16</f>
        <v>-0.75491819090038681</v>
      </c>
      <c r="AD16" s="2">
        <f>AC16+預測IC!AD16</f>
        <v>-0.74303465693185022</v>
      </c>
      <c r="AE16" s="2">
        <f>AD16+預測IC!AE16</f>
        <v>-0.93740483047614731</v>
      </c>
      <c r="AF16" s="2">
        <f>AE16+預測IC!AF16</f>
        <v>-1.0237920276067127</v>
      </c>
      <c r="AG16" s="2">
        <f>AF16+預測IC!AG16</f>
        <v>-1.0132983620153473</v>
      </c>
      <c r="AH16" s="2">
        <f>AG16+預測IC!AH16</f>
        <v>-0.95472139062239425</v>
      </c>
      <c r="AI16" s="2">
        <f>AH16+預測IC!AI16</f>
        <v>-0.98410253815159998</v>
      </c>
      <c r="AJ16" s="2">
        <f>AI16+預測IC!AJ16</f>
        <v>-0.9483824552416078</v>
      </c>
      <c r="AK16" s="2">
        <f>AJ16+預測IC!AK16</f>
        <v>-1.0128038560739798</v>
      </c>
      <c r="AL16" s="2">
        <f>AK16+預測IC!AL16</f>
        <v>-0.93170801685729221</v>
      </c>
      <c r="AM16" s="2">
        <f>AL16+預測IC!AM16</f>
        <v>-0.93353316069105008</v>
      </c>
      <c r="AN16" s="2">
        <f>AM16+預測IC!AN16</f>
        <v>-1.0461907836755062</v>
      </c>
      <c r="AO16" s="2">
        <f>AN16+預測IC!AO16</f>
        <v>-1.0017711113341785</v>
      </c>
      <c r="AP16" s="2">
        <f>AO16+預測IC!AP16</f>
        <v>-0.93881563533123613</v>
      </c>
      <c r="AQ16" s="2">
        <f>AP16+預測IC!AQ16</f>
        <v>-0.89342004046334222</v>
      </c>
      <c r="AR16" s="2">
        <f>AQ16+預測IC!AR16</f>
        <v>-0.78276700637526875</v>
      </c>
      <c r="AS16" s="2">
        <f>AR16+預測IC!AS16</f>
        <v>-0.82638513810260594</v>
      </c>
      <c r="AT16" s="2">
        <f>AS16+預測IC!AT16</f>
        <v>-0.82142590338468158</v>
      </c>
      <c r="AU16" s="2">
        <f>AT16+預測IC!AU16</f>
        <v>-0.6827252543620832</v>
      </c>
      <c r="AV16" s="2">
        <f>AU16+預測IC!AV16</f>
        <v>-0.61766722492194104</v>
      </c>
      <c r="AW16" s="2">
        <f>AV16+預測IC!AW16</f>
        <v>-0.61813053662464812</v>
      </c>
      <c r="AX16" s="2">
        <f>AW16+預測IC!AX16</f>
        <v>-0.55470987596082577</v>
      </c>
      <c r="AY16" s="2">
        <f>AX16+預測IC!AY16</f>
        <v>-0.559421274379305</v>
      </c>
      <c r="AZ16" s="2">
        <f>AY16+預測IC!AZ16</f>
        <v>-0.57757667264007961</v>
      </c>
      <c r="BA16" s="2">
        <f>AZ16+預測IC!BA16</f>
        <v>-0.49843286466940689</v>
      </c>
      <c r="BB16" s="2">
        <f>BA16+預測IC!BB16</f>
        <v>-0.3654542079096989</v>
      </c>
      <c r="BC16" s="2">
        <f>BB16+預測IC!BC16</f>
        <v>-0.33064681108145866</v>
      </c>
      <c r="BD16" s="2">
        <f>BC16+預測IC!BD16</f>
        <v>-0.23985941976178196</v>
      </c>
      <c r="BE16" s="2">
        <f>BD16+預測IC!BE16</f>
        <v>-0.19259781014326235</v>
      </c>
      <c r="BF16" s="2">
        <f>BE16+預測IC!BF16</f>
        <v>-0.25164566687408585</v>
      </c>
      <c r="BG16" s="2">
        <f>BF16+預測IC!BG16</f>
        <v>-0.23029072140319878</v>
      </c>
      <c r="BH16" s="2">
        <f>BG16+預測IC!BH16</f>
        <v>-0.28950570031402095</v>
      </c>
      <c r="BI16" s="2">
        <f>BH16+預測IC!BI16</f>
        <v>-0.23846005162059247</v>
      </c>
      <c r="BJ16" s="2">
        <f>BI16+預測IC!BJ16</f>
        <v>-0.1872950676893671</v>
      </c>
      <c r="BK16" s="2">
        <f>BJ16+預測IC!BK16</f>
        <v>-0.21783433384503079</v>
      </c>
      <c r="BL16" s="2">
        <f>BK16+預測IC!BL16</f>
        <v>-0.28991810765456344</v>
      </c>
      <c r="BM16" s="2">
        <f>BL16+預測IC!BM16</f>
        <v>-0.33437970183845805</v>
      </c>
      <c r="BN16" s="2">
        <f>BM16+預測IC!BN16</f>
        <v>-0.3560335392853663</v>
      </c>
      <c r="BO16" s="2">
        <f>BN16+預測IC!BO16</f>
        <v>-0.31479831769994715</v>
      </c>
      <c r="BP16" s="2">
        <f>BO16+預測IC!BP16</f>
        <v>-0.32602985272754509</v>
      </c>
      <c r="BQ16" s="2">
        <f>BP16+預測IC!BQ16</f>
        <v>-0.37272582498047307</v>
      </c>
      <c r="BR16" s="2">
        <f>BQ16+預測IC!BR16</f>
        <v>-0.433315123059548</v>
      </c>
      <c r="BS16" s="2">
        <f>BR16+預測IC!BS16</f>
        <v>-0.42404176964135432</v>
      </c>
      <c r="BT16" s="2">
        <f>BS16+預測IC!BT16</f>
        <v>-0.4742013639483923</v>
      </c>
      <c r="BU16" s="2">
        <f>BT16+預測IC!BU16</f>
        <v>-0.44079471976291112</v>
      </c>
      <c r="BV16" s="2">
        <f>BU16+預測IC!BV16</f>
        <v>-0.41466854898354727</v>
      </c>
      <c r="BW16" s="2">
        <f>BV16+預測IC!BW16</f>
        <v>-0.62749919015925248</v>
      </c>
      <c r="BX16" s="2">
        <f>BW16+預測IC!BX16</f>
        <v>-0.58082128070933425</v>
      </c>
      <c r="BY16" s="2">
        <f>BX16+預測IC!BY16</f>
        <v>-0.68202349808274443</v>
      </c>
      <c r="BZ16" s="2">
        <f>BY16+預測IC!BZ16</f>
        <v>-0.57701982168582278</v>
      </c>
      <c r="CA16" s="2">
        <f>BZ16+預測IC!CA16</f>
        <v>-0.40556649817525209</v>
      </c>
      <c r="CB16" s="2">
        <f>CA16+預測IC!CB16</f>
        <v>-0.34610052800930752</v>
      </c>
      <c r="CC16" s="2">
        <f>CB16+預測IC!CC16</f>
        <v>-0.27705764008901446</v>
      </c>
      <c r="CD16" s="2">
        <f>CC16+預測IC!CD16</f>
        <v>-0.29560323519322801</v>
      </c>
      <c r="CE16" s="2">
        <f>CD16+預測IC!CE16</f>
        <v>-0.22583999396181409</v>
      </c>
      <c r="CF16" s="2">
        <f>CE16+預測IC!CF16</f>
        <v>-0.14289965776506258</v>
      </c>
      <c r="CG16" s="2">
        <f>CF16+預測IC!CG16</f>
        <v>-0.38694756929781671</v>
      </c>
      <c r="CH16" s="2">
        <f>CG16+預測IC!CH16</f>
        <v>-0.33889306475210756</v>
      </c>
      <c r="CI16" s="2">
        <f>CH16+預測IC!CI16</f>
        <v>-0.28980332350207383</v>
      </c>
      <c r="CJ16" s="2">
        <f>CI16+預測IC!CJ16</f>
        <v>-0.27763026551843351</v>
      </c>
      <c r="CK16" s="2">
        <f>CJ16+預測IC!CK16</f>
        <v>-0.24135061129793101</v>
      </c>
      <c r="CL16" s="2">
        <f>CK16+預測IC!CL16</f>
        <v>-0.1280936435192323</v>
      </c>
      <c r="CM16" s="2">
        <f>CL16+預測IC!CM16</f>
        <v>-7.5969572751576162E-2</v>
      </c>
      <c r="CN16" s="2">
        <f>CM16+預測IC!CN16</f>
        <v>-0.13734944768890153</v>
      </c>
      <c r="CO16" s="2">
        <f>CN16+預測IC!CO16</f>
        <v>-0.32035342078394802</v>
      </c>
      <c r="CP16" s="2">
        <f>CO16+預測IC!CP16</f>
        <v>-0.20761378909822362</v>
      </c>
      <c r="CQ16" s="2">
        <f>CP16+預測IC!CQ16</f>
        <v>-0.28327375772242874</v>
      </c>
      <c r="CR16" s="2">
        <f>CQ16+預測IC!CR16</f>
        <v>-0.25254956607780127</v>
      </c>
      <c r="CS16" s="2">
        <f>CR16+預測IC!CS16</f>
        <v>-0.23713652095667398</v>
      </c>
      <c r="CT16" s="2">
        <f>CS16+預測IC!CT16</f>
        <v>-0.26900076320489902</v>
      </c>
      <c r="CU16" s="2">
        <f>CT16+預測IC!CU16</f>
        <v>-0.44189698442093411</v>
      </c>
      <c r="CV16" s="2">
        <f>CU16+預測IC!CV16</f>
        <v>-0.41641677747284739</v>
      </c>
      <c r="CW16" s="2">
        <f>CV16+預測IC!CW16</f>
        <v>-0.42297568585110362</v>
      </c>
      <c r="CX16" s="2">
        <f>CW16+預測IC!CX16</f>
        <v>-0.54899364510852056</v>
      </c>
      <c r="CY16" s="2">
        <f>CX16+預測IC!CY16</f>
        <v>-0.57848775413695175</v>
      </c>
      <c r="CZ16" s="2">
        <f>CY16+預測IC!CZ16</f>
        <v>-0.45977637632331886</v>
      </c>
      <c r="DA16" s="2">
        <f>CZ16+預測IC!DA16</f>
        <v>-0.5534802103331451</v>
      </c>
      <c r="DB16" s="2">
        <f>DA16+預測IC!DB16</f>
        <v>-0.58892199634367948</v>
      </c>
      <c r="DC16" s="2">
        <f>DB16+預測IC!DC16</f>
        <v>-0.66533311731043698</v>
      </c>
      <c r="DD16" s="2">
        <f>DC16+預測IC!DD16</f>
        <v>-0.50133078250565155</v>
      </c>
      <c r="DE16" s="2">
        <f>DD16+預測IC!DE16</f>
        <v>-0.55378089318377588</v>
      </c>
      <c r="DF16" s="2">
        <f>DE16+預測IC!DF16</f>
        <v>-0.534152515402052</v>
      </c>
      <c r="DG16" s="2">
        <f>DF16+預測IC!DG16</f>
        <v>-0.62285527764231174</v>
      </c>
      <c r="DH16" s="2">
        <f>DG16+預測IC!DH16</f>
        <v>-0.57479114756171479</v>
      </c>
      <c r="DI16" s="2">
        <f>DH16+預測IC!DI16</f>
        <v>-0.56311725718776562</v>
      </c>
      <c r="DJ16" s="2">
        <f>DI16+預測IC!DJ16</f>
        <v>-0.50359880086898778</v>
      </c>
      <c r="DK16" s="2">
        <f>DJ16+預測IC!DK16</f>
        <v>-0.42033820696993068</v>
      </c>
      <c r="DL16" s="2">
        <f>DK16+預測IC!DL16</f>
        <v>-0.41166129373295751</v>
      </c>
      <c r="DM16" s="2">
        <f>DL16+預測IC!DM16</f>
        <v>-0.37490154661397584</v>
      </c>
      <c r="DN16" s="2">
        <f>DM16+預測IC!DN16</f>
        <v>-0.37323541811134997</v>
      </c>
      <c r="DO16" s="2">
        <f>DN16+預測IC!DO16</f>
        <v>-0.34065147832061016</v>
      </c>
      <c r="DP16" s="2">
        <f>DO16+預測IC!DP16</f>
        <v>-0.335458320790395</v>
      </c>
      <c r="DQ16" s="2">
        <f>DP16+預測IC!DQ16</f>
        <v>-0.29653589456654833</v>
      </c>
      <c r="DR16" s="2">
        <f>DQ16+預測IC!DR16</f>
        <v>-0.25870439763393427</v>
      </c>
      <c r="DS16" s="2">
        <f>DR16+預測IC!DS16</f>
        <v>-0.14225782908629048</v>
      </c>
      <c r="DT16" s="2">
        <f>DS16+預測IC!DT16</f>
        <v>-0.25496559972040239</v>
      </c>
      <c r="DU16" s="2">
        <f>DT16+預測IC!DU16</f>
        <v>-0.23959027226541751</v>
      </c>
      <c r="DV16" s="2">
        <f>DU16+預測IC!DV16</f>
        <v>-0.22041693199820703</v>
      </c>
      <c r="DW16" s="2">
        <f>DV16+預測IC!DW16</f>
        <v>-0.18267393454264635</v>
      </c>
      <c r="DX16" s="2">
        <f>DW16+預測IC!DX16</f>
        <v>-0.24695893516124945</v>
      </c>
      <c r="DY16" s="2">
        <f>DX16+預測IC!DY16</f>
        <v>-0.13248863284019086</v>
      </c>
      <c r="DZ16" s="2">
        <f>DY16+預測IC!DZ16</f>
        <v>-0.11937696402647435</v>
      </c>
      <c r="EA16" s="2">
        <f>DZ16+預測IC!EA16</f>
        <v>-0.12051953375641467</v>
      </c>
      <c r="EB16" s="2">
        <f>EA16+預測IC!EB16</f>
        <v>-0.19383856090065174</v>
      </c>
      <c r="EC16" s="2">
        <f>EB16+預測IC!EC16</f>
        <v>-0.20858980643672489</v>
      </c>
      <c r="ED16" s="2">
        <f>EC16+預測IC!ED16</f>
        <v>-0.26776986775374956</v>
      </c>
      <c r="EE16" s="2">
        <f>ED16+預測IC!EE16</f>
        <v>-0.25623226045210984</v>
      </c>
      <c r="EF16" s="2">
        <f>EE16+預測IC!EF16</f>
        <v>-0.31647490042503967</v>
      </c>
      <c r="EG16" s="2">
        <f>EF16+預測IC!EG16</f>
        <v>-0.31809617949629654</v>
      </c>
      <c r="EH16" s="2">
        <f>EG16+預測IC!EH16</f>
        <v>-0.3861151525068825</v>
      </c>
      <c r="EI16" s="2">
        <f>EH16+預測IC!EI16</f>
        <v>-0.48660279245922777</v>
      </c>
      <c r="EJ16" s="2">
        <f>EI16+預測IC!EJ16</f>
        <v>-0.56421392752113553</v>
      </c>
      <c r="EK16" s="2">
        <f>EJ16+預測IC!EK16</f>
        <v>-0.70339606922924736</v>
      </c>
      <c r="EL16" s="2">
        <f>EK16+預測IC!EL16</f>
        <v>-0.72375387928214496</v>
      </c>
    </row>
    <row r="17" spans="1:142" x14ac:dyDescent="0.3">
      <c r="A17" s="20">
        <v>130</v>
      </c>
      <c r="B17" s="20">
        <f t="shared" si="10"/>
        <v>8</v>
      </c>
      <c r="C17" s="2">
        <v>-0.10848541786298629</v>
      </c>
      <c r="D17" s="2">
        <f>C17+預測IC!D17</f>
        <v>-0.1080759683840035</v>
      </c>
      <c r="E17" s="2">
        <f>D17+預測IC!E17</f>
        <v>-3.1373341960315299E-2</v>
      </c>
      <c r="F17" s="2">
        <f>E17+預測IC!F17</f>
        <v>-8.7864368791779612E-2</v>
      </c>
      <c r="G17" s="2">
        <f>F17+預測IC!G17</f>
        <v>-0.25666121410981341</v>
      </c>
      <c r="H17" s="2">
        <f>G17+預測IC!H17</f>
        <v>-0.29661450933433103</v>
      </c>
      <c r="I17" s="2">
        <f>H17+預測IC!I17</f>
        <v>-0.41972188521672271</v>
      </c>
      <c r="J17" s="2">
        <f>I17+預測IC!J17</f>
        <v>-0.37584070687175475</v>
      </c>
      <c r="K17" s="2">
        <f>J17+預測IC!K17</f>
        <v>-0.42219275373491055</v>
      </c>
      <c r="L17" s="2">
        <f>K17+預測IC!L17</f>
        <v>-0.41455435289196968</v>
      </c>
      <c r="M17" s="2">
        <f>L17+預測IC!M17</f>
        <v>-0.59511075430461546</v>
      </c>
      <c r="N17" s="2">
        <f>M17+預測IC!N17</f>
        <v>-0.91438971468994823</v>
      </c>
      <c r="O17" s="2">
        <f>N17+預測IC!O17</f>
        <v>-0.88781533404953017</v>
      </c>
      <c r="P17" s="2">
        <f>O17+預測IC!P17</f>
        <v>-0.80061878500869299</v>
      </c>
      <c r="Q17" s="2">
        <f>P17+預測IC!Q17</f>
        <v>-0.85083786190194366</v>
      </c>
      <c r="R17" s="2">
        <f>Q17+預測IC!R17</f>
        <v>-0.92173740571952356</v>
      </c>
      <c r="S17" s="2">
        <f>R17+預測IC!S17</f>
        <v>-1.0549636160831233</v>
      </c>
      <c r="T17" s="2">
        <f>S17+預測IC!T17</f>
        <v>-1.0974605018767654</v>
      </c>
      <c r="U17" s="2">
        <f>T17+預測IC!U17</f>
        <v>-1.1710661838998986</v>
      </c>
      <c r="V17" s="2">
        <f>U17+預測IC!V17</f>
        <v>-1.1812649430306399</v>
      </c>
      <c r="W17" s="2">
        <f>V17+預測IC!W17</f>
        <v>-1.0831940139804235</v>
      </c>
      <c r="X17" s="2">
        <f>W17+預測IC!X17</f>
        <v>-1.0229135001008123</v>
      </c>
      <c r="Y17" s="2">
        <f>X17+預測IC!Y17</f>
        <v>-1.0199208546339271</v>
      </c>
      <c r="Z17" s="2">
        <f>Y17+預測IC!Z17</f>
        <v>-0.93409082813900213</v>
      </c>
      <c r="AA17" s="2">
        <f>Z17+預測IC!AA17</f>
        <v>-0.98521985580926885</v>
      </c>
      <c r="AB17" s="2">
        <f>AA17+預測IC!AB17</f>
        <v>-0.86441756402863856</v>
      </c>
      <c r="AC17" s="2">
        <f>AB17+預測IC!AC17</f>
        <v>-0.90390582518926754</v>
      </c>
      <c r="AD17" s="2">
        <f>AC17+預測IC!AD17</f>
        <v>-0.89166787768878564</v>
      </c>
      <c r="AE17" s="2">
        <f>AD17+預測IC!AE17</f>
        <v>-1.0665071273005586</v>
      </c>
      <c r="AF17" s="2">
        <f>AE17+預測IC!AF17</f>
        <v>-1.1301526548410521</v>
      </c>
      <c r="AG17" s="2">
        <f>AF17+預測IC!AG17</f>
        <v>-1.1076414608369891</v>
      </c>
      <c r="AH17" s="2">
        <f>AG17+預測IC!AH17</f>
        <v>-1.0138729004884688</v>
      </c>
      <c r="AI17" s="2">
        <f>AH17+預測IC!AI17</f>
        <v>-1.0419876385282665</v>
      </c>
      <c r="AJ17" s="2">
        <f>AI17+預測IC!AJ17</f>
        <v>-0.99942798266819333</v>
      </c>
      <c r="AK17" s="2">
        <f>AJ17+預測IC!AK17</f>
        <v>-1.0312404686680132</v>
      </c>
      <c r="AL17" s="2">
        <f>AK17+預測IC!AL17</f>
        <v>-0.9449552219725148</v>
      </c>
      <c r="AM17" s="2">
        <f>AL17+預測IC!AM17</f>
        <v>-0.94379068948948253</v>
      </c>
      <c r="AN17" s="2">
        <f>AM17+預測IC!AN17</f>
        <v>-1.0684031754232524</v>
      </c>
      <c r="AO17" s="2">
        <f>AN17+預測IC!AO17</f>
        <v>-1.0396522516760009</v>
      </c>
      <c r="AP17" s="2">
        <f>AO17+預測IC!AP17</f>
        <v>-0.95444948105398009</v>
      </c>
      <c r="AQ17" s="2">
        <f>AP17+預測IC!AQ17</f>
        <v>-0.91860909306549676</v>
      </c>
      <c r="AR17" s="2">
        <f>AQ17+預測IC!AR17</f>
        <v>-0.79249864743108966</v>
      </c>
      <c r="AS17" s="2">
        <f>AR17+預測IC!AS17</f>
        <v>-0.84350017980137815</v>
      </c>
      <c r="AT17" s="2">
        <f>AS17+預測IC!AT17</f>
        <v>-0.81504069107384602</v>
      </c>
      <c r="AU17" s="2">
        <f>AT17+預測IC!AU17</f>
        <v>-0.67726748518800561</v>
      </c>
      <c r="AV17" s="2">
        <f>AU17+預測IC!AV17</f>
        <v>-0.60508027025155686</v>
      </c>
      <c r="AW17" s="2">
        <f>AV17+預測IC!AW17</f>
        <v>-0.59255260399797005</v>
      </c>
      <c r="AX17" s="2">
        <f>AW17+預測IC!AX17</f>
        <v>-0.51741985568523052</v>
      </c>
      <c r="AY17" s="2">
        <f>AX17+預測IC!AY17</f>
        <v>-0.52225288864219377</v>
      </c>
      <c r="AZ17" s="2">
        <f>AY17+預測IC!AZ17</f>
        <v>-0.5022709654854941</v>
      </c>
      <c r="BA17" s="2">
        <f>AZ17+預測IC!BA17</f>
        <v>-0.39308672128706551</v>
      </c>
      <c r="BB17" s="2">
        <f>BA17+預測IC!BB17</f>
        <v>-0.25076934594789102</v>
      </c>
      <c r="BC17" s="2">
        <f>BB17+預測IC!BC17</f>
        <v>-0.19843774982724197</v>
      </c>
      <c r="BD17" s="2">
        <f>BC17+預測IC!BD17</f>
        <v>-0.12026532919953646</v>
      </c>
      <c r="BE17" s="2">
        <f>BD17+預測IC!BE17</f>
        <v>-8.366693661546068E-2</v>
      </c>
      <c r="BF17" s="2">
        <f>BE17+預測IC!BF17</f>
        <v>-0.10702484649481758</v>
      </c>
      <c r="BG17" s="2">
        <f>BF17+預測IC!BG17</f>
        <v>-0.11790145146900706</v>
      </c>
      <c r="BH17" s="2">
        <f>BG17+預測IC!BH17</f>
        <v>-0.18199910698606103</v>
      </c>
      <c r="BI17" s="2">
        <f>BH17+預測IC!BI17</f>
        <v>-0.10842967318759472</v>
      </c>
      <c r="BJ17" s="2">
        <f>BI17+預測IC!BJ17</f>
        <v>-3.0843887345289617E-2</v>
      </c>
      <c r="BK17" s="2">
        <f>BJ17+預測IC!BK17</f>
        <v>-8.6478205502894687E-2</v>
      </c>
      <c r="BL17" s="2">
        <f>BK17+預測IC!BL17</f>
        <v>-0.16476555099749779</v>
      </c>
      <c r="BM17" s="2">
        <f>BL17+預測IC!BM17</f>
        <v>-0.1884513244010852</v>
      </c>
      <c r="BN17" s="2">
        <f>BM17+預測IC!BN17</f>
        <v>-0.20623661678598582</v>
      </c>
      <c r="BO17" s="2">
        <f>BN17+預測IC!BO17</f>
        <v>-0.18043037498382095</v>
      </c>
      <c r="BP17" s="2">
        <f>BO17+預測IC!BP17</f>
        <v>-0.19383513038859332</v>
      </c>
      <c r="BQ17" s="2">
        <f>BP17+預測IC!BQ17</f>
        <v>-0.24845508408462952</v>
      </c>
      <c r="BR17" s="2">
        <f>BQ17+預測IC!BR17</f>
        <v>-0.2809237595584605</v>
      </c>
      <c r="BS17" s="2">
        <f>BR17+預測IC!BS17</f>
        <v>-0.27029525858073394</v>
      </c>
      <c r="BT17" s="2">
        <f>BS17+預測IC!BT17</f>
        <v>-0.29743124014446515</v>
      </c>
      <c r="BU17" s="2">
        <f>BT17+預測IC!BU17</f>
        <v>-0.2615231900846986</v>
      </c>
      <c r="BV17" s="2">
        <f>BU17+預測IC!BV17</f>
        <v>-0.23774626995750536</v>
      </c>
      <c r="BW17" s="2">
        <f>BV17+預測IC!BW17</f>
        <v>-0.47199693046902125</v>
      </c>
      <c r="BX17" s="2">
        <f>BW17+預測IC!BX17</f>
        <v>-0.42015193722955985</v>
      </c>
      <c r="BY17" s="2">
        <f>BX17+預測IC!BY17</f>
        <v>-0.52499828513885727</v>
      </c>
      <c r="BZ17" s="2">
        <f>BY17+預測IC!BZ17</f>
        <v>-0.40682136936119778</v>
      </c>
      <c r="CA17" s="2">
        <f>BZ17+預測IC!CA17</f>
        <v>-0.27756832480633209</v>
      </c>
      <c r="CB17" s="2">
        <f>CA17+預測IC!CB17</f>
        <v>-0.22125788102050636</v>
      </c>
      <c r="CC17" s="2">
        <f>CB17+預測IC!CC17</f>
        <v>-0.15685130688991392</v>
      </c>
      <c r="CD17" s="2">
        <f>CC17+預測IC!CD17</f>
        <v>-0.15513847636860759</v>
      </c>
      <c r="CE17" s="2">
        <f>CD17+預測IC!CE17</f>
        <v>-6.625496200139519E-2</v>
      </c>
      <c r="CF17" s="2">
        <f>CE17+預測IC!CF17</f>
        <v>9.1377220829371164E-3</v>
      </c>
      <c r="CG17" s="2">
        <f>CF17+預測IC!CG17</f>
        <v>-0.14832355174682729</v>
      </c>
      <c r="CH17" s="2">
        <f>CG17+預測IC!CH17</f>
        <v>-6.5451171947158313E-2</v>
      </c>
      <c r="CI17" s="2">
        <f>CH17+預測IC!CI17</f>
        <v>-9.5378831411307707E-3</v>
      </c>
      <c r="CJ17" s="2">
        <f>CI17+預測IC!CJ17</f>
        <v>1.1203272344338749E-2</v>
      </c>
      <c r="CK17" s="2">
        <f>CJ17+預測IC!CK17</f>
        <v>5.5399641953756809E-2</v>
      </c>
      <c r="CL17" s="2">
        <f>CK17+預測IC!CL17</f>
        <v>0.16364595961412443</v>
      </c>
      <c r="CM17" s="2">
        <f>CL17+預測IC!CM17</f>
        <v>0.20233205089526696</v>
      </c>
      <c r="CN17" s="2">
        <f>CM17+預測IC!CN17</f>
        <v>0.13073031702564178</v>
      </c>
      <c r="CO17" s="2">
        <f>CN17+預測IC!CO17</f>
        <v>-6.3889101338690246E-3</v>
      </c>
      <c r="CP17" s="2">
        <f>CO17+預測IC!CP17</f>
        <v>0.11378690167795077</v>
      </c>
      <c r="CQ17" s="2">
        <f>CP17+預測IC!CQ17</f>
        <v>4.7633950440454639E-2</v>
      </c>
      <c r="CR17" s="2">
        <f>CQ17+預測IC!CR17</f>
        <v>7.6917631157870495E-2</v>
      </c>
      <c r="CS17" s="2">
        <f>CR17+預測IC!CS17</f>
        <v>9.1665645320497091E-2</v>
      </c>
      <c r="CT17" s="2">
        <f>CS17+預測IC!CT17</f>
        <v>5.151029972112512E-2</v>
      </c>
      <c r="CU17" s="2">
        <f>CT17+預測IC!CU17</f>
        <v>-9.082827360594839E-2</v>
      </c>
      <c r="CV17" s="2">
        <f>CU17+預測IC!CV17</f>
        <v>-7.3330701749150712E-2</v>
      </c>
      <c r="CW17" s="2">
        <f>CV17+預測IC!CW17</f>
        <v>-8.2560922661215466E-2</v>
      </c>
      <c r="CX17" s="2">
        <f>CW17+預測IC!CX17</f>
        <v>-0.20822557040769268</v>
      </c>
      <c r="CY17" s="2">
        <f>CX17+預測IC!CY17</f>
        <v>-0.23242528300921853</v>
      </c>
      <c r="CZ17" s="2">
        <f>CY17+預測IC!CZ17</f>
        <v>-6.6186503198936236E-2</v>
      </c>
      <c r="DA17" s="2">
        <f>CZ17+預測IC!DA17</f>
        <v>-0.14232126078794952</v>
      </c>
      <c r="DB17" s="2">
        <f>DA17+預測IC!DB17</f>
        <v>-0.16376632932569044</v>
      </c>
      <c r="DC17" s="2">
        <f>DB17+預測IC!DC17</f>
        <v>-0.23190892154062454</v>
      </c>
      <c r="DD17" s="2">
        <f>DC17+預測IC!DD17</f>
        <v>-7.0682148247991627E-2</v>
      </c>
      <c r="DE17" s="2">
        <f>DD17+預測IC!DE17</f>
        <v>-9.1298465183887165E-2</v>
      </c>
      <c r="DF17" s="2">
        <f>DE17+預測IC!DF17</f>
        <v>-6.53894655688433E-2</v>
      </c>
      <c r="DG17" s="2">
        <f>DF17+預測IC!DG17</f>
        <v>-0.16278287375012834</v>
      </c>
      <c r="DH17" s="2">
        <f>DG17+預測IC!DH17</f>
        <v>-9.796391319935388E-2</v>
      </c>
      <c r="DI17" s="2">
        <f>DH17+預測IC!DI17</f>
        <v>-9.9004872448047357E-2</v>
      </c>
      <c r="DJ17" s="2">
        <f>DI17+預測IC!DJ17</f>
        <v>-3.2832048746307893E-2</v>
      </c>
      <c r="DK17" s="2">
        <f>DJ17+預測IC!DK17</f>
        <v>6.2944736568638873E-2</v>
      </c>
      <c r="DL17" s="2">
        <f>DK17+預測IC!DL17</f>
        <v>7.7935504532581024E-2</v>
      </c>
      <c r="DM17" s="2">
        <f>DL17+預測IC!DM17</f>
        <v>0.1213781015552878</v>
      </c>
      <c r="DN17" s="2">
        <f>DM17+預測IC!DN17</f>
        <v>0.12806662780540087</v>
      </c>
      <c r="DO17" s="2">
        <f>DN17+預測IC!DO17</f>
        <v>0.16994203379691075</v>
      </c>
      <c r="DP17" s="2">
        <f>DO17+預測IC!DP17</f>
        <v>0.17849306231030054</v>
      </c>
      <c r="DQ17" s="2">
        <f>DP17+預測IC!DQ17</f>
        <v>0.21782921282672563</v>
      </c>
      <c r="DR17" s="2">
        <f>DQ17+預測IC!DR17</f>
        <v>0.27155733321753717</v>
      </c>
      <c r="DS17" s="2">
        <f>DR17+預測IC!DS17</f>
        <v>0.42140480952497367</v>
      </c>
      <c r="DT17" s="2">
        <f>DS17+預測IC!DT17</f>
        <v>0.3139083450317306</v>
      </c>
      <c r="DU17" s="2">
        <f>DT17+預測IC!DU17</f>
        <v>0.35991623555903979</v>
      </c>
      <c r="DV17" s="2">
        <f>DU17+預測IC!DV17</f>
        <v>0.38892907895764323</v>
      </c>
      <c r="DW17" s="2">
        <f>DV17+預測IC!DW17</f>
        <v>0.41393128014925196</v>
      </c>
      <c r="DX17" s="2">
        <f>DW17+預測IC!DX17</f>
        <v>0.3415707588199608</v>
      </c>
      <c r="DY17" s="2">
        <f>DX17+預測IC!DY17</f>
        <v>0.48250103450993431</v>
      </c>
      <c r="DZ17" s="2">
        <f>DY17+預測IC!DZ17</f>
        <v>0.48568447992087627</v>
      </c>
      <c r="EA17" s="2">
        <f>DZ17+預測IC!EA17</f>
        <v>0.45253678009113174</v>
      </c>
      <c r="EB17" s="2">
        <f>EA17+預測IC!EB17</f>
        <v>0.37600677908820712</v>
      </c>
      <c r="EC17" s="2">
        <f>EB17+預測IC!EC17</f>
        <v>0.38818355393072251</v>
      </c>
      <c r="ED17" s="2">
        <f>EC17+預測IC!ED17</f>
        <v>0.33658411292419427</v>
      </c>
      <c r="EE17" s="2">
        <f>ED17+預測IC!EE17</f>
        <v>0.36269705251823453</v>
      </c>
      <c r="EF17" s="2">
        <f>EE17+預測IC!EF17</f>
        <v>0.2909769328299151</v>
      </c>
      <c r="EG17" s="2">
        <f>EF17+預測IC!EG17</f>
        <v>0.3191333708784343</v>
      </c>
      <c r="EH17" s="2">
        <f>EG17+預測IC!EH17</f>
        <v>0.26006014597440341</v>
      </c>
      <c r="EI17" s="2">
        <f>EH17+預測IC!EI17</f>
        <v>0.17051637830165478</v>
      </c>
      <c r="EJ17" s="2">
        <f>EI17+預測IC!EJ17</f>
        <v>9.3643972863241276E-2</v>
      </c>
      <c r="EK17" s="2">
        <f>EJ17+預測IC!EK17</f>
        <v>-3.4590344346877216E-2</v>
      </c>
      <c r="EL17" s="2">
        <f>EK17+預測IC!EL17</f>
        <v>-5.3929991277168632E-2</v>
      </c>
    </row>
    <row r="18" spans="1:142" x14ac:dyDescent="0.3">
      <c r="A18" s="20">
        <v>150</v>
      </c>
      <c r="B18" s="20">
        <f t="shared" si="10"/>
        <v>7</v>
      </c>
      <c r="C18" s="2">
        <v>-5.264358642546442E-2</v>
      </c>
      <c r="D18" s="2">
        <f>C18+預測IC!D18</f>
        <v>-3.182509065277811E-2</v>
      </c>
      <c r="E18" s="2">
        <f>D18+預測IC!E18</f>
        <v>6.835989623107129E-2</v>
      </c>
      <c r="F18" s="2">
        <f>E18+預測IC!F18</f>
        <v>3.8693939016527928E-2</v>
      </c>
      <c r="G18" s="2">
        <f>F18+預測IC!G18</f>
        <v>-0.15341024987211047</v>
      </c>
      <c r="H18" s="2">
        <f>G18+預測IC!H18</f>
        <v>-0.21546293392165355</v>
      </c>
      <c r="I18" s="2">
        <f>H18+預測IC!I18</f>
        <v>-0.37013220698746863</v>
      </c>
      <c r="J18" s="2">
        <f>I18+預測IC!J18</f>
        <v>-0.33140319004950797</v>
      </c>
      <c r="K18" s="2">
        <f>J18+預測IC!K18</f>
        <v>-0.39295826751240814</v>
      </c>
      <c r="L18" s="2">
        <f>K18+預測IC!L18</f>
        <v>-0.38500402872608203</v>
      </c>
      <c r="M18" s="2">
        <f>L18+預測IC!M18</f>
        <v>-0.57225557855481068</v>
      </c>
      <c r="N18" s="2">
        <f>M18+預測IC!N18</f>
        <v>-0.93605944765444538</v>
      </c>
      <c r="O18" s="2">
        <f>N18+預測IC!O18</f>
        <v>-0.90682027456417391</v>
      </c>
      <c r="P18" s="2">
        <f>O18+預測IC!P18</f>
        <v>-0.79981550737701212</v>
      </c>
      <c r="Q18" s="2">
        <f>P18+預測IC!Q18</f>
        <v>-0.85588178250567482</v>
      </c>
      <c r="R18" s="2">
        <f>Q18+預測IC!R18</f>
        <v>-0.93953113810693711</v>
      </c>
      <c r="S18" s="2">
        <f>R18+預測IC!S18</f>
        <v>-1.0979624543228352</v>
      </c>
      <c r="T18" s="2">
        <f>S18+預測IC!T18</f>
        <v>-1.1273630655101476</v>
      </c>
      <c r="U18" s="2">
        <f>T18+預測IC!U18</f>
        <v>-1.1910780858112169</v>
      </c>
      <c r="V18" s="2">
        <f>U18+預測IC!V18</f>
        <v>-1.2082289935074637</v>
      </c>
      <c r="W18" s="2">
        <f>V18+預測IC!W18</f>
        <v>-1.0922221732509878</v>
      </c>
      <c r="X18" s="2">
        <f>W18+預測IC!X18</f>
        <v>-1.0428966959312813</v>
      </c>
      <c r="Y18" s="2">
        <f>X18+預測IC!Y18</f>
        <v>-1.0570210268123645</v>
      </c>
      <c r="Z18" s="2">
        <f>Y18+預測IC!Z18</f>
        <v>-0.97101707330132636</v>
      </c>
      <c r="AA18" s="2">
        <f>Z18+預測IC!AA18</f>
        <v>-1.0228177035781578</v>
      </c>
      <c r="AB18" s="2">
        <f>AA18+預測IC!AB18</f>
        <v>-0.88510925346935521</v>
      </c>
      <c r="AC18" s="2">
        <f>AB18+預測IC!AC18</f>
        <v>-0.897129910620587</v>
      </c>
      <c r="AD18" s="2">
        <f>AC18+預測IC!AD18</f>
        <v>-0.8587829167069625</v>
      </c>
      <c r="AE18" s="2">
        <f>AD18+預測IC!AE18</f>
        <v>-1.0611155786320325</v>
      </c>
      <c r="AF18" s="2">
        <f>AE18+預測IC!AF18</f>
        <v>-1.1388141403031435</v>
      </c>
      <c r="AG18" s="2">
        <f>AF18+預測IC!AG18</f>
        <v>-1.1401531671590044</v>
      </c>
      <c r="AH18" s="2">
        <f>AG18+預測IC!AH18</f>
        <v>-1.0532355924391887</v>
      </c>
      <c r="AI18" s="2">
        <f>AH18+預測IC!AI18</f>
        <v>-1.1162380523651496</v>
      </c>
      <c r="AJ18" s="2">
        <f>AI18+預測IC!AJ18</f>
        <v>-1.085650955521301</v>
      </c>
      <c r="AK18" s="2">
        <f>AJ18+預測IC!AK18</f>
        <v>-1.0834634745526268</v>
      </c>
      <c r="AL18" s="2">
        <f>AK18+預測IC!AL18</f>
        <v>-0.99437840134698996</v>
      </c>
      <c r="AM18" s="2">
        <f>AL18+預測IC!AM18</f>
        <v>-0.98984621345700163</v>
      </c>
      <c r="AN18" s="2">
        <f>AM18+預測IC!AN18</f>
        <v>-1.0816344316202249</v>
      </c>
      <c r="AO18" s="2">
        <f>AN18+預測IC!AO18</f>
        <v>-1.0451074621862488</v>
      </c>
      <c r="AP18" s="2">
        <f>AO18+預測IC!AP18</f>
        <v>-0.95821434085336854</v>
      </c>
      <c r="AQ18" s="2">
        <f>AP18+預測IC!AQ18</f>
        <v>-0.91538415982083976</v>
      </c>
      <c r="AR18" s="2">
        <f>AQ18+預測IC!AR18</f>
        <v>-0.80419685526030771</v>
      </c>
      <c r="AS18" s="2">
        <f>AR18+預測IC!AS18</f>
        <v>-0.85979753831631989</v>
      </c>
      <c r="AT18" s="2">
        <f>AS18+預測IC!AT18</f>
        <v>-0.83168382368819016</v>
      </c>
      <c r="AU18" s="2">
        <f>AT18+預測IC!AU18</f>
        <v>-0.69343008761521385</v>
      </c>
      <c r="AV18" s="2">
        <f>AU18+預測IC!AV18</f>
        <v>-0.61466545791249161</v>
      </c>
      <c r="AW18" s="2">
        <f>AV18+預測IC!AW18</f>
        <v>-0.60504900376107174</v>
      </c>
      <c r="AX18" s="2">
        <f>AW18+預測IC!AX18</f>
        <v>-0.49768423889043462</v>
      </c>
      <c r="AY18" s="2">
        <f>AX18+預測IC!AY18</f>
        <v>-0.50291124437169699</v>
      </c>
      <c r="AZ18" s="2">
        <f>AY18+預測IC!AZ18</f>
        <v>-0.4762088307951487</v>
      </c>
      <c r="BA18" s="2">
        <f>AZ18+預測IC!BA18</f>
        <v>-0.41926105265869873</v>
      </c>
      <c r="BB18" s="2">
        <f>BA18+預測IC!BB18</f>
        <v>-0.2689770657117212</v>
      </c>
      <c r="BC18" s="2">
        <f>BB18+預測IC!BC18</f>
        <v>-0.21617061001765009</v>
      </c>
      <c r="BD18" s="2">
        <f>BC18+預測IC!BD18</f>
        <v>-0.16430353814930101</v>
      </c>
      <c r="BE18" s="2">
        <f>BD18+預測IC!BE18</f>
        <v>-0.11952565925029698</v>
      </c>
      <c r="BF18" s="2">
        <f>BE18+預測IC!BF18</f>
        <v>-0.16340681629922338</v>
      </c>
      <c r="BG18" s="2">
        <f>BF18+預測IC!BG18</f>
        <v>-0.16311310368977697</v>
      </c>
      <c r="BH18" s="2">
        <f>BG18+預測IC!BH18</f>
        <v>-0.21829075090681399</v>
      </c>
      <c r="BI18" s="2">
        <f>BH18+預測IC!BI18</f>
        <v>-0.11125953120341039</v>
      </c>
      <c r="BJ18" s="2">
        <f>BI18+預測IC!BJ18</f>
        <v>-7.0627732206950011E-2</v>
      </c>
      <c r="BK18" s="2">
        <f>BJ18+預測IC!BK18</f>
        <v>-0.11770226358470329</v>
      </c>
      <c r="BL18" s="2">
        <f>BK18+預測IC!BL18</f>
        <v>-0.20492375029737267</v>
      </c>
      <c r="BM18" s="2">
        <f>BL18+預測IC!BM18</f>
        <v>-0.25198848338197893</v>
      </c>
      <c r="BN18" s="2">
        <f>BM18+預測IC!BN18</f>
        <v>-0.272437472572015</v>
      </c>
      <c r="BO18" s="2">
        <f>BN18+預測IC!BO18</f>
        <v>-0.21386469527431792</v>
      </c>
      <c r="BP18" s="2">
        <f>BO18+預測IC!BP18</f>
        <v>-0.23577991590689898</v>
      </c>
      <c r="BQ18" s="2">
        <f>BP18+預測IC!BQ18</f>
        <v>-0.29653185730762732</v>
      </c>
      <c r="BR18" s="2">
        <f>BQ18+預測IC!BR18</f>
        <v>-0.29633079852213789</v>
      </c>
      <c r="BS18" s="2">
        <f>BR18+預測IC!BS18</f>
        <v>-0.27574939877921328</v>
      </c>
      <c r="BT18" s="2">
        <f>BS18+預測IC!BT18</f>
        <v>-0.30521356791337495</v>
      </c>
      <c r="BU18" s="2">
        <f>BT18+預測IC!BU18</f>
        <v>-0.289618469255776</v>
      </c>
      <c r="BV18" s="2">
        <f>BU18+預測IC!BV18</f>
        <v>-0.26179869996358462</v>
      </c>
      <c r="BW18" s="2">
        <f>BV18+預測IC!BW18</f>
        <v>-0.5015900124976288</v>
      </c>
      <c r="BX18" s="2">
        <f>BW18+預測IC!BX18</f>
        <v>-0.46638017306166585</v>
      </c>
      <c r="BY18" s="2">
        <f>BX18+預測IC!BY18</f>
        <v>-0.55606199249952792</v>
      </c>
      <c r="BZ18" s="2">
        <f>BY18+預測IC!BZ18</f>
        <v>-0.40526489868975701</v>
      </c>
      <c r="CA18" s="2">
        <f>BZ18+預測IC!CA18</f>
        <v>-0.24539595471723222</v>
      </c>
      <c r="CB18" s="2">
        <f>CA18+預測IC!CB18</f>
        <v>-0.19117962682385767</v>
      </c>
      <c r="CC18" s="2">
        <f>CB18+預測IC!CC18</f>
        <v>-0.12136390608606429</v>
      </c>
      <c r="CD18" s="2">
        <f>CC18+預測IC!CD18</f>
        <v>-0.13034211785861566</v>
      </c>
      <c r="CE18" s="2">
        <f>CD18+預測IC!CE18</f>
        <v>-6.0881219316715973E-2</v>
      </c>
      <c r="CF18" s="2">
        <f>CE18+預測IC!CF18</f>
        <v>3.1433203845441945E-2</v>
      </c>
      <c r="CG18" s="2">
        <f>CF18+預測IC!CG18</f>
        <v>-0.13956213672819207</v>
      </c>
      <c r="CH18" s="2">
        <f>CG18+預測IC!CH18</f>
        <v>-3.144872545297657E-2</v>
      </c>
      <c r="CI18" s="2">
        <f>CH18+預測IC!CI18</f>
        <v>-1.1943157959172605E-3</v>
      </c>
      <c r="CJ18" s="2">
        <f>CI18+預測IC!CJ18</f>
        <v>3.1601793455250576E-2</v>
      </c>
      <c r="CK18" s="2">
        <f>CJ18+預測IC!CK18</f>
        <v>0.10537032194749592</v>
      </c>
      <c r="CL18" s="2">
        <f>CK18+預測IC!CL18</f>
        <v>0.21758219337453483</v>
      </c>
      <c r="CM18" s="2">
        <f>CL18+預測IC!CM18</f>
        <v>0.24137429648313602</v>
      </c>
      <c r="CN18" s="2">
        <f>CM18+預測IC!CN18</f>
        <v>0.15814433167551828</v>
      </c>
      <c r="CO18" s="2">
        <f>CN18+預測IC!CO18</f>
        <v>-9.3520261695067275E-3</v>
      </c>
      <c r="CP18" s="2">
        <f>CO18+預測IC!CP18</f>
        <v>0.12150598862361958</v>
      </c>
      <c r="CQ18" s="2">
        <f>CP18+預測IC!CQ18</f>
        <v>7.3615083725040775E-2</v>
      </c>
      <c r="CR18" s="2">
        <f>CQ18+預測IC!CR18</f>
        <v>0.11178913935574661</v>
      </c>
      <c r="CS18" s="2">
        <f>CR18+預測IC!CS18</f>
        <v>0.15034737088652475</v>
      </c>
      <c r="CT18" s="2">
        <f>CS18+預測IC!CT18</f>
        <v>0.11284572596694635</v>
      </c>
      <c r="CU18" s="2">
        <f>CT18+預測IC!CU18</f>
        <v>-2.9744121624350542E-2</v>
      </c>
      <c r="CV18" s="2">
        <f>CU18+預測IC!CV18</f>
        <v>1.6224049104262145E-2</v>
      </c>
      <c r="CW18" s="2">
        <f>CV18+預測IC!CW18</f>
        <v>-1.7070492114310457E-2</v>
      </c>
      <c r="CX18" s="2">
        <f>CW18+預測IC!CX18</f>
        <v>-0.11461036066760226</v>
      </c>
      <c r="CY18" s="2">
        <f>CX18+預測IC!CY18</f>
        <v>-0.12650055859012466</v>
      </c>
      <c r="CZ18" s="2">
        <f>CY18+預測IC!CZ18</f>
        <v>7.352824264702254E-2</v>
      </c>
      <c r="DA18" s="2">
        <f>CZ18+預測IC!DA18</f>
        <v>-3.1526580805025559E-2</v>
      </c>
      <c r="DB18" s="2">
        <f>DA18+預測IC!DB18</f>
        <v>-5.3520087250890414E-2</v>
      </c>
      <c r="DC18" s="2">
        <f>DB18+預測IC!DC18</f>
        <v>-0.1190195492647762</v>
      </c>
      <c r="DD18" s="2">
        <f>DC18+預測IC!DD18</f>
        <v>8.0073190241851694E-2</v>
      </c>
      <c r="DE18" s="2">
        <f>DD18+預測IC!DE18</f>
        <v>3.9939283459906952E-2</v>
      </c>
      <c r="DF18" s="2">
        <f>DE18+預測IC!DF18</f>
        <v>8.8397688491644366E-2</v>
      </c>
      <c r="DG18" s="2">
        <f>DF18+預測IC!DG18</f>
        <v>-1.1996918546140073E-3</v>
      </c>
      <c r="DH18" s="2">
        <f>DG18+預測IC!DH18</f>
        <v>6.1345016887699014E-2</v>
      </c>
      <c r="DI18" s="2">
        <f>DH18+預測IC!DI18</f>
        <v>8.7926024830882882E-2</v>
      </c>
      <c r="DJ18" s="2">
        <f>DI18+預測IC!DJ18</f>
        <v>0.15394900035362843</v>
      </c>
      <c r="DK18" s="2">
        <f>DJ18+預測IC!DK18</f>
        <v>0.22171773295272612</v>
      </c>
      <c r="DL18" s="2">
        <f>DK18+預測IC!DL18</f>
        <v>0.24038770435349915</v>
      </c>
      <c r="DM18" s="2">
        <f>DL18+預測IC!DM18</f>
        <v>0.27841516636827268</v>
      </c>
      <c r="DN18" s="2">
        <f>DM18+預測IC!DN18</f>
        <v>0.29351276318062464</v>
      </c>
      <c r="DO18" s="2">
        <f>DN18+預測IC!DO18</f>
        <v>0.33973778556601208</v>
      </c>
      <c r="DP18" s="2">
        <f>DO18+預測IC!DP18</f>
        <v>0.36632548379760399</v>
      </c>
      <c r="DQ18" s="2">
        <f>DP18+預測IC!DQ18</f>
        <v>0.39278533348228822</v>
      </c>
      <c r="DR18" s="2">
        <f>DQ18+預測IC!DR18</f>
        <v>0.44488366144473457</v>
      </c>
      <c r="DS18" s="2">
        <f>DR18+預測IC!DS18</f>
        <v>0.62178430732803935</v>
      </c>
      <c r="DT18" s="2">
        <f>DS18+預測IC!DT18</f>
        <v>0.48935832886495767</v>
      </c>
      <c r="DU18" s="2">
        <f>DT18+預測IC!DU18</f>
        <v>0.56086420281931948</v>
      </c>
      <c r="DV18" s="2">
        <f>DU18+預測IC!DV18</f>
        <v>0.60702541050646075</v>
      </c>
      <c r="DW18" s="2">
        <f>DV18+預測IC!DW18</f>
        <v>0.66483797064274019</v>
      </c>
      <c r="DX18" s="2">
        <f>DW18+預測IC!DX18</f>
        <v>0.60224289252467611</v>
      </c>
      <c r="DY18" s="2">
        <f>DX18+預測IC!DY18</f>
        <v>0.77307373149778336</v>
      </c>
      <c r="DZ18" s="2">
        <f>DY18+預測IC!DZ18</f>
        <v>0.78325809561421977</v>
      </c>
      <c r="EA18" s="2">
        <f>DZ18+預測IC!EA18</f>
        <v>0.74801536820141745</v>
      </c>
      <c r="EB18" s="2">
        <f>EA18+預測IC!EB18</f>
        <v>0.64783092861882796</v>
      </c>
      <c r="EC18" s="2">
        <f>EB18+預測IC!EC18</f>
        <v>0.66245774490613996</v>
      </c>
      <c r="ED18" s="2">
        <f>EC18+預測IC!ED18</f>
        <v>0.61790989894656723</v>
      </c>
      <c r="EE18" s="2">
        <f>ED18+預測IC!EE18</f>
        <v>0.63831728455588754</v>
      </c>
      <c r="EF18" s="2">
        <f>EE18+預測IC!EF18</f>
        <v>0.55627829284209818</v>
      </c>
      <c r="EG18" s="2">
        <f>EF18+預測IC!EG18</f>
        <v>0.59783148999504587</v>
      </c>
      <c r="EH18" s="2">
        <f>EG18+預測IC!EH18</f>
        <v>0.55147266652630345</v>
      </c>
      <c r="EI18" s="2">
        <f>EH18+預測IC!EI18</f>
        <v>0.46997352701521727</v>
      </c>
      <c r="EJ18" s="2">
        <f>EI18+預測IC!EJ18</f>
        <v>0.41735605821300603</v>
      </c>
      <c r="EK18" s="2">
        <f>EJ18+預測IC!EK18</f>
        <v>0.28368610492467422</v>
      </c>
      <c r="EL18" s="2">
        <f>EK18+預測IC!EL18</f>
        <v>0.2922081035526119</v>
      </c>
    </row>
    <row r="19" spans="1:142" x14ac:dyDescent="0.3">
      <c r="A19" s="20">
        <v>180</v>
      </c>
      <c r="B19" s="20">
        <f t="shared" si="10"/>
        <v>6</v>
      </c>
      <c r="C19" s="2">
        <v>-6.3862070951592978E-2</v>
      </c>
      <c r="D19" s="2">
        <f>C19+預測IC!D19</f>
        <v>-3.6758229727959169E-2</v>
      </c>
      <c r="E19" s="2">
        <f>D19+預測IC!E19</f>
        <v>3.7060624303333414E-2</v>
      </c>
      <c r="F19" s="2">
        <f>E19+預測IC!F19</f>
        <v>1.8521354909423443E-2</v>
      </c>
      <c r="G19" s="2">
        <f>F19+預測IC!G19</f>
        <v>-0.20323014047474786</v>
      </c>
      <c r="H19" s="2">
        <f>G19+預測IC!H19</f>
        <v>-0.28976393088692465</v>
      </c>
      <c r="I19" s="2">
        <f>H19+預測IC!I19</f>
        <v>-0.45868164503683773</v>
      </c>
      <c r="J19" s="2">
        <f>I19+預測IC!J19</f>
        <v>-0.41906599805387312</v>
      </c>
      <c r="K19" s="2">
        <f>J19+預測IC!K19</f>
        <v>-0.54742913519945902</v>
      </c>
      <c r="L19" s="2">
        <f>K19+預測IC!L19</f>
        <v>-0.54034757192601313</v>
      </c>
      <c r="M19" s="2">
        <f>L19+預測IC!M19</f>
        <v>-0.77325459368129201</v>
      </c>
      <c r="N19" s="2">
        <f>M19+預測IC!N19</f>
        <v>-1.1860234741940228</v>
      </c>
      <c r="O19" s="2">
        <f>N19+預測IC!O19</f>
        <v>-1.1602242257631965</v>
      </c>
      <c r="P19" s="2">
        <f>O19+預測IC!P19</f>
        <v>-1.0682845943061132</v>
      </c>
      <c r="Q19" s="2">
        <f>P19+預測IC!Q19</f>
        <v>-1.1358470700533421</v>
      </c>
      <c r="R19" s="2">
        <f>Q19+預測IC!R19</f>
        <v>-1.2286102655066564</v>
      </c>
      <c r="S19" s="2">
        <f>R19+預測IC!S19</f>
        <v>-1.3951808329356912</v>
      </c>
      <c r="T19" s="2">
        <f>S19+預測IC!T19</f>
        <v>-1.4188082305948289</v>
      </c>
      <c r="U19" s="2">
        <f>T19+預測IC!U19</f>
        <v>-1.4835663580925829</v>
      </c>
      <c r="V19" s="2">
        <f>U19+預測IC!V19</f>
        <v>-1.4890383365697573</v>
      </c>
      <c r="W19" s="2">
        <f>V19+預測IC!W19</f>
        <v>-1.3589324962929523</v>
      </c>
      <c r="X19" s="2">
        <f>W19+預測IC!X19</f>
        <v>-1.314919061130692</v>
      </c>
      <c r="Y19" s="2">
        <f>X19+預測IC!Y19</f>
        <v>-1.289943303217566</v>
      </c>
      <c r="Z19" s="2">
        <f>Y19+預測IC!Z19</f>
        <v>-1.2454228635013918</v>
      </c>
      <c r="AA19" s="2">
        <f>Z19+預測IC!AA19</f>
        <v>-1.298770997316006</v>
      </c>
      <c r="AB19" s="2">
        <f>AA19+預測IC!AB19</f>
        <v>-1.2005924153917897</v>
      </c>
      <c r="AC19" s="2">
        <f>AB19+預測IC!AC19</f>
        <v>-1.2115177098887908</v>
      </c>
      <c r="AD19" s="2">
        <f>AC19+預測IC!AD19</f>
        <v>-1.2090526429137287</v>
      </c>
      <c r="AE19" s="2">
        <f>AD19+預測IC!AE19</f>
        <v>-1.4458068212987552</v>
      </c>
      <c r="AF19" s="2">
        <f>AE19+預測IC!AF19</f>
        <v>-1.5340335844874962</v>
      </c>
      <c r="AG19" s="2">
        <f>AF19+預測IC!AG19</f>
        <v>-1.5524624906841551</v>
      </c>
      <c r="AH19" s="2">
        <f>AG19+預測IC!AH19</f>
        <v>-1.4713598602788263</v>
      </c>
      <c r="AI19" s="2">
        <f>AH19+預測IC!AI19</f>
        <v>-1.5555338139594437</v>
      </c>
      <c r="AJ19" s="2">
        <f>AI19+預測IC!AJ19</f>
        <v>-1.5405647437549885</v>
      </c>
      <c r="AK19" s="2">
        <f>AJ19+預測IC!AK19</f>
        <v>-1.5481167862609413</v>
      </c>
      <c r="AL19" s="2">
        <f>AK19+預測IC!AL19</f>
        <v>-1.4564045899107507</v>
      </c>
      <c r="AM19" s="2">
        <f>AL19+預測IC!AM19</f>
        <v>-1.4282581867959832</v>
      </c>
      <c r="AN19" s="2">
        <f>AM19+預測IC!AN19</f>
        <v>-1.5184871391744172</v>
      </c>
      <c r="AO19" s="2">
        <f>AN19+預測IC!AO19</f>
        <v>-1.4806158134491676</v>
      </c>
      <c r="AP19" s="2">
        <f>AO19+預測IC!AP19</f>
        <v>-1.3848951628013291</v>
      </c>
      <c r="AQ19" s="2">
        <f>AP19+預測IC!AQ19</f>
        <v>-1.3063071176725192</v>
      </c>
      <c r="AR19" s="2">
        <f>AQ19+預測IC!AR19</f>
        <v>-1.1796177510828807</v>
      </c>
      <c r="AS19" s="2">
        <f>AR19+預測IC!AS19</f>
        <v>-1.2563934364436078</v>
      </c>
      <c r="AT19" s="2">
        <f>AS19+預測IC!AT19</f>
        <v>-1.1964323072972149</v>
      </c>
      <c r="AU19" s="2">
        <f>AT19+預測IC!AU19</f>
        <v>-1.0443186255970047</v>
      </c>
      <c r="AV19" s="2">
        <f>AU19+預測IC!AV19</f>
        <v>-0.95420321782964357</v>
      </c>
      <c r="AW19" s="2">
        <f>AV19+預測IC!AW19</f>
        <v>-0.96233743744872091</v>
      </c>
      <c r="AX19" s="2">
        <f>AW19+預測IC!AX19</f>
        <v>-0.83793215345298666</v>
      </c>
      <c r="AY19" s="2">
        <f>AX19+預測IC!AY19</f>
        <v>-0.85174426032886763</v>
      </c>
      <c r="AZ19" s="2">
        <f>AY19+預測IC!AZ19</f>
        <v>-0.92288242589725089</v>
      </c>
      <c r="BA19" s="2">
        <f>AZ19+預測IC!BA19</f>
        <v>-0.84905441034305384</v>
      </c>
      <c r="BB19" s="2">
        <f>BA19+預測IC!BB19</f>
        <v>-0.66928415929694507</v>
      </c>
      <c r="BC19" s="2">
        <f>BB19+預測IC!BC19</f>
        <v>-0.6195677627725944</v>
      </c>
      <c r="BD19" s="2">
        <f>BC19+預測IC!BD19</f>
        <v>-0.60854146182515767</v>
      </c>
      <c r="BE19" s="2">
        <f>BD19+預測IC!BE19</f>
        <v>-0.55155795918213602</v>
      </c>
      <c r="BF19" s="2">
        <f>BE19+預測IC!BF19</f>
        <v>-0.60768881668853403</v>
      </c>
      <c r="BG19" s="2">
        <f>BF19+預測IC!BG19</f>
        <v>-0.60368998883141567</v>
      </c>
      <c r="BH19" s="2">
        <f>BG19+預測IC!BH19</f>
        <v>-0.64596822175105251</v>
      </c>
      <c r="BI19" s="2">
        <f>BH19+預測IC!BI19</f>
        <v>-0.55638625166279898</v>
      </c>
      <c r="BJ19" s="2">
        <f>BI19+預測IC!BJ19</f>
        <v>-0.52694488349665591</v>
      </c>
      <c r="BK19" s="2">
        <f>BJ19+預測IC!BK19</f>
        <v>-0.58940549745625725</v>
      </c>
      <c r="BL19" s="2">
        <f>BK19+預測IC!BL19</f>
        <v>-0.68605310311584855</v>
      </c>
      <c r="BM19" s="2">
        <f>BL19+預測IC!BM19</f>
        <v>-0.73516388445773018</v>
      </c>
      <c r="BN19" s="2">
        <f>BM19+預測IC!BN19</f>
        <v>-0.74855514947532165</v>
      </c>
      <c r="BO19" s="2">
        <f>BN19+預測IC!BO19</f>
        <v>-0.74802958540642572</v>
      </c>
      <c r="BP19" s="2">
        <f>BO19+預測IC!BP19</f>
        <v>-0.788007436898994</v>
      </c>
      <c r="BQ19" s="2">
        <f>BP19+預測IC!BQ19</f>
        <v>-0.85730399511338828</v>
      </c>
      <c r="BR19" s="2">
        <f>BQ19+預測IC!BR19</f>
        <v>-0.86499773593303764</v>
      </c>
      <c r="BS19" s="2">
        <f>BR19+預測IC!BS19</f>
        <v>-0.85701254840872454</v>
      </c>
      <c r="BT19" s="2">
        <f>BS19+預測IC!BT19</f>
        <v>-0.8794978226575455</v>
      </c>
      <c r="BU19" s="2">
        <f>BT19+預測IC!BU19</f>
        <v>-0.85661205292113918</v>
      </c>
      <c r="BV19" s="2">
        <f>BU19+預測IC!BV19</f>
        <v>-0.80710753952645964</v>
      </c>
      <c r="BW19" s="2">
        <f>BV19+預測IC!BW19</f>
        <v>-1.0846383313781314</v>
      </c>
      <c r="BX19" s="2">
        <f>BW19+預測IC!BX19</f>
        <v>-1.0719366054460442</v>
      </c>
      <c r="BY19" s="2">
        <f>BX19+預測IC!BY19</f>
        <v>-1.2084463110651016</v>
      </c>
      <c r="BZ19" s="2">
        <f>BY19+預測IC!BZ19</f>
        <v>-1.1475742936228528</v>
      </c>
      <c r="CA19" s="2">
        <f>BZ19+預測IC!CA19</f>
        <v>-1.0748654159622497</v>
      </c>
      <c r="CB19" s="2">
        <f>CA19+預測IC!CB19</f>
        <v>-0.98681127923079781</v>
      </c>
      <c r="CC19" s="2">
        <f>CB19+預測IC!CC19</f>
        <v>-0.93756767531153096</v>
      </c>
      <c r="CD19" s="2">
        <f>CC19+預測IC!CD19</f>
        <v>-0.91232437924048615</v>
      </c>
      <c r="CE19" s="2">
        <f>CD19+預測IC!CE19</f>
        <v>-0.87511525580485472</v>
      </c>
      <c r="CF19" s="2">
        <f>CE19+預測IC!CF19</f>
        <v>-0.81806598269793851</v>
      </c>
      <c r="CG19" s="2">
        <f>CF19+預測IC!CG19</f>
        <v>-1.0305021978279061</v>
      </c>
      <c r="CH19" s="2">
        <f>CG19+預測IC!CH19</f>
        <v>-0.9008313855209682</v>
      </c>
      <c r="CI19" s="2">
        <f>CH19+預測IC!CI19</f>
        <v>-0.87446825323622335</v>
      </c>
      <c r="CJ19" s="2">
        <f>CI19+預測IC!CJ19</f>
        <v>-0.82403057517115497</v>
      </c>
      <c r="CK19" s="2">
        <f>CJ19+預測IC!CK19</f>
        <v>-0.73486344936084025</v>
      </c>
      <c r="CL19" s="2">
        <f>CK19+預測IC!CL19</f>
        <v>-0.59337120231405982</v>
      </c>
      <c r="CM19" s="2">
        <f>CL19+預測IC!CM19</f>
        <v>-0.56913390691502874</v>
      </c>
      <c r="CN19" s="2">
        <f>CM19+預測IC!CN19</f>
        <v>-0.6457892093042541</v>
      </c>
      <c r="CO19" s="2">
        <f>CN19+預測IC!CO19</f>
        <v>-0.83191918790311958</v>
      </c>
      <c r="CP19" s="2">
        <f>CO19+預測IC!CP19</f>
        <v>-0.66908994531782318</v>
      </c>
      <c r="CQ19" s="2">
        <f>CP19+預測IC!CQ19</f>
        <v>-0.71521897138664547</v>
      </c>
      <c r="CR19" s="2">
        <f>CQ19+預測IC!CR19</f>
        <v>-0.67897121856712317</v>
      </c>
      <c r="CS19" s="2">
        <f>CR19+預測IC!CS19</f>
        <v>-0.63800194963072654</v>
      </c>
      <c r="CT19" s="2">
        <f>CS19+預測IC!CT19</f>
        <v>-0.63035678202554823</v>
      </c>
      <c r="CU19" s="2">
        <f>CT19+預測IC!CU19</f>
        <v>-0.67456579029460906</v>
      </c>
      <c r="CV19" s="2">
        <f>CU19+預測IC!CV19</f>
        <v>-0.62651653043018596</v>
      </c>
      <c r="CW19" s="2">
        <f>CV19+預測IC!CW19</f>
        <v>-0.65157465898607403</v>
      </c>
      <c r="CX19" s="2">
        <f>CW19+預測IC!CX19</f>
        <v>-0.7551401756048195</v>
      </c>
      <c r="CY19" s="2">
        <f>CX19+預測IC!CY19</f>
        <v>-0.75907598007204446</v>
      </c>
      <c r="CZ19" s="2">
        <f>CY19+預測IC!CZ19</f>
        <v>-0.5363908219068001</v>
      </c>
      <c r="DA19" s="2">
        <f>CZ19+預測IC!DA19</f>
        <v>-0.72479474644692554</v>
      </c>
      <c r="DB19" s="2">
        <f>DA19+預測IC!DB19</f>
        <v>-0.75597555633002511</v>
      </c>
      <c r="DC19" s="2">
        <f>DB19+預測IC!DC19</f>
        <v>-0.80525770719624723</v>
      </c>
      <c r="DD19" s="2">
        <f>DC19+預測IC!DD19</f>
        <v>-0.56127013914966528</v>
      </c>
      <c r="DE19" s="2">
        <f>DD19+預測IC!DE19</f>
        <v>-0.64775436644615714</v>
      </c>
      <c r="DF19" s="2">
        <f>DE19+預測IC!DF19</f>
        <v>-0.63212998241265628</v>
      </c>
      <c r="DG19" s="2">
        <f>DF19+預測IC!DG19</f>
        <v>-0.74780408368814544</v>
      </c>
      <c r="DH19" s="2">
        <f>DG19+預測IC!DH19</f>
        <v>-0.69275829871239603</v>
      </c>
      <c r="DI19" s="2">
        <f>DH19+預測IC!DI19</f>
        <v>-0.66276140451113175</v>
      </c>
      <c r="DJ19" s="2">
        <f>DI19+預測IC!DJ19</f>
        <v>-0.62210109911702316</v>
      </c>
      <c r="DK19" s="2">
        <f>DJ19+預測IC!DK19</f>
        <v>-0.55959493200770816</v>
      </c>
      <c r="DL19" s="2">
        <f>DK19+預測IC!DL19</f>
        <v>-0.57333070308778655</v>
      </c>
      <c r="DM19" s="2">
        <f>DL19+預測IC!DM19</f>
        <v>-0.50776588911221276</v>
      </c>
      <c r="DN19" s="2">
        <f>DM19+預測IC!DN19</f>
        <v>-0.52308095851399017</v>
      </c>
      <c r="DO19" s="2">
        <f>DN19+預測IC!DO19</f>
        <v>-0.47107893714913118</v>
      </c>
      <c r="DP19" s="2">
        <f>DO19+預測IC!DP19</f>
        <v>-0.43927056700835682</v>
      </c>
      <c r="DQ19" s="2">
        <f>DP19+預測IC!DQ19</f>
        <v>-0.42461010732639159</v>
      </c>
      <c r="DR19" s="2">
        <f>DQ19+預測IC!DR19</f>
        <v>-0.37436386133834365</v>
      </c>
      <c r="DS19" s="2">
        <f>DR19+預測IC!DS19</f>
        <v>-0.16232655904753915</v>
      </c>
      <c r="DT19" s="2">
        <f>DS19+預測IC!DT19</f>
        <v>-0.31459841274434386</v>
      </c>
      <c r="DU19" s="2">
        <f>DT19+預測IC!DU19</f>
        <v>-0.20606480205416505</v>
      </c>
      <c r="DV19" s="2">
        <f>DU19+預測IC!DV19</f>
        <v>-0.15215290481060967</v>
      </c>
      <c r="DW19" s="2">
        <f>DV19+預測IC!DW19</f>
        <v>-7.6252959025600031E-2</v>
      </c>
      <c r="DX19" s="2">
        <f>DW19+預測IC!DX19</f>
        <v>-0.14362161968961457</v>
      </c>
      <c r="DY19" s="2">
        <f>DX19+預測IC!DY19</f>
        <v>6.0089193150960146E-2</v>
      </c>
      <c r="DZ19" s="2">
        <f>DY19+預測IC!DZ19</f>
        <v>6.6714191823871935E-2</v>
      </c>
      <c r="EA19" s="2">
        <f>DZ19+預測IC!EA19</f>
        <v>5.8250997126788502E-2</v>
      </c>
      <c r="EB19" s="2">
        <f>EA19+預測IC!EB19</f>
        <v>-5.1660235945685203E-2</v>
      </c>
      <c r="EC19" s="2">
        <f>EB19+預測IC!EC19</f>
        <v>1.771954474990247E-2</v>
      </c>
      <c r="ED19" s="2">
        <f>EC19+預測IC!ED19</f>
        <v>-3.4979830666103898E-2</v>
      </c>
      <c r="EE19" s="2">
        <f>ED19+預測IC!EE19</f>
        <v>-4.5714759975612369E-3</v>
      </c>
      <c r="EF19" s="2">
        <f>EE19+預測IC!EF19</f>
        <v>-7.7474107516877194E-2</v>
      </c>
      <c r="EG19" s="2">
        <f>EF19+預測IC!EG19</f>
        <v>1.2626889650218034E-2</v>
      </c>
      <c r="EH19" s="2">
        <f>EG19+預測IC!EH19</f>
        <v>-2.4343559528591296E-2</v>
      </c>
      <c r="EI19" s="2">
        <f>EH19+預測IC!EI19</f>
        <v>-0.12623798264849478</v>
      </c>
      <c r="EJ19" s="2">
        <f>EI19+預測IC!EJ19</f>
        <v>-0.18378175770150243</v>
      </c>
      <c r="EK19" s="2">
        <f>EJ19+預測IC!EK19</f>
        <v>-0.28932469547521283</v>
      </c>
      <c r="EL19" s="2">
        <f>EK19+預測IC!EL19</f>
        <v>-0.31309288112689693</v>
      </c>
    </row>
    <row r="20" spans="1:142" x14ac:dyDescent="0.3">
      <c r="A20" s="20">
        <v>200</v>
      </c>
      <c r="B20" s="20">
        <f t="shared" si="10"/>
        <v>5</v>
      </c>
      <c r="C20" s="2">
        <v>-7.7247532291167223E-2</v>
      </c>
      <c r="D20" s="2">
        <f>C20+預測IC!D20</f>
        <v>-3.4182012073196794E-2</v>
      </c>
      <c r="E20" s="2">
        <f>D20+預測IC!E20</f>
        <v>1.4633054290402375E-2</v>
      </c>
      <c r="F20" s="2">
        <f>E20+預測IC!F20</f>
        <v>4.2044902808030346E-2</v>
      </c>
      <c r="G20" s="2">
        <f>F20+預測IC!G20</f>
        <v>-0.19864704496069197</v>
      </c>
      <c r="H20" s="2">
        <f>G20+預測IC!H20</f>
        <v>-0.32597990224170925</v>
      </c>
      <c r="I20" s="2">
        <f>H20+預測IC!I20</f>
        <v>-0.50514331645680999</v>
      </c>
      <c r="J20" s="2">
        <f>I20+預測IC!J20</f>
        <v>-0.42800349640609986</v>
      </c>
      <c r="K20" s="2">
        <f>J20+預測IC!K20</f>
        <v>-0.53701079044095368</v>
      </c>
      <c r="L20" s="2">
        <f>K20+預測IC!L20</f>
        <v>-0.57401696690318471</v>
      </c>
      <c r="M20" s="2">
        <f>L20+預測IC!M20</f>
        <v>-0.85167113342402889</v>
      </c>
      <c r="N20" s="2">
        <f>M20+預測IC!N20</f>
        <v>-1.3310325337577891</v>
      </c>
      <c r="O20" s="2">
        <f>N20+預測IC!O20</f>
        <v>-1.3579559098133684</v>
      </c>
      <c r="P20" s="2">
        <f>O20+預測IC!P20</f>
        <v>-1.3082902147035242</v>
      </c>
      <c r="Q20" s="2">
        <f>P20+預測IC!Q20</f>
        <v>-1.3947307363142063</v>
      </c>
      <c r="R20" s="2">
        <f>Q20+預測IC!R20</f>
        <v>-1.471375552444055</v>
      </c>
      <c r="S20" s="2">
        <f>R20+預測IC!S20</f>
        <v>-1.6265581707717978</v>
      </c>
      <c r="T20" s="2">
        <f>S20+預測IC!T20</f>
        <v>-1.6108952602525384</v>
      </c>
      <c r="U20" s="2">
        <f>T20+預測IC!U20</f>
        <v>-1.6557562592921207</v>
      </c>
      <c r="V20" s="2">
        <f>U20+預測IC!V20</f>
        <v>-1.6887598152577044</v>
      </c>
      <c r="W20" s="2">
        <f>V20+預測IC!W20</f>
        <v>-1.5435808135206717</v>
      </c>
      <c r="X20" s="2">
        <f>W20+預測IC!X20</f>
        <v>-1.479522312197483</v>
      </c>
      <c r="Y20" s="2">
        <f>X20+預測IC!Y20</f>
        <v>-1.454946983465939</v>
      </c>
      <c r="Z20" s="2">
        <f>Y20+預測IC!Z20</f>
        <v>-1.4275609540783316</v>
      </c>
      <c r="AA20" s="2">
        <f>Z20+預測IC!AA20</f>
        <v>-1.4543913264364965</v>
      </c>
      <c r="AB20" s="2">
        <f>AA20+預測IC!AB20</f>
        <v>-1.3652848630036616</v>
      </c>
      <c r="AC20" s="2">
        <f>AB20+預測IC!AC20</f>
        <v>-1.3754931665887415</v>
      </c>
      <c r="AD20" s="2">
        <f>AC20+預測IC!AD20</f>
        <v>-1.334758388869437</v>
      </c>
      <c r="AE20" s="2">
        <f>AD20+預測IC!AE20</f>
        <v>-1.4766940513995994</v>
      </c>
      <c r="AF20" s="2">
        <f>AE20+預測IC!AF20</f>
        <v>-1.5803315071064634</v>
      </c>
      <c r="AG20" s="2">
        <f>AF20+預測IC!AG20</f>
        <v>-1.606463980423811</v>
      </c>
      <c r="AH20" s="2">
        <f>AG20+預測IC!AH20</f>
        <v>-1.5528484807663889</v>
      </c>
      <c r="AI20" s="2">
        <f>AH20+預測IC!AI20</f>
        <v>-1.661425641913516</v>
      </c>
      <c r="AJ20" s="2">
        <f>AI20+預測IC!AJ20</f>
        <v>-1.6461038434930946</v>
      </c>
      <c r="AK20" s="2">
        <f>AJ20+預測IC!AK20</f>
        <v>-1.6325087279970918</v>
      </c>
      <c r="AL20" s="2">
        <f>AK20+預測IC!AL20</f>
        <v>-1.5133211685776546</v>
      </c>
      <c r="AM20" s="2">
        <f>AL20+預測IC!AM20</f>
        <v>-1.4848380614925674</v>
      </c>
      <c r="AN20" s="2">
        <f>AM20+預測IC!AN20</f>
        <v>-1.5795160218381832</v>
      </c>
      <c r="AO20" s="2">
        <f>AN20+預測IC!AO20</f>
        <v>-1.5493182251948061</v>
      </c>
      <c r="AP20" s="2">
        <f>AO20+預測IC!AP20</f>
        <v>-1.4625729871019109</v>
      </c>
      <c r="AQ20" s="2">
        <f>AP20+預測IC!AQ20</f>
        <v>-1.3703856642606409</v>
      </c>
      <c r="AR20" s="2">
        <f>AQ20+預測IC!AR20</f>
        <v>-1.2148651682481297</v>
      </c>
      <c r="AS20" s="2">
        <f>AR20+預測IC!AS20</f>
        <v>-1.2916554536043994</v>
      </c>
      <c r="AT20" s="2">
        <f>AS20+預測IC!AT20</f>
        <v>-1.237922007586322</v>
      </c>
      <c r="AU20" s="2">
        <f>AT20+預測IC!AU20</f>
        <v>-1.0639476587437482</v>
      </c>
      <c r="AV20" s="2">
        <f>AU20+預測IC!AV20</f>
        <v>-0.9662239791891456</v>
      </c>
      <c r="AW20" s="2">
        <f>AV20+預測IC!AW20</f>
        <v>-0.96536784932561015</v>
      </c>
      <c r="AX20" s="2">
        <f>AW20+預測IC!AX20</f>
        <v>-0.80706986562007166</v>
      </c>
      <c r="AY20" s="2">
        <f>AX20+預測IC!AY20</f>
        <v>-0.81443651552216167</v>
      </c>
      <c r="AZ20" s="2">
        <f>AY20+預測IC!AZ20</f>
        <v>-0.90916672340654348</v>
      </c>
      <c r="BA20" s="2">
        <f>AZ20+預測IC!BA20</f>
        <v>-0.72030635428772971</v>
      </c>
      <c r="BB20" s="2">
        <f>BA20+預測IC!BB20</f>
        <v>-0.52862206854274785</v>
      </c>
      <c r="BC20" s="2">
        <f>BB20+預測IC!BC20</f>
        <v>-0.46968970150573813</v>
      </c>
      <c r="BD20" s="2">
        <f>BC20+預測IC!BD20</f>
        <v>-0.43407916531374285</v>
      </c>
      <c r="BE20" s="2">
        <f>BD20+預測IC!BE20</f>
        <v>-0.35983537833257168</v>
      </c>
      <c r="BF20" s="2">
        <f>BE20+預測IC!BF20</f>
        <v>-0.42308548685190772</v>
      </c>
      <c r="BG20" s="2">
        <f>BF20+預測IC!BG20</f>
        <v>-0.47116995087151392</v>
      </c>
      <c r="BH20" s="2">
        <f>BG20+預測IC!BH20</f>
        <v>-0.52704234256552407</v>
      </c>
      <c r="BI20" s="2">
        <f>BH20+預測IC!BI20</f>
        <v>-0.39821415647474789</v>
      </c>
      <c r="BJ20" s="2">
        <f>BI20+預測IC!BJ20</f>
        <v>-0.36907428540943987</v>
      </c>
      <c r="BK20" s="2">
        <f>BJ20+預測IC!BK20</f>
        <v>-0.43393683593575355</v>
      </c>
      <c r="BL20" s="2">
        <f>BK20+預測IC!BL20</f>
        <v>-0.53225080915478107</v>
      </c>
      <c r="BM20" s="2">
        <f>BL20+預測IC!BM20</f>
        <v>-0.58873167188769493</v>
      </c>
      <c r="BN20" s="2">
        <f>BM20+預測IC!BN20</f>
        <v>-0.62525258293429742</v>
      </c>
      <c r="BO20" s="2">
        <f>BN20+預測IC!BO20</f>
        <v>-0.62311553427682509</v>
      </c>
      <c r="BP20" s="2">
        <f>BO20+預測IC!BP20</f>
        <v>-0.65406059346925338</v>
      </c>
      <c r="BQ20" s="2">
        <f>BP20+預測IC!BQ20</f>
        <v>-0.62708208673767341</v>
      </c>
      <c r="BR20" s="2">
        <f>BQ20+預測IC!BR20</f>
        <v>-0.6324712445807873</v>
      </c>
      <c r="BS20" s="2">
        <f>BR20+預測IC!BS20</f>
        <v>-0.60753038245329394</v>
      </c>
      <c r="BT20" s="2">
        <f>BS20+預測IC!BT20</f>
        <v>-0.64358578725472482</v>
      </c>
      <c r="BU20" s="2">
        <f>BT20+預測IC!BU20</f>
        <v>-0.63496170598135104</v>
      </c>
      <c r="BV20" s="2">
        <f>BU20+預測IC!BV20</f>
        <v>-0.58280303865379124</v>
      </c>
      <c r="BW20" s="2">
        <f>BV20+預測IC!BW20</f>
        <v>-0.91085483507161324</v>
      </c>
      <c r="BX20" s="2">
        <f>BW20+預測IC!BX20</f>
        <v>-0.9269286317905856</v>
      </c>
      <c r="BY20" s="2">
        <f>BX20+預測IC!BY20</f>
        <v>-1.0667945610359799</v>
      </c>
      <c r="BZ20" s="2">
        <f>BY20+預測IC!BZ20</f>
        <v>-0.98005520836565441</v>
      </c>
      <c r="CA20" s="2">
        <f>BZ20+預測IC!CA20</f>
        <v>-0.8922033092831454</v>
      </c>
      <c r="CB20" s="2">
        <f>CA20+預測IC!CB20</f>
        <v>-0.84397879040409063</v>
      </c>
      <c r="CC20" s="2">
        <f>CB20+預測IC!CC20</f>
        <v>-0.80967334487320719</v>
      </c>
      <c r="CD20" s="2">
        <f>CC20+預測IC!CD20</f>
        <v>-0.8311914908629946</v>
      </c>
      <c r="CE20" s="2">
        <f>CD20+預測IC!CE20</f>
        <v>-0.79833386643095239</v>
      </c>
      <c r="CF20" s="2">
        <f>CE20+預測IC!CF20</f>
        <v>-0.73240300037609674</v>
      </c>
      <c r="CG20" s="2">
        <f>CF20+預測IC!CG20</f>
        <v>-0.98199700381078825</v>
      </c>
      <c r="CH20" s="2">
        <f>CG20+預測IC!CH20</f>
        <v>-0.84284560306383804</v>
      </c>
      <c r="CI20" s="2">
        <f>CH20+預測IC!CI20</f>
        <v>-0.84702307636997909</v>
      </c>
      <c r="CJ20" s="2">
        <f>CI20+預測IC!CJ20</f>
        <v>-0.83186377672973078</v>
      </c>
      <c r="CK20" s="2">
        <f>CJ20+預測IC!CK20</f>
        <v>-0.74059692701261182</v>
      </c>
      <c r="CL20" s="2">
        <f>CK20+預測IC!CL20</f>
        <v>-0.59653326148520125</v>
      </c>
      <c r="CM20" s="2">
        <f>CL20+預測IC!CM20</f>
        <v>-0.58819500360760379</v>
      </c>
      <c r="CN20" s="2">
        <f>CM20+預測IC!CN20</f>
        <v>-0.66688819957277601</v>
      </c>
      <c r="CO20" s="2">
        <f>CN20+預測IC!CO20</f>
        <v>-0.88472886507384696</v>
      </c>
      <c r="CP20" s="2">
        <f>CO20+預測IC!CP20</f>
        <v>-0.7323596211505643</v>
      </c>
      <c r="CQ20" s="2">
        <f>CP20+預測IC!CQ20</f>
        <v>-0.77753626532958142</v>
      </c>
      <c r="CR20" s="2">
        <f>CQ20+預測IC!CR20</f>
        <v>-0.73243252760670174</v>
      </c>
      <c r="CS20" s="2">
        <f>CR20+預測IC!CS20</f>
        <v>-0.67385851469417446</v>
      </c>
      <c r="CT20" s="2">
        <f>CS20+預測IC!CT20</f>
        <v>-0.63949449536581826</v>
      </c>
      <c r="CU20" s="2">
        <f>CT20+預測IC!CU20</f>
        <v>-0.64078415967195279</v>
      </c>
      <c r="CV20" s="2">
        <f>CU20+預測IC!CV20</f>
        <v>-0.59841728105354042</v>
      </c>
      <c r="CW20" s="2">
        <f>CV20+預測IC!CW20</f>
        <v>-0.6156728778267041</v>
      </c>
      <c r="CX20" s="2">
        <f>CW20+預測IC!CX20</f>
        <v>-0.70684510850604931</v>
      </c>
      <c r="CY20" s="2">
        <f>CX20+預測IC!CY20</f>
        <v>-0.73342466264126382</v>
      </c>
      <c r="CZ20" s="2">
        <f>CY20+預測IC!CZ20</f>
        <v>-0.53162479949483843</v>
      </c>
      <c r="DA20" s="2">
        <f>CZ20+預測IC!DA20</f>
        <v>-0.80370873496581896</v>
      </c>
      <c r="DB20" s="2">
        <f>DA20+預測IC!DB20</f>
        <v>-0.81661917881976398</v>
      </c>
      <c r="DC20" s="2">
        <f>DB20+預測IC!DC20</f>
        <v>-0.86832717194804998</v>
      </c>
      <c r="DD20" s="2">
        <f>DC20+預測IC!DD20</f>
        <v>-0.59821655335151935</v>
      </c>
      <c r="DE20" s="2">
        <f>DD20+預測IC!DE20</f>
        <v>-0.66575405744303207</v>
      </c>
      <c r="DF20" s="2">
        <f>DE20+預測IC!DF20</f>
        <v>-0.66571781600534419</v>
      </c>
      <c r="DG20" s="2">
        <f>DF20+預測IC!DG20</f>
        <v>-0.80614706677536474</v>
      </c>
      <c r="DH20" s="2">
        <f>DG20+預測IC!DH20</f>
        <v>-0.73061596376559024</v>
      </c>
      <c r="DI20" s="2">
        <f>DH20+預測IC!DI20</f>
        <v>-0.7071292020028388</v>
      </c>
      <c r="DJ20" s="2">
        <f>DI20+預測IC!DJ20</f>
        <v>-0.69140155260262393</v>
      </c>
      <c r="DK20" s="2">
        <f>DJ20+預測IC!DK20</f>
        <v>-0.61809177266886317</v>
      </c>
      <c r="DL20" s="2">
        <f>DK20+預測IC!DL20</f>
        <v>-0.62874245957503727</v>
      </c>
      <c r="DM20" s="2">
        <f>DL20+預測IC!DM20</f>
        <v>-0.62121585530004131</v>
      </c>
      <c r="DN20" s="2">
        <f>DM20+預測IC!DN20</f>
        <v>-0.62483150699759404</v>
      </c>
      <c r="DO20" s="2">
        <f>DN20+預測IC!DO20</f>
        <v>-0.55688330800177221</v>
      </c>
      <c r="DP20" s="2">
        <f>DO20+預測IC!DP20</f>
        <v>-0.53881228674188009</v>
      </c>
      <c r="DQ20" s="2">
        <f>DP20+預測IC!DQ20</f>
        <v>-0.5287031725360738</v>
      </c>
      <c r="DR20" s="2">
        <f>DQ20+預測IC!DR20</f>
        <v>-0.47009860957693411</v>
      </c>
      <c r="DS20" s="2">
        <f>DR20+預測IC!DS20</f>
        <v>-0.22316740559437842</v>
      </c>
      <c r="DT20" s="2">
        <f>DS20+預測IC!DT20</f>
        <v>-0.37957541390946326</v>
      </c>
      <c r="DU20" s="2">
        <f>DT20+預測IC!DU20</f>
        <v>-0.39126199201504197</v>
      </c>
      <c r="DV20" s="2">
        <f>DU20+預測IC!DV20</f>
        <v>-0.38191450843162228</v>
      </c>
      <c r="DW20" s="2">
        <f>DV20+預測IC!DW20</f>
        <v>-0.30701274651947769</v>
      </c>
      <c r="DX20" s="2">
        <f>DW20+預測IC!DX20</f>
        <v>-0.3756833078367966</v>
      </c>
      <c r="DY20" s="2">
        <f>DX20+預測IC!DY20</f>
        <v>-0.21782650080559071</v>
      </c>
      <c r="DZ20" s="2">
        <f>DY20+預測IC!DZ20</f>
        <v>-0.21895943807371604</v>
      </c>
      <c r="EA20" s="2">
        <f>DZ20+預測IC!EA20</f>
        <v>-0.20667850036534341</v>
      </c>
      <c r="EB20" s="2">
        <f>EA20+預測IC!EB20</f>
        <v>-0.31738921727206532</v>
      </c>
      <c r="EC20" s="2">
        <f>EB20+預測IC!EC20</f>
        <v>-0.2684565754474067</v>
      </c>
      <c r="ED20" s="2">
        <f>EC20+預測IC!ED20</f>
        <v>-0.30604299079491026</v>
      </c>
      <c r="EE20" s="2">
        <f>ED20+預測IC!EE20</f>
        <v>-0.27173517207122799</v>
      </c>
      <c r="EF20" s="2">
        <f>EE20+預測IC!EF20</f>
        <v>-0.35619388745965053</v>
      </c>
      <c r="EG20" s="2">
        <f>EF20+預測IC!EG20</f>
        <v>-0.24456802133231953</v>
      </c>
      <c r="EH20" s="2">
        <f>EG20+預測IC!EH20</f>
        <v>-0.30114134076032073</v>
      </c>
      <c r="EI20" s="2">
        <f>EH20+預測IC!EI20</f>
        <v>-0.39935934897961001</v>
      </c>
      <c r="EJ20" s="2">
        <f>EI20+預測IC!EJ20</f>
        <v>-0.43674920563247455</v>
      </c>
      <c r="EK20" s="2">
        <f>EJ20+預測IC!EK20</f>
        <v>-0.5583346377345223</v>
      </c>
      <c r="EL20" s="2">
        <f>EK20+預測IC!EL20</f>
        <v>-0.60293249044580044</v>
      </c>
    </row>
    <row r="21" spans="1:142" x14ac:dyDescent="0.3">
      <c r="A21" s="20">
        <v>256</v>
      </c>
      <c r="B21" s="20">
        <f t="shared" si="10"/>
        <v>4</v>
      </c>
      <c r="C21" s="2">
        <v>1.190207271587417E-2</v>
      </c>
      <c r="D21" s="2">
        <f>C21+預測IC!D21</f>
        <v>4.9339726911951119E-2</v>
      </c>
      <c r="E21" s="2">
        <f>D21+預測IC!E21</f>
        <v>0.11962200080639787</v>
      </c>
      <c r="F21" s="2">
        <f>E21+預測IC!F21</f>
        <v>5.0212723715441374E-2</v>
      </c>
      <c r="G21" s="2">
        <f>F21+預測IC!G21</f>
        <v>-0.16325266904053043</v>
      </c>
      <c r="H21" s="2">
        <f>G21+預測IC!H21</f>
        <v>-0.24676186824364013</v>
      </c>
      <c r="I21" s="2">
        <f>H21+預測IC!I21</f>
        <v>-0.48608493042139411</v>
      </c>
      <c r="J21" s="2">
        <f>I21+預測IC!J21</f>
        <v>-0.39551829117694726</v>
      </c>
      <c r="K21" s="2">
        <f>J21+預測IC!K21</f>
        <v>-0.45190411462964697</v>
      </c>
      <c r="L21" s="2">
        <f>K21+預測IC!L21</f>
        <v>-0.53933794515832933</v>
      </c>
      <c r="M21" s="2">
        <f>L21+預測IC!M21</f>
        <v>-0.83624253313643615</v>
      </c>
      <c r="N21" s="2">
        <f>M21+預測IC!N21</f>
        <v>-1.4211337977571614</v>
      </c>
      <c r="O21" s="2">
        <f>N21+預測IC!O21</f>
        <v>-1.5604112912041506</v>
      </c>
      <c r="P21" s="2">
        <f>O21+預測IC!P21</f>
        <v>-1.4889170775778506</v>
      </c>
      <c r="Q21" s="2">
        <f>P21+預測IC!Q21</f>
        <v>-1.6099634638112064</v>
      </c>
      <c r="R21" s="2">
        <f>Q21+預測IC!R21</f>
        <v>-1.7141896171679336</v>
      </c>
      <c r="S21" s="2">
        <f>R21+預測IC!S21</f>
        <v>-1.8427799026178906</v>
      </c>
      <c r="T21" s="2">
        <f>S21+預測IC!T21</f>
        <v>-1.8568202669580955</v>
      </c>
      <c r="U21" s="2">
        <f>T21+預測IC!U21</f>
        <v>-1.8726122788208044</v>
      </c>
      <c r="V21" s="2">
        <f>U21+預測IC!V21</f>
        <v>-1.891717715408241</v>
      </c>
      <c r="W21" s="2">
        <f>V21+預測IC!W21</f>
        <v>-1.7199997636858844</v>
      </c>
      <c r="X21" s="2">
        <f>W21+預測IC!X21</f>
        <v>-1.6477909814292016</v>
      </c>
      <c r="Y21" s="2">
        <f>X21+預測IC!Y21</f>
        <v>-1.6346520991598439</v>
      </c>
      <c r="Z21" s="2">
        <f>Y21+預測IC!Z21</f>
        <v>-1.6115854851975617</v>
      </c>
      <c r="AA21" s="2">
        <f>Z21+預測IC!AA21</f>
        <v>-1.6030520885933759</v>
      </c>
      <c r="AB21" s="2">
        <f>AA21+預測IC!AB21</f>
        <v>-1.4963969805234598</v>
      </c>
      <c r="AC21" s="2">
        <f>AB21+預測IC!AC21</f>
        <v>-1.561281738241628</v>
      </c>
      <c r="AD21" s="2">
        <f>AC21+預測IC!AD21</f>
        <v>-1.4881673137205129</v>
      </c>
      <c r="AE21" s="2">
        <f>AD21+預測IC!AE21</f>
        <v>-1.6386012473275451</v>
      </c>
      <c r="AF21" s="2">
        <f>AE21+預測IC!AF21</f>
        <v>-1.7422516533147654</v>
      </c>
      <c r="AG21" s="2">
        <f>AF21+預測IC!AG21</f>
        <v>-1.737287676257387</v>
      </c>
      <c r="AH21" s="2">
        <f>AG21+預測IC!AH21</f>
        <v>-1.7113796703796484</v>
      </c>
      <c r="AI21" s="2">
        <f>AH21+預測IC!AI21</f>
        <v>-1.8568006141988029</v>
      </c>
      <c r="AJ21" s="2">
        <f>AI21+預測IC!AJ21</f>
        <v>-1.849018582167794</v>
      </c>
      <c r="AK21" s="2">
        <f>AJ21+預測IC!AK21</f>
        <v>-1.8183751484303627</v>
      </c>
      <c r="AL21" s="2">
        <f>AK21+預測IC!AL21</f>
        <v>-1.7059236406230103</v>
      </c>
      <c r="AM21" s="2">
        <f>AL21+預測IC!AM21</f>
        <v>-1.7137567491992136</v>
      </c>
      <c r="AN21" s="2">
        <f>AM21+預測IC!AN21</f>
        <v>-1.8337543706390713</v>
      </c>
      <c r="AO21" s="2">
        <f>AN21+預測IC!AO21</f>
        <v>-1.7582302157095706</v>
      </c>
      <c r="AP21" s="2">
        <f>AO21+預測IC!AP21</f>
        <v>-1.6534220428079749</v>
      </c>
      <c r="AQ21" s="2">
        <f>AP21+預測IC!AQ21</f>
        <v>-1.5789781972284438</v>
      </c>
      <c r="AR21" s="2">
        <f>AQ21+預測IC!AR21</f>
        <v>-1.3722558698786711</v>
      </c>
      <c r="AS21" s="2">
        <f>AR21+預測IC!AS21</f>
        <v>-1.5067195332072094</v>
      </c>
      <c r="AT21" s="2">
        <f>AS21+預測IC!AT21</f>
        <v>-1.4612148422953866</v>
      </c>
      <c r="AU21" s="2">
        <f>AT21+預測IC!AU21</f>
        <v>-1.2648179430584721</v>
      </c>
      <c r="AV21" s="2">
        <f>AU21+預測IC!AV21</f>
        <v>-1.1751588221608786</v>
      </c>
      <c r="AW21" s="2">
        <f>AV21+預測IC!AW21</f>
        <v>-1.2000619203511989</v>
      </c>
      <c r="AX21" s="2">
        <f>AW21+預測IC!AX21</f>
        <v>-1.043541107486305</v>
      </c>
      <c r="AY21" s="2">
        <f>AX21+預測IC!AY21</f>
        <v>-1.0593886712978628</v>
      </c>
      <c r="AZ21" s="2">
        <f>AY21+預測IC!AZ21</f>
        <v>-1.2234363995464566</v>
      </c>
      <c r="BA21" s="2">
        <f>AZ21+預測IC!BA21</f>
        <v>-1.1779890783725118</v>
      </c>
      <c r="BB21" s="2">
        <f>BA21+預測IC!BB21</f>
        <v>-0.92260686537365777</v>
      </c>
      <c r="BC21" s="2">
        <f>BB21+預測IC!BC21</f>
        <v>-0.85625105932012746</v>
      </c>
      <c r="BD21" s="2">
        <f>BC21+預測IC!BD21</f>
        <v>-0.86908072144264881</v>
      </c>
      <c r="BE21" s="2">
        <f>BD21+預測IC!BE21</f>
        <v>-0.78377119576916876</v>
      </c>
      <c r="BF21" s="2">
        <f>BE21+預測IC!BF21</f>
        <v>-0.85610265557569065</v>
      </c>
      <c r="BG21" s="2">
        <f>BF21+預測IC!BG21</f>
        <v>-0.90328814405164781</v>
      </c>
      <c r="BH21" s="2">
        <f>BG21+預測IC!BH21</f>
        <v>-0.94345085617692614</v>
      </c>
      <c r="BI21" s="2">
        <f>BH21+預測IC!BI21</f>
        <v>-0.82872154894952588</v>
      </c>
      <c r="BJ21" s="2">
        <f>BI21+預測IC!BJ21</f>
        <v>-0.82641195872402939</v>
      </c>
      <c r="BK21" s="2">
        <f>BJ21+預測IC!BK21</f>
        <v>-0.90355227262303239</v>
      </c>
      <c r="BL21" s="2">
        <f>BK21+預測IC!BL21</f>
        <v>-1.017550645142252</v>
      </c>
      <c r="BM21" s="2">
        <f>BL21+預測IC!BM21</f>
        <v>-1.0583459311709726</v>
      </c>
      <c r="BN21" s="2">
        <f>BM21+預測IC!BN21</f>
        <v>-1.0974431094465025</v>
      </c>
      <c r="BO21" s="2">
        <f>BN21+預測IC!BO21</f>
        <v>-1.0718025072945272</v>
      </c>
      <c r="BP21" s="2">
        <f>BO21+預測IC!BP21</f>
        <v>-1.0642113487086036</v>
      </c>
      <c r="BQ21" s="2">
        <f>BP21+預測IC!BQ21</f>
        <v>-1.0003229851566788</v>
      </c>
      <c r="BR21" s="2">
        <f>BQ21+預測IC!BR21</f>
        <v>-0.98493995435140258</v>
      </c>
      <c r="BS21" s="2">
        <f>BR21+預測IC!BS21</f>
        <v>-0.9196035284439833</v>
      </c>
      <c r="BT21" s="2">
        <f>BS21+預測IC!BT21</f>
        <v>-0.93136761133747625</v>
      </c>
      <c r="BU21" s="2">
        <f>BT21+預測IC!BU21</f>
        <v>-0.88963404907108534</v>
      </c>
      <c r="BV21" s="2">
        <f>BU21+預測IC!BV21</f>
        <v>-0.89370054237754848</v>
      </c>
      <c r="BW21" s="2">
        <f>BV21+預測IC!BW21</f>
        <v>-1.263876294720756</v>
      </c>
      <c r="BX21" s="2">
        <f>BW21+預測IC!BX21</f>
        <v>-1.2970360209924612</v>
      </c>
      <c r="BY21" s="2">
        <f>BX21+預測IC!BY21</f>
        <v>-1.3907058258056915</v>
      </c>
      <c r="BZ21" s="2">
        <f>BY21+預測IC!BZ21</f>
        <v>-1.2969641798532408</v>
      </c>
      <c r="CA21" s="2">
        <f>BZ21+預測IC!CA21</f>
        <v>-1.1472902864286925</v>
      </c>
      <c r="CB21" s="2">
        <f>CA21+預測IC!CB21</f>
        <v>-1.1209019038586547</v>
      </c>
      <c r="CC21" s="2">
        <f>CB21+預測IC!CC21</f>
        <v>-1.1289208581296211</v>
      </c>
      <c r="CD21" s="2">
        <f>CC21+預測IC!CD21</f>
        <v>-1.0741857884235806</v>
      </c>
      <c r="CE21" s="2">
        <f>CD21+預測IC!CE21</f>
        <v>-1.0430558266324825</v>
      </c>
      <c r="CF21" s="2">
        <f>CE21+預測IC!CF21</f>
        <v>-0.98887338128373226</v>
      </c>
      <c r="CG21" s="2">
        <f>CF21+預測IC!CG21</f>
        <v>-1.3300007945773435</v>
      </c>
      <c r="CH21" s="2">
        <f>CG21+預測IC!CH21</f>
        <v>-1.3297047165089022</v>
      </c>
      <c r="CI21" s="2">
        <f>CH21+預測IC!CI21</f>
        <v>-1.332708519841171</v>
      </c>
      <c r="CJ21" s="2">
        <f>CI21+預測IC!CJ21</f>
        <v>-1.3822315828707219</v>
      </c>
      <c r="CK21" s="2">
        <f>CJ21+預測IC!CK21</f>
        <v>-1.3485574239774754</v>
      </c>
      <c r="CL21" s="2">
        <f>CK21+預測IC!CL21</f>
        <v>-1.2632265392132964</v>
      </c>
      <c r="CM21" s="2">
        <f>CL21+預測IC!CM21</f>
        <v>-1.3015193305792534</v>
      </c>
      <c r="CN21" s="2">
        <f>CM21+預測IC!CN21</f>
        <v>-1.4080145510157223</v>
      </c>
      <c r="CO21" s="2">
        <f>CN21+預測IC!CO21</f>
        <v>-1.6494086484613066</v>
      </c>
      <c r="CP21" s="2">
        <f>CO21+預測IC!CP21</f>
        <v>-1.4663390222355721</v>
      </c>
      <c r="CQ21" s="2">
        <f>CP21+預測IC!CQ21</f>
        <v>-1.513411442711404</v>
      </c>
      <c r="CR21" s="2">
        <f>CQ21+預測IC!CR21</f>
        <v>-1.472091553945472</v>
      </c>
      <c r="CS21" s="2">
        <f>CR21+預測IC!CS21</f>
        <v>-1.4417452229021659</v>
      </c>
      <c r="CT21" s="2">
        <f>CS21+預測IC!CT21</f>
        <v>-1.390294221971538</v>
      </c>
      <c r="CU21" s="2">
        <f>CT21+預測IC!CU21</f>
        <v>-1.3983910031767881</v>
      </c>
      <c r="CV21" s="2">
        <f>CU21+預測IC!CV21</f>
        <v>-1.3628456175016685</v>
      </c>
      <c r="CW21" s="2">
        <f>CV21+預測IC!CW21</f>
        <v>-1.4009156608788493</v>
      </c>
      <c r="CX21" s="2">
        <f>CW21+預測IC!CX21</f>
        <v>-1.4387095639687202</v>
      </c>
      <c r="CY21" s="2">
        <f>CX21+預測IC!CY21</f>
        <v>-1.4470662235496667</v>
      </c>
      <c r="CZ21" s="2">
        <f>CY21+預測IC!CZ21</f>
        <v>-1.1515614406434023</v>
      </c>
      <c r="DA21" s="2">
        <f>CZ21+預測IC!DA21</f>
        <v>-1.4793827512429667</v>
      </c>
      <c r="DB21" s="2">
        <f>DA21+預測IC!DB21</f>
        <v>-1.513067844718992</v>
      </c>
      <c r="DC21" s="2">
        <f>DB21+預測IC!DC21</f>
        <v>-1.5762101099797317</v>
      </c>
      <c r="DD21" s="2">
        <f>DC21+預測IC!DD21</f>
        <v>-1.278033270539187</v>
      </c>
      <c r="DE21" s="2">
        <f>DD21+預測IC!DE21</f>
        <v>-1.3101650479742142</v>
      </c>
      <c r="DF21" s="2">
        <f>DE21+預測IC!DF21</f>
        <v>-1.3220643856997103</v>
      </c>
      <c r="DG21" s="2">
        <f>DF21+預測IC!DG21</f>
        <v>-1.450295009299299</v>
      </c>
      <c r="DH21" s="2">
        <f>DG21+預測IC!DH21</f>
        <v>-1.4347531551152868</v>
      </c>
      <c r="DI21" s="2">
        <f>DH21+預測IC!DI21</f>
        <v>-1.4203745764688005</v>
      </c>
      <c r="DJ21" s="2">
        <f>DI21+預測IC!DJ21</f>
        <v>-1.4559735459293199</v>
      </c>
      <c r="DK21" s="2">
        <f>DJ21+預測IC!DK21</f>
        <v>-1.3791271604390858</v>
      </c>
      <c r="DL21" s="2">
        <f>DK21+預測IC!DL21</f>
        <v>-1.4172829311444621</v>
      </c>
      <c r="DM21" s="2">
        <f>DL21+預測IC!DM21</f>
        <v>-1.3930816286166872</v>
      </c>
      <c r="DN21" s="2">
        <f>DM21+預測IC!DN21</f>
        <v>-1.3841511339714243</v>
      </c>
      <c r="DO21" s="2">
        <f>DN21+預測IC!DO21</f>
        <v>-1.2793681016568206</v>
      </c>
      <c r="DP21" s="2">
        <f>DO21+預測IC!DP21</f>
        <v>-1.266798880973808</v>
      </c>
      <c r="DQ21" s="2">
        <f>DP21+預測IC!DQ21</f>
        <v>-1.2533352917167173</v>
      </c>
      <c r="DR21" s="2">
        <f>DQ21+預測IC!DR21</f>
        <v>-1.2348198615163619</v>
      </c>
      <c r="DS21" s="2">
        <f>DR21+預測IC!DS21</f>
        <v>-0.9828532468680129</v>
      </c>
      <c r="DT21" s="2">
        <f>DS21+預測IC!DT21</f>
        <v>-1.0238794072228503</v>
      </c>
      <c r="DU21" s="2">
        <f>DT21+預測IC!DU21</f>
        <v>-1.0196414694159444</v>
      </c>
      <c r="DV21" s="2">
        <f>DU21+預測IC!DV21</f>
        <v>-0.98195278190883006</v>
      </c>
      <c r="DW21" s="2">
        <f>DV21+預測IC!DW21</f>
        <v>-0.87296946290347521</v>
      </c>
      <c r="DX21" s="2">
        <f>DW21+預測IC!DX21</f>
        <v>-0.95244096657341382</v>
      </c>
      <c r="DY21" s="2">
        <f>DX21+預測IC!DY21</f>
        <v>-0.7176425471205985</v>
      </c>
      <c r="DZ21" s="2">
        <f>DY21+預測IC!DZ21</f>
        <v>-0.71116158009433761</v>
      </c>
      <c r="EA21" s="2">
        <f>DZ21+預測IC!EA21</f>
        <v>-0.73028600612681005</v>
      </c>
      <c r="EB21" s="2">
        <f>EA21+預測IC!EB21</f>
        <v>-0.83907962772136124</v>
      </c>
      <c r="EC21" s="2">
        <f>EB21+預測IC!EC21</f>
        <v>-0.7794454089660372</v>
      </c>
      <c r="ED21" s="2">
        <f>EC21+預測IC!ED21</f>
        <v>-0.82446842448805346</v>
      </c>
      <c r="EE21" s="2">
        <f>ED21+預測IC!EE21</f>
        <v>-0.7925608875926905</v>
      </c>
      <c r="EF21" s="2">
        <f>EE21+預測IC!EF21</f>
        <v>-0.87697812753355664</v>
      </c>
      <c r="EG21" s="2">
        <f>EF21+預測IC!EG21</f>
        <v>-0.78129469829823961</v>
      </c>
      <c r="EH21" s="2">
        <f>EG21+預測IC!EH21</f>
        <v>-0.81856996968393692</v>
      </c>
      <c r="EI21" s="2">
        <f>EH21+預測IC!EI21</f>
        <v>-0.89798025198159204</v>
      </c>
      <c r="EJ21" s="2">
        <f>EI21+預測IC!EJ21</f>
        <v>-0.92234214711873497</v>
      </c>
      <c r="EK21" s="2">
        <f>EJ21+預測IC!EK21</f>
        <v>-0.96947590691302932</v>
      </c>
      <c r="EL21" s="2">
        <f>EK21+預測IC!EL21</f>
        <v>-1.0136704594210193</v>
      </c>
    </row>
    <row r="22" spans="1:142" x14ac:dyDescent="0.3">
      <c r="A22" s="20">
        <v>400</v>
      </c>
      <c r="B22" s="20">
        <f t="shared" si="10"/>
        <v>3</v>
      </c>
      <c r="C22" s="2">
        <v>1.083089340061978E-2</v>
      </c>
      <c r="D22" s="2">
        <f>C22+預測IC!D22</f>
        <v>-1.9574731449324007E-3</v>
      </c>
      <c r="E22" s="2">
        <f>D22+預測IC!E22</f>
        <v>-1.9312572061391382E-2</v>
      </c>
      <c r="F22" s="2">
        <f>E22+預測IC!F22</f>
        <v>-0.15918002237077838</v>
      </c>
      <c r="G22" s="2">
        <f>F22+預測IC!G22</f>
        <v>-0.39212544696610108</v>
      </c>
      <c r="H22" s="2">
        <f>G22+預測IC!H22</f>
        <v>-0.46063614050660034</v>
      </c>
      <c r="I22" s="2">
        <f>H22+預測IC!I22</f>
        <v>-0.71506904341705035</v>
      </c>
      <c r="J22" s="2">
        <f>I22+預測IC!J22</f>
        <v>-0.59669076223476225</v>
      </c>
      <c r="K22" s="2">
        <f>J22+預測IC!K22</f>
        <v>-0.69735190768511435</v>
      </c>
      <c r="L22" s="2">
        <f>K22+預測IC!L22</f>
        <v>-0.76579884676272636</v>
      </c>
      <c r="M22" s="2">
        <f>L22+預測IC!M22</f>
        <v>-0.95046163410567641</v>
      </c>
      <c r="N22" s="2">
        <f>M22+預測IC!N22</f>
        <v>-1.7066050772230152</v>
      </c>
      <c r="O22" s="2">
        <f>N22+預測IC!O22</f>
        <v>-1.7730474093879693</v>
      </c>
      <c r="P22" s="2">
        <f>O22+預測IC!P22</f>
        <v>-1.6824165349613351</v>
      </c>
      <c r="Q22" s="2">
        <f>P22+預測IC!Q22</f>
        <v>-1.7991576670698355</v>
      </c>
      <c r="R22" s="2">
        <f>Q22+預測IC!R22</f>
        <v>-1.9855450636499072</v>
      </c>
      <c r="S22" s="2">
        <f>R22+預測IC!S22</f>
        <v>-2.155191619207848</v>
      </c>
      <c r="T22" s="2">
        <f>S22+預測IC!T22</f>
        <v>-2.2268435195974892</v>
      </c>
      <c r="U22" s="2">
        <f>T22+預測IC!U22</f>
        <v>-2.2715270516071677</v>
      </c>
      <c r="V22" s="2">
        <f>U22+預測IC!V22</f>
        <v>-2.3233241437533545</v>
      </c>
      <c r="W22" s="2">
        <f>V22+預測IC!W22</f>
        <v>-2.1690222941454365</v>
      </c>
      <c r="X22" s="2">
        <f>W22+預測IC!X22</f>
        <v>-2.1482110177596927</v>
      </c>
      <c r="Y22" s="2">
        <f>X22+預測IC!Y22</f>
        <v>-2.0549918749853782</v>
      </c>
      <c r="Z22" s="2">
        <f>Y22+預測IC!Z22</f>
        <v>-2.0180966236256728</v>
      </c>
      <c r="AA22" s="2">
        <f>Z22+預測IC!AA22</f>
        <v>-2.0359854956601517</v>
      </c>
      <c r="AB22" s="2">
        <f>AA22+預測IC!AB22</f>
        <v>-1.9272903921829769</v>
      </c>
      <c r="AC22" s="2">
        <f>AB22+預測IC!AC22</f>
        <v>-1.986923391855703</v>
      </c>
      <c r="AD22" s="2">
        <f>AC22+預測IC!AD22</f>
        <v>-1.9289275207633569</v>
      </c>
      <c r="AE22" s="2">
        <f>AD22+預測IC!AE22</f>
        <v>-2.0621817724270581</v>
      </c>
      <c r="AF22" s="2">
        <f>AE22+預測IC!AF22</f>
        <v>-2.197804170978495</v>
      </c>
      <c r="AG22" s="2">
        <f>AF22+預測IC!AG22</f>
        <v>-2.2245484421448998</v>
      </c>
      <c r="AH22" s="2">
        <f>AG22+預測IC!AH22</f>
        <v>-2.4963499671517089</v>
      </c>
      <c r="AI22" s="2">
        <f>AH22+預測IC!AI22</f>
        <v>-2.6375060484304083</v>
      </c>
      <c r="AJ22" s="2">
        <f>AI22+預測IC!AJ22</f>
        <v>-2.6016723461275384</v>
      </c>
      <c r="AK22" s="2">
        <f>AJ22+預測IC!AK22</f>
        <v>-2.7029609068679341</v>
      </c>
      <c r="AL22" s="2">
        <f>AK22+預測IC!AL22</f>
        <v>-2.5171165266028548</v>
      </c>
      <c r="AM22" s="2">
        <f>AL22+預測IC!AM22</f>
        <v>-2.4961409663250329</v>
      </c>
      <c r="AN22" s="2">
        <f>AM22+預測IC!AN22</f>
        <v>-2.6536220596997153</v>
      </c>
      <c r="AO22" s="2">
        <f>AN22+預測IC!AO22</f>
        <v>-2.5547825828119617</v>
      </c>
      <c r="AP22" s="2">
        <f>AO22+預測IC!AP22</f>
        <v>-2.3702219934581343</v>
      </c>
      <c r="AQ22" s="2">
        <f>AP22+預測IC!AQ22</f>
        <v>-2.4528998801666786</v>
      </c>
      <c r="AR22" s="2">
        <f>AQ22+預測IC!AR22</f>
        <v>-2.2053601581210409</v>
      </c>
      <c r="AS22" s="2">
        <f>AR22+預測IC!AS22</f>
        <v>-2.3699495984682266</v>
      </c>
      <c r="AT22" s="2">
        <f>AS22+預測IC!AT22</f>
        <v>-2.3982744567168708</v>
      </c>
      <c r="AU22" s="2">
        <f>AT22+預測IC!AU22</f>
        <v>-2.1184383108897453</v>
      </c>
      <c r="AV22" s="2">
        <f>AU22+預測IC!AV22</f>
        <v>-1.9906755325713632</v>
      </c>
      <c r="AW22" s="2">
        <f>AV22+預測IC!AW22</f>
        <v>-2.0080789171935955</v>
      </c>
      <c r="AX22" s="2">
        <f>AW22+預測IC!AX22</f>
        <v>-1.9951532054382801</v>
      </c>
      <c r="AY22" s="2">
        <f>AX22+預測IC!AY22</f>
        <v>-2.011060552274782</v>
      </c>
      <c r="AZ22" s="2">
        <f>AY22+預測IC!AZ22</f>
        <v>-2.2129617078766546</v>
      </c>
      <c r="BA22" s="2">
        <f>AZ22+預測IC!BA22</f>
        <v>-2.1324933437755678</v>
      </c>
      <c r="BB22" s="2">
        <f>BA22+預測IC!BB22</f>
        <v>-1.8305633992351447</v>
      </c>
      <c r="BC22" s="2">
        <f>BB22+預測IC!BC22</f>
        <v>-1.7614847932245363</v>
      </c>
      <c r="BD22" s="2">
        <f>BC22+預測IC!BD22</f>
        <v>-1.7050911753552451</v>
      </c>
      <c r="BE22" s="2">
        <f>BD22+預測IC!BE22</f>
        <v>-1.5769798809275868</v>
      </c>
      <c r="BF22" s="2">
        <f>BE22+預測IC!BF22</f>
        <v>-1.6452545752575045</v>
      </c>
      <c r="BG22" s="2">
        <f>BF22+預測IC!BG22</f>
        <v>-1.6909958718922322</v>
      </c>
      <c r="BH22" s="2">
        <f>BG22+預測IC!BH22</f>
        <v>-1.7006523382321641</v>
      </c>
      <c r="BI22" s="2">
        <f>BH22+預測IC!BI22</f>
        <v>-1.5595871698713979</v>
      </c>
      <c r="BJ22" s="2">
        <f>BI22+預測IC!BJ22</f>
        <v>-1.4888726051495469</v>
      </c>
      <c r="BK22" s="2">
        <f>BJ22+預測IC!BK22</f>
        <v>-1.598768682606823</v>
      </c>
      <c r="BL22" s="2">
        <f>BK22+預測IC!BL22</f>
        <v>-1.7944474450977017</v>
      </c>
      <c r="BM22" s="2">
        <f>BL22+預測IC!BM22</f>
        <v>-1.796877928343235</v>
      </c>
      <c r="BN22" s="2">
        <f>BM22+預測IC!BN22</f>
        <v>-1.8426936328737027</v>
      </c>
      <c r="BO22" s="2">
        <f>BN22+預測IC!BO22</f>
        <v>-1.8072838815421437</v>
      </c>
      <c r="BP22" s="2">
        <f>BO22+預測IC!BP22</f>
        <v>-1.7627425980920584</v>
      </c>
      <c r="BQ22" s="2">
        <f>BP22+預測IC!BQ22</f>
        <v>-1.668984184833666</v>
      </c>
      <c r="BR22" s="2">
        <f>BQ22+預測IC!BR22</f>
        <v>-1.6481571648483115</v>
      </c>
      <c r="BS22" s="2">
        <f>BR22+預測IC!BS22</f>
        <v>-1.6165509625690724</v>
      </c>
      <c r="BT22" s="2">
        <f>BS22+預測IC!BT22</f>
        <v>-1.5408975433139971</v>
      </c>
      <c r="BU22" s="2">
        <f>BT22+預測IC!BU22</f>
        <v>-1.4887497901047351</v>
      </c>
      <c r="BV22" s="2">
        <f>BU22+預測IC!BV22</f>
        <v>-1.4892607464718886</v>
      </c>
      <c r="BW22" s="2">
        <f>BV22+預測IC!BW22</f>
        <v>-2.0067943293226924</v>
      </c>
      <c r="BX22" s="2">
        <f>BW22+預測IC!BX22</f>
        <v>-2.0387057787064826</v>
      </c>
      <c r="BY22" s="2">
        <f>BX22+預測IC!BY22</f>
        <v>-2.1011725032360355</v>
      </c>
      <c r="BZ22" s="2">
        <f>BY22+預測IC!BZ22</f>
        <v>-2.0598015200230737</v>
      </c>
      <c r="CA22" s="2">
        <f>BZ22+預測IC!CA22</f>
        <v>-1.8068268408350445</v>
      </c>
      <c r="CB22" s="2">
        <f>CA22+預測IC!CB22</f>
        <v>-1.6943599198184003</v>
      </c>
      <c r="CC22" s="2">
        <f>CB22+預測IC!CC22</f>
        <v>-1.8194639151384333</v>
      </c>
      <c r="CD22" s="2">
        <f>CC22+預測IC!CD22</f>
        <v>-1.9352332414585329</v>
      </c>
      <c r="CE22" s="2">
        <f>CD22+預測IC!CE22</f>
        <v>-1.9217297925260601</v>
      </c>
      <c r="CF22" s="2">
        <f>CE22+預測IC!CF22</f>
        <v>-1.819221689177098</v>
      </c>
      <c r="CG22" s="2">
        <f>CF22+預測IC!CG22</f>
        <v>-2.1220308099928706</v>
      </c>
      <c r="CH22" s="2">
        <f>CG22+預測IC!CH22</f>
        <v>-2.1484579724967001</v>
      </c>
      <c r="CI22" s="2">
        <f>CH22+預測IC!CI22</f>
        <v>-2.1643183905802377</v>
      </c>
      <c r="CJ22" s="2">
        <f>CI22+預測IC!CJ22</f>
        <v>-2.2079739378356837</v>
      </c>
      <c r="CK22" s="2">
        <f>CJ22+預測IC!CK22</f>
        <v>-2.1453049915880205</v>
      </c>
      <c r="CL22" s="2">
        <f>CK22+預測IC!CL22</f>
        <v>-2.0303934076689263</v>
      </c>
      <c r="CM22" s="2">
        <f>CL22+預測IC!CM22</f>
        <v>-2.0777657752500884</v>
      </c>
      <c r="CN22" s="2">
        <f>CM22+預測IC!CN22</f>
        <v>-2.046985191867313</v>
      </c>
      <c r="CO22" s="2">
        <f>CN22+預測IC!CO22</f>
        <v>-2.2185148874815175</v>
      </c>
      <c r="CP22" s="2">
        <f>CO22+預測IC!CP22</f>
        <v>-2.0119469100483527</v>
      </c>
      <c r="CQ22" s="2">
        <f>CP22+預測IC!CQ22</f>
        <v>-2.1041128184566475</v>
      </c>
      <c r="CR22" s="2">
        <f>CQ22+預測IC!CR22</f>
        <v>-2.0593732181334095</v>
      </c>
      <c r="CS22" s="2">
        <f>CR22+預測IC!CS22</f>
        <v>-2.0282811622828549</v>
      </c>
      <c r="CT22" s="2">
        <f>CS22+預測IC!CT22</f>
        <v>-2.0231939069287672</v>
      </c>
      <c r="CU22" s="2">
        <f>CT22+預測IC!CU22</f>
        <v>-2.0174600563832783</v>
      </c>
      <c r="CV22" s="2">
        <f>CU22+預測IC!CV22</f>
        <v>-1.9826431190295826</v>
      </c>
      <c r="CW22" s="2">
        <f>CV22+預測IC!CW22</f>
        <v>-2.012604228339018</v>
      </c>
      <c r="CX22" s="2">
        <f>CW22+預測IC!CX22</f>
        <v>-2.0662726664376887</v>
      </c>
      <c r="CY22" s="2">
        <f>CX22+預測IC!CY22</f>
        <v>-2.072200810374202</v>
      </c>
      <c r="CZ22" s="2">
        <f>CY22+預測IC!CZ22</f>
        <v>-1.7200492404053092</v>
      </c>
      <c r="DA22" s="2">
        <f>CZ22+預測IC!DA22</f>
        <v>-2.0868517001102918</v>
      </c>
      <c r="DB22" s="2">
        <f>DA22+預測IC!DB22</f>
        <v>-2.105759886717975</v>
      </c>
      <c r="DC22" s="2">
        <f>DB22+預測IC!DC22</f>
        <v>-2.1899284517634783</v>
      </c>
      <c r="DD22" s="2">
        <f>DC22+預測IC!DD22</f>
        <v>-1.806228815094814</v>
      </c>
      <c r="DE22" s="2">
        <f>DD22+預測IC!DE22</f>
        <v>-1.7884723115928811</v>
      </c>
      <c r="DF22" s="2">
        <f>DE22+預測IC!DF22</f>
        <v>-1.7660944290716767</v>
      </c>
      <c r="DG22" s="2">
        <f>DF22+預測IC!DG22</f>
        <v>-1.9509316195647666</v>
      </c>
      <c r="DH22" s="2">
        <f>DG22+預測IC!DH22</f>
        <v>-2.0583652296901129</v>
      </c>
      <c r="DI22" s="2">
        <f>DH22+預測IC!DI22</f>
        <v>-2.0100328226720507</v>
      </c>
      <c r="DJ22" s="2">
        <f>DI22+預測IC!DJ22</f>
        <v>-2.0128193224404751</v>
      </c>
      <c r="DK22" s="2">
        <f>DJ22+預測IC!DK22</f>
        <v>-1.9401231912699126</v>
      </c>
      <c r="DL22" s="2">
        <f>DK22+預測IC!DL22</f>
        <v>-1.9896554793247945</v>
      </c>
      <c r="DM22" s="2">
        <f>DL22+預測IC!DM22</f>
        <v>-1.9665111435546621</v>
      </c>
      <c r="DN22" s="2">
        <f>DM22+預測IC!DN22</f>
        <v>-1.9982082877309888</v>
      </c>
      <c r="DO22" s="2">
        <f>DN22+預測IC!DO22</f>
        <v>-1.8685121552604174</v>
      </c>
      <c r="DP22" s="2">
        <f>DO22+預測IC!DP22</f>
        <v>-1.9073740766859018</v>
      </c>
      <c r="DQ22" s="2">
        <f>DP22+預測IC!DQ22</f>
        <v>-1.8555238748482805</v>
      </c>
      <c r="DR22" s="2">
        <f>DQ22+預測IC!DR22</f>
        <v>-1.9128209075092277</v>
      </c>
      <c r="DS22" s="2">
        <f>DR22+預測IC!DS22</f>
        <v>-1.6476864752732001</v>
      </c>
      <c r="DT22" s="2">
        <f>DS22+預測IC!DT22</f>
        <v>-1.7586484816409149</v>
      </c>
      <c r="DU22" s="2">
        <f>DT22+預測IC!DU22</f>
        <v>-1.6893348859950108</v>
      </c>
      <c r="DV22" s="2">
        <f>DU22+預測IC!DV22</f>
        <v>-1.7818413063361864</v>
      </c>
      <c r="DW22" s="2">
        <f>DV22+預測IC!DW22</f>
        <v>-1.8632567197161098</v>
      </c>
      <c r="DX22" s="2">
        <f>DW22+預測IC!DX22</f>
        <v>-1.9464409597423626</v>
      </c>
      <c r="DY22" s="2">
        <f>DX22+預測IC!DY22</f>
        <v>-1.7084806705949831</v>
      </c>
      <c r="DZ22" s="2">
        <f>DY22+預測IC!DZ22</f>
        <v>-1.6873339662262981</v>
      </c>
      <c r="EA22" s="2">
        <f>DZ22+預測IC!EA22</f>
        <v>-1.7969974940377609</v>
      </c>
      <c r="EB22" s="2">
        <f>EA22+預測IC!EB22</f>
        <v>-1.920931927716417</v>
      </c>
      <c r="EC22" s="2">
        <f>EB22+預測IC!EC22</f>
        <v>-1.8328464802899924</v>
      </c>
      <c r="ED22" s="2">
        <f>EC22+預測IC!ED22</f>
        <v>-1.865593901875882</v>
      </c>
      <c r="EE22" s="2">
        <f>ED22+預測IC!EE22</f>
        <v>-1.8639236390732448</v>
      </c>
      <c r="EF22" s="2">
        <f>EE22+預測IC!EF22</f>
        <v>-1.8982785324486446</v>
      </c>
      <c r="EG22" s="2">
        <f>EF22+預測IC!EG22</f>
        <v>-1.7868887393068367</v>
      </c>
      <c r="EH22" s="2">
        <f>EG22+預測IC!EH22</f>
        <v>-1.7824021686027818</v>
      </c>
      <c r="EI22" s="2">
        <f>EH22+預測IC!EI22</f>
        <v>-1.8550831603735256</v>
      </c>
      <c r="EJ22" s="2">
        <f>EI22+預測IC!EJ22</f>
        <v>-1.9178170320664547</v>
      </c>
      <c r="EK22" s="2">
        <f>EJ22+預測IC!EK22</f>
        <v>-1.8605550936209165</v>
      </c>
      <c r="EL22" s="2">
        <f>EK22+預測IC!EL22</f>
        <v>-1.8352478698820087</v>
      </c>
    </row>
    <row r="23" spans="1:142" x14ac:dyDescent="0.3">
      <c r="A23" s="20">
        <v>512</v>
      </c>
      <c r="B23" s="20">
        <f t="shared" si="10"/>
        <v>2</v>
      </c>
      <c r="C23" s="2">
        <v>3.1325684581971477E-2</v>
      </c>
      <c r="D23" s="2">
        <f>C23+預測IC!D23</f>
        <v>8.3268587706682148E-2</v>
      </c>
      <c r="E23" s="2">
        <f>D23+預測IC!E23</f>
        <v>0.21627378176285317</v>
      </c>
      <c r="F23" s="2">
        <f>E23+預測IC!F23</f>
        <v>0.21253354882094247</v>
      </c>
      <c r="G23" s="2">
        <f>F23+預測IC!G23</f>
        <v>-0.14909857195749035</v>
      </c>
      <c r="H23" s="2">
        <f>G23+預測IC!H23</f>
        <v>-0.13091010111600568</v>
      </c>
      <c r="I23" s="2">
        <f>H23+預測IC!I23</f>
        <v>-0.38661297318158283</v>
      </c>
      <c r="J23" s="2">
        <f>I23+預測IC!J23</f>
        <v>-0.23131915627859964</v>
      </c>
      <c r="K23" s="2">
        <f>J23+預測IC!K23</f>
        <v>-0.37280187153624683</v>
      </c>
      <c r="L23" s="2">
        <f>K23+預測IC!L23</f>
        <v>-0.5370138956545778</v>
      </c>
      <c r="M23" s="2">
        <f>L23+預測IC!M23</f>
        <v>-0.68430086368207466</v>
      </c>
      <c r="N23" s="2">
        <f>M23+預測IC!N23</f>
        <v>-1.6602023069533547</v>
      </c>
      <c r="O23" s="2">
        <f>N23+預測IC!O23</f>
        <v>-1.7831020142605232</v>
      </c>
      <c r="P23" s="2">
        <f>O23+預測IC!P23</f>
        <v>-1.7284204882259753</v>
      </c>
      <c r="Q23" s="2">
        <f>P23+預測IC!Q23</f>
        <v>-1.6081182827964069</v>
      </c>
      <c r="R23" s="2">
        <f>Q23+預測IC!R23</f>
        <v>-1.6835316650772931</v>
      </c>
      <c r="S23" s="2">
        <f>R23+預測IC!S23</f>
        <v>-1.7972561979045552</v>
      </c>
      <c r="T23" s="2">
        <f>S23+預測IC!T23</f>
        <v>-1.797629567113034</v>
      </c>
      <c r="U23" s="2">
        <f>T23+預測IC!U23</f>
        <v>-1.9915894303633936</v>
      </c>
      <c r="V23" s="2">
        <f>U23+預測IC!V23</f>
        <v>-2.0462818928512836</v>
      </c>
      <c r="W23" s="2">
        <f>V23+預測IC!W23</f>
        <v>-1.8098830832183685</v>
      </c>
      <c r="X23" s="2">
        <f>W23+預測IC!X23</f>
        <v>-1.7812581438863682</v>
      </c>
      <c r="Y23" s="2">
        <f>X23+預測IC!Y23</f>
        <v>-1.5771106948839222</v>
      </c>
      <c r="Z23" s="2">
        <f>Y23+預測IC!Z23</f>
        <v>-1.578660207426033</v>
      </c>
      <c r="AA23" s="2">
        <f>Z23+預測IC!AA23</f>
        <v>-1.6335634834978412</v>
      </c>
      <c r="AB23" s="2">
        <f>AA23+預測IC!AB23</f>
        <v>-1.4845882795363579</v>
      </c>
      <c r="AC23" s="2">
        <f>AB23+預測IC!AC23</f>
        <v>-1.6579083743338447</v>
      </c>
      <c r="AD23" s="2">
        <f>AC23+預測IC!AD23</f>
        <v>-1.6407205707442234</v>
      </c>
      <c r="AE23" s="2">
        <f>AD23+預測IC!AE23</f>
        <v>-1.7931571063120202</v>
      </c>
      <c r="AF23" s="2">
        <f>AE23+預測IC!AF23</f>
        <v>-1.8600633664017714</v>
      </c>
      <c r="AG23" s="2">
        <f>AF23+預測IC!AG23</f>
        <v>-1.9187611463430743</v>
      </c>
      <c r="AH23" s="2">
        <f>AG23+預測IC!AH23</f>
        <v>-2.3418758918059086</v>
      </c>
      <c r="AI23" s="2">
        <f>AH23+預測IC!AI23</f>
        <v>-2.4927899949279881</v>
      </c>
      <c r="AJ23" s="2">
        <f>AI23+預測IC!AJ23</f>
        <v>-2.5163774352220125</v>
      </c>
      <c r="AK23" s="2">
        <f>AJ23+預測IC!AK23</f>
        <v>-2.6304885345692037</v>
      </c>
      <c r="AL23" s="2">
        <f>AK23+預測IC!AL23</f>
        <v>-2.4511605693616492</v>
      </c>
      <c r="AM23" s="2">
        <f>AL23+預測IC!AM23</f>
        <v>-2.4585424490995988</v>
      </c>
      <c r="AN23" s="2">
        <f>AM23+預測IC!AN23</f>
        <v>-2.4206470941921885</v>
      </c>
      <c r="AO23" s="2">
        <f>AN23+預測IC!AO23</f>
        <v>-2.4527816924544217</v>
      </c>
      <c r="AP23" s="2">
        <f>AO23+預測IC!AP23</f>
        <v>-2.3598639259370677</v>
      </c>
      <c r="AQ23" s="2">
        <f>AP23+預測IC!AQ23</f>
        <v>-2.4492889181966784</v>
      </c>
      <c r="AR23" s="2">
        <f>AQ23+預測IC!AR23</f>
        <v>-2.1125448743516109</v>
      </c>
      <c r="AS23" s="2">
        <f>AR23+預測IC!AS23</f>
        <v>-2.1447118857618093</v>
      </c>
      <c r="AT23" s="2">
        <f>AS23+預測IC!AT23</f>
        <v>-2.1277606549460781</v>
      </c>
      <c r="AU23" s="2">
        <f>AT23+預測IC!AU23</f>
        <v>-1.809083124514387</v>
      </c>
      <c r="AV23" s="2">
        <f>AU23+預測IC!AV23</f>
        <v>-1.7123258741142535</v>
      </c>
      <c r="AW23" s="2">
        <f>AV23+預測IC!AW23</f>
        <v>-1.7643527839526563</v>
      </c>
      <c r="AX23" s="2">
        <f>AW23+預測IC!AX23</f>
        <v>-1.6992156296269538</v>
      </c>
      <c r="AY23" s="2">
        <f>AX23+預測IC!AY23</f>
        <v>-1.4465557462600445</v>
      </c>
      <c r="AZ23" s="2">
        <f>AY23+預測IC!AZ23</f>
        <v>-1.7383727384994401</v>
      </c>
      <c r="BA23" s="2">
        <f>AZ23+預測IC!BA23</f>
        <v>-1.7477157642229988</v>
      </c>
      <c r="BB23" s="2">
        <f>BA23+預測IC!BB23</f>
        <v>-1.7987652483258838</v>
      </c>
      <c r="BC23" s="2">
        <f>BB23+預測IC!BC23</f>
        <v>-1.653147352103602</v>
      </c>
      <c r="BD23" s="2">
        <f>BC23+預測IC!BD23</f>
        <v>-1.5583164707571517</v>
      </c>
      <c r="BE23" s="2">
        <f>BD23+預測IC!BE23</f>
        <v>-1.3823416896278122</v>
      </c>
      <c r="BF23" s="2">
        <f>BE23+預測IC!BF23</f>
        <v>-1.4324526516494229</v>
      </c>
      <c r="BG23" s="2">
        <f>BF23+預測IC!BG23</f>
        <v>-1.4558620635385191</v>
      </c>
      <c r="BH23" s="2">
        <f>BG23+預測IC!BH23</f>
        <v>-1.4022651996035287</v>
      </c>
      <c r="BI23" s="2">
        <f>BH23+預測IC!BI23</f>
        <v>-1.309014179791574</v>
      </c>
      <c r="BJ23" s="2">
        <f>BI23+預測IC!BJ23</f>
        <v>-1.2375762706293862</v>
      </c>
      <c r="BK23" s="2">
        <f>BJ23+預測IC!BK23</f>
        <v>-1.3003580594192183</v>
      </c>
      <c r="BL23" s="2">
        <f>BK23+預測IC!BL23</f>
        <v>-1.5113180907828792</v>
      </c>
      <c r="BM23" s="2">
        <f>BL23+預測IC!BM23</f>
        <v>-1.4418226287584286</v>
      </c>
      <c r="BN23" s="2">
        <f>BM23+預測IC!BN23</f>
        <v>-1.5964997971143406</v>
      </c>
      <c r="BO23" s="2">
        <f>BN23+預測IC!BO23</f>
        <v>-1.5160721072010459</v>
      </c>
      <c r="BP23" s="2">
        <f>BO23+預測IC!BP23</f>
        <v>-1.4841585540753994</v>
      </c>
      <c r="BQ23" s="2">
        <f>BP23+預測IC!BQ23</f>
        <v>-1.3087457947437375</v>
      </c>
      <c r="BR23" s="2">
        <f>BQ23+預測IC!BR23</f>
        <v>-1.284351832419937</v>
      </c>
      <c r="BS23" s="2">
        <f>BR23+預測IC!BS23</f>
        <v>-1.2351441090334527</v>
      </c>
      <c r="BT23" s="2">
        <f>BS23+預測IC!BT23</f>
        <v>-0.89279050241692703</v>
      </c>
      <c r="BU23" s="2">
        <f>BT23+預測IC!BU23</f>
        <v>-0.75848338027285767</v>
      </c>
      <c r="BV23" s="2">
        <f>BU23+預測IC!BV23</f>
        <v>-0.77550233114878553</v>
      </c>
      <c r="BW23" s="2">
        <f>BV23+預測IC!BW23</f>
        <v>-1.5272268527049646</v>
      </c>
      <c r="BX23" s="2">
        <f>BW23+預測IC!BX23</f>
        <v>-1.6103877788966516</v>
      </c>
      <c r="BY23" s="2">
        <f>BX23+預測IC!BY23</f>
        <v>-1.7040990482461955</v>
      </c>
      <c r="BZ23" s="2">
        <f>BY23+預測IC!BZ23</f>
        <v>-1.7764295464842255</v>
      </c>
      <c r="CA23" s="2">
        <f>BZ23+預測IC!CA23</f>
        <v>-1.2801357139948026</v>
      </c>
      <c r="CB23" s="2">
        <f>CA23+預測IC!CB23</f>
        <v>-1.2222668733943116</v>
      </c>
      <c r="CC23" s="2">
        <f>CB23+預測IC!CC23</f>
        <v>-1.306811488110087</v>
      </c>
      <c r="CD23" s="2">
        <f>CC23+預測IC!CD23</f>
        <v>-1.4186750588360797</v>
      </c>
      <c r="CE23" s="2">
        <f>CD23+預測IC!CE23</f>
        <v>-1.4336089975355195</v>
      </c>
      <c r="CF23" s="2">
        <f>CE23+預測IC!CF23</f>
        <v>-1.2659946162251932</v>
      </c>
      <c r="CG23" s="2">
        <f>CF23+預測IC!CG23</f>
        <v>-1.7686618696720717</v>
      </c>
      <c r="CH23" s="2">
        <f>CG23+預測IC!CH23</f>
        <v>-1.8417079676024464</v>
      </c>
      <c r="CI23" s="2">
        <f>CH23+預測IC!CI23</f>
        <v>-1.8360294753676083</v>
      </c>
      <c r="CJ23" s="2">
        <f>CI23+預測IC!CJ23</f>
        <v>-1.8896545329421193</v>
      </c>
      <c r="CK23" s="2">
        <f>CJ23+預測IC!CK23</f>
        <v>-1.8450176428262337</v>
      </c>
      <c r="CL23" s="2">
        <f>CK23+預測IC!CL23</f>
        <v>-1.4987318090124222</v>
      </c>
      <c r="CM23" s="2">
        <f>CL23+預測IC!CM23</f>
        <v>-1.478812307215301</v>
      </c>
      <c r="CN23" s="2">
        <f>CM23+預測IC!CN23</f>
        <v>-1.4762098782035518</v>
      </c>
      <c r="CO23" s="2">
        <f>CN23+預測IC!CO23</f>
        <v>-1.6430421299538145</v>
      </c>
      <c r="CP23" s="2">
        <f>CO23+預測IC!CP23</f>
        <v>-1.4109422560954141</v>
      </c>
      <c r="CQ23" s="2">
        <f>CP23+預測IC!CQ23</f>
        <v>-1.5222743109445502</v>
      </c>
      <c r="CR23" s="2">
        <f>CQ23+預測IC!CR23</f>
        <v>-1.5206454131997509</v>
      </c>
      <c r="CS23" s="2">
        <f>CR23+預測IC!CS23</f>
        <v>-1.4251327721537717</v>
      </c>
      <c r="CT23" s="2">
        <f>CS23+預測IC!CT23</f>
        <v>-1.5999132295383081</v>
      </c>
      <c r="CU23" s="2">
        <f>CT23+預測IC!CU23</f>
        <v>-1.6164384852204805</v>
      </c>
      <c r="CV23" s="2">
        <f>CU23+預測IC!CV23</f>
        <v>-1.5893132652587292</v>
      </c>
      <c r="CW23" s="2">
        <f>CV23+預測IC!CW23</f>
        <v>-1.5885852967464458</v>
      </c>
      <c r="CX23" s="2">
        <f>CW23+預測IC!CX23</f>
        <v>-1.676425159359082</v>
      </c>
      <c r="CY23" s="2">
        <f>CX23+預測IC!CY23</f>
        <v>-1.69583303202874</v>
      </c>
      <c r="CZ23" s="2">
        <f>CY23+預測IC!CZ23</f>
        <v>-1.2481276918282025</v>
      </c>
      <c r="DA23" s="2">
        <f>CZ23+預測IC!DA23</f>
        <v>-1.7236317617686356</v>
      </c>
      <c r="DB23" s="2">
        <f>DA23+預測IC!DB23</f>
        <v>-1.7225541604677288</v>
      </c>
      <c r="DC23" s="2">
        <f>DB23+預測IC!DC23</f>
        <v>-1.7949701941241547</v>
      </c>
      <c r="DD23" s="2">
        <f>DC23+預測IC!DD23</f>
        <v>-1.356141093158602</v>
      </c>
      <c r="DE23" s="2">
        <f>DD23+預測IC!DE23</f>
        <v>-1.2960551456484304</v>
      </c>
      <c r="DF23" s="2">
        <f>DE23+預測IC!DF23</f>
        <v>-1.2362696181318864</v>
      </c>
      <c r="DG23" s="2">
        <f>DF23+預測IC!DG23</f>
        <v>-1.4848432409430834</v>
      </c>
      <c r="DH23" s="2">
        <f>DG23+預測IC!DH23</f>
        <v>-1.5402566882518258</v>
      </c>
      <c r="DI23" s="2">
        <f>DH23+預測IC!DI23</f>
        <v>-1.4533570822728799</v>
      </c>
      <c r="DJ23" s="2">
        <f>DI23+預測IC!DJ23</f>
        <v>-1.4628844764838906</v>
      </c>
      <c r="DK23" s="2">
        <f>DJ23+預測IC!DK23</f>
        <v>-1.399737898576487</v>
      </c>
      <c r="DL23" s="2">
        <f>DK23+預測IC!DL23</f>
        <v>-1.3849085070908982</v>
      </c>
      <c r="DM23" s="2">
        <f>DL23+預測IC!DM23</f>
        <v>-1.3515417513810537</v>
      </c>
      <c r="DN23" s="2">
        <f>DM23+預測IC!DN23</f>
        <v>-1.392531661456575</v>
      </c>
      <c r="DO23" s="2">
        <f>DN23+預測IC!DO23</f>
        <v>-1.2296660231884176</v>
      </c>
      <c r="DP23" s="2">
        <f>DO23+預測IC!DP23</f>
        <v>-1.1687147114639245</v>
      </c>
      <c r="DQ23" s="2">
        <f>DP23+預測IC!DQ23</f>
        <v>-1.0475826702064668</v>
      </c>
      <c r="DR23" s="2">
        <f>DQ23+預測IC!DR23</f>
        <v>-1.1080788272952005</v>
      </c>
      <c r="DS23" s="2">
        <f>DR23+預測IC!DS23</f>
        <v>-0.89034298534378253</v>
      </c>
      <c r="DT23" s="2">
        <f>DS23+預測IC!DT23</f>
        <v>-1.0474061073807233</v>
      </c>
      <c r="DU23" s="2">
        <f>DT23+預測IC!DU23</f>
        <v>-1.0639659854221231</v>
      </c>
      <c r="DV23" s="2">
        <f>DU23+預測IC!DV23</f>
        <v>-1.0558327318068488</v>
      </c>
      <c r="DW23" s="2">
        <f>DV23+預測IC!DW23</f>
        <v>-1.0327809110517869</v>
      </c>
      <c r="DX23" s="2">
        <f>DW23+預測IC!DX23</f>
        <v>-1.1373865647976904</v>
      </c>
      <c r="DY23" s="2">
        <f>DX23+預測IC!DY23</f>
        <v>-0.93510243826074413</v>
      </c>
      <c r="DZ23" s="2">
        <f>DY23+預測IC!DZ23</f>
        <v>-0.88869157729047765</v>
      </c>
      <c r="EA23" s="2">
        <f>DZ23+預測IC!EA23</f>
        <v>-0.99802295256691287</v>
      </c>
      <c r="EB23" s="2">
        <f>EA23+預測IC!EB23</f>
        <v>-1.1138495352973026</v>
      </c>
      <c r="EC23" s="2">
        <f>EB23+預測IC!EC23</f>
        <v>-1.0202050021367826</v>
      </c>
      <c r="ED23" s="2">
        <f>EC23+預測IC!ED23</f>
        <v>-0.98130457956705863</v>
      </c>
      <c r="EE23" s="2">
        <f>ED23+預測IC!EE23</f>
        <v>-0.95367364690409639</v>
      </c>
      <c r="EF23" s="2">
        <f>EE23+預測IC!EF23</f>
        <v>-1.0437286411832167</v>
      </c>
      <c r="EG23" s="2">
        <f>EF23+預測IC!EG23</f>
        <v>-0.9178230786905951</v>
      </c>
      <c r="EH23" s="2">
        <f>EG23+預測IC!EH23</f>
        <v>-0.85450588366941815</v>
      </c>
      <c r="EI23" s="2">
        <f>EH23+預測IC!EI23</f>
        <v>-0.90309642240116439</v>
      </c>
      <c r="EJ23" s="2">
        <f>EI23+預測IC!EJ23</f>
        <v>-0.83364527115629605</v>
      </c>
      <c r="EK23" s="2">
        <f>EJ23+預測IC!EK23</f>
        <v>-0.63833260482293563</v>
      </c>
      <c r="EL23" s="2">
        <f>EK23+預測IC!EL23</f>
        <v>-0.58860652050947659</v>
      </c>
    </row>
    <row r="24" spans="1:142" x14ac:dyDescent="0.3">
      <c r="A24" s="20">
        <v>1051</v>
      </c>
      <c r="B24" s="20">
        <f t="shared" si="10"/>
        <v>1</v>
      </c>
      <c r="C24" s="2">
        <v>2.776696731044102E-2</v>
      </c>
      <c r="D24" s="2">
        <f>C24+預測IC!D24</f>
        <v>0.14396179956413482</v>
      </c>
      <c r="E24" s="2">
        <f>D24+預測IC!E24</f>
        <v>0.4284742972546367</v>
      </c>
      <c r="F24" s="2">
        <f>E24+預測IC!F24</f>
        <v>0.50380079108634335</v>
      </c>
      <c r="G24" s="2">
        <f>F24+預測IC!G24</f>
        <v>0.27419373922817958</v>
      </c>
      <c r="H24" s="2">
        <f>G24+預測IC!H24</f>
        <v>0.23833794257322291</v>
      </c>
      <c r="I24" s="2">
        <f>H24+預測IC!I24</f>
        <v>-2.0483021976928917E-3</v>
      </c>
      <c r="J24" s="2">
        <f>I24+預測IC!J24</f>
        <v>1.987422741566755E-3</v>
      </c>
      <c r="K24" s="2">
        <f>J24+預測IC!K24</f>
        <v>-4.8456913251921953E-2</v>
      </c>
      <c r="L24" s="2">
        <f>K24+預測IC!L24</f>
        <v>-7.675534937434958E-2</v>
      </c>
      <c r="M24" s="2">
        <f>L24+預測IC!M24</f>
        <v>-0.29454102241209107</v>
      </c>
      <c r="N24" s="2">
        <f>M24+預測IC!N24</f>
        <v>-2.06357239152466</v>
      </c>
      <c r="O24" s="2">
        <f>N24+預測IC!O24</f>
        <v>-2.3078502549128435</v>
      </c>
      <c r="P24" s="2">
        <f>O24+預測IC!P24</f>
        <v>-2.3061139660484962</v>
      </c>
      <c r="Q24" s="2">
        <f>P24+預測IC!Q24</f>
        <v>-2.3032668304460988</v>
      </c>
      <c r="R24" s="2">
        <f>Q24+預測IC!R24</f>
        <v>-2.4116323253582901</v>
      </c>
      <c r="S24" s="2">
        <f>R24+預測IC!S24</f>
        <v>-2.7641467864184546</v>
      </c>
      <c r="T24" s="2">
        <f>S24+預測IC!T24</f>
        <v>-2.6404557423266652</v>
      </c>
      <c r="U24" s="2">
        <f>T24+預測IC!U24</f>
        <v>-2.9263120323080658</v>
      </c>
      <c r="V24" s="2">
        <f>U24+預測IC!V24</f>
        <v>-2.7664857400786782</v>
      </c>
      <c r="W24" s="2">
        <f>V24+預測IC!W24</f>
        <v>-2.3042274931269873</v>
      </c>
      <c r="X24" s="2">
        <f>W24+預測IC!X24</f>
        <v>-2.3051263695920046</v>
      </c>
      <c r="Y24" s="2">
        <f>X24+預測IC!Y24</f>
        <v>-1.8115863821130394</v>
      </c>
      <c r="Z24" s="2">
        <f>Y24+預測IC!Z24</f>
        <v>-1.8359809308626156</v>
      </c>
      <c r="AA24" s="2">
        <f>Z24+預測IC!AA24</f>
        <v>-1.8224331626250383</v>
      </c>
      <c r="AB24" s="2">
        <f>AA24+預測IC!AB24</f>
        <v>-1.6381817399562599</v>
      </c>
      <c r="AC24" s="2">
        <f>AB24+預測IC!AC24</f>
        <v>-1.8843506987409597</v>
      </c>
      <c r="AD24" s="2">
        <f>AC24+預測IC!AD24</f>
        <v>-1.4162805082251109</v>
      </c>
      <c r="AE24" s="2">
        <f>AD24+預測IC!AE24</f>
        <v>-1.5280117896489462</v>
      </c>
      <c r="AF24" s="2">
        <f>AE24+預測IC!AF24</f>
        <v>-1.5505337996837367</v>
      </c>
      <c r="AG24" s="2">
        <f>AF24+預測IC!AG24</f>
        <v>-1.4446333272093361</v>
      </c>
      <c r="AH24" s="2">
        <f>AG24+預測IC!AH24</f>
        <v>-1.9447427411376501</v>
      </c>
      <c r="AI24" s="2">
        <f>AH24+預測IC!AI24</f>
        <v>-2.2551569763669925</v>
      </c>
      <c r="AJ24" s="2">
        <f>AI24+預測IC!AJ24</f>
        <v>-2.3405921781578565</v>
      </c>
      <c r="AK24" s="2">
        <f>AJ24+預測IC!AK24</f>
        <v>-2.4254761312260489</v>
      </c>
      <c r="AL24" s="2">
        <f>AK24+預測IC!AL24</f>
        <v>-2.0921380087952302</v>
      </c>
      <c r="AM24" s="2">
        <f>AL24+預測IC!AM24</f>
        <v>-2.0135395108221172</v>
      </c>
      <c r="AN24" s="2">
        <f>AM24+預測IC!AN24</f>
        <v>-1.8505977689654178</v>
      </c>
      <c r="AO24" s="2">
        <f>AN24+預測IC!AO24</f>
        <v>-1.7679060531203044</v>
      </c>
      <c r="AP24" s="2">
        <f>AO24+預測IC!AP24</f>
        <v>-1.745054337631208</v>
      </c>
      <c r="AQ24" s="2">
        <f>AP24+預測IC!AQ24</f>
        <v>-1.7921313104654537</v>
      </c>
      <c r="AR24" s="2">
        <f>AQ24+預測IC!AR24</f>
        <v>-1.7824920538578468</v>
      </c>
      <c r="AS24" s="2">
        <f>AR24+預測IC!AS24</f>
        <v>-2.0203243975032881</v>
      </c>
      <c r="AT24" s="2">
        <f>AS24+預測IC!AT24</f>
        <v>-2.014395787914232</v>
      </c>
      <c r="AU24" s="2">
        <f>AT24+預測IC!AU24</f>
        <v>-1.5373416006718297</v>
      </c>
      <c r="AV24" s="2">
        <f>AU24+預測IC!AV24</f>
        <v>-1.5178193862493057</v>
      </c>
      <c r="AW24" s="2">
        <f>AV24+預測IC!AW24</f>
        <v>-1.5128318447382665</v>
      </c>
      <c r="AX24" s="2">
        <f>AW24+預測IC!AX24</f>
        <v>-1.5383936431561234</v>
      </c>
      <c r="AY24" s="2">
        <f>AX24+預測IC!AY24</f>
        <v>-1.0949202014196242</v>
      </c>
      <c r="AZ24" s="2">
        <f>AY24+預測IC!AZ24</f>
        <v>-1.704819761604401</v>
      </c>
      <c r="BA24" s="2">
        <f>AZ24+預測IC!BA24</f>
        <v>-1.8066024559143434</v>
      </c>
      <c r="BB24" s="2">
        <f>BA24+預測IC!BB24</f>
        <v>-1.8927614893096782</v>
      </c>
      <c r="BC24" s="2">
        <f>BB24+預測IC!BC24</f>
        <v>-1.6870118888733565</v>
      </c>
      <c r="BD24" s="2">
        <f>BC24+預測IC!BD24</f>
        <v>-1.5014166696269213</v>
      </c>
      <c r="BE24" s="2">
        <f>BD24+預測IC!BE24</f>
        <v>-1.3119276740686561</v>
      </c>
      <c r="BF24" s="2">
        <f>BE24+預測IC!BF24</f>
        <v>-1.3919396243411906</v>
      </c>
      <c r="BG24" s="2">
        <f>BF24+預測IC!BG24</f>
        <v>-1.5685631600205074</v>
      </c>
      <c r="BH24" s="2">
        <f>BG24+預測IC!BH24</f>
        <v>-1.5589937090043566</v>
      </c>
      <c r="BI24" s="2">
        <f>BH24+預測IC!BI24</f>
        <v>-1.3353646029343096</v>
      </c>
      <c r="BJ24" s="2">
        <f>BI24+預測IC!BJ24</f>
        <v>-1.4005186981140956</v>
      </c>
      <c r="BK24" s="2">
        <f>BJ24+預測IC!BK24</f>
        <v>-1.3964951512198094</v>
      </c>
      <c r="BL24" s="2">
        <f>BK24+預測IC!BL24</f>
        <v>-1.713659445144526</v>
      </c>
      <c r="BM24" s="2">
        <f>BL24+預測IC!BM24</f>
        <v>-1.7984423849835143</v>
      </c>
      <c r="BN24" s="2">
        <f>BM24+預測IC!BN24</f>
        <v>-1.6895291246669668</v>
      </c>
      <c r="BO24" s="2">
        <f>BN24+預測IC!BO24</f>
        <v>-1.6951535462254332</v>
      </c>
      <c r="BP24" s="2">
        <f>BO24+預測IC!BP24</f>
        <v>-1.8641854170511289</v>
      </c>
      <c r="BQ24" s="2">
        <f>BP24+預測IC!BQ24</f>
        <v>-1.5723279731888673</v>
      </c>
      <c r="BR24" s="2">
        <f>BQ24+預測IC!BR24</f>
        <v>-1.5299717498854495</v>
      </c>
      <c r="BS24" s="2">
        <f>BR24+預測IC!BS24</f>
        <v>-1.5286870324009925</v>
      </c>
      <c r="BT24" s="2">
        <f>BS24+預測IC!BT24</f>
        <v>-1.2292225890577293</v>
      </c>
      <c r="BU24" s="2">
        <f>BT24+預測IC!BU24</f>
        <v>-0.91917434072054649</v>
      </c>
      <c r="BV24" s="2">
        <f>BU24+預測IC!BV24</f>
        <v>-1.122478492550997</v>
      </c>
      <c r="BW24" s="2">
        <f>BV24+預測IC!BW24</f>
        <v>-2.231490562588359</v>
      </c>
      <c r="BX24" s="2">
        <f>BW24+預測IC!BX24</f>
        <v>-2.4637168284768882</v>
      </c>
      <c r="BY24" s="2">
        <f>BX24+預測IC!BY24</f>
        <v>-2.3451907324392001</v>
      </c>
      <c r="BZ24" s="2">
        <f>BY24+預測IC!BZ24</f>
        <v>-2.5477715195010258</v>
      </c>
      <c r="CA24" s="2">
        <f>BZ24+預測IC!CA24</f>
        <v>-2.4624193807137926</v>
      </c>
      <c r="CB24" s="2">
        <f>CA24+預測IC!CB24</f>
        <v>-2.4049422620873875</v>
      </c>
      <c r="CC24" s="2">
        <f>CB24+預測IC!CC24</f>
        <v>-2.5874121419749492</v>
      </c>
      <c r="CD24" s="2">
        <f>CC24+預測IC!CD24</f>
        <v>-2.8308942019375323</v>
      </c>
      <c r="CE24" s="2">
        <f>CD24+預測IC!CE24</f>
        <v>-2.8858989292398847</v>
      </c>
      <c r="CF24" s="2">
        <f>CE24+預測IC!CF24</f>
        <v>-2.769083534607292</v>
      </c>
      <c r="CG24" s="2">
        <f>CF24+預測IC!CG24</f>
        <v>-3.0063613694672173</v>
      </c>
      <c r="CH24" s="2">
        <f>CG24+預測IC!CH24</f>
        <v>-3.1076362972465277</v>
      </c>
      <c r="CI24" s="2">
        <f>CH24+預測IC!CI24</f>
        <v>-2.9864587079051939</v>
      </c>
      <c r="CJ24" s="2">
        <f>CI24+預測IC!CJ24</f>
        <v>-2.9877120278746916</v>
      </c>
      <c r="CK24" s="2">
        <f>CJ24+預測IC!CK24</f>
        <v>-3.2928511865200751</v>
      </c>
      <c r="CL24" s="2">
        <f>CK24+預測IC!CL24</f>
        <v>-2.88776977774608</v>
      </c>
      <c r="CM24" s="2">
        <f>CL24+預測IC!CM24</f>
        <v>-2.8850503222862982</v>
      </c>
      <c r="CN24" s="2">
        <f>CM24+預測IC!CN24</f>
        <v>-2.9755989792614814</v>
      </c>
      <c r="CO24" s="2">
        <f>CN24+預測IC!CO24</f>
        <v>-3.0629534094277173</v>
      </c>
      <c r="CP24" s="2">
        <f>CO24+預測IC!CP24</f>
        <v>-2.9336593768077939</v>
      </c>
      <c r="CQ24" s="2">
        <f>CP24+預測IC!CQ24</f>
        <v>-3.0645865750080219</v>
      </c>
      <c r="CR24" s="2">
        <f>CQ24+預測IC!CR24</f>
        <v>-3.0424602952140405</v>
      </c>
      <c r="CS24" s="2">
        <f>CR24+預測IC!CS24</f>
        <v>-2.9209499829011887</v>
      </c>
      <c r="CT24" s="2">
        <f>CS24+預測IC!CT24</f>
        <v>-3.1038465701933053</v>
      </c>
      <c r="CU24" s="2">
        <f>CT24+預測IC!CU24</f>
        <v>-2.9573909265878475</v>
      </c>
      <c r="CV24" s="2">
        <f>CU24+預測IC!CV24</f>
        <v>-2.8435861641473581</v>
      </c>
      <c r="CW24" s="2">
        <f>CV24+預測IC!CW24</f>
        <v>-2.8834110354402887</v>
      </c>
      <c r="CX24" s="2">
        <f>CW24+預測IC!CX24</f>
        <v>-3.061482234133865</v>
      </c>
      <c r="CY24" s="2">
        <f>CX24+預測IC!CY24</f>
        <v>-3.1101719311308611</v>
      </c>
      <c r="CZ24" s="2">
        <f>CY24+預測IC!CZ24</f>
        <v>-2.7638587169736706</v>
      </c>
      <c r="DA24" s="2">
        <f>CZ24+預測IC!DA24</f>
        <v>-3.576881113880634</v>
      </c>
      <c r="DB24" s="2">
        <f>DA24+預測IC!DB24</f>
        <v>-3.3772823447725959</v>
      </c>
      <c r="DC24" s="2">
        <f>DB24+預測IC!DC24</f>
        <v>-3.5568354600119441</v>
      </c>
      <c r="DD24" s="2">
        <f>DC24+預測IC!DD24</f>
        <v>-3.4034540792728381</v>
      </c>
      <c r="DE24" s="2">
        <f>DD24+預測IC!DE24</f>
        <v>-3.5350396705683709</v>
      </c>
      <c r="DF24" s="2">
        <f>DE24+預測IC!DF24</f>
        <v>-3.6101066792912135</v>
      </c>
      <c r="DG24" s="2">
        <f>DF24+預測IC!DG24</f>
        <v>-3.7992169383654693</v>
      </c>
      <c r="DH24" s="2">
        <f>DG24+預測IC!DH24</f>
        <v>-3.8985839188654086</v>
      </c>
      <c r="DI24" s="2">
        <f>DH24+預測IC!DI24</f>
        <v>-3.7567084599271392</v>
      </c>
      <c r="DJ24" s="2">
        <f>DI24+預測IC!DJ24</f>
        <v>-4.0051331228802498</v>
      </c>
      <c r="DK24" s="2">
        <f>DJ24+預測IC!DK24</f>
        <v>-3.9416497633389067</v>
      </c>
      <c r="DL24" s="2">
        <f>DK24+預測IC!DL24</f>
        <v>-3.9934569507152999</v>
      </c>
      <c r="DM24" s="2">
        <f>DL24+預測IC!DM24</f>
        <v>-4.0192646260290275</v>
      </c>
      <c r="DN24" s="2">
        <f>DM24+預測IC!DN24</f>
        <v>-4.0138681931548126</v>
      </c>
      <c r="DO24" s="2">
        <f>DN24+預測IC!DO24</f>
        <v>-3.8611409801146057</v>
      </c>
      <c r="DP24" s="2">
        <f>DO24+預測IC!DP24</f>
        <v>-3.879873988000055</v>
      </c>
      <c r="DQ24" s="2">
        <f>DP24+預測IC!DQ24</f>
        <v>-3.8293877975211297</v>
      </c>
      <c r="DR24" s="2">
        <f>DQ24+預測IC!DR24</f>
        <v>-3.8760251083294603</v>
      </c>
      <c r="DS24" s="2">
        <f>DR24+預測IC!DS24</f>
        <v>-3.3561964284718511</v>
      </c>
      <c r="DT24" s="2">
        <f>DS24+預測IC!DT24</f>
        <v>-3.4607750923234644</v>
      </c>
      <c r="DU24" s="2">
        <f>DT24+預測IC!DU24</f>
        <v>-3.3776818906225117</v>
      </c>
      <c r="DV24" s="2">
        <f>DU24+預測IC!DV24</f>
        <v>-3.2796350558198859</v>
      </c>
      <c r="DW24" s="2">
        <f>DV24+預測IC!DW24</f>
        <v>-3.1784525591646418</v>
      </c>
      <c r="DX24" s="2">
        <f>DW24+預測IC!DX24</f>
        <v>-3.0722705816910203</v>
      </c>
      <c r="DY24" s="2">
        <f>DX24+預測IC!DY24</f>
        <v>-3.0755104582995632</v>
      </c>
      <c r="DZ24" s="2">
        <f>DY24+預測IC!DZ24</f>
        <v>-3.1576191501983661</v>
      </c>
      <c r="EA24" s="2">
        <f>DZ24+預測IC!EA24</f>
        <v>-3.234970072425702</v>
      </c>
      <c r="EB24" s="2">
        <f>EA24+預測IC!EB24</f>
        <v>-3.3441988447985085</v>
      </c>
      <c r="EC24" s="2">
        <f>EB24+預測IC!EC24</f>
        <v>-3.2005553712387993</v>
      </c>
      <c r="ED24" s="2">
        <f>EC24+預測IC!ED24</f>
        <v>-3.2703905249054159</v>
      </c>
      <c r="EE24" s="2">
        <f>ED24+預測IC!EE24</f>
        <v>-3.1629098676709981</v>
      </c>
      <c r="EF24" s="2">
        <f>EE24+預測IC!EF24</f>
        <v>-3.2969969440212128</v>
      </c>
      <c r="EG24" s="2">
        <f>EF24+預測IC!EG24</f>
        <v>-3.2033379426440676</v>
      </c>
      <c r="EH24" s="2">
        <f>EG24+預測IC!EH24</f>
        <v>-3.2045333107356035</v>
      </c>
      <c r="EI24" s="2">
        <f>EH24+預測IC!EI24</f>
        <v>-3.1129794751220046</v>
      </c>
      <c r="EJ24" s="2">
        <f>EI24+預測IC!EJ24</f>
        <v>-3.0270377392407068</v>
      </c>
      <c r="EK24" s="2">
        <f>EJ24+預測IC!EK24</f>
        <v>-2.9878041883871345</v>
      </c>
      <c r="EL24" s="2">
        <f>EK24+預測IC!EL24</f>
        <v>-2.7312127030053848</v>
      </c>
    </row>
    <row r="25" spans="1:142" x14ac:dyDescent="0.3">
      <c r="A25" s="20" t="s">
        <v>154</v>
      </c>
      <c r="B25" s="20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A17" sqref="A17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3" width="16.19921875" style="12" customWidth="1"/>
    <col min="4" max="121" width="16.5" style="12" bestFit="1" customWidth="1"/>
    <col min="122" max="122" width="21.3984375" style="12" bestFit="1" customWidth="1"/>
    <col min="123" max="142" width="16.5" style="12" bestFit="1" customWidth="1"/>
    <col min="143" max="145" width="16.19921875" style="12" customWidth="1"/>
    <col min="146" max="16384" width="16.19921875" style="12"/>
  </cols>
  <sheetData>
    <row r="1" spans="1:142" x14ac:dyDescent="0.55000000000000004">
      <c r="A1" s="11" t="s">
        <v>290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6.1327576637268073E-2</v>
      </c>
      <c r="D3" s="13">
        <v>0.1053639203310013</v>
      </c>
      <c r="E3" s="13">
        <v>-3.0782786197960381E-3</v>
      </c>
      <c r="F3" s="13">
        <v>-0.1282243728637695</v>
      </c>
      <c r="G3" s="13">
        <v>-6.2722943723201752E-2</v>
      </c>
      <c r="H3" s="13">
        <v>1.9181370735168461E-2</v>
      </c>
      <c r="I3" s="13">
        <v>4.4782202690839767E-2</v>
      </c>
      <c r="J3" s="13">
        <v>0.13391287624835971</v>
      </c>
      <c r="K3" s="13">
        <v>-5.9629511088132858E-2</v>
      </c>
      <c r="L3" s="13">
        <v>-0.3462432324886322</v>
      </c>
      <c r="M3" s="13">
        <v>6.7439384758472443E-2</v>
      </c>
      <c r="N3" s="13">
        <v>5.727088451385498E-2</v>
      </c>
      <c r="O3" s="13">
        <v>-5.6388936936855323E-2</v>
      </c>
      <c r="P3" s="13">
        <v>-9.1544181108474731E-2</v>
      </c>
      <c r="Q3" s="13">
        <v>1.4503344893455511E-2</v>
      </c>
      <c r="R3" s="13">
        <v>-3.059724718332291E-2</v>
      </c>
      <c r="S3" s="13">
        <v>1.7472125589847561E-2</v>
      </c>
      <c r="T3" s="13">
        <v>3.4076657146215439E-2</v>
      </c>
      <c r="U3" s="13">
        <v>-1.1099047958850861E-2</v>
      </c>
      <c r="V3" s="13">
        <v>-4.9297574907541282E-2</v>
      </c>
      <c r="W3" s="13">
        <v>0.17203778028488159</v>
      </c>
      <c r="X3" s="13">
        <v>-1.236107293516397E-2</v>
      </c>
      <c r="Y3" s="13">
        <v>5.979146808385849E-2</v>
      </c>
      <c r="Z3" s="13">
        <v>-2.055832743644714E-2</v>
      </c>
      <c r="AA3" s="13">
        <v>7.4298478662967682E-2</v>
      </c>
      <c r="AB3" s="13">
        <v>-4.5949909836053848E-3</v>
      </c>
      <c r="AC3" s="13">
        <v>3.0291583389043808E-3</v>
      </c>
      <c r="AD3" s="13">
        <v>-4.4668029993772507E-2</v>
      </c>
      <c r="AE3" s="13">
        <v>4.6806998550891883E-2</v>
      </c>
      <c r="AF3" s="13">
        <v>-9.9812641739845276E-2</v>
      </c>
      <c r="AG3" s="13">
        <v>-6.4887501299381256E-2</v>
      </c>
      <c r="AH3" s="13">
        <v>7.1649104356765747E-2</v>
      </c>
      <c r="AI3" s="13">
        <v>5.1127530634403229E-2</v>
      </c>
      <c r="AJ3" s="13">
        <v>-0.11162372678518299</v>
      </c>
      <c r="AK3" s="13">
        <v>-7.5587287545204163E-2</v>
      </c>
      <c r="AL3" s="13">
        <v>6.8488046526908875E-2</v>
      </c>
      <c r="AM3" s="13">
        <v>-1.9246973097324371E-2</v>
      </c>
      <c r="AN3" s="13">
        <v>8.4199845790863037E-2</v>
      </c>
      <c r="AO3" s="13">
        <v>2.8502147644758221E-2</v>
      </c>
      <c r="AP3" s="13">
        <v>-0.32218533754348749</v>
      </c>
      <c r="AQ3" s="13">
        <v>-8.5807070136070251E-2</v>
      </c>
      <c r="AR3" s="13">
        <v>5.2739348262548447E-2</v>
      </c>
      <c r="AS3" s="13">
        <v>4.0903866291046143E-2</v>
      </c>
      <c r="AT3" s="13">
        <v>8.4397360682487488E-2</v>
      </c>
      <c r="AU3" s="13">
        <v>4.9148775637149811E-2</v>
      </c>
      <c r="AV3" s="13">
        <v>2.3600246757268909E-2</v>
      </c>
      <c r="AW3" s="13">
        <v>0.1143049001693726</v>
      </c>
      <c r="AX3" s="13">
        <v>-1.3772965408861641E-2</v>
      </c>
      <c r="AY3" s="13">
        <v>-1.255927607417107E-2</v>
      </c>
      <c r="AZ3" s="13">
        <v>-4.4304460287094123E-2</v>
      </c>
      <c r="BA3" s="13">
        <v>1.5913523733615879E-2</v>
      </c>
      <c r="BB3" s="13">
        <v>4.1215825825929642E-2</v>
      </c>
      <c r="BC3" s="13">
        <v>4.4085206463932991E-3</v>
      </c>
      <c r="BD3" s="13">
        <v>7.8439787030220032E-2</v>
      </c>
      <c r="BE3" s="13">
        <v>-6.1781518161296838E-2</v>
      </c>
      <c r="BF3" s="13">
        <v>4.0756359696388238E-2</v>
      </c>
      <c r="BG3" s="13">
        <v>1.560432836413383E-2</v>
      </c>
      <c r="BH3" s="13">
        <v>-2.2477094084024429E-2</v>
      </c>
      <c r="BI3" s="13">
        <v>0.10848069936037059</v>
      </c>
      <c r="BJ3" s="13">
        <v>-9.9942907691001892E-3</v>
      </c>
      <c r="BK3" s="13">
        <v>9.9805325269699097E-2</v>
      </c>
      <c r="BL3" s="13">
        <v>-6.4521826803684235E-2</v>
      </c>
      <c r="BM3" s="13">
        <v>-1.9436310976743702E-2</v>
      </c>
      <c r="BN3" s="13">
        <v>-8.3174323663115501E-3</v>
      </c>
      <c r="BO3" s="13">
        <v>5.1577024161815643E-2</v>
      </c>
      <c r="BP3" s="13">
        <v>-2.0200524479150769E-2</v>
      </c>
      <c r="BQ3" s="13">
        <v>9.7651019692420959E-2</v>
      </c>
      <c r="BR3" s="13">
        <v>0.12632341682910919</v>
      </c>
      <c r="BS3" s="13">
        <v>-1.8966048955917358E-2</v>
      </c>
      <c r="BT3" s="13">
        <v>-1.4316674321889881E-2</v>
      </c>
      <c r="BU3" s="13">
        <v>5.491241067647934E-2</v>
      </c>
      <c r="BV3" s="13">
        <v>4.1193921118974693E-2</v>
      </c>
      <c r="BW3" s="13">
        <v>-4.3307825922966003E-2</v>
      </c>
      <c r="BX3" s="13">
        <v>-3.2447922974824912E-2</v>
      </c>
      <c r="BY3" s="13">
        <v>4.9034658819437027E-2</v>
      </c>
      <c r="BZ3" s="13">
        <v>8.3267219364643097E-2</v>
      </c>
      <c r="CA3" s="13">
        <v>4.8628222197294242E-2</v>
      </c>
      <c r="CB3" s="13">
        <v>2.3098880425095562E-2</v>
      </c>
      <c r="CC3" s="13">
        <v>8.4969624876976013E-3</v>
      </c>
      <c r="CD3" s="13">
        <v>6.4693927764892578E-2</v>
      </c>
      <c r="CE3" s="13">
        <v>4.719095304608345E-2</v>
      </c>
      <c r="CF3" s="13">
        <v>5.2956856787204742E-2</v>
      </c>
      <c r="CG3" s="13">
        <v>5.5742617696523673E-2</v>
      </c>
      <c r="CH3" s="13">
        <v>0.1317044794559479</v>
      </c>
      <c r="CI3" s="13">
        <v>-8.7051913142204285E-2</v>
      </c>
      <c r="CJ3" s="13">
        <v>-4.5066077262163162E-2</v>
      </c>
      <c r="CK3" s="13">
        <v>1.5571171417832369E-2</v>
      </c>
      <c r="CL3" s="13">
        <v>1.54544860124588E-2</v>
      </c>
      <c r="CM3" s="13">
        <v>1.7500285059213638E-2</v>
      </c>
      <c r="CN3" s="13">
        <v>4.9111202359199517E-2</v>
      </c>
      <c r="CO3" s="13">
        <v>-7.0332828909158707E-3</v>
      </c>
      <c r="CP3" s="13">
        <v>7.0899978280067444E-2</v>
      </c>
      <c r="CQ3" s="13">
        <v>1.07280109077692E-2</v>
      </c>
      <c r="CR3" s="13">
        <v>2.8085175901651379E-2</v>
      </c>
      <c r="CS3" s="13">
        <v>4.8244483768939972E-2</v>
      </c>
      <c r="CT3" s="13">
        <v>-5.2411206066608429E-2</v>
      </c>
      <c r="CU3" s="13">
        <v>1.7789404839277271E-2</v>
      </c>
      <c r="CV3" s="13">
        <v>0.13697381317615509</v>
      </c>
      <c r="CW3" s="13">
        <v>5.8008372783660889E-2</v>
      </c>
      <c r="CX3" s="13">
        <v>-5.7537071406841278E-3</v>
      </c>
      <c r="CY3" s="13">
        <v>8.0949604511260986E-2</v>
      </c>
      <c r="CZ3" s="13">
        <v>4.3630726635456092E-2</v>
      </c>
      <c r="DA3" s="13">
        <v>1.2640822678804399E-2</v>
      </c>
      <c r="DB3" s="13">
        <v>0.1894510090351105</v>
      </c>
      <c r="DC3" s="13">
        <v>0.11115641891956329</v>
      </c>
      <c r="DD3" s="13">
        <v>4.7927461564540863E-2</v>
      </c>
      <c r="DE3" s="13">
        <v>3.4420855343341827E-2</v>
      </c>
      <c r="DF3" s="13">
        <v>5.4971545934677117E-2</v>
      </c>
      <c r="DG3" s="13">
        <v>3.6962892860174179E-2</v>
      </c>
      <c r="DH3" s="13">
        <v>-2.494002133607864E-2</v>
      </c>
      <c r="DI3" s="13">
        <v>0.1019171923398972</v>
      </c>
      <c r="DJ3" s="13">
        <v>-1.003191247582436E-2</v>
      </c>
      <c r="DK3" s="13">
        <v>8.8250096887350082E-3</v>
      </c>
      <c r="DL3" s="13">
        <v>4.2583052068948753E-2</v>
      </c>
      <c r="DM3" s="13">
        <v>4.7666128724813461E-2</v>
      </c>
      <c r="DN3" s="13">
        <v>2.0568389445543289E-2</v>
      </c>
      <c r="DO3" s="13">
        <v>0.12660396099090579</v>
      </c>
      <c r="DP3" s="13">
        <v>-9.9558494985103607E-3</v>
      </c>
      <c r="DQ3" s="13">
        <v>7.8000598587095737E-3</v>
      </c>
      <c r="DR3" s="13">
        <v>7.9334713518619537E-2</v>
      </c>
      <c r="DS3" s="13">
        <v>-4.9381494522094727E-2</v>
      </c>
      <c r="DT3" s="13">
        <v>1.7781071364879612E-2</v>
      </c>
      <c r="DU3" s="13">
        <v>-2.9499910771846771E-2</v>
      </c>
      <c r="DV3" s="13">
        <v>-1.2142566964030269E-2</v>
      </c>
      <c r="DW3" s="13">
        <v>3.4191828221082687E-2</v>
      </c>
      <c r="DX3" s="13">
        <v>3.6637254059314728E-2</v>
      </c>
      <c r="DY3" s="13">
        <v>6.7992527037858963E-3</v>
      </c>
      <c r="DZ3" s="13">
        <v>3.535803034901619E-2</v>
      </c>
      <c r="EA3" s="13">
        <v>-5.6017383933067322E-2</v>
      </c>
      <c r="EB3" s="13">
        <v>1.8131472170352939E-2</v>
      </c>
      <c r="EC3" s="13">
        <v>2.3855423554778099E-2</v>
      </c>
      <c r="ED3" s="13">
        <v>-6.1541076749563217E-2</v>
      </c>
      <c r="EE3" s="13">
        <v>3.3718269318342209E-2</v>
      </c>
      <c r="EF3" s="13">
        <v>-4.8368137329816818E-2</v>
      </c>
      <c r="EG3" s="13">
        <v>-3.2573796808719642E-2</v>
      </c>
      <c r="EH3" s="13">
        <v>-1.002400647848845E-2</v>
      </c>
      <c r="EI3" s="13">
        <v>6.7612059414386749E-2</v>
      </c>
      <c r="EJ3" s="13">
        <v>3.5830613225698471E-2</v>
      </c>
      <c r="EK3" s="13">
        <v>-5.9804715216159821E-2</v>
      </c>
      <c r="EL3" s="13">
        <v>2.2737292572855949E-2</v>
      </c>
    </row>
    <row r="4" spans="1:142" x14ac:dyDescent="0.55000000000000004">
      <c r="B4" s="11" t="s">
        <v>144</v>
      </c>
      <c r="C4" s="13">
        <v>3.870559623464942E-3</v>
      </c>
      <c r="D4" s="13">
        <v>3.5997677594423287E-2</v>
      </c>
      <c r="E4" s="13">
        <v>-0.11142420023679731</v>
      </c>
      <c r="F4" s="13">
        <v>-1.511961102485657</v>
      </c>
      <c r="G4" s="13">
        <v>7.4539490044116974E-2</v>
      </c>
      <c r="H4" s="13">
        <v>0.62969094514846802</v>
      </c>
      <c r="I4" s="13">
        <v>4.3178446590900421E-2</v>
      </c>
      <c r="J4" s="13">
        <v>-5.2701528184115887E-3</v>
      </c>
      <c r="K4" s="13">
        <v>-1.118321903049946E-3</v>
      </c>
      <c r="L4" s="13">
        <v>-3.4464197233319283E-4</v>
      </c>
      <c r="M4" s="13">
        <v>-0.12803715467453</v>
      </c>
      <c r="N4" s="13">
        <v>0.16350230574607849</v>
      </c>
      <c r="O4" s="13">
        <v>-0.39166867733001709</v>
      </c>
      <c r="P4" s="13">
        <v>-0.45486584305763239</v>
      </c>
      <c r="Q4" s="13">
        <v>0.1261937469244003</v>
      </c>
      <c r="R4" s="13">
        <v>-0.17681904137134549</v>
      </c>
      <c r="S4" s="13">
        <v>-9.9162831902503967E-3</v>
      </c>
      <c r="T4" s="13">
        <v>2.5436170399189E-3</v>
      </c>
      <c r="U4" s="13">
        <v>6.453724205493927E-2</v>
      </c>
      <c r="V4" s="13">
        <v>-3.6361385136842728E-2</v>
      </c>
      <c r="W4" s="13">
        <v>7.7482402324676514E-2</v>
      </c>
      <c r="X4" s="13">
        <v>-1.7221692949533459E-2</v>
      </c>
      <c r="Y4" s="13">
        <v>-1.864603161811829E-2</v>
      </c>
      <c r="Z4" s="13">
        <v>-0.18653327226638791</v>
      </c>
      <c r="AA4" s="13">
        <v>-2.604332938790321E-2</v>
      </c>
      <c r="AB4" s="13">
        <v>0.28902542591094971</v>
      </c>
      <c r="AC4" s="13">
        <v>-0.13324955105781561</v>
      </c>
      <c r="AD4" s="13">
        <v>-4.2806375771760941E-2</v>
      </c>
      <c r="AE4" s="13">
        <v>2.730310894548893E-2</v>
      </c>
      <c r="AF4" s="13">
        <v>2.961502410471439E-2</v>
      </c>
      <c r="AG4" s="13">
        <v>-0.40827155113220209</v>
      </c>
      <c r="AH4" s="13">
        <v>-7.5332457199692726E-3</v>
      </c>
      <c r="AI4" s="13">
        <v>0.37125641107559199</v>
      </c>
      <c r="AJ4" s="13">
        <v>1.168565034866333</v>
      </c>
      <c r="AK4" s="13">
        <v>-4.1843324899673462E-2</v>
      </c>
      <c r="AL4" s="13">
        <v>5.6198220700025558E-3</v>
      </c>
      <c r="AM4" s="13">
        <v>-0.58320993185043335</v>
      </c>
      <c r="AN4" s="13">
        <v>8.6559981107711792E-2</v>
      </c>
      <c r="AO4" s="13">
        <v>-9.455205500125885E-2</v>
      </c>
      <c r="AP4" s="13">
        <v>-0.13015337288379669</v>
      </c>
      <c r="AQ4" s="13">
        <v>-5.3906351327896118E-2</v>
      </c>
      <c r="AR4" s="13">
        <v>-3.9724178612232208E-2</v>
      </c>
      <c r="AS4" s="13">
        <v>0.54399585723876953</v>
      </c>
      <c r="AT4" s="13">
        <v>-0.15387266874313349</v>
      </c>
      <c r="AU4" s="13">
        <v>-1.002355813980103</v>
      </c>
      <c r="AV4" s="13">
        <v>2.1820170879364009</v>
      </c>
      <c r="AW4" s="13">
        <v>-6.6789425909519196E-2</v>
      </c>
      <c r="AX4" s="13">
        <v>-3.687971830368042E-2</v>
      </c>
      <c r="AY4" s="13">
        <v>2.3489251732826229E-2</v>
      </c>
      <c r="AZ4" s="13">
        <v>2.6092387735843658E-2</v>
      </c>
      <c r="BA4" s="13">
        <v>2.5396239012479779E-2</v>
      </c>
      <c r="BB4" s="13">
        <v>-3.444623202085495E-2</v>
      </c>
      <c r="BC4" s="13">
        <v>0.1192516833543777</v>
      </c>
      <c r="BD4" s="13">
        <v>-2.7703525498509411E-2</v>
      </c>
      <c r="BE4" s="13">
        <v>0.17723888158798221</v>
      </c>
      <c r="BF4" s="13">
        <v>-0.1383980214595795</v>
      </c>
      <c r="BG4" s="13">
        <v>-0.27680736780166632</v>
      </c>
      <c r="BH4" s="13">
        <v>-0.1097642481327057</v>
      </c>
      <c r="BI4" s="13">
        <v>7.485111802816391E-2</v>
      </c>
      <c r="BJ4" s="13">
        <v>-8.5500866174697876E-2</v>
      </c>
      <c r="BK4" s="13">
        <v>1.942132972180843E-2</v>
      </c>
      <c r="BL4" s="13">
        <v>1.4647886157035829E-2</v>
      </c>
      <c r="BM4" s="13">
        <v>-1.6077449545264241E-2</v>
      </c>
      <c r="BN4" s="13">
        <v>0.14325195550918579</v>
      </c>
      <c r="BO4" s="13">
        <v>-7.1398638188838959E-2</v>
      </c>
      <c r="BP4" s="13">
        <v>9.2564776539802551E-2</v>
      </c>
      <c r="BQ4" s="13">
        <v>0.1667363494634628</v>
      </c>
      <c r="BR4" s="13">
        <v>-8.0824065953493118E-3</v>
      </c>
      <c r="BS4" s="13">
        <v>5.3763664327561864E-3</v>
      </c>
      <c r="BT4" s="13">
        <v>6.2633641064167023E-2</v>
      </c>
      <c r="BU4" s="13">
        <v>-1.6029242426157001E-2</v>
      </c>
      <c r="BV4" s="13">
        <v>-4.8218529671430588E-2</v>
      </c>
      <c r="BW4" s="13">
        <v>0.13876631855964661</v>
      </c>
      <c r="BX4" s="13">
        <v>-4.1642323136329651E-2</v>
      </c>
      <c r="BY4" s="13">
        <v>-3.6687850952148438E-2</v>
      </c>
      <c r="BZ4" s="13">
        <v>-6.5445929765701294E-2</v>
      </c>
      <c r="CA4" s="13">
        <v>-4.3612170964479453E-2</v>
      </c>
      <c r="CB4" s="13">
        <v>-1.8295582383871078E-2</v>
      </c>
      <c r="CC4" s="13">
        <v>-5.329618975520134E-2</v>
      </c>
      <c r="CD4" s="13">
        <v>7.70769864320755E-2</v>
      </c>
      <c r="CE4" s="13">
        <v>-8.4981024265289307E-2</v>
      </c>
      <c r="CF4" s="13">
        <v>-5.095333606004715E-2</v>
      </c>
      <c r="CG4" s="13">
        <v>0.31693470478057861</v>
      </c>
      <c r="CH4" s="13">
        <v>-8.0266706645488739E-2</v>
      </c>
      <c r="CI4" s="13">
        <v>1.7374251037836071E-2</v>
      </c>
      <c r="CJ4" s="13">
        <v>-8.8597118854522705E-2</v>
      </c>
      <c r="CK4" s="13">
        <v>1.151612680405378E-2</v>
      </c>
      <c r="CL4" s="13">
        <v>-4.5895207673311227E-2</v>
      </c>
      <c r="CM4" s="13">
        <v>6.536266952753067E-2</v>
      </c>
      <c r="CN4" s="13">
        <v>-3.100208193063736E-2</v>
      </c>
      <c r="CO4" s="13">
        <v>3.4829422831535339E-2</v>
      </c>
      <c r="CP4" s="13">
        <v>3.6704540252685552E-4</v>
      </c>
      <c r="CQ4" s="13">
        <v>1.010782830417156E-2</v>
      </c>
      <c r="CR4" s="13">
        <v>-0.1028320267796516</v>
      </c>
      <c r="CS4" s="13">
        <v>-5.6077510118484497E-2</v>
      </c>
      <c r="CT4" s="13">
        <v>-3.8787499070167542E-3</v>
      </c>
      <c r="CU4" s="13">
        <v>0.13234809041023249</v>
      </c>
      <c r="CV4" s="13">
        <v>0.10563398152589799</v>
      </c>
      <c r="CW4" s="13">
        <v>-8.7821513414382935E-2</v>
      </c>
      <c r="CX4" s="13">
        <v>7.1240111719816923E-4</v>
      </c>
      <c r="CY4" s="13">
        <v>0.36373773217201227</v>
      </c>
      <c r="CZ4" s="13">
        <v>-4.8349485732614994E-3</v>
      </c>
      <c r="DA4" s="13">
        <v>-8.3424828946590424E-2</v>
      </c>
      <c r="DB4" s="13">
        <v>-5.1979310810565948E-2</v>
      </c>
      <c r="DC4" s="13">
        <v>0.25393012166023249</v>
      </c>
      <c r="DD4" s="13">
        <v>-4.378100112080574E-2</v>
      </c>
      <c r="DE4" s="13">
        <v>-3.2883144449442629E-3</v>
      </c>
      <c r="DF4" s="13">
        <v>-4.7095447778701782E-2</v>
      </c>
      <c r="DG4" s="13">
        <v>-3.4358881413936608E-2</v>
      </c>
      <c r="DH4" s="13">
        <v>-2.17919647693634E-2</v>
      </c>
      <c r="DI4" s="13">
        <v>-4.2925726622343063E-2</v>
      </c>
      <c r="DJ4" s="13">
        <v>-1.0490339249372481E-2</v>
      </c>
      <c r="DK4" s="13">
        <v>0.22539284825325009</v>
      </c>
      <c r="DL4" s="13">
        <v>0.53151315450668335</v>
      </c>
      <c r="DM4" s="13">
        <v>-0.12688970565795901</v>
      </c>
      <c r="DN4" s="13">
        <v>-0.20791251957416529</v>
      </c>
      <c r="DO4" s="13">
        <v>4.3841160833835602E-2</v>
      </c>
      <c r="DP4" s="13">
        <v>-3.2787293195724487E-2</v>
      </c>
      <c r="DQ4" s="13">
        <v>4.3555703014135361E-2</v>
      </c>
      <c r="DR4" s="13">
        <v>3.419225662946701E-2</v>
      </c>
      <c r="DS4" s="13">
        <v>-2.9718950390815731E-2</v>
      </c>
      <c r="DT4" s="13">
        <v>2.568194642663002E-3</v>
      </c>
      <c r="DU4" s="13">
        <v>1.695318147540092E-3</v>
      </c>
      <c r="DV4" s="13">
        <v>-5.6332360953092582E-2</v>
      </c>
      <c r="DW4" s="13">
        <v>-3.6220617592334747E-2</v>
      </c>
      <c r="DX4" s="13">
        <v>-2.1964039653539661E-2</v>
      </c>
      <c r="DY4" s="13">
        <v>-6.252395361661911E-2</v>
      </c>
      <c r="DZ4" s="13">
        <v>-0.11916419863700869</v>
      </c>
      <c r="EA4" s="13">
        <v>-5.2916932851076133E-2</v>
      </c>
      <c r="EB4" s="13">
        <v>-4.9353361129760742E-2</v>
      </c>
      <c r="EC4" s="13">
        <v>-5.4525550454854972E-2</v>
      </c>
      <c r="ED4" s="13">
        <v>-0.14734306931495669</v>
      </c>
      <c r="EE4" s="13">
        <v>0.49940222501754761</v>
      </c>
      <c r="EF4" s="13">
        <v>7.0188522338867188E-2</v>
      </c>
      <c r="EG4" s="13">
        <v>-6.0505442321300507E-2</v>
      </c>
      <c r="EH4" s="13">
        <v>-3.9344668388366699E-2</v>
      </c>
      <c r="EI4" s="13">
        <v>-5.205858126282692E-2</v>
      </c>
      <c r="EJ4" s="13">
        <v>-2.626714296638966E-2</v>
      </c>
      <c r="EK4" s="13">
        <v>-3.1529854983091347E-2</v>
      </c>
      <c r="EL4" s="13">
        <v>-4.7431431710720062E-2</v>
      </c>
    </row>
    <row r="5" spans="1:142" x14ac:dyDescent="0.55000000000000004">
      <c r="B5" s="14" t="s">
        <v>145</v>
      </c>
      <c r="C5" s="13">
        <v>0.15728221833705899</v>
      </c>
      <c r="D5" s="13">
        <v>-9.360792487859726E-2</v>
      </c>
      <c r="E5" s="13">
        <v>4.7210998833179467E-2</v>
      </c>
      <c r="F5" s="13">
        <v>-0.70836770534515381</v>
      </c>
      <c r="G5" s="13">
        <v>3.882811963558197E-2</v>
      </c>
      <c r="H5" s="13">
        <v>0.1067815870046616</v>
      </c>
      <c r="I5" s="13">
        <v>-6.3020594418048859E-2</v>
      </c>
      <c r="J5" s="13">
        <v>0.25328341126441961</v>
      </c>
      <c r="K5" s="13">
        <v>-0.21305651962757111</v>
      </c>
      <c r="L5" s="13">
        <v>-1.068534329533577E-4</v>
      </c>
      <c r="M5" s="13">
        <v>3.7173189222812653E-2</v>
      </c>
      <c r="N5" s="13">
        <v>-2.4056751281023029E-2</v>
      </c>
      <c r="O5" s="13">
        <v>-0.2088502049446106</v>
      </c>
      <c r="P5" s="13">
        <v>-1.7341554164886471E-2</v>
      </c>
      <c r="Q5" s="13">
        <v>3.9374515414237983E-2</v>
      </c>
      <c r="R5" s="13">
        <v>0.25330221652984619</v>
      </c>
      <c r="S5" s="13">
        <v>-1.55029334127903E-2</v>
      </c>
      <c r="T5" s="13">
        <v>2.128894254565239E-2</v>
      </c>
      <c r="U5" s="13">
        <v>5.9901822358369827E-2</v>
      </c>
      <c r="V5" s="13">
        <v>1.8060449510812759E-2</v>
      </c>
      <c r="W5" s="13">
        <v>2.2303810343146321E-2</v>
      </c>
      <c r="X5" s="13">
        <v>1.35560529306531E-2</v>
      </c>
      <c r="Y5" s="13">
        <v>0.1066936030983925</v>
      </c>
      <c r="Z5" s="13">
        <v>-5.3154490888118744E-3</v>
      </c>
      <c r="AA5" s="13">
        <v>5.6201256811618798E-2</v>
      </c>
      <c r="AB5" s="13">
        <v>4.4481209479272374E-3</v>
      </c>
      <c r="AC5" s="13">
        <v>3.8542207330465317E-2</v>
      </c>
      <c r="AD5" s="13">
        <v>-9.2996269464492798E-2</v>
      </c>
      <c r="AE5" s="13">
        <v>-5.3630407899618149E-2</v>
      </c>
      <c r="AF5" s="13">
        <v>-2.3201905190944672E-2</v>
      </c>
      <c r="AG5" s="13">
        <v>-1.5007982030510901E-2</v>
      </c>
      <c r="AH5" s="13">
        <v>-0.1727122962474823</v>
      </c>
      <c r="AI5" s="13">
        <v>-4.985230416059494E-2</v>
      </c>
      <c r="AJ5" s="13">
        <v>-2.5916256010532379E-2</v>
      </c>
      <c r="AK5" s="13">
        <v>-7.142871618270874E-2</v>
      </c>
      <c r="AL5" s="13">
        <v>-7.443651556968689E-2</v>
      </c>
      <c r="AM5" s="13">
        <v>1.7243715701624749E-3</v>
      </c>
      <c r="AN5" s="13">
        <v>1.0147985070943831E-2</v>
      </c>
      <c r="AO5" s="13">
        <v>-3.4368205815553672E-2</v>
      </c>
      <c r="AP5" s="13">
        <v>4.3309431523084641E-2</v>
      </c>
      <c r="AQ5" s="13">
        <v>3.1201960518956181E-2</v>
      </c>
      <c r="AR5" s="13">
        <v>4.1792314499616623E-2</v>
      </c>
      <c r="AS5" s="13">
        <v>2.7980707585811612E-2</v>
      </c>
      <c r="AT5" s="13">
        <v>4.3570663779973977E-2</v>
      </c>
      <c r="AU5" s="13">
        <v>-6.0129731893539429E-2</v>
      </c>
      <c r="AV5" s="13">
        <v>5.8778803795576103E-2</v>
      </c>
      <c r="AW5" s="13">
        <v>-1.421161182224751E-2</v>
      </c>
      <c r="AX5" s="13">
        <v>3.5558942705392838E-2</v>
      </c>
      <c r="AY5" s="13">
        <v>-5.2718911319971076E-3</v>
      </c>
      <c r="AZ5" s="13">
        <v>0.20549611747264859</v>
      </c>
      <c r="BA5" s="13">
        <v>-5.8955032378435128E-2</v>
      </c>
      <c r="BB5" s="13">
        <v>1.978259906172752E-2</v>
      </c>
      <c r="BC5" s="13">
        <v>-5.2128564566373834E-3</v>
      </c>
      <c r="BD5" s="13">
        <v>1.5692710876464839E-3</v>
      </c>
      <c r="BE5" s="13">
        <v>6.6211316734552383E-3</v>
      </c>
      <c r="BF5" s="13">
        <v>-3.4770134836435318E-2</v>
      </c>
      <c r="BG5" s="13">
        <v>3.2832425087690353E-2</v>
      </c>
      <c r="BH5" s="13">
        <v>7.9831413924694061E-2</v>
      </c>
      <c r="BI5" s="13">
        <v>3.5669207572937012E-2</v>
      </c>
      <c r="BJ5" s="13">
        <v>-0.14304828643798831</v>
      </c>
      <c r="BK5" s="13">
        <v>-7.9762917011976242E-3</v>
      </c>
      <c r="BL5" s="13">
        <v>-2.2237086668610569E-2</v>
      </c>
      <c r="BM5" s="13">
        <v>-2.1434292197227481E-2</v>
      </c>
      <c r="BN5" s="13">
        <v>4.2074248194694519E-2</v>
      </c>
      <c r="BO5" s="13">
        <v>-4.8225275240838528E-3</v>
      </c>
      <c r="BP5" s="13">
        <v>0.19304460287094119</v>
      </c>
      <c r="BQ5" s="13">
        <v>-1.588580384850502E-2</v>
      </c>
      <c r="BR5" s="13">
        <v>4.7026313841342933E-2</v>
      </c>
      <c r="BS5" s="13">
        <v>-2.108896616846323E-3</v>
      </c>
      <c r="BT5" s="13">
        <v>7.1017861366271973E-2</v>
      </c>
      <c r="BU5" s="13">
        <v>1.4510871842503549E-2</v>
      </c>
      <c r="BV5" s="13">
        <v>-1.5541463159024721E-2</v>
      </c>
      <c r="BW5" s="13">
        <v>2.151111513376236E-2</v>
      </c>
      <c r="BX5" s="13">
        <v>5.2462355233728886E-4</v>
      </c>
      <c r="BY5" s="13">
        <v>1.4051110483705999E-2</v>
      </c>
      <c r="BZ5" s="13">
        <v>1.994649134576321E-2</v>
      </c>
      <c r="CA5" s="13">
        <v>6.0863859951496117E-2</v>
      </c>
      <c r="CB5" s="13">
        <v>-1.1056241579353809E-2</v>
      </c>
      <c r="CC5" s="13">
        <v>-1.7598947510123249E-2</v>
      </c>
      <c r="CD5" s="13">
        <v>-0.27556115388870239</v>
      </c>
      <c r="CE5" s="13">
        <v>1.9525907933712009E-2</v>
      </c>
      <c r="CF5" s="13">
        <v>1.444989629089832E-2</v>
      </c>
      <c r="CG5" s="13">
        <v>1.1521061882376671E-2</v>
      </c>
      <c r="CH5" s="13">
        <v>1.7888244241476059E-2</v>
      </c>
      <c r="CI5" s="13">
        <v>-3.4701935946941383E-2</v>
      </c>
      <c r="CJ5" s="13">
        <v>7.8718312084674835E-2</v>
      </c>
      <c r="CK5" s="13">
        <v>-9.0738311409950256E-3</v>
      </c>
      <c r="CL5" s="13">
        <v>7.3401955887675294E-3</v>
      </c>
      <c r="CM5" s="13">
        <v>3.0147809535264969E-2</v>
      </c>
      <c r="CN5" s="13">
        <v>-2.0948931574821469E-2</v>
      </c>
      <c r="CO5" s="13">
        <v>1.099514123052359E-2</v>
      </c>
      <c r="CP5" s="13">
        <v>3.048352338373661E-2</v>
      </c>
      <c r="CQ5" s="13">
        <v>1.575024425983429E-2</v>
      </c>
      <c r="CR5" s="13">
        <v>4.3309997767210007E-2</v>
      </c>
      <c r="CS5" s="13">
        <v>-7.0295911282300949E-3</v>
      </c>
      <c r="CT5" s="13">
        <v>-0.20210836827754969</v>
      </c>
      <c r="CU5" s="13">
        <v>5.5134397000074387E-2</v>
      </c>
      <c r="CV5" s="13">
        <v>-7.7904406934976578E-3</v>
      </c>
      <c r="CW5" s="13">
        <v>4.712243378162384E-2</v>
      </c>
      <c r="CX5" s="13">
        <v>2.407862804830074E-2</v>
      </c>
      <c r="CY5" s="13">
        <v>3.9282910525798798E-2</v>
      </c>
      <c r="CZ5" s="13">
        <v>2.5767353363335128E-3</v>
      </c>
      <c r="DA5" s="13">
        <v>-9.331473708152771E-2</v>
      </c>
      <c r="DB5" s="13">
        <v>2.7354532852768901E-2</v>
      </c>
      <c r="DC5" s="13">
        <v>-8.8319713249802589E-3</v>
      </c>
      <c r="DD5" s="13">
        <v>1.1949365027248859E-2</v>
      </c>
      <c r="DE5" s="13">
        <v>0.153162956237793</v>
      </c>
      <c r="DF5" s="13">
        <v>-0.1304758936166763</v>
      </c>
      <c r="DG5" s="13">
        <v>7.8797116875648499E-2</v>
      </c>
      <c r="DH5" s="13">
        <v>-3.4067621454596519E-3</v>
      </c>
      <c r="DI5" s="13">
        <v>-3.4042172133922577E-2</v>
      </c>
      <c r="DJ5" s="13">
        <v>1.7224639654159549E-2</v>
      </c>
      <c r="DK5" s="13">
        <v>-6.0201231390237808E-2</v>
      </c>
      <c r="DL5" s="13">
        <v>1.9497528672218319E-2</v>
      </c>
      <c r="DM5" s="13">
        <v>3.1447045505046838E-2</v>
      </c>
      <c r="DN5" s="13">
        <v>-1.072731986641884E-2</v>
      </c>
      <c r="DO5" s="13">
        <v>-9.3603963032364845E-3</v>
      </c>
      <c r="DP5" s="13">
        <v>1.4958190731704239E-3</v>
      </c>
      <c r="DQ5" s="13">
        <v>-1.0305615141987801E-2</v>
      </c>
      <c r="DR5" s="13">
        <v>-2.3077009245753292E-5</v>
      </c>
      <c r="DS5" s="13">
        <v>2.5312235578894619E-2</v>
      </c>
      <c r="DT5" s="13">
        <v>-5.9307925403118134E-3</v>
      </c>
      <c r="DU5" s="13">
        <v>-2.1439030766487122E-2</v>
      </c>
      <c r="DV5" s="13">
        <v>-6.631581112742424E-3</v>
      </c>
      <c r="DW5" s="13">
        <v>2.2088773548603058E-3</v>
      </c>
      <c r="DX5" s="13">
        <v>2.426446974277496E-2</v>
      </c>
      <c r="DY5" s="13">
        <v>-4.4387592934072018E-3</v>
      </c>
      <c r="DZ5" s="13">
        <v>-4.3286606669425956E-3</v>
      </c>
      <c r="EA5" s="13">
        <v>4.393279179930687E-2</v>
      </c>
      <c r="EB5" s="13">
        <v>4.3056784197688103E-3</v>
      </c>
      <c r="EC5" s="13">
        <v>1.4913066290318969E-2</v>
      </c>
      <c r="ED5" s="13">
        <v>3.3056620508432388E-2</v>
      </c>
      <c r="EE5" s="13">
        <v>-0.13893654942512509</v>
      </c>
      <c r="EF5" s="13">
        <v>2.2550139576196671E-2</v>
      </c>
      <c r="EG5" s="13">
        <v>3.9826378226280212E-2</v>
      </c>
      <c r="EH5" s="13">
        <v>-1.786313392221928E-2</v>
      </c>
      <c r="EI5" s="13">
        <v>-1.311898604035378E-2</v>
      </c>
      <c r="EJ5" s="13">
        <v>-1.775002107024193E-3</v>
      </c>
      <c r="EK5" s="13">
        <v>-1.7223425209522251E-2</v>
      </c>
      <c r="EL5" s="13">
        <v>-2.6442604139447209E-2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x14ac:dyDescent="0.55000000000000004">
      <c r="A13" s="12" t="s">
        <v>291</v>
      </c>
      <c r="B13" s="11" t="s">
        <v>143</v>
      </c>
      <c r="C13" s="12">
        <f t="shared" ref="C13:AH13" si="0">(C3-C9)^2</f>
        <v>2.6230735915162046E-3</v>
      </c>
      <c r="D13" s="12">
        <f t="shared" si="0"/>
        <v>5.0789607241834055E-3</v>
      </c>
      <c r="E13" s="12">
        <f t="shared" si="0"/>
        <v>9.6186708443445296E-4</v>
      </c>
      <c r="F13" s="12">
        <f t="shared" si="0"/>
        <v>1.2581148925172057E-2</v>
      </c>
      <c r="G13" s="12">
        <f t="shared" si="0"/>
        <v>3.5383979030545578E-3</v>
      </c>
      <c r="H13" s="12">
        <f t="shared" si="0"/>
        <v>3.5042834540623065E-4</v>
      </c>
      <c r="I13" s="12">
        <f t="shared" si="0"/>
        <v>2.3042700214723773E-2</v>
      </c>
      <c r="J13" s="12">
        <f t="shared" si="0"/>
        <v>1.0332465922797207E-4</v>
      </c>
      <c r="K13" s="12">
        <f t="shared" si="0"/>
        <v>3.1563556578048284E-3</v>
      </c>
      <c r="L13" s="12">
        <f t="shared" si="0"/>
        <v>0.16203716394248868</v>
      </c>
      <c r="M13" s="12">
        <f t="shared" si="0"/>
        <v>1.0142501191468676E-2</v>
      </c>
      <c r="N13" s="12">
        <f t="shared" si="0"/>
        <v>6.0923916497511756E-3</v>
      </c>
      <c r="O13" s="12">
        <f t="shared" si="0"/>
        <v>7.4104976250802639E-3</v>
      </c>
      <c r="P13" s="12">
        <f t="shared" si="0"/>
        <v>2.441295430453001E-4</v>
      </c>
      <c r="Q13" s="12">
        <f t="shared" si="0"/>
        <v>5.9677094299715105E-3</v>
      </c>
      <c r="R13" s="12">
        <f t="shared" si="0"/>
        <v>4.2161673097464453E-3</v>
      </c>
      <c r="S13" s="12">
        <f t="shared" si="0"/>
        <v>1.741378634281384E-2</v>
      </c>
      <c r="T13" s="12">
        <f t="shared" si="0"/>
        <v>2.6402237912115739E-2</v>
      </c>
      <c r="U13" s="12">
        <f t="shared" si="0"/>
        <v>4.9772766954971114E-5</v>
      </c>
      <c r="V13" s="12">
        <f t="shared" si="0"/>
        <v>2.1486224347849553E-2</v>
      </c>
      <c r="W13" s="12">
        <f t="shared" si="0"/>
        <v>1.1567372478449793E-2</v>
      </c>
      <c r="X13" s="12">
        <f t="shared" si="0"/>
        <v>2.1043818568755937E-2</v>
      </c>
      <c r="Y13" s="12">
        <f t="shared" si="0"/>
        <v>4.1965317278053416E-2</v>
      </c>
      <c r="Z13" s="12">
        <f t="shared" si="0"/>
        <v>3.2542843517397967E-2</v>
      </c>
      <c r="AA13" s="12">
        <f t="shared" si="0"/>
        <v>2.3635419657010135E-2</v>
      </c>
      <c r="AB13" s="12">
        <f t="shared" si="0"/>
        <v>4.9082301297449756E-3</v>
      </c>
      <c r="AC13" s="12">
        <f t="shared" si="0"/>
        <v>1.110671783212489E-2</v>
      </c>
      <c r="AD13" s="12">
        <f t="shared" si="0"/>
        <v>6.3728486847089965E-3</v>
      </c>
      <c r="AE13" s="12">
        <f t="shared" si="0"/>
        <v>3.2184708869609044E-2</v>
      </c>
      <c r="AF13" s="12">
        <f t="shared" si="0"/>
        <v>3.2033813043488596E-2</v>
      </c>
      <c r="AG13" s="12">
        <f t="shared" si="0"/>
        <v>4.508602541100433E-2</v>
      </c>
      <c r="AH13" s="12">
        <f t="shared" si="0"/>
        <v>1.3345849663572611E-3</v>
      </c>
      <c r="AI13" s="12">
        <f t="shared" ref="AI13:BN13" si="1">(AI3-AI9)^2</f>
        <v>3.8504191112700596E-4</v>
      </c>
      <c r="AJ13" s="12">
        <f t="shared" si="1"/>
        <v>3.2381391005776528E-2</v>
      </c>
      <c r="AK13" s="12">
        <f t="shared" si="1"/>
        <v>4.6211115334085631E-2</v>
      </c>
      <c r="AL13" s="12">
        <f t="shared" si="1"/>
        <v>4.474981405555657E-3</v>
      </c>
      <c r="AM13" s="12">
        <f t="shared" si="1"/>
        <v>1.8561393795703367E-2</v>
      </c>
      <c r="AN13" s="12">
        <f t="shared" si="1"/>
        <v>9.8581488525596797E-3</v>
      </c>
      <c r="AO13" s="12">
        <f t="shared" si="1"/>
        <v>1.7746656195901454E-3</v>
      </c>
      <c r="AP13" s="12">
        <f t="shared" si="1"/>
        <v>4.6577321306308796E-2</v>
      </c>
      <c r="AQ13" s="12">
        <f t="shared" si="1"/>
        <v>3.466601824665442E-3</v>
      </c>
      <c r="AR13" s="12">
        <f t="shared" si="1"/>
        <v>1.1455030504574365E-4</v>
      </c>
      <c r="AS13" s="12">
        <f t="shared" si="1"/>
        <v>4.9316327212283915E-4</v>
      </c>
      <c r="AT13" s="12">
        <f t="shared" si="1"/>
        <v>1.1395252397626197E-3</v>
      </c>
      <c r="AU13" s="12">
        <f t="shared" si="1"/>
        <v>1.2688632150559967E-4</v>
      </c>
      <c r="AV13" s="12">
        <f t="shared" si="1"/>
        <v>5.2816357885957293E-3</v>
      </c>
      <c r="AW13" s="12">
        <f t="shared" si="1"/>
        <v>5.3213219174386966E-3</v>
      </c>
      <c r="AX13" s="12">
        <f t="shared" si="1"/>
        <v>2.1461097211834972E-2</v>
      </c>
      <c r="AY13" s="12">
        <f t="shared" si="1"/>
        <v>4.5138317057037622E-3</v>
      </c>
      <c r="AZ13" s="12">
        <f t="shared" si="1"/>
        <v>3.6001507837870859E-3</v>
      </c>
      <c r="BA13" s="12">
        <f t="shared" si="1"/>
        <v>1.0388878294117759E-5</v>
      </c>
      <c r="BB13" s="12">
        <f t="shared" si="1"/>
        <v>3.9863048315203148E-3</v>
      </c>
      <c r="BC13" s="12">
        <f t="shared" si="1"/>
        <v>5.4700381587492112E-4</v>
      </c>
      <c r="BD13" s="12">
        <f t="shared" si="1"/>
        <v>3.9257073371175644E-3</v>
      </c>
      <c r="BE13" s="12">
        <f t="shared" si="1"/>
        <v>1.3345206761416532E-2</v>
      </c>
      <c r="BF13" s="12">
        <f t="shared" si="1"/>
        <v>1.2769469312766797E-2</v>
      </c>
      <c r="BG13" s="12">
        <f t="shared" si="1"/>
        <v>1.7335802680075056E-2</v>
      </c>
      <c r="BH13" s="12">
        <f t="shared" si="1"/>
        <v>6.6013397192482655E-3</v>
      </c>
      <c r="BI13" s="12">
        <f t="shared" si="1"/>
        <v>3.532571315896683E-4</v>
      </c>
      <c r="BJ13" s="12">
        <f t="shared" si="1"/>
        <v>9.7603241015797035E-4</v>
      </c>
      <c r="BK13" s="12">
        <f t="shared" si="1"/>
        <v>3.4425111453160233E-2</v>
      </c>
      <c r="BL13" s="12">
        <f t="shared" si="1"/>
        <v>1.6883329478048291E-2</v>
      </c>
      <c r="BM13" s="12">
        <f t="shared" si="1"/>
        <v>1.4237363299518605E-4</v>
      </c>
      <c r="BN13" s="12">
        <f t="shared" si="1"/>
        <v>1.9076850376513739E-3</v>
      </c>
      <c r="BO13" s="12">
        <f t="shared" ref="BO13:CT13" si="2">(BO3-BO9)^2</f>
        <v>6.8263375431544266E-4</v>
      </c>
      <c r="BP13" s="12">
        <f t="shared" si="2"/>
        <v>3.2051636157807139E-5</v>
      </c>
      <c r="BQ13" s="12">
        <f t="shared" si="2"/>
        <v>1.8638522333150212E-3</v>
      </c>
      <c r="BR13" s="12">
        <f t="shared" si="2"/>
        <v>1.9127822200639355E-2</v>
      </c>
      <c r="BS13" s="12">
        <f t="shared" si="2"/>
        <v>6.5048214965409239E-3</v>
      </c>
      <c r="BT13" s="12">
        <f t="shared" si="2"/>
        <v>1.0192957176004872E-3</v>
      </c>
      <c r="BU13" s="12">
        <f t="shared" si="2"/>
        <v>2.8248600632068128E-3</v>
      </c>
      <c r="BV13" s="12">
        <f t="shared" si="2"/>
        <v>1.4982711265461547E-3</v>
      </c>
      <c r="BW13" s="12">
        <f t="shared" si="2"/>
        <v>2.9588985925119442E-4</v>
      </c>
      <c r="BX13" s="12">
        <f t="shared" si="2"/>
        <v>2.9811924237584651E-3</v>
      </c>
      <c r="BY13" s="12">
        <f t="shared" si="2"/>
        <v>1.4331054735043576E-2</v>
      </c>
      <c r="BZ13" s="12">
        <f t="shared" si="2"/>
        <v>3.2415847380760915E-4</v>
      </c>
      <c r="CA13" s="12">
        <f t="shared" si="2"/>
        <v>2.5693366060074829E-2</v>
      </c>
      <c r="CB13" s="12">
        <f t="shared" si="2"/>
        <v>3.0858486331672974E-6</v>
      </c>
      <c r="CC13" s="12">
        <f t="shared" si="2"/>
        <v>1.7511468101141087E-4</v>
      </c>
      <c r="CD13" s="12">
        <f t="shared" si="2"/>
        <v>1.3192149820235262E-2</v>
      </c>
      <c r="CE13" s="12">
        <f t="shared" si="2"/>
        <v>1.9928092242294771E-4</v>
      </c>
      <c r="CF13" s="12">
        <f t="shared" si="2"/>
        <v>1.4936615046187455E-3</v>
      </c>
      <c r="CG13" s="12">
        <f t="shared" si="2"/>
        <v>1.7597511317943033E-3</v>
      </c>
      <c r="CH13" s="12">
        <f t="shared" si="2"/>
        <v>6.4732818977973486E-4</v>
      </c>
      <c r="CI13" s="12">
        <f t="shared" si="2"/>
        <v>2.5448960892829027E-6</v>
      </c>
      <c r="CJ13" s="12">
        <f t="shared" si="2"/>
        <v>9.0784709820386771E-4</v>
      </c>
      <c r="CK13" s="12">
        <f t="shared" si="2"/>
        <v>5.1244123251601413E-4</v>
      </c>
      <c r="CL13" s="12">
        <f t="shared" si="2"/>
        <v>9.1085684055488447E-2</v>
      </c>
      <c r="CM13" s="12">
        <f t="shared" si="2"/>
        <v>4.5495368603706478E-3</v>
      </c>
      <c r="CN13" s="12">
        <f t="shared" si="2"/>
        <v>7.6664434806453102E-3</v>
      </c>
      <c r="CO13" s="12">
        <f t="shared" si="2"/>
        <v>5.9971004510385072E-5</v>
      </c>
      <c r="CP13" s="12">
        <f t="shared" si="2"/>
        <v>5.4482999161458E-3</v>
      </c>
      <c r="CQ13" s="12">
        <f t="shared" si="2"/>
        <v>1.9199146131519039E-2</v>
      </c>
      <c r="CR13" s="12">
        <f t="shared" si="2"/>
        <v>4.608540226922888E-3</v>
      </c>
      <c r="CS13" s="12">
        <f t="shared" si="2"/>
        <v>8.9852204179143146E-3</v>
      </c>
      <c r="CT13" s="12">
        <f t="shared" si="2"/>
        <v>7.4900145559468126E-3</v>
      </c>
      <c r="CU13" s="12">
        <f t="shared" ref="CU13:DZ13" si="3">(CU3-CU9)^2</f>
        <v>1.2313153717450861E-2</v>
      </c>
      <c r="CV13" s="12">
        <f t="shared" si="3"/>
        <v>1.1096188086723545E-2</v>
      </c>
      <c r="CW13" s="12">
        <f t="shared" si="3"/>
        <v>2.8270420612974695E-4</v>
      </c>
      <c r="CX13" s="12">
        <f t="shared" si="3"/>
        <v>2.8543814432502205E-2</v>
      </c>
      <c r="CY13" s="12">
        <f t="shared" si="3"/>
        <v>1.5392033092910856E-2</v>
      </c>
      <c r="CZ13" s="12">
        <f t="shared" si="3"/>
        <v>3.1130265571486276E-2</v>
      </c>
      <c r="DA13" s="12">
        <f t="shared" si="3"/>
        <v>2.9229758925765508E-3</v>
      </c>
      <c r="DB13" s="12">
        <f t="shared" si="3"/>
        <v>4.0477007000296612E-2</v>
      </c>
      <c r="DC13" s="12">
        <f t="shared" si="3"/>
        <v>1.1460573175019768E-5</v>
      </c>
      <c r="DD13" s="12">
        <f t="shared" si="3"/>
        <v>3.7235692304248507E-4</v>
      </c>
      <c r="DE13" s="12">
        <f t="shared" si="3"/>
        <v>5.5588928655413627E-3</v>
      </c>
      <c r="DF13" s="12">
        <f t="shared" si="3"/>
        <v>3.4501737853008014E-4</v>
      </c>
      <c r="DG13" s="12">
        <f t="shared" si="3"/>
        <v>1.8231465330828367E-2</v>
      </c>
      <c r="DH13" s="12">
        <f t="shared" si="3"/>
        <v>1.6625969903877989E-4</v>
      </c>
      <c r="DI13" s="12">
        <f t="shared" si="3"/>
        <v>3.6606314640365137E-2</v>
      </c>
      <c r="DJ13" s="12">
        <f t="shared" si="3"/>
        <v>4.2282235584025678E-3</v>
      </c>
      <c r="DK13" s="12">
        <f t="shared" si="3"/>
        <v>4.3575311062981513E-3</v>
      </c>
      <c r="DL13" s="12">
        <f t="shared" si="3"/>
        <v>5.1649165054213665E-3</v>
      </c>
      <c r="DM13" s="12">
        <f t="shared" si="3"/>
        <v>6.2519159657895128E-3</v>
      </c>
      <c r="DN13" s="12">
        <f t="shared" si="3"/>
        <v>4.0762138418280443E-3</v>
      </c>
      <c r="DO13" s="12">
        <f t="shared" si="3"/>
        <v>6.1517579955101829E-3</v>
      </c>
      <c r="DP13" s="12">
        <f t="shared" si="3"/>
        <v>1.0060545887108115E-2</v>
      </c>
      <c r="DQ13" s="12">
        <f t="shared" si="3"/>
        <v>1.5996293166003612E-2</v>
      </c>
      <c r="DR13" s="12">
        <f t="shared" si="3"/>
        <v>9.7174673906947511E-4</v>
      </c>
      <c r="DS13" s="12">
        <f t="shared" si="3"/>
        <v>5.9697758344015128E-4</v>
      </c>
      <c r="DT13" s="12">
        <f t="shared" si="3"/>
        <v>1.5405750804965068E-2</v>
      </c>
      <c r="DU13" s="12">
        <f t="shared" si="3"/>
        <v>1.5306038631284922E-3</v>
      </c>
      <c r="DV13" s="12">
        <f t="shared" si="3"/>
        <v>2.4433999741603481E-2</v>
      </c>
      <c r="DW13" s="12">
        <f t="shared" si="3"/>
        <v>2.6132936784829222E-3</v>
      </c>
      <c r="DX13" s="12">
        <f t="shared" si="3"/>
        <v>2.1614125840781873E-2</v>
      </c>
      <c r="DY13" s="12">
        <f t="shared" si="3"/>
        <v>1.4861675429551255E-2</v>
      </c>
      <c r="DZ13" s="12">
        <f t="shared" si="3"/>
        <v>7.8549466204144505E-3</v>
      </c>
      <c r="EA13" s="12">
        <f t="shared" ref="EA13:EL13" si="4">(EA3-EA9)^2</f>
        <v>5.2566676974863905E-2</v>
      </c>
      <c r="EB13" s="12">
        <f t="shared" si="4"/>
        <v>3.4422048659652035E-5</v>
      </c>
      <c r="EC13" s="12">
        <f t="shared" si="4"/>
        <v>2.8585136609311432E-3</v>
      </c>
      <c r="ED13" s="12">
        <f t="shared" si="4"/>
        <v>1.072522479836472E-2</v>
      </c>
      <c r="EE13" s="12">
        <f t="shared" si="4"/>
        <v>1.9249431007223698E-3</v>
      </c>
      <c r="EF13" s="12">
        <f t="shared" si="4"/>
        <v>1.1036858123727176E-2</v>
      </c>
      <c r="EG13" s="12">
        <f t="shared" si="4"/>
        <v>4.3383972108432756E-2</v>
      </c>
      <c r="EH13" s="12">
        <f t="shared" si="4"/>
        <v>1.6575281898542934E-3</v>
      </c>
      <c r="EI13" s="12">
        <f t="shared" si="4"/>
        <v>1.0118696943821984E-2</v>
      </c>
      <c r="EJ13" s="12">
        <f t="shared" si="4"/>
        <v>4.4480461114281306E-2</v>
      </c>
      <c r="EK13" s="12">
        <f t="shared" si="4"/>
        <v>1.8362431113246157E-2</v>
      </c>
      <c r="EL13" s="12">
        <f t="shared" si="4"/>
        <v>1.8008574824945306E-2</v>
      </c>
    </row>
    <row r="14" spans="1:142" x14ac:dyDescent="0.55000000000000004">
      <c r="B14" s="11" t="s">
        <v>144</v>
      </c>
      <c r="C14" s="12">
        <f t="shared" ref="C14:AH14" si="5">(C4-C10)^2</f>
        <v>7.2654838122081705E-2</v>
      </c>
      <c r="D14" s="12">
        <f t="shared" si="5"/>
        <v>8.9247677297522143E-2</v>
      </c>
      <c r="E14" s="12">
        <f t="shared" si="5"/>
        <v>1.0711680785887854E-3</v>
      </c>
      <c r="F14" s="12">
        <f t="shared" si="5"/>
        <v>2.4890360277914407</v>
      </c>
      <c r="G14" s="12">
        <f t="shared" si="5"/>
        <v>1.8100801327746729E-2</v>
      </c>
      <c r="H14" s="12">
        <f t="shared" si="5"/>
        <v>0.51908217041259452</v>
      </c>
      <c r="I14" s="12">
        <f t="shared" si="5"/>
        <v>5.2884752463340755E-3</v>
      </c>
      <c r="J14" s="12">
        <f t="shared" si="5"/>
        <v>5.479884631651861E-3</v>
      </c>
      <c r="K14" s="12">
        <f t="shared" si="5"/>
        <v>1.9635961644896014E-3</v>
      </c>
      <c r="L14" s="12">
        <f t="shared" si="5"/>
        <v>8.5922012007613562E-3</v>
      </c>
      <c r="M14" s="12">
        <f t="shared" si="5"/>
        <v>1.7841049622651872E-2</v>
      </c>
      <c r="N14" s="12">
        <f t="shared" si="5"/>
        <v>0.13405254054228863</v>
      </c>
      <c r="O14" s="12">
        <f t="shared" si="5"/>
        <v>0.11305026889701011</v>
      </c>
      <c r="P14" s="12">
        <f t="shared" si="5"/>
        <v>0.26820516408773964</v>
      </c>
      <c r="Q14" s="12">
        <f t="shared" si="5"/>
        <v>3.1442814164415064E-2</v>
      </c>
      <c r="R14" s="12">
        <f t="shared" si="5"/>
        <v>3.0339409159367624E-2</v>
      </c>
      <c r="S14" s="12">
        <f t="shared" si="5"/>
        <v>1.620191095777037E-2</v>
      </c>
      <c r="T14" s="12">
        <f t="shared" si="5"/>
        <v>6.542054782016696E-4</v>
      </c>
      <c r="U14" s="12">
        <f t="shared" si="5"/>
        <v>1.6110224139687357E-3</v>
      </c>
      <c r="V14" s="12">
        <f t="shared" si="5"/>
        <v>1.5078235745891136E-3</v>
      </c>
      <c r="W14" s="12">
        <f t="shared" si="5"/>
        <v>4.276392130689028E-2</v>
      </c>
      <c r="X14" s="12">
        <f t="shared" si="5"/>
        <v>3.7163530831425401E-3</v>
      </c>
      <c r="Y14" s="12">
        <f t="shared" si="5"/>
        <v>3.4483322426104261E-6</v>
      </c>
      <c r="Z14" s="12">
        <f t="shared" si="5"/>
        <v>2.7151591666750612E-2</v>
      </c>
      <c r="AA14" s="12">
        <f t="shared" si="5"/>
        <v>6.7417402791153354E-3</v>
      </c>
      <c r="AB14" s="12">
        <f t="shared" si="5"/>
        <v>9.9337111030188247E-2</v>
      </c>
      <c r="AC14" s="12">
        <f t="shared" si="5"/>
        <v>3.9318042033419133E-3</v>
      </c>
      <c r="AD14" s="12">
        <f t="shared" si="5"/>
        <v>1.0581899757232769E-5</v>
      </c>
      <c r="AE14" s="12">
        <f t="shared" si="5"/>
        <v>1.1176918001454596E-2</v>
      </c>
      <c r="AF14" s="12">
        <f t="shared" si="5"/>
        <v>1.413549266864963E-2</v>
      </c>
      <c r="AG14" s="12">
        <f t="shared" si="5"/>
        <v>0.12176665625361288</v>
      </c>
      <c r="AH14" s="12">
        <f t="shared" si="5"/>
        <v>2.2767029465444329E-3</v>
      </c>
      <c r="AI14" s="12">
        <f t="shared" ref="AI14:BN14" si="6">(AI4-AI10)^2</f>
        <v>0.16458380917011334</v>
      </c>
      <c r="AJ14" s="12">
        <f t="shared" si="6"/>
        <v>1.3679100200170151</v>
      </c>
      <c r="AK14" s="12">
        <f t="shared" si="6"/>
        <v>2.6960518637144815E-3</v>
      </c>
      <c r="AL14" s="12">
        <f t="shared" si="6"/>
        <v>1.5751136654653861E-2</v>
      </c>
      <c r="AM14" s="12">
        <f t="shared" si="6"/>
        <v>0.33408020552081613</v>
      </c>
      <c r="AN14" s="12">
        <f t="shared" si="6"/>
        <v>3.798752497133441E-2</v>
      </c>
      <c r="AO14" s="12">
        <f t="shared" si="6"/>
        <v>1.3097797374989051E-3</v>
      </c>
      <c r="AP14" s="12">
        <f t="shared" si="6"/>
        <v>1.9876214167498581E-2</v>
      </c>
      <c r="AQ14" s="12">
        <f t="shared" si="6"/>
        <v>3.9783489844623142E-3</v>
      </c>
      <c r="AR14" s="12">
        <f t="shared" si="6"/>
        <v>1.8073672906452412E-2</v>
      </c>
      <c r="AS14" s="12">
        <f t="shared" si="6"/>
        <v>0.32307656203197116</v>
      </c>
      <c r="AT14" s="12">
        <f t="shared" si="6"/>
        <v>2.4300404982097991E-2</v>
      </c>
      <c r="AU14" s="12">
        <f t="shared" si="6"/>
        <v>0.69756777536417292</v>
      </c>
      <c r="AV14" s="12">
        <f t="shared" si="6"/>
        <v>4.6140965729661536</v>
      </c>
      <c r="AW14" s="12">
        <f t="shared" si="6"/>
        <v>2.4952510023510022E-3</v>
      </c>
      <c r="AX14" s="12">
        <f t="shared" si="6"/>
        <v>4.7231050034804788E-6</v>
      </c>
      <c r="AY14" s="12">
        <f t="shared" si="6"/>
        <v>3.351106034478652E-4</v>
      </c>
      <c r="AZ14" s="12">
        <f t="shared" si="6"/>
        <v>2.1266084829199668E-2</v>
      </c>
      <c r="BA14" s="12">
        <f t="shared" si="6"/>
        <v>2.5795240463417805E-2</v>
      </c>
      <c r="BB14" s="12">
        <f t="shared" si="6"/>
        <v>2.6448630344202174E-3</v>
      </c>
      <c r="BC14" s="12">
        <f t="shared" si="6"/>
        <v>9.2500760039117922E-3</v>
      </c>
      <c r="BD14" s="12">
        <f t="shared" si="6"/>
        <v>8.5176314093567251E-3</v>
      </c>
      <c r="BE14" s="12">
        <f t="shared" si="6"/>
        <v>2.2954065193965139E-3</v>
      </c>
      <c r="BF14" s="12">
        <f t="shared" si="6"/>
        <v>2.4058471938326415E-2</v>
      </c>
      <c r="BG14" s="12">
        <f t="shared" si="6"/>
        <v>6.4770565787796636E-2</v>
      </c>
      <c r="BH14" s="12">
        <f t="shared" si="6"/>
        <v>2.2221068578920658E-2</v>
      </c>
      <c r="BI14" s="12">
        <f t="shared" si="6"/>
        <v>3.0744113599804456E-2</v>
      </c>
      <c r="BJ14" s="12">
        <f t="shared" si="6"/>
        <v>2.7190063160646726E-4</v>
      </c>
      <c r="BK14" s="12">
        <f t="shared" si="6"/>
        <v>6.4728977657310446E-3</v>
      </c>
      <c r="BL14" s="12">
        <f t="shared" si="6"/>
        <v>2.2640394235586307E-3</v>
      </c>
      <c r="BM14" s="12">
        <f t="shared" si="6"/>
        <v>1.794788974236959E-3</v>
      </c>
      <c r="BN14" s="12">
        <f t="shared" si="6"/>
        <v>1.289273998094712E-3</v>
      </c>
      <c r="BO14" s="12">
        <f t="shared" ref="BO14:CT14" si="7">(BO4-BO10)^2</f>
        <v>2.0969348626648922E-3</v>
      </c>
      <c r="BP14" s="12">
        <f t="shared" si="7"/>
        <v>8.90843119765649E-4</v>
      </c>
      <c r="BQ14" s="12">
        <f t="shared" si="7"/>
        <v>4.5018879364717844E-2</v>
      </c>
      <c r="BR14" s="12">
        <f t="shared" si="7"/>
        <v>3.992542740042202E-3</v>
      </c>
      <c r="BS14" s="12">
        <f t="shared" si="7"/>
        <v>5.3986088220444144E-3</v>
      </c>
      <c r="BT14" s="12">
        <f t="shared" si="7"/>
        <v>8.7436365341178146E-4</v>
      </c>
      <c r="BU14" s="12">
        <f t="shared" si="7"/>
        <v>9.7869194007110388E-3</v>
      </c>
      <c r="BV14" s="12">
        <f t="shared" si="7"/>
        <v>4.7850466246864329E-5</v>
      </c>
      <c r="BW14" s="12">
        <f t="shared" si="7"/>
        <v>5.6699944050912811E-2</v>
      </c>
      <c r="BX14" s="12">
        <f t="shared" si="7"/>
        <v>1.2232056928721273E-5</v>
      </c>
      <c r="BY14" s="12">
        <f t="shared" si="7"/>
        <v>2.2253261750888008E-2</v>
      </c>
      <c r="BZ14" s="12">
        <f t="shared" si="7"/>
        <v>7.5986489097245441E-4</v>
      </c>
      <c r="CA14" s="12">
        <f t="shared" si="7"/>
        <v>2.2972688078223102E-3</v>
      </c>
      <c r="CB14" s="12">
        <f t="shared" si="7"/>
        <v>1.1307552409585031E-2</v>
      </c>
      <c r="CC14" s="12">
        <f t="shared" si="7"/>
        <v>7.0623113941884415E-5</v>
      </c>
      <c r="CD14" s="12">
        <f t="shared" si="7"/>
        <v>2.3392282691030122E-2</v>
      </c>
      <c r="CE14" s="12">
        <f t="shared" si="7"/>
        <v>1.8579969089149009E-2</v>
      </c>
      <c r="CF14" s="12">
        <f t="shared" si="7"/>
        <v>3.5556109480377428E-3</v>
      </c>
      <c r="CG14" s="12">
        <f t="shared" si="7"/>
        <v>8.1309633079098498E-2</v>
      </c>
      <c r="CH14" s="12">
        <f t="shared" si="7"/>
        <v>1.8022224609393889E-3</v>
      </c>
      <c r="CI14" s="12">
        <f t="shared" si="7"/>
        <v>1.0352188736619777E-3</v>
      </c>
      <c r="CJ14" s="12">
        <f t="shared" si="7"/>
        <v>6.1101489239568513E-3</v>
      </c>
      <c r="CK14" s="12">
        <f t="shared" si="7"/>
        <v>8.9985095762506063E-3</v>
      </c>
      <c r="CL14" s="12">
        <f t="shared" si="7"/>
        <v>5.6654291750571181E-5</v>
      </c>
      <c r="CM14" s="12">
        <f t="shared" si="7"/>
        <v>1.5628735544563715E-2</v>
      </c>
      <c r="CN14" s="12">
        <f t="shared" si="7"/>
        <v>7.9601924228178949E-3</v>
      </c>
      <c r="CO14" s="12">
        <f t="shared" si="7"/>
        <v>3.1504808663878711E-2</v>
      </c>
      <c r="CP14" s="12">
        <f t="shared" si="7"/>
        <v>1.7147660112808757E-3</v>
      </c>
      <c r="CQ14" s="12">
        <f t="shared" si="7"/>
        <v>3.2240206420690851E-2</v>
      </c>
      <c r="CR14" s="12">
        <f t="shared" si="7"/>
        <v>3.2478460863116614E-4</v>
      </c>
      <c r="CS14" s="12">
        <f t="shared" si="7"/>
        <v>4.5397293263827425E-4</v>
      </c>
      <c r="CT14" s="12">
        <f t="shared" si="7"/>
        <v>1.332136086730906E-2</v>
      </c>
      <c r="CU14" s="12">
        <f t="shared" ref="CU14:DZ14" si="8">(CU4-CU10)^2</f>
        <v>2.2543001318707259E-2</v>
      </c>
      <c r="CV14" s="12">
        <f t="shared" si="8"/>
        <v>1.4512565305661565E-2</v>
      </c>
      <c r="CW14" s="12">
        <f t="shared" si="8"/>
        <v>1.7224531206427663E-3</v>
      </c>
      <c r="CX14" s="12">
        <f t="shared" si="8"/>
        <v>9.4764561276474008E-3</v>
      </c>
      <c r="CY14" s="12">
        <f t="shared" si="8"/>
        <v>0.19587007928781333</v>
      </c>
      <c r="CZ14" s="12">
        <f t="shared" si="8"/>
        <v>4.3135719719445825E-2</v>
      </c>
      <c r="DA14" s="12">
        <f t="shared" si="8"/>
        <v>9.1570952148020668E-4</v>
      </c>
      <c r="DB14" s="12">
        <f t="shared" si="8"/>
        <v>1.7193134618025529E-2</v>
      </c>
      <c r="DC14" s="12">
        <f t="shared" si="8"/>
        <v>8.7870736934217042E-2</v>
      </c>
      <c r="DD14" s="12">
        <f t="shared" si="8"/>
        <v>5.1263591277217078E-3</v>
      </c>
      <c r="DE14" s="12">
        <f t="shared" si="8"/>
        <v>5.1690710041246372E-3</v>
      </c>
      <c r="DF14" s="12">
        <f t="shared" si="8"/>
        <v>7.3958991638632997E-3</v>
      </c>
      <c r="DG14" s="12">
        <f t="shared" si="8"/>
        <v>6.597538907356737E-2</v>
      </c>
      <c r="DH14" s="12">
        <f t="shared" si="8"/>
        <v>1.1873767275192581E-2</v>
      </c>
      <c r="DI14" s="12">
        <f t="shared" si="8"/>
        <v>4.4577131332592104E-3</v>
      </c>
      <c r="DJ14" s="12">
        <f t="shared" si="8"/>
        <v>9.9966766766030925E-3</v>
      </c>
      <c r="DK14" s="12">
        <f t="shared" si="8"/>
        <v>1.9554514263515069E-2</v>
      </c>
      <c r="DL14" s="12">
        <f t="shared" si="8"/>
        <v>0.32423448806250621</v>
      </c>
      <c r="DM14" s="12">
        <f t="shared" si="8"/>
        <v>4.4285136872359278E-2</v>
      </c>
      <c r="DN14" s="12">
        <f t="shared" si="8"/>
        <v>2.3362469925707376E-2</v>
      </c>
      <c r="DO14" s="12">
        <f t="shared" si="8"/>
        <v>1.8291355271771191E-2</v>
      </c>
      <c r="DP14" s="12">
        <f t="shared" si="8"/>
        <v>1.2898285411789365E-2</v>
      </c>
      <c r="DQ14" s="12">
        <f t="shared" si="8"/>
        <v>8.4266580248556176E-4</v>
      </c>
      <c r="DR14" s="12">
        <f t="shared" si="8"/>
        <v>5.0659147733615566E-3</v>
      </c>
      <c r="DS14" s="12">
        <f t="shared" si="8"/>
        <v>1.6581655498818328E-2</v>
      </c>
      <c r="DT14" s="12">
        <f t="shared" si="8"/>
        <v>6.2889761944548038E-3</v>
      </c>
      <c r="DU14" s="12">
        <f t="shared" si="8"/>
        <v>2.0975144261028984E-2</v>
      </c>
      <c r="DV14" s="12">
        <f t="shared" si="8"/>
        <v>4.2963585818246641E-3</v>
      </c>
      <c r="DW14" s="12">
        <f t="shared" si="8"/>
        <v>8.4408160106785209E-3</v>
      </c>
      <c r="DX14" s="12">
        <f t="shared" si="8"/>
        <v>1.2834118975743104E-3</v>
      </c>
      <c r="DY14" s="12">
        <f t="shared" si="8"/>
        <v>1.6815538012913702E-3</v>
      </c>
      <c r="DZ14" s="12">
        <f t="shared" si="8"/>
        <v>4.3450462056191788E-3</v>
      </c>
      <c r="EA14" s="12">
        <f t="shared" ref="EA14:EL14" si="9">(EA4-EA10)^2</f>
        <v>3.3749463359475495E-3</v>
      </c>
      <c r="EB14" s="12">
        <f t="shared" si="9"/>
        <v>6.3739153969029293E-5</v>
      </c>
      <c r="EC14" s="12">
        <f t="shared" si="9"/>
        <v>1.1597712745380103E-2</v>
      </c>
      <c r="ED14" s="12">
        <f t="shared" si="9"/>
        <v>4.1295960587377181E-2</v>
      </c>
      <c r="EE14" s="12">
        <f t="shared" si="9"/>
        <v>0.11974657480248486</v>
      </c>
      <c r="EF14" s="12">
        <f t="shared" si="9"/>
        <v>3.4010693914838935E-2</v>
      </c>
      <c r="EG14" s="12">
        <f t="shared" si="9"/>
        <v>2.7224424511382284E-4</v>
      </c>
      <c r="EH14" s="12">
        <f t="shared" si="9"/>
        <v>3.2363378358104158E-3</v>
      </c>
      <c r="EI14" s="12">
        <f t="shared" si="9"/>
        <v>1.9179301346847366E-2</v>
      </c>
      <c r="EJ14" s="12">
        <f t="shared" si="9"/>
        <v>2.6068585221446498E-2</v>
      </c>
      <c r="EK14" s="12">
        <f t="shared" si="9"/>
        <v>2.5289927111966249E-2</v>
      </c>
      <c r="EL14" s="12">
        <f t="shared" si="9"/>
        <v>2.8996336372775138E-4</v>
      </c>
    </row>
    <row r="15" spans="1:142" x14ac:dyDescent="0.55000000000000004">
      <c r="B15" s="14" t="s">
        <v>145</v>
      </c>
      <c r="C15" s="12">
        <f t="shared" ref="C15:AH15" si="10">(C5-C11)^2</f>
        <v>3.2904937329037098E-2</v>
      </c>
      <c r="D15" s="12">
        <f t="shared" si="10"/>
        <v>5.4619675122344905E-2</v>
      </c>
      <c r="E15" s="12">
        <f t="shared" si="10"/>
        <v>2.7766435750133391E-3</v>
      </c>
      <c r="F15" s="12">
        <f t="shared" si="10"/>
        <v>0.43599575356713011</v>
      </c>
      <c r="G15" s="12">
        <f t="shared" si="10"/>
        <v>3.5674783881705545E-3</v>
      </c>
      <c r="H15" s="12">
        <f t="shared" si="10"/>
        <v>1.0558599709847599E-2</v>
      </c>
      <c r="I15" s="12">
        <f t="shared" si="10"/>
        <v>7.4436813489704666E-5</v>
      </c>
      <c r="J15" s="12">
        <f t="shared" si="10"/>
        <v>6.4550594607469605E-2</v>
      </c>
      <c r="K15" s="12">
        <f t="shared" si="10"/>
        <v>6.0045664657090853E-2</v>
      </c>
      <c r="L15" s="12">
        <f t="shared" si="10"/>
        <v>2.5994242096993984E-5</v>
      </c>
      <c r="M15" s="12">
        <f t="shared" si="10"/>
        <v>2.172677216656844E-3</v>
      </c>
      <c r="N15" s="12">
        <f t="shared" si="10"/>
        <v>1.0796301815123449E-3</v>
      </c>
      <c r="O15" s="12">
        <f t="shared" si="10"/>
        <v>7.6928916407260253E-2</v>
      </c>
      <c r="P15" s="12">
        <f t="shared" si="10"/>
        <v>2.1114852717920964E-3</v>
      </c>
      <c r="Q15" s="12">
        <f t="shared" si="10"/>
        <v>7.5511267620911784E-4</v>
      </c>
      <c r="R15" s="12">
        <f t="shared" si="10"/>
        <v>6.5282332409810198E-2</v>
      </c>
      <c r="S15" s="12">
        <f t="shared" si="10"/>
        <v>2.244118570026974E-2</v>
      </c>
      <c r="T15" s="12">
        <f t="shared" si="10"/>
        <v>1.2018546923363176E-2</v>
      </c>
      <c r="U15" s="12">
        <f t="shared" si="10"/>
        <v>2.1872300109211486E-3</v>
      </c>
      <c r="V15" s="12">
        <f t="shared" si="10"/>
        <v>6.5978492864591408E-5</v>
      </c>
      <c r="W15" s="12">
        <f t="shared" si="10"/>
        <v>1.359584912142109E-2</v>
      </c>
      <c r="X15" s="12">
        <f t="shared" si="10"/>
        <v>9.9149063968813594E-2</v>
      </c>
      <c r="Y15" s="12">
        <f t="shared" si="10"/>
        <v>3.0114188763494214E-6</v>
      </c>
      <c r="Z15" s="12">
        <f t="shared" si="10"/>
        <v>1.8613004510207302E-2</v>
      </c>
      <c r="AA15" s="12">
        <f t="shared" si="10"/>
        <v>3.6990698985673769E-3</v>
      </c>
      <c r="AB15" s="12">
        <f t="shared" si="10"/>
        <v>7.0905918616003753E-4</v>
      </c>
      <c r="AC15" s="12">
        <f t="shared" si="10"/>
        <v>1.5625792136572444E-2</v>
      </c>
      <c r="AD15" s="12">
        <f t="shared" si="10"/>
        <v>1.3101353340504969E-2</v>
      </c>
      <c r="AE15" s="12">
        <f t="shared" si="10"/>
        <v>4.3201059043739796E-2</v>
      </c>
      <c r="AF15" s="12">
        <f t="shared" si="10"/>
        <v>1.5199818120963058E-2</v>
      </c>
      <c r="AG15" s="12">
        <f t="shared" si="10"/>
        <v>1.0244845485036214E-3</v>
      </c>
      <c r="AH15" s="12">
        <f t="shared" si="10"/>
        <v>3.7018720086148364E-2</v>
      </c>
      <c r="AI15" s="12">
        <f t="shared" ref="AI15:BN15" si="11">(AI5-AI11)^2</f>
        <v>7.9497588778033954E-3</v>
      </c>
      <c r="AJ15" s="12">
        <f t="shared" si="11"/>
        <v>5.0022906729247336E-7</v>
      </c>
      <c r="AK15" s="12">
        <f t="shared" si="11"/>
        <v>2.1440247175591779E-3</v>
      </c>
      <c r="AL15" s="12">
        <f t="shared" si="11"/>
        <v>8.4143251933365684E-4</v>
      </c>
      <c r="AM15" s="12">
        <f t="shared" si="11"/>
        <v>3.6211928681679968E-3</v>
      </c>
      <c r="AN15" s="12">
        <f t="shared" si="11"/>
        <v>4.4333052284593845E-3</v>
      </c>
      <c r="AO15" s="12">
        <f t="shared" si="11"/>
        <v>1.7782470160467682E-2</v>
      </c>
      <c r="AP15" s="12">
        <f t="shared" si="11"/>
        <v>1.1593392333688501E-4</v>
      </c>
      <c r="AQ15" s="12">
        <f t="shared" si="11"/>
        <v>3.7765759898122815E-3</v>
      </c>
      <c r="AR15" s="12">
        <f t="shared" si="11"/>
        <v>1.7092608896655914E-3</v>
      </c>
      <c r="AS15" s="12">
        <f t="shared" si="11"/>
        <v>1.7819841944377941E-3</v>
      </c>
      <c r="AT15" s="12">
        <f t="shared" si="11"/>
        <v>1.7088282587024054E-2</v>
      </c>
      <c r="AU15" s="12">
        <f t="shared" si="11"/>
        <v>4.5181472824977915E-4</v>
      </c>
      <c r="AV15" s="12">
        <f t="shared" si="11"/>
        <v>8.4598276145868481E-3</v>
      </c>
      <c r="AW15" s="12">
        <f t="shared" si="11"/>
        <v>5.1284689897253275E-3</v>
      </c>
      <c r="AX15" s="12">
        <f t="shared" si="11"/>
        <v>3.7049242263777225E-2</v>
      </c>
      <c r="AY15" s="12">
        <f t="shared" si="11"/>
        <v>2.742334436785736E-3</v>
      </c>
      <c r="AZ15" s="12">
        <f t="shared" si="11"/>
        <v>6.8966168513604195E-2</v>
      </c>
      <c r="BA15" s="12">
        <f t="shared" si="11"/>
        <v>1.335434495780202E-3</v>
      </c>
      <c r="BB15" s="12">
        <f t="shared" si="11"/>
        <v>2.9766198400173919E-2</v>
      </c>
      <c r="BC15" s="12">
        <f t="shared" si="11"/>
        <v>7.9417155921198779E-4</v>
      </c>
      <c r="BD15" s="12">
        <f t="shared" si="11"/>
        <v>2.7878875869291431E-7</v>
      </c>
      <c r="BE15" s="12">
        <f t="shared" si="11"/>
        <v>1.9523958625575415E-2</v>
      </c>
      <c r="BF15" s="12">
        <f t="shared" si="11"/>
        <v>2.6030449245500627E-2</v>
      </c>
      <c r="BG15" s="12">
        <f t="shared" si="11"/>
        <v>4.9126735137368926E-2</v>
      </c>
      <c r="BH15" s="12">
        <f t="shared" si="11"/>
        <v>3.2597745808270247E-2</v>
      </c>
      <c r="BI15" s="12">
        <f t="shared" si="11"/>
        <v>2.606623951160188E-2</v>
      </c>
      <c r="BJ15" s="12">
        <f t="shared" si="11"/>
        <v>1.7450830009751145E-2</v>
      </c>
      <c r="BK15" s="12">
        <f t="shared" si="11"/>
        <v>2.8700268311274446E-3</v>
      </c>
      <c r="BL15" s="12">
        <f t="shared" si="11"/>
        <v>1.644075177877987E-2</v>
      </c>
      <c r="BM15" s="12">
        <f t="shared" si="11"/>
        <v>2.2212038445643859E-2</v>
      </c>
      <c r="BN15" s="12">
        <f t="shared" si="11"/>
        <v>3.5929295790029583E-3</v>
      </c>
      <c r="BO15" s="12">
        <f t="shared" ref="BO15:CT15" si="12">(BO5-BO11)^2</f>
        <v>4.2030854017368436E-4</v>
      </c>
      <c r="BP15" s="12">
        <f t="shared" si="12"/>
        <v>2.3406971494744973E-2</v>
      </c>
      <c r="BQ15" s="12">
        <f t="shared" si="12"/>
        <v>6.9573571166227745E-4</v>
      </c>
      <c r="BR15" s="12">
        <f t="shared" si="12"/>
        <v>1.7385961647480921E-2</v>
      </c>
      <c r="BS15" s="12">
        <f t="shared" si="12"/>
        <v>9.4129092102495267E-3</v>
      </c>
      <c r="BT15" s="12">
        <f t="shared" si="12"/>
        <v>9.2768057974034791E-4</v>
      </c>
      <c r="BU15" s="12">
        <f t="shared" si="12"/>
        <v>2.3747088280573476E-3</v>
      </c>
      <c r="BV15" s="12">
        <f t="shared" si="12"/>
        <v>6.502881466545157E-3</v>
      </c>
      <c r="BW15" s="12">
        <f t="shared" si="12"/>
        <v>2.4829555887474639E-2</v>
      </c>
      <c r="BX15" s="12">
        <f t="shared" si="12"/>
        <v>3.0764271775446859E-5</v>
      </c>
      <c r="BY15" s="12">
        <f t="shared" si="12"/>
        <v>9.660684365166889E-3</v>
      </c>
      <c r="BZ15" s="12">
        <f t="shared" si="12"/>
        <v>2.0382122300810482E-4</v>
      </c>
      <c r="CA15" s="12">
        <f t="shared" si="12"/>
        <v>8.4407386139285213E-5</v>
      </c>
      <c r="CB15" s="12">
        <f t="shared" si="12"/>
        <v>1.2054175877073546E-3</v>
      </c>
      <c r="CC15" s="12">
        <f t="shared" si="12"/>
        <v>1.2440531762598742E-2</v>
      </c>
      <c r="CD15" s="12">
        <f t="shared" si="12"/>
        <v>6.0342540191248219E-2</v>
      </c>
      <c r="CE15" s="12">
        <f t="shared" si="12"/>
        <v>1.597146687185708E-2</v>
      </c>
      <c r="CF15" s="12">
        <f t="shared" si="12"/>
        <v>5.3338553281480914E-3</v>
      </c>
      <c r="CG15" s="12">
        <f t="shared" si="12"/>
        <v>1.6922150274872604E-2</v>
      </c>
      <c r="CH15" s="12">
        <f t="shared" si="12"/>
        <v>4.3169774087686063E-3</v>
      </c>
      <c r="CI15" s="12">
        <f t="shared" si="12"/>
        <v>7.2141557192190891E-4</v>
      </c>
      <c r="CJ15" s="12">
        <f t="shared" si="12"/>
        <v>2.2112016402673192E-2</v>
      </c>
      <c r="CK15" s="12">
        <f t="shared" si="12"/>
        <v>2.0252884970981485E-2</v>
      </c>
      <c r="CL15" s="12">
        <f t="shared" si="12"/>
        <v>1.0838132065445973E-3</v>
      </c>
      <c r="CM15" s="12">
        <f t="shared" si="12"/>
        <v>1.0825816357873176E-2</v>
      </c>
      <c r="CN15" s="12">
        <f t="shared" si="12"/>
        <v>7.1740153323265582E-2</v>
      </c>
      <c r="CO15" s="12">
        <f t="shared" si="12"/>
        <v>1.3325464983498864E-2</v>
      </c>
      <c r="CP15" s="12">
        <f t="shared" si="12"/>
        <v>2.2554917482889352E-3</v>
      </c>
      <c r="CQ15" s="12">
        <f t="shared" si="12"/>
        <v>5.0258891491518923E-2</v>
      </c>
      <c r="CR15" s="12">
        <f t="shared" si="12"/>
        <v>1.6196121053119451E-2</v>
      </c>
      <c r="CS15" s="12">
        <f t="shared" si="12"/>
        <v>8.7704856106491907E-3</v>
      </c>
      <c r="CT15" s="12">
        <f t="shared" si="12"/>
        <v>3.0913853323661901E-2</v>
      </c>
      <c r="CU15" s="12">
        <f t="shared" ref="CU15:DZ15" si="13">(CU5-CU11)^2</f>
        <v>0.12598895969870183</v>
      </c>
      <c r="CV15" s="12">
        <f t="shared" si="13"/>
        <v>6.154890251463227E-2</v>
      </c>
      <c r="CW15" s="12">
        <f t="shared" si="13"/>
        <v>1.9764183065302176E-3</v>
      </c>
      <c r="CX15" s="12">
        <f t="shared" si="13"/>
        <v>1.5189311265561502E-2</v>
      </c>
      <c r="CY15" s="12">
        <f t="shared" si="13"/>
        <v>4.675661398619432E-3</v>
      </c>
      <c r="CZ15" s="12">
        <f t="shared" si="13"/>
        <v>3.228731690919473E-3</v>
      </c>
      <c r="DA15" s="12">
        <f t="shared" si="13"/>
        <v>3.0922141593755319E-2</v>
      </c>
      <c r="DB15" s="12">
        <f t="shared" si="13"/>
        <v>1.1914931567205085E-2</v>
      </c>
      <c r="DC15" s="12">
        <f t="shared" si="13"/>
        <v>2.5942974592924934E-5</v>
      </c>
      <c r="DD15" s="12">
        <f t="shared" si="13"/>
        <v>2.3026546313720732E-2</v>
      </c>
      <c r="DE15" s="12">
        <f t="shared" si="13"/>
        <v>6.114607598880635E-2</v>
      </c>
      <c r="DF15" s="12">
        <f t="shared" si="13"/>
        <v>3.3601038134184462E-2</v>
      </c>
      <c r="DG15" s="12">
        <f t="shared" si="13"/>
        <v>7.7330362902709823E-2</v>
      </c>
      <c r="DH15" s="12">
        <f t="shared" si="13"/>
        <v>1.1139937356594973E-2</v>
      </c>
      <c r="DI15" s="12">
        <f t="shared" si="13"/>
        <v>5.1573898973966007E-3</v>
      </c>
      <c r="DJ15" s="12">
        <f t="shared" si="13"/>
        <v>2.325491917503638E-3</v>
      </c>
      <c r="DK15" s="12">
        <f t="shared" si="13"/>
        <v>1.4365425681431688E-2</v>
      </c>
      <c r="DL15" s="12">
        <f t="shared" si="13"/>
        <v>5.7514090548282616E-3</v>
      </c>
      <c r="DM15" s="12">
        <f t="shared" si="13"/>
        <v>8.1701107564451049E-5</v>
      </c>
      <c r="DN15" s="12">
        <f t="shared" si="13"/>
        <v>2.0224580558391472E-4</v>
      </c>
      <c r="DO15" s="12">
        <f t="shared" si="13"/>
        <v>9.3601847489529922E-3</v>
      </c>
      <c r="DP15" s="12">
        <f t="shared" si="13"/>
        <v>6.065763707494469E-2</v>
      </c>
      <c r="DQ15" s="12">
        <f t="shared" si="13"/>
        <v>5.0239894920108719E-2</v>
      </c>
      <c r="DR15" s="12">
        <f t="shared" si="13"/>
        <v>1.1908794936111342E-4</v>
      </c>
      <c r="DS15" s="12">
        <f t="shared" si="13"/>
        <v>1.1838990285154626E-2</v>
      </c>
      <c r="DT15" s="12">
        <f t="shared" si="13"/>
        <v>1.6926712646555316E-2</v>
      </c>
      <c r="DU15" s="12">
        <f t="shared" si="13"/>
        <v>9.907200185756292E-3</v>
      </c>
      <c r="DV15" s="12">
        <f t="shared" si="13"/>
        <v>2.2357621616372267E-3</v>
      </c>
      <c r="DW15" s="12">
        <f t="shared" si="13"/>
        <v>6.7793210274362558E-4</v>
      </c>
      <c r="DX15" s="12">
        <f t="shared" si="13"/>
        <v>1.7850848707469398E-3</v>
      </c>
      <c r="DY15" s="12">
        <f t="shared" si="13"/>
        <v>5.664431533477166E-4</v>
      </c>
      <c r="DZ15" s="12">
        <f t="shared" si="13"/>
        <v>5.326249262137552E-4</v>
      </c>
      <c r="EA15" s="12">
        <f t="shared" ref="EA15:EL15" si="14">(EA5-EA11)^2</f>
        <v>0.10724061941332866</v>
      </c>
      <c r="EB15" s="12">
        <f t="shared" si="14"/>
        <v>1.9098710531928281E-2</v>
      </c>
      <c r="EC15" s="12">
        <f t="shared" si="14"/>
        <v>1.4158282364852843E-3</v>
      </c>
      <c r="ED15" s="12">
        <f t="shared" si="14"/>
        <v>1.3341224027011822E-4</v>
      </c>
      <c r="EE15" s="12">
        <f t="shared" si="14"/>
        <v>9.75264257693887E-5</v>
      </c>
      <c r="EF15" s="12">
        <f t="shared" si="14"/>
        <v>7.7955993041811241E-3</v>
      </c>
      <c r="EG15" s="12">
        <f t="shared" si="14"/>
        <v>2.4664454699714677E-2</v>
      </c>
      <c r="EH15" s="12">
        <f t="shared" si="14"/>
        <v>7.5418203049251839E-5</v>
      </c>
      <c r="EI15" s="12">
        <f t="shared" si="14"/>
        <v>3.9587350242019468E-4</v>
      </c>
      <c r="EJ15" s="12">
        <f t="shared" si="14"/>
        <v>2.2802701912644713E-3</v>
      </c>
      <c r="EK15" s="12">
        <f t="shared" si="14"/>
        <v>2.7052594406802321E-3</v>
      </c>
      <c r="EL15" s="12">
        <f t="shared" si="14"/>
        <v>1.691425213951947E-3</v>
      </c>
    </row>
    <row r="17" spans="1:142" x14ac:dyDescent="0.55000000000000004">
      <c r="A17" s="12" t="s">
        <v>292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293</v>
      </c>
      <c r="B21" s="12">
        <f>1-SUM(C13:EL15)/SUM(C17:EL19)</f>
        <v>-3.5247924059879239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2" t="s">
        <v>147</v>
      </c>
      <c r="B10" s="23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20"/>
      <c r="B12" s="20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20"/>
      <c r="B13" s="20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20"/>
      <c r="B14" s="20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20"/>
      <c r="B15" s="20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20"/>
      <c r="B16" s="20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20"/>
      <c r="B17" s="20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20"/>
      <c r="B18" s="20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20"/>
      <c r="B19" s="20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20"/>
      <c r="B20" s="20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20"/>
      <c r="B21" s="20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20"/>
      <c r="B22" s="20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20"/>
      <c r="B23" s="20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20"/>
      <c r="B24" s="20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20"/>
      <c r="B25" s="20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topLeftCell="A22" workbookViewId="0">
      <selection activeCell="C31" sqref="C31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42" width="22.59765625" bestFit="1" customWidth="1"/>
  </cols>
  <sheetData>
    <row r="1" spans="1:142" ht="25" customHeight="1" x14ac:dyDescent="0.55000000000000004">
      <c r="A1" s="11" t="s">
        <v>294</v>
      </c>
    </row>
    <row r="2" spans="1:142" ht="25" customHeight="1" x14ac:dyDescent="0.55000000000000004">
      <c r="A2" s="17" t="s">
        <v>295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6.1327576637268073E-2</v>
      </c>
      <c r="D3" s="13">
        <v>0.1053639203310013</v>
      </c>
      <c r="E3" s="13">
        <v>-3.0782786197960381E-3</v>
      </c>
      <c r="F3" s="13">
        <v>-0.1282243728637695</v>
      </c>
      <c r="G3" s="13">
        <v>-6.2722943723201752E-2</v>
      </c>
      <c r="H3" s="13">
        <v>1.9181370735168461E-2</v>
      </c>
      <c r="I3" s="13">
        <v>4.4782202690839767E-2</v>
      </c>
      <c r="J3" s="13">
        <v>0.13391287624835971</v>
      </c>
      <c r="K3" s="13">
        <v>-5.9629511088132858E-2</v>
      </c>
      <c r="L3" s="13">
        <v>-0.3462432324886322</v>
      </c>
      <c r="M3" s="13">
        <v>6.7439384758472443E-2</v>
      </c>
      <c r="N3" s="13">
        <v>5.727088451385498E-2</v>
      </c>
      <c r="O3" s="13">
        <v>-5.6388936936855323E-2</v>
      </c>
      <c r="P3" s="13">
        <v>-9.1544181108474731E-2</v>
      </c>
      <c r="Q3" s="13">
        <v>1.4503344893455511E-2</v>
      </c>
      <c r="R3" s="13">
        <v>-3.059724718332291E-2</v>
      </c>
      <c r="S3" s="13">
        <v>1.7472125589847561E-2</v>
      </c>
      <c r="T3" s="13">
        <v>3.4076657146215439E-2</v>
      </c>
      <c r="U3" s="13">
        <v>-1.1099047958850861E-2</v>
      </c>
      <c r="V3" s="13">
        <v>-4.9297574907541282E-2</v>
      </c>
      <c r="W3" s="13">
        <v>0.17203778028488159</v>
      </c>
      <c r="X3" s="13">
        <v>-1.236107293516397E-2</v>
      </c>
      <c r="Y3" s="13">
        <v>5.979146808385849E-2</v>
      </c>
      <c r="Z3" s="13">
        <v>-2.055832743644714E-2</v>
      </c>
      <c r="AA3" s="13">
        <v>7.4298478662967682E-2</v>
      </c>
      <c r="AB3" s="13">
        <v>-4.5949909836053848E-3</v>
      </c>
      <c r="AC3" s="13">
        <v>3.0291583389043808E-3</v>
      </c>
      <c r="AD3" s="13">
        <v>-4.4668029993772507E-2</v>
      </c>
      <c r="AE3" s="13">
        <v>4.6806998550891883E-2</v>
      </c>
      <c r="AF3" s="13">
        <v>-9.9812641739845276E-2</v>
      </c>
      <c r="AG3" s="13">
        <v>-6.4887501299381256E-2</v>
      </c>
      <c r="AH3" s="13">
        <v>7.1649104356765747E-2</v>
      </c>
      <c r="AI3" s="13">
        <v>5.1127530634403229E-2</v>
      </c>
      <c r="AJ3" s="13">
        <v>-0.11162372678518299</v>
      </c>
      <c r="AK3" s="13">
        <v>-7.5587287545204163E-2</v>
      </c>
      <c r="AL3" s="13">
        <v>6.8488046526908875E-2</v>
      </c>
      <c r="AM3" s="13">
        <v>-1.9246973097324371E-2</v>
      </c>
      <c r="AN3" s="13">
        <v>8.4199845790863037E-2</v>
      </c>
      <c r="AO3" s="13">
        <v>2.8502147644758221E-2</v>
      </c>
      <c r="AP3" s="13">
        <v>-0.32218533754348749</v>
      </c>
      <c r="AQ3" s="13">
        <v>-8.5807070136070251E-2</v>
      </c>
      <c r="AR3" s="13">
        <v>5.2739348262548447E-2</v>
      </c>
      <c r="AS3" s="13">
        <v>4.0903866291046143E-2</v>
      </c>
      <c r="AT3" s="13">
        <v>8.4397360682487488E-2</v>
      </c>
      <c r="AU3" s="13">
        <v>4.9148775637149811E-2</v>
      </c>
      <c r="AV3" s="13">
        <v>2.3600246757268909E-2</v>
      </c>
      <c r="AW3" s="13">
        <v>0.1143049001693726</v>
      </c>
      <c r="AX3" s="13">
        <v>-1.3772965408861641E-2</v>
      </c>
      <c r="AY3" s="13">
        <v>-1.255927607417107E-2</v>
      </c>
      <c r="AZ3" s="13">
        <v>-4.4304460287094123E-2</v>
      </c>
      <c r="BA3" s="13">
        <v>1.5913523733615879E-2</v>
      </c>
      <c r="BB3" s="13">
        <v>4.1215825825929642E-2</v>
      </c>
      <c r="BC3" s="13">
        <v>4.4085206463932991E-3</v>
      </c>
      <c r="BD3" s="13">
        <v>7.8439787030220032E-2</v>
      </c>
      <c r="BE3" s="13">
        <v>-6.1781518161296838E-2</v>
      </c>
      <c r="BF3" s="13">
        <v>4.0756359696388238E-2</v>
      </c>
      <c r="BG3" s="13">
        <v>1.560432836413383E-2</v>
      </c>
      <c r="BH3" s="13">
        <v>-2.2477094084024429E-2</v>
      </c>
      <c r="BI3" s="13">
        <v>0.10848069936037059</v>
      </c>
      <c r="BJ3" s="13">
        <v>-9.9942907691001892E-3</v>
      </c>
      <c r="BK3" s="13">
        <v>9.9805325269699097E-2</v>
      </c>
      <c r="BL3" s="13">
        <v>-6.4521826803684235E-2</v>
      </c>
      <c r="BM3" s="13">
        <v>-1.9436310976743702E-2</v>
      </c>
      <c r="BN3" s="13">
        <v>-8.3174323663115501E-3</v>
      </c>
      <c r="BO3" s="13">
        <v>5.1577024161815643E-2</v>
      </c>
      <c r="BP3" s="13">
        <v>-2.0200524479150769E-2</v>
      </c>
      <c r="BQ3" s="13">
        <v>9.7651019692420959E-2</v>
      </c>
      <c r="BR3" s="13">
        <v>0.12632341682910919</v>
      </c>
      <c r="BS3" s="13">
        <v>-1.8966048955917358E-2</v>
      </c>
      <c r="BT3" s="13">
        <v>-1.4316674321889881E-2</v>
      </c>
      <c r="BU3" s="13">
        <v>5.491241067647934E-2</v>
      </c>
      <c r="BV3" s="13">
        <v>4.1193921118974693E-2</v>
      </c>
      <c r="BW3" s="13">
        <v>-4.3307825922966003E-2</v>
      </c>
      <c r="BX3" s="13">
        <v>-3.2447922974824912E-2</v>
      </c>
      <c r="BY3" s="13">
        <v>4.9034658819437027E-2</v>
      </c>
      <c r="BZ3" s="13">
        <v>8.3267219364643097E-2</v>
      </c>
      <c r="CA3" s="13">
        <v>4.8628222197294242E-2</v>
      </c>
      <c r="CB3" s="13">
        <v>2.3098880425095562E-2</v>
      </c>
      <c r="CC3" s="13">
        <v>8.4969624876976013E-3</v>
      </c>
      <c r="CD3" s="13">
        <v>6.4693927764892578E-2</v>
      </c>
      <c r="CE3" s="13">
        <v>4.719095304608345E-2</v>
      </c>
      <c r="CF3" s="13">
        <v>5.2956856787204742E-2</v>
      </c>
      <c r="CG3" s="13">
        <v>5.5742617696523673E-2</v>
      </c>
      <c r="CH3" s="13">
        <v>0.1317044794559479</v>
      </c>
      <c r="CI3" s="13">
        <v>-8.7051913142204285E-2</v>
      </c>
      <c r="CJ3" s="13">
        <v>-4.5066077262163162E-2</v>
      </c>
      <c r="CK3" s="13">
        <v>1.5571171417832369E-2</v>
      </c>
      <c r="CL3" s="13">
        <v>1.54544860124588E-2</v>
      </c>
      <c r="CM3" s="13">
        <v>1.7500285059213638E-2</v>
      </c>
      <c r="CN3" s="13">
        <v>4.9111202359199517E-2</v>
      </c>
      <c r="CO3" s="13">
        <v>-7.0332828909158707E-3</v>
      </c>
      <c r="CP3" s="13">
        <v>7.0899978280067444E-2</v>
      </c>
      <c r="CQ3" s="13">
        <v>1.07280109077692E-2</v>
      </c>
      <c r="CR3" s="13">
        <v>2.8085175901651379E-2</v>
      </c>
      <c r="CS3" s="13">
        <v>4.8244483768939972E-2</v>
      </c>
      <c r="CT3" s="13">
        <v>-5.2411206066608429E-2</v>
      </c>
      <c r="CU3" s="13">
        <v>1.7789404839277271E-2</v>
      </c>
      <c r="CV3" s="13">
        <v>0.13697381317615509</v>
      </c>
      <c r="CW3" s="13">
        <v>5.8008372783660889E-2</v>
      </c>
      <c r="CX3" s="13">
        <v>-5.7537071406841278E-3</v>
      </c>
      <c r="CY3" s="13">
        <v>8.0949604511260986E-2</v>
      </c>
      <c r="CZ3" s="13">
        <v>4.3630726635456092E-2</v>
      </c>
      <c r="DA3" s="13">
        <v>1.2640822678804399E-2</v>
      </c>
      <c r="DB3" s="13">
        <v>0.1894510090351105</v>
      </c>
      <c r="DC3" s="13">
        <v>0.11115641891956329</v>
      </c>
      <c r="DD3" s="13">
        <v>4.7927461564540863E-2</v>
      </c>
      <c r="DE3" s="13">
        <v>3.4420855343341827E-2</v>
      </c>
      <c r="DF3" s="13">
        <v>5.4971545934677117E-2</v>
      </c>
      <c r="DG3" s="13">
        <v>3.6962892860174179E-2</v>
      </c>
      <c r="DH3" s="13">
        <v>-2.494002133607864E-2</v>
      </c>
      <c r="DI3" s="13">
        <v>0.1019171923398972</v>
      </c>
      <c r="DJ3" s="13">
        <v>-1.003191247582436E-2</v>
      </c>
      <c r="DK3" s="13">
        <v>8.8250096887350082E-3</v>
      </c>
      <c r="DL3" s="13">
        <v>4.2583052068948753E-2</v>
      </c>
      <c r="DM3" s="13">
        <v>4.7666128724813461E-2</v>
      </c>
      <c r="DN3" s="13">
        <v>2.0568389445543289E-2</v>
      </c>
      <c r="DO3" s="13">
        <v>0.12660396099090579</v>
      </c>
      <c r="DP3" s="13">
        <v>-9.9558494985103607E-3</v>
      </c>
      <c r="DQ3" s="13">
        <v>7.8000598587095737E-3</v>
      </c>
      <c r="DR3" s="13">
        <v>7.9334713518619537E-2</v>
      </c>
      <c r="DS3" s="13">
        <v>-4.9381494522094727E-2</v>
      </c>
      <c r="DT3" s="13">
        <v>1.7781071364879612E-2</v>
      </c>
      <c r="DU3" s="13">
        <v>-2.9499910771846771E-2</v>
      </c>
      <c r="DV3" s="13">
        <v>-1.2142566964030269E-2</v>
      </c>
      <c r="DW3" s="13">
        <v>3.4191828221082687E-2</v>
      </c>
      <c r="DX3" s="13">
        <v>3.6637254059314728E-2</v>
      </c>
      <c r="DY3" s="13">
        <v>6.7992527037858963E-3</v>
      </c>
      <c r="DZ3" s="13">
        <v>3.535803034901619E-2</v>
      </c>
      <c r="EA3" s="13">
        <v>-5.6017383933067322E-2</v>
      </c>
      <c r="EB3" s="13">
        <v>1.8131472170352939E-2</v>
      </c>
      <c r="EC3" s="13">
        <v>2.3855423554778099E-2</v>
      </c>
      <c r="ED3" s="13">
        <v>-6.1541076749563217E-2</v>
      </c>
      <c r="EE3" s="13">
        <v>3.3718269318342209E-2</v>
      </c>
      <c r="EF3" s="13">
        <v>-4.8368137329816818E-2</v>
      </c>
      <c r="EG3" s="13">
        <v>-3.2573796808719642E-2</v>
      </c>
      <c r="EH3" s="13">
        <v>-1.002400647848845E-2</v>
      </c>
      <c r="EI3" s="13">
        <v>6.7612059414386749E-2</v>
      </c>
      <c r="EJ3" s="13">
        <v>3.5830613225698471E-2</v>
      </c>
      <c r="EK3" s="13">
        <v>-5.9804715216159821E-2</v>
      </c>
      <c r="EL3" s="13">
        <v>2.2737292572855949E-2</v>
      </c>
    </row>
    <row r="4" spans="1:142" ht="25" customHeight="1" x14ac:dyDescent="0.55000000000000004">
      <c r="B4" s="11" t="s">
        <v>144</v>
      </c>
      <c r="C4" s="13">
        <v>3.870559623464942E-3</v>
      </c>
      <c r="D4" s="13">
        <v>3.5997677594423287E-2</v>
      </c>
      <c r="E4" s="13">
        <v>-0.11142420023679731</v>
      </c>
      <c r="F4" s="13">
        <v>-1.511961102485657</v>
      </c>
      <c r="G4" s="13">
        <v>7.4539490044116974E-2</v>
      </c>
      <c r="H4" s="13">
        <v>0.62969094514846802</v>
      </c>
      <c r="I4" s="13">
        <v>4.3178446590900421E-2</v>
      </c>
      <c r="J4" s="13">
        <v>-5.2701528184115887E-3</v>
      </c>
      <c r="K4" s="13">
        <v>-1.118321903049946E-3</v>
      </c>
      <c r="L4" s="13">
        <v>-3.4464197233319283E-4</v>
      </c>
      <c r="M4" s="13">
        <v>-0.12803715467453</v>
      </c>
      <c r="N4" s="13">
        <v>0.16350230574607849</v>
      </c>
      <c r="O4" s="13">
        <v>-0.39166867733001709</v>
      </c>
      <c r="P4" s="13">
        <v>-0.45486584305763239</v>
      </c>
      <c r="Q4" s="13">
        <v>0.1261937469244003</v>
      </c>
      <c r="R4" s="13">
        <v>-0.17681904137134549</v>
      </c>
      <c r="S4" s="13">
        <v>-9.9162831902503967E-3</v>
      </c>
      <c r="T4" s="13">
        <v>2.5436170399189E-3</v>
      </c>
      <c r="U4" s="13">
        <v>6.453724205493927E-2</v>
      </c>
      <c r="V4" s="13">
        <v>-3.6361385136842728E-2</v>
      </c>
      <c r="W4" s="13">
        <v>7.7482402324676514E-2</v>
      </c>
      <c r="X4" s="13">
        <v>-1.7221692949533459E-2</v>
      </c>
      <c r="Y4" s="13">
        <v>-1.864603161811829E-2</v>
      </c>
      <c r="Z4" s="13">
        <v>-0.18653327226638791</v>
      </c>
      <c r="AA4" s="13">
        <v>-2.604332938790321E-2</v>
      </c>
      <c r="AB4" s="13">
        <v>0.28902542591094971</v>
      </c>
      <c r="AC4" s="13">
        <v>-0.13324955105781561</v>
      </c>
      <c r="AD4" s="13">
        <v>-4.2806375771760941E-2</v>
      </c>
      <c r="AE4" s="13">
        <v>2.730310894548893E-2</v>
      </c>
      <c r="AF4" s="13">
        <v>2.961502410471439E-2</v>
      </c>
      <c r="AG4" s="13">
        <v>-0.40827155113220209</v>
      </c>
      <c r="AH4" s="13">
        <v>-7.5332457199692726E-3</v>
      </c>
      <c r="AI4" s="13">
        <v>0.37125641107559199</v>
      </c>
      <c r="AJ4" s="13">
        <v>1.168565034866333</v>
      </c>
      <c r="AK4" s="13">
        <v>-4.1843324899673462E-2</v>
      </c>
      <c r="AL4" s="13">
        <v>5.6198220700025558E-3</v>
      </c>
      <c r="AM4" s="13">
        <v>-0.58320993185043335</v>
      </c>
      <c r="AN4" s="13">
        <v>8.6559981107711792E-2</v>
      </c>
      <c r="AO4" s="13">
        <v>-9.455205500125885E-2</v>
      </c>
      <c r="AP4" s="13">
        <v>-0.13015337288379669</v>
      </c>
      <c r="AQ4" s="13">
        <v>-5.3906351327896118E-2</v>
      </c>
      <c r="AR4" s="13">
        <v>-3.9724178612232208E-2</v>
      </c>
      <c r="AS4" s="13">
        <v>0.54399585723876953</v>
      </c>
      <c r="AT4" s="13">
        <v>-0.15387266874313349</v>
      </c>
      <c r="AU4" s="13">
        <v>-1.002355813980103</v>
      </c>
      <c r="AV4" s="13">
        <v>2.1820170879364009</v>
      </c>
      <c r="AW4" s="13">
        <v>-6.6789425909519196E-2</v>
      </c>
      <c r="AX4" s="13">
        <v>-3.687971830368042E-2</v>
      </c>
      <c r="AY4" s="13">
        <v>2.3489251732826229E-2</v>
      </c>
      <c r="AZ4" s="13">
        <v>2.6092387735843658E-2</v>
      </c>
      <c r="BA4" s="13">
        <v>2.5396239012479779E-2</v>
      </c>
      <c r="BB4" s="13">
        <v>-3.444623202085495E-2</v>
      </c>
      <c r="BC4" s="13">
        <v>0.1192516833543777</v>
      </c>
      <c r="BD4" s="13">
        <v>-2.7703525498509411E-2</v>
      </c>
      <c r="BE4" s="13">
        <v>0.17723888158798221</v>
      </c>
      <c r="BF4" s="13">
        <v>-0.1383980214595795</v>
      </c>
      <c r="BG4" s="13">
        <v>-0.27680736780166632</v>
      </c>
      <c r="BH4" s="13">
        <v>-0.1097642481327057</v>
      </c>
      <c r="BI4" s="13">
        <v>7.485111802816391E-2</v>
      </c>
      <c r="BJ4" s="13">
        <v>-8.5500866174697876E-2</v>
      </c>
      <c r="BK4" s="13">
        <v>1.942132972180843E-2</v>
      </c>
      <c r="BL4" s="13">
        <v>1.4647886157035829E-2</v>
      </c>
      <c r="BM4" s="13">
        <v>-1.6077449545264241E-2</v>
      </c>
      <c r="BN4" s="13">
        <v>0.14325195550918579</v>
      </c>
      <c r="BO4" s="13">
        <v>-7.1398638188838959E-2</v>
      </c>
      <c r="BP4" s="13">
        <v>9.2564776539802551E-2</v>
      </c>
      <c r="BQ4" s="13">
        <v>0.1667363494634628</v>
      </c>
      <c r="BR4" s="13">
        <v>-8.0824065953493118E-3</v>
      </c>
      <c r="BS4" s="13">
        <v>5.3763664327561864E-3</v>
      </c>
      <c r="BT4" s="13">
        <v>6.2633641064167023E-2</v>
      </c>
      <c r="BU4" s="13">
        <v>-1.6029242426157001E-2</v>
      </c>
      <c r="BV4" s="13">
        <v>-4.8218529671430588E-2</v>
      </c>
      <c r="BW4" s="13">
        <v>0.13876631855964661</v>
      </c>
      <c r="BX4" s="13">
        <v>-4.1642323136329651E-2</v>
      </c>
      <c r="BY4" s="13">
        <v>-3.6687850952148438E-2</v>
      </c>
      <c r="BZ4" s="13">
        <v>-6.5445929765701294E-2</v>
      </c>
      <c r="CA4" s="13">
        <v>-4.3612170964479453E-2</v>
      </c>
      <c r="CB4" s="13">
        <v>-1.8295582383871078E-2</v>
      </c>
      <c r="CC4" s="13">
        <v>-5.329618975520134E-2</v>
      </c>
      <c r="CD4" s="13">
        <v>7.70769864320755E-2</v>
      </c>
      <c r="CE4" s="13">
        <v>-8.4981024265289307E-2</v>
      </c>
      <c r="CF4" s="13">
        <v>-5.095333606004715E-2</v>
      </c>
      <c r="CG4" s="13">
        <v>0.31693470478057861</v>
      </c>
      <c r="CH4" s="13">
        <v>-8.0266706645488739E-2</v>
      </c>
      <c r="CI4" s="13">
        <v>1.7374251037836071E-2</v>
      </c>
      <c r="CJ4" s="13">
        <v>-8.8597118854522705E-2</v>
      </c>
      <c r="CK4" s="13">
        <v>1.151612680405378E-2</v>
      </c>
      <c r="CL4" s="13">
        <v>-4.5895207673311227E-2</v>
      </c>
      <c r="CM4" s="13">
        <v>6.536266952753067E-2</v>
      </c>
      <c r="CN4" s="13">
        <v>-3.100208193063736E-2</v>
      </c>
      <c r="CO4" s="13">
        <v>3.4829422831535339E-2</v>
      </c>
      <c r="CP4" s="13">
        <v>3.6704540252685552E-4</v>
      </c>
      <c r="CQ4" s="13">
        <v>1.010782830417156E-2</v>
      </c>
      <c r="CR4" s="13">
        <v>-0.1028320267796516</v>
      </c>
      <c r="CS4" s="13">
        <v>-5.6077510118484497E-2</v>
      </c>
      <c r="CT4" s="13">
        <v>-3.8787499070167542E-3</v>
      </c>
      <c r="CU4" s="13">
        <v>0.13234809041023249</v>
      </c>
      <c r="CV4" s="13">
        <v>0.10563398152589799</v>
      </c>
      <c r="CW4" s="13">
        <v>-8.7821513414382935E-2</v>
      </c>
      <c r="CX4" s="13">
        <v>7.1240111719816923E-4</v>
      </c>
      <c r="CY4" s="13">
        <v>0.36373773217201227</v>
      </c>
      <c r="CZ4" s="13">
        <v>-4.8349485732614994E-3</v>
      </c>
      <c r="DA4" s="13">
        <v>-8.3424828946590424E-2</v>
      </c>
      <c r="DB4" s="13">
        <v>-5.1979310810565948E-2</v>
      </c>
      <c r="DC4" s="13">
        <v>0.25393012166023249</v>
      </c>
      <c r="DD4" s="13">
        <v>-4.378100112080574E-2</v>
      </c>
      <c r="DE4" s="13">
        <v>-3.2883144449442629E-3</v>
      </c>
      <c r="DF4" s="13">
        <v>-4.7095447778701782E-2</v>
      </c>
      <c r="DG4" s="13">
        <v>-3.4358881413936608E-2</v>
      </c>
      <c r="DH4" s="13">
        <v>-2.17919647693634E-2</v>
      </c>
      <c r="DI4" s="13">
        <v>-4.2925726622343063E-2</v>
      </c>
      <c r="DJ4" s="13">
        <v>-1.0490339249372481E-2</v>
      </c>
      <c r="DK4" s="13">
        <v>0.22539284825325009</v>
      </c>
      <c r="DL4" s="13">
        <v>0.53151315450668335</v>
      </c>
      <c r="DM4" s="13">
        <v>-0.12688970565795901</v>
      </c>
      <c r="DN4" s="13">
        <v>-0.20791251957416529</v>
      </c>
      <c r="DO4" s="13">
        <v>4.3841160833835602E-2</v>
      </c>
      <c r="DP4" s="13">
        <v>-3.2787293195724487E-2</v>
      </c>
      <c r="DQ4" s="13">
        <v>4.3555703014135361E-2</v>
      </c>
      <c r="DR4" s="13">
        <v>3.419225662946701E-2</v>
      </c>
      <c r="DS4" s="13">
        <v>-2.9718950390815731E-2</v>
      </c>
      <c r="DT4" s="13">
        <v>2.568194642663002E-3</v>
      </c>
      <c r="DU4" s="13">
        <v>1.695318147540092E-3</v>
      </c>
      <c r="DV4" s="13">
        <v>-5.6332360953092582E-2</v>
      </c>
      <c r="DW4" s="13">
        <v>-3.6220617592334747E-2</v>
      </c>
      <c r="DX4" s="13">
        <v>-2.1964039653539661E-2</v>
      </c>
      <c r="DY4" s="13">
        <v>-6.252395361661911E-2</v>
      </c>
      <c r="DZ4" s="13">
        <v>-0.11916419863700869</v>
      </c>
      <c r="EA4" s="13">
        <v>-5.2916932851076133E-2</v>
      </c>
      <c r="EB4" s="13">
        <v>-4.9353361129760742E-2</v>
      </c>
      <c r="EC4" s="13">
        <v>-5.4525550454854972E-2</v>
      </c>
      <c r="ED4" s="13">
        <v>-0.14734306931495669</v>
      </c>
      <c r="EE4" s="13">
        <v>0.49940222501754761</v>
      </c>
      <c r="EF4" s="13">
        <v>7.0188522338867188E-2</v>
      </c>
      <c r="EG4" s="13">
        <v>-6.0505442321300507E-2</v>
      </c>
      <c r="EH4" s="13">
        <v>-3.9344668388366699E-2</v>
      </c>
      <c r="EI4" s="13">
        <v>-5.205858126282692E-2</v>
      </c>
      <c r="EJ4" s="13">
        <v>-2.626714296638966E-2</v>
      </c>
      <c r="EK4" s="13">
        <v>-3.1529854983091347E-2</v>
      </c>
      <c r="EL4" s="13">
        <v>-4.7431431710720062E-2</v>
      </c>
    </row>
    <row r="5" spans="1:142" ht="25" customHeight="1" x14ac:dyDescent="0.55000000000000004">
      <c r="B5" s="14" t="s">
        <v>145</v>
      </c>
      <c r="C5" s="13">
        <v>0.15728221833705899</v>
      </c>
      <c r="D5" s="13">
        <v>-9.360792487859726E-2</v>
      </c>
      <c r="E5" s="13">
        <v>4.7210998833179467E-2</v>
      </c>
      <c r="F5" s="13">
        <v>-0.70836770534515381</v>
      </c>
      <c r="G5" s="13">
        <v>3.882811963558197E-2</v>
      </c>
      <c r="H5" s="13">
        <v>0.1067815870046616</v>
      </c>
      <c r="I5" s="13">
        <v>-6.3020594418048859E-2</v>
      </c>
      <c r="J5" s="13">
        <v>0.25328341126441961</v>
      </c>
      <c r="K5" s="13">
        <v>-0.21305651962757111</v>
      </c>
      <c r="L5" s="13">
        <v>-1.068534329533577E-4</v>
      </c>
      <c r="M5" s="13">
        <v>3.7173189222812653E-2</v>
      </c>
      <c r="N5" s="13">
        <v>-2.4056751281023029E-2</v>
      </c>
      <c r="O5" s="13">
        <v>-0.2088502049446106</v>
      </c>
      <c r="P5" s="13">
        <v>-1.7341554164886471E-2</v>
      </c>
      <c r="Q5" s="13">
        <v>3.9374515414237983E-2</v>
      </c>
      <c r="R5" s="13">
        <v>0.25330221652984619</v>
      </c>
      <c r="S5" s="13">
        <v>-1.55029334127903E-2</v>
      </c>
      <c r="T5" s="13">
        <v>2.128894254565239E-2</v>
      </c>
      <c r="U5" s="13">
        <v>5.9901822358369827E-2</v>
      </c>
      <c r="V5" s="13">
        <v>1.8060449510812759E-2</v>
      </c>
      <c r="W5" s="13">
        <v>2.2303810343146321E-2</v>
      </c>
      <c r="X5" s="13">
        <v>1.35560529306531E-2</v>
      </c>
      <c r="Y5" s="13">
        <v>0.1066936030983925</v>
      </c>
      <c r="Z5" s="13">
        <v>-5.3154490888118744E-3</v>
      </c>
      <c r="AA5" s="13">
        <v>5.6201256811618798E-2</v>
      </c>
      <c r="AB5" s="13">
        <v>4.4481209479272374E-3</v>
      </c>
      <c r="AC5" s="13">
        <v>3.8542207330465317E-2</v>
      </c>
      <c r="AD5" s="13">
        <v>-9.2996269464492798E-2</v>
      </c>
      <c r="AE5" s="13">
        <v>-5.3630407899618149E-2</v>
      </c>
      <c r="AF5" s="13">
        <v>-2.3201905190944672E-2</v>
      </c>
      <c r="AG5" s="13">
        <v>-1.5007982030510901E-2</v>
      </c>
      <c r="AH5" s="13">
        <v>-0.1727122962474823</v>
      </c>
      <c r="AI5" s="13">
        <v>-4.985230416059494E-2</v>
      </c>
      <c r="AJ5" s="13">
        <v>-2.5916256010532379E-2</v>
      </c>
      <c r="AK5" s="13">
        <v>-7.142871618270874E-2</v>
      </c>
      <c r="AL5" s="13">
        <v>-7.443651556968689E-2</v>
      </c>
      <c r="AM5" s="13">
        <v>1.7243715701624749E-3</v>
      </c>
      <c r="AN5" s="13">
        <v>1.0147985070943831E-2</v>
      </c>
      <c r="AO5" s="13">
        <v>-3.4368205815553672E-2</v>
      </c>
      <c r="AP5" s="13">
        <v>4.3309431523084641E-2</v>
      </c>
      <c r="AQ5" s="13">
        <v>3.1201960518956181E-2</v>
      </c>
      <c r="AR5" s="13">
        <v>4.1792314499616623E-2</v>
      </c>
      <c r="AS5" s="13">
        <v>2.7980707585811612E-2</v>
      </c>
      <c r="AT5" s="13">
        <v>4.3570663779973977E-2</v>
      </c>
      <c r="AU5" s="13">
        <v>-6.0129731893539429E-2</v>
      </c>
      <c r="AV5" s="13">
        <v>5.8778803795576103E-2</v>
      </c>
      <c r="AW5" s="13">
        <v>-1.421161182224751E-2</v>
      </c>
      <c r="AX5" s="13">
        <v>3.5558942705392838E-2</v>
      </c>
      <c r="AY5" s="13">
        <v>-5.2718911319971076E-3</v>
      </c>
      <c r="AZ5" s="13">
        <v>0.20549611747264859</v>
      </c>
      <c r="BA5" s="13">
        <v>-5.8955032378435128E-2</v>
      </c>
      <c r="BB5" s="13">
        <v>1.978259906172752E-2</v>
      </c>
      <c r="BC5" s="13">
        <v>-5.2128564566373834E-3</v>
      </c>
      <c r="BD5" s="13">
        <v>1.5692710876464839E-3</v>
      </c>
      <c r="BE5" s="13">
        <v>6.6211316734552383E-3</v>
      </c>
      <c r="BF5" s="13">
        <v>-3.4770134836435318E-2</v>
      </c>
      <c r="BG5" s="13">
        <v>3.2832425087690353E-2</v>
      </c>
      <c r="BH5" s="13">
        <v>7.9831413924694061E-2</v>
      </c>
      <c r="BI5" s="13">
        <v>3.5669207572937012E-2</v>
      </c>
      <c r="BJ5" s="13">
        <v>-0.14304828643798831</v>
      </c>
      <c r="BK5" s="13">
        <v>-7.9762917011976242E-3</v>
      </c>
      <c r="BL5" s="13">
        <v>-2.2237086668610569E-2</v>
      </c>
      <c r="BM5" s="13">
        <v>-2.1434292197227481E-2</v>
      </c>
      <c r="BN5" s="13">
        <v>4.2074248194694519E-2</v>
      </c>
      <c r="BO5" s="13">
        <v>-4.8225275240838528E-3</v>
      </c>
      <c r="BP5" s="13">
        <v>0.19304460287094119</v>
      </c>
      <c r="BQ5" s="13">
        <v>-1.588580384850502E-2</v>
      </c>
      <c r="BR5" s="13">
        <v>4.7026313841342933E-2</v>
      </c>
      <c r="BS5" s="13">
        <v>-2.108896616846323E-3</v>
      </c>
      <c r="BT5" s="13">
        <v>7.1017861366271973E-2</v>
      </c>
      <c r="BU5" s="13">
        <v>1.4510871842503549E-2</v>
      </c>
      <c r="BV5" s="13">
        <v>-1.5541463159024721E-2</v>
      </c>
      <c r="BW5" s="13">
        <v>2.151111513376236E-2</v>
      </c>
      <c r="BX5" s="13">
        <v>5.2462355233728886E-4</v>
      </c>
      <c r="BY5" s="13">
        <v>1.4051110483705999E-2</v>
      </c>
      <c r="BZ5" s="13">
        <v>1.994649134576321E-2</v>
      </c>
      <c r="CA5" s="13">
        <v>6.0863859951496117E-2</v>
      </c>
      <c r="CB5" s="13">
        <v>-1.1056241579353809E-2</v>
      </c>
      <c r="CC5" s="13">
        <v>-1.7598947510123249E-2</v>
      </c>
      <c r="CD5" s="13">
        <v>-0.27556115388870239</v>
      </c>
      <c r="CE5" s="13">
        <v>1.9525907933712009E-2</v>
      </c>
      <c r="CF5" s="13">
        <v>1.444989629089832E-2</v>
      </c>
      <c r="CG5" s="13">
        <v>1.1521061882376671E-2</v>
      </c>
      <c r="CH5" s="13">
        <v>1.7888244241476059E-2</v>
      </c>
      <c r="CI5" s="13">
        <v>-3.4701935946941383E-2</v>
      </c>
      <c r="CJ5" s="13">
        <v>7.8718312084674835E-2</v>
      </c>
      <c r="CK5" s="13">
        <v>-9.0738311409950256E-3</v>
      </c>
      <c r="CL5" s="13">
        <v>7.3401955887675294E-3</v>
      </c>
      <c r="CM5" s="13">
        <v>3.0147809535264969E-2</v>
      </c>
      <c r="CN5" s="13">
        <v>-2.0948931574821469E-2</v>
      </c>
      <c r="CO5" s="13">
        <v>1.099514123052359E-2</v>
      </c>
      <c r="CP5" s="13">
        <v>3.048352338373661E-2</v>
      </c>
      <c r="CQ5" s="13">
        <v>1.575024425983429E-2</v>
      </c>
      <c r="CR5" s="13">
        <v>4.3309997767210007E-2</v>
      </c>
      <c r="CS5" s="13">
        <v>-7.0295911282300949E-3</v>
      </c>
      <c r="CT5" s="13">
        <v>-0.20210836827754969</v>
      </c>
      <c r="CU5" s="13">
        <v>5.5134397000074387E-2</v>
      </c>
      <c r="CV5" s="13">
        <v>-7.7904406934976578E-3</v>
      </c>
      <c r="CW5" s="13">
        <v>4.712243378162384E-2</v>
      </c>
      <c r="CX5" s="13">
        <v>2.407862804830074E-2</v>
      </c>
      <c r="CY5" s="13">
        <v>3.9282910525798798E-2</v>
      </c>
      <c r="CZ5" s="13">
        <v>2.5767353363335128E-3</v>
      </c>
      <c r="DA5" s="13">
        <v>-9.331473708152771E-2</v>
      </c>
      <c r="DB5" s="13">
        <v>2.7354532852768901E-2</v>
      </c>
      <c r="DC5" s="13">
        <v>-8.8319713249802589E-3</v>
      </c>
      <c r="DD5" s="13">
        <v>1.1949365027248859E-2</v>
      </c>
      <c r="DE5" s="13">
        <v>0.153162956237793</v>
      </c>
      <c r="DF5" s="13">
        <v>-0.1304758936166763</v>
      </c>
      <c r="DG5" s="13">
        <v>7.8797116875648499E-2</v>
      </c>
      <c r="DH5" s="13">
        <v>-3.4067621454596519E-3</v>
      </c>
      <c r="DI5" s="13">
        <v>-3.4042172133922577E-2</v>
      </c>
      <c r="DJ5" s="13">
        <v>1.7224639654159549E-2</v>
      </c>
      <c r="DK5" s="13">
        <v>-6.0201231390237808E-2</v>
      </c>
      <c r="DL5" s="13">
        <v>1.9497528672218319E-2</v>
      </c>
      <c r="DM5" s="13">
        <v>3.1447045505046838E-2</v>
      </c>
      <c r="DN5" s="13">
        <v>-1.072731986641884E-2</v>
      </c>
      <c r="DO5" s="13">
        <v>-9.3603963032364845E-3</v>
      </c>
      <c r="DP5" s="13">
        <v>1.4958190731704239E-3</v>
      </c>
      <c r="DQ5" s="13">
        <v>-1.0305615141987801E-2</v>
      </c>
      <c r="DR5" s="13">
        <v>-2.3077009245753292E-5</v>
      </c>
      <c r="DS5" s="13">
        <v>2.5312235578894619E-2</v>
      </c>
      <c r="DT5" s="13">
        <v>-5.9307925403118134E-3</v>
      </c>
      <c r="DU5" s="13">
        <v>-2.1439030766487122E-2</v>
      </c>
      <c r="DV5" s="13">
        <v>-6.631581112742424E-3</v>
      </c>
      <c r="DW5" s="13">
        <v>2.2088773548603058E-3</v>
      </c>
      <c r="DX5" s="13">
        <v>2.426446974277496E-2</v>
      </c>
      <c r="DY5" s="13">
        <v>-4.4387592934072018E-3</v>
      </c>
      <c r="DZ5" s="13">
        <v>-4.3286606669425956E-3</v>
      </c>
      <c r="EA5" s="13">
        <v>4.393279179930687E-2</v>
      </c>
      <c r="EB5" s="13">
        <v>4.3056784197688103E-3</v>
      </c>
      <c r="EC5" s="13">
        <v>1.4913066290318969E-2</v>
      </c>
      <c r="ED5" s="13">
        <v>3.3056620508432388E-2</v>
      </c>
      <c r="EE5" s="13">
        <v>-0.13893654942512509</v>
      </c>
      <c r="EF5" s="13">
        <v>2.2550139576196671E-2</v>
      </c>
      <c r="EG5" s="13">
        <v>3.9826378226280212E-2</v>
      </c>
      <c r="EH5" s="13">
        <v>-1.786313392221928E-2</v>
      </c>
      <c r="EI5" s="13">
        <v>-1.311898604035378E-2</v>
      </c>
      <c r="EJ5" s="13">
        <v>-1.775002107024193E-3</v>
      </c>
      <c r="EK5" s="13">
        <v>-1.7223425209522251E-2</v>
      </c>
      <c r="EL5" s="13">
        <v>-2.6442604139447209E-2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7" t="s">
        <v>296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ht="25" customHeight="1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ht="25" customHeight="1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ht="25" customHeight="1" x14ac:dyDescent="0.55000000000000004">
      <c r="A13" s="12" t="s">
        <v>297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1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0</v>
      </c>
      <c r="M13" s="12">
        <f t="shared" si="0"/>
        <v>0</v>
      </c>
      <c r="N13" s="12">
        <f t="shared" si="0"/>
        <v>1</v>
      </c>
      <c r="O13" s="12">
        <f t="shared" si="0"/>
        <v>0</v>
      </c>
      <c r="P13" s="12">
        <f t="shared" si="0"/>
        <v>0</v>
      </c>
      <c r="Q13" s="12">
        <f t="shared" si="0"/>
        <v>0</v>
      </c>
      <c r="R13" s="12">
        <f t="shared" si="0"/>
        <v>0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0</v>
      </c>
      <c r="W13" s="12">
        <f t="shared" si="0"/>
        <v>1</v>
      </c>
      <c r="X13" s="12">
        <f t="shared" si="0"/>
        <v>0</v>
      </c>
      <c r="Y13" s="12">
        <f t="shared" si="0"/>
        <v>0</v>
      </c>
      <c r="Z13" s="12">
        <f t="shared" si="0"/>
        <v>0</v>
      </c>
      <c r="AA13" s="12">
        <f t="shared" si="0"/>
        <v>0</v>
      </c>
      <c r="AB13" s="12">
        <f t="shared" si="0"/>
        <v>0</v>
      </c>
      <c r="AC13" s="12">
        <f t="shared" si="0"/>
        <v>1</v>
      </c>
      <c r="AD13" s="12">
        <f t="shared" si="0"/>
        <v>0</v>
      </c>
      <c r="AE13" s="12">
        <f t="shared" si="0"/>
        <v>0</v>
      </c>
      <c r="AF13" s="12">
        <f t="shared" si="0"/>
        <v>0</v>
      </c>
      <c r="AG13" s="12">
        <f t="shared" si="0"/>
        <v>0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0</v>
      </c>
      <c r="AK13" s="12">
        <f t="shared" si="1"/>
        <v>0</v>
      </c>
      <c r="AL13" s="12">
        <f t="shared" si="1"/>
        <v>1</v>
      </c>
      <c r="AM13" s="12">
        <f t="shared" si="1"/>
        <v>0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0</v>
      </c>
      <c r="AY13" s="12">
        <f t="shared" si="1"/>
        <v>0</v>
      </c>
      <c r="AZ13" s="12">
        <f t="shared" si="1"/>
        <v>0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0</v>
      </c>
      <c r="BF13" s="12">
        <f t="shared" si="1"/>
        <v>1</v>
      </c>
      <c r="BG13" s="12">
        <f t="shared" si="1"/>
        <v>1</v>
      </c>
      <c r="BH13" s="12">
        <f t="shared" si="1"/>
        <v>0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0</v>
      </c>
      <c r="BM13" s="12">
        <f t="shared" si="1"/>
        <v>0</v>
      </c>
      <c r="BN13" s="12">
        <f t="shared" si="1"/>
        <v>0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0</v>
      </c>
      <c r="BT13" s="12">
        <f t="shared" si="2"/>
        <v>0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0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0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0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0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0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1</v>
      </c>
      <c r="DP13" s="12">
        <f t="shared" si="3"/>
        <v>0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0</v>
      </c>
      <c r="DV13" s="12">
        <f t="shared" si="3"/>
        <v>0</v>
      </c>
      <c r="DW13" s="12">
        <f t="shared" si="3"/>
        <v>1</v>
      </c>
      <c r="DX13" s="12">
        <f t="shared" si="3"/>
        <v>0</v>
      </c>
      <c r="DY13" s="12">
        <f t="shared" si="3"/>
        <v>1</v>
      </c>
      <c r="DZ13" s="12">
        <f t="shared" si="3"/>
        <v>0</v>
      </c>
      <c r="EA13" s="12">
        <f t="shared" ref="EA13:EL13" si="4">IF(AND(EA3&gt;0,EA9&gt;0),1,0)</f>
        <v>0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0</v>
      </c>
      <c r="EG13" s="12">
        <f t="shared" si="4"/>
        <v>0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0</v>
      </c>
      <c r="EL13" s="12">
        <f t="shared" si="4"/>
        <v>0</v>
      </c>
    </row>
    <row r="14" spans="1:142" ht="25" customHeight="1" x14ac:dyDescent="0.55000000000000004">
      <c r="A14" s="12" t="s">
        <v>298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1</v>
      </c>
      <c r="U14" s="12">
        <f t="shared" si="5"/>
        <v>1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1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1</v>
      </c>
      <c r="AW14" s="12">
        <f t="shared" si="6"/>
        <v>0</v>
      </c>
      <c r="AX14" s="12">
        <f t="shared" si="6"/>
        <v>0</v>
      </c>
      <c r="AY14" s="12">
        <f t="shared" si="6"/>
        <v>1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1</v>
      </c>
      <c r="BD14" s="12">
        <f t="shared" si="6"/>
        <v>0</v>
      </c>
      <c r="BE14" s="12">
        <f t="shared" si="6"/>
        <v>1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1</v>
      </c>
      <c r="BL14" s="12">
        <f t="shared" si="6"/>
        <v>0</v>
      </c>
      <c r="BM14" s="12">
        <f t="shared" si="6"/>
        <v>0</v>
      </c>
      <c r="BN14" s="12">
        <f t="shared" si="6"/>
        <v>1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1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1</v>
      </c>
      <c r="CH14" s="12">
        <f t="shared" si="7"/>
        <v>0</v>
      </c>
      <c r="CI14" s="12">
        <f t="shared" si="7"/>
        <v>1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1</v>
      </c>
      <c r="CN14" s="12">
        <f t="shared" si="7"/>
        <v>0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1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1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1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1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0</v>
      </c>
      <c r="E15" s="12">
        <f t="shared" si="10"/>
        <v>0</v>
      </c>
      <c r="F15" s="12">
        <f t="shared" si="10"/>
        <v>0</v>
      </c>
      <c r="G15" s="12">
        <f t="shared" si="10"/>
        <v>1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0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0</v>
      </c>
      <c r="P15" s="12">
        <f t="shared" si="10"/>
        <v>0</v>
      </c>
      <c r="Q15" s="12">
        <f t="shared" si="10"/>
        <v>1</v>
      </c>
      <c r="R15" s="12">
        <f t="shared" si="10"/>
        <v>0</v>
      </c>
      <c r="S15" s="12">
        <f t="shared" si="10"/>
        <v>0</v>
      </c>
      <c r="T15" s="12">
        <f t="shared" si="10"/>
        <v>1</v>
      </c>
      <c r="U15" s="12">
        <f t="shared" si="10"/>
        <v>1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1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0</v>
      </c>
      <c r="AE15" s="12">
        <f t="shared" si="10"/>
        <v>0</v>
      </c>
      <c r="AF15" s="12">
        <f t="shared" si="10"/>
        <v>0</v>
      </c>
      <c r="AG15" s="12">
        <f t="shared" si="10"/>
        <v>0</v>
      </c>
      <c r="AH15" s="12">
        <f t="shared" si="10"/>
        <v>0</v>
      </c>
      <c r="AI15" s="12">
        <f t="shared" ref="AI15:BN15" si="11">IF(AND(AI5&gt;0,AI11&gt;0),1,0)</f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1</v>
      </c>
      <c r="AO15" s="12">
        <f t="shared" si="11"/>
        <v>0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1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0</v>
      </c>
      <c r="AX15" s="12">
        <f t="shared" si="11"/>
        <v>0</v>
      </c>
      <c r="AY15" s="12">
        <f t="shared" si="11"/>
        <v>0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0</v>
      </c>
      <c r="BD15" s="12">
        <f t="shared" si="11"/>
        <v>1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1</v>
      </c>
      <c r="CA15" s="12">
        <f t="shared" si="12"/>
        <v>1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1</v>
      </c>
      <c r="CK15" s="12">
        <f t="shared" si="12"/>
        <v>0</v>
      </c>
      <c r="CL15" s="12">
        <f t="shared" si="12"/>
        <v>1</v>
      </c>
      <c r="CM15" s="12">
        <f t="shared" si="12"/>
        <v>0</v>
      </c>
      <c r="CN15" s="12">
        <f t="shared" si="12"/>
        <v>0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0</v>
      </c>
      <c r="CW15" s="12">
        <f t="shared" si="13"/>
        <v>1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0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0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1</v>
      </c>
      <c r="DK15" s="12">
        <f t="shared" si="13"/>
        <v>0</v>
      </c>
      <c r="DL15" s="12">
        <f t="shared" si="13"/>
        <v>1</v>
      </c>
      <c r="DM15" s="12">
        <f t="shared" si="13"/>
        <v>1</v>
      </c>
      <c r="DN15" s="12">
        <f t="shared" si="13"/>
        <v>0</v>
      </c>
      <c r="DO15" s="12">
        <f t="shared" si="13"/>
        <v>0</v>
      </c>
      <c r="DP15" s="12">
        <f t="shared" si="13"/>
        <v>0</v>
      </c>
      <c r="DQ15" s="12">
        <f t="shared" si="13"/>
        <v>0</v>
      </c>
      <c r="DR15" s="12">
        <f t="shared" si="13"/>
        <v>0</v>
      </c>
      <c r="DS15" s="12">
        <f t="shared" si="13"/>
        <v>1</v>
      </c>
      <c r="DT15" s="12">
        <f t="shared" si="13"/>
        <v>0</v>
      </c>
      <c r="DU15" s="12">
        <f t="shared" si="13"/>
        <v>0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0</v>
      </c>
      <c r="DZ15" s="12">
        <f t="shared" si="13"/>
        <v>0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1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0</v>
      </c>
      <c r="EK15" s="12">
        <f t="shared" si="14"/>
        <v>0</v>
      </c>
      <c r="EL15" s="12">
        <f t="shared" si="14"/>
        <v>0</v>
      </c>
    </row>
    <row r="16" spans="1:142" ht="25" customHeight="1" x14ac:dyDescent="0.55000000000000004">
      <c r="B16" s="18" t="s">
        <v>297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108</v>
      </c>
    </row>
    <row r="17" spans="1:142" ht="25" customHeight="1" x14ac:dyDescent="0.55000000000000004">
      <c r="A17" s="12" t="s">
        <v>299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0</v>
      </c>
      <c r="F17" s="12">
        <f t="shared" si="15"/>
        <v>0</v>
      </c>
      <c r="G17" s="12">
        <f t="shared" si="15"/>
        <v>0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0</v>
      </c>
      <c r="Q17" s="12">
        <f t="shared" si="15"/>
        <v>1</v>
      </c>
      <c r="R17" s="12">
        <f t="shared" si="15"/>
        <v>0</v>
      </c>
      <c r="S17" s="12">
        <f t="shared" si="15"/>
        <v>1</v>
      </c>
      <c r="T17" s="12">
        <f t="shared" si="15"/>
        <v>1</v>
      </c>
      <c r="U17" s="12">
        <f t="shared" si="15"/>
        <v>0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0</v>
      </c>
      <c r="AQ17" s="12">
        <f t="shared" si="16"/>
        <v>0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0</v>
      </c>
      <c r="BK17" s="12">
        <f t="shared" si="16"/>
        <v>1</v>
      </c>
      <c r="BL17" s="12">
        <f t="shared" si="16"/>
        <v>0</v>
      </c>
      <c r="BM17" s="12">
        <f t="shared" si="16"/>
        <v>0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0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0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1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0</v>
      </c>
      <c r="CJ17" s="12">
        <f t="shared" si="17"/>
        <v>0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1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0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1</v>
      </c>
      <c r="DM17" s="12">
        <f t="shared" si="18"/>
        <v>1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0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0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0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1</v>
      </c>
    </row>
    <row r="18" spans="1:142" ht="25" customHeight="1" x14ac:dyDescent="0.55000000000000004">
      <c r="A18" s="12" t="s">
        <v>300</v>
      </c>
      <c r="B18" s="11" t="s">
        <v>144</v>
      </c>
      <c r="C18" s="12">
        <f t="shared" ref="C18:AH18" si="20">IF(AND(C4&gt;0,C10&lt;0),1,0)</f>
        <v>1</v>
      </c>
      <c r="D18" s="12">
        <f t="shared" si="20"/>
        <v>1</v>
      </c>
      <c r="E18" s="12">
        <f t="shared" si="20"/>
        <v>0</v>
      </c>
      <c r="F18" s="12">
        <f t="shared" si="20"/>
        <v>0</v>
      </c>
      <c r="G18" s="12">
        <f t="shared" si="20"/>
        <v>1</v>
      </c>
      <c r="H18" s="12">
        <f t="shared" si="20"/>
        <v>1</v>
      </c>
      <c r="I18" s="12">
        <f t="shared" si="20"/>
        <v>1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1</v>
      </c>
      <c r="O18" s="12">
        <f t="shared" si="20"/>
        <v>0</v>
      </c>
      <c r="P18" s="12">
        <f t="shared" si="20"/>
        <v>0</v>
      </c>
      <c r="Q18" s="12">
        <f t="shared" si="20"/>
        <v>1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1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1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1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1</v>
      </c>
      <c r="AJ18" s="12">
        <f t="shared" si="21"/>
        <v>1</v>
      </c>
      <c r="AK18" s="12">
        <f t="shared" si="21"/>
        <v>0</v>
      </c>
      <c r="AL18" s="12">
        <f t="shared" si="21"/>
        <v>1</v>
      </c>
      <c r="AM18" s="12">
        <f t="shared" si="21"/>
        <v>0</v>
      </c>
      <c r="AN18" s="12">
        <f t="shared" si="21"/>
        <v>1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1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1</v>
      </c>
      <c r="BA18" s="12">
        <f t="shared" si="21"/>
        <v>1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1</v>
      </c>
      <c r="BJ18" s="12">
        <f t="shared" si="21"/>
        <v>0</v>
      </c>
      <c r="BK18" s="12">
        <f t="shared" si="21"/>
        <v>0</v>
      </c>
      <c r="BL18" s="12">
        <f t="shared" si="21"/>
        <v>1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1</v>
      </c>
      <c r="BR18" s="12">
        <f t="shared" si="22"/>
        <v>0</v>
      </c>
      <c r="BS18" s="12">
        <f t="shared" si="22"/>
        <v>1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0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1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1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1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1</v>
      </c>
      <c r="CV18" s="12">
        <f t="shared" si="23"/>
        <v>1</v>
      </c>
      <c r="CW18" s="12">
        <f t="shared" si="23"/>
        <v>0</v>
      </c>
      <c r="CX18" s="12">
        <f t="shared" si="23"/>
        <v>1</v>
      </c>
      <c r="CY18" s="12">
        <f t="shared" si="23"/>
        <v>1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1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1</v>
      </c>
      <c r="DM18" s="12">
        <f t="shared" si="23"/>
        <v>0</v>
      </c>
      <c r="DN18" s="12">
        <f t="shared" si="23"/>
        <v>0</v>
      </c>
      <c r="DO18" s="12">
        <f t="shared" si="23"/>
        <v>1</v>
      </c>
      <c r="DP18" s="12">
        <f t="shared" si="23"/>
        <v>0</v>
      </c>
      <c r="DQ18" s="12">
        <f t="shared" si="23"/>
        <v>0</v>
      </c>
      <c r="DR18" s="12">
        <f t="shared" si="23"/>
        <v>1</v>
      </c>
      <c r="DS18" s="12">
        <f t="shared" si="23"/>
        <v>0</v>
      </c>
      <c r="DT18" s="12">
        <f t="shared" si="23"/>
        <v>1</v>
      </c>
      <c r="DU18" s="12">
        <f t="shared" si="23"/>
        <v>0</v>
      </c>
      <c r="DV18" s="12">
        <f t="shared" si="23"/>
        <v>0</v>
      </c>
      <c r="DW18" s="12">
        <f t="shared" si="23"/>
        <v>0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1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0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1</v>
      </c>
      <c r="F19" s="12">
        <f t="shared" si="25"/>
        <v>0</v>
      </c>
      <c r="G19" s="12">
        <f t="shared" si="25"/>
        <v>0</v>
      </c>
      <c r="H19" s="12">
        <f t="shared" si="25"/>
        <v>0</v>
      </c>
      <c r="I19" s="12">
        <f t="shared" si="25"/>
        <v>0</v>
      </c>
      <c r="J19" s="12">
        <f t="shared" si="25"/>
        <v>1</v>
      </c>
      <c r="K19" s="12">
        <f t="shared" si="25"/>
        <v>0</v>
      </c>
      <c r="L19" s="12">
        <f t="shared" si="25"/>
        <v>0</v>
      </c>
      <c r="M19" s="12">
        <f t="shared" si="25"/>
        <v>0</v>
      </c>
      <c r="N19" s="12">
        <f t="shared" si="25"/>
        <v>0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0</v>
      </c>
      <c r="AA19" s="12">
        <f t="shared" si="25"/>
        <v>0</v>
      </c>
      <c r="AB19" s="12">
        <f t="shared" si="25"/>
        <v>1</v>
      </c>
      <c r="AC19" s="12">
        <f t="shared" si="25"/>
        <v>1</v>
      </c>
      <c r="AD19" s="12">
        <f t="shared" si="25"/>
        <v>0</v>
      </c>
      <c r="AE19" s="12">
        <f t="shared" si="25"/>
        <v>0</v>
      </c>
      <c r="AF19" s="12">
        <f t="shared" si="25"/>
        <v>0</v>
      </c>
      <c r="AG19" s="12">
        <f t="shared" si="25"/>
        <v>0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0</v>
      </c>
      <c r="AK19" s="12">
        <f t="shared" si="26"/>
        <v>0</v>
      </c>
      <c r="AL19" s="12">
        <f t="shared" si="26"/>
        <v>0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0</v>
      </c>
      <c r="AV19" s="12">
        <f t="shared" si="26"/>
        <v>0</v>
      </c>
      <c r="AW19" s="12">
        <f t="shared" si="26"/>
        <v>0</v>
      </c>
      <c r="AX19" s="12">
        <f t="shared" si="26"/>
        <v>1</v>
      </c>
      <c r="AY19" s="12">
        <f t="shared" si="26"/>
        <v>0</v>
      </c>
      <c r="AZ19" s="12">
        <f t="shared" si="26"/>
        <v>1</v>
      </c>
      <c r="BA19" s="12">
        <f t="shared" si="26"/>
        <v>0</v>
      </c>
      <c r="BB19" s="12">
        <f t="shared" si="26"/>
        <v>1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0</v>
      </c>
      <c r="BG19" s="12">
        <f t="shared" si="26"/>
        <v>1</v>
      </c>
      <c r="BH19" s="12">
        <f t="shared" si="26"/>
        <v>1</v>
      </c>
      <c r="BI19" s="12">
        <f t="shared" si="26"/>
        <v>1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1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0</v>
      </c>
      <c r="BR19" s="12">
        <f t="shared" si="27"/>
        <v>0</v>
      </c>
      <c r="BS19" s="12">
        <f t="shared" si="27"/>
        <v>0</v>
      </c>
      <c r="BT19" s="12">
        <f t="shared" si="27"/>
        <v>0</v>
      </c>
      <c r="BU19" s="12">
        <f t="shared" si="27"/>
        <v>0</v>
      </c>
      <c r="BV19" s="12">
        <f t="shared" si="27"/>
        <v>0</v>
      </c>
      <c r="BW19" s="12">
        <f t="shared" si="27"/>
        <v>1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0</v>
      </c>
      <c r="CE19" s="12">
        <f t="shared" si="27"/>
        <v>1</v>
      </c>
      <c r="CF19" s="12">
        <f t="shared" si="27"/>
        <v>1</v>
      </c>
      <c r="CG19" s="12">
        <f t="shared" si="27"/>
        <v>1</v>
      </c>
      <c r="CH19" s="12">
        <f t="shared" si="27"/>
        <v>1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0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1</v>
      </c>
      <c r="CY19" s="12">
        <f t="shared" si="28"/>
        <v>0</v>
      </c>
      <c r="CZ19" s="12">
        <f t="shared" si="28"/>
        <v>1</v>
      </c>
      <c r="DA19" s="12">
        <f t="shared" si="28"/>
        <v>0</v>
      </c>
      <c r="DB19" s="12">
        <f t="shared" si="28"/>
        <v>0</v>
      </c>
      <c r="DC19" s="12">
        <f t="shared" si="28"/>
        <v>0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1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0</v>
      </c>
      <c r="DP19" s="12">
        <f t="shared" si="28"/>
        <v>1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0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1</v>
      </c>
      <c r="EC19" s="12">
        <f t="shared" si="29"/>
        <v>1</v>
      </c>
      <c r="ED19" s="12">
        <f t="shared" si="29"/>
        <v>0</v>
      </c>
      <c r="EE19" s="12">
        <f t="shared" si="29"/>
        <v>0</v>
      </c>
      <c r="EF19" s="12">
        <f t="shared" si="29"/>
        <v>1</v>
      </c>
      <c r="EG19" s="12">
        <f t="shared" si="29"/>
        <v>1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8" t="s">
        <v>299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111</v>
      </c>
    </row>
    <row r="21" spans="1:142" ht="25" customHeight="1" x14ac:dyDescent="0.55000000000000004">
      <c r="A21" s="12" t="s">
        <v>301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1</v>
      </c>
      <c r="M21" s="12">
        <f t="shared" si="30"/>
        <v>0</v>
      </c>
      <c r="N21" s="12">
        <f t="shared" si="30"/>
        <v>0</v>
      </c>
      <c r="O21" s="12">
        <f t="shared" si="30"/>
        <v>1</v>
      </c>
      <c r="P21" s="12">
        <f t="shared" si="30"/>
        <v>0</v>
      </c>
      <c r="Q21" s="12">
        <f t="shared" si="30"/>
        <v>0</v>
      </c>
      <c r="R21" s="12">
        <f t="shared" si="30"/>
        <v>1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1</v>
      </c>
      <c r="W21" s="12">
        <f t="shared" si="30"/>
        <v>0</v>
      </c>
      <c r="X21" s="12">
        <f t="shared" si="30"/>
        <v>1</v>
      </c>
      <c r="Y21" s="12">
        <f t="shared" si="30"/>
        <v>0</v>
      </c>
      <c r="Z21" s="12">
        <f t="shared" si="30"/>
        <v>1</v>
      </c>
      <c r="AA21" s="12">
        <f t="shared" si="30"/>
        <v>0</v>
      </c>
      <c r="AB21" s="12">
        <f t="shared" si="30"/>
        <v>1</v>
      </c>
      <c r="AC21" s="12">
        <f t="shared" si="30"/>
        <v>0</v>
      </c>
      <c r="AD21" s="12">
        <f t="shared" si="30"/>
        <v>1</v>
      </c>
      <c r="AE21" s="12">
        <f t="shared" si="30"/>
        <v>0</v>
      </c>
      <c r="AF21" s="12">
        <f t="shared" si="30"/>
        <v>1</v>
      </c>
      <c r="AG21" s="12">
        <f t="shared" si="30"/>
        <v>1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1</v>
      </c>
      <c r="AK21" s="12">
        <f t="shared" si="31"/>
        <v>1</v>
      </c>
      <c r="AL21" s="12">
        <f t="shared" si="31"/>
        <v>0</v>
      </c>
      <c r="AM21" s="12">
        <f t="shared" si="31"/>
        <v>1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1</v>
      </c>
      <c r="AY21" s="12">
        <f t="shared" si="31"/>
        <v>1</v>
      </c>
      <c r="AZ21" s="12">
        <f t="shared" si="31"/>
        <v>1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1</v>
      </c>
      <c r="BF21" s="12">
        <f t="shared" si="31"/>
        <v>0</v>
      </c>
      <c r="BG21" s="12">
        <f t="shared" si="31"/>
        <v>0</v>
      </c>
      <c r="BH21" s="12">
        <f t="shared" si="31"/>
        <v>1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1</v>
      </c>
      <c r="BM21" s="12">
        <f t="shared" si="31"/>
        <v>0</v>
      </c>
      <c r="BN21" s="12">
        <f t="shared" si="31"/>
        <v>1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1</v>
      </c>
      <c r="BT21" s="12">
        <f t="shared" si="32"/>
        <v>1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1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1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1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1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1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0</v>
      </c>
      <c r="DP21" s="12">
        <f t="shared" si="33"/>
        <v>1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1</v>
      </c>
      <c r="DV21" s="12">
        <f t="shared" si="33"/>
        <v>1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1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1</v>
      </c>
      <c r="EG21" s="12">
        <f t="shared" si="34"/>
        <v>1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1</v>
      </c>
      <c r="EL21" s="12">
        <f t="shared" si="34"/>
        <v>0</v>
      </c>
    </row>
    <row r="22" spans="1:142" ht="25" customHeight="1" x14ac:dyDescent="0.55000000000000004">
      <c r="A22" s="12" t="s">
        <v>302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1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1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1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0</v>
      </c>
      <c r="AW22" s="12">
        <f t="shared" si="36"/>
        <v>0</v>
      </c>
      <c r="AX22" s="12">
        <f t="shared" si="36"/>
        <v>0</v>
      </c>
      <c r="AY22" s="12">
        <f t="shared" si="36"/>
        <v>0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0</v>
      </c>
      <c r="BD22" s="12">
        <f t="shared" si="36"/>
        <v>0</v>
      </c>
      <c r="BE22" s="12">
        <f t="shared" si="36"/>
        <v>0</v>
      </c>
      <c r="BF22" s="12">
        <f t="shared" si="36"/>
        <v>1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0</v>
      </c>
      <c r="BL22" s="12">
        <f t="shared" si="36"/>
        <v>0</v>
      </c>
      <c r="BM22" s="12">
        <f t="shared" si="36"/>
        <v>1</v>
      </c>
      <c r="BN22" s="12">
        <f t="shared" si="36"/>
        <v>0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0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0</v>
      </c>
      <c r="CH22" s="12">
        <f t="shared" si="37"/>
        <v>0</v>
      </c>
      <c r="CI22" s="12">
        <f t="shared" si="37"/>
        <v>0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0</v>
      </c>
      <c r="CN22" s="12">
        <f t="shared" si="37"/>
        <v>1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1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0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0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0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1</v>
      </c>
      <c r="EE22" s="12">
        <f t="shared" si="39"/>
        <v>0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1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1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1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1</v>
      </c>
      <c r="P23" s="12">
        <f t="shared" si="40"/>
        <v>1</v>
      </c>
      <c r="Q23" s="12">
        <f t="shared" si="40"/>
        <v>0</v>
      </c>
      <c r="R23" s="12">
        <f t="shared" si="40"/>
        <v>0</v>
      </c>
      <c r="S23" s="12">
        <f t="shared" si="40"/>
        <v>1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0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1</v>
      </c>
      <c r="AE23" s="12">
        <f t="shared" si="40"/>
        <v>1</v>
      </c>
      <c r="AF23" s="12">
        <f t="shared" si="40"/>
        <v>0</v>
      </c>
      <c r="AG23" s="12">
        <f t="shared" si="40"/>
        <v>0</v>
      </c>
      <c r="AH23" s="12">
        <f t="shared" si="40"/>
        <v>1</v>
      </c>
      <c r="AI23" s="12">
        <f t="shared" ref="AI23:BN23" si="41">IF(AND(AI5&lt;0,AI11&gt;0),1,0)</f>
        <v>1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1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1</v>
      </c>
      <c r="AX23" s="12">
        <f t="shared" si="41"/>
        <v>0</v>
      </c>
      <c r="AY23" s="12">
        <f t="shared" si="41"/>
        <v>1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1</v>
      </c>
      <c r="BD23" s="12">
        <f t="shared" si="41"/>
        <v>0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1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0</v>
      </c>
      <c r="CB23" s="12">
        <f t="shared" si="42"/>
        <v>1</v>
      </c>
      <c r="CC23" s="12">
        <f t="shared" si="42"/>
        <v>1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0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1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1</v>
      </c>
      <c r="CW23" s="12">
        <f t="shared" si="43"/>
        <v>0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1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1</v>
      </c>
      <c r="DG23" s="12">
        <f t="shared" si="43"/>
        <v>0</v>
      </c>
      <c r="DH23" s="12">
        <f t="shared" si="43"/>
        <v>1</v>
      </c>
      <c r="DI23" s="12">
        <f t="shared" si="43"/>
        <v>1</v>
      </c>
      <c r="DJ23" s="12">
        <f t="shared" si="43"/>
        <v>0</v>
      </c>
      <c r="DK23" s="12">
        <f t="shared" si="43"/>
        <v>1</v>
      </c>
      <c r="DL23" s="12">
        <f t="shared" si="43"/>
        <v>0</v>
      </c>
      <c r="DM23" s="12">
        <f t="shared" si="43"/>
        <v>0</v>
      </c>
      <c r="DN23" s="12">
        <f t="shared" si="43"/>
        <v>1</v>
      </c>
      <c r="DO23" s="12">
        <f t="shared" si="43"/>
        <v>0</v>
      </c>
      <c r="DP23" s="12">
        <f t="shared" si="43"/>
        <v>0</v>
      </c>
      <c r="DQ23" s="12">
        <f t="shared" si="43"/>
        <v>1</v>
      </c>
      <c r="DR23" s="12">
        <f t="shared" si="43"/>
        <v>1</v>
      </c>
      <c r="DS23" s="12">
        <f t="shared" si="43"/>
        <v>0</v>
      </c>
      <c r="DT23" s="12">
        <f t="shared" si="43"/>
        <v>1</v>
      </c>
      <c r="DU23" s="12">
        <f t="shared" si="43"/>
        <v>1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1</v>
      </c>
      <c r="DZ23" s="12">
        <f t="shared" si="43"/>
        <v>1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0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1</v>
      </c>
      <c r="EK23" s="12">
        <f t="shared" si="44"/>
        <v>0</v>
      </c>
      <c r="EL23" s="12">
        <f t="shared" si="44"/>
        <v>1</v>
      </c>
    </row>
    <row r="24" spans="1:142" ht="25" customHeight="1" x14ac:dyDescent="0.55000000000000004">
      <c r="B24" s="18" t="s">
        <v>301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100</v>
      </c>
    </row>
    <row r="25" spans="1:142" ht="25" customHeight="1" x14ac:dyDescent="0.55000000000000004">
      <c r="A25" s="12" t="s">
        <v>303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1</v>
      </c>
      <c r="F25" s="12">
        <f t="shared" si="45"/>
        <v>1</v>
      </c>
      <c r="G25" s="12">
        <f t="shared" si="45"/>
        <v>1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1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1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1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1</v>
      </c>
      <c r="AQ25" s="12">
        <f t="shared" si="46"/>
        <v>1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1</v>
      </c>
      <c r="BK25" s="12">
        <f t="shared" si="46"/>
        <v>0</v>
      </c>
      <c r="BL25" s="12">
        <f t="shared" si="46"/>
        <v>0</v>
      </c>
      <c r="BM25" s="12">
        <f t="shared" si="46"/>
        <v>1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1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1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1</v>
      </c>
      <c r="CJ25" s="12">
        <f t="shared" si="47"/>
        <v>1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1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1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1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1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304</v>
      </c>
      <c r="B26" s="11" t="s">
        <v>144</v>
      </c>
      <c r="C26" s="12">
        <f t="shared" ref="C26:AH26" si="50">IF(AND(C4&lt;0,C10&lt;0),1,0)</f>
        <v>0</v>
      </c>
      <c r="D26" s="12">
        <f t="shared" si="50"/>
        <v>0</v>
      </c>
      <c r="E26" s="12">
        <f t="shared" si="50"/>
        <v>1</v>
      </c>
      <c r="F26" s="12">
        <f t="shared" si="50"/>
        <v>0</v>
      </c>
      <c r="G26" s="12">
        <f t="shared" si="50"/>
        <v>0</v>
      </c>
      <c r="H26" s="12">
        <f t="shared" si="50"/>
        <v>0</v>
      </c>
      <c r="I26" s="12">
        <f t="shared" si="50"/>
        <v>0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0</v>
      </c>
      <c r="O26" s="12">
        <f t="shared" si="50"/>
        <v>1</v>
      </c>
      <c r="P26" s="12">
        <f t="shared" si="50"/>
        <v>0</v>
      </c>
      <c r="Q26" s="12">
        <f t="shared" si="50"/>
        <v>0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0</v>
      </c>
      <c r="X26" s="12">
        <f t="shared" si="50"/>
        <v>1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0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0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0</v>
      </c>
      <c r="AJ26" s="12">
        <f t="shared" si="51"/>
        <v>0</v>
      </c>
      <c r="AK26" s="12">
        <f t="shared" si="51"/>
        <v>0</v>
      </c>
      <c r="AL26" s="12">
        <f t="shared" si="51"/>
        <v>0</v>
      </c>
      <c r="AM26" s="12">
        <f t="shared" si="51"/>
        <v>1</v>
      </c>
      <c r="AN26" s="12">
        <f t="shared" si="51"/>
        <v>0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0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0</v>
      </c>
      <c r="BA26" s="12">
        <f t="shared" si="51"/>
        <v>0</v>
      </c>
      <c r="BB26" s="12">
        <f t="shared" si="51"/>
        <v>0</v>
      </c>
      <c r="BC26" s="12">
        <f t="shared" si="51"/>
        <v>0</v>
      </c>
      <c r="BD26" s="12">
        <f t="shared" si="51"/>
        <v>1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0</v>
      </c>
      <c r="BJ26" s="12">
        <f t="shared" si="51"/>
        <v>1</v>
      </c>
      <c r="BK26" s="12">
        <f t="shared" si="51"/>
        <v>0</v>
      </c>
      <c r="BL26" s="12">
        <f t="shared" si="51"/>
        <v>0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1</v>
      </c>
      <c r="BP26" s="12">
        <f t="shared" si="52"/>
        <v>0</v>
      </c>
      <c r="BQ26" s="12">
        <f t="shared" si="52"/>
        <v>0</v>
      </c>
      <c r="BR26" s="12">
        <f t="shared" si="52"/>
        <v>1</v>
      </c>
      <c r="BS26" s="12">
        <f t="shared" si="52"/>
        <v>0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0</v>
      </c>
      <c r="BX26" s="12">
        <f t="shared" si="52"/>
        <v>1</v>
      </c>
      <c r="BY26" s="12">
        <f t="shared" si="52"/>
        <v>0</v>
      </c>
      <c r="BZ26" s="12">
        <f t="shared" si="52"/>
        <v>1</v>
      </c>
      <c r="CA26" s="12">
        <f t="shared" si="52"/>
        <v>1</v>
      </c>
      <c r="CB26" s="12">
        <f t="shared" si="52"/>
        <v>1</v>
      </c>
      <c r="CC26" s="12">
        <f t="shared" si="52"/>
        <v>1</v>
      </c>
      <c r="CD26" s="12">
        <f t="shared" si="52"/>
        <v>0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1</v>
      </c>
      <c r="CI26" s="12">
        <f t="shared" si="52"/>
        <v>0</v>
      </c>
      <c r="CJ26" s="12">
        <f t="shared" si="52"/>
        <v>1</v>
      </c>
      <c r="CK26" s="12">
        <f t="shared" si="52"/>
        <v>0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0</v>
      </c>
      <c r="CR26" s="12">
        <f t="shared" si="52"/>
        <v>1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0</v>
      </c>
      <c r="CV26" s="12">
        <f t="shared" si="53"/>
        <v>0</v>
      </c>
      <c r="CW26" s="12">
        <f t="shared" si="53"/>
        <v>1</v>
      </c>
      <c r="CX26" s="12">
        <f t="shared" si="53"/>
        <v>0</v>
      </c>
      <c r="CY26" s="12">
        <f t="shared" si="53"/>
        <v>0</v>
      </c>
      <c r="CZ26" s="12">
        <f t="shared" si="53"/>
        <v>1</v>
      </c>
      <c r="DA26" s="12">
        <f t="shared" si="53"/>
        <v>1</v>
      </c>
      <c r="DB26" s="12">
        <f t="shared" si="53"/>
        <v>1</v>
      </c>
      <c r="DC26" s="12">
        <f t="shared" si="53"/>
        <v>0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0</v>
      </c>
      <c r="DM26" s="12">
        <f t="shared" si="53"/>
        <v>0</v>
      </c>
      <c r="DN26" s="12">
        <f t="shared" si="53"/>
        <v>1</v>
      </c>
      <c r="DO26" s="12">
        <f t="shared" si="53"/>
        <v>0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1</v>
      </c>
      <c r="DT26" s="12">
        <f t="shared" si="53"/>
        <v>0</v>
      </c>
      <c r="DU26" s="12">
        <f t="shared" si="53"/>
        <v>0</v>
      </c>
      <c r="DV26" s="12">
        <f t="shared" si="53"/>
        <v>0</v>
      </c>
      <c r="DW26" s="12">
        <f t="shared" si="53"/>
        <v>1</v>
      </c>
      <c r="DX26" s="12">
        <f t="shared" si="53"/>
        <v>1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0</v>
      </c>
      <c r="EG26" s="12">
        <f t="shared" si="54"/>
        <v>1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1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1</v>
      </c>
      <c r="G27" s="12">
        <f t="shared" si="55"/>
        <v>0</v>
      </c>
      <c r="H27" s="12">
        <f t="shared" si="55"/>
        <v>0</v>
      </c>
      <c r="I27" s="12">
        <f t="shared" si="55"/>
        <v>1</v>
      </c>
      <c r="J27" s="12">
        <f t="shared" si="55"/>
        <v>0</v>
      </c>
      <c r="K27" s="12">
        <f t="shared" si="55"/>
        <v>0</v>
      </c>
      <c r="L27" s="12">
        <f t="shared" si="55"/>
        <v>1</v>
      </c>
      <c r="M27" s="12">
        <f t="shared" si="55"/>
        <v>0</v>
      </c>
      <c r="N27" s="12">
        <f t="shared" si="55"/>
        <v>1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1</v>
      </c>
      <c r="AA27" s="12">
        <f t="shared" si="55"/>
        <v>0</v>
      </c>
      <c r="AB27" s="12">
        <f t="shared" si="55"/>
        <v>0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1</v>
      </c>
      <c r="AG27" s="12">
        <f t="shared" si="55"/>
        <v>1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1</v>
      </c>
      <c r="AK27" s="12">
        <f t="shared" si="56"/>
        <v>1</v>
      </c>
      <c r="AL27" s="12">
        <f t="shared" si="56"/>
        <v>1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1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0</v>
      </c>
      <c r="BA27" s="12">
        <f t="shared" si="56"/>
        <v>1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1</v>
      </c>
      <c r="BG27" s="12">
        <f t="shared" si="56"/>
        <v>0</v>
      </c>
      <c r="BH27" s="12">
        <f t="shared" si="56"/>
        <v>0</v>
      </c>
      <c r="BI27" s="12">
        <f t="shared" si="56"/>
        <v>0</v>
      </c>
      <c r="BJ27" s="12">
        <f t="shared" si="56"/>
        <v>1</v>
      </c>
      <c r="BK27" s="12">
        <f t="shared" si="56"/>
        <v>1</v>
      </c>
      <c r="BL27" s="12">
        <f t="shared" si="56"/>
        <v>1</v>
      </c>
      <c r="BM27" s="12">
        <f t="shared" si="56"/>
        <v>0</v>
      </c>
      <c r="BN27" s="12">
        <f t="shared" si="56"/>
        <v>0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1</v>
      </c>
      <c r="BR27" s="12">
        <f t="shared" si="57"/>
        <v>0</v>
      </c>
      <c r="BS27" s="12">
        <f t="shared" si="57"/>
        <v>1</v>
      </c>
      <c r="BT27" s="12">
        <f t="shared" si="57"/>
        <v>0</v>
      </c>
      <c r="BU27" s="12">
        <f t="shared" si="57"/>
        <v>0</v>
      </c>
      <c r="BV27" s="12">
        <f t="shared" si="57"/>
        <v>1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1</v>
      </c>
      <c r="CE27" s="12">
        <f t="shared" si="57"/>
        <v>0</v>
      </c>
      <c r="CF27" s="12">
        <f t="shared" si="57"/>
        <v>0</v>
      </c>
      <c r="CG27" s="12">
        <f t="shared" si="57"/>
        <v>0</v>
      </c>
      <c r="CH27" s="12">
        <f t="shared" si="57"/>
        <v>0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1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1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0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1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1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0</v>
      </c>
      <c r="ED27" s="12">
        <f t="shared" si="59"/>
        <v>0</v>
      </c>
      <c r="EE27" s="12">
        <f t="shared" si="59"/>
        <v>1</v>
      </c>
      <c r="EF27" s="12">
        <f t="shared" si="59"/>
        <v>0</v>
      </c>
      <c r="EG27" s="12">
        <f t="shared" si="59"/>
        <v>0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8" t="s">
        <v>303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101</v>
      </c>
    </row>
    <row r="30" spans="1:142" ht="25" customHeight="1" x14ac:dyDescent="0.55000000000000004">
      <c r="A30" s="12" t="s">
        <v>305</v>
      </c>
      <c r="B30" s="12" t="s">
        <v>306</v>
      </c>
      <c r="C30" s="16">
        <f>(C16+C28)/(C16+C28+C20+C24)</f>
        <v>0.49761904761904763</v>
      </c>
    </row>
    <row r="31" spans="1:142" ht="25" customHeight="1" x14ac:dyDescent="0.55000000000000004">
      <c r="A31" s="12" t="s">
        <v>307</v>
      </c>
      <c r="B31" s="12" t="s">
        <v>308</v>
      </c>
      <c r="C31" s="16">
        <f>C16/(C16+C20)</f>
        <v>0.49315068493150682</v>
      </c>
    </row>
    <row r="32" spans="1:142" ht="25" customHeight="1" x14ac:dyDescent="0.55000000000000004">
      <c r="A32" s="12" t="s">
        <v>309</v>
      </c>
      <c r="B32" s="12" t="s">
        <v>310</v>
      </c>
      <c r="C32" s="16">
        <f>C16/(C16+C24)</f>
        <v>0.51923076923076927</v>
      </c>
    </row>
    <row r="33" spans="1:3" ht="25" customHeight="1" x14ac:dyDescent="0.55000000000000004">
      <c r="A33" s="12" t="s">
        <v>311</v>
      </c>
      <c r="B33" s="12" t="s">
        <v>312</v>
      </c>
      <c r="C33" s="16">
        <f>2*(C31*C32)/(C31+C32)</f>
        <v>0.50585480093676805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2025-12-27T06:31:05Z</dcterms:modified>
</cp:coreProperties>
</file>