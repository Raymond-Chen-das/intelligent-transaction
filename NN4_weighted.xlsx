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2EA19D56-1F56-43C4-92B0-0A7F9DC3B52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M21" i="2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G25" i="7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E25" i="7"/>
  <c r="F25" i="7" s="1"/>
  <c r="D25" i="7"/>
  <c r="D24" i="7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D23" i="7"/>
  <c r="E23" i="7" s="1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J22" i="7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E22" i="7"/>
  <c r="F22" i="7" s="1"/>
  <c r="G22" i="7" s="1"/>
  <c r="H22" i="7" s="1"/>
  <c r="I22" i="7" s="1"/>
  <c r="D22" i="7"/>
  <c r="D21" i="7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Z20" i="7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W19" i="7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Q18" i="7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P18" i="7"/>
  <c r="H18" i="7"/>
  <c r="I18" i="7" s="1"/>
  <c r="J18" i="7" s="1"/>
  <c r="K18" i="7" s="1"/>
  <c r="L18" i="7" s="1"/>
  <c r="M18" i="7" s="1"/>
  <c r="N18" i="7" s="1"/>
  <c r="O18" i="7" s="1"/>
  <c r="E18" i="7"/>
  <c r="F18" i="7" s="1"/>
  <c r="G18" i="7" s="1"/>
  <c r="D18" i="7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I16" i="7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H16" i="7"/>
  <c r="F16" i="7"/>
  <c r="G16" i="7" s="1"/>
  <c r="D16" i="7"/>
  <c r="E16" i="7" s="1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M14" i="7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K14" i="7"/>
  <c r="L14" i="7" s="1"/>
  <c r="J14" i="7"/>
  <c r="I14" i="7"/>
  <c r="D14" i="7"/>
  <c r="E14" i="7" s="1"/>
  <c r="F14" i="7" s="1"/>
  <c r="G14" i="7" s="1"/>
  <c r="H14" i="7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D8" i="7"/>
  <c r="EA8" i="7"/>
  <c r="DZ8" i="7"/>
  <c r="DW8" i="7"/>
  <c r="DV8" i="7"/>
  <c r="DU8" i="7"/>
  <c r="DP8" i="7"/>
  <c r="DL8" i="7"/>
  <c r="DK8" i="7"/>
  <c r="DJ8" i="7"/>
  <c r="DG8" i="7"/>
  <c r="DE8" i="7"/>
  <c r="DD8" i="7"/>
  <c r="CW8" i="7"/>
  <c r="CV8" i="7"/>
  <c r="CU8" i="7"/>
  <c r="CT8" i="7"/>
  <c r="CQ8" i="7"/>
  <c r="CP8" i="7"/>
  <c r="CO8" i="7"/>
  <c r="CN8" i="7"/>
  <c r="CI8" i="7"/>
  <c r="CE8" i="7"/>
  <c r="CD8" i="7"/>
  <c r="CC8" i="7"/>
  <c r="CB8" i="7"/>
  <c r="CA8" i="7"/>
  <c r="BZ8" i="7"/>
  <c r="BY8" i="7"/>
  <c r="BX8" i="7"/>
  <c r="BW8" i="7"/>
  <c r="BM8" i="7"/>
  <c r="BL8" i="7"/>
  <c r="BA8" i="7"/>
  <c r="AZ8" i="7"/>
  <c r="AY8" i="7"/>
  <c r="AT8" i="7"/>
  <c r="AO8" i="7"/>
  <c r="AN8" i="7"/>
  <c r="AG8" i="7"/>
  <c r="AC8" i="7"/>
  <c r="AB8" i="7"/>
  <c r="AA8" i="7"/>
  <c r="P8" i="7"/>
  <c r="O8" i="7"/>
  <c r="J8" i="7"/>
  <c r="I8" i="7"/>
  <c r="EH7" i="7"/>
  <c r="ED7" i="7"/>
  <c r="EA7" i="7"/>
  <c r="DZ7" i="7"/>
  <c r="DY7" i="7"/>
  <c r="DX7" i="7"/>
  <c r="DV7" i="7"/>
  <c r="DU7" i="7"/>
  <c r="DR7" i="7"/>
  <c r="DP7" i="7"/>
  <c r="DO7" i="7"/>
  <c r="DF7" i="7"/>
  <c r="DB7" i="7"/>
  <c r="DA7" i="7"/>
  <c r="CZ7" i="7"/>
  <c r="CX7" i="7"/>
  <c r="CW7" i="7"/>
  <c r="CV7" i="7"/>
  <c r="CU7" i="7"/>
  <c r="CT7" i="7"/>
  <c r="CP7" i="7"/>
  <c r="CO7" i="7"/>
  <c r="CN7" i="7"/>
  <c r="CM7" i="7"/>
  <c r="CL7" i="7"/>
  <c r="CI7" i="7"/>
  <c r="BY7" i="7"/>
  <c r="BX7" i="7"/>
  <c r="BW7" i="7"/>
  <c r="BS7" i="7"/>
  <c r="BR7" i="7"/>
  <c r="BQ7" i="7"/>
  <c r="BP7" i="7"/>
  <c r="BO7" i="7"/>
  <c r="BN7" i="7"/>
  <c r="BM7" i="7"/>
  <c r="BF7" i="7"/>
  <c r="BD7" i="7"/>
  <c r="BC7" i="7"/>
  <c r="BB7" i="7"/>
  <c r="AY7" i="7"/>
  <c r="AR7" i="7"/>
  <c r="AO7" i="7"/>
  <c r="AN7" i="7"/>
  <c r="AG7" i="7"/>
  <c r="AF7" i="7"/>
  <c r="AE7" i="7"/>
  <c r="AD7" i="7"/>
  <c r="AC7" i="7"/>
  <c r="AB7" i="7"/>
  <c r="AA7" i="7"/>
  <c r="U7" i="7"/>
  <c r="T7" i="7"/>
  <c r="S7" i="7"/>
  <c r="R7" i="7"/>
  <c r="Q7" i="7"/>
  <c r="P7" i="7"/>
  <c r="O7" i="7"/>
  <c r="E7" i="7"/>
  <c r="D7" i="7"/>
  <c r="C7" i="7"/>
  <c r="EL6" i="7" a="1"/>
  <c r="EL6" i="7"/>
  <c r="EL7" i="7" s="1"/>
  <c r="EK6" i="7" a="1"/>
  <c r="EK6" i="7"/>
  <c r="EK7" i="7" s="1"/>
  <c r="EJ6" i="7" a="1"/>
  <c r="EJ6" i="7" s="1"/>
  <c r="EJ7" i="7" s="1"/>
  <c r="EI6" i="7" a="1"/>
  <c r="EI6" i="7"/>
  <c r="EI7" i="7" s="1"/>
  <c r="EH6" i="7" a="1"/>
  <c r="EH6" i="7"/>
  <c r="EH8" i="7" s="1"/>
  <c r="EG6" i="7" a="1"/>
  <c r="EG6" i="7" s="1"/>
  <c r="EF6" i="7" a="1"/>
  <c r="EF6" i="7" s="1"/>
  <c r="EE6" i="7" a="1"/>
  <c r="EE6" i="7" s="1"/>
  <c r="ED6" i="7" a="1"/>
  <c r="ED6" i="7"/>
  <c r="EC6" i="7" a="1"/>
  <c r="EC6" i="7" s="1"/>
  <c r="EB6" i="7" a="1"/>
  <c r="EB6" i="7"/>
  <c r="EA6" i="7" a="1"/>
  <c r="EA6" i="7"/>
  <c r="DZ6" i="7" a="1"/>
  <c r="DZ6" i="7"/>
  <c r="DY6" i="7" a="1"/>
  <c r="DY6" i="7"/>
  <c r="DY8" i="7" s="1"/>
  <c r="DX6" i="7" a="1"/>
  <c r="DX6" i="7"/>
  <c r="DX8" i="7" s="1"/>
  <c r="DW6" i="7" a="1"/>
  <c r="DW6" i="7"/>
  <c r="DW7" i="7" s="1"/>
  <c r="DV6" i="7" a="1"/>
  <c r="DV6" i="7" s="1"/>
  <c r="DU6" i="7" a="1"/>
  <c r="DU6" i="7" s="1"/>
  <c r="DT6" i="7" a="1"/>
  <c r="DT6" i="7"/>
  <c r="DT7" i="7" s="1"/>
  <c r="DS6" i="7" a="1"/>
  <c r="DS6" i="7" s="1"/>
  <c r="DR6" i="7" a="1"/>
  <c r="DR6" i="7"/>
  <c r="DR8" i="7" s="1"/>
  <c r="DQ6" i="7" a="1"/>
  <c r="DQ6" i="7"/>
  <c r="DP6" i="7" a="1"/>
  <c r="DP6" i="7"/>
  <c r="DO6" i="7" a="1"/>
  <c r="DO6" i="7"/>
  <c r="DO8" i="7" s="1"/>
  <c r="DN6" i="7" a="1"/>
  <c r="DN6" i="7"/>
  <c r="DM6" i="7" a="1"/>
  <c r="DM6" i="7"/>
  <c r="DL6" i="7" a="1"/>
  <c r="DL6" i="7"/>
  <c r="DL7" i="7" s="1"/>
  <c r="DK6" i="7" a="1"/>
  <c r="DK6" i="7" s="1"/>
  <c r="DK7" i="7" s="1"/>
  <c r="DJ6" i="7" a="1"/>
  <c r="DJ6" i="7"/>
  <c r="DJ7" i="7" s="1"/>
  <c r="DI6" i="7" a="1"/>
  <c r="DI6" i="7" s="1"/>
  <c r="DI8" i="7" s="1"/>
  <c r="DH6" i="7" a="1"/>
  <c r="DH6" i="7"/>
  <c r="DH8" i="7" s="1"/>
  <c r="DG6" i="7" a="1"/>
  <c r="DG6" i="7" s="1"/>
  <c r="DG7" i="7" s="1"/>
  <c r="DF6" i="7" a="1"/>
  <c r="DF6" i="7"/>
  <c r="DF8" i="7" s="1"/>
  <c r="DE6" i="7" a="1"/>
  <c r="DE6" i="7" s="1"/>
  <c r="DE7" i="7" s="1"/>
  <c r="DD6" i="7" a="1"/>
  <c r="DD6" i="7" s="1"/>
  <c r="DD7" i="7" s="1"/>
  <c r="DC6" i="7" a="1"/>
  <c r="DC6" i="7"/>
  <c r="DB6" i="7" a="1"/>
  <c r="DB6" i="7"/>
  <c r="DB8" i="7" s="1"/>
  <c r="DA6" i="7" a="1"/>
  <c r="DA6" i="7"/>
  <c r="DA8" i="7" s="1"/>
  <c r="CZ6" i="7" a="1"/>
  <c r="CZ6" i="7" s="1"/>
  <c r="CZ8" i="7" s="1"/>
  <c r="CY6" i="7" a="1"/>
  <c r="CY6" i="7"/>
  <c r="CX6" i="7" a="1"/>
  <c r="CX6" i="7" s="1"/>
  <c r="CX8" i="7" s="1"/>
  <c r="CW6" i="7" a="1"/>
  <c r="CW6" i="7"/>
  <c r="CV6" i="7" a="1"/>
  <c r="CV6" i="7"/>
  <c r="CU6" i="7" a="1"/>
  <c r="CU6" i="7" s="1"/>
  <c r="CT6" i="7" a="1"/>
  <c r="CT6" i="7"/>
  <c r="CS6" i="7" a="1"/>
  <c r="CS6" i="7"/>
  <c r="CR6" i="7" a="1"/>
  <c r="CR6" i="7" s="1"/>
  <c r="CQ6" i="7" a="1"/>
  <c r="CQ6" i="7"/>
  <c r="CQ7" i="7" s="1"/>
  <c r="CP6" i="7" a="1"/>
  <c r="CP6" i="7"/>
  <c r="CO6" i="7" a="1"/>
  <c r="CO6" i="7" s="1"/>
  <c r="CN6" i="7" a="1"/>
  <c r="CN6" i="7"/>
  <c r="CM6" i="7" a="1"/>
  <c r="CM6" i="7"/>
  <c r="CM8" i="7" s="1"/>
  <c r="CL6" i="7" a="1"/>
  <c r="CL6" i="7"/>
  <c r="CL8" i="7" s="1"/>
  <c r="CK6" i="7" a="1"/>
  <c r="CK6" i="7"/>
  <c r="CJ6" i="7" a="1"/>
  <c r="CJ6" i="7"/>
  <c r="CI6" i="7" a="1"/>
  <c r="CI6" i="7"/>
  <c r="CH6" i="7" a="1"/>
  <c r="CH6" i="7"/>
  <c r="CG6" i="7" a="1"/>
  <c r="CG6" i="7"/>
  <c r="CF6" i="7" a="1"/>
  <c r="CF6" i="7" s="1"/>
  <c r="CE6" i="7" a="1"/>
  <c r="CE6" i="7"/>
  <c r="CE7" i="7" s="1"/>
  <c r="CD6" i="7" a="1"/>
  <c r="CD6" i="7" s="1"/>
  <c r="CD7" i="7" s="1"/>
  <c r="CC6" i="7" a="1"/>
  <c r="CC6" i="7"/>
  <c r="CC7" i="7" s="1"/>
  <c r="CB6" i="7" a="1"/>
  <c r="CB6" i="7"/>
  <c r="CB7" i="7" s="1"/>
  <c r="CA6" i="7" a="1"/>
  <c r="CA6" i="7" s="1"/>
  <c r="CA7" i="7" s="1"/>
  <c r="BZ6" i="7" a="1"/>
  <c r="BZ6" i="7"/>
  <c r="BZ7" i="7" s="1"/>
  <c r="BY6" i="7" a="1"/>
  <c r="BY6" i="7"/>
  <c r="BX6" i="7" a="1"/>
  <c r="BX6" i="7"/>
  <c r="BW6" i="7" a="1"/>
  <c r="BW6" i="7"/>
  <c r="BV6" i="7" a="1"/>
  <c r="BV6" i="7"/>
  <c r="BU6" i="7" a="1"/>
  <c r="BU6" i="7"/>
  <c r="BT6" i="7" a="1"/>
  <c r="BT6" i="7" s="1"/>
  <c r="BS6" i="7" a="1"/>
  <c r="BS6" i="7" s="1"/>
  <c r="BS8" i="7" s="1"/>
  <c r="BR6" i="7" a="1"/>
  <c r="BR6" i="7"/>
  <c r="BR8" i="7" s="1"/>
  <c r="BQ6" i="7" a="1"/>
  <c r="BQ6" i="7"/>
  <c r="BQ8" i="7" s="1"/>
  <c r="BP6" i="7" a="1"/>
  <c r="BP6" i="7"/>
  <c r="BP8" i="7" s="1"/>
  <c r="BO6" i="7" a="1"/>
  <c r="BO6" i="7"/>
  <c r="BO8" i="7" s="1"/>
  <c r="BN6" i="7" a="1"/>
  <c r="BN6" i="7" s="1"/>
  <c r="BN8" i="7" s="1"/>
  <c r="BM6" i="7" a="1"/>
  <c r="BM6" i="7"/>
  <c r="BL6" i="7" a="1"/>
  <c r="BL6" i="7" s="1"/>
  <c r="BL7" i="7" s="1"/>
  <c r="BK6" i="7" a="1"/>
  <c r="BK6" i="7"/>
  <c r="BK8" i="7" s="1"/>
  <c r="BJ6" i="7" a="1"/>
  <c r="BJ6" i="7" s="1"/>
  <c r="BI6" i="7" a="1"/>
  <c r="BI6" i="7"/>
  <c r="BH6" i="7" a="1"/>
  <c r="BH6" i="7" s="1"/>
  <c r="BG6" i="7" a="1"/>
  <c r="BG6" i="7" s="1"/>
  <c r="BF6" i="7" a="1"/>
  <c r="BF6" i="7"/>
  <c r="BF8" i="7" s="1"/>
  <c r="BE6" i="7" a="1"/>
  <c r="BE6" i="7"/>
  <c r="BD6" i="7" a="1"/>
  <c r="BD6" i="7" s="1"/>
  <c r="BD8" i="7" s="1"/>
  <c r="BC6" i="7" a="1"/>
  <c r="BC6" i="7"/>
  <c r="BC8" i="7" s="1"/>
  <c r="BB6" i="7" a="1"/>
  <c r="BB6" i="7"/>
  <c r="BB8" i="7" s="1"/>
  <c r="BA6" i="7" a="1"/>
  <c r="BA6" i="7"/>
  <c r="BA7" i="7" s="1"/>
  <c r="AZ6" i="7" a="1"/>
  <c r="AZ6" i="7" s="1"/>
  <c r="AZ7" i="7" s="1"/>
  <c r="AY6" i="7" a="1"/>
  <c r="AY6" i="7"/>
  <c r="AX6" i="7" a="1"/>
  <c r="AX6" i="7"/>
  <c r="AW6" i="7" a="1"/>
  <c r="AW6" i="7" s="1"/>
  <c r="AV6" i="7" a="1"/>
  <c r="AV6" i="7"/>
  <c r="AU6" i="7" a="1"/>
  <c r="AU6" i="7" s="1"/>
  <c r="AT6" i="7" a="1"/>
  <c r="AT6" i="7"/>
  <c r="AT7" i="7" s="1"/>
  <c r="AS6" i="7" a="1"/>
  <c r="AS6" i="7"/>
  <c r="AS8" i="7" s="1"/>
  <c r="AR6" i="7" a="1"/>
  <c r="AR6" i="7"/>
  <c r="AR8" i="7" s="1"/>
  <c r="AQ6" i="7" a="1"/>
  <c r="AQ6" i="7"/>
  <c r="AQ8" i="7" s="1"/>
  <c r="AP6" i="7" a="1"/>
  <c r="AP6" i="7"/>
  <c r="AP8" i="7" s="1"/>
  <c r="AO6" i="7" a="1"/>
  <c r="AO6" i="7"/>
  <c r="AN6" i="7" a="1"/>
  <c r="AN6" i="7"/>
  <c r="AM6" i="7" a="1"/>
  <c r="AM6" i="7"/>
  <c r="AL6" i="7" a="1"/>
  <c r="AL6" i="7" s="1"/>
  <c r="AK6" i="7" a="1"/>
  <c r="AK6" i="7" s="1"/>
  <c r="AJ6" i="7" a="1"/>
  <c r="AJ6" i="7"/>
  <c r="AI6" i="7" a="1"/>
  <c r="AI6" i="7" s="1"/>
  <c r="AH6" i="7" a="1"/>
  <c r="AH6" i="7"/>
  <c r="AG6" i="7" a="1"/>
  <c r="AG6" i="7" s="1"/>
  <c r="AF6" i="7" a="1"/>
  <c r="AF6" i="7"/>
  <c r="AF8" i="7" s="1"/>
  <c r="AE6" i="7" a="1"/>
  <c r="AE6" i="7"/>
  <c r="AE8" i="7" s="1"/>
  <c r="AD6" i="7" a="1"/>
  <c r="AD6" i="7"/>
  <c r="AD8" i="7" s="1"/>
  <c r="AC6" i="7" a="1"/>
  <c r="AC6" i="7"/>
  <c r="AB6" i="7" a="1"/>
  <c r="AB6" i="7"/>
  <c r="AA6" i="7" a="1"/>
  <c r="AA6" i="7" s="1"/>
  <c r="Z6" i="7" a="1"/>
  <c r="Z6" i="7"/>
  <c r="Z8" i="7" s="1"/>
  <c r="Y6" i="7" a="1"/>
  <c r="Y6" i="7"/>
  <c r="X6" i="7" a="1"/>
  <c r="X6" i="7"/>
  <c r="W6" i="7" a="1"/>
  <c r="W6" i="7" s="1"/>
  <c r="V6" i="7" a="1"/>
  <c r="V6" i="7"/>
  <c r="U6" i="7" a="1"/>
  <c r="U6" i="7"/>
  <c r="U8" i="7" s="1"/>
  <c r="T6" i="7" a="1"/>
  <c r="T6" i="7"/>
  <c r="T8" i="7" s="1"/>
  <c r="S6" i="7" a="1"/>
  <c r="S6" i="7"/>
  <c r="S8" i="7" s="1"/>
  <c r="R6" i="7" a="1"/>
  <c r="R6" i="7" s="1"/>
  <c r="R8" i="7" s="1"/>
  <c r="Q6" i="7" a="1"/>
  <c r="Q6" i="7" s="1"/>
  <c r="Q8" i="7" s="1"/>
  <c r="P6" i="7" a="1"/>
  <c r="P6" i="7" s="1"/>
  <c r="O6" i="7" a="1"/>
  <c r="O6" i="7"/>
  <c r="N6" i="7" a="1"/>
  <c r="N6" i="7" s="1"/>
  <c r="M6" i="7" a="1"/>
  <c r="M6" i="7"/>
  <c r="L6" i="7" a="1"/>
  <c r="L6" i="7"/>
  <c r="K6" i="7" a="1"/>
  <c r="K6" i="7" s="1"/>
  <c r="J6" i="7" a="1"/>
  <c r="J6" i="7" s="1"/>
  <c r="J7" i="7" s="1"/>
  <c r="I6" i="7" a="1"/>
  <c r="I6" i="7"/>
  <c r="I7" i="7" s="1"/>
  <c r="H6" i="7" a="1"/>
  <c r="H6" i="7"/>
  <c r="H8" i="7" s="1"/>
  <c r="G6" i="7" a="1"/>
  <c r="G6" i="7"/>
  <c r="G8" i="7" s="1"/>
  <c r="F6" i="7" a="1"/>
  <c r="F6" i="7"/>
  <c r="F8" i="7" s="1"/>
  <c r="E6" i="7" a="1"/>
  <c r="E6" i="7" s="1"/>
  <c r="E8" i="7" s="1"/>
  <c r="D6" i="7" a="1"/>
  <c r="D6" i="7"/>
  <c r="D8" i="7" s="1"/>
  <c r="C6" i="7" a="1"/>
  <c r="C6" i="7"/>
  <c r="C8" i="7" s="1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B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B22" i="4"/>
  <c r="R21" i="4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B21" i="4"/>
  <c r="J20" i="4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I20" i="4"/>
  <c r="F20" i="4"/>
  <c r="G20" i="4" s="1"/>
  <c r="H20" i="4" s="1"/>
  <c r="E20" i="4"/>
  <c r="D20" i="4"/>
  <c r="B20" i="4"/>
  <c r="E19" i="4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D19" i="4"/>
  <c r="B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B18" i="4"/>
  <c r="AB17" i="4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AA17" i="4"/>
  <c r="U17" i="4"/>
  <c r="V17" i="4" s="1"/>
  <c r="W17" i="4" s="1"/>
  <c r="X17" i="4" s="1"/>
  <c r="Y17" i="4" s="1"/>
  <c r="Z17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B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B1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B15" i="4"/>
  <c r="L14" i="4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E14" i="4"/>
  <c r="F14" i="4" s="1"/>
  <c r="G14" i="4" s="1"/>
  <c r="H14" i="4" s="1"/>
  <c r="I14" i="4" s="1"/>
  <c r="J14" i="4" s="1"/>
  <c r="K14" i="4" s="1"/>
  <c r="D14" i="4"/>
  <c r="B14" i="4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D13" i="4"/>
  <c r="B13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B12" i="4"/>
  <c r="EG8" i="4"/>
  <c r="EF8" i="4"/>
  <c r="EE8" i="4"/>
  <c r="ED8" i="4"/>
  <c r="DS8" i="4"/>
  <c r="DR8" i="4"/>
  <c r="DK8" i="4"/>
  <c r="DJ8" i="4"/>
  <c r="DI8" i="4"/>
  <c r="DH8" i="4"/>
  <c r="DG8" i="4"/>
  <c r="DF8" i="4"/>
  <c r="DE8" i="4"/>
  <c r="DB8" i="4"/>
  <c r="CV8" i="4"/>
  <c r="CU8" i="4"/>
  <c r="CM8" i="4"/>
  <c r="CL8" i="4"/>
  <c r="CK8" i="4"/>
  <c r="CJ8" i="4"/>
  <c r="CI8" i="4"/>
  <c r="BS8" i="4"/>
  <c r="BR8" i="4"/>
  <c r="BM8" i="4"/>
  <c r="BD8" i="4"/>
  <c r="BC8" i="4"/>
  <c r="AZ8" i="4"/>
  <c r="AT8" i="4"/>
  <c r="AS8" i="4"/>
  <c r="AR8" i="4"/>
  <c r="AQ8" i="4"/>
  <c r="AN8" i="4"/>
  <c r="AM8" i="4"/>
  <c r="AF8" i="4"/>
  <c r="AE8" i="4"/>
  <c r="R8" i="4"/>
  <c r="Q8" i="4"/>
  <c r="P8" i="4"/>
  <c r="O8" i="4"/>
  <c r="N8" i="4"/>
  <c r="M8" i="4"/>
  <c r="L8" i="4"/>
  <c r="H8" i="4"/>
  <c r="G8" i="4"/>
  <c r="EE7" i="4"/>
  <c r="ED7" i="4"/>
  <c r="DW7" i="4"/>
  <c r="DV7" i="4"/>
  <c r="DU7" i="4"/>
  <c r="DT7" i="4"/>
  <c r="DQ7" i="4"/>
  <c r="DP7" i="4"/>
  <c r="DN7" i="4"/>
  <c r="DH7" i="4"/>
  <c r="CX7" i="4"/>
  <c r="CW7" i="4"/>
  <c r="CT7" i="4"/>
  <c r="CS7" i="4"/>
  <c r="CM7" i="4"/>
  <c r="CL7" i="4"/>
  <c r="CK7" i="4"/>
  <c r="CA7" i="4"/>
  <c r="BZ7" i="4"/>
  <c r="BP7" i="4"/>
  <c r="BO7" i="4"/>
  <c r="BN7" i="4"/>
  <c r="BM7" i="4"/>
  <c r="BL7" i="4"/>
  <c r="BD7" i="4"/>
  <c r="BC7" i="4"/>
  <c r="AR7" i="4"/>
  <c r="AQ7" i="4"/>
  <c r="AP7" i="4"/>
  <c r="AO7" i="4"/>
  <c r="AN7" i="4"/>
  <c r="AM7" i="4"/>
  <c r="AF7" i="4"/>
  <c r="AC7" i="4"/>
  <c r="AA7" i="4"/>
  <c r="X7" i="4"/>
  <c r="T7" i="4"/>
  <c r="S7" i="4"/>
  <c r="E7" i="4"/>
  <c r="D7" i="4"/>
  <c r="EL6" i="4" a="1"/>
  <c r="EL6" i="4"/>
  <c r="EL7" i="4" s="1"/>
  <c r="EK6" i="4" a="1"/>
  <c r="EK6" i="4"/>
  <c r="EK7" i="4" s="1"/>
  <c r="EJ6" i="4" a="1"/>
  <c r="EJ6" i="4"/>
  <c r="EJ7" i="4" s="1"/>
  <c r="EI6" i="4" a="1"/>
  <c r="EI6" i="4"/>
  <c r="EH6" i="4" a="1"/>
  <c r="EH6" i="4" s="1"/>
  <c r="EG6" i="4" a="1"/>
  <c r="EG6" i="4"/>
  <c r="EG7" i="4" s="1"/>
  <c r="EF6" i="4" a="1"/>
  <c r="EF6" i="4"/>
  <c r="EF7" i="4" s="1"/>
  <c r="EE6" i="4" a="1"/>
  <c r="EE6" i="4"/>
  <c r="ED6" i="4" a="1"/>
  <c r="ED6" i="4" s="1"/>
  <c r="EC6" i="4" a="1"/>
  <c r="EC6" i="4"/>
  <c r="EC8" i="4" s="1"/>
  <c r="EB6" i="4" a="1"/>
  <c r="EB6" i="4"/>
  <c r="EB8" i="4" s="1"/>
  <c r="EA6" i="4" a="1"/>
  <c r="EA6" i="4" s="1"/>
  <c r="DZ6" i="4" a="1"/>
  <c r="DZ6" i="4"/>
  <c r="DY6" i="4" a="1"/>
  <c r="DY6" i="4" s="1"/>
  <c r="DX6" i="4" a="1"/>
  <c r="DX6" i="4"/>
  <c r="DW6" i="4" a="1"/>
  <c r="DW6" i="4"/>
  <c r="DW8" i="4" s="1"/>
  <c r="DV6" i="4" a="1"/>
  <c r="DV6" i="4"/>
  <c r="DV8" i="4" s="1"/>
  <c r="DU6" i="4" a="1"/>
  <c r="DU6" i="4"/>
  <c r="DU8" i="4" s="1"/>
  <c r="DT6" i="4" a="1"/>
  <c r="DT6" i="4" s="1"/>
  <c r="DT8" i="4" s="1"/>
  <c r="DS6" i="4" a="1"/>
  <c r="DS6" i="4" s="1"/>
  <c r="DS7" i="4" s="1"/>
  <c r="DR6" i="4" a="1"/>
  <c r="DR6" i="4"/>
  <c r="DR7" i="4" s="1"/>
  <c r="DQ6" i="4" a="1"/>
  <c r="DQ6" i="4"/>
  <c r="DQ8" i="4" s="1"/>
  <c r="DP6" i="4" a="1"/>
  <c r="DP6" i="4"/>
  <c r="DP8" i="4" s="1"/>
  <c r="DO6" i="4" a="1"/>
  <c r="DO6" i="4" s="1"/>
  <c r="DN6" i="4" a="1"/>
  <c r="DN6" i="4"/>
  <c r="DN8" i="4" s="1"/>
  <c r="DM6" i="4" a="1"/>
  <c r="DM6" i="4" s="1"/>
  <c r="DL6" i="4" a="1"/>
  <c r="DL6" i="4"/>
  <c r="DK6" i="4" a="1"/>
  <c r="DK6" i="4"/>
  <c r="DK7" i="4" s="1"/>
  <c r="DJ6" i="4" a="1"/>
  <c r="DJ6" i="4"/>
  <c r="DJ7" i="4" s="1"/>
  <c r="DI6" i="4" a="1"/>
  <c r="DI6" i="4"/>
  <c r="DI7" i="4" s="1"/>
  <c r="DH6" i="4" a="1"/>
  <c r="DH6" i="4" s="1"/>
  <c r="DG6" i="4" a="1"/>
  <c r="DG6" i="4"/>
  <c r="DG7" i="4" s="1"/>
  <c r="DF6" i="4" a="1"/>
  <c r="DF6" i="4"/>
  <c r="DF7" i="4" s="1"/>
  <c r="DE6" i="4" a="1"/>
  <c r="DE6" i="4"/>
  <c r="DE7" i="4" s="1"/>
  <c r="DD6" i="4" a="1"/>
  <c r="DD6" i="4"/>
  <c r="DC6" i="4" a="1"/>
  <c r="DC6" i="4" s="1"/>
  <c r="DB6" i="4" a="1"/>
  <c r="DB6" i="4" s="1"/>
  <c r="DB7" i="4" s="1"/>
  <c r="DA6" i="4" a="1"/>
  <c r="DA6" i="4" s="1"/>
  <c r="CZ6" i="4" a="1"/>
  <c r="CZ6" i="4"/>
  <c r="CY6" i="4" a="1"/>
  <c r="CY6" i="4" s="1"/>
  <c r="CX6" i="4" a="1"/>
  <c r="CX6" i="4"/>
  <c r="CX8" i="4" s="1"/>
  <c r="CW6" i="4" a="1"/>
  <c r="CW6" i="4" s="1"/>
  <c r="CW8" i="4" s="1"/>
  <c r="CV6" i="4" a="1"/>
  <c r="CV6" i="4"/>
  <c r="CV7" i="4" s="1"/>
  <c r="CU6" i="4" a="1"/>
  <c r="CU6" i="4"/>
  <c r="CU7" i="4" s="1"/>
  <c r="CT6" i="4" a="1"/>
  <c r="CT6" i="4"/>
  <c r="CT8" i="4" s="1"/>
  <c r="CS6" i="4" a="1"/>
  <c r="CS6" i="4"/>
  <c r="CS8" i="4" s="1"/>
  <c r="CR6" i="4" a="1"/>
  <c r="CR6" i="4" s="1"/>
  <c r="CR8" i="4" s="1"/>
  <c r="CQ6" i="4" a="1"/>
  <c r="CQ6" i="4" s="1"/>
  <c r="CQ8" i="4" s="1"/>
  <c r="CP6" i="4" a="1"/>
  <c r="CP6" i="4"/>
  <c r="CO6" i="4" a="1"/>
  <c r="CO6" i="4" s="1"/>
  <c r="CO8" i="4" s="1"/>
  <c r="CN6" i="4" a="1"/>
  <c r="CN6" i="4" s="1"/>
  <c r="CN8" i="4" s="1"/>
  <c r="CM6" i="4" a="1"/>
  <c r="CM6" i="4"/>
  <c r="CL6" i="4" a="1"/>
  <c r="CL6" i="4" s="1"/>
  <c r="CK6" i="4" a="1"/>
  <c r="CK6" i="4"/>
  <c r="CJ6" i="4" a="1"/>
  <c r="CJ6" i="4"/>
  <c r="CJ7" i="4" s="1"/>
  <c r="CI6" i="4" a="1"/>
  <c r="CI6" i="4"/>
  <c r="CI7" i="4" s="1"/>
  <c r="CH6" i="4" a="1"/>
  <c r="CH6" i="4"/>
  <c r="CG6" i="4" a="1"/>
  <c r="CG6" i="4"/>
  <c r="CF6" i="4" a="1"/>
  <c r="CF6" i="4" s="1"/>
  <c r="CE6" i="4" a="1"/>
  <c r="CE6" i="4"/>
  <c r="CD6" i="4" a="1"/>
  <c r="CD6" i="4"/>
  <c r="CC6" i="4" a="1"/>
  <c r="CC6" i="4" s="1"/>
  <c r="CB6" i="4" a="1"/>
  <c r="CB6" i="4" s="1"/>
  <c r="CA6" i="4" a="1"/>
  <c r="CA6" i="4" s="1"/>
  <c r="CA8" i="4" s="1"/>
  <c r="BZ6" i="4" a="1"/>
  <c r="BZ6" i="4"/>
  <c r="BZ8" i="4" s="1"/>
  <c r="BY6" i="4" a="1"/>
  <c r="BY6" i="4"/>
  <c r="BX6" i="4" a="1"/>
  <c r="BX6" i="4"/>
  <c r="BX7" i="4" s="1"/>
  <c r="BW6" i="4" a="1"/>
  <c r="BW6" i="4"/>
  <c r="BW8" i="4" s="1"/>
  <c r="BV6" i="4" a="1"/>
  <c r="BV6" i="4"/>
  <c r="BV8" i="4" s="1"/>
  <c r="BU6" i="4" a="1"/>
  <c r="BU6" i="4"/>
  <c r="BT6" i="4" a="1"/>
  <c r="BT6" i="4" s="1"/>
  <c r="BS6" i="4" a="1"/>
  <c r="BS6" i="4"/>
  <c r="BS7" i="4" s="1"/>
  <c r="BR6" i="4" a="1"/>
  <c r="BR6" i="4"/>
  <c r="BR7" i="4" s="1"/>
  <c r="BQ6" i="4" a="1"/>
  <c r="BQ6" i="4"/>
  <c r="BQ7" i="4" s="1"/>
  <c r="BP6" i="4" a="1"/>
  <c r="BP6" i="4" s="1"/>
  <c r="BP8" i="4" s="1"/>
  <c r="BO6" i="4" a="1"/>
  <c r="BO6" i="4"/>
  <c r="BO8" i="4" s="1"/>
  <c r="BN6" i="4" a="1"/>
  <c r="BN6" i="4" s="1"/>
  <c r="BN8" i="4" s="1"/>
  <c r="BM6" i="4" a="1"/>
  <c r="BM6" i="4"/>
  <c r="BL6" i="4" a="1"/>
  <c r="BL6" i="4"/>
  <c r="BL8" i="4" s="1"/>
  <c r="BK6" i="4" a="1"/>
  <c r="BK6" i="4"/>
  <c r="BJ6" i="4" a="1"/>
  <c r="BJ6" i="4"/>
  <c r="BJ7" i="4" s="1"/>
  <c r="BI6" i="4" a="1"/>
  <c r="BI6" i="4"/>
  <c r="BH6" i="4" a="1"/>
  <c r="BH6" i="4" s="1"/>
  <c r="BG6" i="4" a="1"/>
  <c r="BG6" i="4"/>
  <c r="BF6" i="4" a="1"/>
  <c r="BF6" i="4" s="1"/>
  <c r="BE6" i="4" a="1"/>
  <c r="BE6" i="4" s="1"/>
  <c r="BD6" i="4" a="1"/>
  <c r="BD6" i="4"/>
  <c r="BC6" i="4" a="1"/>
  <c r="BC6" i="4"/>
  <c r="BB6" i="4" a="1"/>
  <c r="BB6" i="4"/>
  <c r="BA6" i="4" a="1"/>
  <c r="BA6" i="4"/>
  <c r="AZ6" i="4" a="1"/>
  <c r="AZ6" i="4"/>
  <c r="AZ7" i="4" s="1"/>
  <c r="AY6" i="4" a="1"/>
  <c r="AY6" i="4"/>
  <c r="AY8" i="4" s="1"/>
  <c r="AX6" i="4" a="1"/>
  <c r="AX6" i="4"/>
  <c r="AW6" i="4" a="1"/>
  <c r="AW6" i="4" s="1"/>
  <c r="AV6" i="4" a="1"/>
  <c r="AV6" i="4" s="1"/>
  <c r="AU6" i="4" a="1"/>
  <c r="AU6" i="4" s="1"/>
  <c r="AT6" i="4" a="1"/>
  <c r="AT6" i="4" s="1"/>
  <c r="AT7" i="4" s="1"/>
  <c r="AS6" i="4" a="1"/>
  <c r="AS6" i="4"/>
  <c r="AS7" i="4" s="1"/>
  <c r="AR6" i="4" a="1"/>
  <c r="AR6" i="4"/>
  <c r="AQ6" i="4" a="1"/>
  <c r="AQ6" i="4" s="1"/>
  <c r="AP6" i="4" a="1"/>
  <c r="AP6" i="4"/>
  <c r="AP8" i="4" s="1"/>
  <c r="AO6" i="4" a="1"/>
  <c r="AO6" i="4"/>
  <c r="AO8" i="4" s="1"/>
  <c r="AN6" i="4" a="1"/>
  <c r="AN6" i="4"/>
  <c r="AM6" i="4" a="1"/>
  <c r="AM6" i="4"/>
  <c r="AL6" i="4" a="1"/>
  <c r="AL6" i="4"/>
  <c r="AK6" i="4" a="1"/>
  <c r="AK6" i="4" s="1"/>
  <c r="AJ6" i="4" a="1"/>
  <c r="AJ6" i="4" s="1"/>
  <c r="AI6" i="4" a="1"/>
  <c r="AI6" i="4" s="1"/>
  <c r="AH6" i="4" a="1"/>
  <c r="AH6" i="4"/>
  <c r="AH8" i="4" s="1"/>
  <c r="AG6" i="4" a="1"/>
  <c r="AG6" i="4"/>
  <c r="AG8" i="4" s="1"/>
  <c r="AF6" i="4" a="1"/>
  <c r="AF6" i="4"/>
  <c r="AE6" i="4" a="1"/>
  <c r="AE6" i="4"/>
  <c r="AE7" i="4" s="1"/>
  <c r="AD6" i="4" a="1"/>
  <c r="AD6" i="4"/>
  <c r="AC6" i="4" a="1"/>
  <c r="AC6" i="4"/>
  <c r="AC8" i="4" s="1"/>
  <c r="AB6" i="4" a="1"/>
  <c r="AB6" i="4"/>
  <c r="AB7" i="4" s="1"/>
  <c r="AA6" i="4" a="1"/>
  <c r="AA6" i="4"/>
  <c r="AA8" i="4" s="1"/>
  <c r="Z6" i="4" a="1"/>
  <c r="Z6" i="4"/>
  <c r="Z8" i="4" s="1"/>
  <c r="Y6" i="4" a="1"/>
  <c r="Y6" i="4" s="1"/>
  <c r="Y8" i="4" s="1"/>
  <c r="X6" i="4" a="1"/>
  <c r="X6" i="4" s="1"/>
  <c r="X8" i="4" s="1"/>
  <c r="W6" i="4" a="1"/>
  <c r="W6" i="4"/>
  <c r="W8" i="4" s="1"/>
  <c r="V6" i="4" a="1"/>
  <c r="V6" i="4"/>
  <c r="U6" i="4" a="1"/>
  <c r="U6" i="4" s="1"/>
  <c r="T6" i="4" a="1"/>
  <c r="T6" i="4" s="1"/>
  <c r="T8" i="4" s="1"/>
  <c r="S6" i="4" a="1"/>
  <c r="S6" i="4"/>
  <c r="S8" i="4" s="1"/>
  <c r="R6" i="4" a="1"/>
  <c r="R6" i="4"/>
  <c r="R7" i="4" s="1"/>
  <c r="Q6" i="4" a="1"/>
  <c r="Q6" i="4"/>
  <c r="Q7" i="4" s="1"/>
  <c r="P6" i="4" a="1"/>
  <c r="P6" i="4"/>
  <c r="P7" i="4" s="1"/>
  <c r="O6" i="4" a="1"/>
  <c r="O6" i="4"/>
  <c r="O7" i="4" s="1"/>
  <c r="N6" i="4" a="1"/>
  <c r="N6" i="4"/>
  <c r="N7" i="4" s="1"/>
  <c r="M6" i="4" a="1"/>
  <c r="M6" i="4" s="1"/>
  <c r="M7" i="4" s="1"/>
  <c r="L6" i="4" a="1"/>
  <c r="L6" i="4"/>
  <c r="L7" i="4" s="1"/>
  <c r="K6" i="4" a="1"/>
  <c r="K6" i="4"/>
  <c r="K7" i="4" s="1"/>
  <c r="J6" i="4" a="1"/>
  <c r="J6" i="4"/>
  <c r="J7" i="4" s="1"/>
  <c r="I6" i="4" a="1"/>
  <c r="I6" i="4" s="1"/>
  <c r="I7" i="4" s="1"/>
  <c r="H6" i="4" a="1"/>
  <c r="H6" i="4"/>
  <c r="H7" i="4" s="1"/>
  <c r="G6" i="4" a="1"/>
  <c r="G6" i="4"/>
  <c r="G7" i="4" s="1"/>
  <c r="F6" i="4" a="1"/>
  <c r="F6" i="4"/>
  <c r="E6" i="4" a="1"/>
  <c r="E6" i="4"/>
  <c r="E8" i="4" s="1"/>
  <c r="D6" i="4" a="1"/>
  <c r="D6" i="4"/>
  <c r="D8" i="4" s="1"/>
  <c r="C6" i="4" a="1"/>
  <c r="C6" i="4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M24" i="3" s="1"/>
  <c r="EN24" i="3" s="1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EM19" i="3" s="1"/>
  <c r="EN19" i="3" s="1"/>
  <c r="J19" i="3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EM17" i="3" s="1"/>
  <c r="EN17" i="3" s="1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M15" i="3" s="1"/>
  <c r="EN15" i="3" s="1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M8" i="3"/>
  <c r="EL8" i="3"/>
  <c r="EJ8" i="3"/>
  <c r="EE8" i="3"/>
  <c r="EC8" i="3"/>
  <c r="DV8" i="3"/>
  <c r="DU8" i="3"/>
  <c r="DT8" i="3"/>
  <c r="DN8" i="3"/>
  <c r="DL8" i="3"/>
  <c r="DK8" i="3"/>
  <c r="DJ8" i="3"/>
  <c r="DI8" i="3"/>
  <c r="DC8" i="3"/>
  <c r="DB8" i="3"/>
  <c r="DA8" i="3"/>
  <c r="CZ8" i="3"/>
  <c r="CY8" i="3"/>
  <c r="CX8" i="3"/>
  <c r="CO8" i="3"/>
  <c r="CN8" i="3"/>
  <c r="CM8" i="3"/>
  <c r="CL8" i="3"/>
  <c r="CD8" i="3"/>
  <c r="CC8" i="3"/>
  <c r="CB8" i="3"/>
  <c r="CA8" i="3"/>
  <c r="BZ8" i="3"/>
  <c r="BY8" i="3"/>
  <c r="BX8" i="3"/>
  <c r="BS8" i="3"/>
  <c r="BR8" i="3"/>
  <c r="BQ8" i="3"/>
  <c r="BG8" i="3"/>
  <c r="BF8" i="3"/>
  <c r="BE8" i="3"/>
  <c r="BD8" i="3"/>
  <c r="BC8" i="3"/>
  <c r="BA8" i="3"/>
  <c r="AZ8" i="3"/>
  <c r="AY8" i="3"/>
  <c r="AW8" i="3"/>
  <c r="AV8" i="3"/>
  <c r="AU8" i="3"/>
  <c r="AK8" i="3"/>
  <c r="AJ8" i="3"/>
  <c r="AI8" i="3"/>
  <c r="AA8" i="3"/>
  <c r="Z8" i="3"/>
  <c r="Y8" i="3"/>
  <c r="X8" i="3"/>
  <c r="W8" i="3"/>
  <c r="V8" i="3"/>
  <c r="P8" i="3"/>
  <c r="N8" i="3"/>
  <c r="E8" i="3"/>
  <c r="D8" i="3"/>
  <c r="C8" i="3"/>
  <c r="EM7" i="3"/>
  <c r="EG7" i="3"/>
  <c r="EF7" i="3"/>
  <c r="EE7" i="3"/>
  <c r="ED7" i="3"/>
  <c r="DV7" i="3"/>
  <c r="DU7" i="3"/>
  <c r="DT7" i="3"/>
  <c r="DK7" i="3"/>
  <c r="DJ7" i="3"/>
  <c r="DI7" i="3"/>
  <c r="DH7" i="3"/>
  <c r="DG7" i="3"/>
  <c r="DF7" i="3"/>
  <c r="CZ7" i="3"/>
  <c r="CY7" i="3"/>
  <c r="CX7" i="3"/>
  <c r="CO7" i="3"/>
  <c r="CN7" i="3"/>
  <c r="CM7" i="3"/>
  <c r="CL7" i="3"/>
  <c r="CK7" i="3"/>
  <c r="CC7" i="3"/>
  <c r="CB7" i="3"/>
  <c r="CA7" i="3"/>
  <c r="BZ7" i="3"/>
  <c r="BY7" i="3"/>
  <c r="BX7" i="3"/>
  <c r="BR7" i="3"/>
  <c r="BQ7" i="3"/>
  <c r="BF7" i="3"/>
  <c r="BD7" i="3"/>
  <c r="BC7" i="3"/>
  <c r="BA7" i="3"/>
  <c r="AX7" i="3"/>
  <c r="AW7" i="3"/>
  <c r="AV7" i="3"/>
  <c r="AU7" i="3"/>
  <c r="AT7" i="3"/>
  <c r="AL7" i="3"/>
  <c r="AK7" i="3"/>
  <c r="AJ7" i="3"/>
  <c r="AA7" i="3"/>
  <c r="Z7" i="3"/>
  <c r="Y7" i="3"/>
  <c r="X7" i="3"/>
  <c r="W7" i="3"/>
  <c r="V7" i="3"/>
  <c r="P7" i="3"/>
  <c r="O7" i="3"/>
  <c r="N7" i="3"/>
  <c r="E7" i="3"/>
  <c r="D7" i="3"/>
  <c r="C7" i="3"/>
  <c r="EM6" i="3" a="1"/>
  <c r="EM6" i="3"/>
  <c r="EL6" i="3" a="1"/>
  <c r="EL6" i="3" s="1"/>
  <c r="EL7" i="3" s="1"/>
  <c r="EK6" i="3" a="1"/>
  <c r="EK6" i="3" s="1"/>
  <c r="EK8" i="3" s="1"/>
  <c r="EJ6" i="3" a="1"/>
  <c r="EJ6" i="3"/>
  <c r="EJ7" i="3" s="1"/>
  <c r="EI6" i="3" a="1"/>
  <c r="EI6" i="3"/>
  <c r="EI7" i="3" s="1"/>
  <c r="EH6" i="3" a="1"/>
  <c r="EH6" i="3"/>
  <c r="EH7" i="3" s="1"/>
  <c r="EG6" i="3" a="1"/>
  <c r="EG6" i="3"/>
  <c r="EG8" i="3" s="1"/>
  <c r="EF6" i="3" a="1"/>
  <c r="EF6" i="3"/>
  <c r="EF8" i="3" s="1"/>
  <c r="EE6" i="3" a="1"/>
  <c r="EE6" i="3"/>
  <c r="ED6" i="3" a="1"/>
  <c r="ED6" i="3"/>
  <c r="ED8" i="3" s="1"/>
  <c r="EC6" i="3" a="1"/>
  <c r="EC6" i="3"/>
  <c r="EC7" i="3" s="1"/>
  <c r="EB6" i="3" a="1"/>
  <c r="EB6" i="3"/>
  <c r="EB7" i="3" s="1"/>
  <c r="EA6" i="3" a="1"/>
  <c r="EA6" i="3"/>
  <c r="DZ6" i="3" a="1"/>
  <c r="DZ6" i="3" s="1"/>
  <c r="DY6" i="3" a="1"/>
  <c r="DY6" i="3"/>
  <c r="DX6" i="3" a="1"/>
  <c r="DX6" i="3"/>
  <c r="DW6" i="3" a="1"/>
  <c r="DW6" i="3"/>
  <c r="DV6" i="3" a="1"/>
  <c r="DV6" i="3"/>
  <c r="DU6" i="3" a="1"/>
  <c r="DU6" i="3"/>
  <c r="DT6" i="3" a="1"/>
  <c r="DT6" i="3"/>
  <c r="DS6" i="3" a="1"/>
  <c r="DS6" i="3"/>
  <c r="DS7" i="3" s="1"/>
  <c r="DR6" i="3" a="1"/>
  <c r="DR6" i="3"/>
  <c r="DR7" i="3" s="1"/>
  <c r="DQ6" i="3" a="1"/>
  <c r="DQ6" i="3"/>
  <c r="DQ7" i="3" s="1"/>
  <c r="DP6" i="3" a="1"/>
  <c r="DP6" i="3"/>
  <c r="DO6" i="3" a="1"/>
  <c r="DO6" i="3" s="1"/>
  <c r="DN6" i="3" a="1"/>
  <c r="DN6" i="3"/>
  <c r="DN7" i="3" s="1"/>
  <c r="DM6" i="3" a="1"/>
  <c r="DM6" i="3" s="1"/>
  <c r="DM7" i="3" s="1"/>
  <c r="DL6" i="3" a="1"/>
  <c r="DL6" i="3"/>
  <c r="DL7" i="3" s="1"/>
  <c r="DK6" i="3" a="1"/>
  <c r="DK6" i="3"/>
  <c r="DJ6" i="3" a="1"/>
  <c r="DJ6" i="3"/>
  <c r="DI6" i="3" a="1"/>
  <c r="DI6" i="3"/>
  <c r="DH6" i="3" a="1"/>
  <c r="DH6" i="3"/>
  <c r="DH8" i="3" s="1"/>
  <c r="DG6" i="3" a="1"/>
  <c r="DG6" i="3"/>
  <c r="DG8" i="3" s="1"/>
  <c r="DF6" i="3" a="1"/>
  <c r="DF6" i="3"/>
  <c r="DF8" i="3" s="1"/>
  <c r="DE6" i="3" a="1"/>
  <c r="DE6" i="3"/>
  <c r="DE8" i="3" s="1"/>
  <c r="DD6" i="3" a="1"/>
  <c r="DD6" i="3" s="1"/>
  <c r="DC6" i="3" a="1"/>
  <c r="DC6" i="3"/>
  <c r="DC7" i="3" s="1"/>
  <c r="DB6" i="3" a="1"/>
  <c r="DB6" i="3"/>
  <c r="DB7" i="3" s="1"/>
  <c r="DA6" i="3" a="1"/>
  <c r="DA6" i="3"/>
  <c r="DA7" i="3" s="1"/>
  <c r="CZ6" i="3" a="1"/>
  <c r="CZ6" i="3"/>
  <c r="CY6" i="3" a="1"/>
  <c r="CY6" i="3"/>
  <c r="CX6" i="3" a="1"/>
  <c r="CX6" i="3"/>
  <c r="CW6" i="3" a="1"/>
  <c r="CW6" i="3"/>
  <c r="CW7" i="3" s="1"/>
  <c r="CV6" i="3" a="1"/>
  <c r="CV6" i="3"/>
  <c r="CV7" i="3" s="1"/>
  <c r="CU6" i="3" a="1"/>
  <c r="CU6" i="3"/>
  <c r="CU7" i="3" s="1"/>
  <c r="CT6" i="3" a="1"/>
  <c r="CT6" i="3"/>
  <c r="CS6" i="3" a="1"/>
  <c r="CS6" i="3" s="1"/>
  <c r="CR6" i="3" a="1"/>
  <c r="CR6" i="3"/>
  <c r="CQ6" i="3" a="1"/>
  <c r="CQ6" i="3"/>
  <c r="CP6" i="3" a="1"/>
  <c r="CP6" i="3" s="1"/>
  <c r="CO6" i="3" a="1"/>
  <c r="CO6" i="3"/>
  <c r="CN6" i="3" a="1"/>
  <c r="CN6" i="3"/>
  <c r="CM6" i="3" a="1"/>
  <c r="CM6" i="3"/>
  <c r="CL6" i="3" a="1"/>
  <c r="CL6" i="3"/>
  <c r="CK6" i="3" a="1"/>
  <c r="CK6" i="3"/>
  <c r="CK8" i="3" s="1"/>
  <c r="CJ6" i="3" a="1"/>
  <c r="CJ6" i="3"/>
  <c r="CJ8" i="3" s="1"/>
  <c r="CI6" i="3" a="1"/>
  <c r="CI6" i="3"/>
  <c r="CH6" i="3" a="1"/>
  <c r="CH6" i="3" s="1"/>
  <c r="CG6" i="3" a="1"/>
  <c r="CG6" i="3"/>
  <c r="CF6" i="3" a="1"/>
  <c r="CF6" i="3" s="1"/>
  <c r="CE6" i="3" a="1"/>
  <c r="CE6" i="3"/>
  <c r="CE7" i="3" s="1"/>
  <c r="CD6" i="3" a="1"/>
  <c r="CD6" i="3"/>
  <c r="CD7" i="3" s="1"/>
  <c r="CC6" i="3" a="1"/>
  <c r="CC6" i="3"/>
  <c r="CB6" i="3" a="1"/>
  <c r="CB6" i="3"/>
  <c r="CA6" i="3" a="1"/>
  <c r="CA6" i="3"/>
  <c r="BZ6" i="3" a="1"/>
  <c r="BZ6" i="3"/>
  <c r="BY6" i="3" a="1"/>
  <c r="BY6" i="3"/>
  <c r="BX6" i="3" a="1"/>
  <c r="BX6" i="3"/>
  <c r="BW6" i="3" a="1"/>
  <c r="BW6" i="3" s="1"/>
  <c r="BW8" i="3" s="1"/>
  <c r="BV6" i="3" a="1"/>
  <c r="BV6" i="3"/>
  <c r="BU6" i="3" a="1"/>
  <c r="BU6" i="3"/>
  <c r="BT6" i="3" a="1"/>
  <c r="BT6" i="3"/>
  <c r="BS6" i="3" a="1"/>
  <c r="BS6" i="3"/>
  <c r="BS7" i="3" s="1"/>
  <c r="BR6" i="3" a="1"/>
  <c r="BR6" i="3"/>
  <c r="BQ6" i="3" a="1"/>
  <c r="BQ6" i="3"/>
  <c r="BP6" i="3" a="1"/>
  <c r="BP6" i="3"/>
  <c r="BP7" i="3" s="1"/>
  <c r="BO6" i="3" a="1"/>
  <c r="BO6" i="3"/>
  <c r="BO7" i="3" s="1"/>
  <c r="BN6" i="3" a="1"/>
  <c r="BN6" i="3"/>
  <c r="BN7" i="3" s="1"/>
  <c r="BM6" i="3" a="1"/>
  <c r="BM6" i="3"/>
  <c r="BL6" i="3" a="1"/>
  <c r="BL6" i="3" s="1"/>
  <c r="BK6" i="3" a="1"/>
  <c r="BK6" i="3"/>
  <c r="BJ6" i="3" a="1"/>
  <c r="BJ6" i="3"/>
  <c r="BI6" i="3" a="1"/>
  <c r="BI6" i="3" s="1"/>
  <c r="BH6" i="3" a="1"/>
  <c r="BH6" i="3"/>
  <c r="BG6" i="3" a="1"/>
  <c r="BG6" i="3"/>
  <c r="BG7" i="3" s="1"/>
  <c r="BF6" i="3" a="1"/>
  <c r="BF6" i="3"/>
  <c r="BE6" i="3" a="1"/>
  <c r="BE6" i="3"/>
  <c r="BE7" i="3" s="1"/>
  <c r="BD6" i="3" a="1"/>
  <c r="BD6" i="3"/>
  <c r="BC6" i="3" a="1"/>
  <c r="BC6" i="3"/>
  <c r="BB6" i="3" a="1"/>
  <c r="BB6" i="3"/>
  <c r="BB8" i="3" s="1"/>
  <c r="BA6" i="3" a="1"/>
  <c r="BA6" i="3" s="1"/>
  <c r="AZ6" i="3" a="1"/>
  <c r="AZ6" i="3"/>
  <c r="AZ7" i="3" s="1"/>
  <c r="AY6" i="3" a="1"/>
  <c r="AY6" i="3"/>
  <c r="AY7" i="3" s="1"/>
  <c r="AX6" i="3" a="1"/>
  <c r="AX6" i="3"/>
  <c r="AX8" i="3" s="1"/>
  <c r="AW6" i="3" a="1"/>
  <c r="AW6" i="3"/>
  <c r="AV6" i="3" a="1"/>
  <c r="AV6" i="3"/>
  <c r="AU6" i="3" a="1"/>
  <c r="AU6" i="3"/>
  <c r="AT6" i="3" a="1"/>
  <c r="AT6" i="3"/>
  <c r="AT8" i="3" s="1"/>
  <c r="AS6" i="3" a="1"/>
  <c r="AS6" i="3"/>
  <c r="AS7" i="3" s="1"/>
  <c r="AR6" i="3" a="1"/>
  <c r="AR6" i="3"/>
  <c r="AR7" i="3" s="1"/>
  <c r="AQ6" i="3" a="1"/>
  <c r="AQ6" i="3"/>
  <c r="AP6" i="3" a="1"/>
  <c r="AP6" i="3" s="1"/>
  <c r="AO6" i="3" a="1"/>
  <c r="AO6" i="3"/>
  <c r="AN6" i="3" a="1"/>
  <c r="AN6" i="3" s="1"/>
  <c r="AM6" i="3" a="1"/>
  <c r="AM6" i="3"/>
  <c r="AL6" i="3" a="1"/>
  <c r="AL6" i="3"/>
  <c r="AL8" i="3" s="1"/>
  <c r="AK6" i="3" a="1"/>
  <c r="AK6" i="3"/>
  <c r="AJ6" i="3" a="1"/>
  <c r="AJ6" i="3"/>
  <c r="AI6" i="3" a="1"/>
  <c r="AI6" i="3"/>
  <c r="AI7" i="3" s="1"/>
  <c r="AH6" i="3" a="1"/>
  <c r="AH6" i="3"/>
  <c r="AH7" i="3" s="1"/>
  <c r="AG6" i="3" a="1"/>
  <c r="AG6" i="3"/>
  <c r="AG7" i="3" s="1"/>
  <c r="AF6" i="3" a="1"/>
  <c r="AF6" i="3"/>
  <c r="AE6" i="3" a="1"/>
  <c r="AE6" i="3" s="1"/>
  <c r="AD6" i="3" a="1"/>
  <c r="AD6" i="3"/>
  <c r="AC6" i="3" a="1"/>
  <c r="AC6" i="3"/>
  <c r="AC7" i="3" s="1"/>
  <c r="AB6" i="3" a="1"/>
  <c r="AB6" i="3"/>
  <c r="AB7" i="3" s="1"/>
  <c r="AA6" i="3" a="1"/>
  <c r="AA6" i="3"/>
  <c r="Z6" i="3" a="1"/>
  <c r="Z6" i="3"/>
  <c r="Y6" i="3" a="1"/>
  <c r="Y6" i="3"/>
  <c r="X6" i="3" a="1"/>
  <c r="X6" i="3"/>
  <c r="W6" i="3" a="1"/>
  <c r="W6" i="3"/>
  <c r="V6" i="3" a="1"/>
  <c r="V6" i="3"/>
  <c r="U6" i="3" a="1"/>
  <c r="U6" i="3"/>
  <c r="U8" i="3" s="1"/>
  <c r="T6" i="3" a="1"/>
  <c r="T6" i="3" s="1"/>
  <c r="T8" i="3" s="1"/>
  <c r="S6" i="3" a="1"/>
  <c r="S6" i="3"/>
  <c r="S8" i="3" s="1"/>
  <c r="R6" i="3" a="1"/>
  <c r="R6" i="3"/>
  <c r="Q6" i="3" a="1"/>
  <c r="Q6" i="3" s="1"/>
  <c r="P6" i="3" a="1"/>
  <c r="P6" i="3"/>
  <c r="O6" i="3" a="1"/>
  <c r="O6" i="3"/>
  <c r="O8" i="3" s="1"/>
  <c r="N6" i="3" a="1"/>
  <c r="N6" i="3"/>
  <c r="M6" i="3" a="1"/>
  <c r="M6" i="3"/>
  <c r="M8" i="3" s="1"/>
  <c r="L6" i="3" a="1"/>
  <c r="L6" i="3"/>
  <c r="K6" i="3" a="1"/>
  <c r="K6" i="3"/>
  <c r="K7" i="3" s="1"/>
  <c r="J6" i="3" a="1"/>
  <c r="J6" i="3"/>
  <c r="I6" i="3" a="1"/>
  <c r="I6" i="3" s="1"/>
  <c r="H6" i="3" a="1"/>
  <c r="H6" i="3"/>
  <c r="G6" i="3" a="1"/>
  <c r="G6" i="3" s="1"/>
  <c r="F6" i="3" a="1"/>
  <c r="F6" i="3"/>
  <c r="E6" i="3" a="1"/>
  <c r="E6" i="3"/>
  <c r="D6" i="3" a="1"/>
  <c r="D6" i="3"/>
  <c r="C6" i="3" a="1"/>
  <c r="C6" i="3"/>
  <c r="EN25" i="2"/>
  <c r="EM25" i="2"/>
  <c r="EO25" i="2" s="1"/>
  <c r="EN24" i="2"/>
  <c r="EO24" i="2" s="1"/>
  <c r="B24" i="2"/>
  <c r="EN23" i="2"/>
  <c r="B23" i="2"/>
  <c r="EN22" i="2"/>
  <c r="B22" i="2"/>
  <c r="EN21" i="2"/>
  <c r="B21" i="2"/>
  <c r="EO20" i="2"/>
  <c r="EN20" i="2"/>
  <c r="B20" i="2"/>
  <c r="EN19" i="2"/>
  <c r="EO19" i="2" s="1"/>
  <c r="B19" i="2"/>
  <c r="EN18" i="2"/>
  <c r="EO18" i="2" s="1"/>
  <c r="B18" i="2"/>
  <c r="EN17" i="2"/>
  <c r="EO17" i="2" s="1"/>
  <c r="B17" i="2"/>
  <c r="EN16" i="2"/>
  <c r="EO16" i="2" s="1"/>
  <c r="B16" i="2"/>
  <c r="EN15" i="2"/>
  <c r="EO15" i="2" s="1"/>
  <c r="B15" i="2"/>
  <c r="EN14" i="2"/>
  <c r="EO14" i="2" s="1"/>
  <c r="B14" i="2"/>
  <c r="EO13" i="2"/>
  <c r="EN13" i="2"/>
  <c r="B13" i="2"/>
  <c r="EO12" i="2"/>
  <c r="EN12" i="2"/>
  <c r="B12" i="2"/>
  <c r="EK8" i="2"/>
  <c r="EI8" i="2"/>
  <c r="DZ8" i="2"/>
  <c r="DY8" i="2"/>
  <c r="DX8" i="2"/>
  <c r="DW8" i="2"/>
  <c r="DV8" i="2"/>
  <c r="DU8" i="2"/>
  <c r="DT8" i="2"/>
  <c r="DO8" i="2"/>
  <c r="DD8" i="2"/>
  <c r="DB8" i="2"/>
  <c r="DA8" i="2"/>
  <c r="CZ8" i="2"/>
  <c r="CY8" i="2"/>
  <c r="CX8" i="2"/>
  <c r="CW8" i="2"/>
  <c r="CV8" i="2"/>
  <c r="CS8" i="2"/>
  <c r="CR8" i="2"/>
  <c r="CQ8" i="2"/>
  <c r="CL8" i="2"/>
  <c r="CK8" i="2"/>
  <c r="CJ8" i="2"/>
  <c r="CI8" i="2"/>
  <c r="CH8" i="2"/>
  <c r="CF8" i="2"/>
  <c r="CE8" i="2"/>
  <c r="CD8" i="2"/>
  <c r="CC8" i="2"/>
  <c r="BW8" i="2"/>
  <c r="BU8" i="2"/>
  <c r="BT8" i="2"/>
  <c r="BS8" i="2"/>
  <c r="BN8" i="2"/>
  <c r="BL8" i="2"/>
  <c r="BJ8" i="2"/>
  <c r="BI8" i="2"/>
  <c r="BH8" i="2"/>
  <c r="BG8" i="2"/>
  <c r="BA8" i="2"/>
  <c r="AY8" i="2"/>
  <c r="AV8" i="2"/>
  <c r="AU8" i="2"/>
  <c r="AP8" i="2"/>
  <c r="AN8" i="2"/>
  <c r="AM8" i="2"/>
  <c r="AL8" i="2"/>
  <c r="AJ8" i="2"/>
  <c r="AI8" i="2"/>
  <c r="AH8" i="2"/>
  <c r="AE8" i="2"/>
  <c r="AC8" i="2"/>
  <c r="Y8" i="2"/>
  <c r="X8" i="2"/>
  <c r="T8" i="2"/>
  <c r="R8" i="2"/>
  <c r="M8" i="2"/>
  <c r="L8" i="2"/>
  <c r="I8" i="2"/>
  <c r="H8" i="2"/>
  <c r="G8" i="2"/>
  <c r="F8" i="2"/>
  <c r="E8" i="2"/>
  <c r="D8" i="2"/>
  <c r="C8" i="2"/>
  <c r="EM7" i="2"/>
  <c r="EK7" i="2"/>
  <c r="EJ7" i="2"/>
  <c r="DX7" i="2"/>
  <c r="DW7" i="2"/>
  <c r="DV7" i="2"/>
  <c r="DU7" i="2"/>
  <c r="DT7" i="2"/>
  <c r="DR7" i="2"/>
  <c r="DO7" i="2"/>
  <c r="DN7" i="2"/>
  <c r="DM7" i="2"/>
  <c r="DL7" i="2"/>
  <c r="DB7" i="2"/>
  <c r="DA7" i="2"/>
  <c r="CS7" i="2"/>
  <c r="CR7" i="2"/>
  <c r="CQ7" i="2"/>
  <c r="CP7" i="2"/>
  <c r="CO7" i="2"/>
  <c r="CN7" i="2"/>
  <c r="CF7" i="2"/>
  <c r="CE7" i="2"/>
  <c r="CD7" i="2"/>
  <c r="CC7" i="2"/>
  <c r="BW7" i="2"/>
  <c r="BU7" i="2"/>
  <c r="BS7" i="2"/>
  <c r="BR7" i="2"/>
  <c r="BQ7" i="2"/>
  <c r="BP7" i="2"/>
  <c r="BJ7" i="2"/>
  <c r="BI7" i="2"/>
  <c r="BH7" i="2"/>
  <c r="BG7" i="2"/>
  <c r="BF7" i="2"/>
  <c r="BE7" i="2"/>
  <c r="BD7" i="2"/>
  <c r="BC7" i="2"/>
  <c r="BB7" i="2"/>
  <c r="BA7" i="2"/>
  <c r="AY7" i="2"/>
  <c r="AV7" i="2"/>
  <c r="AU7" i="2"/>
  <c r="AT7" i="2"/>
  <c r="AS7" i="2"/>
  <c r="AJ7" i="2"/>
  <c r="AI7" i="2"/>
  <c r="AH7" i="2"/>
  <c r="AG7" i="2"/>
  <c r="AF7" i="2"/>
  <c r="AE7" i="2"/>
  <c r="AC7" i="2"/>
  <c r="AB7" i="2"/>
  <c r="AA7" i="2"/>
  <c r="Z7" i="2"/>
  <c r="R7" i="2"/>
  <c r="M7" i="2"/>
  <c r="L7" i="2"/>
  <c r="K7" i="2"/>
  <c r="J7" i="2"/>
  <c r="I7" i="2"/>
  <c r="G7" i="2"/>
  <c r="EM6" i="2" a="1"/>
  <c r="EM6" i="2"/>
  <c r="EM8" i="2" s="1"/>
  <c r="EL6" i="2" a="1"/>
  <c r="EL6" i="2"/>
  <c r="EK6" i="2" a="1"/>
  <c r="EK6" i="2"/>
  <c r="EJ6" i="2" a="1"/>
  <c r="EJ6" i="2" s="1"/>
  <c r="EJ8" i="2" s="1"/>
  <c r="EI6" i="2" a="1"/>
  <c r="EI6" i="2"/>
  <c r="EI7" i="2" s="1"/>
  <c r="EH6" i="2" a="1"/>
  <c r="EH6" i="2"/>
  <c r="EH7" i="2" s="1"/>
  <c r="EG6" i="2" a="1"/>
  <c r="EG6" i="2"/>
  <c r="EG7" i="2" s="1"/>
  <c r="EF6" i="2" a="1"/>
  <c r="EF6" i="2"/>
  <c r="EF7" i="2" s="1"/>
  <c r="EE6" i="2" a="1"/>
  <c r="EE6" i="2"/>
  <c r="EE7" i="2" s="1"/>
  <c r="ED6" i="2" a="1"/>
  <c r="ED6" i="2" s="1"/>
  <c r="EC6" i="2" a="1"/>
  <c r="EC6" i="2"/>
  <c r="EB6" i="2" a="1"/>
  <c r="EB6" i="2"/>
  <c r="EA6" i="2" a="1"/>
  <c r="EA6" i="2"/>
  <c r="DZ6" i="2" a="1"/>
  <c r="DZ6" i="2"/>
  <c r="DZ7" i="2" s="1"/>
  <c r="DY6" i="2" a="1"/>
  <c r="DY6" i="2" s="1"/>
  <c r="DY7" i="2" s="1"/>
  <c r="DX6" i="2" a="1"/>
  <c r="DX6" i="2"/>
  <c r="DW6" i="2" a="1"/>
  <c r="DW6" i="2"/>
  <c r="DV6" i="2" a="1"/>
  <c r="DV6" i="2"/>
  <c r="DU6" i="2" a="1"/>
  <c r="DU6" i="2"/>
  <c r="DT6" i="2" a="1"/>
  <c r="DT6" i="2"/>
  <c r="DS6" i="2" a="1"/>
  <c r="DS6" i="2"/>
  <c r="DR6" i="2" a="1"/>
  <c r="DR6" i="2"/>
  <c r="DR8" i="2" s="1"/>
  <c r="DQ6" i="2" a="1"/>
  <c r="DQ6" i="2" s="1"/>
  <c r="DQ8" i="2" s="1"/>
  <c r="DP6" i="2" a="1"/>
  <c r="DP6" i="2"/>
  <c r="DO6" i="2" a="1"/>
  <c r="DO6" i="2"/>
  <c r="DN6" i="2" a="1"/>
  <c r="DN6" i="2" s="1"/>
  <c r="DN8" i="2" s="1"/>
  <c r="DM6" i="2" a="1"/>
  <c r="DM6" i="2"/>
  <c r="DM8" i="2" s="1"/>
  <c r="DL6" i="2" a="1"/>
  <c r="DL6" i="2"/>
  <c r="DL8" i="2" s="1"/>
  <c r="DK6" i="2" a="1"/>
  <c r="DK6" i="2"/>
  <c r="DJ6" i="2" a="1"/>
  <c r="DJ6" i="2"/>
  <c r="DJ7" i="2" s="1"/>
  <c r="DI6" i="2" a="1"/>
  <c r="DI6" i="2"/>
  <c r="DI7" i="2" s="1"/>
  <c r="DH6" i="2" a="1"/>
  <c r="DH6" i="2"/>
  <c r="DH7" i="2" s="1"/>
  <c r="DG6" i="2" a="1"/>
  <c r="DG6" i="2" s="1"/>
  <c r="DG8" i="2" s="1"/>
  <c r="DF6" i="2" a="1"/>
  <c r="DF6" i="2"/>
  <c r="DE6" i="2" a="1"/>
  <c r="DE6" i="2"/>
  <c r="DD6" i="2" a="1"/>
  <c r="DD6" i="2"/>
  <c r="DD7" i="2" s="1"/>
  <c r="DC6" i="2" a="1"/>
  <c r="DC6" i="2" s="1"/>
  <c r="DB6" i="2" a="1"/>
  <c r="DB6" i="2"/>
  <c r="DA6" i="2" a="1"/>
  <c r="DA6" i="2"/>
  <c r="CZ6" i="2" a="1"/>
  <c r="CZ6" i="2"/>
  <c r="CZ7" i="2" s="1"/>
  <c r="CY6" i="2" a="1"/>
  <c r="CY6" i="2"/>
  <c r="CY7" i="2" s="1"/>
  <c r="CX6" i="2" a="1"/>
  <c r="CX6" i="2"/>
  <c r="CX7" i="2" s="1"/>
  <c r="CW6" i="2" a="1"/>
  <c r="CW6" i="2"/>
  <c r="CW7" i="2" s="1"/>
  <c r="CV6" i="2" a="1"/>
  <c r="CV6" i="2"/>
  <c r="CV7" i="2" s="1"/>
  <c r="CU6" i="2" a="1"/>
  <c r="CU6" i="2"/>
  <c r="CT6" i="2" a="1"/>
  <c r="CT6" i="2" s="1"/>
  <c r="CS6" i="2" a="1"/>
  <c r="CS6" i="2"/>
  <c r="CR6" i="2" a="1"/>
  <c r="CR6" i="2" s="1"/>
  <c r="CQ6" i="2" a="1"/>
  <c r="CQ6" i="2"/>
  <c r="CP6" i="2" a="1"/>
  <c r="CP6" i="2"/>
  <c r="CP8" i="2" s="1"/>
  <c r="CO6" i="2" a="1"/>
  <c r="CO6" i="2"/>
  <c r="CO8" i="2" s="1"/>
  <c r="CN6" i="2" a="1"/>
  <c r="CN6" i="2"/>
  <c r="CN8" i="2" s="1"/>
  <c r="CM6" i="2" a="1"/>
  <c r="CM6" i="2"/>
  <c r="CL6" i="2" a="1"/>
  <c r="CL6" i="2"/>
  <c r="CL7" i="2" s="1"/>
  <c r="CK6" i="2" a="1"/>
  <c r="CK6" i="2"/>
  <c r="CK7" i="2" s="1"/>
  <c r="CJ6" i="2" a="1"/>
  <c r="CJ6" i="2" s="1"/>
  <c r="CJ7" i="2" s="1"/>
  <c r="CI6" i="2" a="1"/>
  <c r="CI6" i="2"/>
  <c r="CI7" i="2" s="1"/>
  <c r="CH6" i="2" a="1"/>
  <c r="CH6" i="2"/>
  <c r="CH7" i="2" s="1"/>
  <c r="CG6" i="2" a="1"/>
  <c r="CG6" i="2" s="1"/>
  <c r="CF6" i="2" a="1"/>
  <c r="CF6" i="2"/>
  <c r="CE6" i="2" a="1"/>
  <c r="CE6" i="2"/>
  <c r="CD6" i="2" a="1"/>
  <c r="CD6" i="2"/>
  <c r="CC6" i="2" a="1"/>
  <c r="CC6" i="2"/>
  <c r="CB6" i="2" a="1"/>
  <c r="CB6" i="2"/>
  <c r="CB7" i="2" s="1"/>
  <c r="CA6" i="2" a="1"/>
  <c r="CA6" i="2"/>
  <c r="CA7" i="2" s="1"/>
  <c r="BZ6" i="2" a="1"/>
  <c r="BZ6" i="2"/>
  <c r="BZ7" i="2" s="1"/>
  <c r="BY6" i="2" a="1"/>
  <c r="BY6" i="2"/>
  <c r="BX6" i="2" a="1"/>
  <c r="BX6" i="2"/>
  <c r="BW6" i="2" a="1"/>
  <c r="BW6" i="2"/>
  <c r="BV6" i="2" a="1"/>
  <c r="BV6" i="2" s="1"/>
  <c r="BU6" i="2" a="1"/>
  <c r="BU6" i="2"/>
  <c r="BT6" i="2" a="1"/>
  <c r="BT6" i="2"/>
  <c r="BT7" i="2" s="1"/>
  <c r="BS6" i="2" a="1"/>
  <c r="BS6" i="2"/>
  <c r="BR6" i="2" a="1"/>
  <c r="BR6" i="2"/>
  <c r="BR8" i="2" s="1"/>
  <c r="BQ6" i="2" a="1"/>
  <c r="BQ6" i="2"/>
  <c r="BQ8" i="2" s="1"/>
  <c r="BP6" i="2" a="1"/>
  <c r="BP6" i="2"/>
  <c r="BP8" i="2" s="1"/>
  <c r="BO6" i="2" a="1"/>
  <c r="BO6" i="2"/>
  <c r="BN6" i="2" a="1"/>
  <c r="BN6" i="2"/>
  <c r="BN7" i="2" s="1"/>
  <c r="BM6" i="2" a="1"/>
  <c r="BM6" i="2" s="1"/>
  <c r="BM7" i="2" s="1"/>
  <c r="BL6" i="2" a="1"/>
  <c r="BL6" i="2"/>
  <c r="BL7" i="2" s="1"/>
  <c r="BK6" i="2" a="1"/>
  <c r="BK6" i="2" s="1"/>
  <c r="BJ6" i="2" a="1"/>
  <c r="BJ6" i="2"/>
  <c r="BI6" i="2" a="1"/>
  <c r="BI6" i="2"/>
  <c r="BH6" i="2" a="1"/>
  <c r="BH6" i="2" s="1"/>
  <c r="BG6" i="2" a="1"/>
  <c r="BG6" i="2"/>
  <c r="BF6" i="2" a="1"/>
  <c r="BF6" i="2"/>
  <c r="BF8" i="2" s="1"/>
  <c r="BE6" i="2" a="1"/>
  <c r="BE6" i="2"/>
  <c r="BE8" i="2" s="1"/>
  <c r="BD6" i="2" a="1"/>
  <c r="BD6" i="2"/>
  <c r="BD8" i="2" s="1"/>
  <c r="BC6" i="2" a="1"/>
  <c r="BC6" i="2"/>
  <c r="BC8" i="2" s="1"/>
  <c r="BB6" i="2" a="1"/>
  <c r="BB6" i="2"/>
  <c r="BB8" i="2" s="1"/>
  <c r="BA6" i="2" a="1"/>
  <c r="BA6" i="2"/>
  <c r="AZ6" i="2" a="1"/>
  <c r="AZ6" i="2" s="1"/>
  <c r="AY6" i="2" a="1"/>
  <c r="AY6" i="2"/>
  <c r="AX6" i="2" a="1"/>
  <c r="AX6" i="2"/>
  <c r="AW6" i="2" a="1"/>
  <c r="AW6" i="2"/>
  <c r="AV6" i="2" a="1"/>
  <c r="AV6" i="2"/>
  <c r="AU6" i="2" a="1"/>
  <c r="AU6" i="2"/>
  <c r="AT6" i="2" a="1"/>
  <c r="AT6" i="2"/>
  <c r="AT8" i="2" s="1"/>
  <c r="AS6" i="2" a="1"/>
  <c r="AS6" i="2"/>
  <c r="AS8" i="2" s="1"/>
  <c r="AR6" i="2" a="1"/>
  <c r="AR6" i="2"/>
  <c r="AR8" i="2" s="1"/>
  <c r="AQ6" i="2" a="1"/>
  <c r="AQ6" i="2"/>
  <c r="AP6" i="2" a="1"/>
  <c r="AP6" i="2"/>
  <c r="AP7" i="2" s="1"/>
  <c r="AO6" i="2" a="1"/>
  <c r="AO6" i="2" s="1"/>
  <c r="AN6" i="2" a="1"/>
  <c r="AN6" i="2"/>
  <c r="AN7" i="2" s="1"/>
  <c r="AM6" i="2" a="1"/>
  <c r="AM6" i="2"/>
  <c r="AM7" i="2" s="1"/>
  <c r="AL6" i="2" a="1"/>
  <c r="AL6" i="2"/>
  <c r="AL7" i="2" s="1"/>
  <c r="AK6" i="2" a="1"/>
  <c r="AK6" i="2" s="1"/>
  <c r="AK7" i="2" s="1"/>
  <c r="AJ6" i="2" a="1"/>
  <c r="AJ6" i="2"/>
  <c r="AI6" i="2" a="1"/>
  <c r="AI6" i="2"/>
  <c r="AH6" i="2" a="1"/>
  <c r="AH6" i="2"/>
  <c r="AG6" i="2" a="1"/>
  <c r="AG6" i="2"/>
  <c r="AG8" i="2" s="1"/>
  <c r="AF6" i="2" a="1"/>
  <c r="AF6" i="2"/>
  <c r="AF8" i="2" s="1"/>
  <c r="AE6" i="2" a="1"/>
  <c r="AE6" i="2"/>
  <c r="AD6" i="2" a="1"/>
  <c r="AD6" i="2" s="1"/>
  <c r="AD8" i="2" s="1"/>
  <c r="AC6" i="2" a="1"/>
  <c r="AC6" i="2"/>
  <c r="AB6" i="2" a="1"/>
  <c r="AB6" i="2"/>
  <c r="AB8" i="2" s="1"/>
  <c r="AA6" i="2" a="1"/>
  <c r="AA6" i="2"/>
  <c r="AA8" i="2" s="1"/>
  <c r="Z6" i="2" a="1"/>
  <c r="Z6" i="2"/>
  <c r="Z8" i="2" s="1"/>
  <c r="Y6" i="2" a="1"/>
  <c r="Y6" i="2"/>
  <c r="Y7" i="2" s="1"/>
  <c r="X6" i="2" a="1"/>
  <c r="X6" i="2"/>
  <c r="X7" i="2" s="1"/>
  <c r="W6" i="2" a="1"/>
  <c r="W6" i="2"/>
  <c r="W7" i="2" s="1"/>
  <c r="V6" i="2" a="1"/>
  <c r="V6" i="2"/>
  <c r="V8" i="2" s="1"/>
  <c r="U6" i="2" a="1"/>
  <c r="U6" i="2"/>
  <c r="U8" i="2" s="1"/>
  <c r="T6" i="2" a="1"/>
  <c r="T6" i="2"/>
  <c r="T7" i="2" s="1"/>
  <c r="S6" i="2" a="1"/>
  <c r="S6" i="2" s="1"/>
  <c r="R6" i="2" a="1"/>
  <c r="R6" i="2"/>
  <c r="Q6" i="2" a="1"/>
  <c r="Q6" i="2"/>
  <c r="P6" i="2" a="1"/>
  <c r="P6" i="2" s="1"/>
  <c r="O6" i="2" a="1"/>
  <c r="O6" i="2"/>
  <c r="N6" i="2" a="1"/>
  <c r="N6" i="2" s="1"/>
  <c r="M6" i="2" a="1"/>
  <c r="M6" i="2"/>
  <c r="L6" i="2" a="1"/>
  <c r="L6" i="2"/>
  <c r="K6" i="2" a="1"/>
  <c r="K6" i="2"/>
  <c r="K8" i="2" s="1"/>
  <c r="J6" i="2" a="1"/>
  <c r="J6" i="2"/>
  <c r="J8" i="2" s="1"/>
  <c r="I6" i="2" a="1"/>
  <c r="I6" i="2"/>
  <c r="H6" i="2" a="1"/>
  <c r="H6" i="2" s="1"/>
  <c r="H7" i="2" s="1"/>
  <c r="G6" i="2" a="1"/>
  <c r="G6" i="2"/>
  <c r="F6" i="2" a="1"/>
  <c r="F6" i="2"/>
  <c r="F7" i="2" s="1"/>
  <c r="E6" i="2" a="1"/>
  <c r="E6" i="2"/>
  <c r="E7" i="2" s="1"/>
  <c r="D6" i="2" a="1"/>
  <c r="D6" i="2" s="1"/>
  <c r="D7" i="2" s="1"/>
  <c r="C6" i="2" a="1"/>
  <c r="C6" i="2"/>
  <c r="C7" i="2" s="1"/>
  <c r="EN25" i="1"/>
  <c r="EM25" i="1"/>
  <c r="EO25" i="1" s="1"/>
  <c r="EN24" i="1"/>
  <c r="EM24" i="1"/>
  <c r="EO24" i="1" s="1"/>
  <c r="B24" i="1"/>
  <c r="EO23" i="1"/>
  <c r="EN23" i="1"/>
  <c r="EM23" i="1"/>
  <c r="B23" i="1"/>
  <c r="EN22" i="1"/>
  <c r="EM22" i="1"/>
  <c r="EO22" i="1" s="1"/>
  <c r="B22" i="1"/>
  <c r="EN21" i="1"/>
  <c r="EM21" i="1"/>
  <c r="EO21" i="1" s="1"/>
  <c r="B21" i="1"/>
  <c r="EN20" i="1"/>
  <c r="EM20" i="1"/>
  <c r="EO20" i="1" s="1"/>
  <c r="B20" i="1"/>
  <c r="EN19" i="1"/>
  <c r="EM19" i="1"/>
  <c r="EO19" i="1" s="1"/>
  <c r="B19" i="1"/>
  <c r="EN18" i="1"/>
  <c r="EM18" i="1"/>
  <c r="EO18" i="1" s="1"/>
  <c r="B18" i="1"/>
  <c r="EN17" i="1"/>
  <c r="EM17" i="1"/>
  <c r="EO17" i="1" s="1"/>
  <c r="B17" i="1"/>
  <c r="EN16" i="1"/>
  <c r="EM16" i="1"/>
  <c r="EO16" i="1" s="1"/>
  <c r="B16" i="1"/>
  <c r="EN15" i="1"/>
  <c r="EO15" i="1" s="1"/>
  <c r="EM15" i="1"/>
  <c r="B15" i="1"/>
  <c r="EN14" i="1"/>
  <c r="EO14" i="1" s="1"/>
  <c r="EM14" i="1"/>
  <c r="B14" i="1"/>
  <c r="EN13" i="1"/>
  <c r="EM13" i="1"/>
  <c r="EO13" i="1" s="1"/>
  <c r="B13" i="1"/>
  <c r="EO12" i="1"/>
  <c r="EN12" i="1"/>
  <c r="EM12" i="1"/>
  <c r="B12" i="1"/>
  <c r="EM8" i="1"/>
  <c r="EI8" i="1"/>
  <c r="EH8" i="1"/>
  <c r="EF8" i="1"/>
  <c r="EE8" i="1"/>
  <c r="ED8" i="1"/>
  <c r="EB8" i="1"/>
  <c r="EA8" i="1"/>
  <c r="DZ8" i="1"/>
  <c r="DY8" i="1"/>
  <c r="DX8" i="1"/>
  <c r="DW8" i="1"/>
  <c r="DO8" i="1"/>
  <c r="DL8" i="1"/>
  <c r="DE8" i="1"/>
  <c r="DD8" i="1"/>
  <c r="DC8" i="1"/>
  <c r="DB8" i="1"/>
  <c r="DA8" i="1"/>
  <c r="CZ8" i="1"/>
  <c r="CY8" i="1"/>
  <c r="CU8" i="1"/>
  <c r="CT8" i="1"/>
  <c r="CF8" i="1"/>
  <c r="CE8" i="1"/>
  <c r="CD8" i="1"/>
  <c r="CC8" i="1"/>
  <c r="BU8" i="1"/>
  <c r="BT8" i="1"/>
  <c r="BS8" i="1"/>
  <c r="BH8" i="1"/>
  <c r="BG8" i="1"/>
  <c r="AW8" i="1"/>
  <c r="AV8" i="1"/>
  <c r="AU8" i="1"/>
  <c r="AP8" i="1"/>
  <c r="AO8" i="1"/>
  <c r="AN8" i="1"/>
  <c r="AM8" i="1"/>
  <c r="AL8" i="1"/>
  <c r="Y8" i="1"/>
  <c r="X8" i="1"/>
  <c r="W8" i="1"/>
  <c r="R8" i="1"/>
  <c r="L8" i="1"/>
  <c r="K8" i="1"/>
  <c r="J8" i="1"/>
  <c r="I8" i="1"/>
  <c r="H8" i="1"/>
  <c r="EM7" i="1"/>
  <c r="EL7" i="1"/>
  <c r="EK7" i="1"/>
  <c r="EJ7" i="1"/>
  <c r="EA7" i="1"/>
  <c r="DZ7" i="1"/>
  <c r="DY7" i="1"/>
  <c r="DX7" i="1"/>
  <c r="DW7" i="1"/>
  <c r="DV7" i="1"/>
  <c r="DU7" i="1"/>
  <c r="DT7" i="1"/>
  <c r="DS7" i="1"/>
  <c r="DR7" i="1"/>
  <c r="DQ7" i="1"/>
  <c r="DL7" i="1"/>
  <c r="DC7" i="1"/>
  <c r="DB7" i="1"/>
  <c r="DA7" i="1"/>
  <c r="CZ7" i="1"/>
  <c r="CY7" i="1"/>
  <c r="CX7" i="1"/>
  <c r="CR7" i="1"/>
  <c r="CQ7" i="1"/>
  <c r="CP7" i="1"/>
  <c r="CO7" i="1"/>
  <c r="CN7" i="1"/>
  <c r="CF7" i="1"/>
  <c r="CC7" i="1"/>
  <c r="BV7" i="1"/>
  <c r="BU7" i="1"/>
  <c r="BT7" i="1"/>
  <c r="BS7" i="1"/>
  <c r="BR7" i="1"/>
  <c r="BQ7" i="1"/>
  <c r="BP7" i="1"/>
  <c r="BI7" i="1"/>
  <c r="BH7" i="1"/>
  <c r="BG7" i="1"/>
  <c r="BF7" i="1"/>
  <c r="AV7" i="1"/>
  <c r="AU7" i="1"/>
  <c r="AT7" i="1"/>
  <c r="AQ7" i="1"/>
  <c r="AK7" i="1"/>
  <c r="AJ7" i="1"/>
  <c r="AI7" i="1"/>
  <c r="AH7" i="1"/>
  <c r="AG7" i="1"/>
  <c r="AF7" i="1"/>
  <c r="AE7" i="1"/>
  <c r="Y7" i="1"/>
  <c r="X7" i="1"/>
  <c r="M7" i="1"/>
  <c r="L7" i="1"/>
  <c r="K7" i="1"/>
  <c r="J7" i="1"/>
  <c r="I7" i="1"/>
  <c r="H7" i="1"/>
  <c r="EM6" i="1" a="1"/>
  <c r="EM6" i="1" s="1"/>
  <c r="EL6" i="1" a="1"/>
  <c r="EL6" i="1"/>
  <c r="EL8" i="1" s="1"/>
  <c r="EK6" i="1" a="1"/>
  <c r="EK6" i="1"/>
  <c r="EK8" i="1" s="1"/>
  <c r="EJ6" i="1" a="1"/>
  <c r="EJ6" i="1"/>
  <c r="EJ8" i="1" s="1"/>
  <c r="EI6" i="1" a="1"/>
  <c r="EI6" i="1"/>
  <c r="EI7" i="1" s="1"/>
  <c r="EH6" i="1" a="1"/>
  <c r="EH6" i="1"/>
  <c r="EH7" i="1" s="1"/>
  <c r="EG6" i="1" a="1"/>
  <c r="EG6" i="1"/>
  <c r="EF6" i="1" a="1"/>
  <c r="EF6" i="1"/>
  <c r="EF7" i="1" s="1"/>
  <c r="EE6" i="1" a="1"/>
  <c r="EE6" i="1"/>
  <c r="EE7" i="1" s="1"/>
  <c r="ED6" i="1" a="1"/>
  <c r="ED6" i="1"/>
  <c r="ED7" i="1" s="1"/>
  <c r="EC6" i="1" a="1"/>
  <c r="EC6" i="1" s="1"/>
  <c r="EC7" i="1" s="1"/>
  <c r="EB6" i="1" a="1"/>
  <c r="EB6" i="1" s="1"/>
  <c r="EB7" i="1" s="1"/>
  <c r="EA6" i="1" a="1"/>
  <c r="EA6" i="1"/>
  <c r="DZ6" i="1" a="1"/>
  <c r="DZ6" i="1"/>
  <c r="DY6" i="1" a="1"/>
  <c r="DY6" i="1"/>
  <c r="DX6" i="1" a="1"/>
  <c r="DX6" i="1" s="1"/>
  <c r="DW6" i="1" a="1"/>
  <c r="DW6" i="1"/>
  <c r="DV6" i="1" a="1"/>
  <c r="DV6" i="1"/>
  <c r="DV8" i="1" s="1"/>
  <c r="DU6" i="1" a="1"/>
  <c r="DU6" i="1"/>
  <c r="DU8" i="1" s="1"/>
  <c r="DT6" i="1" a="1"/>
  <c r="DT6" i="1"/>
  <c r="DT8" i="1" s="1"/>
  <c r="DS6" i="1" a="1"/>
  <c r="DS6" i="1"/>
  <c r="DS8" i="1" s="1"/>
  <c r="DR6" i="1" a="1"/>
  <c r="DR6" i="1"/>
  <c r="DR8" i="1" s="1"/>
  <c r="DQ6" i="1" a="1"/>
  <c r="DQ6" i="1" s="1"/>
  <c r="DQ8" i="1" s="1"/>
  <c r="DP6" i="1" a="1"/>
  <c r="DP6" i="1"/>
  <c r="DO6" i="1" a="1"/>
  <c r="DO6" i="1"/>
  <c r="DO7" i="1" s="1"/>
  <c r="DN6" i="1" a="1"/>
  <c r="DN6" i="1"/>
  <c r="DN8" i="1" s="1"/>
  <c r="DM6" i="1" a="1"/>
  <c r="DM6" i="1"/>
  <c r="DM8" i="1" s="1"/>
  <c r="DL6" i="1" a="1"/>
  <c r="DL6" i="1"/>
  <c r="DK6" i="1" a="1"/>
  <c r="DK6" i="1"/>
  <c r="DK7" i="1" s="1"/>
  <c r="DJ6" i="1" a="1"/>
  <c r="DJ6" i="1"/>
  <c r="DJ7" i="1" s="1"/>
  <c r="DI6" i="1" a="1"/>
  <c r="DI6" i="1"/>
  <c r="DH6" i="1" a="1"/>
  <c r="DH6" i="1"/>
  <c r="DG6" i="1" a="1"/>
  <c r="DG6" i="1" s="1"/>
  <c r="DF6" i="1" a="1"/>
  <c r="DF6" i="1" s="1"/>
  <c r="DE6" i="1" a="1"/>
  <c r="DE6" i="1"/>
  <c r="DE7" i="1" s="1"/>
  <c r="DD6" i="1" a="1"/>
  <c r="DD6" i="1" s="1"/>
  <c r="DD7" i="1" s="1"/>
  <c r="DC6" i="1" a="1"/>
  <c r="DC6" i="1"/>
  <c r="DB6" i="1" a="1"/>
  <c r="DB6" i="1"/>
  <c r="DA6" i="1" a="1"/>
  <c r="DA6" i="1" s="1"/>
  <c r="CZ6" i="1" a="1"/>
  <c r="CZ6" i="1"/>
  <c r="CY6" i="1" a="1"/>
  <c r="CY6" i="1"/>
  <c r="CX6" i="1" a="1"/>
  <c r="CX6" i="1"/>
  <c r="CX8" i="1" s="1"/>
  <c r="CW6" i="1" a="1"/>
  <c r="CW6" i="1"/>
  <c r="CV6" i="1" a="1"/>
  <c r="CV6" i="1"/>
  <c r="CU6" i="1" a="1"/>
  <c r="CU6" i="1" s="1"/>
  <c r="CU7" i="1" s="1"/>
  <c r="CT6" i="1" a="1"/>
  <c r="CT6" i="1"/>
  <c r="CT7" i="1" s="1"/>
  <c r="CS6" i="1" a="1"/>
  <c r="CS6" i="1"/>
  <c r="CR6" i="1" a="1"/>
  <c r="CR6" i="1" s="1"/>
  <c r="CR8" i="1" s="1"/>
  <c r="CQ6" i="1" a="1"/>
  <c r="CQ6" i="1"/>
  <c r="CQ8" i="1" s="1"/>
  <c r="CP6" i="1" a="1"/>
  <c r="CP6" i="1"/>
  <c r="CP8" i="1" s="1"/>
  <c r="CO6" i="1" a="1"/>
  <c r="CO6" i="1"/>
  <c r="CO8" i="1" s="1"/>
  <c r="CN6" i="1" a="1"/>
  <c r="CN6" i="1"/>
  <c r="CN8" i="1" s="1"/>
  <c r="CM6" i="1" a="1"/>
  <c r="CM6" i="1"/>
  <c r="CL6" i="1" a="1"/>
  <c r="CL6" i="1"/>
  <c r="CK6" i="1" a="1"/>
  <c r="CK6" i="1"/>
  <c r="CJ6" i="1" a="1"/>
  <c r="CJ6" i="1" s="1"/>
  <c r="CI6" i="1" a="1"/>
  <c r="CI6" i="1"/>
  <c r="CH6" i="1" a="1"/>
  <c r="CH6" i="1" s="1"/>
  <c r="CG6" i="1" a="1"/>
  <c r="CG6" i="1"/>
  <c r="CF6" i="1" a="1"/>
  <c r="CF6" i="1"/>
  <c r="CE6" i="1" a="1"/>
  <c r="CE6" i="1"/>
  <c r="CE7" i="1" s="1"/>
  <c r="CD6" i="1" a="1"/>
  <c r="CD6" i="1" s="1"/>
  <c r="CD7" i="1" s="1"/>
  <c r="CC6" i="1" a="1"/>
  <c r="CC6" i="1"/>
  <c r="CB6" i="1" a="1"/>
  <c r="CB6" i="1"/>
  <c r="CB8" i="1" s="1"/>
  <c r="CA6" i="1" a="1"/>
  <c r="CA6" i="1"/>
  <c r="CA8" i="1" s="1"/>
  <c r="BZ6" i="1" a="1"/>
  <c r="BZ6" i="1"/>
  <c r="BZ7" i="1" s="1"/>
  <c r="BY6" i="1" a="1"/>
  <c r="BY6" i="1" s="1"/>
  <c r="BY7" i="1" s="1"/>
  <c r="BX6" i="1" a="1"/>
  <c r="BX6" i="1"/>
  <c r="BX7" i="1" s="1"/>
  <c r="BW6" i="1" a="1"/>
  <c r="BW6" i="1"/>
  <c r="BW7" i="1" s="1"/>
  <c r="BV6" i="1" a="1"/>
  <c r="BV6" i="1" s="1"/>
  <c r="BV8" i="1" s="1"/>
  <c r="BU6" i="1" a="1"/>
  <c r="BU6" i="1"/>
  <c r="BT6" i="1" a="1"/>
  <c r="BT6" i="1"/>
  <c r="BS6" i="1" a="1"/>
  <c r="BS6" i="1"/>
  <c r="BR6" i="1" a="1"/>
  <c r="BR6" i="1"/>
  <c r="BR8" i="1" s="1"/>
  <c r="BQ6" i="1" a="1"/>
  <c r="BQ6" i="1"/>
  <c r="BQ8" i="1" s="1"/>
  <c r="BP6" i="1" a="1"/>
  <c r="BP6" i="1"/>
  <c r="BP8" i="1" s="1"/>
  <c r="BO6" i="1" a="1"/>
  <c r="BO6" i="1"/>
  <c r="BN6" i="1" a="1"/>
  <c r="BN6" i="1" s="1"/>
  <c r="BM6" i="1" a="1"/>
  <c r="BM6" i="1"/>
  <c r="BL6" i="1" a="1"/>
  <c r="BL6" i="1"/>
  <c r="BK6" i="1" a="1"/>
  <c r="BK6" i="1"/>
  <c r="BJ6" i="1" a="1"/>
  <c r="BJ6" i="1"/>
  <c r="BI6" i="1" a="1"/>
  <c r="BI6" i="1" s="1"/>
  <c r="BI8" i="1" s="1"/>
  <c r="BH6" i="1" a="1"/>
  <c r="BH6" i="1"/>
  <c r="BG6" i="1" a="1"/>
  <c r="BG6" i="1" s="1"/>
  <c r="BF6" i="1" a="1"/>
  <c r="BF6" i="1"/>
  <c r="BF8" i="1" s="1"/>
  <c r="BE6" i="1" a="1"/>
  <c r="BE6" i="1"/>
  <c r="BE8" i="1" s="1"/>
  <c r="BD6" i="1" a="1"/>
  <c r="BD6" i="1"/>
  <c r="BD7" i="1" s="1"/>
  <c r="BC6" i="1" a="1"/>
  <c r="BC6" i="1" s="1"/>
  <c r="BC7" i="1" s="1"/>
  <c r="BB6" i="1" a="1"/>
  <c r="BB6" i="1"/>
  <c r="BA6" i="1" a="1"/>
  <c r="BA6" i="1"/>
  <c r="AZ6" i="1" a="1"/>
  <c r="AZ6" i="1"/>
  <c r="AY6" i="1" a="1"/>
  <c r="AY6" i="1"/>
  <c r="AX6" i="1" a="1"/>
  <c r="AX6" i="1" s="1"/>
  <c r="AW6" i="1" a="1"/>
  <c r="AW6" i="1" s="1"/>
  <c r="AW7" i="1" s="1"/>
  <c r="AV6" i="1" a="1"/>
  <c r="AV6" i="1"/>
  <c r="AU6" i="1" a="1"/>
  <c r="AU6" i="1"/>
  <c r="AT6" i="1" a="1"/>
  <c r="AT6" i="1"/>
  <c r="AT8" i="1" s="1"/>
  <c r="AS6" i="1" a="1"/>
  <c r="AS6" i="1"/>
  <c r="AR6" i="1" a="1"/>
  <c r="AR6" i="1" s="1"/>
  <c r="AQ6" i="1" a="1"/>
  <c r="AQ6" i="1"/>
  <c r="AQ8" i="1" s="1"/>
  <c r="AP6" i="1" a="1"/>
  <c r="AP6" i="1"/>
  <c r="AP7" i="1" s="1"/>
  <c r="AO6" i="1" a="1"/>
  <c r="AO6" i="1"/>
  <c r="AO7" i="1" s="1"/>
  <c r="AN6" i="1" a="1"/>
  <c r="AN6" i="1"/>
  <c r="AN7" i="1" s="1"/>
  <c r="AM6" i="1" a="1"/>
  <c r="AM6" i="1"/>
  <c r="AM7" i="1" s="1"/>
  <c r="AL6" i="1" a="1"/>
  <c r="AL6" i="1" s="1"/>
  <c r="AL7" i="1" s="1"/>
  <c r="AK6" i="1" a="1"/>
  <c r="AK6" i="1"/>
  <c r="AK8" i="1" s="1"/>
  <c r="AJ6" i="1" a="1"/>
  <c r="AJ6" i="1" s="1"/>
  <c r="AJ8" i="1" s="1"/>
  <c r="AI6" i="1" a="1"/>
  <c r="AI6" i="1"/>
  <c r="AI8" i="1" s="1"/>
  <c r="AH6" i="1" a="1"/>
  <c r="AH6" i="1"/>
  <c r="AH8" i="1" s="1"/>
  <c r="AG6" i="1" a="1"/>
  <c r="AG6" i="1" s="1"/>
  <c r="AG8" i="1" s="1"/>
  <c r="AF6" i="1" a="1"/>
  <c r="AF6" i="1"/>
  <c r="AF8" i="1" s="1"/>
  <c r="AE6" i="1" a="1"/>
  <c r="AE6" i="1"/>
  <c r="AE8" i="1" s="1"/>
  <c r="AD6" i="1" a="1"/>
  <c r="AD6" i="1"/>
  <c r="AC6" i="1" a="1"/>
  <c r="AC6" i="1"/>
  <c r="AB6" i="1" a="1"/>
  <c r="AB6" i="1"/>
  <c r="AA6" i="1" a="1"/>
  <c r="AA6" i="1"/>
  <c r="Z6" i="1" a="1"/>
  <c r="Z6" i="1" s="1"/>
  <c r="Y6" i="1" a="1"/>
  <c r="Y6" i="1"/>
  <c r="X6" i="1" a="1"/>
  <c r="X6" i="1"/>
  <c r="W6" i="1" a="1"/>
  <c r="W6" i="1"/>
  <c r="W7" i="1" s="1"/>
  <c r="V6" i="1" a="1"/>
  <c r="V6" i="1" s="1"/>
  <c r="U6" i="1" a="1"/>
  <c r="U6" i="1"/>
  <c r="U8" i="1" s="1"/>
  <c r="T6" i="1" a="1"/>
  <c r="T6" i="1"/>
  <c r="T8" i="1" s="1"/>
  <c r="S6" i="1" a="1"/>
  <c r="S6" i="1"/>
  <c r="R6" i="1" a="1"/>
  <c r="R6" i="1"/>
  <c r="R7" i="1" s="1"/>
  <c r="Q6" i="1" a="1"/>
  <c r="Q6" i="1"/>
  <c r="Q7" i="1" s="1"/>
  <c r="P6" i="1" a="1"/>
  <c r="P6" i="1"/>
  <c r="P7" i="1" s="1"/>
  <c r="O6" i="1" a="1"/>
  <c r="O6" i="1"/>
  <c r="O7" i="1" s="1"/>
  <c r="N6" i="1" a="1"/>
  <c r="N6" i="1" s="1"/>
  <c r="M6" i="1" a="1"/>
  <c r="M6" i="1" s="1"/>
  <c r="M8" i="1" s="1"/>
  <c r="L6" i="1" a="1"/>
  <c r="L6" i="1"/>
  <c r="K6" i="1" a="1"/>
  <c r="K6" i="1" s="1"/>
  <c r="J6" i="1" a="1"/>
  <c r="J6" i="1"/>
  <c r="I6" i="1" a="1"/>
  <c r="I6" i="1"/>
  <c r="H6" i="1" a="1"/>
  <c r="H6" i="1"/>
  <c r="G6" i="1" a="1"/>
  <c r="G6" i="1"/>
  <c r="F6" i="1" a="1"/>
  <c r="F6" i="1" s="1"/>
  <c r="E6" i="1" a="1"/>
  <c r="E6" i="1"/>
  <c r="D6" i="1" a="1"/>
  <c r="D6" i="1"/>
  <c r="C6" i="1" a="1"/>
  <c r="C6" i="1"/>
  <c r="EO21" i="2" l="1"/>
  <c r="EO22" i="2"/>
  <c r="EO23" i="2"/>
  <c r="AU7" i="7"/>
  <c r="AU8" i="7"/>
  <c r="G7" i="3"/>
  <c r="G8" i="3"/>
  <c r="AK7" i="7"/>
  <c r="AK8" i="7"/>
  <c r="BF8" i="4"/>
  <c r="BF7" i="4"/>
  <c r="AN7" i="3"/>
  <c r="AN8" i="3"/>
  <c r="BJ7" i="7"/>
  <c r="BJ8" i="7"/>
  <c r="K8" i="7"/>
  <c r="K7" i="7"/>
  <c r="AU7" i="4"/>
  <c r="AU8" i="4"/>
  <c r="F8" i="1"/>
  <c r="F7" i="1"/>
  <c r="Q7" i="3"/>
  <c r="Q8" i="3"/>
  <c r="V8" i="4"/>
  <c r="V7" i="4"/>
  <c r="BU7" i="4"/>
  <c r="BU8" i="4"/>
  <c r="AW7" i="7"/>
  <c r="AW8" i="7"/>
  <c r="AV8" i="4"/>
  <c r="AV7" i="4"/>
  <c r="AX7" i="7"/>
  <c r="AX8" i="7"/>
  <c r="AI7" i="4"/>
  <c r="AI8" i="4"/>
  <c r="AW8" i="4"/>
  <c r="AW7" i="4"/>
  <c r="I7" i="3"/>
  <c r="I8" i="3"/>
  <c r="EM12" i="3"/>
  <c r="EN12" i="3" s="1"/>
  <c r="AX7" i="4"/>
  <c r="AX8" i="4"/>
  <c r="M7" i="7"/>
  <c r="M8" i="7"/>
  <c r="J7" i="3"/>
  <c r="J8" i="3"/>
  <c r="AK7" i="4"/>
  <c r="AK8" i="4"/>
  <c r="DG7" i="1"/>
  <c r="DG8" i="1"/>
  <c r="AL7" i="4"/>
  <c r="AL8" i="4"/>
  <c r="DY8" i="4"/>
  <c r="DY7" i="4"/>
  <c r="CT8" i="2"/>
  <c r="CT7" i="2"/>
  <c r="CI7" i="1"/>
  <c r="CI8" i="1"/>
  <c r="DS7" i="2"/>
  <c r="DS8" i="2"/>
  <c r="DM8" i="4"/>
  <c r="DM7" i="4"/>
  <c r="AX7" i="1"/>
  <c r="AX8" i="1"/>
  <c r="CV8" i="1"/>
  <c r="CV7" i="1"/>
  <c r="DI7" i="1"/>
  <c r="DI8" i="1"/>
  <c r="EA8" i="4"/>
  <c r="EA7" i="4"/>
  <c r="P7" i="2"/>
  <c r="P8" i="2"/>
  <c r="DG7" i="2"/>
  <c r="CP7" i="3"/>
  <c r="CP8" i="3"/>
  <c r="CW8" i="1"/>
  <c r="CW7" i="1"/>
  <c r="DO8" i="4"/>
  <c r="DO7" i="4"/>
  <c r="AA7" i="1"/>
  <c r="AA8" i="1"/>
  <c r="BY8" i="2"/>
  <c r="BY7" i="2"/>
  <c r="BM8" i="2"/>
  <c r="DO7" i="3"/>
  <c r="DO8" i="3"/>
  <c r="EA8" i="3"/>
  <c r="EA7" i="3"/>
  <c r="DC8" i="4"/>
  <c r="DC7" i="4"/>
  <c r="W7" i="4"/>
  <c r="AB7" i="1"/>
  <c r="AB8" i="1"/>
  <c r="CF7" i="3"/>
  <c r="CF8" i="3"/>
  <c r="CP7" i="4"/>
  <c r="CP8" i="4"/>
  <c r="Y7" i="4"/>
  <c r="S7" i="2"/>
  <c r="S8" i="2"/>
  <c r="DQ7" i="2"/>
  <c r="CS7" i="3"/>
  <c r="CS8" i="3"/>
  <c r="DE7" i="3"/>
  <c r="CC7" i="4"/>
  <c r="CC8" i="4"/>
  <c r="I8" i="4"/>
  <c r="EE8" i="7"/>
  <c r="EE7" i="7"/>
  <c r="Z7" i="7"/>
  <c r="AC7" i="1"/>
  <c r="AC8" i="1"/>
  <c r="BB7" i="1"/>
  <c r="BB8" i="1"/>
  <c r="BJ8" i="3"/>
  <c r="BJ7" i="3"/>
  <c r="BB7" i="3"/>
  <c r="BQ8" i="4"/>
  <c r="AM8" i="3"/>
  <c r="AM7" i="3"/>
  <c r="CH8" i="3"/>
  <c r="CH7" i="3"/>
  <c r="CN7" i="4"/>
  <c r="K8" i="4"/>
  <c r="BT8" i="7"/>
  <c r="BT7" i="7"/>
  <c r="CG8" i="7"/>
  <c r="CG7" i="7"/>
  <c r="CS8" i="7"/>
  <c r="CS7" i="7"/>
  <c r="DS8" i="7"/>
  <c r="DS7" i="7"/>
  <c r="EG8" i="7"/>
  <c r="EG7" i="7"/>
  <c r="BK8" i="3"/>
  <c r="BK7" i="3"/>
  <c r="CI8" i="3"/>
  <c r="CI7" i="3"/>
  <c r="EM13" i="3"/>
  <c r="EN13" i="3" s="1"/>
  <c r="BE8" i="4"/>
  <c r="BE7" i="4"/>
  <c r="CE7" i="4"/>
  <c r="CE8" i="4"/>
  <c r="CO7" i="4"/>
  <c r="BG8" i="7"/>
  <c r="BG7" i="7"/>
  <c r="BW8" i="1"/>
  <c r="AB8" i="3"/>
  <c r="AG7" i="4"/>
  <c r="CQ7" i="4"/>
  <c r="AI8" i="7"/>
  <c r="AI7" i="7"/>
  <c r="BH7" i="7"/>
  <c r="BH8" i="7"/>
  <c r="CH7" i="7"/>
  <c r="CH8" i="7"/>
  <c r="AQ8" i="3"/>
  <c r="AQ7" i="3"/>
  <c r="Z7" i="1"/>
  <c r="Z8" i="1"/>
  <c r="BL7" i="1"/>
  <c r="BL8" i="1"/>
  <c r="C8" i="1"/>
  <c r="C7" i="1"/>
  <c r="Z7" i="4"/>
  <c r="BL8" i="3"/>
  <c r="BL7" i="3"/>
  <c r="S7" i="3"/>
  <c r="AC8" i="3"/>
  <c r="CF7" i="4"/>
  <c r="CF8" i="4"/>
  <c r="AH7" i="4"/>
  <c r="CR7" i="4"/>
  <c r="W7" i="7"/>
  <c r="W8" i="7"/>
  <c r="AJ7" i="7"/>
  <c r="AJ8" i="7"/>
  <c r="BI8" i="7"/>
  <c r="BI7" i="7"/>
  <c r="BV8" i="7"/>
  <c r="BV7" i="7"/>
  <c r="DT8" i="7"/>
  <c r="H7" i="3"/>
  <c r="H8" i="3"/>
  <c r="CJ7" i="1"/>
  <c r="CJ8" i="1"/>
  <c r="AZ8" i="1"/>
  <c r="AZ7" i="1"/>
  <c r="AD7" i="1"/>
  <c r="AD8" i="1"/>
  <c r="BU8" i="7"/>
  <c r="BU7" i="7"/>
  <c r="S8" i="1"/>
  <c r="S7" i="1"/>
  <c r="P8" i="1"/>
  <c r="R7" i="3"/>
  <c r="R8" i="3"/>
  <c r="T7" i="3"/>
  <c r="BG8" i="4"/>
  <c r="BG7" i="4"/>
  <c r="CG8" i="4"/>
  <c r="CG7" i="4"/>
  <c r="EH7" i="4"/>
  <c r="EH8" i="4"/>
  <c r="X7" i="7"/>
  <c r="X8" i="7"/>
  <c r="AV8" i="7"/>
  <c r="AV7" i="7"/>
  <c r="AP8" i="3"/>
  <c r="AP7" i="3"/>
  <c r="BH7" i="4"/>
  <c r="BH8" i="4"/>
  <c r="Y7" i="7"/>
  <c r="Y8" i="7"/>
  <c r="AE7" i="3"/>
  <c r="AE8" i="3"/>
  <c r="BI7" i="4"/>
  <c r="BI8" i="4"/>
  <c r="L7" i="7"/>
  <c r="L8" i="7"/>
  <c r="AL7" i="7"/>
  <c r="AL8" i="7"/>
  <c r="AF7" i="3"/>
  <c r="AF8" i="3"/>
  <c r="AM7" i="7"/>
  <c r="AM8" i="7"/>
  <c r="AJ7" i="4"/>
  <c r="AJ8" i="4"/>
  <c r="B21" i="6"/>
  <c r="CH7" i="1"/>
  <c r="CH8" i="1"/>
  <c r="DH7" i="1"/>
  <c r="DH8" i="1"/>
  <c r="ED8" i="2"/>
  <c r="ED7" i="2"/>
  <c r="BK7" i="1"/>
  <c r="BK8" i="1"/>
  <c r="EG7" i="1"/>
  <c r="EG8" i="1"/>
  <c r="AY7" i="1"/>
  <c r="AY8" i="1"/>
  <c r="DA8" i="4"/>
  <c r="DA7" i="4"/>
  <c r="CK7" i="1"/>
  <c r="CK8" i="1"/>
  <c r="BM7" i="1"/>
  <c r="BM8" i="1"/>
  <c r="CL7" i="1"/>
  <c r="CL8" i="1"/>
  <c r="CR7" i="3"/>
  <c r="CR8" i="3"/>
  <c r="DP7" i="3"/>
  <c r="DP8" i="3"/>
  <c r="BA7" i="1"/>
  <c r="BA8" i="1"/>
  <c r="AD7" i="2"/>
  <c r="DD8" i="3"/>
  <c r="DD7" i="3"/>
  <c r="D8" i="1"/>
  <c r="D7" i="1"/>
  <c r="BN7" i="1"/>
  <c r="BN8" i="1"/>
  <c r="BI8" i="3"/>
  <c r="BI7" i="3"/>
  <c r="BU7" i="3"/>
  <c r="BU8" i="3"/>
  <c r="CG8" i="3"/>
  <c r="CG7" i="3"/>
  <c r="DM8" i="3"/>
  <c r="CT7" i="3"/>
  <c r="CT8" i="3"/>
  <c r="CD7" i="4"/>
  <c r="CD8" i="4"/>
  <c r="J8" i="4"/>
  <c r="CR7" i="7"/>
  <c r="CR8" i="7"/>
  <c r="EF8" i="7"/>
  <c r="EF7" i="7"/>
  <c r="E8" i="1"/>
  <c r="E7" i="1"/>
  <c r="BV7" i="3"/>
  <c r="BV8" i="3"/>
  <c r="O8" i="1"/>
  <c r="BX8" i="1"/>
  <c r="F7" i="3"/>
  <c r="F8" i="3"/>
  <c r="G8" i="1"/>
  <c r="G7" i="1"/>
  <c r="BY8" i="1"/>
  <c r="AO8" i="3"/>
  <c r="AO7" i="3"/>
  <c r="BM8" i="3"/>
  <c r="BM7" i="3"/>
  <c r="Q8" i="1"/>
  <c r="BZ8" i="1"/>
  <c r="EC8" i="1"/>
  <c r="AD7" i="3"/>
  <c r="AD8" i="3"/>
  <c r="U7" i="3"/>
  <c r="BW7" i="3"/>
  <c r="EM14" i="3"/>
  <c r="EN14" i="3" s="1"/>
  <c r="U8" i="4"/>
  <c r="U7" i="4"/>
  <c r="BT7" i="4"/>
  <c r="BT8" i="4"/>
  <c r="EI7" i="4"/>
  <c r="EI8" i="4"/>
  <c r="AW8" i="2"/>
  <c r="AW7" i="2"/>
  <c r="N7" i="7"/>
  <c r="N8" i="7"/>
  <c r="EM20" i="3"/>
  <c r="EN20" i="3" s="1"/>
  <c r="AX7" i="2"/>
  <c r="AX8" i="2"/>
  <c r="DP8" i="2"/>
  <c r="DP7" i="2"/>
  <c r="DE7" i="2"/>
  <c r="DE8" i="2"/>
  <c r="DX7" i="3"/>
  <c r="DX8" i="3"/>
  <c r="C8" i="4"/>
  <c r="C7" i="4"/>
  <c r="CZ8" i="4"/>
  <c r="CZ7" i="4"/>
  <c r="DL7" i="4"/>
  <c r="DL8" i="4"/>
  <c r="BK7" i="2"/>
  <c r="BK8" i="2"/>
  <c r="CE8" i="3"/>
  <c r="EH8" i="3"/>
  <c r="DF7" i="2"/>
  <c r="DF8" i="2"/>
  <c r="EC7" i="2"/>
  <c r="EC8" i="2"/>
  <c r="DY7" i="3"/>
  <c r="DY8" i="3"/>
  <c r="EI8" i="3"/>
  <c r="EM18" i="3"/>
  <c r="EN18" i="3" s="1"/>
  <c r="EJ8" i="4"/>
  <c r="BT7" i="3"/>
  <c r="BT8" i="3"/>
  <c r="CB7" i="4"/>
  <c r="CB8" i="4"/>
  <c r="DZ8" i="4"/>
  <c r="DZ7" i="4"/>
  <c r="EK8" i="4"/>
  <c r="EC7" i="7"/>
  <c r="EC8" i="7"/>
  <c r="DC7" i="2"/>
  <c r="DC8" i="2"/>
  <c r="EL8" i="2"/>
  <c r="EL7" i="2"/>
  <c r="N7" i="2"/>
  <c r="N8" i="2"/>
  <c r="EA7" i="2"/>
  <c r="EA8" i="2"/>
  <c r="DW7" i="3"/>
  <c r="DW8" i="3"/>
  <c r="O7" i="2"/>
  <c r="O8" i="2"/>
  <c r="CG7" i="2"/>
  <c r="CG8" i="2"/>
  <c r="CY8" i="4"/>
  <c r="CY7" i="4"/>
  <c r="DX8" i="4"/>
  <c r="DX7" i="4"/>
  <c r="BV7" i="2"/>
  <c r="BV8" i="2"/>
  <c r="EB7" i="2"/>
  <c r="EB8" i="2"/>
  <c r="CG7" i="1"/>
  <c r="CG8" i="1"/>
  <c r="CS8" i="1"/>
  <c r="CS7" i="1"/>
  <c r="BJ7" i="1"/>
  <c r="BJ8" i="1"/>
  <c r="DF7" i="1"/>
  <c r="DF8" i="1"/>
  <c r="Q7" i="2"/>
  <c r="Q8" i="2"/>
  <c r="AZ7" i="2"/>
  <c r="AZ8" i="2"/>
  <c r="BX8" i="2"/>
  <c r="BX7" i="2"/>
  <c r="CU8" i="2"/>
  <c r="CU7" i="2"/>
  <c r="CQ7" i="3"/>
  <c r="CQ8" i="3"/>
  <c r="EK7" i="3"/>
  <c r="N8" i="1"/>
  <c r="N7" i="1"/>
  <c r="AO7" i="2"/>
  <c r="AO8" i="2"/>
  <c r="AK8" i="2"/>
  <c r="DZ8" i="3"/>
  <c r="DZ7" i="3"/>
  <c r="EM16" i="3"/>
  <c r="EN16" i="3" s="1"/>
  <c r="EL8" i="4"/>
  <c r="DQ7" i="7"/>
  <c r="DQ8" i="7"/>
  <c r="CF8" i="7"/>
  <c r="CF7" i="7"/>
  <c r="DP7" i="1"/>
  <c r="DP8" i="1"/>
  <c r="EM22" i="3"/>
  <c r="EN22" i="3" s="1"/>
  <c r="DD8" i="4"/>
  <c r="DD7" i="4"/>
  <c r="BO7" i="2"/>
  <c r="BO8" i="2"/>
  <c r="AR7" i="2"/>
  <c r="L7" i="3"/>
  <c r="L8" i="3"/>
  <c r="BN8" i="3"/>
  <c r="DR8" i="3"/>
  <c r="BD8" i="1"/>
  <c r="DJ8" i="1"/>
  <c r="BP8" i="3"/>
  <c r="DS8" i="3"/>
  <c r="DK7" i="2"/>
  <c r="DK8" i="2"/>
  <c r="EG8" i="2"/>
  <c r="U7" i="2"/>
  <c r="AY7" i="4"/>
  <c r="H7" i="7"/>
  <c r="BO7" i="1"/>
  <c r="BO8" i="1"/>
  <c r="AQ7" i="2"/>
  <c r="AQ8" i="2"/>
  <c r="CJ7" i="3"/>
  <c r="CM7" i="1"/>
  <c r="CM8" i="1"/>
  <c r="AG8" i="3"/>
  <c r="CH8" i="4"/>
  <c r="CH7" i="4"/>
  <c r="AR7" i="1"/>
  <c r="AR8" i="1"/>
  <c r="AH8" i="3"/>
  <c r="DQ8" i="3"/>
  <c r="BK8" i="4"/>
  <c r="BK7" i="4"/>
  <c r="CY7" i="7"/>
  <c r="CY8" i="7"/>
  <c r="AS7" i="1"/>
  <c r="AS8" i="1"/>
  <c r="T7" i="1"/>
  <c r="BC8" i="1"/>
  <c r="BZ8" i="2"/>
  <c r="BO8" i="3"/>
  <c r="EM23" i="3"/>
  <c r="EN23" i="3" s="1"/>
  <c r="EB7" i="4"/>
  <c r="U7" i="1"/>
  <c r="CA7" i="1"/>
  <c r="CM7" i="2"/>
  <c r="CM8" i="2"/>
  <c r="CA8" i="2"/>
  <c r="EE8" i="2"/>
  <c r="BV7" i="4"/>
  <c r="EC7" i="4"/>
  <c r="DM7" i="7"/>
  <c r="DM8" i="7"/>
  <c r="C16" i="8"/>
  <c r="V7" i="1"/>
  <c r="V8" i="1"/>
  <c r="CB7" i="1"/>
  <c r="CB8" i="2"/>
  <c r="EF8" i="2"/>
  <c r="EM21" i="3"/>
  <c r="EN21" i="3" s="1"/>
  <c r="F7" i="4"/>
  <c r="F8" i="4"/>
  <c r="BW7" i="4"/>
  <c r="AB8" i="4"/>
  <c r="W8" i="2"/>
  <c r="M7" i="3"/>
  <c r="K8" i="3"/>
  <c r="DN7" i="7"/>
  <c r="DN8" i="7"/>
  <c r="AP7" i="7"/>
  <c r="EJ8" i="7"/>
  <c r="C20" i="8"/>
  <c r="EH8" i="2"/>
  <c r="CU8" i="3"/>
  <c r="BJ8" i="4"/>
  <c r="BE7" i="7"/>
  <c r="BE8" i="7"/>
  <c r="AQ7" i="7"/>
  <c r="EK8" i="7"/>
  <c r="DM7" i="1"/>
  <c r="V7" i="2"/>
  <c r="AR8" i="3"/>
  <c r="CV8" i="3"/>
  <c r="F7" i="7"/>
  <c r="EL8" i="7"/>
  <c r="DN7" i="1"/>
  <c r="DH8" i="2"/>
  <c r="AS8" i="3"/>
  <c r="CW8" i="3"/>
  <c r="V8" i="7"/>
  <c r="V7" i="7"/>
  <c r="AH7" i="7"/>
  <c r="AH8" i="7"/>
  <c r="DC8" i="7"/>
  <c r="DC7" i="7"/>
  <c r="EB7" i="7"/>
  <c r="EB8" i="7"/>
  <c r="G7" i="7"/>
  <c r="AS7" i="7"/>
  <c r="BE7" i="1"/>
  <c r="DI8" i="2"/>
  <c r="BH7" i="3"/>
  <c r="BH8" i="3"/>
  <c r="DJ8" i="2"/>
  <c r="EB8" i="3"/>
  <c r="BB8" i="4"/>
  <c r="BB7" i="4"/>
  <c r="BY7" i="4"/>
  <c r="BY8" i="4"/>
  <c r="BX8" i="4"/>
  <c r="CK8" i="7"/>
  <c r="CK7" i="7"/>
  <c r="DH7" i="7"/>
  <c r="DK8" i="1"/>
  <c r="AD8" i="4"/>
  <c r="AD7" i="4"/>
  <c r="BA8" i="4"/>
  <c r="BA7" i="4"/>
  <c r="CJ8" i="7"/>
  <c r="CJ7" i="7"/>
  <c r="C24" i="8"/>
  <c r="DI7" i="7"/>
  <c r="EI8" i="7"/>
  <c r="BK7" i="7"/>
  <c r="C28" i="8"/>
  <c r="C31" i="8" l="1"/>
  <c r="C30" i="8"/>
  <c r="C32" i="8"/>
  <c r="C33" i="8" l="1"/>
</calcChain>
</file>

<file path=xl/sharedStrings.xml><?xml version="1.0" encoding="utf-8"?>
<sst xmlns="http://schemas.openxmlformats.org/spreadsheetml/2006/main" count="2658" uniqueCount="303">
  <si>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</si>
  <si>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</si>
  <si>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</si>
  <si>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</si>
  <si>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</si>
  <si>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</si>
  <si>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</si>
  <si>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</si>
  <si>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</si>
  <si>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</si>
  <si>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</si>
  <si>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</si>
  <si>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</si>
  <si>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</si>
  <si>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</si>
  <si>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</si>
  <si>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</si>
  <si>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</si>
  <si>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</si>
  <si>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</si>
  <si>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</si>
  <si>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</si>
  <si>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</si>
  <si>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</si>
  <si>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</si>
  <si>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</si>
  <si>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</si>
  <si>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</si>
  <si>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</si>
  <si>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</si>
  <si>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</si>
  <si>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</si>
  <si>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</si>
  <si>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</si>
  <si>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</si>
  <si>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</si>
  <si>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</si>
  <si>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</si>
  <si>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</si>
  <si>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</si>
  <si>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</si>
  <si>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</si>
  <si>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</si>
  <si>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</si>
  <si>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</si>
  <si>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</si>
  <si>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</si>
  <si>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</si>
  <si>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</si>
  <si>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</si>
  <si>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</si>
  <si>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</si>
  <si>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</si>
  <si>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</si>
  <si>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</si>
  <si>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</si>
  <si>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</si>
  <si>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</si>
  <si>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</si>
  <si>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</si>
  <si>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</si>
  <si>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</si>
  <si>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</si>
  <si>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</si>
  <si>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</si>
  <si>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</si>
  <si>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</si>
  <si>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</si>
  <si>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</si>
  <si>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</si>
  <si>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</si>
  <si>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</si>
  <si>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</si>
  <si>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</si>
  <si>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</si>
  <si>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</si>
  <si>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</si>
  <si>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</si>
  <si>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</si>
  <si>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</si>
  <si>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</si>
  <si>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</si>
  <si>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</si>
  <si>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</si>
  <si>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</si>
  <si>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</si>
  <si>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</si>
  <si>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</si>
  <si>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</si>
  <si>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</si>
  <si>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</si>
  <si>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</si>
  <si>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</si>
  <si>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</si>
  <si>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</si>
  <si>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</si>
  <si>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</si>
  <si>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</si>
  <si>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</si>
  <si>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</si>
  <si>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</si>
  <si>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</si>
  <si>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</si>
  <si>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</si>
  <si>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</si>
  <si>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</si>
  <si>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</si>
  <si>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</si>
  <si>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</si>
  <si>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</si>
  <si>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</si>
  <si>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</si>
  <si>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</si>
  <si>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</si>
  <si>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</si>
  <si>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</si>
  <si>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</si>
  <si>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</si>
  <si>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</si>
  <si>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</si>
  <si>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</si>
  <si>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</si>
  <si>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</si>
  <si>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</si>
  <si>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</si>
  <si>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</si>
  <si>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</si>
  <si>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</si>
  <si>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</si>
  <si>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</si>
  <si>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</si>
  <si>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</si>
  <si>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</si>
  <si>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</si>
  <si>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</si>
  <si>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</si>
  <si>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</si>
  <si>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</si>
  <si>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</si>
  <si>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</si>
  <si>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</si>
  <si>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</si>
  <si>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</si>
  <si>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</si>
  <si>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</si>
  <si>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</si>
  <si>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</si>
  <si>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</si>
  <si>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</si>
  <si>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</si>
  <si>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</si>
  <si>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</si>
  <si>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</si>
  <si>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</si>
  <si>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</si>
  <si>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</si>
  <si>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</si>
  <si>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</si>
  <si>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2540</t>
  </si>
  <si>
    <t>5455</t>
  </si>
  <si>
    <t>6130</t>
  </si>
  <si>
    <t>6114</t>
  </si>
  <si>
    <t>5324</t>
  </si>
  <si>
    <t>6103</t>
  </si>
  <si>
    <t>6291</t>
  </si>
  <si>
    <t>3176</t>
  </si>
  <si>
    <t>2388</t>
  </si>
  <si>
    <t>2028</t>
  </si>
  <si>
    <t>9906</t>
  </si>
  <si>
    <t>3205</t>
  </si>
  <si>
    <t>3095</t>
  </si>
  <si>
    <t>6225</t>
  </si>
  <si>
    <t>3064</t>
  </si>
  <si>
    <t>8067</t>
  </si>
  <si>
    <t>3288</t>
  </si>
  <si>
    <t>1475</t>
  </si>
  <si>
    <t>4303</t>
  </si>
  <si>
    <t>1472</t>
  </si>
  <si>
    <t>5348</t>
  </si>
  <si>
    <t>4304</t>
  </si>
  <si>
    <t>3228</t>
  </si>
  <si>
    <t>8070</t>
  </si>
  <si>
    <t>3191</t>
  </si>
  <si>
    <t>1538</t>
  </si>
  <si>
    <t>2321</t>
  </si>
  <si>
    <t>5314</t>
  </si>
  <si>
    <t>3093</t>
  </si>
  <si>
    <t>3443</t>
  </si>
  <si>
    <t>5345</t>
  </si>
  <si>
    <t>1519</t>
  </si>
  <si>
    <t>1808</t>
  </si>
  <si>
    <t>1101</t>
  </si>
  <si>
    <t>公司名稱</t>
  </si>
  <si>
    <t>愛山林</t>
  </si>
  <si>
    <t>昇益</t>
  </si>
  <si>
    <t>上亞科技</t>
  </si>
  <si>
    <t>久威</t>
  </si>
  <si>
    <t>士開</t>
  </si>
  <si>
    <t>合邦</t>
  </si>
  <si>
    <t>沛亨</t>
  </si>
  <si>
    <t>基亞</t>
  </si>
  <si>
    <t>威盛</t>
  </si>
  <si>
    <t>威致</t>
  </si>
  <si>
    <t>欣巴巴</t>
  </si>
  <si>
    <t>佰研</t>
  </si>
  <si>
    <t>及成</t>
  </si>
  <si>
    <t>天瀚</t>
  </si>
  <si>
    <t>泰偉</t>
  </si>
  <si>
    <t>志旭</t>
  </si>
  <si>
    <t>點晶</t>
  </si>
  <si>
    <t>業旺</t>
  </si>
  <si>
    <t>信立</t>
  </si>
  <si>
    <t>三洋實業</t>
  </si>
  <si>
    <t>正能量智能</t>
  </si>
  <si>
    <t>勝昱</t>
  </si>
  <si>
    <t>金麗科</t>
  </si>
  <si>
    <t>長華*</t>
  </si>
  <si>
    <t>雲嘉南</t>
  </si>
  <si>
    <t>正峰</t>
  </si>
  <si>
    <t>東訊</t>
  </si>
  <si>
    <t>世紀*</t>
  </si>
  <si>
    <t>港建*</t>
  </si>
  <si>
    <t>創意</t>
  </si>
  <si>
    <t>馥鴻</t>
  </si>
  <si>
    <t>華城</t>
  </si>
  <si>
    <t>潤隆</t>
  </si>
  <si>
    <t>台泥</t>
  </si>
  <si>
    <t>高</t>
  </si>
  <si>
    <t>3168</t>
  </si>
  <si>
    <t>2323</t>
  </si>
  <si>
    <t>2330</t>
  </si>
  <si>
    <t>5364</t>
  </si>
  <si>
    <t>8941</t>
  </si>
  <si>
    <t>2408</t>
  </si>
  <si>
    <t>4502</t>
  </si>
  <si>
    <t>2496</t>
  </si>
  <si>
    <t>2337</t>
  </si>
  <si>
    <t>3252</t>
  </si>
  <si>
    <t>1906</t>
  </si>
  <si>
    <t>9958</t>
  </si>
  <si>
    <t>8085</t>
  </si>
  <si>
    <t>2201</t>
  </si>
  <si>
    <t>2409</t>
  </si>
  <si>
    <t>3311</t>
  </si>
  <si>
    <t>3067</t>
  </si>
  <si>
    <t>1314</t>
  </si>
  <si>
    <t>9103</t>
  </si>
  <si>
    <t>2609</t>
  </si>
  <si>
    <t>1312</t>
  </si>
  <si>
    <t>2362</t>
  </si>
  <si>
    <t>2603</t>
  </si>
  <si>
    <t>8937</t>
  </si>
  <si>
    <t>9962</t>
  </si>
  <si>
    <t>眾福科</t>
  </si>
  <si>
    <t>中環</t>
  </si>
  <si>
    <t>台積電</t>
  </si>
  <si>
    <t>力麗店</t>
  </si>
  <si>
    <t>關中</t>
  </si>
  <si>
    <t>南亞科</t>
  </si>
  <si>
    <t>健信</t>
  </si>
  <si>
    <t>卓越</t>
  </si>
  <si>
    <t>旺宏</t>
  </si>
  <si>
    <t>海灣</t>
  </si>
  <si>
    <t>寶隆</t>
  </si>
  <si>
    <t>世紀鋼</t>
  </si>
  <si>
    <t>福華</t>
  </si>
  <si>
    <t>裕隆</t>
  </si>
  <si>
    <t>友達</t>
  </si>
  <si>
    <t>閎暉</t>
  </si>
  <si>
    <t>全域</t>
  </si>
  <si>
    <t>中石化</t>
  </si>
  <si>
    <t>美德醫療-DR</t>
  </si>
  <si>
    <t>陽明</t>
  </si>
  <si>
    <t>國喬</t>
  </si>
  <si>
    <t>藍天</t>
  </si>
  <si>
    <t>長榮</t>
  </si>
  <si>
    <t>合騏</t>
  </si>
  <si>
    <t>有益</t>
  </si>
  <si>
    <t>sum</t>
  </si>
  <si>
    <t>勝率</t>
  </si>
  <si>
    <t>RF</t>
  </si>
  <si>
    <t>差距平方</t>
  </si>
  <si>
    <t>真實平方</t>
  </si>
  <si>
    <t>R-Square</t>
  </si>
  <si>
    <t>NN4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</si>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</sst>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5" fillId="0" borderId="0" xfId="0" applyFont="1"/>
    <xf numFmtId="0" fontId="6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-3.7521797269075535E-2</c:v>
                </c:pt>
                <c:pt idx="2">
                  <c:v>-1.7814299930915326E-2</c:v>
                </c:pt>
                <c:pt idx="3">
                  <c:v>-2.503647355847426E-2</c:v>
                </c:pt>
                <c:pt idx="4">
                  <c:v>-8.118918334744811E-3</c:v>
                </c:pt>
                <c:pt idx="5">
                  <c:v>3.3935556390116757E-2</c:v>
                </c:pt>
                <c:pt idx="6">
                  <c:v>1.3395855993584296E-2</c:v>
                </c:pt>
                <c:pt idx="7">
                  <c:v>3.3318357069642528E-2</c:v>
                </c:pt>
                <c:pt idx="8">
                  <c:v>2.9853805362732699E-2</c:v>
                </c:pt>
                <c:pt idx="9">
                  <c:v>6.4253918620029798E-2</c:v>
                </c:pt>
                <c:pt idx="10">
                  <c:v>5.0786608391108976E-2</c:v>
                </c:pt>
                <c:pt idx="11">
                  <c:v>9.7643133600763266E-3</c:v>
                </c:pt>
                <c:pt idx="12">
                  <c:v>2.4656462575888306E-2</c:v>
                </c:pt>
                <c:pt idx="13">
                  <c:v>2.1630891775151755E-2</c:v>
                </c:pt>
                <c:pt idx="14">
                  <c:v>-3.5153984016311757E-3</c:v>
                </c:pt>
                <c:pt idx="15">
                  <c:v>-8.4957852108150378E-3</c:v>
                </c:pt>
                <c:pt idx="16">
                  <c:v>-3.5757751159300841E-2</c:v>
                </c:pt>
                <c:pt idx="17">
                  <c:v>-0.10633985793075557</c:v>
                </c:pt>
                <c:pt idx="18">
                  <c:v>-0.128513375620399</c:v>
                </c:pt>
                <c:pt idx="19">
                  <c:v>-9.5919572112774049E-2</c:v>
                </c:pt>
                <c:pt idx="20">
                  <c:v>-6.9418868702331521E-2</c:v>
                </c:pt>
                <c:pt idx="21">
                  <c:v>3.9181624443981072E-2</c:v>
                </c:pt>
                <c:pt idx="22">
                  <c:v>4.7975999885536275E-4</c:v>
                </c:pt>
                <c:pt idx="23">
                  <c:v>1.2257087000404553E-2</c:v>
                </c:pt>
                <c:pt idx="24">
                  <c:v>3.0518640538947581E-2</c:v>
                </c:pt>
                <c:pt idx="25">
                  <c:v>2.852542552714862E-2</c:v>
                </c:pt>
                <c:pt idx="26">
                  <c:v>6.0168223689904765E-2</c:v>
                </c:pt>
                <c:pt idx="27">
                  <c:v>7.92216075927068E-2</c:v>
                </c:pt>
                <c:pt idx="28">
                  <c:v>3.1936829888469957E-2</c:v>
                </c:pt>
                <c:pt idx="29">
                  <c:v>1.4691093963974378E-2</c:v>
                </c:pt>
                <c:pt idx="30">
                  <c:v>5.6243585471098534E-2</c:v>
                </c:pt>
                <c:pt idx="31">
                  <c:v>5.6287798840443493E-2</c:v>
                </c:pt>
                <c:pt idx="32">
                  <c:v>8.1041837628665431E-2</c:v>
                </c:pt>
                <c:pt idx="33">
                  <c:v>7.2623765384760286E-2</c:v>
                </c:pt>
                <c:pt idx="34">
                  <c:v>0.10684900132218594</c:v>
                </c:pt>
                <c:pt idx="35">
                  <c:v>0.13192482650755241</c:v>
                </c:pt>
                <c:pt idx="36">
                  <c:v>0.16464045150170703</c:v>
                </c:pt>
                <c:pt idx="37">
                  <c:v>0.15505747560618552</c:v>
                </c:pt>
                <c:pt idx="38">
                  <c:v>0.13752691261647099</c:v>
                </c:pt>
                <c:pt idx="39">
                  <c:v>0.11535250265085963</c:v>
                </c:pt>
                <c:pt idx="40">
                  <c:v>0.10140601064047863</c:v>
                </c:pt>
                <c:pt idx="41">
                  <c:v>0.10064024550633363</c:v>
                </c:pt>
                <c:pt idx="42">
                  <c:v>9.3659571831345226E-2</c:v>
                </c:pt>
                <c:pt idx="43">
                  <c:v>8.2534682634061871E-2</c:v>
                </c:pt>
                <c:pt idx="44">
                  <c:v>0.10720266688365573</c:v>
                </c:pt>
                <c:pt idx="45">
                  <c:v>6.5342132405562983E-2</c:v>
                </c:pt>
                <c:pt idx="46">
                  <c:v>8.4468064120438183E-2</c:v>
                </c:pt>
                <c:pt idx="47">
                  <c:v>0.11932995594304294</c:v>
                </c:pt>
                <c:pt idx="48">
                  <c:v>0.1475803232247361</c:v>
                </c:pt>
                <c:pt idx="49">
                  <c:v>0.19575133588044066</c:v>
                </c:pt>
                <c:pt idx="50">
                  <c:v>0.16124717030344404</c:v>
                </c:pt>
                <c:pt idx="51">
                  <c:v>0.19705352353225053</c:v>
                </c:pt>
                <c:pt idx="52">
                  <c:v>0.20970749432154645</c:v>
                </c:pt>
                <c:pt idx="53">
                  <c:v>0.25385791454888568</c:v>
                </c:pt>
                <c:pt idx="54">
                  <c:v>0.19834491645900967</c:v>
                </c:pt>
                <c:pt idx="55">
                  <c:v>0.15183633311616346</c:v>
                </c:pt>
                <c:pt idx="56">
                  <c:v>0.1763484420414704</c:v>
                </c:pt>
                <c:pt idx="57">
                  <c:v>0.19685215130660585</c:v>
                </c:pt>
                <c:pt idx="58">
                  <c:v>0.212563299551909</c:v>
                </c:pt>
                <c:pt idx="59">
                  <c:v>0.26343841761787345</c:v>
                </c:pt>
                <c:pt idx="60">
                  <c:v>0.24438426690786277</c:v>
                </c:pt>
                <c:pt idx="61">
                  <c:v>0.26545486101861504</c:v>
                </c:pt>
                <c:pt idx="62">
                  <c:v>0.25289831326302842</c:v>
                </c:pt>
                <c:pt idx="63">
                  <c:v>0.2921574164100792</c:v>
                </c:pt>
                <c:pt idx="64">
                  <c:v>0.29844716836713958</c:v>
                </c:pt>
                <c:pt idx="65">
                  <c:v>0.27477652266215824</c:v>
                </c:pt>
                <c:pt idx="66">
                  <c:v>0.26784994373028631</c:v>
                </c:pt>
                <c:pt idx="67">
                  <c:v>0.23023457130611538</c:v>
                </c:pt>
                <c:pt idx="68">
                  <c:v>0.22291058962909727</c:v>
                </c:pt>
                <c:pt idx="69">
                  <c:v>0.25285440588290042</c:v>
                </c:pt>
                <c:pt idx="70">
                  <c:v>0.21820906472241303</c:v>
                </c:pt>
                <c:pt idx="71">
                  <c:v>0.21298975152128591</c:v>
                </c:pt>
                <c:pt idx="72">
                  <c:v>0.27455486796181744</c:v>
                </c:pt>
                <c:pt idx="73">
                  <c:v>0.27833179184665563</c:v>
                </c:pt>
                <c:pt idx="74">
                  <c:v>0.22399175789131431</c:v>
                </c:pt>
                <c:pt idx="75">
                  <c:v>0.24502850142461519</c:v>
                </c:pt>
                <c:pt idx="76">
                  <c:v>0.30465327420906629</c:v>
                </c:pt>
                <c:pt idx="77">
                  <c:v>0.24785252839352603</c:v>
                </c:pt>
                <c:pt idx="78">
                  <c:v>0.26289734758627414</c:v>
                </c:pt>
                <c:pt idx="79">
                  <c:v>0.31801238754887429</c:v>
                </c:pt>
                <c:pt idx="80">
                  <c:v>0.4153734185471567</c:v>
                </c:pt>
                <c:pt idx="81">
                  <c:v>0.43274330342179951</c:v>
                </c:pt>
                <c:pt idx="82">
                  <c:v>0.44018802042730604</c:v>
                </c:pt>
                <c:pt idx="83">
                  <c:v>0.48391961570683523</c:v>
                </c:pt>
                <c:pt idx="84">
                  <c:v>0.43783866534518368</c:v>
                </c:pt>
                <c:pt idx="85">
                  <c:v>0.43158966856596748</c:v>
                </c:pt>
                <c:pt idx="86">
                  <c:v>0.45019168145890054</c:v>
                </c:pt>
                <c:pt idx="87">
                  <c:v>0.55733524803408185</c:v>
                </c:pt>
                <c:pt idx="88">
                  <c:v>0.49596858447729725</c:v>
                </c:pt>
                <c:pt idx="89">
                  <c:v>0.51011742931347481</c:v>
                </c:pt>
                <c:pt idx="90">
                  <c:v>0.44792700792927331</c:v>
                </c:pt>
                <c:pt idx="91">
                  <c:v>0.43430857951058915</c:v>
                </c:pt>
                <c:pt idx="92">
                  <c:v>0.49749814241578272</c:v>
                </c:pt>
                <c:pt idx="93">
                  <c:v>0.45159109797774299</c:v>
                </c:pt>
                <c:pt idx="94">
                  <c:v>0.41050728163459993</c:v>
                </c:pt>
                <c:pt idx="95">
                  <c:v>0.44159734875921658</c:v>
                </c:pt>
                <c:pt idx="96">
                  <c:v>0.46675784222267952</c:v>
                </c:pt>
                <c:pt idx="97">
                  <c:v>0.4609484489405602</c:v>
                </c:pt>
                <c:pt idx="98">
                  <c:v>0.45867263365958111</c:v>
                </c:pt>
                <c:pt idx="99">
                  <c:v>0.48052598601973801</c:v>
                </c:pt>
                <c:pt idx="100">
                  <c:v>0.46136769208207568</c:v>
                </c:pt>
                <c:pt idx="101">
                  <c:v>0.55283814788100238</c:v>
                </c:pt>
                <c:pt idx="102">
                  <c:v>0.58391279832259968</c:v>
                </c:pt>
                <c:pt idx="103">
                  <c:v>0.53561687794428969</c:v>
                </c:pt>
                <c:pt idx="104">
                  <c:v>0.57031184169431193</c:v>
                </c:pt>
                <c:pt idx="105">
                  <c:v>0.54103256390877363</c:v>
                </c:pt>
                <c:pt idx="106">
                  <c:v>0.5237597511001959</c:v>
                </c:pt>
                <c:pt idx="107">
                  <c:v>0.57328316817519653</c:v>
                </c:pt>
                <c:pt idx="108">
                  <c:v>0.53543530690091734</c:v>
                </c:pt>
                <c:pt idx="109">
                  <c:v>0.5373114447325581</c:v>
                </c:pt>
                <c:pt idx="110">
                  <c:v>0.55948901363899206</c:v>
                </c:pt>
                <c:pt idx="111">
                  <c:v>0.57555895143046221</c:v>
                </c:pt>
                <c:pt idx="112">
                  <c:v>0.54773593292128575</c:v>
                </c:pt>
                <c:pt idx="113">
                  <c:v>0.54967176726492373</c:v>
                </c:pt>
                <c:pt idx="114">
                  <c:v>0.56074617112368064</c:v>
                </c:pt>
                <c:pt idx="115">
                  <c:v>0.5862929244871885</c:v>
                </c:pt>
                <c:pt idx="116">
                  <c:v>0.55091450292383337</c:v>
                </c:pt>
                <c:pt idx="117">
                  <c:v>0.60597194048449632</c:v>
                </c:pt>
                <c:pt idx="118">
                  <c:v>0.59819381508080394</c:v>
                </c:pt>
                <c:pt idx="119">
                  <c:v>0.59733315679819576</c:v>
                </c:pt>
                <c:pt idx="120">
                  <c:v>0.67328845326337328</c:v>
                </c:pt>
                <c:pt idx="121">
                  <c:v>0.65663836198589032</c:v>
                </c:pt>
                <c:pt idx="122">
                  <c:v>0.61556980106619708</c:v>
                </c:pt>
                <c:pt idx="123">
                  <c:v>0.64794947325975683</c:v>
                </c:pt>
                <c:pt idx="124">
                  <c:v>0.593982341873873</c:v>
                </c:pt>
                <c:pt idx="125">
                  <c:v>0.60711086411251058</c:v>
                </c:pt>
                <c:pt idx="126">
                  <c:v>0.62023793863402688</c:v>
                </c:pt>
                <c:pt idx="127">
                  <c:v>0.59727587687051975</c:v>
                </c:pt>
                <c:pt idx="128">
                  <c:v>0.60503961837116593</c:v>
                </c:pt>
                <c:pt idx="129">
                  <c:v>0.60340998116232025</c:v>
                </c:pt>
                <c:pt idx="130">
                  <c:v>0.59309283389036571</c:v>
                </c:pt>
                <c:pt idx="131">
                  <c:v>0.55932510139776537</c:v>
                </c:pt>
                <c:pt idx="132">
                  <c:v>0.55589521174770273</c:v>
                </c:pt>
                <c:pt idx="133">
                  <c:v>0.58912230978340474</c:v>
                </c:pt>
                <c:pt idx="134">
                  <c:v>0.57934877314649413</c:v>
                </c:pt>
                <c:pt idx="135">
                  <c:v>0.56703951914920314</c:v>
                </c:pt>
                <c:pt idx="136">
                  <c:v>0.57520040046776522</c:v>
                </c:pt>
                <c:pt idx="137">
                  <c:v>0.58597156521734306</c:v>
                </c:pt>
                <c:pt idx="138">
                  <c:v>0.57532110735974407</c:v>
                </c:pt>
                <c:pt idx="139">
                  <c:v>0.53653426861201436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0-427E-B7D7-987FBE492C65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-9.3138196569382839E-2</c:v>
                </c:pt>
                <c:pt idx="2">
                  <c:v>-7.2649980322133795E-2</c:v>
                </c:pt>
                <c:pt idx="3">
                  <c:v>-8.3275672621925492E-2</c:v>
                </c:pt>
                <c:pt idx="4">
                  <c:v>-6.3871670343280451E-2</c:v>
                </c:pt>
                <c:pt idx="5">
                  <c:v>-4.4622041477396318E-2</c:v>
                </c:pt>
                <c:pt idx="6">
                  <c:v>-3.5570771546190025E-2</c:v>
                </c:pt>
                <c:pt idx="7">
                  <c:v>-3.7715892076929922E-2</c:v>
                </c:pt>
                <c:pt idx="8">
                  <c:v>-5.5898947233820481E-2</c:v>
                </c:pt>
                <c:pt idx="9">
                  <c:v>-2.1524994937753929E-2</c:v>
                </c:pt>
                <c:pt idx="10">
                  <c:v>-2.5535789260622031E-2</c:v>
                </c:pt>
                <c:pt idx="11">
                  <c:v>-8.768018555585598E-2</c:v>
                </c:pt>
                <c:pt idx="12">
                  <c:v>-8.6096061431906762E-2</c:v>
                </c:pt>
                <c:pt idx="13">
                  <c:v>-9.994935236049575E-2</c:v>
                </c:pt>
                <c:pt idx="14">
                  <c:v>-0.12389216017138294</c:v>
                </c:pt>
                <c:pt idx="15">
                  <c:v>-0.15489721574416873</c:v>
                </c:pt>
                <c:pt idx="16">
                  <c:v>-0.1694311944260001</c:v>
                </c:pt>
                <c:pt idx="17">
                  <c:v>-0.23651842665301487</c:v>
                </c:pt>
                <c:pt idx="18">
                  <c:v>-0.27235037791983746</c:v>
                </c:pt>
                <c:pt idx="19">
                  <c:v>-0.23442501164117152</c:v>
                </c:pt>
                <c:pt idx="20">
                  <c:v>-0.19186478083681735</c:v>
                </c:pt>
                <c:pt idx="21">
                  <c:v>-4.7363489286431054E-2</c:v>
                </c:pt>
                <c:pt idx="22">
                  <c:v>-9.0744258613230183E-2</c:v>
                </c:pt>
                <c:pt idx="23">
                  <c:v>-6.3416876516739468E-2</c:v>
                </c:pt>
                <c:pt idx="24">
                  <c:v>-4.9283738178511796E-2</c:v>
                </c:pt>
                <c:pt idx="25">
                  <c:v>-5.2825501512644008E-2</c:v>
                </c:pt>
                <c:pt idx="26">
                  <c:v>-1.223206386968665E-2</c:v>
                </c:pt>
                <c:pt idx="27">
                  <c:v>-1.0712613195970284E-2</c:v>
                </c:pt>
                <c:pt idx="28">
                  <c:v>-6.1837653979470351E-2</c:v>
                </c:pt>
                <c:pt idx="29">
                  <c:v>-9.1448210226994439E-2</c:v>
                </c:pt>
                <c:pt idx="30">
                  <c:v>-4.1043929941024918E-2</c:v>
                </c:pt>
                <c:pt idx="31">
                  <c:v>-2.2513155298645556E-2</c:v>
                </c:pt>
                <c:pt idx="32">
                  <c:v>-4.9162179730392261E-3</c:v>
                </c:pt>
                <c:pt idx="33">
                  <c:v>1.3419494498238685E-3</c:v>
                </c:pt>
                <c:pt idx="34">
                  <c:v>4.3203120050877127E-2</c:v>
                </c:pt>
                <c:pt idx="35">
                  <c:v>7.3886876484546532E-2</c:v>
                </c:pt>
                <c:pt idx="36">
                  <c:v>0.11085786432459678</c:v>
                </c:pt>
                <c:pt idx="37">
                  <c:v>0.10837445229365622</c:v>
                </c:pt>
                <c:pt idx="38">
                  <c:v>0.1045026549317658</c:v>
                </c:pt>
                <c:pt idx="39">
                  <c:v>8.5064456060219659E-2</c:v>
                </c:pt>
                <c:pt idx="40">
                  <c:v>6.9897515463403434E-2</c:v>
                </c:pt>
                <c:pt idx="41">
                  <c:v>8.0210496518774252E-2</c:v>
                </c:pt>
                <c:pt idx="42">
                  <c:v>8.7838396598281382E-2</c:v>
                </c:pt>
                <c:pt idx="43">
                  <c:v>6.9183930348424794E-2</c:v>
                </c:pt>
                <c:pt idx="44">
                  <c:v>8.4550059466265856E-2</c:v>
                </c:pt>
                <c:pt idx="45">
                  <c:v>3.3770619385796299E-2</c:v>
                </c:pt>
                <c:pt idx="46">
                  <c:v>8.4617672565825253E-2</c:v>
                </c:pt>
                <c:pt idx="47">
                  <c:v>0.14027234697473812</c:v>
                </c:pt>
                <c:pt idx="48">
                  <c:v>0.15966569397379488</c:v>
                </c:pt>
                <c:pt idx="49">
                  <c:v>0.1985215056944144</c:v>
                </c:pt>
                <c:pt idx="50">
                  <c:v>0.18480718341562496</c:v>
                </c:pt>
                <c:pt idx="51">
                  <c:v>0.19118171635401382</c:v>
                </c:pt>
                <c:pt idx="52">
                  <c:v>0.19818101783334077</c:v>
                </c:pt>
                <c:pt idx="53">
                  <c:v>0.22866345223983212</c:v>
                </c:pt>
                <c:pt idx="54">
                  <c:v>0.17506313964449027</c:v>
                </c:pt>
                <c:pt idx="55">
                  <c:v>0.14053808393832753</c:v>
                </c:pt>
                <c:pt idx="56">
                  <c:v>0.1689299607125698</c:v>
                </c:pt>
                <c:pt idx="57">
                  <c:v>0.20055683428427251</c:v>
                </c:pt>
                <c:pt idx="58">
                  <c:v>0.20599745478859063</c:v>
                </c:pt>
                <c:pt idx="59">
                  <c:v>0.25941012622589255</c:v>
                </c:pt>
                <c:pt idx="60">
                  <c:v>0.2315789695351983</c:v>
                </c:pt>
                <c:pt idx="61">
                  <c:v>0.26533649276251264</c:v>
                </c:pt>
                <c:pt idx="62">
                  <c:v>0.2475684850228993</c:v>
                </c:pt>
                <c:pt idx="63">
                  <c:v>0.30148187629149614</c:v>
                </c:pt>
                <c:pt idx="64">
                  <c:v>0.29037358263797547</c:v>
                </c:pt>
                <c:pt idx="65">
                  <c:v>0.27369491326350531</c:v>
                </c:pt>
                <c:pt idx="66">
                  <c:v>0.25819727032207729</c:v>
                </c:pt>
                <c:pt idx="67">
                  <c:v>0.21731962246567421</c:v>
                </c:pt>
                <c:pt idx="68">
                  <c:v>0.21703328675603642</c:v>
                </c:pt>
                <c:pt idx="69">
                  <c:v>0.24729288739318303</c:v>
                </c:pt>
                <c:pt idx="70">
                  <c:v>0.19526105528399651</c:v>
                </c:pt>
                <c:pt idx="71">
                  <c:v>0.18355230789076579</c:v>
                </c:pt>
                <c:pt idx="72">
                  <c:v>0.25236668134150558</c:v>
                </c:pt>
                <c:pt idx="73">
                  <c:v>0.25456673918985678</c:v>
                </c:pt>
                <c:pt idx="74">
                  <c:v>0.16202533808977093</c:v>
                </c:pt>
                <c:pt idx="75">
                  <c:v>0.20038357919318056</c:v>
                </c:pt>
                <c:pt idx="76">
                  <c:v>0.25916959446569188</c:v>
                </c:pt>
                <c:pt idx="77">
                  <c:v>0.18691519065610177</c:v>
                </c:pt>
                <c:pt idx="78">
                  <c:v>0.20964230530594363</c:v>
                </c:pt>
                <c:pt idx="79">
                  <c:v>0.26337405594619012</c:v>
                </c:pt>
                <c:pt idx="80">
                  <c:v>0.36266183703204374</c:v>
                </c:pt>
                <c:pt idx="81">
                  <c:v>0.38868686257246571</c:v>
                </c:pt>
                <c:pt idx="82">
                  <c:v>0.40322003882480911</c:v>
                </c:pt>
                <c:pt idx="83">
                  <c:v>0.46315103600931451</c:v>
                </c:pt>
                <c:pt idx="84">
                  <c:v>0.41700595679369584</c:v>
                </c:pt>
                <c:pt idx="85">
                  <c:v>0.39700191047809535</c:v>
                </c:pt>
                <c:pt idx="86">
                  <c:v>0.42982198342928851</c:v>
                </c:pt>
                <c:pt idx="87">
                  <c:v>0.51523581536317897</c:v>
                </c:pt>
                <c:pt idx="88">
                  <c:v>0.47463000944815259</c:v>
                </c:pt>
                <c:pt idx="89">
                  <c:v>0.49498347986646574</c:v>
                </c:pt>
                <c:pt idx="90">
                  <c:v>0.42420835829115455</c:v>
                </c:pt>
                <c:pt idx="91">
                  <c:v>0.39472764189610632</c:v>
                </c:pt>
                <c:pt idx="92">
                  <c:v>0.46437955489507426</c:v>
                </c:pt>
                <c:pt idx="93">
                  <c:v>0.3883054870588678</c:v>
                </c:pt>
                <c:pt idx="94">
                  <c:v>0.34387768104514366</c:v>
                </c:pt>
                <c:pt idx="95">
                  <c:v>0.39169499438937605</c:v>
                </c:pt>
                <c:pt idx="96">
                  <c:v>0.43455874179874643</c:v>
                </c:pt>
                <c:pt idx="97">
                  <c:v>0.43156311451055024</c:v>
                </c:pt>
                <c:pt idx="98">
                  <c:v>0.43538141065874825</c:v>
                </c:pt>
                <c:pt idx="99">
                  <c:v>0.43818105784823425</c:v>
                </c:pt>
                <c:pt idx="100">
                  <c:v>0.4234267459898709</c:v>
                </c:pt>
                <c:pt idx="101">
                  <c:v>0.51456932969813729</c:v>
                </c:pt>
                <c:pt idx="102">
                  <c:v>0.54907093154075126</c:v>
                </c:pt>
                <c:pt idx="103">
                  <c:v>0.51064837961137521</c:v>
                </c:pt>
                <c:pt idx="104">
                  <c:v>0.552591302653889</c:v>
                </c:pt>
                <c:pt idx="105">
                  <c:v>0.54134103023898639</c:v>
                </c:pt>
                <c:pt idx="106">
                  <c:v>0.50289777725257034</c:v>
                </c:pt>
                <c:pt idx="107">
                  <c:v>0.5829221117616683</c:v>
                </c:pt>
                <c:pt idx="108">
                  <c:v>0.52870164658310559</c:v>
                </c:pt>
                <c:pt idx="109">
                  <c:v>0.54292413041089072</c:v>
                </c:pt>
                <c:pt idx="110">
                  <c:v>0.57758192576280643</c:v>
                </c:pt>
                <c:pt idx="111">
                  <c:v>0.61400269475479263</c:v>
                </c:pt>
                <c:pt idx="112">
                  <c:v>0.58645082712937757</c:v>
                </c:pt>
                <c:pt idx="113">
                  <c:v>0.59672683102142166</c:v>
                </c:pt>
                <c:pt idx="114">
                  <c:v>0.63522287396397159</c:v>
                </c:pt>
                <c:pt idx="115">
                  <c:v>0.66773747680631379</c:v>
                </c:pt>
                <c:pt idx="116">
                  <c:v>0.62079094296996917</c:v>
                </c:pt>
                <c:pt idx="117">
                  <c:v>0.68395360877516065</c:v>
                </c:pt>
                <c:pt idx="118">
                  <c:v>0.68255507878183364</c:v>
                </c:pt>
                <c:pt idx="119">
                  <c:v>0.67486850446040325</c:v>
                </c:pt>
                <c:pt idx="120">
                  <c:v>0.7107899900252298</c:v>
                </c:pt>
                <c:pt idx="121">
                  <c:v>0.69762641237638523</c:v>
                </c:pt>
                <c:pt idx="122">
                  <c:v>0.68129727777353843</c:v>
                </c:pt>
                <c:pt idx="123">
                  <c:v>0.72104698922298183</c:v>
                </c:pt>
                <c:pt idx="124">
                  <c:v>0.65767024007292552</c:v>
                </c:pt>
                <c:pt idx="125">
                  <c:v>0.66717667992296992</c:v>
                </c:pt>
                <c:pt idx="126">
                  <c:v>0.68941950624506398</c:v>
                </c:pt>
                <c:pt idx="127">
                  <c:v>0.65273103638497043</c:v>
                </c:pt>
                <c:pt idx="128">
                  <c:v>0.65164494393112071</c:v>
                </c:pt>
                <c:pt idx="129">
                  <c:v>0.63747681907371123</c:v>
                </c:pt>
                <c:pt idx="130">
                  <c:v>0.63224472311560642</c:v>
                </c:pt>
                <c:pt idx="131">
                  <c:v>0.56233481604321955</c:v>
                </c:pt>
                <c:pt idx="132">
                  <c:v>0.55046162439211976</c:v>
                </c:pt>
                <c:pt idx="133">
                  <c:v>0.5783348764771592</c:v>
                </c:pt>
                <c:pt idx="134">
                  <c:v>0.54116841122006565</c:v>
                </c:pt>
                <c:pt idx="135">
                  <c:v>0.53818854044061881</c:v>
                </c:pt>
                <c:pt idx="136">
                  <c:v>0.53807186096556081</c:v>
                </c:pt>
                <c:pt idx="137">
                  <c:v>0.57235336160937123</c:v>
                </c:pt>
                <c:pt idx="138">
                  <c:v>0.55499466989805679</c:v>
                </c:pt>
                <c:pt idx="139">
                  <c:v>0.48534369257244303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0-427E-B7D7-987FBE492C65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-0.11036479238695053</c:v>
                </c:pt>
                <c:pt idx="2">
                  <c:v>-0.10090047538151026</c:v>
                </c:pt>
                <c:pt idx="3">
                  <c:v>-0.14891439466949777</c:v>
                </c:pt>
                <c:pt idx="4">
                  <c:v>-0.13563015792941094</c:v>
                </c:pt>
                <c:pt idx="5">
                  <c:v>-0.11641469478732316</c:v>
                </c:pt>
                <c:pt idx="6">
                  <c:v>-6.6383362924173128E-2</c:v>
                </c:pt>
                <c:pt idx="7">
                  <c:v>-0.10697499436977798</c:v>
                </c:pt>
                <c:pt idx="8">
                  <c:v>-8.7791174030239255E-2</c:v>
                </c:pt>
                <c:pt idx="9">
                  <c:v>-0.11227481465529474</c:v>
                </c:pt>
                <c:pt idx="10">
                  <c:v>-8.9549933349240968E-2</c:v>
                </c:pt>
                <c:pt idx="11">
                  <c:v>-0.19859249651928718</c:v>
                </c:pt>
                <c:pt idx="12">
                  <c:v>-0.22296736580410662</c:v>
                </c:pt>
                <c:pt idx="13">
                  <c:v>-0.22234507194490605</c:v>
                </c:pt>
                <c:pt idx="14">
                  <c:v>-0.29678014639714512</c:v>
                </c:pt>
                <c:pt idx="15">
                  <c:v>-0.32690842515248181</c:v>
                </c:pt>
                <c:pt idx="16">
                  <c:v>-0.31474637647125714</c:v>
                </c:pt>
                <c:pt idx="17">
                  <c:v>-0.37066401482077971</c:v>
                </c:pt>
                <c:pt idx="18">
                  <c:v>-0.41474610566751563</c:v>
                </c:pt>
                <c:pt idx="19">
                  <c:v>-0.42967515211889246</c:v>
                </c:pt>
                <c:pt idx="20">
                  <c:v>-0.38550065270324602</c:v>
                </c:pt>
                <c:pt idx="21">
                  <c:v>-0.17250358469855823</c:v>
                </c:pt>
                <c:pt idx="22">
                  <c:v>-0.20624350299451985</c:v>
                </c:pt>
                <c:pt idx="23">
                  <c:v>-0.16757155082247646</c:v>
                </c:pt>
                <c:pt idx="24">
                  <c:v>-0.17527664598743403</c:v>
                </c:pt>
                <c:pt idx="25">
                  <c:v>-0.24019820888230686</c:v>
                </c:pt>
                <c:pt idx="26">
                  <c:v>-0.2440581214233597</c:v>
                </c:pt>
                <c:pt idx="27">
                  <c:v>-0.23028404119237031</c:v>
                </c:pt>
                <c:pt idx="28">
                  <c:v>-0.27647377329350004</c:v>
                </c:pt>
                <c:pt idx="29">
                  <c:v>-0.32130227260315053</c:v>
                </c:pt>
                <c:pt idx="30">
                  <c:v>-0.30571121068242918</c:v>
                </c:pt>
                <c:pt idx="31">
                  <c:v>-0.30146087819290229</c:v>
                </c:pt>
                <c:pt idx="32">
                  <c:v>-0.24375525034423037</c:v>
                </c:pt>
                <c:pt idx="33">
                  <c:v>-0.20082251695115</c:v>
                </c:pt>
                <c:pt idx="34">
                  <c:v>-0.19538416655496088</c:v>
                </c:pt>
                <c:pt idx="35">
                  <c:v>-0.19075101320300719</c:v>
                </c:pt>
                <c:pt idx="36">
                  <c:v>-0.15359632352082062</c:v>
                </c:pt>
                <c:pt idx="37">
                  <c:v>-0.17862901492685462</c:v>
                </c:pt>
                <c:pt idx="38">
                  <c:v>-0.21186101313553943</c:v>
                </c:pt>
                <c:pt idx="39">
                  <c:v>-0.22640150259543501</c:v>
                </c:pt>
                <c:pt idx="40">
                  <c:v>-0.24645400081828914</c:v>
                </c:pt>
                <c:pt idx="41">
                  <c:v>-0.24012781246695061</c:v>
                </c:pt>
                <c:pt idx="42">
                  <c:v>-0.20986166499295428</c:v>
                </c:pt>
                <c:pt idx="43">
                  <c:v>-0.24887082222549581</c:v>
                </c:pt>
                <c:pt idx="44">
                  <c:v>-0.22299791794307541</c:v>
                </c:pt>
                <c:pt idx="45">
                  <c:v>-0.26517066578789106</c:v>
                </c:pt>
                <c:pt idx="46">
                  <c:v>-0.22247115724035771</c:v>
                </c:pt>
                <c:pt idx="47">
                  <c:v>-0.16418172808869358</c:v>
                </c:pt>
                <c:pt idx="48">
                  <c:v>-0.18908330272437948</c:v>
                </c:pt>
                <c:pt idx="49">
                  <c:v>-0.13771774688610058</c:v>
                </c:pt>
                <c:pt idx="50">
                  <c:v>-0.12314895132958684</c:v>
                </c:pt>
                <c:pt idx="51">
                  <c:v>-0.16318886749991796</c:v>
                </c:pt>
                <c:pt idx="52">
                  <c:v>-0.12174109944073813</c:v>
                </c:pt>
                <c:pt idx="53">
                  <c:v>-9.895090988286806E-2</c:v>
                </c:pt>
                <c:pt idx="54">
                  <c:v>-0.14729062787276764</c:v>
                </c:pt>
                <c:pt idx="55">
                  <c:v>-0.20073529797322018</c:v>
                </c:pt>
                <c:pt idx="56">
                  <c:v>-0.177760887371365</c:v>
                </c:pt>
                <c:pt idx="57">
                  <c:v>-0.10915641026692133</c:v>
                </c:pt>
                <c:pt idx="58">
                  <c:v>-0.12562645240223608</c:v>
                </c:pt>
                <c:pt idx="59">
                  <c:v>-4.6171129702139879E-2</c:v>
                </c:pt>
                <c:pt idx="60">
                  <c:v>-2.01761689359625E-2</c:v>
                </c:pt>
                <c:pt idx="61">
                  <c:v>1.3597044506622951E-2</c:v>
                </c:pt>
                <c:pt idx="62">
                  <c:v>-2.603019124534665E-2</c:v>
                </c:pt>
                <c:pt idx="63">
                  <c:v>6.926176783424802E-2</c:v>
                </c:pt>
                <c:pt idx="64">
                  <c:v>6.3441590025399675E-2</c:v>
                </c:pt>
                <c:pt idx="65">
                  <c:v>7.6183960183575677E-2</c:v>
                </c:pt>
                <c:pt idx="66">
                  <c:v>2.9353281133551234E-2</c:v>
                </c:pt>
                <c:pt idx="67">
                  <c:v>-4.2056282978435125E-2</c:v>
                </c:pt>
                <c:pt idx="68">
                  <c:v>-5.3774940356973944E-2</c:v>
                </c:pt>
                <c:pt idx="69">
                  <c:v>-1.8572166916841305E-2</c:v>
                </c:pt>
                <c:pt idx="70">
                  <c:v>-0.1213125569746952</c:v>
                </c:pt>
                <c:pt idx="71">
                  <c:v>-0.16384476874048992</c:v>
                </c:pt>
                <c:pt idx="72">
                  <c:v>-7.7908954625837967E-2</c:v>
                </c:pt>
                <c:pt idx="73">
                  <c:v>-6.2569991001828321E-2</c:v>
                </c:pt>
                <c:pt idx="74">
                  <c:v>-0.18096749854060301</c:v>
                </c:pt>
                <c:pt idx="75">
                  <c:v>-0.1179927539727601</c:v>
                </c:pt>
                <c:pt idx="76">
                  <c:v>-4.3441360805465387E-2</c:v>
                </c:pt>
                <c:pt idx="77">
                  <c:v>-9.0406920560944154E-2</c:v>
                </c:pt>
                <c:pt idx="78">
                  <c:v>-6.4635426108465496E-2</c:v>
                </c:pt>
                <c:pt idx="79">
                  <c:v>1.9955589180417219E-2</c:v>
                </c:pt>
                <c:pt idx="80">
                  <c:v>0.11352361517621005</c:v>
                </c:pt>
                <c:pt idx="81">
                  <c:v>0.15776677152675506</c:v>
                </c:pt>
                <c:pt idx="82">
                  <c:v>0.25622417726987307</c:v>
                </c:pt>
                <c:pt idx="83">
                  <c:v>0.33884100355309021</c:v>
                </c:pt>
                <c:pt idx="84">
                  <c:v>0.34874190435209557</c:v>
                </c:pt>
                <c:pt idx="85">
                  <c:v>0.34981498527385135</c:v>
                </c:pt>
                <c:pt idx="86">
                  <c:v>0.36688692605170159</c:v>
                </c:pt>
                <c:pt idx="87">
                  <c:v>0.5006189537521456</c:v>
                </c:pt>
                <c:pt idx="88">
                  <c:v>0.47108544380581086</c:v>
                </c:pt>
                <c:pt idx="89">
                  <c:v>0.49053291579593783</c:v>
                </c:pt>
                <c:pt idx="90">
                  <c:v>0.39391085166291195</c:v>
                </c:pt>
                <c:pt idx="91">
                  <c:v>0.32175211651039815</c:v>
                </c:pt>
                <c:pt idx="92">
                  <c:v>0.39138368520406636</c:v>
                </c:pt>
                <c:pt idx="93">
                  <c:v>0.33440694947722188</c:v>
                </c:pt>
                <c:pt idx="94">
                  <c:v>0.31538934740503255</c:v>
                </c:pt>
                <c:pt idx="95">
                  <c:v>0.36785707531585943</c:v>
                </c:pt>
                <c:pt idx="96">
                  <c:v>0.45552417829260888</c:v>
                </c:pt>
                <c:pt idx="97">
                  <c:v>0.42970635178513128</c:v>
                </c:pt>
                <c:pt idx="98">
                  <c:v>0.45523775529734323</c:v>
                </c:pt>
                <c:pt idx="99">
                  <c:v>0.41036496703069764</c:v>
                </c:pt>
                <c:pt idx="100">
                  <c:v>0.36265950040879724</c:v>
                </c:pt>
                <c:pt idx="101">
                  <c:v>0.49201097028139446</c:v>
                </c:pt>
                <c:pt idx="102">
                  <c:v>0.55015883081663319</c:v>
                </c:pt>
                <c:pt idx="103">
                  <c:v>0.49859909860626839</c:v>
                </c:pt>
                <c:pt idx="104">
                  <c:v>0.54434550004473847</c:v>
                </c:pt>
                <c:pt idx="105">
                  <c:v>0.59309988119999069</c:v>
                </c:pt>
                <c:pt idx="106">
                  <c:v>0.6295362632508561</c:v>
                </c:pt>
                <c:pt idx="107">
                  <c:v>0.80392891988549975</c:v>
                </c:pt>
                <c:pt idx="108">
                  <c:v>0.75484017443906792</c:v>
                </c:pt>
                <c:pt idx="109">
                  <c:v>0.76738848851070374</c:v>
                </c:pt>
                <c:pt idx="110">
                  <c:v>0.76982340156088702</c:v>
                </c:pt>
                <c:pt idx="111">
                  <c:v>0.80428564386930468</c:v>
                </c:pt>
                <c:pt idx="112">
                  <c:v>0.79013840180107575</c:v>
                </c:pt>
                <c:pt idx="113">
                  <c:v>0.84515091238571205</c:v>
                </c:pt>
                <c:pt idx="114">
                  <c:v>0.87350956695291704</c:v>
                </c:pt>
                <c:pt idx="115">
                  <c:v>0.90797041079403396</c:v>
                </c:pt>
                <c:pt idx="116">
                  <c:v>0.8084995853546797</c:v>
                </c:pt>
                <c:pt idx="117">
                  <c:v>0.82777954133195686</c:v>
                </c:pt>
                <c:pt idx="118">
                  <c:v>0.84218460571853415</c:v>
                </c:pt>
                <c:pt idx="119">
                  <c:v>0.83034810674094928</c:v>
                </c:pt>
                <c:pt idx="120">
                  <c:v>0.87519281321025444</c:v>
                </c:pt>
                <c:pt idx="121">
                  <c:v>0.8469168743026293</c:v>
                </c:pt>
                <c:pt idx="122">
                  <c:v>0.82252685096025935</c:v>
                </c:pt>
                <c:pt idx="123">
                  <c:v>0.83418298159411808</c:v>
                </c:pt>
                <c:pt idx="124">
                  <c:v>0.79022642948180433</c:v>
                </c:pt>
                <c:pt idx="125">
                  <c:v>0.79274921143901489</c:v>
                </c:pt>
                <c:pt idx="126">
                  <c:v>0.86472948858945364</c:v>
                </c:pt>
                <c:pt idx="127">
                  <c:v>0.82952257097600379</c:v>
                </c:pt>
                <c:pt idx="128">
                  <c:v>0.82356834703772708</c:v>
                </c:pt>
                <c:pt idx="129">
                  <c:v>0.84273630380799269</c:v>
                </c:pt>
                <c:pt idx="130">
                  <c:v>0.87400258751491111</c:v>
                </c:pt>
                <c:pt idx="131">
                  <c:v>0.80157417814353504</c:v>
                </c:pt>
                <c:pt idx="132">
                  <c:v>0.7982516831835873</c:v>
                </c:pt>
                <c:pt idx="133">
                  <c:v>0.81392817191459332</c:v>
                </c:pt>
                <c:pt idx="134">
                  <c:v>0.72260315022537303</c:v>
                </c:pt>
                <c:pt idx="135">
                  <c:v>0.70524990349214056</c:v>
                </c:pt>
                <c:pt idx="136">
                  <c:v>0.72233856321765688</c:v>
                </c:pt>
                <c:pt idx="137">
                  <c:v>0.70394624852909948</c:v>
                </c:pt>
                <c:pt idx="138">
                  <c:v>0.68440713033272993</c:v>
                </c:pt>
                <c:pt idx="139">
                  <c:v>0.65171651695387212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40-427E-B7D7-987FBE492C65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-6.6468805060719241E-2</c:v>
                </c:pt>
                <c:pt idx="2">
                  <c:v>-3.8390972300572146E-2</c:v>
                </c:pt>
                <c:pt idx="3">
                  <c:v>-0.15427877675779045</c:v>
                </c:pt>
                <c:pt idx="4">
                  <c:v>-0.1234796398659683</c:v>
                </c:pt>
                <c:pt idx="5">
                  <c:v>-1.9066149290970905E-2</c:v>
                </c:pt>
                <c:pt idx="6">
                  <c:v>8.671211464339619E-2</c:v>
                </c:pt>
                <c:pt idx="7">
                  <c:v>3.7219694174031072E-2</c:v>
                </c:pt>
                <c:pt idx="8">
                  <c:v>6.7069088182311776E-2</c:v>
                </c:pt>
                <c:pt idx="9">
                  <c:v>3.5045970524610164E-2</c:v>
                </c:pt>
                <c:pt idx="10">
                  <c:v>0.10971100514460605</c:v>
                </c:pt>
                <c:pt idx="11">
                  <c:v>-7.1797386966143045E-2</c:v>
                </c:pt>
                <c:pt idx="12">
                  <c:v>-7.4950711068512643E-2</c:v>
                </c:pt>
                <c:pt idx="13">
                  <c:v>-9.9085574129499809E-2</c:v>
                </c:pt>
                <c:pt idx="14">
                  <c:v>-0.13709946718964378</c:v>
                </c:pt>
                <c:pt idx="15">
                  <c:v>-0.2004376130905422</c:v>
                </c:pt>
                <c:pt idx="16">
                  <c:v>-0.23486811755457532</c:v>
                </c:pt>
                <c:pt idx="17">
                  <c:v>-0.29561042812536698</c:v>
                </c:pt>
                <c:pt idx="18">
                  <c:v>-0.31376772731726349</c:v>
                </c:pt>
                <c:pt idx="19">
                  <c:v>-0.36932143984081539</c:v>
                </c:pt>
                <c:pt idx="20">
                  <c:v>-0.31828426665657888</c:v>
                </c:pt>
                <c:pt idx="21">
                  <c:v>-0.13998928364700769</c:v>
                </c:pt>
                <c:pt idx="22">
                  <c:v>-0.1610790935663679</c:v>
                </c:pt>
                <c:pt idx="23">
                  <c:v>-0.14046854178921733</c:v>
                </c:pt>
                <c:pt idx="24">
                  <c:v>-0.16226891065771509</c:v>
                </c:pt>
                <c:pt idx="25">
                  <c:v>-0.24101683298128246</c:v>
                </c:pt>
                <c:pt idx="26">
                  <c:v>-0.23252431228191334</c:v>
                </c:pt>
                <c:pt idx="27">
                  <c:v>-0.23844505673178151</c:v>
                </c:pt>
                <c:pt idx="28">
                  <c:v>-0.27753535418668968</c:v>
                </c:pt>
                <c:pt idx="29">
                  <c:v>-0.30301777801627822</c:v>
                </c:pt>
                <c:pt idx="30">
                  <c:v>-0.33155382701456126</c:v>
                </c:pt>
                <c:pt idx="31">
                  <c:v>-0.32592974036685857</c:v>
                </c:pt>
                <c:pt idx="32">
                  <c:v>-0.27228235777306564</c:v>
                </c:pt>
                <c:pt idx="33">
                  <c:v>-0.24435850474441864</c:v>
                </c:pt>
                <c:pt idx="34">
                  <c:v>-0.22966399817614289</c:v>
                </c:pt>
                <c:pt idx="35">
                  <c:v>-0.21541538146578032</c:v>
                </c:pt>
                <c:pt idx="36">
                  <c:v>-0.16751083183764981</c:v>
                </c:pt>
                <c:pt idx="37">
                  <c:v>-0.15908564160355357</c:v>
                </c:pt>
                <c:pt idx="38">
                  <c:v>-0.2345907277151611</c:v>
                </c:pt>
                <c:pt idx="39">
                  <c:v>-0.21766388009956328</c:v>
                </c:pt>
                <c:pt idx="40">
                  <c:v>-0.22553002196809552</c:v>
                </c:pt>
                <c:pt idx="41">
                  <c:v>-0.21379046265419935</c:v>
                </c:pt>
                <c:pt idx="42">
                  <c:v>-0.14420695700897393</c:v>
                </c:pt>
                <c:pt idx="43">
                  <c:v>-0.15133229029780909</c:v>
                </c:pt>
                <c:pt idx="44">
                  <c:v>-0.15300592481528352</c:v>
                </c:pt>
                <c:pt idx="45">
                  <c:v>-0.19287995490777166</c:v>
                </c:pt>
                <c:pt idx="46">
                  <c:v>-0.10690576917876521</c:v>
                </c:pt>
                <c:pt idx="47">
                  <c:v>-2.2842926582176376E-2</c:v>
                </c:pt>
                <c:pt idx="48">
                  <c:v>5.1817088943661924E-2</c:v>
                </c:pt>
                <c:pt idx="49">
                  <c:v>8.9644908776501026E-2</c:v>
                </c:pt>
                <c:pt idx="50">
                  <c:v>0.13910944525877994</c:v>
                </c:pt>
                <c:pt idx="51">
                  <c:v>5.5048266885279251E-2</c:v>
                </c:pt>
                <c:pt idx="52">
                  <c:v>9.8719751469732192E-2</c:v>
                </c:pt>
                <c:pt idx="53">
                  <c:v>7.9944762521843807E-2</c:v>
                </c:pt>
                <c:pt idx="54">
                  <c:v>1.0073939200249668E-2</c:v>
                </c:pt>
                <c:pt idx="55">
                  <c:v>-6.832264076467115E-2</c:v>
                </c:pt>
                <c:pt idx="56">
                  <c:v>-6.2532810723546939E-2</c:v>
                </c:pt>
                <c:pt idx="57">
                  <c:v>-1.7748398083002548E-2</c:v>
                </c:pt>
                <c:pt idx="58">
                  <c:v>-8.9712963932066875E-2</c:v>
                </c:pt>
                <c:pt idx="59">
                  <c:v>1.1336130623823631E-2</c:v>
                </c:pt>
                <c:pt idx="60">
                  <c:v>3.3920737168126047E-2</c:v>
                </c:pt>
                <c:pt idx="61">
                  <c:v>5.2115357147639582E-2</c:v>
                </c:pt>
                <c:pt idx="62">
                  <c:v>2.9268341223907913E-2</c:v>
                </c:pt>
                <c:pt idx="63">
                  <c:v>0.10390757618755048</c:v>
                </c:pt>
                <c:pt idx="64">
                  <c:v>8.5787758271071865E-2</c:v>
                </c:pt>
                <c:pt idx="65">
                  <c:v>0.12324495211461214</c:v>
                </c:pt>
                <c:pt idx="66">
                  <c:v>5.0073218402748781E-2</c:v>
                </c:pt>
                <c:pt idx="67">
                  <c:v>-3.2905367583799083E-2</c:v>
                </c:pt>
                <c:pt idx="68">
                  <c:v>-7.6466273241566907E-2</c:v>
                </c:pt>
                <c:pt idx="69">
                  <c:v>8.5540305185338866E-3</c:v>
                </c:pt>
                <c:pt idx="70">
                  <c:v>-7.7214581230042628E-2</c:v>
                </c:pt>
                <c:pt idx="71">
                  <c:v>-0.15699026905316926</c:v>
                </c:pt>
                <c:pt idx="72">
                  <c:v>-3.0974258989766551E-2</c:v>
                </c:pt>
                <c:pt idx="73">
                  <c:v>-8.1360638525786011E-2</c:v>
                </c:pt>
                <c:pt idx="74">
                  <c:v>-0.24811618331822102</c:v>
                </c:pt>
                <c:pt idx="75">
                  <c:v>-0.27552462692907898</c:v>
                </c:pt>
                <c:pt idx="76">
                  <c:v>-0.2022107722802261</c:v>
                </c:pt>
                <c:pt idx="77">
                  <c:v>-0.2412929797661536</c:v>
                </c:pt>
                <c:pt idx="78">
                  <c:v>-0.23853135217887603</c:v>
                </c:pt>
                <c:pt idx="79">
                  <c:v>-0.10779249155468823</c:v>
                </c:pt>
                <c:pt idx="80">
                  <c:v>-1.7317885501934929E-2</c:v>
                </c:pt>
                <c:pt idx="81">
                  <c:v>7.2639394332793608E-3</c:v>
                </c:pt>
                <c:pt idx="82">
                  <c:v>0.17541392456972546</c:v>
                </c:pt>
                <c:pt idx="83">
                  <c:v>0.25053409272283056</c:v>
                </c:pt>
                <c:pt idx="84">
                  <c:v>0.29279667095925688</c:v>
                </c:pt>
                <c:pt idx="85">
                  <c:v>0.31974171169690857</c:v>
                </c:pt>
                <c:pt idx="86">
                  <c:v>0.32246798788135839</c:v>
                </c:pt>
                <c:pt idx="87">
                  <c:v>0.44745220907864847</c:v>
                </c:pt>
                <c:pt idx="88">
                  <c:v>0.43361812795448951</c:v>
                </c:pt>
                <c:pt idx="89">
                  <c:v>0.4327444423605179</c:v>
                </c:pt>
                <c:pt idx="90">
                  <c:v>0.23138851055237569</c:v>
                </c:pt>
                <c:pt idx="91">
                  <c:v>0.21840333897081143</c:v>
                </c:pt>
                <c:pt idx="92">
                  <c:v>0.31667186209236603</c:v>
                </c:pt>
                <c:pt idx="93">
                  <c:v>0.2822835784523694</c:v>
                </c:pt>
                <c:pt idx="94">
                  <c:v>0.27112684755147509</c:v>
                </c:pt>
                <c:pt idx="95">
                  <c:v>0.34738606847857861</c:v>
                </c:pt>
                <c:pt idx="96">
                  <c:v>0.46666500354838669</c:v>
                </c:pt>
                <c:pt idx="97">
                  <c:v>0.46924431231239089</c:v>
                </c:pt>
                <c:pt idx="98">
                  <c:v>0.48532541448342797</c:v>
                </c:pt>
                <c:pt idx="99">
                  <c:v>0.52834313168607472</c:v>
                </c:pt>
                <c:pt idx="100">
                  <c:v>0.52445075378078199</c:v>
                </c:pt>
                <c:pt idx="101">
                  <c:v>0.62117940488546664</c:v>
                </c:pt>
                <c:pt idx="102">
                  <c:v>0.76118740414822783</c:v>
                </c:pt>
                <c:pt idx="103">
                  <c:v>0.69057203951326263</c:v>
                </c:pt>
                <c:pt idx="104">
                  <c:v>0.70092888400826259</c:v>
                </c:pt>
                <c:pt idx="105">
                  <c:v>0.83932023614405515</c:v>
                </c:pt>
                <c:pt idx="106">
                  <c:v>0.88967970356856996</c:v>
                </c:pt>
                <c:pt idx="107">
                  <c:v>1.1835076718354416</c:v>
                </c:pt>
                <c:pt idx="108">
                  <c:v>1.13562334234155</c:v>
                </c:pt>
                <c:pt idx="109">
                  <c:v>1.1549570521780748</c:v>
                </c:pt>
                <c:pt idx="110">
                  <c:v>1.1436419102932585</c:v>
                </c:pt>
                <c:pt idx="111">
                  <c:v>1.2106398788184078</c:v>
                </c:pt>
                <c:pt idx="112">
                  <c:v>1.1922477890523671</c:v>
                </c:pt>
                <c:pt idx="113">
                  <c:v>1.2248468866110092</c:v>
                </c:pt>
                <c:pt idx="114">
                  <c:v>1.1781947426102355</c:v>
                </c:pt>
                <c:pt idx="115">
                  <c:v>1.2029621489920663</c:v>
                </c:pt>
                <c:pt idx="116">
                  <c:v>1.0259371598991134</c:v>
                </c:pt>
                <c:pt idx="117">
                  <c:v>1.0125257339250355</c:v>
                </c:pt>
                <c:pt idx="118">
                  <c:v>0.99563763040333908</c:v>
                </c:pt>
                <c:pt idx="119">
                  <c:v>1.0215386929383392</c:v>
                </c:pt>
                <c:pt idx="120">
                  <c:v>1.1020994439231917</c:v>
                </c:pt>
                <c:pt idx="121">
                  <c:v>1.0802385867256477</c:v>
                </c:pt>
                <c:pt idx="122">
                  <c:v>1.0070181247975163</c:v>
                </c:pt>
                <c:pt idx="123">
                  <c:v>1.0410328297972982</c:v>
                </c:pt>
                <c:pt idx="124">
                  <c:v>0.97912609457883848</c:v>
                </c:pt>
                <c:pt idx="125">
                  <c:v>1.0136545076170931</c:v>
                </c:pt>
                <c:pt idx="126">
                  <c:v>1.0715596936109968</c:v>
                </c:pt>
                <c:pt idx="127">
                  <c:v>0.97910149142926906</c:v>
                </c:pt>
                <c:pt idx="128">
                  <c:v>0.91223220202363697</c:v>
                </c:pt>
                <c:pt idx="129">
                  <c:v>0.94784123700772782</c:v>
                </c:pt>
                <c:pt idx="130">
                  <c:v>0.9715958426171214</c:v>
                </c:pt>
                <c:pt idx="131">
                  <c:v>0.84779725954950058</c:v>
                </c:pt>
                <c:pt idx="132">
                  <c:v>0.81978635522619836</c:v>
                </c:pt>
                <c:pt idx="133">
                  <c:v>0.84854862716523327</c:v>
                </c:pt>
                <c:pt idx="134">
                  <c:v>0.82006652905652577</c:v>
                </c:pt>
                <c:pt idx="135">
                  <c:v>0.80141234015901663</c:v>
                </c:pt>
                <c:pt idx="136">
                  <c:v>0.83082772641411562</c:v>
                </c:pt>
                <c:pt idx="137">
                  <c:v>0.83499037563826528</c:v>
                </c:pt>
                <c:pt idx="138">
                  <c:v>0.81185986293454926</c:v>
                </c:pt>
                <c:pt idx="139">
                  <c:v>0.76013855094253358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40-427E-B7D7-987FBE492C65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-5.9585027592180193E-2</c:v>
                </c:pt>
                <c:pt idx="2">
                  <c:v>-2.3070541745483175E-2</c:v>
                </c:pt>
                <c:pt idx="3">
                  <c:v>-0.10200949565022238</c:v>
                </c:pt>
                <c:pt idx="4">
                  <c:v>-0.11381110720218451</c:v>
                </c:pt>
                <c:pt idx="5">
                  <c:v>7.4785516682378261E-4</c:v>
                </c:pt>
                <c:pt idx="6">
                  <c:v>0.11180947298757948</c:v>
                </c:pt>
                <c:pt idx="7">
                  <c:v>5.6872778924764202E-2</c:v>
                </c:pt>
                <c:pt idx="8">
                  <c:v>8.4162024589725298E-2</c:v>
                </c:pt>
                <c:pt idx="9">
                  <c:v>5.5113805201224268E-2</c:v>
                </c:pt>
                <c:pt idx="10">
                  <c:v>0.11459467575977227</c:v>
                </c:pt>
                <c:pt idx="11">
                  <c:v>-7.5772127217733146E-2</c:v>
                </c:pt>
                <c:pt idx="12">
                  <c:v>-8.1824980665992308E-2</c:v>
                </c:pt>
                <c:pt idx="13">
                  <c:v>-0.10632179313087303</c:v>
                </c:pt>
                <c:pt idx="14">
                  <c:v>-0.13888687789146337</c:v>
                </c:pt>
                <c:pt idx="15">
                  <c:v>-0.16220886071347909</c:v>
                </c:pt>
                <c:pt idx="16">
                  <c:v>-0.18069801567772639</c:v>
                </c:pt>
                <c:pt idx="17">
                  <c:v>-0.22672329522005841</c:v>
                </c:pt>
                <c:pt idx="18">
                  <c:v>-0.23209071273918136</c:v>
                </c:pt>
                <c:pt idx="19">
                  <c:v>-0.2837160599723898</c:v>
                </c:pt>
                <c:pt idx="20">
                  <c:v>-0.230316608059596</c:v>
                </c:pt>
                <c:pt idx="21">
                  <c:v>-6.3543575256100687E-2</c:v>
                </c:pt>
                <c:pt idx="22">
                  <c:v>-0.10571066189792885</c:v>
                </c:pt>
                <c:pt idx="23">
                  <c:v>-7.5634575661552336E-2</c:v>
                </c:pt>
                <c:pt idx="24">
                  <c:v>-9.7040191843322632E-2</c:v>
                </c:pt>
                <c:pt idx="25">
                  <c:v>-0.17185430008130409</c:v>
                </c:pt>
                <c:pt idx="26">
                  <c:v>-0.15811984634973239</c:v>
                </c:pt>
                <c:pt idx="27">
                  <c:v>-0.16959670386425474</c:v>
                </c:pt>
                <c:pt idx="28">
                  <c:v>-0.18246319136295447</c:v>
                </c:pt>
                <c:pt idx="29">
                  <c:v>-0.19353011111646756</c:v>
                </c:pt>
                <c:pt idx="30">
                  <c:v>-0.22106959144268024</c:v>
                </c:pt>
                <c:pt idx="31">
                  <c:v>-0.18629816628110393</c:v>
                </c:pt>
                <c:pt idx="32">
                  <c:v>-0.14255126154060441</c:v>
                </c:pt>
                <c:pt idx="33">
                  <c:v>-0.1237352984873719</c:v>
                </c:pt>
                <c:pt idx="34">
                  <c:v>-9.3836087438356114E-2</c:v>
                </c:pt>
                <c:pt idx="35">
                  <c:v>-7.9618314497387307E-2</c:v>
                </c:pt>
                <c:pt idx="36">
                  <c:v>-2.57362389472576E-2</c:v>
                </c:pt>
                <c:pt idx="37">
                  <c:v>-1.0981331907632791E-2</c:v>
                </c:pt>
                <c:pt idx="38">
                  <c:v>-0.10534092023553621</c:v>
                </c:pt>
                <c:pt idx="39">
                  <c:v>-8.6706464727965921E-2</c:v>
                </c:pt>
                <c:pt idx="40">
                  <c:v>-9.3949541361270275E-2</c:v>
                </c:pt>
                <c:pt idx="41">
                  <c:v>-9.2989784569903561E-2</c:v>
                </c:pt>
                <c:pt idx="42">
                  <c:v>4.1821845906947486E-3</c:v>
                </c:pt>
                <c:pt idx="43">
                  <c:v>-1.6259267252437301E-2</c:v>
                </c:pt>
                <c:pt idx="44">
                  <c:v>7.8009754729300475E-3</c:v>
                </c:pt>
                <c:pt idx="45">
                  <c:v>-2.6190346859207025E-2</c:v>
                </c:pt>
                <c:pt idx="46">
                  <c:v>6.898107276362285E-2</c:v>
                </c:pt>
                <c:pt idx="47">
                  <c:v>0.15564998715683198</c:v>
                </c:pt>
                <c:pt idx="48">
                  <c:v>0.2196890956228098</c:v>
                </c:pt>
                <c:pt idx="49">
                  <c:v>0.24647024083492888</c:v>
                </c:pt>
                <c:pt idx="50">
                  <c:v>0.29851513409583508</c:v>
                </c:pt>
                <c:pt idx="51">
                  <c:v>0.21572013514690541</c:v>
                </c:pt>
                <c:pt idx="52">
                  <c:v>0.26120813936595649</c:v>
                </c:pt>
                <c:pt idx="53">
                  <c:v>0.23844820722351309</c:v>
                </c:pt>
                <c:pt idx="54">
                  <c:v>0.17169220519744977</c:v>
                </c:pt>
                <c:pt idx="55">
                  <c:v>9.8792881823824896E-2</c:v>
                </c:pt>
                <c:pt idx="56">
                  <c:v>0.10181720496513552</c:v>
                </c:pt>
                <c:pt idx="57">
                  <c:v>0.13543008148591479</c:v>
                </c:pt>
                <c:pt idx="58">
                  <c:v>7.0614488265537553E-2</c:v>
                </c:pt>
                <c:pt idx="59">
                  <c:v>0.18558164227632884</c:v>
                </c:pt>
                <c:pt idx="60">
                  <c:v>0.21042779103696993</c:v>
                </c:pt>
                <c:pt idx="61">
                  <c:v>0.23232533430255892</c:v>
                </c:pt>
                <c:pt idx="62">
                  <c:v>0.22666807112053891</c:v>
                </c:pt>
                <c:pt idx="63">
                  <c:v>0.30692269985619025</c:v>
                </c:pt>
                <c:pt idx="64">
                  <c:v>0.27653371315391767</c:v>
                </c:pt>
                <c:pt idx="65">
                  <c:v>0.31764781293579913</c:v>
                </c:pt>
                <c:pt idx="66">
                  <c:v>0.25767148835601666</c:v>
                </c:pt>
                <c:pt idx="67">
                  <c:v>0.16629988302193027</c:v>
                </c:pt>
                <c:pt idx="68">
                  <c:v>0.1096169684149305</c:v>
                </c:pt>
                <c:pt idx="69">
                  <c:v>0.20372829899342987</c:v>
                </c:pt>
                <c:pt idx="70">
                  <c:v>0.11687847649251014</c:v>
                </c:pt>
                <c:pt idx="71">
                  <c:v>4.6410892129679568E-2</c:v>
                </c:pt>
                <c:pt idx="72">
                  <c:v>0.18160139394695118</c:v>
                </c:pt>
                <c:pt idx="73">
                  <c:v>0.17727127351198796</c:v>
                </c:pt>
                <c:pt idx="74">
                  <c:v>-8.9397991724013415E-4</c:v>
                </c:pt>
                <c:pt idx="75">
                  <c:v>-4.4061740731627941E-2</c:v>
                </c:pt>
                <c:pt idx="76">
                  <c:v>-7.506769289223704E-3</c:v>
                </c:pt>
                <c:pt idx="77">
                  <c:v>-7.8333324266661203E-2</c:v>
                </c:pt>
                <c:pt idx="78">
                  <c:v>-5.2735354372495082E-2</c:v>
                </c:pt>
                <c:pt idx="79">
                  <c:v>9.3081970457012719E-2</c:v>
                </c:pt>
                <c:pt idx="80">
                  <c:v>0.19412819130930611</c:v>
                </c:pt>
                <c:pt idx="81">
                  <c:v>0.21954165070850348</c:v>
                </c:pt>
                <c:pt idx="82">
                  <c:v>0.40139637964274499</c:v>
                </c:pt>
                <c:pt idx="83">
                  <c:v>0.46904805992871923</c:v>
                </c:pt>
                <c:pt idx="84">
                  <c:v>0.51308916628443357</c:v>
                </c:pt>
                <c:pt idx="85">
                  <c:v>0.53236673753594621</c:v>
                </c:pt>
                <c:pt idx="86">
                  <c:v>0.53391906332114902</c:v>
                </c:pt>
                <c:pt idx="87">
                  <c:v>0.63296178422085736</c:v>
                </c:pt>
                <c:pt idx="88">
                  <c:v>0.59119912418709297</c:v>
                </c:pt>
                <c:pt idx="89">
                  <c:v>0.59579995232689698</c:v>
                </c:pt>
                <c:pt idx="90">
                  <c:v>0.37843816372941097</c:v>
                </c:pt>
                <c:pt idx="91">
                  <c:v>0.38373436252718718</c:v>
                </c:pt>
                <c:pt idx="92">
                  <c:v>0.49044418003821627</c:v>
                </c:pt>
                <c:pt idx="93">
                  <c:v>0.4570140062499366</c:v>
                </c:pt>
                <c:pt idx="94">
                  <c:v>0.41740708586646369</c:v>
                </c:pt>
                <c:pt idx="95">
                  <c:v>0.475157829919099</c:v>
                </c:pt>
                <c:pt idx="96">
                  <c:v>0.61405793686873844</c:v>
                </c:pt>
                <c:pt idx="97">
                  <c:v>0.60909240353905891</c:v>
                </c:pt>
                <c:pt idx="98">
                  <c:v>0.60683534213948598</c:v>
                </c:pt>
                <c:pt idx="99">
                  <c:v>0.61761631863924205</c:v>
                </c:pt>
                <c:pt idx="100">
                  <c:v>0.59343013455144278</c:v>
                </c:pt>
                <c:pt idx="101">
                  <c:v>0.70085371679914554</c:v>
                </c:pt>
                <c:pt idx="102">
                  <c:v>0.85601060219025271</c:v>
                </c:pt>
                <c:pt idx="103">
                  <c:v>0.78513690002878167</c:v>
                </c:pt>
                <c:pt idx="104">
                  <c:v>0.78823240900861791</c:v>
                </c:pt>
                <c:pt idx="105">
                  <c:v>0.94628522745062227</c:v>
                </c:pt>
                <c:pt idx="106">
                  <c:v>1.0067268585403923</c:v>
                </c:pt>
                <c:pt idx="107">
                  <c:v>1.3306124713266692</c:v>
                </c:pt>
                <c:pt idx="108">
                  <c:v>1.2772902692074342</c:v>
                </c:pt>
                <c:pt idx="109">
                  <c:v>1.2907190734342693</c:v>
                </c:pt>
                <c:pt idx="110">
                  <c:v>1.2804900396275554</c:v>
                </c:pt>
                <c:pt idx="111">
                  <c:v>1.3423043006127962</c:v>
                </c:pt>
                <c:pt idx="112">
                  <c:v>1.2886063296124695</c:v>
                </c:pt>
                <c:pt idx="113">
                  <c:v>1.329510815277813</c:v>
                </c:pt>
                <c:pt idx="114">
                  <c:v>1.3368410693088397</c:v>
                </c:pt>
                <c:pt idx="115">
                  <c:v>1.3476024394745956</c:v>
                </c:pt>
                <c:pt idx="116">
                  <c:v>1.2800875658398834</c:v>
                </c:pt>
                <c:pt idx="117">
                  <c:v>1.2852807233700985</c:v>
                </c:pt>
                <c:pt idx="118">
                  <c:v>1.2435352514583398</c:v>
                </c:pt>
                <c:pt idx="119">
                  <c:v>1.2511208404062419</c:v>
                </c:pt>
                <c:pt idx="120">
                  <c:v>1.3398797763639871</c:v>
                </c:pt>
                <c:pt idx="121">
                  <c:v>1.3308284072915595</c:v>
                </c:pt>
                <c:pt idx="122">
                  <c:v>1.2381606121184014</c:v>
                </c:pt>
                <c:pt idx="123">
                  <c:v>1.2631782821024662</c:v>
                </c:pt>
                <c:pt idx="124">
                  <c:v>1.2205412644932219</c:v>
                </c:pt>
                <c:pt idx="125">
                  <c:v>1.2549056958773348</c:v>
                </c:pt>
                <c:pt idx="126">
                  <c:v>1.3265528955148476</c:v>
                </c:pt>
                <c:pt idx="127">
                  <c:v>1.2761099398929523</c:v>
                </c:pt>
                <c:pt idx="128">
                  <c:v>1.2042057263188695</c:v>
                </c:pt>
                <c:pt idx="129">
                  <c:v>1.2462314458431052</c:v>
                </c:pt>
                <c:pt idx="130">
                  <c:v>1.2757359083010289</c:v>
                </c:pt>
                <c:pt idx="131">
                  <c:v>1.1357603487421675</c:v>
                </c:pt>
                <c:pt idx="132">
                  <c:v>1.1109485621269737</c:v>
                </c:pt>
                <c:pt idx="133">
                  <c:v>1.1400213883636083</c:v>
                </c:pt>
                <c:pt idx="134">
                  <c:v>1.1199366452059929</c:v>
                </c:pt>
                <c:pt idx="135">
                  <c:v>1.1194097745769029</c:v>
                </c:pt>
                <c:pt idx="136">
                  <c:v>1.1501941160002533</c:v>
                </c:pt>
                <c:pt idx="137">
                  <c:v>1.1537536698765793</c:v>
                </c:pt>
                <c:pt idx="138">
                  <c:v>1.1160936257667897</c:v>
                </c:pt>
                <c:pt idx="139">
                  <c:v>1.0463947988511777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40-427E-B7D7-987FBE492C65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-0.10150185903377298</c:v>
                </c:pt>
                <c:pt idx="2">
                  <c:v>-6.6639048790960026E-2</c:v>
                </c:pt>
                <c:pt idx="3">
                  <c:v>-0.12305382995278578</c:v>
                </c:pt>
                <c:pt idx="4">
                  <c:v>-0.17171893244065084</c:v>
                </c:pt>
                <c:pt idx="5">
                  <c:v>-9.0639348176373091E-2</c:v>
                </c:pt>
                <c:pt idx="6">
                  <c:v>3.2468027706018615E-2</c:v>
                </c:pt>
                <c:pt idx="7">
                  <c:v>-1.7518767378374642E-2</c:v>
                </c:pt>
                <c:pt idx="8">
                  <c:v>-1.9021320444726417E-3</c:v>
                </c:pt>
                <c:pt idx="9">
                  <c:v>-2.3935625501350231E-2</c:v>
                </c:pt>
                <c:pt idx="10">
                  <c:v>3.7424379588392259E-2</c:v>
                </c:pt>
                <c:pt idx="11">
                  <c:v>-0.17414370275227115</c:v>
                </c:pt>
                <c:pt idx="12">
                  <c:v>-0.18540789392130352</c:v>
                </c:pt>
                <c:pt idx="13">
                  <c:v>-0.21461134137667054</c:v>
                </c:pt>
                <c:pt idx="14">
                  <c:v>-0.17314200073902453</c:v>
                </c:pt>
                <c:pt idx="15">
                  <c:v>-0.19927370164813213</c:v>
                </c:pt>
                <c:pt idx="16">
                  <c:v>-0.22012894024956531</c:v>
                </c:pt>
                <c:pt idx="17">
                  <c:v>-0.2320801698617537</c:v>
                </c:pt>
                <c:pt idx="18">
                  <c:v>-0.26659032338770855</c:v>
                </c:pt>
                <c:pt idx="19">
                  <c:v>-0.34022190147032522</c:v>
                </c:pt>
                <c:pt idx="20">
                  <c:v>-0.26461769414341296</c:v>
                </c:pt>
                <c:pt idx="21">
                  <c:v>-8.6597422593202467E-2</c:v>
                </c:pt>
                <c:pt idx="22">
                  <c:v>-0.1368818470652188</c:v>
                </c:pt>
                <c:pt idx="23">
                  <c:v>-0.12320812719910912</c:v>
                </c:pt>
                <c:pt idx="24">
                  <c:v>-0.15634047043520591</c:v>
                </c:pt>
                <c:pt idx="25">
                  <c:v>-0.23165467122704339</c:v>
                </c:pt>
                <c:pt idx="26">
                  <c:v>-0.18717534085529874</c:v>
                </c:pt>
                <c:pt idx="27">
                  <c:v>-0.21310692208555312</c:v>
                </c:pt>
                <c:pt idx="28">
                  <c:v>-0.21327666875162862</c:v>
                </c:pt>
                <c:pt idx="29">
                  <c:v>-0.2072685302256943</c:v>
                </c:pt>
                <c:pt idx="30">
                  <c:v>-0.23266191731417815</c:v>
                </c:pt>
                <c:pt idx="31">
                  <c:v>-0.16448870719959377</c:v>
                </c:pt>
                <c:pt idx="32">
                  <c:v>-0.12388061310890361</c:v>
                </c:pt>
                <c:pt idx="33">
                  <c:v>-9.8363958729409021E-2</c:v>
                </c:pt>
                <c:pt idx="34">
                  <c:v>-6.5712123810751394E-2</c:v>
                </c:pt>
                <c:pt idx="35">
                  <c:v>-5.4029006361126043E-2</c:v>
                </c:pt>
                <c:pt idx="36">
                  <c:v>2.2144929617265649E-3</c:v>
                </c:pt>
                <c:pt idx="37">
                  <c:v>-4.4394355918789243E-2</c:v>
                </c:pt>
                <c:pt idx="38">
                  <c:v>-0.1392288968541657</c:v>
                </c:pt>
                <c:pt idx="39">
                  <c:v>-0.12268764986645546</c:v>
                </c:pt>
                <c:pt idx="40">
                  <c:v>-0.11752441699990196</c:v>
                </c:pt>
                <c:pt idx="41">
                  <c:v>-0.13775802288256542</c:v>
                </c:pt>
                <c:pt idx="42">
                  <c:v>-6.1082324653769116E-2</c:v>
                </c:pt>
                <c:pt idx="43">
                  <c:v>-5.0916005099864062E-2</c:v>
                </c:pt>
                <c:pt idx="44">
                  <c:v>-1.9991490188269581E-2</c:v>
                </c:pt>
                <c:pt idx="45">
                  <c:v>-5.0589181025443367E-2</c:v>
                </c:pt>
                <c:pt idx="46">
                  <c:v>4.5119415144949646E-2</c:v>
                </c:pt>
                <c:pt idx="47">
                  <c:v>0.17653024484765384</c:v>
                </c:pt>
                <c:pt idx="48">
                  <c:v>0.24689066402794807</c:v>
                </c:pt>
                <c:pt idx="49">
                  <c:v>0.2860806377876618</c:v>
                </c:pt>
                <c:pt idx="50">
                  <c:v>0.34950488773454719</c:v>
                </c:pt>
                <c:pt idx="51">
                  <c:v>0.24253698965497228</c:v>
                </c:pt>
                <c:pt idx="52">
                  <c:v>0.2931027750017382</c:v>
                </c:pt>
                <c:pt idx="53">
                  <c:v>0.27885606734697699</c:v>
                </c:pt>
                <c:pt idx="54">
                  <c:v>0.20872365373471416</c:v>
                </c:pt>
                <c:pt idx="55">
                  <c:v>0.17258708616287571</c:v>
                </c:pt>
                <c:pt idx="56">
                  <c:v>0.18708459453602735</c:v>
                </c:pt>
                <c:pt idx="57">
                  <c:v>0.233217253292477</c:v>
                </c:pt>
                <c:pt idx="58">
                  <c:v>0.17693017425512711</c:v>
                </c:pt>
                <c:pt idx="59">
                  <c:v>0.31968435004607965</c:v>
                </c:pt>
                <c:pt idx="60">
                  <c:v>0.39872593262467004</c:v>
                </c:pt>
                <c:pt idx="61">
                  <c:v>0.42222013653838014</c:v>
                </c:pt>
                <c:pt idx="62">
                  <c:v>0.41928340230247324</c:v>
                </c:pt>
                <c:pt idx="63">
                  <c:v>0.4921881121076005</c:v>
                </c:pt>
                <c:pt idx="64">
                  <c:v>0.45838583375767727</c:v>
                </c:pt>
                <c:pt idx="65">
                  <c:v>0.50425918148342708</c:v>
                </c:pt>
                <c:pt idx="66">
                  <c:v>0.45409384894924021</c:v>
                </c:pt>
                <c:pt idx="67">
                  <c:v>0.3554771451118135</c:v>
                </c:pt>
                <c:pt idx="68">
                  <c:v>0.3634187889594051</c:v>
                </c:pt>
                <c:pt idx="69">
                  <c:v>0.52843517032834963</c:v>
                </c:pt>
                <c:pt idx="70">
                  <c:v>0.44710492235181742</c:v>
                </c:pt>
                <c:pt idx="71">
                  <c:v>0.36661862658890537</c:v>
                </c:pt>
                <c:pt idx="72">
                  <c:v>0.5155922200057208</c:v>
                </c:pt>
                <c:pt idx="73">
                  <c:v>0.57344536164721172</c:v>
                </c:pt>
                <c:pt idx="74">
                  <c:v>0.38229958151216925</c:v>
                </c:pt>
                <c:pt idx="75">
                  <c:v>0.32456477552275254</c:v>
                </c:pt>
                <c:pt idx="76">
                  <c:v>0.34808405624341143</c:v>
                </c:pt>
                <c:pt idx="77">
                  <c:v>0.28529196530895473</c:v>
                </c:pt>
                <c:pt idx="78">
                  <c:v>0.28205853925267388</c:v>
                </c:pt>
                <c:pt idx="79">
                  <c:v>0.41759405321587451</c:v>
                </c:pt>
                <c:pt idx="80">
                  <c:v>0.50824537711164741</c:v>
                </c:pt>
                <c:pt idx="81">
                  <c:v>0.52368435232303501</c:v>
                </c:pt>
                <c:pt idx="82">
                  <c:v>0.71076955265122721</c:v>
                </c:pt>
                <c:pt idx="83">
                  <c:v>0.78534533048136834</c:v>
                </c:pt>
                <c:pt idx="84">
                  <c:v>0.87330435446203514</c:v>
                </c:pt>
                <c:pt idx="85">
                  <c:v>0.88972455409368389</c:v>
                </c:pt>
                <c:pt idx="86">
                  <c:v>0.90457388246850901</c:v>
                </c:pt>
                <c:pt idx="87">
                  <c:v>1.0063720187261649</c:v>
                </c:pt>
                <c:pt idx="88">
                  <c:v>0.97914367927935231</c:v>
                </c:pt>
                <c:pt idx="89">
                  <c:v>0.98509360721762196</c:v>
                </c:pt>
                <c:pt idx="90">
                  <c:v>0.72816863718167635</c:v>
                </c:pt>
                <c:pt idx="91">
                  <c:v>0.7259099325656736</c:v>
                </c:pt>
                <c:pt idx="92">
                  <c:v>0.82746655415583503</c:v>
                </c:pt>
                <c:pt idx="93">
                  <c:v>0.79827824759381028</c:v>
                </c:pt>
                <c:pt idx="94">
                  <c:v>0.75562255330615391</c:v>
                </c:pt>
                <c:pt idx="95">
                  <c:v>0.82591305544378146</c:v>
                </c:pt>
                <c:pt idx="96">
                  <c:v>0.92198276901523424</c:v>
                </c:pt>
                <c:pt idx="97">
                  <c:v>0.90213601970524226</c:v>
                </c:pt>
                <c:pt idx="98">
                  <c:v>0.89898156907177096</c:v>
                </c:pt>
                <c:pt idx="99">
                  <c:v>0.91846836742457361</c:v>
                </c:pt>
                <c:pt idx="100">
                  <c:v>0.88591363155637137</c:v>
                </c:pt>
                <c:pt idx="101">
                  <c:v>1.0093389292826054</c:v>
                </c:pt>
                <c:pt idx="102">
                  <c:v>1.1719742190477436</c:v>
                </c:pt>
                <c:pt idx="103">
                  <c:v>1.0925647195617074</c:v>
                </c:pt>
                <c:pt idx="104">
                  <c:v>1.1079018716191216</c:v>
                </c:pt>
                <c:pt idx="105">
                  <c:v>1.3018373241542061</c:v>
                </c:pt>
                <c:pt idx="106">
                  <c:v>1.3593287396915701</c:v>
                </c:pt>
                <c:pt idx="107">
                  <c:v>1.556604511654115</c:v>
                </c:pt>
                <c:pt idx="108">
                  <c:v>1.5094159790724817</c:v>
                </c:pt>
                <c:pt idx="109">
                  <c:v>1.5420830911623691</c:v>
                </c:pt>
                <c:pt idx="110">
                  <c:v>1.5304082328141677</c:v>
                </c:pt>
                <c:pt idx="111">
                  <c:v>1.5912124115885846</c:v>
                </c:pt>
                <c:pt idx="112">
                  <c:v>1.5334518965948183</c:v>
                </c:pt>
                <c:pt idx="113">
                  <c:v>1.5797217173743583</c:v>
                </c:pt>
                <c:pt idx="114">
                  <c:v>1.5712918845010089</c:v>
                </c:pt>
                <c:pt idx="115">
                  <c:v>1.6084529306720809</c:v>
                </c:pt>
                <c:pt idx="116">
                  <c:v>1.5378680179879718</c:v>
                </c:pt>
                <c:pt idx="117">
                  <c:v>1.5464190465013616</c:v>
                </c:pt>
                <c:pt idx="118">
                  <c:v>1.4997606627915765</c:v>
                </c:pt>
                <c:pt idx="119">
                  <c:v>1.5019212267011575</c:v>
                </c:pt>
                <c:pt idx="120">
                  <c:v>1.5037937419692697</c:v>
                </c:pt>
                <c:pt idx="121">
                  <c:v>1.4933374706235707</c:v>
                </c:pt>
                <c:pt idx="122">
                  <c:v>1.3874209634309183</c:v>
                </c:pt>
                <c:pt idx="123">
                  <c:v>1.4171895205367122</c:v>
                </c:pt>
                <c:pt idx="124">
                  <c:v>1.3659504375285909</c:v>
                </c:pt>
                <c:pt idx="125">
                  <c:v>1.4098529712288534</c:v>
                </c:pt>
                <c:pt idx="126">
                  <c:v>1.4682206699785403</c:v>
                </c:pt>
                <c:pt idx="127">
                  <c:v>1.4225586384381141</c:v>
                </c:pt>
                <c:pt idx="128">
                  <c:v>1.3399877422214248</c:v>
                </c:pt>
                <c:pt idx="129">
                  <c:v>1.387363943493938</c:v>
                </c:pt>
                <c:pt idx="130">
                  <c:v>1.4414950940990905</c:v>
                </c:pt>
                <c:pt idx="131">
                  <c:v>1.2901202172408839</c:v>
                </c:pt>
                <c:pt idx="132">
                  <c:v>1.2649652246225243</c:v>
                </c:pt>
                <c:pt idx="133">
                  <c:v>1.3008148905158188</c:v>
                </c:pt>
                <c:pt idx="134">
                  <c:v>1.2810937951978834</c:v>
                </c:pt>
                <c:pt idx="135">
                  <c:v>1.2738685362489242</c:v>
                </c:pt>
                <c:pt idx="136">
                  <c:v>1.2942246539833422</c:v>
                </c:pt>
                <c:pt idx="137">
                  <c:v>1.3107128435858337</c:v>
                </c:pt>
                <c:pt idx="138">
                  <c:v>1.2965213637054533</c:v>
                </c:pt>
                <c:pt idx="139">
                  <c:v>1.2385883076725668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40-427E-B7D7-987FBE492C65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-3.948627460180365E-2</c:v>
                </c:pt>
                <c:pt idx="2">
                  <c:v>1.635939563415293E-2</c:v>
                </c:pt>
                <c:pt idx="3">
                  <c:v>-5.7183148744793237E-2</c:v>
                </c:pt>
                <c:pt idx="4">
                  <c:v>-0.13009224072820846</c:v>
                </c:pt>
                <c:pt idx="5">
                  <c:v>-4.5899442182431791E-2</c:v>
                </c:pt>
                <c:pt idx="6">
                  <c:v>0.10876983088338331</c:v>
                </c:pt>
                <c:pt idx="7">
                  <c:v>5.8068780283324559E-2</c:v>
                </c:pt>
                <c:pt idx="8">
                  <c:v>6.8858400920405904E-2</c:v>
                </c:pt>
                <c:pt idx="9">
                  <c:v>7.2520983551137772E-2</c:v>
                </c:pt>
                <c:pt idx="10">
                  <c:v>4.3144004172595424E-3</c:v>
                </c:pt>
                <c:pt idx="11">
                  <c:v>-0.22976882345627708</c:v>
                </c:pt>
                <c:pt idx="12">
                  <c:v>-0.18681615375879584</c:v>
                </c:pt>
                <c:pt idx="13">
                  <c:v>-0.22277599582941965</c:v>
                </c:pt>
                <c:pt idx="14">
                  <c:v>-0.20382310794425962</c:v>
                </c:pt>
                <c:pt idx="15">
                  <c:v>-0.21594256649482096</c:v>
                </c:pt>
                <c:pt idx="16">
                  <c:v>-0.12684763509453864</c:v>
                </c:pt>
                <c:pt idx="17">
                  <c:v>-0.14445388450772345</c:v>
                </c:pt>
                <c:pt idx="18">
                  <c:v>-0.18221701598314891</c:v>
                </c:pt>
                <c:pt idx="19">
                  <c:v>-0.20641854112682198</c:v>
                </c:pt>
                <c:pt idx="20">
                  <c:v>-0.15663987182817507</c:v>
                </c:pt>
                <c:pt idx="21">
                  <c:v>4.9023269995078139E-2</c:v>
                </c:pt>
                <c:pt idx="22">
                  <c:v>-3.4691766309313532E-3</c:v>
                </c:pt>
                <c:pt idx="23">
                  <c:v>1.7592921214226755E-2</c:v>
                </c:pt>
                <c:pt idx="24">
                  <c:v>-4.1963739455638735E-3</c:v>
                </c:pt>
                <c:pt idx="25">
                  <c:v>-0.10816327005217546</c:v>
                </c:pt>
                <c:pt idx="26">
                  <c:v>-8.2417615280148238E-2</c:v>
                </c:pt>
                <c:pt idx="27">
                  <c:v>-0.11322309218189477</c:v>
                </c:pt>
                <c:pt idx="28">
                  <c:v>-9.4903062640430483E-2</c:v>
                </c:pt>
                <c:pt idx="29">
                  <c:v>-7.6870103999285344E-2</c:v>
                </c:pt>
                <c:pt idx="30">
                  <c:v>-0.14198149992012579</c:v>
                </c:pt>
                <c:pt idx="31">
                  <c:v>-0.14333222036288415</c:v>
                </c:pt>
                <c:pt idx="32">
                  <c:v>-9.5483436221418028E-2</c:v>
                </c:pt>
                <c:pt idx="33">
                  <c:v>-6.9292301704163325E-2</c:v>
                </c:pt>
                <c:pt idx="34">
                  <c:v>-4.9066482598779909E-2</c:v>
                </c:pt>
                <c:pt idx="35">
                  <c:v>-4.5641661181125087E-2</c:v>
                </c:pt>
                <c:pt idx="36">
                  <c:v>9.6914841423718159E-3</c:v>
                </c:pt>
                <c:pt idx="37">
                  <c:v>-6.4609430864807055E-2</c:v>
                </c:pt>
                <c:pt idx="38">
                  <c:v>-0.18460779708879235</c:v>
                </c:pt>
                <c:pt idx="39">
                  <c:v>-0.15458620462616365</c:v>
                </c:pt>
                <c:pt idx="40">
                  <c:v>-0.1619646852977274</c:v>
                </c:pt>
                <c:pt idx="41">
                  <c:v>-0.17047586159907469</c:v>
                </c:pt>
                <c:pt idx="42">
                  <c:v>-0.14493915553605702</c:v>
                </c:pt>
                <c:pt idx="43">
                  <c:v>-0.13050202320212156</c:v>
                </c:pt>
                <c:pt idx="44">
                  <c:v>-0.11215054523689813</c:v>
                </c:pt>
                <c:pt idx="45">
                  <c:v>-0.16606243068084214</c:v>
                </c:pt>
                <c:pt idx="46">
                  <c:v>-7.0968840496126256E-2</c:v>
                </c:pt>
                <c:pt idx="47">
                  <c:v>7.5679083323368534E-2</c:v>
                </c:pt>
                <c:pt idx="48">
                  <c:v>4.2449028287780674E-2</c:v>
                </c:pt>
                <c:pt idx="49">
                  <c:v>9.1968648532937916E-2</c:v>
                </c:pt>
                <c:pt idx="50">
                  <c:v>0.16272607639816039</c:v>
                </c:pt>
                <c:pt idx="51">
                  <c:v>-2.4935563579469106E-2</c:v>
                </c:pt>
                <c:pt idx="52">
                  <c:v>2.0059172014475497E-2</c:v>
                </c:pt>
                <c:pt idx="53">
                  <c:v>1.368261287378859E-2</c:v>
                </c:pt>
                <c:pt idx="54">
                  <c:v>-2.4149624254684868E-2</c:v>
                </c:pt>
                <c:pt idx="55">
                  <c:v>-7.1850560878184894E-2</c:v>
                </c:pt>
                <c:pt idx="56">
                  <c:v>-4.9742731331545068E-2</c:v>
                </c:pt>
                <c:pt idx="57">
                  <c:v>-3.4536564722540415E-2</c:v>
                </c:pt>
                <c:pt idx="58">
                  <c:v>-0.10507030600548875</c:v>
                </c:pt>
                <c:pt idx="59">
                  <c:v>3.6314634838057636E-2</c:v>
                </c:pt>
                <c:pt idx="60">
                  <c:v>0.12023012499509274</c:v>
                </c:pt>
                <c:pt idx="61">
                  <c:v>0.14568530864717813</c:v>
                </c:pt>
                <c:pt idx="62">
                  <c:v>0.16415770952454931</c:v>
                </c:pt>
                <c:pt idx="63">
                  <c:v>0.25089583842329671</c:v>
                </c:pt>
                <c:pt idx="64">
                  <c:v>0.21923468661901757</c:v>
                </c:pt>
                <c:pt idx="65">
                  <c:v>0.27624695415867329</c:v>
                </c:pt>
                <c:pt idx="66">
                  <c:v>0.20867622315900219</c:v>
                </c:pt>
                <c:pt idx="67">
                  <c:v>0.10853702118790809</c:v>
                </c:pt>
                <c:pt idx="68">
                  <c:v>0.11159557348406307</c:v>
                </c:pt>
                <c:pt idx="69">
                  <c:v>0.28164499309284929</c:v>
                </c:pt>
                <c:pt idx="70">
                  <c:v>0.19383956474538411</c:v>
                </c:pt>
                <c:pt idx="71">
                  <c:v>0.11550900465542163</c:v>
                </c:pt>
                <c:pt idx="72">
                  <c:v>0.28901564019007875</c:v>
                </c:pt>
                <c:pt idx="73">
                  <c:v>0.36716946577963194</c:v>
                </c:pt>
                <c:pt idx="74">
                  <c:v>0.18785150958285343</c:v>
                </c:pt>
                <c:pt idx="75">
                  <c:v>0.14335770760727212</c:v>
                </c:pt>
                <c:pt idx="76">
                  <c:v>0.184562476163384</c:v>
                </c:pt>
                <c:pt idx="77">
                  <c:v>0.13276043824529724</c:v>
                </c:pt>
                <c:pt idx="78">
                  <c:v>0.10308659520179847</c:v>
                </c:pt>
                <c:pt idx="79">
                  <c:v>0.23964288269077857</c:v>
                </c:pt>
                <c:pt idx="80">
                  <c:v>0.32990258336811307</c:v>
                </c:pt>
                <c:pt idx="81">
                  <c:v>0.36269496035444737</c:v>
                </c:pt>
                <c:pt idx="82">
                  <c:v>0.57459265498454715</c:v>
                </c:pt>
                <c:pt idx="83">
                  <c:v>0.69032202671830523</c:v>
                </c:pt>
                <c:pt idx="84">
                  <c:v>0.67230450829306343</c:v>
                </c:pt>
                <c:pt idx="85">
                  <c:v>0.67514740068077317</c:v>
                </c:pt>
                <c:pt idx="86">
                  <c:v>0.70319941917240814</c:v>
                </c:pt>
                <c:pt idx="87">
                  <c:v>0.81669216409478629</c:v>
                </c:pt>
                <c:pt idx="88">
                  <c:v>0.79966091943481588</c:v>
                </c:pt>
                <c:pt idx="89">
                  <c:v>0.80246936689159343</c:v>
                </c:pt>
                <c:pt idx="90">
                  <c:v>0.54097503240574119</c:v>
                </c:pt>
                <c:pt idx="91">
                  <c:v>0.53926618927416636</c:v>
                </c:pt>
                <c:pt idx="92">
                  <c:v>0.65444054774396088</c:v>
                </c:pt>
                <c:pt idx="93">
                  <c:v>0.62818703631561923</c:v>
                </c:pt>
                <c:pt idx="94">
                  <c:v>0.58055573373679248</c:v>
                </c:pt>
                <c:pt idx="95">
                  <c:v>0.62098894881378586</c:v>
                </c:pt>
                <c:pt idx="96">
                  <c:v>0.62295286274724437</c:v>
                </c:pt>
                <c:pt idx="97">
                  <c:v>0.59212687931799513</c:v>
                </c:pt>
                <c:pt idx="98">
                  <c:v>0.64905734336901266</c:v>
                </c:pt>
                <c:pt idx="99">
                  <c:v>0.63245008477453024</c:v>
                </c:pt>
                <c:pt idx="100">
                  <c:v>0.61460182882133729</c:v>
                </c:pt>
                <c:pt idx="101">
                  <c:v>0.72026432715052169</c:v>
                </c:pt>
                <c:pt idx="102">
                  <c:v>0.8625631510320737</c:v>
                </c:pt>
                <c:pt idx="103">
                  <c:v>0.76762637470255379</c:v>
                </c:pt>
                <c:pt idx="104">
                  <c:v>0.78280285352509205</c:v>
                </c:pt>
                <c:pt idx="105">
                  <c:v>1.0218348818777667</c:v>
                </c:pt>
                <c:pt idx="106">
                  <c:v>1.0601042081520398</c:v>
                </c:pt>
                <c:pt idx="107">
                  <c:v>1.2689349876303013</c:v>
                </c:pt>
                <c:pt idx="108">
                  <c:v>1.2283455205892406</c:v>
                </c:pt>
                <c:pt idx="109">
                  <c:v>1.2514463995467264</c:v>
                </c:pt>
                <c:pt idx="110">
                  <c:v>1.2199914554348059</c:v>
                </c:pt>
                <c:pt idx="111">
                  <c:v>1.2572626927992505</c:v>
                </c:pt>
                <c:pt idx="112">
                  <c:v>1.1955582525450443</c:v>
                </c:pt>
                <c:pt idx="113">
                  <c:v>1.2471910787393463</c:v>
                </c:pt>
                <c:pt idx="114">
                  <c:v>1.2259500104003329</c:v>
                </c:pt>
                <c:pt idx="115">
                  <c:v>1.2653296140795631</c:v>
                </c:pt>
                <c:pt idx="116">
                  <c:v>1.2074478394445503</c:v>
                </c:pt>
                <c:pt idx="117">
                  <c:v>1.217897062491782</c:v>
                </c:pt>
                <c:pt idx="118">
                  <c:v>1.2065784371283457</c:v>
                </c:pt>
                <c:pt idx="119">
                  <c:v>1.2044833530121992</c:v>
                </c:pt>
                <c:pt idx="120">
                  <c:v>1.2073819349324226</c:v>
                </c:pt>
                <c:pt idx="121">
                  <c:v>1.198347719586385</c:v>
                </c:pt>
                <c:pt idx="122">
                  <c:v>1.0830458033658272</c:v>
                </c:pt>
                <c:pt idx="123">
                  <c:v>1.1304411469961506</c:v>
                </c:pt>
                <c:pt idx="124">
                  <c:v>1.1166720874241949</c:v>
                </c:pt>
                <c:pt idx="125">
                  <c:v>1.1638769821295971</c:v>
                </c:pt>
                <c:pt idx="126">
                  <c:v>1.2464254855671302</c:v>
                </c:pt>
                <c:pt idx="127">
                  <c:v>1.1971890255489315</c:v>
                </c:pt>
                <c:pt idx="128">
                  <c:v>1.0846242159991166</c:v>
                </c:pt>
                <c:pt idx="129">
                  <c:v>1.1330430881369078</c:v>
                </c:pt>
                <c:pt idx="130">
                  <c:v>1.1872107390602942</c:v>
                </c:pt>
                <c:pt idx="131">
                  <c:v>1.0375262356422836</c:v>
                </c:pt>
                <c:pt idx="132">
                  <c:v>1.0247906814193946</c:v>
                </c:pt>
                <c:pt idx="133">
                  <c:v>1.082318682261171</c:v>
                </c:pt>
                <c:pt idx="134">
                  <c:v>1.0943387610771989</c:v>
                </c:pt>
                <c:pt idx="135">
                  <c:v>1.0845933750398797</c:v>
                </c:pt>
                <c:pt idx="136">
                  <c:v>1.0783865736158342</c:v>
                </c:pt>
                <c:pt idx="137">
                  <c:v>1.1192369346159474</c:v>
                </c:pt>
                <c:pt idx="138">
                  <c:v>1.1346126041661717</c:v>
                </c:pt>
                <c:pt idx="139">
                  <c:v>1.0714058315014552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40-427E-B7D7-987FBE492C65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-5.4292800155303786E-2</c:v>
                </c:pt>
                <c:pt idx="2">
                  <c:v>5.880927736330567E-3</c:v>
                </c:pt>
                <c:pt idx="3">
                  <c:v>-3.9874101807579831E-2</c:v>
                </c:pt>
                <c:pt idx="4">
                  <c:v>-0.10456664673287429</c:v>
                </c:pt>
                <c:pt idx="5">
                  <c:v>6.9555398387418088E-3</c:v>
                </c:pt>
                <c:pt idx="6">
                  <c:v>0.14470441550178131</c:v>
                </c:pt>
                <c:pt idx="7">
                  <c:v>8.9230560637078044E-2</c:v>
                </c:pt>
                <c:pt idx="8">
                  <c:v>9.8358480500864418E-2</c:v>
                </c:pt>
                <c:pt idx="9">
                  <c:v>7.9501342722987506E-2</c:v>
                </c:pt>
                <c:pt idx="10">
                  <c:v>3.5050970886674887E-3</c:v>
                </c:pt>
                <c:pt idx="11">
                  <c:v>-0.2664472500463948</c:v>
                </c:pt>
                <c:pt idx="12">
                  <c:v>-0.20191717678296711</c:v>
                </c:pt>
                <c:pt idx="13">
                  <c:v>-0.25131220927114395</c:v>
                </c:pt>
                <c:pt idx="14">
                  <c:v>-0.25855836751811512</c:v>
                </c:pt>
                <c:pt idx="15">
                  <c:v>-0.29209313319498692</c:v>
                </c:pt>
                <c:pt idx="16">
                  <c:v>-0.22448078018925693</c:v>
                </c:pt>
                <c:pt idx="17">
                  <c:v>-0.23283749588335312</c:v>
                </c:pt>
                <c:pt idx="18">
                  <c:v>-0.29193025932595817</c:v>
                </c:pt>
                <c:pt idx="19">
                  <c:v>-0.29072085941627646</c:v>
                </c:pt>
                <c:pt idx="20">
                  <c:v>-0.22862948663801158</c:v>
                </c:pt>
                <c:pt idx="21">
                  <c:v>-1.7898677920037492E-2</c:v>
                </c:pt>
                <c:pt idx="22">
                  <c:v>-7.9599555113673504E-2</c:v>
                </c:pt>
                <c:pt idx="23">
                  <c:v>-4.5547990256698076E-2</c:v>
                </c:pt>
                <c:pt idx="24">
                  <c:v>-7.3010846830007511E-2</c:v>
                </c:pt>
                <c:pt idx="25">
                  <c:v>-0.17698545286204401</c:v>
                </c:pt>
                <c:pt idx="26">
                  <c:v>-0.14415474893808919</c:v>
                </c:pt>
                <c:pt idx="27">
                  <c:v>-0.20196578563654985</c:v>
                </c:pt>
                <c:pt idx="28">
                  <c:v>-0.20132696553571891</c:v>
                </c:pt>
                <c:pt idx="29">
                  <c:v>-0.17534733506490219</c:v>
                </c:pt>
                <c:pt idx="30">
                  <c:v>-0.24013301538449794</c:v>
                </c:pt>
                <c:pt idx="31">
                  <c:v>-0.23931937558501892</c:v>
                </c:pt>
                <c:pt idx="32">
                  <c:v>-0.18768588440378842</c:v>
                </c:pt>
                <c:pt idx="33">
                  <c:v>-0.18320756118185155</c:v>
                </c:pt>
                <c:pt idx="34">
                  <c:v>-0.16485271172676408</c:v>
                </c:pt>
                <c:pt idx="35">
                  <c:v>-0.15724629247211866</c:v>
                </c:pt>
                <c:pt idx="36">
                  <c:v>-8.5156848626899775E-2</c:v>
                </c:pt>
                <c:pt idx="37">
                  <c:v>-0.14934130986533928</c:v>
                </c:pt>
                <c:pt idx="38">
                  <c:v>-0.24415944660255487</c:v>
                </c:pt>
                <c:pt idx="39">
                  <c:v>-0.20086638960236369</c:v>
                </c:pt>
                <c:pt idx="40">
                  <c:v>-0.20262964851249801</c:v>
                </c:pt>
                <c:pt idx="41">
                  <c:v>-0.20265441265183534</c:v>
                </c:pt>
                <c:pt idx="42">
                  <c:v>-0.22954382089507752</c:v>
                </c:pt>
                <c:pt idx="43">
                  <c:v>-0.21436594995023245</c:v>
                </c:pt>
                <c:pt idx="44">
                  <c:v>-0.19979445843711549</c:v>
                </c:pt>
                <c:pt idx="45">
                  <c:v>-0.23916682199009048</c:v>
                </c:pt>
                <c:pt idx="46">
                  <c:v>-0.13473420608068637</c:v>
                </c:pt>
                <c:pt idx="47">
                  <c:v>4.285445104226232E-2</c:v>
                </c:pt>
                <c:pt idx="48">
                  <c:v>4.8372715553153693E-2</c:v>
                </c:pt>
                <c:pt idx="49">
                  <c:v>0.10072557752779504</c:v>
                </c:pt>
                <c:pt idx="50">
                  <c:v>0.10880351056937686</c:v>
                </c:pt>
                <c:pt idx="51">
                  <c:v>-0.16119877570756702</c:v>
                </c:pt>
                <c:pt idx="52">
                  <c:v>-0.11381309882268506</c:v>
                </c:pt>
                <c:pt idx="53">
                  <c:v>-0.11419417837257935</c:v>
                </c:pt>
                <c:pt idx="54">
                  <c:v>-0.13519618335822051</c:v>
                </c:pt>
                <c:pt idx="55">
                  <c:v>-0.18760099949680367</c:v>
                </c:pt>
                <c:pt idx="56">
                  <c:v>-0.15867506660709577</c:v>
                </c:pt>
                <c:pt idx="57">
                  <c:v>-0.15528816324665551</c:v>
                </c:pt>
                <c:pt idx="58">
                  <c:v>-0.20558306664693279</c:v>
                </c:pt>
                <c:pt idx="59">
                  <c:v>-0.18222668401712305</c:v>
                </c:pt>
                <c:pt idx="60">
                  <c:v>-9.2459824589776904E-2</c:v>
                </c:pt>
                <c:pt idx="61">
                  <c:v>-6.1900347474183909E-2</c:v>
                </c:pt>
                <c:pt idx="62">
                  <c:v>-3.3894163216156542E-2</c:v>
                </c:pt>
                <c:pt idx="63">
                  <c:v>6.3554844523705675E-2</c:v>
                </c:pt>
                <c:pt idx="64">
                  <c:v>4.4758057594541246E-2</c:v>
                </c:pt>
                <c:pt idx="65">
                  <c:v>7.553161048082517E-2</c:v>
                </c:pt>
                <c:pt idx="66">
                  <c:v>-2.0464355349534974E-3</c:v>
                </c:pt>
                <c:pt idx="67">
                  <c:v>-0.120644717637084</c:v>
                </c:pt>
                <c:pt idx="68">
                  <c:v>-0.12826883167031472</c:v>
                </c:pt>
                <c:pt idx="69">
                  <c:v>4.8027685899832473E-2</c:v>
                </c:pt>
                <c:pt idx="70">
                  <c:v>-5.268754912842373E-2</c:v>
                </c:pt>
                <c:pt idx="71">
                  <c:v>-0.13937761397216025</c:v>
                </c:pt>
                <c:pt idx="72">
                  <c:v>6.1151483421361036E-2</c:v>
                </c:pt>
                <c:pt idx="73">
                  <c:v>0.15788660585867925</c:v>
                </c:pt>
                <c:pt idx="74">
                  <c:v>-3.4533759078967635E-2</c:v>
                </c:pt>
                <c:pt idx="75">
                  <c:v>-9.3782606026135779E-2</c:v>
                </c:pt>
                <c:pt idx="76">
                  <c:v>-5.5878432335156838E-2</c:v>
                </c:pt>
                <c:pt idx="77">
                  <c:v>-9.8947270452684505E-2</c:v>
                </c:pt>
                <c:pt idx="78">
                  <c:v>-0.17457595164576806</c:v>
                </c:pt>
                <c:pt idx="79">
                  <c:v>-6.2150746617384262E-2</c:v>
                </c:pt>
                <c:pt idx="80">
                  <c:v>3.1470877198111591E-2</c:v>
                </c:pt>
                <c:pt idx="81">
                  <c:v>7.0779053876380102E-2</c:v>
                </c:pt>
                <c:pt idx="82">
                  <c:v>0.26583240561122851</c:v>
                </c:pt>
                <c:pt idx="83">
                  <c:v>0.31628752901525059</c:v>
                </c:pt>
                <c:pt idx="84">
                  <c:v>0.30693968946056327</c:v>
                </c:pt>
                <c:pt idx="85">
                  <c:v>0.31417979893274484</c:v>
                </c:pt>
                <c:pt idx="86">
                  <c:v>0.33369480010939251</c:v>
                </c:pt>
                <c:pt idx="87">
                  <c:v>0.45313956168826219</c:v>
                </c:pt>
                <c:pt idx="88">
                  <c:v>0.4265007781014567</c:v>
                </c:pt>
                <c:pt idx="89">
                  <c:v>0.44358591288758925</c:v>
                </c:pt>
                <c:pt idx="90">
                  <c:v>8.7741840996718057E-2</c:v>
                </c:pt>
                <c:pt idx="91">
                  <c:v>9.441387218102984E-2</c:v>
                </c:pt>
                <c:pt idx="92">
                  <c:v>0.21501942109992644</c:v>
                </c:pt>
                <c:pt idx="93">
                  <c:v>0.17877166828040411</c:v>
                </c:pt>
                <c:pt idx="94">
                  <c:v>0.15183362340820203</c:v>
                </c:pt>
                <c:pt idx="95">
                  <c:v>0.1936429907912533</c:v>
                </c:pt>
                <c:pt idx="96">
                  <c:v>0.21814765329261709</c:v>
                </c:pt>
                <c:pt idx="97">
                  <c:v>0.23728640679401949</c:v>
                </c:pt>
                <c:pt idx="98">
                  <c:v>0.29152794212636984</c:v>
                </c:pt>
                <c:pt idx="99">
                  <c:v>0.27884699894316461</c:v>
                </c:pt>
                <c:pt idx="100">
                  <c:v>0.2351654325672804</c:v>
                </c:pt>
                <c:pt idx="101">
                  <c:v>0.35130204935722709</c:v>
                </c:pt>
                <c:pt idx="102">
                  <c:v>0.48001699455996988</c:v>
                </c:pt>
                <c:pt idx="103">
                  <c:v>0.41315921054038751</c:v>
                </c:pt>
                <c:pt idx="104">
                  <c:v>0.42136726542546127</c:v>
                </c:pt>
                <c:pt idx="105">
                  <c:v>0.72114630614347308</c:v>
                </c:pt>
                <c:pt idx="106">
                  <c:v>0.71181784504957313</c:v>
                </c:pt>
                <c:pt idx="107">
                  <c:v>0.94064483063831983</c:v>
                </c:pt>
                <c:pt idx="108">
                  <c:v>0.90114548761669111</c:v>
                </c:pt>
                <c:pt idx="109">
                  <c:v>0.91911652174674807</c:v>
                </c:pt>
                <c:pt idx="110">
                  <c:v>0.87127908392853237</c:v>
                </c:pt>
                <c:pt idx="111">
                  <c:v>0.9064504129549471</c:v>
                </c:pt>
                <c:pt idx="112">
                  <c:v>0.86213264658214162</c:v>
                </c:pt>
                <c:pt idx="113">
                  <c:v>0.91058082215800173</c:v>
                </c:pt>
                <c:pt idx="114">
                  <c:v>0.84165350949337303</c:v>
                </c:pt>
                <c:pt idx="115">
                  <c:v>0.86515395628669212</c:v>
                </c:pt>
                <c:pt idx="116">
                  <c:v>0.79491513240054701</c:v>
                </c:pt>
                <c:pt idx="117">
                  <c:v>0.82672350254132143</c:v>
                </c:pt>
                <c:pt idx="118">
                  <c:v>0.80451604788714992</c:v>
                </c:pt>
                <c:pt idx="119">
                  <c:v>0.75746531788485216</c:v>
                </c:pt>
                <c:pt idx="120">
                  <c:v>0.7466435954403281</c:v>
                </c:pt>
                <c:pt idx="121">
                  <c:v>0.74845566507767181</c:v>
                </c:pt>
                <c:pt idx="122">
                  <c:v>0.62692992006533965</c:v>
                </c:pt>
                <c:pt idx="123">
                  <c:v>0.68973425296388469</c:v>
                </c:pt>
                <c:pt idx="124">
                  <c:v>0.69719538223394673</c:v>
                </c:pt>
                <c:pt idx="125">
                  <c:v>0.75487835193028152</c:v>
                </c:pt>
                <c:pt idx="126">
                  <c:v>0.88041938800937847</c:v>
                </c:pt>
                <c:pt idx="127">
                  <c:v>0.81069280015115619</c:v>
                </c:pt>
                <c:pt idx="128">
                  <c:v>0.72737614267693063</c:v>
                </c:pt>
                <c:pt idx="129">
                  <c:v>0.77527107235169956</c:v>
                </c:pt>
                <c:pt idx="130">
                  <c:v>0.81777939398354937</c:v>
                </c:pt>
                <c:pt idx="131">
                  <c:v>0.67550938225726009</c:v>
                </c:pt>
                <c:pt idx="132">
                  <c:v>0.66212721105194727</c:v>
                </c:pt>
                <c:pt idx="133">
                  <c:v>0.69175729825199705</c:v>
                </c:pt>
                <c:pt idx="134">
                  <c:v>0.66077298890992797</c:v>
                </c:pt>
                <c:pt idx="135">
                  <c:v>0.66500060730873889</c:v>
                </c:pt>
                <c:pt idx="136">
                  <c:v>0.65373657374261618</c:v>
                </c:pt>
                <c:pt idx="137">
                  <c:v>0.69925850307441417</c:v>
                </c:pt>
                <c:pt idx="138">
                  <c:v>0.7011247614472611</c:v>
                </c:pt>
                <c:pt idx="139">
                  <c:v>0.65313247236696093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40-427E-B7D7-987FBE492C65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-4.9081915491997738E-2</c:v>
                </c:pt>
                <c:pt idx="2">
                  <c:v>2.7284682328178503E-2</c:v>
                </c:pt>
                <c:pt idx="3">
                  <c:v>4.3428643063677871E-2</c:v>
                </c:pt>
                <c:pt idx="4">
                  <c:v>-3.4565653916590153E-2</c:v>
                </c:pt>
                <c:pt idx="5">
                  <c:v>-4.0583740822334041E-3</c:v>
                </c:pt>
                <c:pt idx="6">
                  <c:v>0.17510504013286737</c:v>
                </c:pt>
                <c:pt idx="7">
                  <c:v>9.6546675011135119E-2</c:v>
                </c:pt>
                <c:pt idx="8">
                  <c:v>0.10968781875866902</c:v>
                </c:pt>
                <c:pt idx="9">
                  <c:v>6.3848318961762324E-2</c:v>
                </c:pt>
                <c:pt idx="10">
                  <c:v>-6.9613917639099188E-3</c:v>
                </c:pt>
                <c:pt idx="11">
                  <c:v>-0.3092990416855641</c:v>
                </c:pt>
                <c:pt idx="12">
                  <c:v>-0.22824849294256835</c:v>
                </c:pt>
                <c:pt idx="13">
                  <c:v>-0.29194664845159618</c:v>
                </c:pt>
                <c:pt idx="14">
                  <c:v>-0.28980425077822314</c:v>
                </c:pt>
                <c:pt idx="15">
                  <c:v>-0.35946364710922185</c:v>
                </c:pt>
                <c:pt idx="16">
                  <c:v>-0.31835362650894483</c:v>
                </c:pt>
                <c:pt idx="17">
                  <c:v>-0.2953986302649782</c:v>
                </c:pt>
                <c:pt idx="18">
                  <c:v>-0.32207614993199263</c:v>
                </c:pt>
                <c:pt idx="19">
                  <c:v>-0.30553222081000714</c:v>
                </c:pt>
                <c:pt idx="20">
                  <c:v>-0.34462251576894831</c:v>
                </c:pt>
                <c:pt idx="21">
                  <c:v>-8.7757086997002687E-2</c:v>
                </c:pt>
                <c:pt idx="22">
                  <c:v>-0.19619430556609238</c:v>
                </c:pt>
                <c:pt idx="23">
                  <c:v>-0.17745509792197503</c:v>
                </c:pt>
                <c:pt idx="24">
                  <c:v>-0.2509259491774195</c:v>
                </c:pt>
                <c:pt idx="25">
                  <c:v>-0.29773760877082972</c:v>
                </c:pt>
                <c:pt idx="26">
                  <c:v>-0.2631153795598522</c:v>
                </c:pt>
                <c:pt idx="27">
                  <c:v>-0.33604305754716457</c:v>
                </c:pt>
                <c:pt idx="28">
                  <c:v>-0.32408033307872791</c:v>
                </c:pt>
                <c:pt idx="29">
                  <c:v>-0.30293150304192829</c:v>
                </c:pt>
                <c:pt idx="30">
                  <c:v>-0.38759727849413528</c:v>
                </c:pt>
                <c:pt idx="31">
                  <c:v>-0.39038000425876812</c:v>
                </c:pt>
                <c:pt idx="32">
                  <c:v>-0.33483852770027539</c:v>
                </c:pt>
                <c:pt idx="33">
                  <c:v>-0.31998300207153446</c:v>
                </c:pt>
                <c:pt idx="34">
                  <c:v>-0.3054390692499559</c:v>
                </c:pt>
                <c:pt idx="35">
                  <c:v>-0.29863011478545765</c:v>
                </c:pt>
                <c:pt idx="36">
                  <c:v>-0.22165415661257676</c:v>
                </c:pt>
                <c:pt idx="37">
                  <c:v>-0.34080304900068498</c:v>
                </c:pt>
                <c:pt idx="38">
                  <c:v>-0.44889264674807677</c:v>
                </c:pt>
                <c:pt idx="39">
                  <c:v>-0.40195349759345539</c:v>
                </c:pt>
                <c:pt idx="40">
                  <c:v>-0.40443074533060636</c:v>
                </c:pt>
                <c:pt idx="41">
                  <c:v>-0.39961452711701512</c:v>
                </c:pt>
                <c:pt idx="42">
                  <c:v>-0.40375021705234893</c:v>
                </c:pt>
                <c:pt idx="43">
                  <c:v>-0.36367841350100377</c:v>
                </c:pt>
                <c:pt idx="44">
                  <c:v>-0.32721636941132365</c:v>
                </c:pt>
                <c:pt idx="45">
                  <c:v>-0.34041828855224965</c:v>
                </c:pt>
                <c:pt idx="46">
                  <c:v>-0.18603718511448614</c:v>
                </c:pt>
                <c:pt idx="47">
                  <c:v>3.2769759424900374E-2</c:v>
                </c:pt>
                <c:pt idx="48">
                  <c:v>3.6972344785073968E-2</c:v>
                </c:pt>
                <c:pt idx="49">
                  <c:v>6.6280898532686136E-2</c:v>
                </c:pt>
                <c:pt idx="50">
                  <c:v>6.6386525724760503E-2</c:v>
                </c:pt>
                <c:pt idx="51">
                  <c:v>-0.23021593970247328</c:v>
                </c:pt>
                <c:pt idx="52">
                  <c:v>-0.17048852455497218</c:v>
                </c:pt>
                <c:pt idx="53">
                  <c:v>-0.16249719828686068</c:v>
                </c:pt>
                <c:pt idx="54">
                  <c:v>-0.20361978148945906</c:v>
                </c:pt>
                <c:pt idx="55">
                  <c:v>-0.26184334508206941</c:v>
                </c:pt>
                <c:pt idx="56">
                  <c:v>-0.21062150685831438</c:v>
                </c:pt>
                <c:pt idx="57">
                  <c:v>-0.19839935464060446</c:v>
                </c:pt>
                <c:pt idx="58">
                  <c:v>-0.24334937452492508</c:v>
                </c:pt>
                <c:pt idx="59">
                  <c:v>-0.22016429946784905</c:v>
                </c:pt>
                <c:pt idx="60">
                  <c:v>-9.810696758287385E-2</c:v>
                </c:pt>
                <c:pt idx="61">
                  <c:v>-7.5076302593475766E-2</c:v>
                </c:pt>
                <c:pt idx="62">
                  <c:v>-7.4810829586319821E-2</c:v>
                </c:pt>
                <c:pt idx="63">
                  <c:v>-1.05452238223116E-2</c:v>
                </c:pt>
                <c:pt idx="64">
                  <c:v>-3.7620782010447537E-2</c:v>
                </c:pt>
                <c:pt idx="65">
                  <c:v>4.7630325831176518E-3</c:v>
                </c:pt>
                <c:pt idx="66">
                  <c:v>5.1726903050038388E-3</c:v>
                </c:pt>
                <c:pt idx="67">
                  <c:v>-0.10614465549518236</c:v>
                </c:pt>
                <c:pt idx="68">
                  <c:v>-0.12726624134918277</c:v>
                </c:pt>
                <c:pt idx="69">
                  <c:v>5.9765472362455829E-2</c:v>
                </c:pt>
                <c:pt idx="70">
                  <c:v>-4.973713341127517E-2</c:v>
                </c:pt>
                <c:pt idx="71">
                  <c:v>-0.12006010885957227</c:v>
                </c:pt>
                <c:pt idx="72">
                  <c:v>0.13890102730042633</c:v>
                </c:pt>
                <c:pt idx="73">
                  <c:v>0.26604531034423534</c:v>
                </c:pt>
                <c:pt idx="74">
                  <c:v>5.3588066675172547E-2</c:v>
                </c:pt>
                <c:pt idx="75">
                  <c:v>-6.7487684964340947E-2</c:v>
                </c:pt>
                <c:pt idx="76">
                  <c:v>-8.340922655599245E-2</c:v>
                </c:pt>
                <c:pt idx="77">
                  <c:v>-0.12783238056089974</c:v>
                </c:pt>
                <c:pt idx="78">
                  <c:v>-0.21460113585262963</c:v>
                </c:pt>
                <c:pt idx="79">
                  <c:v>-0.14562161472237364</c:v>
                </c:pt>
                <c:pt idx="80">
                  <c:v>-4.2884370350305748E-2</c:v>
                </c:pt>
                <c:pt idx="81">
                  <c:v>2.8619481098436789E-3</c:v>
                </c:pt>
                <c:pt idx="82">
                  <c:v>0.15778295615484705</c:v>
                </c:pt>
                <c:pt idx="83">
                  <c:v>0.22086738530498992</c:v>
                </c:pt>
                <c:pt idx="84">
                  <c:v>0.21302117152135852</c:v>
                </c:pt>
                <c:pt idx="85">
                  <c:v>0.21588646711218823</c:v>
                </c:pt>
                <c:pt idx="86">
                  <c:v>0.24264314765570977</c:v>
                </c:pt>
                <c:pt idx="87">
                  <c:v>0.33653085334191302</c:v>
                </c:pt>
                <c:pt idx="88">
                  <c:v>0.33168585782336701</c:v>
                </c:pt>
                <c:pt idx="89">
                  <c:v>0.35409807153695405</c:v>
                </c:pt>
                <c:pt idx="90">
                  <c:v>-1.5480675876794525E-2</c:v>
                </c:pt>
                <c:pt idx="91">
                  <c:v>-4.4186465930543348E-3</c:v>
                </c:pt>
                <c:pt idx="92">
                  <c:v>0.13000776603042297</c:v>
                </c:pt>
                <c:pt idx="93">
                  <c:v>9.0306952829454196E-2</c:v>
                </c:pt>
                <c:pt idx="94">
                  <c:v>5.2795941247425808E-2</c:v>
                </c:pt>
                <c:pt idx="95">
                  <c:v>0.11464076030063688</c:v>
                </c:pt>
                <c:pt idx="96">
                  <c:v>0.10325432418208655</c:v>
                </c:pt>
                <c:pt idx="97">
                  <c:v>0.13185378933057318</c:v>
                </c:pt>
                <c:pt idx="98">
                  <c:v>0.16324795602595263</c:v>
                </c:pt>
                <c:pt idx="99">
                  <c:v>0.14862832600846601</c:v>
                </c:pt>
                <c:pt idx="100">
                  <c:v>9.1653279490243156E-2</c:v>
                </c:pt>
                <c:pt idx="101">
                  <c:v>0.22199836565044395</c:v>
                </c:pt>
                <c:pt idx="102">
                  <c:v>0.39389020100649386</c:v>
                </c:pt>
                <c:pt idx="103">
                  <c:v>0.32059147865687587</c:v>
                </c:pt>
                <c:pt idx="104">
                  <c:v>0.35059669586761977</c:v>
                </c:pt>
                <c:pt idx="105">
                  <c:v>0.75513624796371381</c:v>
                </c:pt>
                <c:pt idx="106">
                  <c:v>0.73063324938178642</c:v>
                </c:pt>
                <c:pt idx="107">
                  <c:v>1.0005715961563331</c:v>
                </c:pt>
                <c:pt idx="108">
                  <c:v>0.94111352761830924</c:v>
                </c:pt>
                <c:pt idx="109">
                  <c:v>0.96158319330889963</c:v>
                </c:pt>
                <c:pt idx="110">
                  <c:v>0.9075242202390158</c:v>
                </c:pt>
                <c:pt idx="111">
                  <c:v>0.95298224133587695</c:v>
                </c:pt>
                <c:pt idx="112">
                  <c:v>0.91762506526758858</c:v>
                </c:pt>
                <c:pt idx="113">
                  <c:v>0.97144026853440657</c:v>
                </c:pt>
                <c:pt idx="114">
                  <c:v>0.87569311307903974</c:v>
                </c:pt>
                <c:pt idx="115">
                  <c:v>0.89077798530307928</c:v>
                </c:pt>
                <c:pt idx="116">
                  <c:v>0.82422612306118981</c:v>
                </c:pt>
                <c:pt idx="117">
                  <c:v>0.84229714432108194</c:v>
                </c:pt>
                <c:pt idx="118">
                  <c:v>0.81818145196828884</c:v>
                </c:pt>
                <c:pt idx="119">
                  <c:v>0.7333879314344528</c:v>
                </c:pt>
                <c:pt idx="120">
                  <c:v>0.73849023574578465</c:v>
                </c:pt>
                <c:pt idx="121">
                  <c:v>0.71566935174514257</c:v>
                </c:pt>
                <c:pt idx="122">
                  <c:v>0.57850206114367642</c:v>
                </c:pt>
                <c:pt idx="123">
                  <c:v>0.66547075512893206</c:v>
                </c:pt>
                <c:pt idx="124">
                  <c:v>0.68446780372557103</c:v>
                </c:pt>
                <c:pt idx="125">
                  <c:v>0.7729236144881606</c:v>
                </c:pt>
                <c:pt idx="126">
                  <c:v>0.87031277350794023</c:v>
                </c:pt>
                <c:pt idx="127">
                  <c:v>0.77120087914862956</c:v>
                </c:pt>
                <c:pt idx="128">
                  <c:v>0.71626438348654842</c:v>
                </c:pt>
                <c:pt idx="129">
                  <c:v>0.75185793841823423</c:v>
                </c:pt>
                <c:pt idx="130">
                  <c:v>0.80649065267491982</c:v>
                </c:pt>
                <c:pt idx="131">
                  <c:v>0.68641651827756112</c:v>
                </c:pt>
                <c:pt idx="132">
                  <c:v>0.67013117573240644</c:v>
                </c:pt>
                <c:pt idx="133">
                  <c:v>0.6769939793212012</c:v>
                </c:pt>
                <c:pt idx="134">
                  <c:v>0.59350611382207119</c:v>
                </c:pt>
                <c:pt idx="135">
                  <c:v>0.60701230457385913</c:v>
                </c:pt>
                <c:pt idx="136">
                  <c:v>0.55751466067662503</c:v>
                </c:pt>
                <c:pt idx="137">
                  <c:v>0.61954952938048991</c:v>
                </c:pt>
                <c:pt idx="138">
                  <c:v>0.60780335418167353</c:v>
                </c:pt>
                <c:pt idx="139">
                  <c:v>0.56789227214050875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40-427E-B7D7-987FBE492C65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3.0669047547499419E-2</c:v>
                </c:pt>
                <c:pt idx="2">
                  <c:v>9.2937450546685119E-2</c:v>
                </c:pt>
                <c:pt idx="3">
                  <c:v>0.1386584205391187</c:v>
                </c:pt>
                <c:pt idx="4">
                  <c:v>5.3968517675892336E-2</c:v>
                </c:pt>
                <c:pt idx="5">
                  <c:v>0.12704058678805019</c:v>
                </c:pt>
                <c:pt idx="6">
                  <c:v>0.3663636489658042</c:v>
                </c:pt>
                <c:pt idx="7">
                  <c:v>0.26296042356319693</c:v>
                </c:pt>
                <c:pt idx="8">
                  <c:v>0.26542110572821037</c:v>
                </c:pt>
                <c:pt idx="9">
                  <c:v>0.20078866463133904</c:v>
                </c:pt>
                <c:pt idx="10">
                  <c:v>0.1328947707699967</c:v>
                </c:pt>
                <c:pt idx="11">
                  <c:v>-0.26140074492187182</c:v>
                </c:pt>
                <c:pt idx="12">
                  <c:v>-0.15630643665134791</c:v>
                </c:pt>
                <c:pt idx="13">
                  <c:v>-0.26009666455184699</c:v>
                </c:pt>
                <c:pt idx="14">
                  <c:v>-0.22308761974432595</c:v>
                </c:pt>
                <c:pt idx="15">
                  <c:v>-0.30191379749992919</c:v>
                </c:pt>
                <c:pt idx="16">
                  <c:v>-0.20622129131398609</c:v>
                </c:pt>
                <c:pt idx="17">
                  <c:v>-0.24788537855009712</c:v>
                </c:pt>
                <c:pt idx="18">
                  <c:v>-0.30429086471222982</c:v>
                </c:pt>
                <c:pt idx="19">
                  <c:v>-0.34836140944653948</c:v>
                </c:pt>
                <c:pt idx="20">
                  <c:v>-0.40784100677886703</c:v>
                </c:pt>
                <c:pt idx="21">
                  <c:v>-0.21407292557741034</c:v>
                </c:pt>
                <c:pt idx="22">
                  <c:v>-0.36360682105058034</c:v>
                </c:pt>
                <c:pt idx="23">
                  <c:v>-0.36873084899857533</c:v>
                </c:pt>
                <c:pt idx="24">
                  <c:v>-0.42089115622567685</c:v>
                </c:pt>
                <c:pt idx="25">
                  <c:v>-0.44693354421116499</c:v>
                </c:pt>
                <c:pt idx="26">
                  <c:v>-0.40241326785376319</c:v>
                </c:pt>
                <c:pt idx="27">
                  <c:v>-0.35822232411344113</c:v>
                </c:pt>
                <c:pt idx="28">
                  <c:v>-0.34481240295774607</c:v>
                </c:pt>
                <c:pt idx="29">
                  <c:v>-0.30403080393135823</c:v>
                </c:pt>
                <c:pt idx="30">
                  <c:v>-0.40293380107866777</c:v>
                </c:pt>
                <c:pt idx="31">
                  <c:v>-0.39408494872835903</c:v>
                </c:pt>
                <c:pt idx="32">
                  <c:v>-0.39893480787018115</c:v>
                </c:pt>
                <c:pt idx="33">
                  <c:v>-0.38479977360240503</c:v>
                </c:pt>
                <c:pt idx="34">
                  <c:v>-0.3844935970412291</c:v>
                </c:pt>
                <c:pt idx="35">
                  <c:v>-0.36218595899399147</c:v>
                </c:pt>
                <c:pt idx="36">
                  <c:v>-0.26483905403467706</c:v>
                </c:pt>
                <c:pt idx="37">
                  <c:v>-0.43556292753028192</c:v>
                </c:pt>
                <c:pt idx="38">
                  <c:v>-0.51108708245978263</c:v>
                </c:pt>
                <c:pt idx="39">
                  <c:v>-0.6347059197784547</c:v>
                </c:pt>
                <c:pt idx="40">
                  <c:v>-0.63882069604291847</c:v>
                </c:pt>
                <c:pt idx="41">
                  <c:v>-0.59429330259513502</c:v>
                </c:pt>
                <c:pt idx="42">
                  <c:v>-0.58813611334927385</c:v>
                </c:pt>
                <c:pt idx="43">
                  <c:v>-0.59224511572828176</c:v>
                </c:pt>
                <c:pt idx="44">
                  <c:v>-0.53095492614710815</c:v>
                </c:pt>
                <c:pt idx="45">
                  <c:v>-0.50231755772781239</c:v>
                </c:pt>
                <c:pt idx="46">
                  <c:v>-0.2915622405742162</c:v>
                </c:pt>
                <c:pt idx="47">
                  <c:v>-6.6495290232524012E-2</c:v>
                </c:pt>
                <c:pt idx="48">
                  <c:v>-8.3999559320877396E-2</c:v>
                </c:pt>
                <c:pt idx="49">
                  <c:v>-2.8036635204209959E-2</c:v>
                </c:pt>
                <c:pt idx="50">
                  <c:v>-3.9624034563965557E-2</c:v>
                </c:pt>
                <c:pt idx="51">
                  <c:v>-0.23653476542384205</c:v>
                </c:pt>
                <c:pt idx="52">
                  <c:v>-0.1669581993976571</c:v>
                </c:pt>
                <c:pt idx="53">
                  <c:v>-0.12666105751248302</c:v>
                </c:pt>
                <c:pt idx="54">
                  <c:v>-0.18125871292421408</c:v>
                </c:pt>
                <c:pt idx="55">
                  <c:v>-0.23283861847845128</c:v>
                </c:pt>
                <c:pt idx="56">
                  <c:v>-0.16236668786673836</c:v>
                </c:pt>
                <c:pt idx="57">
                  <c:v>-0.15920828938150788</c:v>
                </c:pt>
                <c:pt idx="58">
                  <c:v>-0.17539854881960987</c:v>
                </c:pt>
                <c:pt idx="59">
                  <c:v>-0.16472501212660717</c:v>
                </c:pt>
                <c:pt idx="60">
                  <c:v>-1.3357820596583775E-2</c:v>
                </c:pt>
                <c:pt idx="61">
                  <c:v>1.1044433227436434E-2</c:v>
                </c:pt>
                <c:pt idx="62">
                  <c:v>7.9041409916898592E-3</c:v>
                </c:pt>
                <c:pt idx="63">
                  <c:v>2.3581222081618579E-2</c:v>
                </c:pt>
                <c:pt idx="64">
                  <c:v>6.7933111660514398E-3</c:v>
                </c:pt>
                <c:pt idx="65">
                  <c:v>7.7990224205759351E-2</c:v>
                </c:pt>
                <c:pt idx="66">
                  <c:v>4.0994898924262134E-2</c:v>
                </c:pt>
                <c:pt idx="67">
                  <c:v>-8.2217161941529865E-2</c:v>
                </c:pt>
                <c:pt idx="68">
                  <c:v>-8.3465336250525893E-2</c:v>
                </c:pt>
                <c:pt idx="69">
                  <c:v>0.1212566318754756</c:v>
                </c:pt>
                <c:pt idx="70">
                  <c:v>4.8346815786337358E-2</c:v>
                </c:pt>
                <c:pt idx="71">
                  <c:v>-2.683596478645163E-2</c:v>
                </c:pt>
                <c:pt idx="72">
                  <c:v>0.29843891910160009</c:v>
                </c:pt>
                <c:pt idx="73">
                  <c:v>0.44022698638680269</c:v>
                </c:pt>
                <c:pt idx="74">
                  <c:v>0.28097236565156025</c:v>
                </c:pt>
                <c:pt idx="75">
                  <c:v>0.10543161824116845</c:v>
                </c:pt>
                <c:pt idx="76">
                  <c:v>0.10032166318837402</c:v>
                </c:pt>
                <c:pt idx="77">
                  <c:v>-4.9583200068240851E-3</c:v>
                </c:pt>
                <c:pt idx="78">
                  <c:v>-0.13906110529891719</c:v>
                </c:pt>
                <c:pt idx="79">
                  <c:v>-5.3854638954069764E-2</c:v>
                </c:pt>
                <c:pt idx="80">
                  <c:v>1.3260757913648766E-2</c:v>
                </c:pt>
                <c:pt idx="81">
                  <c:v>6.5645044174798758E-2</c:v>
                </c:pt>
                <c:pt idx="82">
                  <c:v>0.30374433532941197</c:v>
                </c:pt>
                <c:pt idx="83">
                  <c:v>0.3228260214718382</c:v>
                </c:pt>
                <c:pt idx="84">
                  <c:v>0.30270477439653515</c:v>
                </c:pt>
                <c:pt idx="85">
                  <c:v>0.32145147807005214</c:v>
                </c:pt>
                <c:pt idx="86">
                  <c:v>0.37289072637969273</c:v>
                </c:pt>
                <c:pt idx="87">
                  <c:v>0.43708392509167704</c:v>
                </c:pt>
                <c:pt idx="88">
                  <c:v>0.44514645659699154</c:v>
                </c:pt>
                <c:pt idx="89">
                  <c:v>0.47564272019808346</c:v>
                </c:pt>
                <c:pt idx="90">
                  <c:v>7.4700924872989571E-2</c:v>
                </c:pt>
                <c:pt idx="91">
                  <c:v>1.2885896800440111E-2</c:v>
                </c:pt>
                <c:pt idx="92">
                  <c:v>0.15264772955574721</c:v>
                </c:pt>
                <c:pt idx="93">
                  <c:v>0.11132784078981517</c:v>
                </c:pt>
                <c:pt idx="94">
                  <c:v>7.4915584510939909E-2</c:v>
                </c:pt>
                <c:pt idx="95">
                  <c:v>0.1600656103063649</c:v>
                </c:pt>
                <c:pt idx="96">
                  <c:v>0.14434607847714986</c:v>
                </c:pt>
                <c:pt idx="97">
                  <c:v>0.20260388447291139</c:v>
                </c:pt>
                <c:pt idx="98">
                  <c:v>0.19696161438411625</c:v>
                </c:pt>
                <c:pt idx="99">
                  <c:v>0.20368785391963593</c:v>
                </c:pt>
                <c:pt idx="100">
                  <c:v>0.1699166804873391</c:v>
                </c:pt>
                <c:pt idx="101">
                  <c:v>0.36081843516387629</c:v>
                </c:pt>
                <c:pt idx="102">
                  <c:v>0.56562817945735533</c:v>
                </c:pt>
                <c:pt idx="103">
                  <c:v>0.44718337635926975</c:v>
                </c:pt>
                <c:pt idx="104">
                  <c:v>0.4767050206193798</c:v>
                </c:pt>
                <c:pt idx="105">
                  <c:v>0.98564867730644601</c:v>
                </c:pt>
                <c:pt idx="106">
                  <c:v>0.96543749845629301</c:v>
                </c:pt>
                <c:pt idx="107">
                  <c:v>1.3136439358827521</c:v>
                </c:pt>
                <c:pt idx="108">
                  <c:v>1.2422319433444198</c:v>
                </c:pt>
                <c:pt idx="109">
                  <c:v>1.273325517561549</c:v>
                </c:pt>
                <c:pt idx="110">
                  <c:v>1.1954342421514716</c:v>
                </c:pt>
                <c:pt idx="111">
                  <c:v>1.2674744472943045</c:v>
                </c:pt>
                <c:pt idx="112">
                  <c:v>1.1679256128653051</c:v>
                </c:pt>
                <c:pt idx="113">
                  <c:v>1.2027207863292169</c:v>
                </c:pt>
                <c:pt idx="114">
                  <c:v>1.0864682862775457</c:v>
                </c:pt>
                <c:pt idx="115">
                  <c:v>1.1107009278628359</c:v>
                </c:pt>
                <c:pt idx="116">
                  <c:v>1.0628640135729313</c:v>
                </c:pt>
                <c:pt idx="117">
                  <c:v>1.1029387288435024</c:v>
                </c:pt>
                <c:pt idx="118">
                  <c:v>1.0867933115373838</c:v>
                </c:pt>
                <c:pt idx="119">
                  <c:v>0.96070171992836306</c:v>
                </c:pt>
                <c:pt idx="120">
                  <c:v>0.98591330164416446</c:v>
                </c:pt>
                <c:pt idx="121">
                  <c:v>0.94731757610264333</c:v>
                </c:pt>
                <c:pt idx="122">
                  <c:v>0.81740530175045456</c:v>
                </c:pt>
                <c:pt idx="123">
                  <c:v>0.85509398925756885</c:v>
                </c:pt>
                <c:pt idx="124">
                  <c:v>0.87684164692674926</c:v>
                </c:pt>
                <c:pt idx="125">
                  <c:v>0.9732626500909598</c:v>
                </c:pt>
                <c:pt idx="126">
                  <c:v>1.0381066952309377</c:v>
                </c:pt>
                <c:pt idx="127">
                  <c:v>0.88230434853343853</c:v>
                </c:pt>
                <c:pt idx="128">
                  <c:v>0.80368558058641648</c:v>
                </c:pt>
                <c:pt idx="129">
                  <c:v>0.84840074789407538</c:v>
                </c:pt>
                <c:pt idx="130">
                  <c:v>0.90105157043356598</c:v>
                </c:pt>
                <c:pt idx="131">
                  <c:v>0.75266306718164211</c:v>
                </c:pt>
                <c:pt idx="132">
                  <c:v>0.7067488011516887</c:v>
                </c:pt>
                <c:pt idx="133">
                  <c:v>0.72175215654477398</c:v>
                </c:pt>
                <c:pt idx="134">
                  <c:v>0.71117765264794397</c:v>
                </c:pt>
                <c:pt idx="135">
                  <c:v>0.75225664295013162</c:v>
                </c:pt>
                <c:pt idx="136">
                  <c:v>0.75066805516578605</c:v>
                </c:pt>
                <c:pt idx="137">
                  <c:v>0.82405320664018722</c:v>
                </c:pt>
                <c:pt idx="138">
                  <c:v>0.86262851414904229</c:v>
                </c:pt>
                <c:pt idx="139">
                  <c:v>0.79733495883902716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40-427E-B7D7-987FBE492C65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-4.2813952449215431E-2</c:v>
                </c:pt>
                <c:pt idx="2">
                  <c:v>4.28458890560066E-2</c:v>
                </c:pt>
                <c:pt idx="3">
                  <c:v>9.7070310320639314E-2</c:v>
                </c:pt>
                <c:pt idx="4">
                  <c:v>4.4497215382306221E-2</c:v>
                </c:pt>
                <c:pt idx="5">
                  <c:v>0.16567076004986681</c:v>
                </c:pt>
                <c:pt idx="6">
                  <c:v>0.42010366296031681</c:v>
                </c:pt>
                <c:pt idx="7">
                  <c:v>0.29983177920940313</c:v>
                </c:pt>
                <c:pt idx="8">
                  <c:v>0.34363417554589687</c:v>
                </c:pt>
                <c:pt idx="9">
                  <c:v>0.26497521563755944</c:v>
                </c:pt>
                <c:pt idx="10">
                  <c:v>0.18172413038938939</c:v>
                </c:pt>
                <c:pt idx="11">
                  <c:v>-0.38547717205911713</c:v>
                </c:pt>
                <c:pt idx="12">
                  <c:v>-0.26466739967605313</c:v>
                </c:pt>
                <c:pt idx="13">
                  <c:v>-0.35529827410268744</c:v>
                </c:pt>
                <c:pt idx="14">
                  <c:v>-0.35205773827870368</c:v>
                </c:pt>
                <c:pt idx="15">
                  <c:v>-0.4585808414969601</c:v>
                </c:pt>
                <c:pt idx="16">
                  <c:v>-0.29903928644380451</c:v>
                </c:pt>
                <c:pt idx="17">
                  <c:v>-0.36772757245866039</c:v>
                </c:pt>
                <c:pt idx="18">
                  <c:v>-0.40027275513302718</c:v>
                </c:pt>
                <c:pt idx="19">
                  <c:v>-0.44441424003387808</c:v>
                </c:pt>
                <c:pt idx="20">
                  <c:v>-0.56585496271041169</c:v>
                </c:pt>
                <c:pt idx="21">
                  <c:v>-0.35039807599810768</c:v>
                </c:pt>
                <c:pt idx="22">
                  <c:v>-0.37633029562771098</c:v>
                </c:pt>
                <c:pt idx="23">
                  <c:v>-0.36287151168012621</c:v>
                </c:pt>
                <c:pt idx="24">
                  <c:v>-0.43881698758175935</c:v>
                </c:pt>
                <c:pt idx="25">
                  <c:v>-0.42834547858165528</c:v>
                </c:pt>
                <c:pt idx="26">
                  <c:v>-0.3502331693080214</c:v>
                </c:pt>
                <c:pt idx="27">
                  <c:v>-0.25753741046447254</c:v>
                </c:pt>
                <c:pt idx="28">
                  <c:v>-0.26593979449887284</c:v>
                </c:pt>
                <c:pt idx="29">
                  <c:v>-0.21541247145399356</c:v>
                </c:pt>
                <c:pt idx="30">
                  <c:v>-0.38202012035401955</c:v>
                </c:pt>
                <c:pt idx="31">
                  <c:v>-0.41450267538575364</c:v>
                </c:pt>
                <c:pt idx="32">
                  <c:v>-0.43745027940071834</c:v>
                </c:pt>
                <c:pt idx="33">
                  <c:v>-0.42027023718258544</c:v>
                </c:pt>
                <c:pt idx="34">
                  <c:v>-0.39518114399213555</c:v>
                </c:pt>
                <c:pt idx="35">
                  <c:v>-0.40939930235602712</c:v>
                </c:pt>
                <c:pt idx="36">
                  <c:v>-0.29742767436376882</c:v>
                </c:pt>
                <c:pt idx="37">
                  <c:v>-0.48772202376536433</c:v>
                </c:pt>
                <c:pt idx="38">
                  <c:v>-0.47454032637385729</c:v>
                </c:pt>
                <c:pt idx="39">
                  <c:v>-0.62408692559783474</c:v>
                </c:pt>
                <c:pt idx="40">
                  <c:v>-0.67113507241677628</c:v>
                </c:pt>
                <c:pt idx="41">
                  <c:v>-0.66740236474831449</c:v>
                </c:pt>
                <c:pt idx="42">
                  <c:v>-0.6068084361179924</c:v>
                </c:pt>
                <c:pt idx="43">
                  <c:v>-0.60453111895500522</c:v>
                </c:pt>
                <c:pt idx="44">
                  <c:v>-0.52901148003116805</c:v>
                </c:pt>
                <c:pt idx="45">
                  <c:v>-0.51132400080993345</c:v>
                </c:pt>
                <c:pt idx="46">
                  <c:v>-0.28183076756398329</c:v>
                </c:pt>
                <c:pt idx="47">
                  <c:v>-3.9971624155469482E-2</c:v>
                </c:pt>
                <c:pt idx="48">
                  <c:v>-8.0986806815864981E-2</c:v>
                </c:pt>
                <c:pt idx="49">
                  <c:v>-2.4371083108805154E-2</c:v>
                </c:pt>
                <c:pt idx="50">
                  <c:v>1.3633497457295918E-2</c:v>
                </c:pt>
                <c:pt idx="51">
                  <c:v>-0.25949160532824761</c:v>
                </c:pt>
                <c:pt idx="52">
                  <c:v>-0.29616324894426338</c:v>
                </c:pt>
                <c:pt idx="53">
                  <c:v>-0.25750101556405025</c:v>
                </c:pt>
                <c:pt idx="54">
                  <c:v>-0.26386968166127589</c:v>
                </c:pt>
                <c:pt idx="55">
                  <c:v>-0.27191447427837262</c:v>
                </c:pt>
                <c:pt idx="56">
                  <c:v>-0.27950038817024914</c:v>
                </c:pt>
                <c:pt idx="57">
                  <c:v>-0.24416282187860938</c:v>
                </c:pt>
                <c:pt idx="58">
                  <c:v>-0.23256424137018858</c:v>
                </c:pt>
                <c:pt idx="59">
                  <c:v>-0.21498053056223618</c:v>
                </c:pt>
                <c:pt idx="60">
                  <c:v>-0.14109276889669359</c:v>
                </c:pt>
                <c:pt idx="61">
                  <c:v>-9.7990082379864119E-2</c:v>
                </c:pt>
                <c:pt idx="62">
                  <c:v>-8.3345267926407396E-2</c:v>
                </c:pt>
                <c:pt idx="63">
                  <c:v>-6.9539026072950719E-2</c:v>
                </c:pt>
                <c:pt idx="64">
                  <c:v>-6.497962204911123E-2</c:v>
                </c:pt>
                <c:pt idx="65">
                  <c:v>-3.9272588733209768E-2</c:v>
                </c:pt>
                <c:pt idx="66">
                  <c:v>-0.12611070106325639</c:v>
                </c:pt>
                <c:pt idx="67">
                  <c:v>-0.25280390810802655</c:v>
                </c:pt>
                <c:pt idx="68">
                  <c:v>-0.25429567468596648</c:v>
                </c:pt>
                <c:pt idx="69">
                  <c:v>-0.12912131087061518</c:v>
                </c:pt>
                <c:pt idx="70">
                  <c:v>-0.13976757096923312</c:v>
                </c:pt>
                <c:pt idx="71">
                  <c:v>-0.22869949052999111</c:v>
                </c:pt>
                <c:pt idx="72">
                  <c:v>0.1850889030437276</c:v>
                </c:pt>
                <c:pt idx="73">
                  <c:v>0.3584333410314906</c:v>
                </c:pt>
                <c:pt idx="74">
                  <c:v>0.2034568067745964</c:v>
                </c:pt>
                <c:pt idx="75">
                  <c:v>-8.4008752419063887E-2</c:v>
                </c:pt>
                <c:pt idx="76">
                  <c:v>-0.12402072346474172</c:v>
                </c:pt>
                <c:pt idx="77">
                  <c:v>-0.23885748476420193</c:v>
                </c:pt>
                <c:pt idx="78">
                  <c:v>-0.43396943071053851</c:v>
                </c:pt>
                <c:pt idx="79">
                  <c:v>-0.31620901143035141</c:v>
                </c:pt>
                <c:pt idx="80">
                  <c:v>-0.27790643165252887</c:v>
                </c:pt>
                <c:pt idx="81">
                  <c:v>-0.22129693736505587</c:v>
                </c:pt>
                <c:pt idx="82">
                  <c:v>9.2663058590720632E-2</c:v>
                </c:pt>
                <c:pt idx="83">
                  <c:v>-4.467298901036218E-2</c:v>
                </c:pt>
                <c:pt idx="84">
                  <c:v>-2.7303584524826108E-2</c:v>
                </c:pt>
                <c:pt idx="85">
                  <c:v>1.2344199095538719E-2</c:v>
                </c:pt>
                <c:pt idx="86">
                  <c:v>4.5842401023976714E-2</c:v>
                </c:pt>
                <c:pt idx="87">
                  <c:v>6.1035725863923793E-2</c:v>
                </c:pt>
                <c:pt idx="88">
                  <c:v>0.13096451559701544</c:v>
                </c:pt>
                <c:pt idx="89">
                  <c:v>0.17726264286122317</c:v>
                </c:pt>
                <c:pt idx="90">
                  <c:v>-0.33614488443712742</c:v>
                </c:pt>
                <c:pt idx="91">
                  <c:v>-0.38206992498971326</c:v>
                </c:pt>
                <c:pt idx="92">
                  <c:v>-0.25947827708731686</c:v>
                </c:pt>
                <c:pt idx="93">
                  <c:v>-0.30421787741055517</c:v>
                </c:pt>
                <c:pt idx="94">
                  <c:v>-0.36107579699114001</c:v>
                </c:pt>
                <c:pt idx="95">
                  <c:v>-0.3767171540302201</c:v>
                </c:pt>
                <c:pt idx="96">
                  <c:v>-0.373758702154251</c:v>
                </c:pt>
                <c:pt idx="97">
                  <c:v>-0.28853845563114633</c:v>
                </c:pt>
                <c:pt idx="98">
                  <c:v>-0.31822128283246048</c:v>
                </c:pt>
                <c:pt idx="99">
                  <c:v>-0.29944322071972412</c:v>
                </c:pt>
                <c:pt idx="100">
                  <c:v>-0.26395390806851604</c:v>
                </c:pt>
                <c:pt idx="101">
                  <c:v>7.4793387505844466E-2</c:v>
                </c:pt>
                <c:pt idx="102">
                  <c:v>0.34327527251970458</c:v>
                </c:pt>
                <c:pt idx="103">
                  <c:v>0.24289889177801957</c:v>
                </c:pt>
                <c:pt idx="104">
                  <c:v>0.2623970517240844</c:v>
                </c:pt>
                <c:pt idx="105">
                  <c:v>0.93016190143453303</c:v>
                </c:pt>
                <c:pt idx="106">
                  <c:v>0.98247523817618032</c:v>
                </c:pt>
                <c:pt idx="107">
                  <c:v>1.3494155430856782</c:v>
                </c:pt>
                <c:pt idx="108">
                  <c:v>1.2302193932234888</c:v>
                </c:pt>
                <c:pt idx="109">
                  <c:v>1.3142248433294776</c:v>
                </c:pt>
                <c:pt idx="110">
                  <c:v>1.2392538567961473</c:v>
                </c:pt>
                <c:pt idx="111">
                  <c:v>1.2852767739554736</c:v>
                </c:pt>
                <c:pt idx="112">
                  <c:v>1.1461579731005735</c:v>
                </c:pt>
                <c:pt idx="113">
                  <c:v>1.1562711288874554</c:v>
                </c:pt>
                <c:pt idx="114">
                  <c:v>1.1004025238514703</c:v>
                </c:pt>
                <c:pt idx="115">
                  <c:v>1.0850201671859008</c:v>
                </c:pt>
                <c:pt idx="116">
                  <c:v>1.039031328776584</c:v>
                </c:pt>
                <c:pt idx="117">
                  <c:v>1.0001694073510996</c:v>
                </c:pt>
                <c:pt idx="118">
                  <c:v>0.92423324646481664</c:v>
                </c:pt>
                <c:pt idx="119">
                  <c:v>0.80837956222599938</c:v>
                </c:pt>
                <c:pt idx="120">
                  <c:v>0.89054495804891576</c:v>
                </c:pt>
                <c:pt idx="121">
                  <c:v>0.85259701368329543</c:v>
                </c:pt>
                <c:pt idx="122">
                  <c:v>0.72988647754514513</c:v>
                </c:pt>
                <c:pt idx="123">
                  <c:v>0.75392592961002169</c:v>
                </c:pt>
                <c:pt idx="124">
                  <c:v>0.82483272472812641</c:v>
                </c:pt>
                <c:pt idx="125">
                  <c:v>0.82154086924081982</c:v>
                </c:pt>
                <c:pt idx="126">
                  <c:v>0.75989621736088886</c:v>
                </c:pt>
                <c:pt idx="127">
                  <c:v>0.547618574760669</c:v>
                </c:pt>
                <c:pt idx="128">
                  <c:v>0.62940659613886174</c:v>
                </c:pt>
                <c:pt idx="129">
                  <c:v>0.66091949926166726</c:v>
                </c:pt>
                <c:pt idx="130">
                  <c:v>0.74962322951530369</c:v>
                </c:pt>
                <c:pt idx="131">
                  <c:v>0.62692707943577541</c:v>
                </c:pt>
                <c:pt idx="132">
                  <c:v>0.56693198451207982</c:v>
                </c:pt>
                <c:pt idx="133">
                  <c:v>0.60467715452248605</c:v>
                </c:pt>
                <c:pt idx="134">
                  <c:v>0.67587700632102576</c:v>
                </c:pt>
                <c:pt idx="135">
                  <c:v>0.73554733967893027</c:v>
                </c:pt>
                <c:pt idx="136">
                  <c:v>0.74637439730931787</c:v>
                </c:pt>
                <c:pt idx="137">
                  <c:v>0.81365084198996995</c:v>
                </c:pt>
                <c:pt idx="138">
                  <c:v>0.86835510282105566</c:v>
                </c:pt>
                <c:pt idx="139">
                  <c:v>0.73666954421084729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40-427E-B7D7-987FBE492C65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-1.997157818167155E-2</c:v>
                </c:pt>
                <c:pt idx="2">
                  <c:v>0.13608304104940455</c:v>
                </c:pt>
                <c:pt idx="3">
                  <c:v>0.15449622111415032</c:v>
                </c:pt>
                <c:pt idx="4">
                  <c:v>2.9472512908905429E-2</c:v>
                </c:pt>
                <c:pt idx="5">
                  <c:v>7.3171748763540198E-2</c:v>
                </c:pt>
                <c:pt idx="6">
                  <c:v>0.32887462082911734</c:v>
                </c:pt>
                <c:pt idx="7">
                  <c:v>0.14058226914363103</c:v>
                </c:pt>
                <c:pt idx="8">
                  <c:v>0.20148261996470479</c:v>
                </c:pt>
                <c:pt idx="9">
                  <c:v>6.9344962040984892E-2</c:v>
                </c:pt>
                <c:pt idx="10">
                  <c:v>-0.13293451109734941</c:v>
                </c:pt>
                <c:pt idx="11">
                  <c:v>-0.98716113569289665</c:v>
                </c:pt>
                <c:pt idx="12">
                  <c:v>-0.92917487143444355</c:v>
                </c:pt>
                <c:pt idx="13">
                  <c:v>-1.0211908091565205</c:v>
                </c:pt>
                <c:pt idx="14">
                  <c:v>-1.0324620721748758</c:v>
                </c:pt>
                <c:pt idx="15">
                  <c:v>-1.0952840501446375</c:v>
                </c:pt>
                <c:pt idx="16">
                  <c:v>-0.87279095467400714</c:v>
                </c:pt>
                <c:pt idx="17">
                  <c:v>-0.86539549183740228</c:v>
                </c:pt>
                <c:pt idx="18">
                  <c:v>-0.81786176408521571</c:v>
                </c:pt>
                <c:pt idx="19">
                  <c:v>-0.89753076068756765</c:v>
                </c:pt>
                <c:pt idx="20">
                  <c:v>-1.0538454401843549</c:v>
                </c:pt>
                <c:pt idx="21">
                  <c:v>-0.93247641981496554</c:v>
                </c:pt>
                <c:pt idx="22">
                  <c:v>-0.97709732864008769</c:v>
                </c:pt>
                <c:pt idx="23">
                  <c:v>-0.95389888645344256</c:v>
                </c:pt>
                <c:pt idx="24">
                  <c:v>-1.0598306051782702</c:v>
                </c:pt>
                <c:pt idx="25">
                  <c:v>-1.1958193294178727</c:v>
                </c:pt>
                <c:pt idx="26">
                  <c:v>-1.1009064623141496</c:v>
                </c:pt>
                <c:pt idx="27">
                  <c:v>-0.98860442528873471</c:v>
                </c:pt>
                <c:pt idx="28">
                  <c:v>-1.0270180364697312</c:v>
                </c:pt>
                <c:pt idx="29">
                  <c:v>-0.93662526909069632</c:v>
                </c:pt>
                <c:pt idx="30">
                  <c:v>-1.1775134732902084</c:v>
                </c:pt>
                <c:pt idx="31">
                  <c:v>-1.2854149223410001</c:v>
                </c:pt>
                <c:pt idx="32">
                  <c:v>-1.3106745140257248</c:v>
                </c:pt>
                <c:pt idx="33">
                  <c:v>-1.3155797380292173</c:v>
                </c:pt>
                <c:pt idx="34">
                  <c:v>-1.3312808192380938</c:v>
                </c:pt>
                <c:pt idx="35">
                  <c:v>-1.3044752449386765</c:v>
                </c:pt>
                <c:pt idx="36">
                  <c:v>-1.2466956880972118</c:v>
                </c:pt>
                <c:pt idx="37">
                  <c:v>-1.4550618722859761</c:v>
                </c:pt>
                <c:pt idx="38">
                  <c:v>-1.4229272740237426</c:v>
                </c:pt>
                <c:pt idx="39">
                  <c:v>-1.5573750549698817</c:v>
                </c:pt>
                <c:pt idx="40">
                  <c:v>-1.6537548683263552</c:v>
                </c:pt>
                <c:pt idx="41">
                  <c:v>-1.6145578814667887</c:v>
                </c:pt>
                <c:pt idx="42">
                  <c:v>-1.5343531962169543</c:v>
                </c:pt>
                <c:pt idx="43">
                  <c:v>-1.506863124467986</c:v>
                </c:pt>
                <c:pt idx="44">
                  <c:v>-1.3951477795807428</c:v>
                </c:pt>
                <c:pt idx="45">
                  <c:v>-1.4002882290400258</c:v>
                </c:pt>
                <c:pt idx="46">
                  <c:v>-1.0738599563349114</c:v>
                </c:pt>
                <c:pt idx="47">
                  <c:v>-1.1617334212576209</c:v>
                </c:pt>
                <c:pt idx="48">
                  <c:v>-1.2198730213644109</c:v>
                </c:pt>
                <c:pt idx="49">
                  <c:v>-1.1418014448432039</c:v>
                </c:pt>
                <c:pt idx="50">
                  <c:v>-1.081174853417324</c:v>
                </c:pt>
                <c:pt idx="51">
                  <c:v>-1.3004044130140451</c:v>
                </c:pt>
                <c:pt idx="52">
                  <c:v>-1.3952559587399185</c:v>
                </c:pt>
                <c:pt idx="53">
                  <c:v>-1.3741227863014529</c:v>
                </c:pt>
                <c:pt idx="54">
                  <c:v>-1.4376960429387113</c:v>
                </c:pt>
                <c:pt idx="55">
                  <c:v>-1.4050380104720688</c:v>
                </c:pt>
                <c:pt idx="56">
                  <c:v>-1.5323240261388016</c:v>
                </c:pt>
                <c:pt idx="57">
                  <c:v>-1.6445207896964038</c:v>
                </c:pt>
                <c:pt idx="58">
                  <c:v>-1.6157195538926339</c:v>
                </c:pt>
                <c:pt idx="59">
                  <c:v>-1.6542904898900859</c:v>
                </c:pt>
                <c:pt idx="60">
                  <c:v>-1.5948346025116438</c:v>
                </c:pt>
                <c:pt idx="61">
                  <c:v>-1.5648915915482733</c:v>
                </c:pt>
                <c:pt idx="62">
                  <c:v>-1.5482861804174006</c:v>
                </c:pt>
                <c:pt idx="63">
                  <c:v>-1.5292803967980226</c:v>
                </c:pt>
                <c:pt idx="64">
                  <c:v>-1.4313173349449084</c:v>
                </c:pt>
                <c:pt idx="65">
                  <c:v>-1.3570928063736571</c:v>
                </c:pt>
                <c:pt idx="66">
                  <c:v>-1.4362631625040734</c:v>
                </c:pt>
                <c:pt idx="67">
                  <c:v>-1.5288515063537411</c:v>
                </c:pt>
                <c:pt idx="68">
                  <c:v>-1.5140440653592571</c:v>
                </c:pt>
                <c:pt idx="69">
                  <c:v>-1.327555368463055</c:v>
                </c:pt>
                <c:pt idx="70">
                  <c:v>-1.265226548816285</c:v>
                </c:pt>
                <c:pt idx="71">
                  <c:v>-1.3526212505917818</c:v>
                </c:pt>
                <c:pt idx="72">
                  <c:v>-0.7565145129512304</c:v>
                </c:pt>
                <c:pt idx="73">
                  <c:v>-0.57094270063832409</c:v>
                </c:pt>
                <c:pt idx="74">
                  <c:v>-0.62547046788771044</c:v>
                </c:pt>
                <c:pt idx="75">
                  <c:v>-1.1497696577801746</c:v>
                </c:pt>
                <c:pt idx="76">
                  <c:v>-1.2237654899894699</c:v>
                </c:pt>
                <c:pt idx="77">
                  <c:v>-1.3832539809360778</c:v>
                </c:pt>
                <c:pt idx="78">
                  <c:v>-1.6790214352964092</c:v>
                </c:pt>
                <c:pt idx="79">
                  <c:v>-1.5329478639795047</c:v>
                </c:pt>
                <c:pt idx="80">
                  <c:v>-1.5147239241408605</c:v>
                </c:pt>
                <c:pt idx="81">
                  <c:v>-1.4908718406354551</c:v>
                </c:pt>
                <c:pt idx="82">
                  <c:v>-1.3927291311656684</c:v>
                </c:pt>
                <c:pt idx="83">
                  <c:v>-1.5586149749241367</c:v>
                </c:pt>
                <c:pt idx="84">
                  <c:v>-1.4910995166594432</c:v>
                </c:pt>
                <c:pt idx="85">
                  <c:v>-1.4534327527281954</c:v>
                </c:pt>
                <c:pt idx="86">
                  <c:v>-1.2583755676490933</c:v>
                </c:pt>
                <c:pt idx="87">
                  <c:v>-1.2534678477963597</c:v>
                </c:pt>
                <c:pt idx="88">
                  <c:v>-1.1657753765553884</c:v>
                </c:pt>
                <c:pt idx="89">
                  <c:v>-1.1336682309628474</c:v>
                </c:pt>
                <c:pt idx="90">
                  <c:v>-1.7556503241562789</c:v>
                </c:pt>
                <c:pt idx="91">
                  <c:v>-1.8389835186443699</c:v>
                </c:pt>
                <c:pt idx="92">
                  <c:v>-1.7751570543515123</c:v>
                </c:pt>
                <c:pt idx="93">
                  <c:v>-1.7767859520963116</c:v>
                </c:pt>
                <c:pt idx="94">
                  <c:v>-1.8279659749150277</c:v>
                </c:pt>
                <c:pt idx="95">
                  <c:v>-1.890020296756743</c:v>
                </c:pt>
                <c:pt idx="96">
                  <c:v>-1.9211276671435007</c:v>
                </c:pt>
                <c:pt idx="97">
                  <c:v>-1.7966077245268226</c:v>
                </c:pt>
                <c:pt idx="98">
                  <c:v>-1.8322151975690129</c:v>
                </c:pt>
                <c:pt idx="99">
                  <c:v>-1.9192303638376289</c:v>
                </c:pt>
                <c:pt idx="100">
                  <c:v>-1.7806182643788526</c:v>
                </c:pt>
                <c:pt idx="101">
                  <c:v>-1.3409802485538909</c:v>
                </c:pt>
                <c:pt idx="102">
                  <c:v>-0.99849280030555554</c:v>
                </c:pt>
                <c:pt idx="103">
                  <c:v>-1.1306023692110629</c:v>
                </c:pt>
                <c:pt idx="104">
                  <c:v>-1.1142483634677027</c:v>
                </c:pt>
                <c:pt idx="105">
                  <c:v>-1.2581263713926225</c:v>
                </c:pt>
                <c:pt idx="106">
                  <c:v>-1.2912408985036998</c:v>
                </c:pt>
                <c:pt idx="107">
                  <c:v>-0.9857188300188291</c:v>
                </c:pt>
                <c:pt idx="108">
                  <c:v>-1.0874813103188719</c:v>
                </c:pt>
                <c:pt idx="109">
                  <c:v>-0.97715040938885089</c:v>
                </c:pt>
                <c:pt idx="110">
                  <c:v>-1.0333556616853188</c:v>
                </c:pt>
                <c:pt idx="111">
                  <c:v>-1.0088666054169113</c:v>
                </c:pt>
                <c:pt idx="112">
                  <c:v>-1.1211327873090517</c:v>
                </c:pt>
                <c:pt idx="113">
                  <c:v>-1.14702645448406</c:v>
                </c:pt>
                <c:pt idx="114">
                  <c:v>-1.1572975282974503</c:v>
                </c:pt>
                <c:pt idx="115">
                  <c:v>-1.202853268534273</c:v>
                </c:pt>
                <c:pt idx="116">
                  <c:v>-1.3086902600128929</c:v>
                </c:pt>
                <c:pt idx="117">
                  <c:v>-1.295365364590338</c:v>
                </c:pt>
                <c:pt idx="118">
                  <c:v>-1.3659128674187369</c:v>
                </c:pt>
                <c:pt idx="119">
                  <c:v>-1.3332678815037278</c:v>
                </c:pt>
                <c:pt idx="120">
                  <c:v>-1.28344975334112</c:v>
                </c:pt>
                <c:pt idx="121">
                  <c:v>-1.4027630429238871</c:v>
                </c:pt>
                <c:pt idx="122">
                  <c:v>-1.4692587133301918</c:v>
                </c:pt>
                <c:pt idx="123">
                  <c:v>-1.5671281800559165</c:v>
                </c:pt>
                <c:pt idx="124">
                  <c:v>-1.4715101122630472</c:v>
                </c:pt>
                <c:pt idx="125">
                  <c:v>-1.3820994070685715</c:v>
                </c:pt>
                <c:pt idx="126">
                  <c:v>-1.3395672558115952</c:v>
                </c:pt>
                <c:pt idx="127">
                  <c:v>-1.6011275215455774</c:v>
                </c:pt>
                <c:pt idx="128">
                  <c:v>-1.532536841359895</c:v>
                </c:pt>
                <c:pt idx="129">
                  <c:v>-1.4920437901511909</c:v>
                </c:pt>
                <c:pt idx="130">
                  <c:v>-1.4052171653673602</c:v>
                </c:pt>
                <c:pt idx="131">
                  <c:v>-1.5465785911508643</c:v>
                </c:pt>
                <c:pt idx="132">
                  <c:v>-1.5926240439091539</c:v>
                </c:pt>
                <c:pt idx="133">
                  <c:v>-1.5284362331302412</c:v>
                </c:pt>
                <c:pt idx="134">
                  <c:v>-1.4198825370490324</c:v>
                </c:pt>
                <c:pt idx="135">
                  <c:v>-1.363563595878527</c:v>
                </c:pt>
                <c:pt idx="136">
                  <c:v>-1.3676975141333285</c:v>
                </c:pt>
                <c:pt idx="137">
                  <c:v>-1.2360162156550194</c:v>
                </c:pt>
                <c:pt idx="138">
                  <c:v>-1.2065076645544914</c:v>
                </c:pt>
                <c:pt idx="139">
                  <c:v>-1.2835443720555071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840-427E-B7D7-987FBE492C65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-0.19610060513720848</c:v>
                </c:pt>
                <c:pt idx="2">
                  <c:v>-0.17393107874877595</c:v>
                </c:pt>
                <c:pt idx="3">
                  <c:v>-0.13809502781813601</c:v>
                </c:pt>
                <c:pt idx="4">
                  <c:v>-0.29514302539437332</c:v>
                </c:pt>
                <c:pt idx="5">
                  <c:v>-0.25928722873941668</c:v>
                </c:pt>
                <c:pt idx="6">
                  <c:v>-1.8900983968500873E-2</c:v>
                </c:pt>
                <c:pt idx="7">
                  <c:v>-0.11026424846058792</c:v>
                </c:pt>
                <c:pt idx="8">
                  <c:v>2.4278009015854266E-2</c:v>
                </c:pt>
                <c:pt idx="9">
                  <c:v>-0.14253404591542584</c:v>
                </c:pt>
                <c:pt idx="10">
                  <c:v>-0.32930731915435296</c:v>
                </c:pt>
                <c:pt idx="11">
                  <c:v>-2.0158716029721271</c:v>
                </c:pt>
                <c:pt idx="12">
                  <c:v>-2.0254793185623021</c:v>
                </c:pt>
                <c:pt idx="13">
                  <c:v>-2.0725058880282496</c:v>
                </c:pt>
                <c:pt idx="14">
                  <c:v>-2.0078528127923803</c:v>
                </c:pt>
                <c:pt idx="15">
                  <c:v>-2.1554203978187587</c:v>
                </c:pt>
                <c:pt idx="16">
                  <c:v>-2.1833922256640315</c:v>
                </c:pt>
                <c:pt idx="17">
                  <c:v>-2.0951151859310886</c:v>
                </c:pt>
                <c:pt idx="18">
                  <c:v>-1.8092588959496878</c:v>
                </c:pt>
                <c:pt idx="19">
                  <c:v>-1.680681615162424</c:v>
                </c:pt>
                <c:pt idx="20">
                  <c:v>-2.2518730185077471</c:v>
                </c:pt>
                <c:pt idx="21">
                  <c:v>-2.0669545486577947</c:v>
                </c:pt>
                <c:pt idx="22">
                  <c:v>-2.0471119605232313</c:v>
                </c:pt>
                <c:pt idx="23">
                  <c:v>-2.0715065092728073</c:v>
                </c:pt>
                <c:pt idx="24">
                  <c:v>-2.1658660920866017</c:v>
                </c:pt>
                <c:pt idx="25">
                  <c:v>-2.3501175147553801</c:v>
                </c:pt>
                <c:pt idx="26">
                  <c:v>-2.3418300487166195</c:v>
                </c:pt>
                <c:pt idx="27">
                  <c:v>-2.4421615683854583</c:v>
                </c:pt>
                <c:pt idx="28">
                  <c:v>-2.5373998401088245</c:v>
                </c:pt>
                <c:pt idx="29">
                  <c:v>-2.3716960604622823</c:v>
                </c:pt>
                <c:pt idx="30">
                  <c:v>-2.6125909563021144</c:v>
                </c:pt>
                <c:pt idx="31">
                  <c:v>-2.7430770562147515</c:v>
                </c:pt>
                <c:pt idx="32">
                  <c:v>-2.7541990523981208</c:v>
                </c:pt>
                <c:pt idx="33">
                  <c:v>-2.6687638506072568</c:v>
                </c:pt>
                <c:pt idx="34">
                  <c:v>-2.7249188183180375</c:v>
                </c:pt>
                <c:pt idx="35">
                  <c:v>-2.621740392596156</c:v>
                </c:pt>
                <c:pt idx="36">
                  <c:v>-2.6264937536657516</c:v>
                </c:pt>
                <c:pt idx="37">
                  <c:v>-2.9244915468601969</c:v>
                </c:pt>
                <c:pt idx="38">
                  <c:v>-3.0071832627053103</c:v>
                </c:pt>
                <c:pt idx="39">
                  <c:v>-3.0850374345106388</c:v>
                </c:pt>
                <c:pt idx="40">
                  <c:v>-3.1146358293353611</c:v>
                </c:pt>
                <c:pt idx="41">
                  <c:v>-3.0254845098000205</c:v>
                </c:pt>
                <c:pt idx="42">
                  <c:v>-2.9290809535818996</c:v>
                </c:pt>
                <c:pt idx="43">
                  <c:v>-2.8588913914204341</c:v>
                </c:pt>
                <c:pt idx="44">
                  <c:v>-2.4424618259944668</c:v>
                </c:pt>
                <c:pt idx="45">
                  <c:v>-2.4761933022432641</c:v>
                </c:pt>
                <c:pt idx="46">
                  <c:v>-1.9844419214786237</c:v>
                </c:pt>
                <c:pt idx="47">
                  <c:v>-2.0782731832153019</c:v>
                </c:pt>
                <c:pt idx="48">
                  <c:v>-2.345708927901772</c:v>
                </c:pt>
                <c:pt idx="49">
                  <c:v>-2.2270852028305956</c:v>
                </c:pt>
                <c:pt idx="50">
                  <c:v>-2.2061543986181875</c:v>
                </c:pt>
                <c:pt idx="51">
                  <c:v>-2.3252285900381908</c:v>
                </c:pt>
                <c:pt idx="52">
                  <c:v>-2.2295536269787006</c:v>
                </c:pt>
                <c:pt idx="53">
                  <c:v>-2.210922592891837</c:v>
                </c:pt>
                <c:pt idx="54">
                  <c:v>-2.3369379554141858</c:v>
                </c:pt>
                <c:pt idx="55">
                  <c:v>-2.4379745413292726</c:v>
                </c:pt>
                <c:pt idx="56">
                  <c:v>-2.4824662647384903</c:v>
                </c:pt>
                <c:pt idx="57">
                  <c:v>-2.5263003097287369</c:v>
                </c:pt>
                <c:pt idx="58">
                  <c:v>-2.4141500377588017</c:v>
                </c:pt>
                <c:pt idx="59">
                  <c:v>-2.4783096992593352</c:v>
                </c:pt>
                <c:pt idx="60">
                  <c:v>-2.4202689239320536</c:v>
                </c:pt>
                <c:pt idx="61">
                  <c:v>-2.3114586086692928</c:v>
                </c:pt>
                <c:pt idx="62">
                  <c:v>-2.1677769597653915</c:v>
                </c:pt>
                <c:pt idx="63">
                  <c:v>-2.1098274184085608</c:v>
                </c:pt>
                <c:pt idx="64">
                  <c:v>-1.9619821470596162</c:v>
                </c:pt>
                <c:pt idx="65">
                  <c:v>-1.9634602543259583</c:v>
                </c:pt>
                <c:pt idx="66">
                  <c:v>-2.1407382870306377</c:v>
                </c:pt>
                <c:pt idx="67">
                  <c:v>-2.0467154648453563</c:v>
                </c:pt>
                <c:pt idx="68">
                  <c:v>-2.0938937683479764</c:v>
                </c:pt>
                <c:pt idx="69">
                  <c:v>-1.9021197520803228</c:v>
                </c:pt>
                <c:pt idx="70">
                  <c:v>-1.9108682443951683</c:v>
                </c:pt>
                <c:pt idx="71">
                  <c:v>-1.8770708648118777</c:v>
                </c:pt>
                <c:pt idx="72">
                  <c:v>-0.76805879477451566</c:v>
                </c:pt>
                <c:pt idx="73">
                  <c:v>-0.5232537466791265</c:v>
                </c:pt>
                <c:pt idx="74">
                  <c:v>-0.54396469558358407</c:v>
                </c:pt>
                <c:pt idx="75">
                  <c:v>-1.2434817120641461</c:v>
                </c:pt>
                <c:pt idx="76">
                  <c:v>-1.2746830429040261</c:v>
                </c:pt>
                <c:pt idx="77">
                  <c:v>-1.438601439722224</c:v>
                </c:pt>
                <c:pt idx="78">
                  <c:v>-1.8339558043411779</c:v>
                </c:pt>
                <c:pt idx="79">
                  <c:v>-1.7943390241604507</c:v>
                </c:pt>
                <c:pt idx="80">
                  <c:v>-1.7883474617902837</c:v>
                </c:pt>
                <c:pt idx="81">
                  <c:v>-1.7890248608802704</c:v>
                </c:pt>
                <c:pt idx="82">
                  <c:v>-1.8987878487492122</c:v>
                </c:pt>
                <c:pt idx="83">
                  <c:v>-1.999690695867439</c:v>
                </c:pt>
                <c:pt idx="84">
                  <c:v>-2.0326025524446698</c:v>
                </c:pt>
                <c:pt idx="85">
                  <c:v>-1.9711744897544425</c:v>
                </c:pt>
                <c:pt idx="86">
                  <c:v>-1.6440900454260607</c:v>
                </c:pt>
                <c:pt idx="87">
                  <c:v>-1.6444886755931469</c:v>
                </c:pt>
                <c:pt idx="88">
                  <c:v>-1.7313348299935574</c:v>
                </c:pt>
                <c:pt idx="89">
                  <c:v>-1.6227724486982362</c:v>
                </c:pt>
                <c:pt idx="90">
                  <c:v>-2.3385014574235967</c:v>
                </c:pt>
                <c:pt idx="91">
                  <c:v>-2.4099403146388085</c:v>
                </c:pt>
                <c:pt idx="92">
                  <c:v>-2.3671866640735337</c:v>
                </c:pt>
                <c:pt idx="93">
                  <c:v>-2.3893129438675151</c:v>
                </c:pt>
                <c:pt idx="94">
                  <c:v>-2.3502652507669244</c:v>
                </c:pt>
                <c:pt idx="95">
                  <c:v>-2.3696706604613769</c:v>
                </c:pt>
                <c:pt idx="96">
                  <c:v>-2.5161263040668347</c:v>
                </c:pt>
                <c:pt idx="97">
                  <c:v>-2.4130199828263841</c:v>
                </c:pt>
                <c:pt idx="98">
                  <c:v>-2.4038739397388338</c:v>
                </c:pt>
                <c:pt idx="99">
                  <c:v>-2.4795550852781494</c:v>
                </c:pt>
                <c:pt idx="100">
                  <c:v>-2.2408470174228281</c:v>
                </c:pt>
                <c:pt idx="101">
                  <c:v>-1.8411982946361034</c:v>
                </c:pt>
                <c:pt idx="102">
                  <c:v>-1.8102480485950023</c:v>
                </c:pt>
                <c:pt idx="103">
                  <c:v>-1.8721336346056008</c:v>
                </c:pt>
                <c:pt idx="104">
                  <c:v>-1.6945432285341016</c:v>
                </c:pt>
                <c:pt idx="105">
                  <c:v>-1.6969100935443677</c:v>
                </c:pt>
                <c:pt idx="106">
                  <c:v>-1.7449069216944038</c:v>
                </c:pt>
                <c:pt idx="107">
                  <c:v>-1.4643912042783023</c:v>
                </c:pt>
                <c:pt idx="108">
                  <c:v>-1.5963801092610863</c:v>
                </c:pt>
                <c:pt idx="109">
                  <c:v>-1.4797719317778271</c:v>
                </c:pt>
                <c:pt idx="110">
                  <c:v>-1.6145348885751272</c:v>
                </c:pt>
                <c:pt idx="111">
                  <c:v>-1.581937688375566</c:v>
                </c:pt>
                <c:pt idx="112">
                  <c:v>-1.4174791009060956</c:v>
                </c:pt>
                <c:pt idx="113">
                  <c:v>-1.442283326867865</c:v>
                </c:pt>
                <c:pt idx="114">
                  <c:v>-1.5236928705014359</c:v>
                </c:pt>
                <c:pt idx="115">
                  <c:v>-1.541775998708516</c:v>
                </c:pt>
                <c:pt idx="116">
                  <c:v>-1.6990638190969942</c:v>
                </c:pt>
                <c:pt idx="117">
                  <c:v>-1.8130496595863199</c:v>
                </c:pt>
                <c:pt idx="118">
                  <c:v>-1.9034640646086451</c:v>
                </c:pt>
                <c:pt idx="119">
                  <c:v>-1.8511729837717672</c:v>
                </c:pt>
                <c:pt idx="120">
                  <c:v>-1.9123605625466542</c:v>
                </c:pt>
                <c:pt idx="121">
                  <c:v>-2.0113429209394265</c:v>
                </c:pt>
                <c:pt idx="122">
                  <c:v>-2.135086612830376</c:v>
                </c:pt>
                <c:pt idx="123">
                  <c:v>-2.0370397780277503</c:v>
                </c:pt>
                <c:pt idx="124">
                  <c:v>-1.993909234479887</c:v>
                </c:pt>
                <c:pt idx="125">
                  <c:v>-2.1382567661926513</c:v>
                </c:pt>
                <c:pt idx="126">
                  <c:v>-2.1169152060312753</c:v>
                </c:pt>
                <c:pt idx="127">
                  <c:v>-2.2449844265988572</c:v>
                </c:pt>
                <c:pt idx="128">
                  <c:v>-2.1678206287936481</c:v>
                </c:pt>
                <c:pt idx="129">
                  <c:v>-2.2173721684157606</c:v>
                </c:pt>
                <c:pt idx="130">
                  <c:v>-2.181302214558559</c:v>
                </c:pt>
                <c:pt idx="131">
                  <c:v>-2.2526433560246848</c:v>
                </c:pt>
                <c:pt idx="132">
                  <c:v>-2.3642100380419206</c:v>
                </c:pt>
                <c:pt idx="133">
                  <c:v>-2.161553705556694</c:v>
                </c:pt>
                <c:pt idx="134">
                  <c:v>-2.00243672052693</c:v>
                </c:pt>
                <c:pt idx="135">
                  <c:v>-1.980818413760226</c:v>
                </c:pt>
                <c:pt idx="136">
                  <c:v>-2.0141160963678111</c:v>
                </c:pt>
                <c:pt idx="137">
                  <c:v>-1.8759663330407541</c:v>
                </c:pt>
                <c:pt idx="138">
                  <c:v>-1.8564742525852245</c:v>
                </c:pt>
                <c:pt idx="139">
                  <c:v>-2.03407816499745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40-427E-B7D7-987FBE492C65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40-427E-B7D7-987FBE492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8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8">
        <v>20</v>
      </c>
      <c r="B13" s="18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8">
        <v>50</v>
      </c>
      <c r="B14" s="18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8">
        <v>110</v>
      </c>
      <c r="B15" s="18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8">
        <v>120</v>
      </c>
      <c r="B16" s="18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8">
        <v>130</v>
      </c>
      <c r="B17" s="18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8">
        <v>150</v>
      </c>
      <c r="B18" s="18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8">
        <v>180</v>
      </c>
      <c r="B19" s="18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8">
        <v>200</v>
      </c>
      <c r="B20" s="18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8">
        <v>256</v>
      </c>
      <c r="B21" s="18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8">
        <v>400</v>
      </c>
      <c r="B22" s="18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8">
        <v>512</v>
      </c>
      <c r="B23" s="18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8">
        <v>1051</v>
      </c>
      <c r="B24" s="18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DW13" sqref="DW13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5.6118451058864587E-2</v>
      </c>
      <c r="D3" s="2">
        <v>7.8115358948707581E-2</v>
      </c>
      <c r="E3" s="2">
        <v>-0.1415126770734787</v>
      </c>
      <c r="F3" s="2">
        <v>-8.4760263562202454E-2</v>
      </c>
      <c r="G3" s="2">
        <v>-1.6393894329667091E-2</v>
      </c>
      <c r="H3" s="2">
        <v>-2.1295100450515751E-2</v>
      </c>
      <c r="I3" s="2">
        <v>-1.096068881452084E-3</v>
      </c>
      <c r="J3" s="2">
        <v>6.4448930323123932E-2</v>
      </c>
      <c r="K3" s="2">
        <v>9.3935757875442505E-2</v>
      </c>
      <c r="L3" s="2">
        <v>7.7676363289356232E-2</v>
      </c>
      <c r="M3" s="2">
        <v>4.422677680850029E-3</v>
      </c>
      <c r="N3" s="2">
        <v>9.7503647208213806E-2</v>
      </c>
      <c r="O3" s="2">
        <v>-2.549671940505505E-2</v>
      </c>
      <c r="P3" s="2">
        <v>-1.3179603032767769E-2</v>
      </c>
      <c r="Q3" s="2">
        <v>5.1645436324179173E-3</v>
      </c>
      <c r="R3" s="2">
        <v>-1.723375171422958E-2</v>
      </c>
      <c r="S3" s="2">
        <v>0.11152903735637661</v>
      </c>
      <c r="T3" s="2">
        <v>3.4847687929868698E-2</v>
      </c>
      <c r="U3" s="2">
        <v>5.9024035930633538E-2</v>
      </c>
      <c r="V3" s="2">
        <v>1.7716789618134499E-2</v>
      </c>
      <c r="W3" s="2">
        <v>-6.4256582409143448E-3</v>
      </c>
      <c r="X3" s="2">
        <v>-2.2693565115332599E-3</v>
      </c>
      <c r="Y3" s="2">
        <v>3.7778280675411217E-2</v>
      </c>
      <c r="Z3" s="2">
        <v>1.1676935479044911E-2</v>
      </c>
      <c r="AA3" s="2">
        <v>-8.7502934038639069E-3</v>
      </c>
      <c r="AB3" s="2">
        <v>-3.5473756492137909E-2</v>
      </c>
      <c r="AC3" s="2">
        <v>3.1332850456237793E-2</v>
      </c>
      <c r="AD3" s="2">
        <v>1.555768307298422E-2</v>
      </c>
      <c r="AE3" s="2">
        <v>0.1190536841750145</v>
      </c>
      <c r="AF3" s="2">
        <v>-1.9357252866029739E-2</v>
      </c>
      <c r="AG3" s="2">
        <v>5.5650390684604638E-2</v>
      </c>
      <c r="AH3" s="2">
        <v>1.4775607734918589E-2</v>
      </c>
      <c r="AI3" s="2">
        <v>7.8147970139980316E-2</v>
      </c>
      <c r="AJ3" s="2">
        <v>-5.1067054271697998E-2</v>
      </c>
      <c r="AK3" s="2">
        <v>2.9277428984642029E-2</v>
      </c>
      <c r="AL3" s="2">
        <v>0.1074956804513931</v>
      </c>
      <c r="AM3" s="2">
        <v>5.5360257625579827E-2</v>
      </c>
      <c r="AN3" s="2">
        <v>-5.8350309729576111E-2</v>
      </c>
      <c r="AO3" s="2">
        <v>3.7394411861896508E-2</v>
      </c>
      <c r="AP3" s="2">
        <v>4.5363374054431922E-2</v>
      </c>
      <c r="AQ3" s="2">
        <v>0.14594569802284241</v>
      </c>
      <c r="AR3" s="2">
        <v>9.9557004868984222E-2</v>
      </c>
      <c r="AS3" s="2">
        <v>1.506671868264675E-2</v>
      </c>
      <c r="AT3" s="2">
        <v>-1.1696591973304751E-3</v>
      </c>
      <c r="AU3" s="2">
        <v>-4.7236192971467972E-2</v>
      </c>
      <c r="AV3" s="2">
        <v>-3.464246541261673E-2</v>
      </c>
      <c r="AW3" s="2">
        <v>4.0531452745199197E-2</v>
      </c>
      <c r="AX3" s="2">
        <v>2.6697341352701191E-2</v>
      </c>
      <c r="AY3" s="2">
        <v>5.6539479643106461E-2</v>
      </c>
      <c r="AZ3" s="2">
        <v>5.4159634746611118E-3</v>
      </c>
      <c r="BA3" s="2">
        <v>-4.3942347168922417E-2</v>
      </c>
      <c r="BB3" s="2">
        <v>9.4006329774856567E-2</v>
      </c>
      <c r="BC3" s="2">
        <v>2.8445800766348839E-2</v>
      </c>
      <c r="BD3" s="2">
        <v>2.4129733443260189E-2</v>
      </c>
      <c r="BE3" s="2">
        <v>-1.6681114211678501E-2</v>
      </c>
      <c r="BF3" s="2">
        <v>-2.0862789824604992E-2</v>
      </c>
      <c r="BG3" s="2">
        <v>5.2014391869306557E-2</v>
      </c>
      <c r="BH3" s="2">
        <v>-3.3232644200325012E-2</v>
      </c>
      <c r="BI3" s="2">
        <v>-1.9028045237064362E-2</v>
      </c>
      <c r="BJ3" s="2">
        <v>-4.3040025979280472E-2</v>
      </c>
      <c r="BK3" s="2">
        <v>3.582623228430748E-2</v>
      </c>
      <c r="BL3" s="2">
        <v>5.2610065788030617E-2</v>
      </c>
      <c r="BM3" s="2">
        <v>0.16467450559139249</v>
      </c>
      <c r="BN3" s="2">
        <v>5.6239485740661621E-2</v>
      </c>
      <c r="BO3" s="2">
        <v>5.7048242539167397E-2</v>
      </c>
      <c r="BP3" s="2">
        <v>3.7904918193817139E-2</v>
      </c>
      <c r="BQ3" s="2">
        <v>5.388949066400528E-2</v>
      </c>
      <c r="BR3" s="2">
        <v>1.972170919179916E-2</v>
      </c>
      <c r="BS3" s="2">
        <v>5.4315824061632163E-2</v>
      </c>
      <c r="BT3" s="2">
        <v>4.7150813043117523E-2</v>
      </c>
      <c r="BU3" s="2">
        <v>-1.264089345932007E-2</v>
      </c>
      <c r="BV3" s="2">
        <v>-4.7596141695976257E-2</v>
      </c>
      <c r="BW3" s="2">
        <v>-1.6428106464445591E-3</v>
      </c>
      <c r="BX3" s="2">
        <v>4.7259576618671417E-2</v>
      </c>
      <c r="BY3" s="2">
        <v>4.9359224736690521E-2</v>
      </c>
      <c r="BZ3" s="2">
        <v>5.029325932264328E-2</v>
      </c>
      <c r="CA3" s="2">
        <v>-3.8853023201227188E-2</v>
      </c>
      <c r="CB3" s="2">
        <v>-2.5492530316114429E-2</v>
      </c>
      <c r="CC3" s="2">
        <v>5.2212677896022797E-2</v>
      </c>
      <c r="CD3" s="2">
        <v>1.63656659424305E-2</v>
      </c>
      <c r="CE3" s="2">
        <v>4.7712299972772598E-2</v>
      </c>
      <c r="CF3" s="2">
        <v>5.1156952977180481E-2</v>
      </c>
      <c r="CG3" s="2">
        <v>6.3695372082293034E-3</v>
      </c>
      <c r="CH3" s="2">
        <v>5.0260737538337708E-2</v>
      </c>
      <c r="CI3" s="2">
        <v>4.8383045941591263E-2</v>
      </c>
      <c r="CJ3" s="2">
        <v>4.9879353493452072E-2</v>
      </c>
      <c r="CK3" s="2">
        <v>-2.0379621535539631E-2</v>
      </c>
      <c r="CL3" s="2">
        <v>5.1040831953287118E-2</v>
      </c>
      <c r="CM3" s="2">
        <v>7.0432275533676147E-2</v>
      </c>
      <c r="CN3" s="2">
        <v>4.9308884888887412E-2</v>
      </c>
      <c r="CO3" s="2">
        <v>4.8468071967363358E-2</v>
      </c>
      <c r="CP3" s="2">
        <v>-3.0516274273395538E-3</v>
      </c>
      <c r="CQ3" s="2">
        <v>4.8940815031528473E-2</v>
      </c>
      <c r="CR3" s="2">
        <v>3.7696417421102519E-3</v>
      </c>
      <c r="CS3" s="2">
        <v>2.9329795390367511E-2</v>
      </c>
      <c r="CT3" s="2">
        <v>2.7245944365859032E-2</v>
      </c>
      <c r="CU3" s="2">
        <v>4.482705146074295E-2</v>
      </c>
      <c r="CV3" s="2">
        <v>2.256998606026173E-2</v>
      </c>
      <c r="CW3" s="2">
        <v>6.3389554619789124E-2</v>
      </c>
      <c r="CX3" s="2">
        <v>-3.9971958845853812E-2</v>
      </c>
      <c r="CY3" s="2">
        <v>5.2212778478860862E-2</v>
      </c>
      <c r="CZ3" s="2">
        <v>1.1289088055491449E-2</v>
      </c>
      <c r="DA3" s="2">
        <v>4.4644389301538467E-2</v>
      </c>
      <c r="DB3" s="2">
        <v>2.5936665013432499E-2</v>
      </c>
      <c r="DC3" s="2">
        <v>9.5405779778957367E-2</v>
      </c>
      <c r="DD3" s="2">
        <v>-4.5570109039545059E-2</v>
      </c>
      <c r="DE3" s="2">
        <v>5.2781801670789719E-2</v>
      </c>
      <c r="DF3" s="2">
        <v>4.5374881476163857E-2</v>
      </c>
      <c r="DG3" s="2">
        <v>4.444977268576622E-2</v>
      </c>
      <c r="DH3" s="2">
        <v>0.22446863353252411</v>
      </c>
      <c r="DI3" s="2">
        <v>3.3412754535675049E-2</v>
      </c>
      <c r="DJ3" s="2">
        <v>5.2645519375801093E-2</v>
      </c>
      <c r="DK3" s="2">
        <v>4.6334173530340188E-2</v>
      </c>
      <c r="DL3" s="2">
        <v>7.6330825686454773E-2</v>
      </c>
      <c r="DM3" s="2">
        <v>-6.475723534822464E-2</v>
      </c>
      <c r="DN3" s="2">
        <v>4.6702113002538681E-2</v>
      </c>
      <c r="DO3" s="2">
        <v>-4.7201156616210938E-2</v>
      </c>
      <c r="DP3" s="2">
        <v>3.1396467238664627E-2</v>
      </c>
      <c r="DQ3" s="2">
        <v>4.92582768201828E-2</v>
      </c>
      <c r="DR3" s="2">
        <v>4.8483997583389282E-2</v>
      </c>
      <c r="DS3" s="2">
        <v>-4.2000178247690201E-2</v>
      </c>
      <c r="DT3" s="2">
        <v>4.7626849263906479E-2</v>
      </c>
      <c r="DU3" s="2">
        <v>4.7286637127399438E-2</v>
      </c>
      <c r="DV3" s="2">
        <v>1.50144137442112E-2</v>
      </c>
      <c r="DW3" s="2">
        <v>-6.3924841582775116E-2</v>
      </c>
      <c r="DX3" s="2">
        <v>4.7122903168201447E-2</v>
      </c>
      <c r="DY3" s="2">
        <v>-1.8260244280099869E-2</v>
      </c>
      <c r="DZ3" s="2">
        <v>8.7747782468795776E-2</v>
      </c>
      <c r="EA3" s="2">
        <v>4.5896410942077637E-2</v>
      </c>
      <c r="EB3" s="2">
        <v>-3.0745090916752819E-2</v>
      </c>
      <c r="EC3" s="2">
        <v>3.641965240240097E-2</v>
      </c>
      <c r="ED3" s="2">
        <v>3.9232797920703888E-2</v>
      </c>
      <c r="EE3" s="2">
        <v>4.7465469688177109E-2</v>
      </c>
      <c r="EF3" s="2">
        <v>2.1230563521385189E-2</v>
      </c>
      <c r="EG3" s="2">
        <v>4.3058428913354867E-2</v>
      </c>
      <c r="EH3" s="2">
        <v>6.2204215675592422E-2</v>
      </c>
      <c r="EI3" s="2">
        <v>5.3044430911540992E-2</v>
      </c>
      <c r="EJ3" s="2">
        <v>4.5776788145303733E-2</v>
      </c>
      <c r="EK3" s="2">
        <v>5.0296429544687271E-2</v>
      </c>
      <c r="EL3" s="2">
        <v>4.6629093587398529E-2</v>
      </c>
      <c r="EM3" s="2">
        <v>4.6508841216564178E-2</v>
      </c>
    </row>
    <row r="4" spans="1:145" x14ac:dyDescent="0.3">
      <c r="B4" s="6" t="s">
        <v>144</v>
      </c>
      <c r="C4" s="2">
        <v>2.637306414544582E-2</v>
      </c>
      <c r="D4" s="2">
        <v>4.597201943397522E-2</v>
      </c>
      <c r="E4" s="2">
        <v>-3.1721506267786033E-2</v>
      </c>
      <c r="F4" s="2">
        <v>-3.1267769634723663E-2</v>
      </c>
      <c r="G4" s="2">
        <v>-9.326620027422905E-3</v>
      </c>
      <c r="H4" s="2">
        <v>-4.1918478906154633E-2</v>
      </c>
      <c r="I4" s="2">
        <v>-3.2251551747322078E-3</v>
      </c>
      <c r="J4" s="2">
        <v>-2.9109448194503781E-2</v>
      </c>
      <c r="K4" s="2">
        <v>-1.5017589554190639E-2</v>
      </c>
      <c r="L4" s="2">
        <v>3.2963566482067108E-2</v>
      </c>
      <c r="M4" s="2">
        <v>-4.2787168174982071E-2</v>
      </c>
      <c r="N4" s="2">
        <v>8.8435836136341095E-2</v>
      </c>
      <c r="O4" s="2">
        <v>-1.9587144255638119E-2</v>
      </c>
      <c r="P4" s="2">
        <v>3.8856223225593567E-2</v>
      </c>
      <c r="Q4" s="2">
        <v>2.292590960860252E-2</v>
      </c>
      <c r="R4" s="2">
        <v>9.1378994286060333E-2</v>
      </c>
      <c r="S4" s="2">
        <v>2.1565936505794529E-2</v>
      </c>
      <c r="T4" s="2">
        <v>-1.9828533753752708E-2</v>
      </c>
      <c r="U4" s="2">
        <v>-0.20099139213562009</v>
      </c>
      <c r="V4" s="2">
        <v>-3.1301669776439667E-2</v>
      </c>
      <c r="W4" s="2">
        <v>-3.096821159124374E-2</v>
      </c>
      <c r="X4" s="2">
        <v>-2.945495210587978E-2</v>
      </c>
      <c r="Y4" s="2">
        <v>3.9161346852779388E-2</v>
      </c>
      <c r="Z4" s="2">
        <v>-6.3054509460926056E-2</v>
      </c>
      <c r="AA4" s="2">
        <v>0.29351425170898438</v>
      </c>
      <c r="AB4" s="2">
        <v>-5.1668956875801093E-2</v>
      </c>
      <c r="AC4" s="2">
        <v>-5.8906577527523041E-2</v>
      </c>
      <c r="AD4" s="2">
        <v>-1.479410566389561E-2</v>
      </c>
      <c r="AE4" s="2">
        <v>-8.5164092481136322E-2</v>
      </c>
      <c r="AF4" s="2">
        <v>6.4832724630832672E-2</v>
      </c>
      <c r="AG4" s="2">
        <v>-2.9173806309700009E-2</v>
      </c>
      <c r="AH4" s="2">
        <v>3.0198957771062851E-2</v>
      </c>
      <c r="AI4" s="2">
        <v>-4.7617070376873023E-2</v>
      </c>
      <c r="AJ4" s="2">
        <v>-8.1800997257232666E-2</v>
      </c>
      <c r="AK4" s="2">
        <v>-2.1800028160214421E-2</v>
      </c>
      <c r="AL4" s="2">
        <v>-0.1100530177354813</v>
      </c>
      <c r="AM4" s="2">
        <v>-3.5073071718215942E-2</v>
      </c>
      <c r="AN4" s="2">
        <v>-4.340009018778801E-2</v>
      </c>
      <c r="AO4" s="2">
        <v>0.48250654339790339</v>
      </c>
      <c r="AP4" s="2">
        <v>-2.2009238600730899E-2</v>
      </c>
      <c r="AQ4" s="2">
        <v>-3.320765495300293E-2</v>
      </c>
      <c r="AR4" s="2">
        <v>-3.8729634135961533E-2</v>
      </c>
      <c r="AS4" s="2">
        <v>-2.8297137469053268E-2</v>
      </c>
      <c r="AT4" s="2">
        <v>0.10524175316095349</v>
      </c>
      <c r="AU4" s="2">
        <v>-3.1704992055892937E-2</v>
      </c>
      <c r="AV4" s="2">
        <v>6.7514353431761256E-3</v>
      </c>
      <c r="AW4" s="2">
        <v>-0.96225237846374512</v>
      </c>
      <c r="AX4" s="2">
        <v>4.101233184337616E-2</v>
      </c>
      <c r="AY4" s="2">
        <v>-5.6369602680206299E-3</v>
      </c>
      <c r="AZ4" s="2">
        <v>-5.1676530390977859E-2</v>
      </c>
      <c r="BA4" s="2">
        <v>1.325516775250435E-2</v>
      </c>
      <c r="BB4" s="2">
        <v>4.476025328040123E-2</v>
      </c>
      <c r="BC4" s="2">
        <v>-1.107941567897797E-2</v>
      </c>
      <c r="BD4" s="2">
        <v>-0.38229072093963617</v>
      </c>
      <c r="BE4" s="2">
        <v>-2.2616449743509289E-2</v>
      </c>
      <c r="BF4" s="2">
        <v>-3.5860244184732437E-2</v>
      </c>
      <c r="BG4" s="2">
        <v>-4.5156531035900123E-2</v>
      </c>
      <c r="BH4" s="2">
        <v>4.3198607861995697E-2</v>
      </c>
      <c r="BI4" s="2">
        <v>-3.2893676310777657E-2</v>
      </c>
      <c r="BJ4" s="2">
        <v>-3.3156313002109528E-2</v>
      </c>
      <c r="BK4" s="2">
        <v>-0.49124959111213679</v>
      </c>
      <c r="BL4" s="2">
        <v>-4.1894607245922089E-2</v>
      </c>
      <c r="BM4" s="2">
        <v>-4.8348039388656623E-2</v>
      </c>
      <c r="BN4" s="2">
        <v>2.9559984803199772E-2</v>
      </c>
      <c r="BO4" s="2">
        <v>4.2817052453756332E-2</v>
      </c>
      <c r="BP4" s="2">
        <v>-2.2469896823167801E-2</v>
      </c>
      <c r="BQ4" s="2">
        <v>5.1819421350955963E-2</v>
      </c>
      <c r="BR4" s="2">
        <v>1.8672076985239979E-2</v>
      </c>
      <c r="BS4" s="2">
        <v>1.160447578877211E-2</v>
      </c>
      <c r="BT4" s="2">
        <v>2.1957747638225559E-2</v>
      </c>
      <c r="BU4" s="2">
        <v>-7.4458800256252289E-2</v>
      </c>
      <c r="BV4" s="2">
        <v>9.906383603811264E-2</v>
      </c>
      <c r="BW4" s="2">
        <v>-9.3610800802707672E-2</v>
      </c>
      <c r="BX4" s="2">
        <v>2.0203854888677601E-2</v>
      </c>
      <c r="BY4" s="2">
        <v>-3.2773036509752267E-2</v>
      </c>
      <c r="BZ4" s="2">
        <v>6.5151117742061615E-2</v>
      </c>
      <c r="CA4" s="2">
        <v>-3.612663596868515E-2</v>
      </c>
      <c r="CB4" s="2">
        <v>3.8924302905797958E-2</v>
      </c>
      <c r="CC4" s="2">
        <v>-3.6194797605276108E-2</v>
      </c>
      <c r="CD4" s="2">
        <v>-4.9464032053947449E-2</v>
      </c>
      <c r="CE4" s="2">
        <v>-4.3242655694484711E-2</v>
      </c>
      <c r="CF4" s="2">
        <v>-3.2065954059362411E-2</v>
      </c>
      <c r="CG4" s="2">
        <v>-3.9963260293006897E-2</v>
      </c>
      <c r="CH4" s="2">
        <v>-4.1623290628194809E-2</v>
      </c>
      <c r="CI4" s="2">
        <v>-3.5185825079679489E-2</v>
      </c>
      <c r="CJ4" s="2">
        <v>-4.3707791715860367E-2</v>
      </c>
      <c r="CK4" s="2">
        <v>-2.7694102376699451E-2</v>
      </c>
      <c r="CL4" s="2">
        <v>-3.4954138100147247E-2</v>
      </c>
      <c r="CM4" s="2">
        <v>-4.8744097352027893E-2</v>
      </c>
      <c r="CN4" s="2">
        <v>-1.2399040162563321E-2</v>
      </c>
      <c r="CO4" s="2">
        <v>3.0090915039181709E-2</v>
      </c>
      <c r="CP4" s="2">
        <v>-2.108084037899971E-2</v>
      </c>
      <c r="CQ4" s="2">
        <v>2.5487802922725682E-3</v>
      </c>
      <c r="CR4" s="2">
        <v>0.1063184291124344</v>
      </c>
      <c r="CS4" s="2">
        <v>2.1471921354532238E-2</v>
      </c>
      <c r="CT4" s="2">
        <v>-5.8815300464630127E-2</v>
      </c>
      <c r="CU4" s="2">
        <v>-0.21441565454006201</v>
      </c>
      <c r="CV4" s="2">
        <v>-0.14599728584289551</v>
      </c>
      <c r="CW4" s="2">
        <v>6.59809410572052E-2</v>
      </c>
      <c r="CX4" s="2">
        <v>-0.33112818002700811</v>
      </c>
      <c r="CY4" s="2">
        <v>3.5050917416810989E-2</v>
      </c>
      <c r="CZ4" s="2">
        <v>-0.23087161779403689</v>
      </c>
      <c r="DA4" s="2">
        <v>-9.6895664930343628E-2</v>
      </c>
      <c r="DB4" s="2">
        <v>2.638174407184124E-2</v>
      </c>
      <c r="DC4" s="2">
        <v>-6.4039438962936401E-2</v>
      </c>
      <c r="DD4" s="2">
        <v>-5.3469959646463387E-2</v>
      </c>
      <c r="DE4" s="2">
        <v>-0.13113583624362951</v>
      </c>
      <c r="DF4" s="2">
        <v>-0.13658058643341059</v>
      </c>
      <c r="DG4" s="2">
        <v>-9.4920694828033447E-2</v>
      </c>
      <c r="DH4" s="2">
        <v>-4.2109377682209008E-2</v>
      </c>
      <c r="DI4" s="2">
        <v>-4.0931046009063721E-2</v>
      </c>
      <c r="DJ4" s="2">
        <v>-3.9754342287778847E-2</v>
      </c>
      <c r="DK4" s="2">
        <v>-1.123789604753256E-2</v>
      </c>
      <c r="DL4" s="2">
        <v>-4.6825721859931953E-2</v>
      </c>
      <c r="DM4" s="2">
        <v>4.8449739813804633E-2</v>
      </c>
      <c r="DN4" s="2">
        <v>-1.890873908996582E-2</v>
      </c>
      <c r="DO4" s="2">
        <v>0.1028218641877174</v>
      </c>
      <c r="DP4" s="2">
        <v>-0.26931414008140558</v>
      </c>
      <c r="DQ4" s="2">
        <v>3.6267664283514023E-2</v>
      </c>
      <c r="DR4" s="2">
        <v>7.612089067697525E-2</v>
      </c>
      <c r="DS4" s="2">
        <v>-2.8944762423634529E-2</v>
      </c>
      <c r="DT4" s="2">
        <v>-2.5797775015234951E-2</v>
      </c>
      <c r="DU4" s="2">
        <v>-4.2362723499536507E-2</v>
      </c>
      <c r="DV4" s="2">
        <v>-0.12697815895080569</v>
      </c>
      <c r="DW4" s="2">
        <v>4.2979337275028229E-2</v>
      </c>
      <c r="DX4" s="2">
        <v>-7.1560792624950409E-2</v>
      </c>
      <c r="DY4" s="2">
        <v>-3.8502730429172523E-2</v>
      </c>
      <c r="DZ4" s="2">
        <v>3.6363851279020309E-2</v>
      </c>
      <c r="EA4" s="2">
        <v>3.0139438807964321E-2</v>
      </c>
      <c r="EB4" s="2">
        <v>-9.7088990733027458E-3</v>
      </c>
      <c r="EC4" s="2">
        <v>-5.1103539764881127E-2</v>
      </c>
      <c r="ED4" s="2">
        <v>-2.5845445692539219E-2</v>
      </c>
      <c r="EE4" s="2">
        <v>-0.1043576747179031</v>
      </c>
      <c r="EF4" s="2">
        <v>-3.8098420482128859E-3</v>
      </c>
      <c r="EG4" s="2">
        <v>2.889686077833176E-2</v>
      </c>
      <c r="EH4" s="2">
        <v>-4.2595401406288147E-2</v>
      </c>
      <c r="EI4" s="2">
        <v>9.3854136765003204E-2</v>
      </c>
      <c r="EJ4" s="2">
        <v>5.9465162456035607E-2</v>
      </c>
      <c r="EK4" s="2">
        <v>-3.2820709049701691E-2</v>
      </c>
      <c r="EL4" s="2">
        <v>5.8637633919715881E-2</v>
      </c>
      <c r="EM4" s="2">
        <v>-0.20883294939994809</v>
      </c>
    </row>
    <row r="5" spans="1:145" x14ac:dyDescent="0.3">
      <c r="B5" s="1" t="s">
        <v>145</v>
      </c>
      <c r="C5" s="2">
        <v>4.0603967499919241E-4</v>
      </c>
      <c r="D5" s="2">
        <v>5.033792182803154E-2</v>
      </c>
      <c r="E5" s="2">
        <v>-3.8914486765861511E-2</v>
      </c>
      <c r="F5" s="2">
        <v>-1.194990426301956E-2</v>
      </c>
      <c r="G5" s="2">
        <v>-3.4719966351985931E-3</v>
      </c>
      <c r="H5" s="2">
        <v>-1.7202273011207581E-2</v>
      </c>
      <c r="I5" s="2">
        <v>3.4106865525245673E-2</v>
      </c>
      <c r="J5" s="2">
        <v>3.247595950961113E-2</v>
      </c>
      <c r="K5" s="2">
        <v>3.4649442881345749E-2</v>
      </c>
      <c r="L5" s="2">
        <v>-0.14336225390434271</v>
      </c>
      <c r="M5" s="2">
        <v>-2.938468940556049E-2</v>
      </c>
      <c r="N5" s="2">
        <v>1.8640816211700439E-2</v>
      </c>
      <c r="O5" s="2">
        <v>3.4841738641262048E-2</v>
      </c>
      <c r="P5" s="2">
        <v>-6.0275918804109097E-4</v>
      </c>
      <c r="Q5" s="2">
        <v>-1.1749310418963431E-2</v>
      </c>
      <c r="R5" s="2">
        <v>1.7349295318126678E-2</v>
      </c>
      <c r="S5" s="2">
        <v>4.1421286761760712E-2</v>
      </c>
      <c r="T5" s="2">
        <v>-4.5294873416423798E-2</v>
      </c>
      <c r="U5" s="2">
        <v>-6.3638943247497082E-3</v>
      </c>
      <c r="V5" s="2">
        <v>3.342755138874054E-2</v>
      </c>
      <c r="W5" s="2">
        <v>3.600490465760231E-2</v>
      </c>
      <c r="X5" s="2">
        <v>-6.4424417912960052E-2</v>
      </c>
      <c r="Y5" s="2">
        <v>-5.0558405928313732E-3</v>
      </c>
      <c r="Z5" s="2">
        <v>-2.7877837419509891E-2</v>
      </c>
      <c r="AA5" s="2">
        <v>3.861604630947113E-2</v>
      </c>
      <c r="AB5" s="2">
        <v>-4.1370157152414322E-2</v>
      </c>
      <c r="AC5" s="2">
        <v>-2.444838359951973E-2</v>
      </c>
      <c r="AD5" s="2">
        <v>4.1641086339950562E-2</v>
      </c>
      <c r="AE5" s="2">
        <v>-9.2225760221481323E-2</v>
      </c>
      <c r="AF5" s="2">
        <v>-2.9623918235301971E-2</v>
      </c>
      <c r="AG5" s="2">
        <v>7.2603732347488403E-2</v>
      </c>
      <c r="AH5" s="2">
        <v>-2.5543451309204102E-2</v>
      </c>
      <c r="AI5" s="2">
        <v>2.6856813579797741E-2</v>
      </c>
      <c r="AJ5" s="2">
        <v>-3.6161798983812332E-2</v>
      </c>
      <c r="AK5" s="2">
        <v>-2.3803045973181721E-2</v>
      </c>
      <c r="AL5" s="2">
        <v>-2.6720678433775902E-3</v>
      </c>
      <c r="AM5" s="2">
        <v>-3.301555290818214E-3</v>
      </c>
      <c r="AN5" s="2">
        <v>7.7517644967883825E-5</v>
      </c>
      <c r="AO5" s="2">
        <v>-6.8618282675743103E-2</v>
      </c>
      <c r="AP5" s="2">
        <v>3.7031527608633041E-2</v>
      </c>
      <c r="AQ5" s="2">
        <v>2.3109108209609989E-2</v>
      </c>
      <c r="AR5" s="2">
        <v>-7.1197360754013062E-2</v>
      </c>
      <c r="AS5" s="2">
        <v>-4.7974057495594018E-2</v>
      </c>
      <c r="AT5" s="2">
        <v>-6.1735827475786209E-2</v>
      </c>
      <c r="AU5" s="2">
        <v>1.724289171397686E-2</v>
      </c>
      <c r="AV5" s="2">
        <v>-5.7472378015518188E-2</v>
      </c>
      <c r="AW5" s="2">
        <v>-6.2709540128707886E-2</v>
      </c>
      <c r="AX5" s="2">
        <v>-5.8146975934505463E-2</v>
      </c>
      <c r="AY5" s="2">
        <v>0.1052219867706299</v>
      </c>
      <c r="AZ5" s="2">
        <v>1.116979215294123E-2</v>
      </c>
      <c r="BA5" s="2">
        <v>3.6679205950349569E-3</v>
      </c>
      <c r="BB5" s="2">
        <v>1.8173787742853161E-2</v>
      </c>
      <c r="BC5" s="2">
        <v>5.2103251218795776E-3</v>
      </c>
      <c r="BD5" s="2">
        <v>1.384157687425613E-3</v>
      </c>
      <c r="BE5" s="2">
        <v>6.3530579209327698E-3</v>
      </c>
      <c r="BF5" s="2">
        <v>1.0895224288105959E-2</v>
      </c>
      <c r="BG5" s="2">
        <v>-3.511882852762938E-3</v>
      </c>
      <c r="BH5" s="2">
        <v>5.6244018487632266E-3</v>
      </c>
      <c r="BI5" s="2">
        <v>6.7682020366191864E-2</v>
      </c>
      <c r="BJ5" s="2">
        <v>3.9736120961606503E-3</v>
      </c>
      <c r="BK5" s="2">
        <v>3.06558832526207E-2</v>
      </c>
      <c r="BL5" s="2">
        <v>-1.213217433542013E-2</v>
      </c>
      <c r="BM5" s="2">
        <v>-2.099542878568172E-3</v>
      </c>
      <c r="BN5" s="2">
        <v>1.6873575747013089E-2</v>
      </c>
      <c r="BO5" s="2">
        <v>-1.410196349024773E-2</v>
      </c>
      <c r="BP5" s="2">
        <v>8.5541605949401855E-3</v>
      </c>
      <c r="BQ5" s="2">
        <v>-1.843594387173653E-2</v>
      </c>
      <c r="BR5" s="2">
        <v>-1.3599623925983909E-2</v>
      </c>
      <c r="BS5" s="2">
        <v>-1.4013238251209259E-3</v>
      </c>
      <c r="BT5" s="2">
        <v>3.7923485040664673E-2</v>
      </c>
      <c r="BU5" s="2">
        <v>1.2471701018512251E-2</v>
      </c>
      <c r="BV5" s="2">
        <v>-4.7056503593921661E-2</v>
      </c>
      <c r="BW5" s="2">
        <v>2.1625479683279991E-2</v>
      </c>
      <c r="BX5" s="2">
        <v>3.5244729369878769E-3</v>
      </c>
      <c r="BY5" s="2">
        <v>3.00147756934166E-3</v>
      </c>
      <c r="BZ5" s="2">
        <v>-1.2442688457667829E-2</v>
      </c>
      <c r="CA5" s="2">
        <v>4.5838907361030579E-2</v>
      </c>
      <c r="CB5" s="2">
        <v>-9.8906513303518295E-3</v>
      </c>
      <c r="CC5" s="2">
        <v>-2.804244169965386E-3</v>
      </c>
      <c r="CD5" s="2">
        <v>-8.6774525698274374E-4</v>
      </c>
      <c r="CE5" s="2">
        <v>9.1528939083218575E-3</v>
      </c>
      <c r="CF5" s="2">
        <v>2.271990850567818E-2</v>
      </c>
      <c r="CG5" s="2">
        <v>3.3768331632018089E-3</v>
      </c>
      <c r="CH5" s="2">
        <v>1.89636554569006E-2</v>
      </c>
      <c r="CI5" s="2">
        <v>9.1768182814121246E-2</v>
      </c>
      <c r="CJ5" s="2">
        <v>-6.3939411193132401E-3</v>
      </c>
      <c r="CK5" s="2">
        <v>1.4165259897708889E-2</v>
      </c>
      <c r="CL5" s="2">
        <v>4.0824571624398232E-3</v>
      </c>
      <c r="CM5" s="2">
        <v>1.057987939566374E-2</v>
      </c>
      <c r="CN5" s="2">
        <v>2.165891602635384E-2</v>
      </c>
      <c r="CO5" s="2">
        <v>0.14323921501636511</v>
      </c>
      <c r="CP5" s="2">
        <v>1.87258655205369E-3</v>
      </c>
      <c r="CQ5" s="2">
        <v>-3.9175484329462051E-2</v>
      </c>
      <c r="CR5" s="2">
        <v>-4.6743908897042266E-3</v>
      </c>
      <c r="CS5" s="2">
        <v>-3.9905324578285217E-2</v>
      </c>
      <c r="CT5" s="2">
        <v>5.7113836519420147E-3</v>
      </c>
      <c r="CU5" s="2">
        <v>1.7015844583511349E-2</v>
      </c>
      <c r="CV5" s="2">
        <v>-1.173017732799053E-2</v>
      </c>
      <c r="CW5" s="2">
        <v>-1.8561026081442829E-2</v>
      </c>
      <c r="CX5" s="2">
        <v>2.7230728417634961E-2</v>
      </c>
      <c r="CY5" s="2">
        <v>2.5908022653311491E-3</v>
      </c>
      <c r="CZ5" s="2">
        <v>6.3109919428825378E-2</v>
      </c>
      <c r="DA5" s="2">
        <v>3.5137373954057687E-2</v>
      </c>
      <c r="DB5" s="2">
        <v>7.0190709084272376E-3</v>
      </c>
      <c r="DC5" s="2">
        <v>1.0706442408263679E-3</v>
      </c>
      <c r="DD5" s="2">
        <v>2.7740933001041408E-3</v>
      </c>
      <c r="DE5" s="2">
        <v>-2.5716772302985191E-2</v>
      </c>
      <c r="DF5" s="2">
        <v>1.4139115810394289E-3</v>
      </c>
      <c r="DG5" s="2">
        <v>-9.6192983910441399E-3</v>
      </c>
      <c r="DH5" s="2">
        <v>-1.259769313037395E-3</v>
      </c>
      <c r="DI5" s="2">
        <v>-1.6325067728757858E-2</v>
      </c>
      <c r="DJ5" s="2">
        <v>-2.2702464833855629E-2</v>
      </c>
      <c r="DK5" s="2">
        <v>-3.4234081394970421E-3</v>
      </c>
      <c r="DL5" s="2">
        <v>1.948068151250482E-3</v>
      </c>
      <c r="DM5" s="2">
        <v>-0.25882810354232788</v>
      </c>
      <c r="DN5" s="2">
        <v>-4.3664040276780719E-4</v>
      </c>
      <c r="DO5" s="2">
        <v>1.356407813727856E-2</v>
      </c>
      <c r="DP5" s="2">
        <v>8.5415281355381012E-3</v>
      </c>
      <c r="DQ5" s="2">
        <v>5.5505207274109125E-4</v>
      </c>
      <c r="DR5" s="2">
        <v>2.8228277340531349E-2</v>
      </c>
      <c r="DS5" s="2">
        <v>1.2090692762285471E-3</v>
      </c>
      <c r="DT5" s="2">
        <v>3.7493379786610599E-3</v>
      </c>
      <c r="DU5" s="2">
        <v>1.854668371379375E-3</v>
      </c>
      <c r="DV5" s="2">
        <v>-2.3645691573619839E-2</v>
      </c>
      <c r="DW5" s="2">
        <v>-3.1537488102912898E-3</v>
      </c>
      <c r="DX5" s="2">
        <v>1.5400387346744541E-2</v>
      </c>
      <c r="DY5" s="2">
        <v>1.2764680199325079E-2</v>
      </c>
      <c r="DZ5" s="2">
        <v>3.1485959887504578E-2</v>
      </c>
      <c r="EA5" s="2">
        <v>7.2265844792127609E-3</v>
      </c>
      <c r="EB5" s="2">
        <v>-1.533120521344244E-3</v>
      </c>
      <c r="EC5" s="2">
        <v>2.0921340212225911E-2</v>
      </c>
      <c r="ED5" s="2">
        <v>-3.2300027087330818E-3</v>
      </c>
      <c r="EE5" s="2">
        <v>-0.10347997397184371</v>
      </c>
      <c r="EF5" s="2">
        <v>4.9948068335652351E-3</v>
      </c>
      <c r="EG5" s="2">
        <v>8.221927285194397E-2</v>
      </c>
      <c r="EH5" s="2">
        <v>7.1446478366851807E-2</v>
      </c>
      <c r="EI5" s="2">
        <v>2.0742105320096019E-2</v>
      </c>
      <c r="EJ5" s="2">
        <v>4.8550190404057503E-3</v>
      </c>
      <c r="EK5" s="2">
        <v>1.1217719875276091E-3</v>
      </c>
      <c r="EL5" s="2">
        <v>-7.0758596062660217E-2</v>
      </c>
      <c r="EM5" s="2">
        <v>1.1142655275762079E-3</v>
      </c>
    </row>
    <row r="6" spans="1:145" x14ac:dyDescent="0.3">
      <c r="A6" s="20" t="s">
        <v>146</v>
      </c>
      <c r="B6" s="21"/>
      <c r="C6" s="2">
        <f t="array" ref="C6">MATCH(MAX(ABS(C3:C5)), ABS(C3:C5), 0)</f>
        <v>1</v>
      </c>
      <c r="D6" s="2">
        <f t="array" ref="D6">MATCH(MAX(ABS(D3:D5)), ABS(D3:D5), 0)</f>
        <v>1</v>
      </c>
      <c r="E6" s="2">
        <f t="array" ref="E6">MATCH(MAX(ABS(E3:E5)), ABS(E3:E5), 0)</f>
        <v>1</v>
      </c>
      <c r="F6" s="2">
        <f t="array" ref="F6">MATCH(MAX(ABS(F3:F5)), ABS(F3:F5), 0)</f>
        <v>1</v>
      </c>
      <c r="G6" s="2">
        <f t="array" ref="G6">MATCH(MAX(ABS(G3:G5)), ABS(G3:G5), 0)</f>
        <v>1</v>
      </c>
      <c r="H6" s="2">
        <f t="array" ref="H6">MATCH(MAX(ABS(H3:H5)), ABS(H3:H5), 0)</f>
        <v>2</v>
      </c>
      <c r="I6" s="2">
        <f t="array" ref="I6">MATCH(MAX(ABS(I3:I5)), ABS(I3:I5), 0)</f>
        <v>3</v>
      </c>
      <c r="J6" s="2">
        <f t="array" ref="J6">MATCH(MAX(ABS(J3:J5)), ABS(J3:J5), 0)</f>
        <v>1</v>
      </c>
      <c r="K6" s="2">
        <f t="array" ref="K6">MATCH(MAX(ABS(K3:K5)), ABS(K3:K5), 0)</f>
        <v>1</v>
      </c>
      <c r="L6" s="2">
        <f t="array" ref="L6">MATCH(MAX(ABS(L3:L5)), ABS(L3:L5), 0)</f>
        <v>3</v>
      </c>
      <c r="M6" s="2">
        <f t="array" ref="M6">MATCH(MAX(ABS(M3:M5)), ABS(M3:M5), 0)</f>
        <v>2</v>
      </c>
      <c r="N6" s="2">
        <f t="array" ref="N6">MATCH(MAX(ABS(N3:N5)), ABS(N3:N5), 0)</f>
        <v>1</v>
      </c>
      <c r="O6" s="2">
        <f t="array" ref="O6">MATCH(MAX(ABS(O3:O5)), ABS(O3:O5), 0)</f>
        <v>3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2</v>
      </c>
      <c r="S6" s="2">
        <f t="array" ref="S6">MATCH(MAX(ABS(S3:S5)), ABS(S3:S5), 0)</f>
        <v>1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3</v>
      </c>
      <c r="Y6" s="2">
        <f t="array" ref="Y6">MATCH(MAX(ABS(Y3:Y5)), ABS(Y3:Y5), 0)</f>
        <v>2</v>
      </c>
      <c r="Z6" s="2">
        <f t="array" ref="Z6">MATCH(MAX(ABS(Z3:Z5)), ABS(Z3:Z5), 0)</f>
        <v>2</v>
      </c>
      <c r="AA6" s="2">
        <f t="array" ref="AA6">MATCH(MAX(ABS(AA3:AA5)), ABS(AA3:AA5), 0)</f>
        <v>2</v>
      </c>
      <c r="AB6" s="2">
        <f t="array" ref="AB6">MATCH(MAX(ABS(AB3:AB5)), ABS(AB3:AB5), 0)</f>
        <v>2</v>
      </c>
      <c r="AC6" s="2">
        <f t="array" ref="AC6">MATCH(MAX(ABS(AC3:AC5)), ABS(AC3:AC5), 0)</f>
        <v>2</v>
      </c>
      <c r="AD6" s="2">
        <f t="array" ref="AD6">MATCH(MAX(ABS(AD3:AD5)), ABS(AD3:AD5), 0)</f>
        <v>3</v>
      </c>
      <c r="AE6" s="2">
        <f t="array" ref="AE6">MATCH(MAX(ABS(AE3:AE5)), ABS(AE3:AE5), 0)</f>
        <v>1</v>
      </c>
      <c r="AF6" s="2">
        <f t="array" ref="AF6">MATCH(MAX(ABS(AF3:AF5)), ABS(AF3:AF5), 0)</f>
        <v>2</v>
      </c>
      <c r="AG6" s="2">
        <f t="array" ref="AG6">MATCH(MAX(ABS(AG3:AG5)), ABS(AG3:AG5), 0)</f>
        <v>3</v>
      </c>
      <c r="AH6" s="2">
        <f t="array" ref="AH6">MATCH(MAX(ABS(AH3:AH5)), ABS(AH3:AH5), 0)</f>
        <v>2</v>
      </c>
      <c r="AI6" s="2">
        <f t="array" ref="AI6">MATCH(MAX(ABS(AI3:AI5)), ABS(AI3:AI5), 0)</f>
        <v>1</v>
      </c>
      <c r="AJ6" s="2">
        <f t="array" ref="AJ6">MATCH(MAX(ABS(AJ3:AJ5)), ABS(AJ3:AJ5), 0)</f>
        <v>2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2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3</v>
      </c>
      <c r="AT6" s="2">
        <f t="array" ref="AT6">MATCH(MAX(ABS(AT3:AT5)), ABS(AT3:AT5), 0)</f>
        <v>2</v>
      </c>
      <c r="AU6" s="2">
        <f t="array" ref="AU6">MATCH(MAX(ABS(AU3:AU5)), ABS(AU3:AU5), 0)</f>
        <v>1</v>
      </c>
      <c r="AV6" s="2">
        <f t="array" ref="AV6">MATCH(MAX(ABS(AV3:AV5)), ABS(AV3:AV5), 0)</f>
        <v>3</v>
      </c>
      <c r="AW6" s="2">
        <f t="array" ref="AW6">MATCH(MAX(ABS(AW3:AW5)), ABS(AW3:AW5), 0)</f>
        <v>2</v>
      </c>
      <c r="AX6" s="2">
        <f t="array" ref="AX6">MATCH(MAX(ABS(AX3:AX5)), ABS(AX3:AX5), 0)</f>
        <v>3</v>
      </c>
      <c r="AY6" s="2">
        <f t="array" ref="AY6">MATCH(MAX(ABS(AY3:AY5)), ABS(AY3:AY5), 0)</f>
        <v>3</v>
      </c>
      <c r="AZ6" s="2">
        <f t="array" ref="AZ6">MATCH(MAX(ABS(AZ3:AZ5)), ABS(AZ3:AZ5), 0)</f>
        <v>2</v>
      </c>
      <c r="BA6" s="2">
        <f t="array" ref="BA6">MATCH(MAX(ABS(BA3:BA5)), ABS(BA3:BA5), 0)</f>
        <v>1</v>
      </c>
      <c r="BB6" s="2">
        <f t="array" ref="BB6">MATCH(MAX(ABS(BB3:BB5)), ABS(BB3:BB5), 0)</f>
        <v>1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2</v>
      </c>
      <c r="BF6" s="2">
        <f t="array" ref="BF6">MATCH(MAX(ABS(BF3:BF5)), ABS(BF3:BF5), 0)</f>
        <v>2</v>
      </c>
      <c r="BG6" s="2">
        <f t="array" ref="BG6">MATCH(MAX(ABS(BG3:BG5)), ABS(BG3:BG5), 0)</f>
        <v>1</v>
      </c>
      <c r="BH6" s="2">
        <f t="array" ref="BH6">MATCH(MAX(ABS(BH3:BH5)), ABS(BH3:BH5), 0)</f>
        <v>2</v>
      </c>
      <c r="BI6" s="2">
        <f t="array" ref="BI6">MATCH(MAX(ABS(BI3:BI5)), ABS(BI3:BI5), 0)</f>
        <v>3</v>
      </c>
      <c r="BJ6" s="2">
        <f t="array" ref="BJ6">MATCH(MAX(ABS(BJ3:BJ5)), ABS(BJ3:BJ5), 0)</f>
        <v>1</v>
      </c>
      <c r="BK6" s="2">
        <f t="array" ref="BK6">MATCH(MAX(ABS(BK3:BK5)), ABS(BK3:BK5), 0)</f>
        <v>2</v>
      </c>
      <c r="BL6" s="2">
        <f t="array" ref="BL6">MATCH(MAX(ABS(BL3:BL5)), ABS(BL3:BL5), 0)</f>
        <v>1</v>
      </c>
      <c r="BM6" s="2">
        <f t="array" ref="BM6">MATCH(MAX(ABS(BM3:BM5)), ABS(BM3:BM5), 0)</f>
        <v>1</v>
      </c>
      <c r="BN6" s="2">
        <f t="array" ref="BN6">MATCH(MAX(ABS(BN3:BN5)), ABS(BN3:BN5), 0)</f>
        <v>1</v>
      </c>
      <c r="BO6" s="2">
        <f t="array" ref="BO6">MATCH(MAX(ABS(BO3:BO5)), ABS(BO3:BO5), 0)</f>
        <v>1</v>
      </c>
      <c r="BP6" s="2">
        <f t="array" ref="BP6">MATCH(MAX(ABS(BP3:BP5)), ABS(BP3:BP5), 0)</f>
        <v>1</v>
      </c>
      <c r="BQ6" s="2">
        <f t="array" ref="BQ6">MATCH(MAX(ABS(BQ3:BQ5)), ABS(BQ3:BQ5), 0)</f>
        <v>1</v>
      </c>
      <c r="BR6" s="2">
        <f t="array" ref="BR6">MATCH(MAX(ABS(BR3:BR5)), ABS(BR3:BR5), 0)</f>
        <v>1</v>
      </c>
      <c r="BS6" s="2">
        <f t="array" ref="BS6">MATCH(MAX(ABS(BS3:BS5)), ABS(BS3:BS5), 0)</f>
        <v>1</v>
      </c>
      <c r="BT6" s="2">
        <f t="array" ref="BT6">MATCH(MAX(ABS(BT3:BT5)), ABS(BT3:BT5), 0)</f>
        <v>1</v>
      </c>
      <c r="BU6" s="2">
        <f t="array" ref="BU6">MATCH(MAX(ABS(BU3:BU5)), ABS(BU3:BU5), 0)</f>
        <v>2</v>
      </c>
      <c r="BV6" s="2">
        <f t="array" ref="BV6">MATCH(MAX(ABS(BV3:BV5)), ABS(BV3:BV5), 0)</f>
        <v>2</v>
      </c>
      <c r="BW6" s="2">
        <f t="array" ref="BW6">MATCH(MAX(ABS(BW3:BW5)), ABS(BW3:BW5), 0)</f>
        <v>2</v>
      </c>
      <c r="BX6" s="2">
        <f t="array" ref="BX6">MATCH(MAX(ABS(BX3:BX5)), ABS(BX3:BX5), 0)</f>
        <v>1</v>
      </c>
      <c r="BY6" s="2">
        <f t="array" ref="BY6">MATCH(MAX(ABS(BY3:BY5)), ABS(BY3:BY5), 0)</f>
        <v>1</v>
      </c>
      <c r="BZ6" s="2">
        <f t="array" ref="BZ6">MATCH(MAX(ABS(BZ3:BZ5)), ABS(BZ3:BZ5), 0)</f>
        <v>2</v>
      </c>
      <c r="CA6" s="2">
        <f t="array" ref="CA6">MATCH(MAX(ABS(CA3:CA5)), ABS(CA3:CA5), 0)</f>
        <v>3</v>
      </c>
      <c r="CB6" s="2">
        <f t="array" ref="CB6">MATCH(MAX(ABS(CB3:CB5)), ABS(CB3:CB5), 0)</f>
        <v>2</v>
      </c>
      <c r="CC6" s="2">
        <f t="array" ref="CC6">MATCH(MAX(ABS(CC3:CC5)), ABS(CC3:CC5), 0)</f>
        <v>1</v>
      </c>
      <c r="CD6" s="2">
        <f t="array" ref="CD6">MATCH(MAX(ABS(CD3:CD5)), ABS(CD3:CD5), 0)</f>
        <v>2</v>
      </c>
      <c r="CE6" s="2">
        <f t="array" ref="CE6">MATCH(MAX(ABS(CE3:CE5)), ABS(CE3:CE5), 0)</f>
        <v>1</v>
      </c>
      <c r="CF6" s="2">
        <f t="array" ref="CF6">MATCH(MAX(ABS(CF3:CF5)), ABS(CF3:CF5), 0)</f>
        <v>1</v>
      </c>
      <c r="CG6" s="2">
        <f t="array" ref="CG6">MATCH(MAX(ABS(CG3:CG5)), ABS(CG3:CG5), 0)</f>
        <v>2</v>
      </c>
      <c r="CH6" s="2">
        <f t="array" ref="CH6">MATCH(MAX(ABS(CH3:CH5)), ABS(CH3:CH5), 0)</f>
        <v>1</v>
      </c>
      <c r="CI6" s="2">
        <f t="array" ref="CI6">MATCH(MAX(ABS(CI3:CI5)), ABS(CI3:CI5), 0)</f>
        <v>3</v>
      </c>
      <c r="CJ6" s="2">
        <f t="array" ref="CJ6">MATCH(MAX(ABS(CJ3:CJ5)), ABS(CJ3:CJ5), 0)</f>
        <v>1</v>
      </c>
      <c r="CK6" s="2">
        <f t="array" ref="CK6">MATCH(MAX(ABS(CK3:CK5)), ABS(CK3:CK5), 0)</f>
        <v>2</v>
      </c>
      <c r="CL6" s="2">
        <f t="array" ref="CL6">MATCH(MAX(ABS(CL3:CL5)), ABS(CL3:CL5), 0)</f>
        <v>1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3</v>
      </c>
      <c r="CP6" s="2">
        <f t="array" ref="CP6">MATCH(MAX(ABS(CP3:CP5)), ABS(CP3:CP5), 0)</f>
        <v>2</v>
      </c>
      <c r="CQ6" s="2">
        <f t="array" ref="CQ6">MATCH(MAX(ABS(CQ3:CQ5)), ABS(CQ3:CQ5), 0)</f>
        <v>1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2</v>
      </c>
      <c r="CV6" s="2">
        <f t="array" ref="CV6">MATCH(MAX(ABS(CV3:CV5)), ABS(CV3:CV5), 0)</f>
        <v>2</v>
      </c>
      <c r="CW6" s="2">
        <f t="array" ref="CW6">MATCH(MAX(ABS(CW3:CW5)), ABS(CW3:CW5), 0)</f>
        <v>2</v>
      </c>
      <c r="CX6" s="2">
        <f t="array" ref="CX6">MATCH(MAX(ABS(CX3:CX5)), ABS(CX3:CX5), 0)</f>
        <v>2</v>
      </c>
      <c r="CY6" s="2">
        <f t="array" ref="CY6">MATCH(MAX(ABS(CY3:CY5)), ABS(CY3:CY5), 0)</f>
        <v>1</v>
      </c>
      <c r="CZ6" s="2">
        <f t="array" ref="CZ6">MATCH(MAX(ABS(CZ3:CZ5)), ABS(CZ3:CZ5), 0)</f>
        <v>2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2</v>
      </c>
      <c r="DE6" s="2">
        <f t="array" ref="DE6">MATCH(MAX(ABS(DE3:DE5)), ABS(DE3:DE5), 0)</f>
        <v>2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1</v>
      </c>
      <c r="DI6" s="2">
        <f t="array" ref="DI6">MATCH(MAX(ABS(DI3:DI5)), ABS(DI3:DI5), 0)</f>
        <v>2</v>
      </c>
      <c r="DJ6" s="2">
        <f t="array" ref="DJ6">MATCH(MAX(ABS(DJ3:DJ5)), ABS(DJ3:DJ5), 0)</f>
        <v>1</v>
      </c>
      <c r="DK6" s="2">
        <f t="array" ref="DK6">MATCH(MAX(ABS(DK3:DK5)), ABS(DK3:DK5), 0)</f>
        <v>1</v>
      </c>
      <c r="DL6" s="2">
        <f t="array" ref="DL6">MATCH(MAX(ABS(DL3:DL5)), ABS(DL3:DL5), 0)</f>
        <v>1</v>
      </c>
      <c r="DM6" s="2">
        <f t="array" ref="DM6">MATCH(MAX(ABS(DM3:DM5)), ABS(DM3:DM5), 0)</f>
        <v>3</v>
      </c>
      <c r="DN6" s="2">
        <f t="array" ref="DN6">MATCH(MAX(ABS(DN3:DN5)), ABS(DN3:DN5), 0)</f>
        <v>1</v>
      </c>
      <c r="DO6" s="2">
        <f t="array" ref="DO6">MATCH(MAX(ABS(DO3:DO5)), ABS(DO3:DO5), 0)</f>
        <v>2</v>
      </c>
      <c r="DP6" s="2">
        <f t="array" ref="DP6">MATCH(MAX(ABS(DP3:DP5)), ABS(DP3:DP5), 0)</f>
        <v>2</v>
      </c>
      <c r="DQ6" s="2">
        <f t="array" ref="DQ6">MATCH(MAX(ABS(DQ3:DQ5)), ABS(DQ3:DQ5), 0)</f>
        <v>1</v>
      </c>
      <c r="DR6" s="2">
        <f t="array" ref="DR6">MATCH(MAX(ABS(DR3:DR5)), ABS(DR3:DR5), 0)</f>
        <v>2</v>
      </c>
      <c r="DS6" s="2">
        <f t="array" ref="DS6">MATCH(MAX(ABS(DS3:DS5)), ABS(DS3:DS5), 0)</f>
        <v>1</v>
      </c>
      <c r="DT6" s="2">
        <f t="array" ref="DT6">MATCH(MAX(ABS(DT3:DT5)), ABS(DT3:DT5), 0)</f>
        <v>1</v>
      </c>
      <c r="DU6" s="2">
        <f t="array" ref="DU6">MATCH(MAX(ABS(DU3:DU5)), ABS(DU3:DU5), 0)</f>
        <v>1</v>
      </c>
      <c r="DV6" s="2">
        <f t="array" ref="DV6">MATCH(MAX(ABS(DV3:DV5)), ABS(DV3:DV5), 0)</f>
        <v>2</v>
      </c>
      <c r="DW6" s="2">
        <f t="array" ref="DW6">MATCH(MAX(ABS(DW3:DW5)), ABS(DW3:DW5), 0)</f>
        <v>1</v>
      </c>
      <c r="DX6" s="2">
        <f t="array" ref="DX6">MATCH(MAX(ABS(DX3:DX5)), ABS(DX3:DX5), 0)</f>
        <v>2</v>
      </c>
      <c r="DY6" s="2">
        <f t="array" ref="DY6">MATCH(MAX(ABS(DY3:DY5)), ABS(DY3:DY5), 0)</f>
        <v>2</v>
      </c>
      <c r="DZ6" s="2">
        <f t="array" ref="DZ6">MATCH(MAX(ABS(DZ3:DZ5)), ABS(DZ3:DZ5), 0)</f>
        <v>1</v>
      </c>
      <c r="EA6" s="2">
        <f t="array" ref="EA6">MATCH(MAX(ABS(EA3:EA5)), ABS(EA3:EA5), 0)</f>
        <v>1</v>
      </c>
      <c r="EB6" s="2">
        <f t="array" ref="EB6">MATCH(MAX(ABS(EB3:EB5)), ABS(EB3:EB5), 0)</f>
        <v>1</v>
      </c>
      <c r="EC6" s="2">
        <f t="array" ref="EC6">MATCH(MAX(ABS(EC3:EC5)), ABS(EC3:EC5), 0)</f>
        <v>2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1</v>
      </c>
      <c r="EG6" s="2">
        <f t="array" ref="EG6">MATCH(MAX(ABS(EG3:EG5)), ABS(EG3:EG5), 0)</f>
        <v>3</v>
      </c>
      <c r="EH6" s="2">
        <f t="array" ref="EH6">MATCH(MAX(ABS(EH3:EH5)), ABS(EH3:EH5), 0)</f>
        <v>3</v>
      </c>
      <c r="EI6" s="2">
        <f t="array" ref="EI6">MATCH(MAX(ABS(EI3:EI5)), ABS(EI3:EI5), 0)</f>
        <v>2</v>
      </c>
      <c r="EJ6" s="2">
        <f t="array" ref="EJ6">MATCH(MAX(ABS(EJ3:EJ5)), ABS(EJ3:EJ5), 0)</f>
        <v>2</v>
      </c>
      <c r="EK6" s="2">
        <f t="array" ref="EK6">MATCH(MAX(ABS(EK3:EK5)), ABS(EK3:EK5), 0)</f>
        <v>1</v>
      </c>
      <c r="EL6" s="2">
        <f t="array" ref="EL6">MATCH(MAX(ABS(EL3:EL5)), ABS(EL3:EL5), 0)</f>
        <v>3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bm</v>
      </c>
      <c r="D7" s="2" t="str">
        <f t="shared" si="0"/>
        <v>bm</v>
      </c>
      <c r="E7" s="2" t="str">
        <f t="shared" si="0"/>
        <v>bm</v>
      </c>
      <c r="F7" s="2" t="str">
        <f t="shared" si="0"/>
        <v>bm</v>
      </c>
      <c r="G7" s="2" t="str">
        <f t="shared" si="0"/>
        <v>bm</v>
      </c>
      <c r="H7" s="2" t="str">
        <f t="shared" si="0"/>
        <v>size</v>
      </c>
      <c r="I7" s="2" t="str">
        <f t="shared" si="0"/>
        <v>mom</v>
      </c>
      <c r="J7" s="2" t="str">
        <f t="shared" si="0"/>
        <v>bm</v>
      </c>
      <c r="K7" s="2" t="str">
        <f t="shared" si="0"/>
        <v>bm</v>
      </c>
      <c r="L7" s="2" t="str">
        <f t="shared" si="0"/>
        <v>mom</v>
      </c>
      <c r="M7" s="2" t="str">
        <f t="shared" si="0"/>
        <v>size</v>
      </c>
      <c r="N7" s="2" t="str">
        <f t="shared" si="0"/>
        <v>bm</v>
      </c>
      <c r="O7" s="2" t="str">
        <f t="shared" si="0"/>
        <v>mom</v>
      </c>
      <c r="P7" s="2" t="str">
        <f t="shared" si="0"/>
        <v>size</v>
      </c>
      <c r="Q7" s="2" t="str">
        <f t="shared" si="0"/>
        <v>size</v>
      </c>
      <c r="R7" s="2" t="str">
        <f t="shared" si="0"/>
        <v>size</v>
      </c>
      <c r="S7" s="2" t="str">
        <f t="shared" si="0"/>
        <v>bm</v>
      </c>
      <c r="T7" s="2" t="str">
        <f t="shared" si="0"/>
        <v>mom</v>
      </c>
      <c r="U7" s="2" t="str">
        <f t="shared" si="0"/>
        <v>size</v>
      </c>
      <c r="V7" s="2" t="str">
        <f t="shared" si="0"/>
        <v>mom</v>
      </c>
      <c r="W7" s="2" t="str">
        <f t="shared" si="0"/>
        <v>mom</v>
      </c>
      <c r="X7" s="2" t="str">
        <f t="shared" si="0"/>
        <v>mom</v>
      </c>
      <c r="Y7" s="2" t="str">
        <f t="shared" si="0"/>
        <v>size</v>
      </c>
      <c r="Z7" s="2" t="str">
        <f t="shared" si="0"/>
        <v>size</v>
      </c>
      <c r="AA7" s="2" t="str">
        <f t="shared" si="0"/>
        <v>size</v>
      </c>
      <c r="AB7" s="2" t="str">
        <f t="shared" si="0"/>
        <v>size</v>
      </c>
      <c r="AC7" s="2" t="str">
        <f t="shared" si="0"/>
        <v>size</v>
      </c>
      <c r="AD7" s="2" t="str">
        <f t="shared" si="0"/>
        <v>mom</v>
      </c>
      <c r="AE7" s="2" t="str">
        <f t="shared" si="0"/>
        <v>bm</v>
      </c>
      <c r="AF7" s="2" t="str">
        <f t="shared" si="0"/>
        <v>size</v>
      </c>
      <c r="AG7" s="2" t="str">
        <f t="shared" si="0"/>
        <v>mom</v>
      </c>
      <c r="AH7" s="2" t="str">
        <f t="shared" si="0"/>
        <v>size</v>
      </c>
      <c r="AI7" s="2" t="str">
        <f t="shared" ref="AI7:BN7" si="1">IF(AI6=1,"bm",IF(AI6=2,"size",IF(AI6=3,"mom")))</f>
        <v>bm</v>
      </c>
      <c r="AJ7" s="2" t="str">
        <f t="shared" si="1"/>
        <v>size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size</v>
      </c>
      <c r="AP7" s="2" t="str">
        <f t="shared" si="1"/>
        <v>bm</v>
      </c>
      <c r="AQ7" s="2" t="str">
        <f t="shared" si="1"/>
        <v>bm</v>
      </c>
      <c r="AR7" s="2" t="str">
        <f t="shared" si="1"/>
        <v>bm</v>
      </c>
      <c r="AS7" s="2" t="str">
        <f t="shared" si="1"/>
        <v>mom</v>
      </c>
      <c r="AT7" s="2" t="str">
        <f t="shared" si="1"/>
        <v>size</v>
      </c>
      <c r="AU7" s="2" t="str">
        <f t="shared" si="1"/>
        <v>bm</v>
      </c>
      <c r="AV7" s="2" t="str">
        <f t="shared" si="1"/>
        <v>mom</v>
      </c>
      <c r="AW7" s="2" t="str">
        <f t="shared" si="1"/>
        <v>size</v>
      </c>
      <c r="AX7" s="2" t="str">
        <f t="shared" si="1"/>
        <v>mom</v>
      </c>
      <c r="AY7" s="2" t="str">
        <f t="shared" si="1"/>
        <v>mom</v>
      </c>
      <c r="AZ7" s="2" t="str">
        <f t="shared" si="1"/>
        <v>size</v>
      </c>
      <c r="BA7" s="2" t="str">
        <f t="shared" si="1"/>
        <v>bm</v>
      </c>
      <c r="BB7" s="2" t="str">
        <f t="shared" si="1"/>
        <v>bm</v>
      </c>
      <c r="BC7" s="2" t="str">
        <f t="shared" si="1"/>
        <v>bm</v>
      </c>
      <c r="BD7" s="2" t="str">
        <f t="shared" si="1"/>
        <v>size</v>
      </c>
      <c r="BE7" s="2" t="str">
        <f t="shared" si="1"/>
        <v>size</v>
      </c>
      <c r="BF7" s="2" t="str">
        <f t="shared" si="1"/>
        <v>size</v>
      </c>
      <c r="BG7" s="2" t="str">
        <f t="shared" si="1"/>
        <v>bm</v>
      </c>
      <c r="BH7" s="2" t="str">
        <f t="shared" si="1"/>
        <v>size</v>
      </c>
      <c r="BI7" s="2" t="str">
        <f t="shared" si="1"/>
        <v>mom</v>
      </c>
      <c r="BJ7" s="2" t="str">
        <f t="shared" si="1"/>
        <v>bm</v>
      </c>
      <c r="BK7" s="2" t="str">
        <f t="shared" si="1"/>
        <v>size</v>
      </c>
      <c r="BL7" s="2" t="str">
        <f t="shared" si="1"/>
        <v>bm</v>
      </c>
      <c r="BM7" s="2" t="str">
        <f t="shared" si="1"/>
        <v>bm</v>
      </c>
      <c r="BN7" s="2" t="str">
        <f t="shared" si="1"/>
        <v>bm</v>
      </c>
      <c r="BO7" s="2" t="str">
        <f t="shared" ref="BO7:CT7" si="2">IF(BO6=1,"bm",IF(BO6=2,"size",IF(BO6=3,"mom")))</f>
        <v>bm</v>
      </c>
      <c r="BP7" s="2" t="str">
        <f t="shared" si="2"/>
        <v>bm</v>
      </c>
      <c r="BQ7" s="2" t="str">
        <f t="shared" si="2"/>
        <v>bm</v>
      </c>
      <c r="BR7" s="2" t="str">
        <f t="shared" si="2"/>
        <v>bm</v>
      </c>
      <c r="BS7" s="2" t="str">
        <f t="shared" si="2"/>
        <v>bm</v>
      </c>
      <c r="BT7" s="2" t="str">
        <f t="shared" si="2"/>
        <v>bm</v>
      </c>
      <c r="BU7" s="2" t="str">
        <f t="shared" si="2"/>
        <v>size</v>
      </c>
      <c r="BV7" s="2" t="str">
        <f t="shared" si="2"/>
        <v>size</v>
      </c>
      <c r="BW7" s="2" t="str">
        <f t="shared" si="2"/>
        <v>size</v>
      </c>
      <c r="BX7" s="2" t="str">
        <f t="shared" si="2"/>
        <v>bm</v>
      </c>
      <c r="BY7" s="2" t="str">
        <f t="shared" si="2"/>
        <v>bm</v>
      </c>
      <c r="BZ7" s="2" t="str">
        <f t="shared" si="2"/>
        <v>size</v>
      </c>
      <c r="CA7" s="2" t="str">
        <f t="shared" si="2"/>
        <v>mom</v>
      </c>
      <c r="CB7" s="2" t="str">
        <f t="shared" si="2"/>
        <v>size</v>
      </c>
      <c r="CC7" s="2" t="str">
        <f t="shared" si="2"/>
        <v>bm</v>
      </c>
      <c r="CD7" s="2" t="str">
        <f t="shared" si="2"/>
        <v>size</v>
      </c>
      <c r="CE7" s="2" t="str">
        <f t="shared" si="2"/>
        <v>bm</v>
      </c>
      <c r="CF7" s="2" t="str">
        <f t="shared" si="2"/>
        <v>bm</v>
      </c>
      <c r="CG7" s="2" t="str">
        <f t="shared" si="2"/>
        <v>size</v>
      </c>
      <c r="CH7" s="2" t="str">
        <f t="shared" si="2"/>
        <v>bm</v>
      </c>
      <c r="CI7" s="2" t="str">
        <f t="shared" si="2"/>
        <v>mom</v>
      </c>
      <c r="CJ7" s="2" t="str">
        <f t="shared" si="2"/>
        <v>bm</v>
      </c>
      <c r="CK7" s="2" t="str">
        <f t="shared" si="2"/>
        <v>size</v>
      </c>
      <c r="CL7" s="2" t="str">
        <f t="shared" si="2"/>
        <v>bm</v>
      </c>
      <c r="CM7" s="2" t="str">
        <f t="shared" si="2"/>
        <v>bm</v>
      </c>
      <c r="CN7" s="2" t="str">
        <f t="shared" si="2"/>
        <v>bm</v>
      </c>
      <c r="CO7" s="2" t="str">
        <f t="shared" si="2"/>
        <v>mom</v>
      </c>
      <c r="CP7" s="2" t="str">
        <f t="shared" si="2"/>
        <v>size</v>
      </c>
      <c r="CQ7" s="2" t="str">
        <f t="shared" si="2"/>
        <v>bm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size</v>
      </c>
      <c r="CV7" s="2" t="str">
        <f t="shared" si="3"/>
        <v>size</v>
      </c>
      <c r="CW7" s="2" t="str">
        <f t="shared" si="3"/>
        <v>size</v>
      </c>
      <c r="CX7" s="2" t="str">
        <f t="shared" si="3"/>
        <v>size</v>
      </c>
      <c r="CY7" s="2" t="str">
        <f t="shared" si="3"/>
        <v>bm</v>
      </c>
      <c r="CZ7" s="2" t="str">
        <f t="shared" si="3"/>
        <v>size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size</v>
      </c>
      <c r="DE7" s="2" t="str">
        <f t="shared" si="3"/>
        <v>size</v>
      </c>
      <c r="DF7" s="2" t="str">
        <f t="shared" si="3"/>
        <v>size</v>
      </c>
      <c r="DG7" s="2" t="str">
        <f t="shared" si="3"/>
        <v>size</v>
      </c>
      <c r="DH7" s="2" t="str">
        <f t="shared" si="3"/>
        <v>bm</v>
      </c>
      <c r="DI7" s="2" t="str">
        <f t="shared" si="3"/>
        <v>size</v>
      </c>
      <c r="DJ7" s="2" t="str">
        <f t="shared" si="3"/>
        <v>bm</v>
      </c>
      <c r="DK7" s="2" t="str">
        <f t="shared" si="3"/>
        <v>bm</v>
      </c>
      <c r="DL7" s="2" t="str">
        <f t="shared" si="3"/>
        <v>bm</v>
      </c>
      <c r="DM7" s="2" t="str">
        <f t="shared" si="3"/>
        <v>mom</v>
      </c>
      <c r="DN7" s="2" t="str">
        <f t="shared" si="3"/>
        <v>bm</v>
      </c>
      <c r="DO7" s="2" t="str">
        <f t="shared" si="3"/>
        <v>size</v>
      </c>
      <c r="DP7" s="2" t="str">
        <f t="shared" si="3"/>
        <v>size</v>
      </c>
      <c r="DQ7" s="2" t="str">
        <f t="shared" si="3"/>
        <v>bm</v>
      </c>
      <c r="DR7" s="2" t="str">
        <f t="shared" si="3"/>
        <v>size</v>
      </c>
      <c r="DS7" s="2" t="str">
        <f t="shared" si="3"/>
        <v>bm</v>
      </c>
      <c r="DT7" s="2" t="str">
        <f t="shared" si="3"/>
        <v>bm</v>
      </c>
      <c r="DU7" s="2" t="str">
        <f t="shared" si="3"/>
        <v>bm</v>
      </c>
      <c r="DV7" s="2" t="str">
        <f t="shared" si="3"/>
        <v>size</v>
      </c>
      <c r="DW7" s="2" t="str">
        <f t="shared" si="3"/>
        <v>bm</v>
      </c>
      <c r="DX7" s="2" t="str">
        <f t="shared" si="3"/>
        <v>size</v>
      </c>
      <c r="DY7" s="2" t="str">
        <f t="shared" si="3"/>
        <v>size</v>
      </c>
      <c r="DZ7" s="2" t="str">
        <f t="shared" si="3"/>
        <v>bm</v>
      </c>
      <c r="EA7" s="2" t="str">
        <f t="shared" ref="EA7:FF7" si="4">IF(EA6=1,"bm",IF(EA6=2,"size",IF(EA6=3,"mom")))</f>
        <v>bm</v>
      </c>
      <c r="EB7" s="2" t="str">
        <f t="shared" si="4"/>
        <v>bm</v>
      </c>
      <c r="EC7" s="2" t="str">
        <f t="shared" si="4"/>
        <v>size</v>
      </c>
      <c r="ED7" s="2" t="str">
        <f t="shared" si="4"/>
        <v>bm</v>
      </c>
      <c r="EE7" s="2" t="str">
        <f t="shared" si="4"/>
        <v>size</v>
      </c>
      <c r="EF7" s="2" t="str">
        <f t="shared" si="4"/>
        <v>bm</v>
      </c>
      <c r="EG7" s="2" t="str">
        <f t="shared" si="4"/>
        <v>mom</v>
      </c>
      <c r="EH7" s="2" t="str">
        <f t="shared" si="4"/>
        <v>mom</v>
      </c>
      <c r="EI7" s="2" t="str">
        <f t="shared" si="4"/>
        <v>size</v>
      </c>
      <c r="EJ7" s="2" t="str">
        <f t="shared" si="4"/>
        <v>size</v>
      </c>
      <c r="EK7" s="2" t="str">
        <f t="shared" si="4"/>
        <v>bm</v>
      </c>
      <c r="EL7" s="2" t="str">
        <f t="shared" si="4"/>
        <v>mom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5.6118451058864587E-2</v>
      </c>
      <c r="D8" s="2">
        <f t="shared" si="5"/>
        <v>7.8115358948707581E-2</v>
      </c>
      <c r="E8" s="2">
        <f t="shared" si="5"/>
        <v>-0.1415126770734787</v>
      </c>
      <c r="F8" s="2">
        <f t="shared" si="5"/>
        <v>-8.4760263562202454E-2</v>
      </c>
      <c r="G8" s="2">
        <f t="shared" si="5"/>
        <v>-1.6393894329667091E-2</v>
      </c>
      <c r="H8" s="2">
        <f t="shared" si="5"/>
        <v>-4.1918478906154633E-2</v>
      </c>
      <c r="I8" s="2">
        <f t="shared" si="5"/>
        <v>3.4106865525245673E-2</v>
      </c>
      <c r="J8" s="2">
        <f t="shared" si="5"/>
        <v>6.4448930323123932E-2</v>
      </c>
      <c r="K8" s="2">
        <f t="shared" si="5"/>
        <v>9.3935757875442505E-2</v>
      </c>
      <c r="L8" s="2">
        <f t="shared" si="5"/>
        <v>-0.14336225390434271</v>
      </c>
      <c r="M8" s="2">
        <f t="shared" si="5"/>
        <v>-4.2787168174982071E-2</v>
      </c>
      <c r="N8" s="2">
        <f t="shared" si="5"/>
        <v>9.7503647208213806E-2</v>
      </c>
      <c r="O8" s="2">
        <f t="shared" si="5"/>
        <v>3.4841738641262048E-2</v>
      </c>
      <c r="P8" s="2">
        <f t="shared" si="5"/>
        <v>3.8856223225593567E-2</v>
      </c>
      <c r="Q8" s="2">
        <f t="shared" si="5"/>
        <v>2.292590960860252E-2</v>
      </c>
      <c r="R8" s="2">
        <f t="shared" si="5"/>
        <v>9.1378994286060333E-2</v>
      </c>
      <c r="S8" s="2">
        <f t="shared" si="5"/>
        <v>0.11152903735637661</v>
      </c>
      <c r="T8" s="2">
        <f t="shared" si="5"/>
        <v>-4.5294873416423798E-2</v>
      </c>
      <c r="U8" s="2">
        <f t="shared" si="5"/>
        <v>-0.20099139213562009</v>
      </c>
      <c r="V8" s="2">
        <f t="shared" si="5"/>
        <v>3.342755138874054E-2</v>
      </c>
      <c r="W8" s="2">
        <f t="shared" si="5"/>
        <v>3.600490465760231E-2</v>
      </c>
      <c r="X8" s="2">
        <f t="shared" si="5"/>
        <v>-6.4424417912960052E-2</v>
      </c>
      <c r="Y8" s="2">
        <f t="shared" si="5"/>
        <v>3.9161346852779388E-2</v>
      </c>
      <c r="Z8" s="2">
        <f t="shared" si="5"/>
        <v>-6.3054509460926056E-2</v>
      </c>
      <c r="AA8" s="2">
        <f t="shared" si="5"/>
        <v>0.29351425170898438</v>
      </c>
      <c r="AB8" s="2">
        <f t="shared" si="5"/>
        <v>-5.1668956875801093E-2</v>
      </c>
      <c r="AC8" s="2">
        <f t="shared" si="5"/>
        <v>-5.8906577527523041E-2</v>
      </c>
      <c r="AD8" s="2">
        <f t="shared" si="5"/>
        <v>4.1641086339950562E-2</v>
      </c>
      <c r="AE8" s="2">
        <f t="shared" si="5"/>
        <v>0.1190536841750145</v>
      </c>
      <c r="AF8" s="2">
        <f t="shared" si="5"/>
        <v>6.4832724630832672E-2</v>
      </c>
      <c r="AG8" s="2">
        <f t="shared" si="5"/>
        <v>7.2603732347488403E-2</v>
      </c>
      <c r="AH8" s="2">
        <f t="shared" si="5"/>
        <v>3.0198957771062851E-2</v>
      </c>
      <c r="AI8" s="2">
        <f t="shared" ref="AI8:BN8" si="6">IF(AI6=1,AI3,IF(AI6=2,AI4,IF(AI6=3,AI5)))</f>
        <v>7.8147970139980316E-2</v>
      </c>
      <c r="AJ8" s="2">
        <f t="shared" si="6"/>
        <v>-8.1800997257232666E-2</v>
      </c>
      <c r="AK8" s="2">
        <f t="shared" si="6"/>
        <v>2.9277428984642029E-2</v>
      </c>
      <c r="AL8" s="2">
        <f t="shared" si="6"/>
        <v>-0.1100530177354813</v>
      </c>
      <c r="AM8" s="2">
        <f t="shared" si="6"/>
        <v>5.5360257625579827E-2</v>
      </c>
      <c r="AN8" s="2">
        <f t="shared" si="6"/>
        <v>-5.8350309729576111E-2</v>
      </c>
      <c r="AO8" s="2">
        <f t="shared" si="6"/>
        <v>0.48250654339790339</v>
      </c>
      <c r="AP8" s="2">
        <f t="shared" si="6"/>
        <v>4.5363374054431922E-2</v>
      </c>
      <c r="AQ8" s="2">
        <f t="shared" si="6"/>
        <v>0.14594569802284241</v>
      </c>
      <c r="AR8" s="2">
        <f t="shared" si="6"/>
        <v>9.9557004868984222E-2</v>
      </c>
      <c r="AS8" s="2">
        <f t="shared" si="6"/>
        <v>-4.7974057495594018E-2</v>
      </c>
      <c r="AT8" s="2">
        <f t="shared" si="6"/>
        <v>0.10524175316095349</v>
      </c>
      <c r="AU8" s="2">
        <f t="shared" si="6"/>
        <v>-4.7236192971467972E-2</v>
      </c>
      <c r="AV8" s="2">
        <f t="shared" si="6"/>
        <v>-5.7472378015518188E-2</v>
      </c>
      <c r="AW8" s="2">
        <f t="shared" si="6"/>
        <v>-0.96225237846374512</v>
      </c>
      <c r="AX8" s="2">
        <f t="shared" si="6"/>
        <v>-5.8146975934505463E-2</v>
      </c>
      <c r="AY8" s="2">
        <f t="shared" si="6"/>
        <v>0.1052219867706299</v>
      </c>
      <c r="AZ8" s="2">
        <f t="shared" si="6"/>
        <v>-5.1676530390977859E-2</v>
      </c>
      <c r="BA8" s="2">
        <f t="shared" si="6"/>
        <v>-4.3942347168922417E-2</v>
      </c>
      <c r="BB8" s="2">
        <f t="shared" si="6"/>
        <v>9.4006329774856567E-2</v>
      </c>
      <c r="BC8" s="2">
        <f t="shared" si="6"/>
        <v>2.8445800766348839E-2</v>
      </c>
      <c r="BD8" s="2">
        <f t="shared" si="6"/>
        <v>-0.38229072093963617</v>
      </c>
      <c r="BE8" s="2">
        <f t="shared" si="6"/>
        <v>-2.2616449743509289E-2</v>
      </c>
      <c r="BF8" s="2">
        <f t="shared" si="6"/>
        <v>-3.5860244184732437E-2</v>
      </c>
      <c r="BG8" s="2">
        <f t="shared" si="6"/>
        <v>5.2014391869306557E-2</v>
      </c>
      <c r="BH8" s="2">
        <f t="shared" si="6"/>
        <v>4.3198607861995697E-2</v>
      </c>
      <c r="BI8" s="2">
        <f t="shared" si="6"/>
        <v>6.7682020366191864E-2</v>
      </c>
      <c r="BJ8" s="2">
        <f t="shared" si="6"/>
        <v>-4.3040025979280472E-2</v>
      </c>
      <c r="BK8" s="2">
        <f t="shared" si="6"/>
        <v>-0.49124959111213679</v>
      </c>
      <c r="BL8" s="2">
        <f t="shared" si="6"/>
        <v>5.2610065788030617E-2</v>
      </c>
      <c r="BM8" s="2">
        <f t="shared" si="6"/>
        <v>0.16467450559139249</v>
      </c>
      <c r="BN8" s="2">
        <f t="shared" si="6"/>
        <v>5.6239485740661621E-2</v>
      </c>
      <c r="BO8" s="2">
        <f t="shared" ref="BO8:CT8" si="7">IF(BO6=1,BO3,IF(BO6=2,BO4,IF(BO6=3,BO5)))</f>
        <v>5.7048242539167397E-2</v>
      </c>
      <c r="BP8" s="2">
        <f t="shared" si="7"/>
        <v>3.7904918193817139E-2</v>
      </c>
      <c r="BQ8" s="2">
        <f t="shared" si="7"/>
        <v>5.388949066400528E-2</v>
      </c>
      <c r="BR8" s="2">
        <f t="shared" si="7"/>
        <v>1.972170919179916E-2</v>
      </c>
      <c r="BS8" s="2">
        <f t="shared" si="7"/>
        <v>5.4315824061632163E-2</v>
      </c>
      <c r="BT8" s="2">
        <f t="shared" si="7"/>
        <v>4.7150813043117523E-2</v>
      </c>
      <c r="BU8" s="2">
        <f t="shared" si="7"/>
        <v>-7.4458800256252289E-2</v>
      </c>
      <c r="BV8" s="2">
        <f t="shared" si="7"/>
        <v>9.906383603811264E-2</v>
      </c>
      <c r="BW8" s="2">
        <f t="shared" si="7"/>
        <v>-9.3610800802707672E-2</v>
      </c>
      <c r="BX8" s="2">
        <f t="shared" si="7"/>
        <v>4.7259576618671417E-2</v>
      </c>
      <c r="BY8" s="2">
        <f t="shared" si="7"/>
        <v>4.9359224736690521E-2</v>
      </c>
      <c r="BZ8" s="2">
        <f t="shared" si="7"/>
        <v>6.5151117742061615E-2</v>
      </c>
      <c r="CA8" s="2">
        <f t="shared" si="7"/>
        <v>4.5838907361030579E-2</v>
      </c>
      <c r="CB8" s="2">
        <f t="shared" si="7"/>
        <v>3.8924302905797958E-2</v>
      </c>
      <c r="CC8" s="2">
        <f t="shared" si="7"/>
        <v>5.2212677896022797E-2</v>
      </c>
      <c r="CD8" s="2">
        <f t="shared" si="7"/>
        <v>-4.9464032053947449E-2</v>
      </c>
      <c r="CE8" s="2">
        <f t="shared" si="7"/>
        <v>4.7712299972772598E-2</v>
      </c>
      <c r="CF8" s="2">
        <f t="shared" si="7"/>
        <v>5.1156952977180481E-2</v>
      </c>
      <c r="CG8" s="2">
        <f t="shared" si="7"/>
        <v>-3.9963260293006897E-2</v>
      </c>
      <c r="CH8" s="2">
        <f t="shared" si="7"/>
        <v>5.0260737538337708E-2</v>
      </c>
      <c r="CI8" s="2">
        <f t="shared" si="7"/>
        <v>9.1768182814121246E-2</v>
      </c>
      <c r="CJ8" s="2">
        <f t="shared" si="7"/>
        <v>4.9879353493452072E-2</v>
      </c>
      <c r="CK8" s="2">
        <f t="shared" si="7"/>
        <v>-2.7694102376699451E-2</v>
      </c>
      <c r="CL8" s="2">
        <f t="shared" si="7"/>
        <v>5.1040831953287118E-2</v>
      </c>
      <c r="CM8" s="2">
        <f t="shared" si="7"/>
        <v>7.0432275533676147E-2</v>
      </c>
      <c r="CN8" s="2">
        <f t="shared" si="7"/>
        <v>4.9308884888887412E-2</v>
      </c>
      <c r="CO8" s="2">
        <f t="shared" si="7"/>
        <v>0.14323921501636511</v>
      </c>
      <c r="CP8" s="2">
        <f t="shared" si="7"/>
        <v>-2.108084037899971E-2</v>
      </c>
      <c r="CQ8" s="2">
        <f t="shared" si="7"/>
        <v>4.8940815031528473E-2</v>
      </c>
      <c r="CR8" s="2">
        <f t="shared" si="7"/>
        <v>0.1063184291124344</v>
      </c>
      <c r="CS8" s="2">
        <f t="shared" si="7"/>
        <v>-3.9905324578285217E-2</v>
      </c>
      <c r="CT8" s="2">
        <f t="shared" si="7"/>
        <v>-5.8815300464630127E-2</v>
      </c>
      <c r="CU8" s="2">
        <f t="shared" ref="CU8:DZ8" si="8">IF(CU6=1,CU3,IF(CU6=2,CU4,IF(CU6=3,CU5)))</f>
        <v>-0.21441565454006201</v>
      </c>
      <c r="CV8" s="2">
        <f t="shared" si="8"/>
        <v>-0.14599728584289551</v>
      </c>
      <c r="CW8" s="2">
        <f t="shared" si="8"/>
        <v>6.59809410572052E-2</v>
      </c>
      <c r="CX8" s="2">
        <f t="shared" si="8"/>
        <v>-0.33112818002700811</v>
      </c>
      <c r="CY8" s="2">
        <f t="shared" si="8"/>
        <v>5.2212778478860862E-2</v>
      </c>
      <c r="CZ8" s="2">
        <f t="shared" si="8"/>
        <v>-0.23087161779403689</v>
      </c>
      <c r="DA8" s="2">
        <f t="shared" si="8"/>
        <v>-9.6895664930343628E-2</v>
      </c>
      <c r="DB8" s="2">
        <f t="shared" si="8"/>
        <v>2.638174407184124E-2</v>
      </c>
      <c r="DC8" s="2">
        <f t="shared" si="8"/>
        <v>9.5405779778957367E-2</v>
      </c>
      <c r="DD8" s="2">
        <f t="shared" si="8"/>
        <v>-5.3469959646463387E-2</v>
      </c>
      <c r="DE8" s="2">
        <f t="shared" si="8"/>
        <v>-0.13113583624362951</v>
      </c>
      <c r="DF8" s="2">
        <f t="shared" si="8"/>
        <v>-0.13658058643341059</v>
      </c>
      <c r="DG8" s="2">
        <f t="shared" si="8"/>
        <v>-9.4920694828033447E-2</v>
      </c>
      <c r="DH8" s="2">
        <f t="shared" si="8"/>
        <v>0.22446863353252411</v>
      </c>
      <c r="DI8" s="2">
        <f t="shared" si="8"/>
        <v>-4.0931046009063721E-2</v>
      </c>
      <c r="DJ8" s="2">
        <f t="shared" si="8"/>
        <v>5.2645519375801093E-2</v>
      </c>
      <c r="DK8" s="2">
        <f t="shared" si="8"/>
        <v>4.6334173530340188E-2</v>
      </c>
      <c r="DL8" s="2">
        <f t="shared" si="8"/>
        <v>7.6330825686454773E-2</v>
      </c>
      <c r="DM8" s="2">
        <f t="shared" si="8"/>
        <v>-0.25882810354232788</v>
      </c>
      <c r="DN8" s="2">
        <f t="shared" si="8"/>
        <v>4.6702113002538681E-2</v>
      </c>
      <c r="DO8" s="2">
        <f t="shared" si="8"/>
        <v>0.1028218641877174</v>
      </c>
      <c r="DP8" s="2">
        <f t="shared" si="8"/>
        <v>-0.26931414008140558</v>
      </c>
      <c r="DQ8" s="2">
        <f t="shared" si="8"/>
        <v>4.92582768201828E-2</v>
      </c>
      <c r="DR8" s="2">
        <f t="shared" si="8"/>
        <v>7.612089067697525E-2</v>
      </c>
      <c r="DS8" s="2">
        <f t="shared" si="8"/>
        <v>-4.2000178247690201E-2</v>
      </c>
      <c r="DT8" s="2">
        <f t="shared" si="8"/>
        <v>4.7626849263906479E-2</v>
      </c>
      <c r="DU8" s="2">
        <f t="shared" si="8"/>
        <v>4.7286637127399438E-2</v>
      </c>
      <c r="DV8" s="2">
        <f t="shared" si="8"/>
        <v>-0.12697815895080569</v>
      </c>
      <c r="DW8" s="2">
        <f t="shared" si="8"/>
        <v>-6.3924841582775116E-2</v>
      </c>
      <c r="DX8" s="2">
        <f t="shared" si="8"/>
        <v>-7.1560792624950409E-2</v>
      </c>
      <c r="DY8" s="2">
        <f t="shared" si="8"/>
        <v>-3.8502730429172523E-2</v>
      </c>
      <c r="DZ8" s="2">
        <f t="shared" si="8"/>
        <v>8.7747782468795776E-2</v>
      </c>
      <c r="EA8" s="2">
        <f t="shared" ref="EA8:EM8" si="9">IF(EA6=1,EA3,IF(EA6=2,EA4,IF(EA6=3,EA5)))</f>
        <v>4.5896410942077637E-2</v>
      </c>
      <c r="EB8" s="2">
        <f t="shared" si="9"/>
        <v>-3.0745090916752819E-2</v>
      </c>
      <c r="EC8" s="2">
        <f t="shared" si="9"/>
        <v>-5.1103539764881127E-2</v>
      </c>
      <c r="ED8" s="2">
        <f t="shared" si="9"/>
        <v>3.9232797920703888E-2</v>
      </c>
      <c r="EE8" s="2">
        <f t="shared" si="9"/>
        <v>-0.1043576747179031</v>
      </c>
      <c r="EF8" s="2">
        <f t="shared" si="9"/>
        <v>2.1230563521385189E-2</v>
      </c>
      <c r="EG8" s="2">
        <f t="shared" si="9"/>
        <v>8.221927285194397E-2</v>
      </c>
      <c r="EH8" s="2">
        <f t="shared" si="9"/>
        <v>7.1446478366851807E-2</v>
      </c>
      <c r="EI8" s="2">
        <f t="shared" si="9"/>
        <v>9.3854136765003204E-2</v>
      </c>
      <c r="EJ8" s="2">
        <f t="shared" si="9"/>
        <v>5.9465162456035607E-2</v>
      </c>
      <c r="EK8" s="2">
        <f t="shared" si="9"/>
        <v>5.0296429544687271E-2</v>
      </c>
      <c r="EL8" s="2">
        <f t="shared" si="9"/>
        <v>-7.0758596062660217E-2</v>
      </c>
      <c r="EM8" s="2">
        <f t="shared" si="9"/>
        <v>-0.20883294939994809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-4.1560289373531033E-2</v>
      </c>
      <c r="D12" s="3">
        <v>-4.5606876702993578E-2</v>
      </c>
      <c r="E12" s="3">
        <v>1.9707497338160209E-2</v>
      </c>
      <c r="F12" s="3">
        <v>-7.2221736275589338E-3</v>
      </c>
      <c r="G12" s="3">
        <v>1.6917555223729449E-2</v>
      </c>
      <c r="H12" s="3">
        <v>4.2054474724861568E-2</v>
      </c>
      <c r="I12" s="3">
        <v>-2.0539700396532461E-2</v>
      </c>
      <c r="J12" s="3">
        <v>1.9922501076058231E-2</v>
      </c>
      <c r="K12" s="3">
        <v>-3.464551706909829E-3</v>
      </c>
      <c r="L12" s="3">
        <v>3.4400113257297103E-2</v>
      </c>
      <c r="M12" s="3">
        <v>-1.3467310228920819E-2</v>
      </c>
      <c r="N12" s="3">
        <v>-4.1022295031032649E-2</v>
      </c>
      <c r="O12" s="3">
        <v>1.489214921581198E-2</v>
      </c>
      <c r="P12" s="3">
        <v>-3.0255708007365521E-3</v>
      </c>
      <c r="Q12" s="3">
        <v>-2.514629017678293E-2</v>
      </c>
      <c r="R12" s="3">
        <v>-4.9803868091838621E-3</v>
      </c>
      <c r="S12" s="3">
        <v>-2.7261965948485799E-2</v>
      </c>
      <c r="T12" s="3">
        <v>-7.0582106771454725E-2</v>
      </c>
      <c r="U12" s="3">
        <v>-2.2173517689643429E-2</v>
      </c>
      <c r="V12" s="3">
        <v>3.2593803507624947E-2</v>
      </c>
      <c r="W12" s="3">
        <v>2.6500703410442521E-2</v>
      </c>
      <c r="X12" s="3">
        <v>0.10860049314631259</v>
      </c>
      <c r="Y12" s="3">
        <v>-3.870186444512571E-2</v>
      </c>
      <c r="Z12" s="3">
        <v>1.177732700154919E-2</v>
      </c>
      <c r="AA12" s="3">
        <v>1.8261553538543029E-2</v>
      </c>
      <c r="AB12" s="3">
        <v>-1.9932150117989611E-3</v>
      </c>
      <c r="AC12" s="3">
        <v>3.1642798162756142E-2</v>
      </c>
      <c r="AD12" s="3">
        <v>1.9053383902802031E-2</v>
      </c>
      <c r="AE12" s="3">
        <v>-4.7284777704236843E-2</v>
      </c>
      <c r="AF12" s="3">
        <v>-1.7245735924495579E-2</v>
      </c>
      <c r="AG12" s="3">
        <v>4.1552491507124159E-2</v>
      </c>
      <c r="AH12" s="3">
        <v>4.4213369344962138E-5</v>
      </c>
      <c r="AI12" s="3">
        <v>2.4754038788221931E-2</v>
      </c>
      <c r="AJ12" s="3">
        <v>-8.4180722439051447E-3</v>
      </c>
      <c r="AK12" s="3">
        <v>3.4225235937425651E-2</v>
      </c>
      <c r="AL12" s="3">
        <v>2.5075825185366461E-2</v>
      </c>
      <c r="AM12" s="3">
        <v>3.2715624994154618E-2</v>
      </c>
      <c r="AN12" s="3">
        <v>-9.5829758955215116E-3</v>
      </c>
      <c r="AO12" s="3">
        <v>-1.7530562989714522E-2</v>
      </c>
      <c r="AP12" s="3">
        <v>-2.2174409965611361E-2</v>
      </c>
      <c r="AQ12" s="3">
        <v>-1.3946492010380999E-2</v>
      </c>
      <c r="AR12" s="3">
        <v>-7.6576513414500745E-4</v>
      </c>
      <c r="AS12" s="3">
        <v>-6.9806736749884069E-3</v>
      </c>
      <c r="AT12" s="3">
        <v>-1.112488919728335E-2</v>
      </c>
      <c r="AU12" s="3">
        <v>2.466798424959386E-2</v>
      </c>
      <c r="AV12" s="3">
        <v>-4.1860534478092751E-2</v>
      </c>
      <c r="AW12" s="3">
        <v>1.9125931714875199E-2</v>
      </c>
      <c r="AX12" s="3">
        <v>3.4861891822604761E-2</v>
      </c>
      <c r="AY12" s="3">
        <v>2.8250367281693171E-2</v>
      </c>
      <c r="AZ12" s="3">
        <v>4.8171012655704552E-2</v>
      </c>
      <c r="BA12" s="3">
        <v>-3.450416557699662E-2</v>
      </c>
      <c r="BB12" s="3">
        <v>3.5806353228806487E-2</v>
      </c>
      <c r="BC12" s="3">
        <v>1.2653970789295921E-2</v>
      </c>
      <c r="BD12" s="3">
        <v>4.4150420227339247E-2</v>
      </c>
      <c r="BE12" s="3">
        <v>-5.551299808987601E-2</v>
      </c>
      <c r="BF12" s="3">
        <v>-4.650858334284623E-2</v>
      </c>
      <c r="BG12" s="3">
        <v>2.451210892530694E-2</v>
      </c>
      <c r="BH12" s="3">
        <v>2.050370926513544E-2</v>
      </c>
      <c r="BI12" s="3">
        <v>1.571114824530315E-2</v>
      </c>
      <c r="BJ12" s="3">
        <v>5.0875118065964439E-2</v>
      </c>
      <c r="BK12" s="3">
        <v>-1.9054150710010681E-2</v>
      </c>
      <c r="BL12" s="3">
        <v>2.107059411075226E-2</v>
      </c>
      <c r="BM12" s="3">
        <v>-1.255654775558661E-2</v>
      </c>
      <c r="BN12" s="3">
        <v>3.9259103147050757E-2</v>
      </c>
      <c r="BO12" s="3">
        <v>6.2897519570603577E-3</v>
      </c>
      <c r="BP12" s="3">
        <v>-2.3670645704981359E-2</v>
      </c>
      <c r="BQ12" s="3">
        <v>-6.9265789318719434E-3</v>
      </c>
      <c r="BR12" s="3">
        <v>-3.7615372424170929E-2</v>
      </c>
      <c r="BS12" s="3">
        <v>-7.3239816770181206E-3</v>
      </c>
      <c r="BT12" s="3">
        <v>2.994381625380315E-2</v>
      </c>
      <c r="BU12" s="3">
        <v>-3.4645341160487383E-2</v>
      </c>
      <c r="BV12" s="3">
        <v>-5.2193132011271182E-3</v>
      </c>
      <c r="BW12" s="3">
        <v>6.1565116440531531E-2</v>
      </c>
      <c r="BX12" s="3">
        <v>3.7769238848382081E-3</v>
      </c>
      <c r="BY12" s="3">
        <v>-5.4340033955341323E-2</v>
      </c>
      <c r="BZ12" s="3">
        <v>2.1036743533300858E-2</v>
      </c>
      <c r="CA12" s="3">
        <v>5.9624772784451122E-2</v>
      </c>
      <c r="CB12" s="3">
        <v>-5.6800745815540267E-2</v>
      </c>
      <c r="CC12" s="3">
        <v>1.504481919274812E-2</v>
      </c>
      <c r="CD12" s="3">
        <v>5.5115039962600129E-2</v>
      </c>
      <c r="CE12" s="3">
        <v>9.7361030998282402E-2</v>
      </c>
      <c r="CF12" s="3">
        <v>1.7369884874642791E-2</v>
      </c>
      <c r="CG12" s="3">
        <v>7.4447170055065293E-3</v>
      </c>
      <c r="CH12" s="3">
        <v>4.3731595279529203E-2</v>
      </c>
      <c r="CI12" s="3">
        <v>-4.6080950361651538E-2</v>
      </c>
      <c r="CJ12" s="3">
        <v>-6.2489967792161843E-3</v>
      </c>
      <c r="CK12" s="3">
        <v>1.860201289293309E-2</v>
      </c>
      <c r="CL12" s="3">
        <v>0.1071435665751813</v>
      </c>
      <c r="CM12" s="3">
        <v>-6.1366663556784593E-2</v>
      </c>
      <c r="CN12" s="3">
        <v>1.414884483617759E-2</v>
      </c>
      <c r="CO12" s="3">
        <v>-6.2190421384201493E-2</v>
      </c>
      <c r="CP12" s="3">
        <v>-1.361842841868415E-2</v>
      </c>
      <c r="CQ12" s="3">
        <v>6.3189562905193591E-2</v>
      </c>
      <c r="CR12" s="3">
        <v>-4.5907044438039751E-2</v>
      </c>
      <c r="CS12" s="3">
        <v>-4.1083816343143037E-2</v>
      </c>
      <c r="CT12" s="3">
        <v>3.1090067124616639E-2</v>
      </c>
      <c r="CU12" s="3">
        <v>2.516049346346292E-2</v>
      </c>
      <c r="CV12" s="3">
        <v>-5.8093932821193066E-3</v>
      </c>
      <c r="CW12" s="3">
        <v>-2.2758152809790838E-3</v>
      </c>
      <c r="CX12" s="3">
        <v>2.185335236015688E-2</v>
      </c>
      <c r="CY12" s="3">
        <v>-1.915829393766235E-2</v>
      </c>
      <c r="CZ12" s="3">
        <v>9.1470455798926723E-2</v>
      </c>
      <c r="DA12" s="3">
        <v>3.1074650441597251E-2</v>
      </c>
      <c r="DB12" s="3">
        <v>-4.8295920378309973E-2</v>
      </c>
      <c r="DC12" s="3">
        <v>3.469496375002222E-2</v>
      </c>
      <c r="DD12" s="3">
        <v>-2.927927778553829E-2</v>
      </c>
      <c r="DE12" s="3">
        <v>-1.7272812808577679E-2</v>
      </c>
      <c r="DF12" s="3">
        <v>4.9523417075000582E-2</v>
      </c>
      <c r="DG12" s="3">
        <v>-3.7847861274279207E-2</v>
      </c>
      <c r="DH12" s="3">
        <v>1.876137831640749E-3</v>
      </c>
      <c r="DI12" s="3">
        <v>2.2177568906433989E-2</v>
      </c>
      <c r="DJ12" s="3">
        <v>1.606993779147017E-2</v>
      </c>
      <c r="DK12" s="3">
        <v>-2.7823018509176439E-2</v>
      </c>
      <c r="DL12" s="3">
        <v>1.935834343637928E-3</v>
      </c>
      <c r="DM12" s="3">
        <v>1.1074403858756869E-2</v>
      </c>
      <c r="DN12" s="3">
        <v>2.554675336350782E-2</v>
      </c>
      <c r="DO12" s="3">
        <v>-3.5378421563355078E-2</v>
      </c>
      <c r="DP12" s="3">
        <v>5.505743756066294E-2</v>
      </c>
      <c r="DQ12" s="3">
        <v>-7.7781254036924366E-3</v>
      </c>
      <c r="DR12" s="3">
        <v>-8.6065828260815935E-4</v>
      </c>
      <c r="DS12" s="3">
        <v>7.5955296465177485E-2</v>
      </c>
      <c r="DT12" s="3">
        <v>-1.6650091277482969E-2</v>
      </c>
      <c r="DU12" s="3">
        <v>-4.1068560919693201E-2</v>
      </c>
      <c r="DV12" s="3">
        <v>3.2379672193559757E-2</v>
      </c>
      <c r="DW12" s="3">
        <v>-5.396713138588384E-2</v>
      </c>
      <c r="DX12" s="3">
        <v>1.3128522238637599E-2</v>
      </c>
      <c r="DY12" s="3">
        <v>1.312707452151627E-2</v>
      </c>
      <c r="DZ12" s="3">
        <v>-2.2962061763507149E-2</v>
      </c>
      <c r="EA12" s="3">
        <v>7.7637415006461723E-3</v>
      </c>
      <c r="EB12" s="3">
        <v>-1.629637208845697E-3</v>
      </c>
      <c r="EC12" s="3">
        <v>-1.031714727195457E-2</v>
      </c>
      <c r="ED12" s="3">
        <v>-3.37677324926004E-2</v>
      </c>
      <c r="EE12" s="3">
        <v>-3.4298896500626571E-3</v>
      </c>
      <c r="EF12" s="3">
        <v>3.3227098035701987E-2</v>
      </c>
      <c r="EG12" s="3">
        <v>-9.7735366369105514E-3</v>
      </c>
      <c r="EH12" s="3">
        <v>-1.2309253997290961E-2</v>
      </c>
      <c r="EI12" s="3">
        <v>8.1608813185620292E-3</v>
      </c>
      <c r="EJ12" s="3">
        <v>1.0771164749577841E-2</v>
      </c>
      <c r="EK12" s="3">
        <v>-1.065045785759903E-2</v>
      </c>
      <c r="EL12" s="3">
        <v>-3.8786838747729743E-2</v>
      </c>
      <c r="EM12">
        <f t="shared" ref="EM12:EM24" si="11">AVERAGE(C12:EL12)</f>
        <v>3.4777778557468935E-3</v>
      </c>
      <c r="EN12">
        <f t="shared" ref="EN12:EN25" si="12">STDEV(C12:EL12)</f>
        <v>3.51690850180418E-2</v>
      </c>
      <c r="EO12">
        <f t="shared" ref="EO12:EO25" si="13">EM12/EN12</f>
        <v>9.8887356721472502E-2</v>
      </c>
    </row>
    <row r="13" spans="1:145" x14ac:dyDescent="0.3">
      <c r="A13" s="18">
        <v>20</v>
      </c>
      <c r="B13" s="18">
        <f t="shared" si="10"/>
        <v>53</v>
      </c>
      <c r="C13" s="3">
        <v>-8.6385437910145371E-2</v>
      </c>
      <c r="D13" s="3">
        <v>-6.3633602036356415E-2</v>
      </c>
      <c r="E13" s="3">
        <v>2.0488216247249041E-2</v>
      </c>
      <c r="F13" s="3">
        <v>-1.0625692299791699E-2</v>
      </c>
      <c r="G13" s="3">
        <v>1.9404002278645041E-2</v>
      </c>
      <c r="H13" s="3">
        <v>1.924962886588413E-2</v>
      </c>
      <c r="I13" s="3">
        <v>9.0512699312062933E-3</v>
      </c>
      <c r="J13" s="3">
        <v>-2.1451205307398999E-3</v>
      </c>
      <c r="K13" s="3">
        <v>-1.818305515689056E-2</v>
      </c>
      <c r="L13" s="3">
        <v>3.4373952296066553E-2</v>
      </c>
      <c r="M13" s="3">
        <v>-4.0107943228681019E-3</v>
      </c>
      <c r="N13" s="3">
        <v>-6.2144396295233953E-2</v>
      </c>
      <c r="O13" s="3">
        <v>1.5841241239492249E-3</v>
      </c>
      <c r="P13" s="3">
        <v>-1.3853290928588989E-2</v>
      </c>
      <c r="Q13" s="3">
        <v>-2.394280781088718E-2</v>
      </c>
      <c r="R13" s="3">
        <v>-3.1005055572785791E-2</v>
      </c>
      <c r="S13" s="3">
        <v>-1.453397868183137E-2</v>
      </c>
      <c r="T13" s="3">
        <v>-6.7087232227014765E-2</v>
      </c>
      <c r="U13" s="3">
        <v>-3.5831951266822579E-2</v>
      </c>
      <c r="V13" s="3">
        <v>3.7925366278665953E-2</v>
      </c>
      <c r="W13" s="3">
        <v>4.2560230804354178E-2</v>
      </c>
      <c r="X13" s="3">
        <v>0.1445012915503863</v>
      </c>
      <c r="Y13" s="3">
        <v>-4.3380769326799122E-2</v>
      </c>
      <c r="Z13" s="3">
        <v>2.7327382096490709E-2</v>
      </c>
      <c r="AA13" s="3">
        <v>1.413313833822767E-2</v>
      </c>
      <c r="AB13" s="3">
        <v>-3.5417633341322148E-3</v>
      </c>
      <c r="AC13" s="3">
        <v>4.0593437642957357E-2</v>
      </c>
      <c r="AD13" s="3">
        <v>1.519450673716366E-3</v>
      </c>
      <c r="AE13" s="3">
        <v>-5.1125040783500067E-2</v>
      </c>
      <c r="AF13" s="3">
        <v>-2.9610556247524091E-2</v>
      </c>
      <c r="AG13" s="3">
        <v>5.0404280285969522E-2</v>
      </c>
      <c r="AH13" s="3">
        <v>1.8530774642379361E-2</v>
      </c>
      <c r="AI13" s="3">
        <v>1.759693732560633E-2</v>
      </c>
      <c r="AJ13" s="3">
        <v>6.2581674228630946E-3</v>
      </c>
      <c r="AK13" s="3">
        <v>4.1861170601053259E-2</v>
      </c>
      <c r="AL13" s="3">
        <v>3.0683756433669409E-2</v>
      </c>
      <c r="AM13" s="3">
        <v>3.6970987840050248E-2</v>
      </c>
      <c r="AN13" s="3">
        <v>-2.4834120309405669E-3</v>
      </c>
      <c r="AO13" s="3">
        <v>-3.8717973618904149E-3</v>
      </c>
      <c r="AP13" s="3">
        <v>-1.9438198871546141E-2</v>
      </c>
      <c r="AQ13" s="3">
        <v>-1.516694059681622E-2</v>
      </c>
      <c r="AR13" s="3">
        <v>1.031298105537082E-2</v>
      </c>
      <c r="AS13" s="3">
        <v>7.6279000795071274E-3</v>
      </c>
      <c r="AT13" s="3">
        <v>-1.8654466249856588E-2</v>
      </c>
      <c r="AU13" s="3">
        <v>1.5366129117841061E-2</v>
      </c>
      <c r="AV13" s="3">
        <v>-5.0779440080469557E-2</v>
      </c>
      <c r="AW13" s="3">
        <v>5.084705318002896E-2</v>
      </c>
      <c r="AX13" s="3">
        <v>5.5654674408912863E-2</v>
      </c>
      <c r="AY13" s="3">
        <v>1.939334699905677E-2</v>
      </c>
      <c r="AZ13" s="3">
        <v>3.8855811720619512E-2</v>
      </c>
      <c r="BA13" s="3">
        <v>-1.3714322278789449E-2</v>
      </c>
      <c r="BB13" s="3">
        <v>6.3745329383888428E-3</v>
      </c>
      <c r="BC13" s="3">
        <v>6.9993014793269656E-3</v>
      </c>
      <c r="BD13" s="3">
        <v>3.048243440649135E-2</v>
      </c>
      <c r="BE13" s="3">
        <v>-5.3600312595341842E-2</v>
      </c>
      <c r="BF13" s="3">
        <v>-3.4525055706162731E-2</v>
      </c>
      <c r="BG13" s="3">
        <v>2.8391876774242271E-2</v>
      </c>
      <c r="BH13" s="3">
        <v>3.1626873571702699E-2</v>
      </c>
      <c r="BI13" s="3">
        <v>5.4406205043181222E-3</v>
      </c>
      <c r="BJ13" s="3">
        <v>5.341267143730194E-2</v>
      </c>
      <c r="BK13" s="3">
        <v>-2.7831156690694251E-2</v>
      </c>
      <c r="BL13" s="3">
        <v>3.3757523227314339E-2</v>
      </c>
      <c r="BM13" s="3">
        <v>-1.7768007739613331E-2</v>
      </c>
      <c r="BN13" s="3">
        <v>5.3913391268596837E-2</v>
      </c>
      <c r="BO13" s="3">
        <v>-1.1108293653520699E-2</v>
      </c>
      <c r="BP13" s="3">
        <v>-1.667866937447016E-2</v>
      </c>
      <c r="BQ13" s="3">
        <v>-1.549764294142802E-2</v>
      </c>
      <c r="BR13" s="3">
        <v>-4.0877647856403083E-2</v>
      </c>
      <c r="BS13" s="3">
        <v>-2.8633570963778818E-4</v>
      </c>
      <c r="BT13" s="3">
        <v>3.0259600637146611E-2</v>
      </c>
      <c r="BU13" s="3">
        <v>-5.2031832109186521E-2</v>
      </c>
      <c r="BV13" s="3">
        <v>-1.1708747393230721E-2</v>
      </c>
      <c r="BW13" s="3">
        <v>6.8814373450739791E-2</v>
      </c>
      <c r="BX13" s="3">
        <v>2.2000578483511832E-3</v>
      </c>
      <c r="BY13" s="3">
        <v>-9.2541401100085852E-2</v>
      </c>
      <c r="BZ13" s="3">
        <v>3.8358241103409643E-2</v>
      </c>
      <c r="CA13" s="3">
        <v>5.8786015272511337E-2</v>
      </c>
      <c r="CB13" s="3">
        <v>-7.2254403809590112E-2</v>
      </c>
      <c r="CC13" s="3">
        <v>2.2727114649841871E-2</v>
      </c>
      <c r="CD13" s="3">
        <v>5.373175064024649E-2</v>
      </c>
      <c r="CE13" s="3">
        <v>9.9287781085853621E-2</v>
      </c>
      <c r="CF13" s="3">
        <v>2.6025025540421982E-2</v>
      </c>
      <c r="CG13" s="3">
        <v>1.4533176252343381E-2</v>
      </c>
      <c r="CH13" s="3">
        <v>5.9930997184505418E-2</v>
      </c>
      <c r="CI13" s="3">
        <v>-4.6145079215618688E-2</v>
      </c>
      <c r="CJ13" s="3">
        <v>-2.0004046315600481E-2</v>
      </c>
      <c r="CK13" s="3">
        <v>3.2820072951193158E-2</v>
      </c>
      <c r="CL13" s="3">
        <v>8.5413831933890419E-2</v>
      </c>
      <c r="CM13" s="3">
        <v>-4.0605805915026362E-2</v>
      </c>
      <c r="CN13" s="3">
        <v>2.035347041831315E-2</v>
      </c>
      <c r="CO13" s="3">
        <v>-7.077512157531117E-2</v>
      </c>
      <c r="CP13" s="3">
        <v>-2.9480716395048252E-2</v>
      </c>
      <c r="CQ13" s="3">
        <v>6.965191299896796E-2</v>
      </c>
      <c r="CR13" s="3">
        <v>-7.6074067836206474E-2</v>
      </c>
      <c r="CS13" s="3">
        <v>-4.4427806013724147E-2</v>
      </c>
      <c r="CT13" s="3">
        <v>4.7817313344232407E-2</v>
      </c>
      <c r="CU13" s="3">
        <v>4.2863747409370358E-2</v>
      </c>
      <c r="CV13" s="3">
        <v>-2.9956272881962072E-3</v>
      </c>
      <c r="CW13" s="3">
        <v>3.818296148198026E-3</v>
      </c>
      <c r="CX13" s="3">
        <v>2.7996471894859922E-3</v>
      </c>
      <c r="CY13" s="3">
        <v>-1.4754311858363371E-2</v>
      </c>
      <c r="CZ13" s="3">
        <v>9.1142583708266403E-2</v>
      </c>
      <c r="DA13" s="3">
        <v>3.450160184261402E-2</v>
      </c>
      <c r="DB13" s="3">
        <v>-3.8422551929376027E-2</v>
      </c>
      <c r="DC13" s="3">
        <v>4.1942923042513798E-2</v>
      </c>
      <c r="DD13" s="3">
        <v>-1.1250272414902569E-2</v>
      </c>
      <c r="DE13" s="3">
        <v>-3.8443252986416078E-2</v>
      </c>
      <c r="DF13" s="3">
        <v>8.0024334509097961E-2</v>
      </c>
      <c r="DG13" s="3">
        <v>-5.4220465178562723E-2</v>
      </c>
      <c r="DH13" s="3">
        <v>1.4222483827785159E-2</v>
      </c>
      <c r="DI13" s="3">
        <v>3.4657795351915717E-2</v>
      </c>
      <c r="DJ13" s="3">
        <v>3.6420768991986159E-2</v>
      </c>
      <c r="DK13" s="3">
        <v>-2.755186762541505E-2</v>
      </c>
      <c r="DL13" s="3">
        <v>1.0276003892044061E-2</v>
      </c>
      <c r="DM13" s="3">
        <v>3.8496042942549963E-2</v>
      </c>
      <c r="DN13" s="3">
        <v>3.2514602842342172E-2</v>
      </c>
      <c r="DO13" s="3">
        <v>-4.6946533836344673E-2</v>
      </c>
      <c r="DP13" s="3">
        <v>6.3162665805191476E-2</v>
      </c>
      <c r="DQ13" s="3">
        <v>-1.398529993327041E-3</v>
      </c>
      <c r="DR13" s="3">
        <v>-7.6865743214304394E-3</v>
      </c>
      <c r="DS13" s="3">
        <v>3.5921485564826598E-2</v>
      </c>
      <c r="DT13" s="3">
        <v>-1.316357764884454E-2</v>
      </c>
      <c r="DU13" s="3">
        <v>-1.6329134602846851E-2</v>
      </c>
      <c r="DV13" s="3">
        <v>3.9749711449443427E-2</v>
      </c>
      <c r="DW13" s="3">
        <v>-6.3376749150056352E-2</v>
      </c>
      <c r="DX13" s="3">
        <v>9.5064398500444222E-3</v>
      </c>
      <c r="DY13" s="3">
        <v>2.2242826322094039E-2</v>
      </c>
      <c r="DZ13" s="3">
        <v>-3.6688469860093553E-2</v>
      </c>
      <c r="EA13" s="3">
        <v>-1.086092453849771E-3</v>
      </c>
      <c r="EB13" s="3">
        <v>-1.416812485740951E-2</v>
      </c>
      <c r="EC13" s="3">
        <v>-5.232095958104796E-3</v>
      </c>
      <c r="ED13" s="3">
        <v>-6.9909907072386868E-2</v>
      </c>
      <c r="EE13" s="3">
        <v>-1.1873191651099761E-2</v>
      </c>
      <c r="EF13" s="3">
        <v>2.7873252085039459E-2</v>
      </c>
      <c r="EG13" s="3">
        <v>-3.7166465257093551E-2</v>
      </c>
      <c r="EH13" s="3">
        <v>-2.979870779446829E-3</v>
      </c>
      <c r="EI13" s="3">
        <v>-1.166794750579805E-4</v>
      </c>
      <c r="EJ13" s="3">
        <v>3.4281500643810393E-2</v>
      </c>
      <c r="EK13" s="3">
        <v>-1.735869171131443E-2</v>
      </c>
      <c r="EL13" s="3">
        <v>-6.9650977325613761E-2</v>
      </c>
      <c r="EM13">
        <f t="shared" si="11"/>
        <v>3.0604489228237448E-3</v>
      </c>
      <c r="EN13">
        <f t="shared" si="12"/>
        <v>4.0932051047533835E-2</v>
      </c>
      <c r="EO13">
        <f t="shared" si="13"/>
        <v>7.4769009724669974E-2</v>
      </c>
    </row>
    <row r="14" spans="1:145" x14ac:dyDescent="0.3">
      <c r="A14" s="18">
        <v>50</v>
      </c>
      <c r="B14" s="18">
        <f t="shared" si="10"/>
        <v>21</v>
      </c>
      <c r="C14" s="3">
        <v>-0.13523723449626601</v>
      </c>
      <c r="D14" s="3">
        <v>-5.3511528856401223E-2</v>
      </c>
      <c r="E14" s="3">
        <v>9.4643170054402714E-3</v>
      </c>
      <c r="F14" s="3">
        <v>-4.8013919287987511E-2</v>
      </c>
      <c r="G14" s="3">
        <v>1.328423674008683E-2</v>
      </c>
      <c r="H14" s="3">
        <v>1.9215463142087771E-2</v>
      </c>
      <c r="I14" s="3">
        <v>5.0031331863150029E-2</v>
      </c>
      <c r="J14" s="3">
        <v>-4.0591631445604848E-2</v>
      </c>
      <c r="K14" s="3">
        <v>1.9183820339538721E-2</v>
      </c>
      <c r="L14" s="3">
        <v>-2.4483640625055481E-2</v>
      </c>
      <c r="M14" s="3">
        <v>2.2724881306053771E-2</v>
      </c>
      <c r="N14" s="3">
        <v>-0.10904256317004619</v>
      </c>
      <c r="O14" s="3">
        <v>-2.4374869284819429E-2</v>
      </c>
      <c r="P14" s="3">
        <v>6.2229385920055738E-4</v>
      </c>
      <c r="Q14" s="3">
        <v>-7.4435074452239097E-2</v>
      </c>
      <c r="R14" s="3">
        <v>-3.0128278755336701E-2</v>
      </c>
      <c r="S14" s="3">
        <v>1.216204868122465E-2</v>
      </c>
      <c r="T14" s="3">
        <v>-5.5917638349522562E-2</v>
      </c>
      <c r="U14" s="3">
        <v>-4.4082090846735943E-2</v>
      </c>
      <c r="V14" s="3">
        <v>-1.492904645137683E-2</v>
      </c>
      <c r="W14" s="3">
        <v>4.4174499415646447E-2</v>
      </c>
      <c r="X14" s="3">
        <v>0.21299706800468779</v>
      </c>
      <c r="Y14" s="3">
        <v>-3.3739918295961617E-2</v>
      </c>
      <c r="Z14" s="3">
        <v>3.8671952172043382E-2</v>
      </c>
      <c r="AA14" s="3">
        <v>-7.705095164957567E-3</v>
      </c>
      <c r="AB14" s="3">
        <v>-6.4921562894872831E-2</v>
      </c>
      <c r="AC14" s="3">
        <v>-3.859912541052828E-3</v>
      </c>
      <c r="AD14" s="3">
        <v>1.377408023098938E-2</v>
      </c>
      <c r="AE14" s="3">
        <v>-4.6189732101129748E-2</v>
      </c>
      <c r="AF14" s="3">
        <v>-4.4828499309650507E-2</v>
      </c>
      <c r="AG14" s="3">
        <v>1.559106192072136E-2</v>
      </c>
      <c r="AH14" s="3">
        <v>4.2503324895269102E-3</v>
      </c>
      <c r="AI14" s="3">
        <v>5.770562784867192E-2</v>
      </c>
      <c r="AJ14" s="3">
        <v>4.2932733393080381E-2</v>
      </c>
      <c r="AK14" s="3">
        <v>5.4383503961891108E-3</v>
      </c>
      <c r="AL14" s="3">
        <v>4.6331533519537033E-3</v>
      </c>
      <c r="AM14" s="3">
        <v>3.7154689682186583E-2</v>
      </c>
      <c r="AN14" s="3">
        <v>-2.5032691406034011E-2</v>
      </c>
      <c r="AO14" s="3">
        <v>-3.3231998208684797E-2</v>
      </c>
      <c r="AP14" s="3">
        <v>-1.454048945989558E-2</v>
      </c>
      <c r="AQ14" s="3">
        <v>-2.0052498222854119E-2</v>
      </c>
      <c r="AR14" s="3">
        <v>6.3261883513385294E-3</v>
      </c>
      <c r="AS14" s="3">
        <v>3.0266147473996328E-2</v>
      </c>
      <c r="AT14" s="3">
        <v>-3.9009157232541537E-2</v>
      </c>
      <c r="AU14" s="3">
        <v>2.5872904282420391E-2</v>
      </c>
      <c r="AV14" s="3">
        <v>-4.2172747844815658E-2</v>
      </c>
      <c r="AW14" s="3">
        <v>4.2699508547533363E-2</v>
      </c>
      <c r="AX14" s="3">
        <v>5.8289429151664143E-2</v>
      </c>
      <c r="AY14" s="3">
        <v>-2.4901574635685909E-2</v>
      </c>
      <c r="AZ14" s="3">
        <v>5.1365555838278898E-2</v>
      </c>
      <c r="BA14" s="3">
        <v>1.456879555651374E-2</v>
      </c>
      <c r="BB14" s="3">
        <v>-4.0039916170331133E-2</v>
      </c>
      <c r="BC14" s="3">
        <v>4.1447768059179817E-2</v>
      </c>
      <c r="BD14" s="3">
        <v>2.2790189557870079E-2</v>
      </c>
      <c r="BE14" s="3">
        <v>-4.8339717989899597E-2</v>
      </c>
      <c r="BF14" s="3">
        <v>-5.3444670100452528E-2</v>
      </c>
      <c r="BG14" s="3">
        <v>2.2974410601855171E-2</v>
      </c>
      <c r="BH14" s="3">
        <v>6.8604477104443673E-2</v>
      </c>
      <c r="BI14" s="3">
        <v>-1.6470042135314739E-2</v>
      </c>
      <c r="BJ14" s="3">
        <v>7.9455322700096198E-2</v>
      </c>
      <c r="BK14" s="3">
        <v>2.5994960766177379E-2</v>
      </c>
      <c r="BL14" s="3">
        <v>3.3773213442585451E-2</v>
      </c>
      <c r="BM14" s="3">
        <v>-3.9627235751969601E-2</v>
      </c>
      <c r="BN14" s="3">
        <v>9.5291959079594674E-2</v>
      </c>
      <c r="BO14" s="3">
        <v>-5.8201778088483522E-3</v>
      </c>
      <c r="BP14" s="3">
        <v>1.274237015817601E-2</v>
      </c>
      <c r="BQ14" s="3">
        <v>-4.6830679050024443E-2</v>
      </c>
      <c r="BR14" s="3">
        <v>-7.1409564111986359E-2</v>
      </c>
      <c r="BS14" s="3">
        <v>-1.171865737853882E-2</v>
      </c>
      <c r="BT14" s="3">
        <v>3.5202773440132638E-2</v>
      </c>
      <c r="BU14" s="3">
        <v>-0.1027403900578539</v>
      </c>
      <c r="BV14" s="3">
        <v>-4.253221176579472E-2</v>
      </c>
      <c r="BW14" s="3">
        <v>8.5935814114651954E-2</v>
      </c>
      <c r="BX14" s="3">
        <v>1.533896362400965E-2</v>
      </c>
      <c r="BY14" s="3">
        <v>-0.1183975075387747</v>
      </c>
      <c r="BZ14" s="3">
        <v>6.2974744567842911E-2</v>
      </c>
      <c r="CA14" s="3">
        <v>7.4551393167294713E-2</v>
      </c>
      <c r="CB14" s="3">
        <v>-4.6965559755478767E-2</v>
      </c>
      <c r="CC14" s="3">
        <v>2.5771494452478661E-2</v>
      </c>
      <c r="CD14" s="3">
        <v>8.4591015288882715E-2</v>
      </c>
      <c r="CE14" s="3">
        <v>9.3568025995792836E-2</v>
      </c>
      <c r="CF14" s="3">
        <v>4.4243156350544988E-2</v>
      </c>
      <c r="CG14" s="3">
        <v>9.8457405743118009E-2</v>
      </c>
      <c r="CH14" s="3">
        <v>8.2616826283217121E-2</v>
      </c>
      <c r="CI14" s="3">
        <v>9.9009007990053383E-3</v>
      </c>
      <c r="CJ14" s="3">
        <v>1.073080921755766E-3</v>
      </c>
      <c r="CK14" s="3">
        <v>1.707194077785024E-2</v>
      </c>
      <c r="CL14" s="3">
        <v>0.13373202770044401</v>
      </c>
      <c r="CM14" s="3">
        <v>-2.953350994633476E-2</v>
      </c>
      <c r="CN14" s="3">
        <v>1.9447471990126999E-2</v>
      </c>
      <c r="CO14" s="3">
        <v>-9.6622064133025876E-2</v>
      </c>
      <c r="CP14" s="3">
        <v>-7.2158735152513837E-2</v>
      </c>
      <c r="CQ14" s="3">
        <v>6.9631568693668197E-2</v>
      </c>
      <c r="CR14" s="3">
        <v>-5.6976735726844488E-2</v>
      </c>
      <c r="CS14" s="3">
        <v>-1.9017602072189339E-2</v>
      </c>
      <c r="CT14" s="3">
        <v>5.2467727910826857E-2</v>
      </c>
      <c r="CU14" s="3">
        <v>8.7667102976749456E-2</v>
      </c>
      <c r="CV14" s="3">
        <v>-2.5817826507477611E-2</v>
      </c>
      <c r="CW14" s="3">
        <v>2.5531403512211961E-2</v>
      </c>
      <c r="CX14" s="3">
        <v>-4.4872788266645612E-2</v>
      </c>
      <c r="CY14" s="3">
        <v>-4.7705466621900401E-2</v>
      </c>
      <c r="CZ14" s="3">
        <v>0.12935146987259721</v>
      </c>
      <c r="DA14" s="3">
        <v>5.814786053523871E-2</v>
      </c>
      <c r="DB14" s="3">
        <v>-5.1559732210364799E-2</v>
      </c>
      <c r="DC14" s="3">
        <v>4.5746401438470127E-2</v>
      </c>
      <c r="DD14" s="3">
        <v>4.8754381155252227E-2</v>
      </c>
      <c r="DE14" s="3">
        <v>3.6436382050865357E-2</v>
      </c>
      <c r="DF14" s="3">
        <v>0.17439265663464371</v>
      </c>
      <c r="DG14" s="3">
        <v>-4.908874544643186E-2</v>
      </c>
      <c r="DH14" s="3">
        <v>1.2548314071635759E-2</v>
      </c>
      <c r="DI14" s="3">
        <v>2.4349130501832681E-3</v>
      </c>
      <c r="DJ14" s="3">
        <v>3.4462242308417657E-2</v>
      </c>
      <c r="DK14" s="3">
        <v>-1.414724206822893E-2</v>
      </c>
      <c r="DL14" s="3">
        <v>5.5012510584636319E-2</v>
      </c>
      <c r="DM14" s="3">
        <v>2.835865456720504E-2</v>
      </c>
      <c r="DN14" s="3">
        <v>3.4460843841116869E-2</v>
      </c>
      <c r="DO14" s="3">
        <v>-9.9470825439354288E-2</v>
      </c>
      <c r="DP14" s="3">
        <v>1.9279955977277111E-2</v>
      </c>
      <c r="DQ14" s="3">
        <v>1.440506438657726E-2</v>
      </c>
      <c r="DR14" s="3">
        <v>-1.1836498977584851E-2</v>
      </c>
      <c r="DS14" s="3">
        <v>4.4844706469305183E-2</v>
      </c>
      <c r="DT14" s="3">
        <v>-2.8275938907625139E-2</v>
      </c>
      <c r="DU14" s="3">
        <v>-2.439002334236998E-2</v>
      </c>
      <c r="DV14" s="3">
        <v>1.165613063385878E-2</v>
      </c>
      <c r="DW14" s="3">
        <v>-4.3956552112313751E-2</v>
      </c>
      <c r="DX14" s="3">
        <v>2.522781957210507E-3</v>
      </c>
      <c r="DY14" s="3">
        <v>7.1980277150438754E-2</v>
      </c>
      <c r="DZ14" s="3">
        <v>-3.5206917613449802E-2</v>
      </c>
      <c r="EA14" s="3">
        <v>-5.9542239382766801E-3</v>
      </c>
      <c r="EB14" s="3">
        <v>1.9167956770265591E-2</v>
      </c>
      <c r="EC14" s="3">
        <v>3.1266283706918453E-2</v>
      </c>
      <c r="ED14" s="3">
        <v>-7.2428409371376068E-2</v>
      </c>
      <c r="EE14" s="3">
        <v>-3.3224949599477091E-3</v>
      </c>
      <c r="EF14" s="3">
        <v>1.567648873100606E-2</v>
      </c>
      <c r="EG14" s="3">
        <v>-9.1325021689220298E-2</v>
      </c>
      <c r="EH14" s="3">
        <v>-1.7353246733232481E-2</v>
      </c>
      <c r="EI14" s="3">
        <v>1.7088659725516351E-2</v>
      </c>
      <c r="EJ14" s="3">
        <v>-1.8392314688557392E-2</v>
      </c>
      <c r="EK14" s="3">
        <v>-1.9539118196369599E-2</v>
      </c>
      <c r="EL14" s="3">
        <v>-3.2690613378857848E-2</v>
      </c>
      <c r="EM14">
        <f t="shared" si="11"/>
        <v>4.0952324713439663E-3</v>
      </c>
      <c r="EN14">
        <f t="shared" si="12"/>
        <v>5.5150299325730574E-2</v>
      </c>
      <c r="EO14">
        <f t="shared" si="13"/>
        <v>7.4255852124329641E-2</v>
      </c>
    </row>
    <row r="15" spans="1:145" x14ac:dyDescent="0.3">
      <c r="A15" s="18">
        <v>110</v>
      </c>
      <c r="B15" s="18">
        <f t="shared" si="10"/>
        <v>10</v>
      </c>
      <c r="C15" s="3">
        <v>-0.30082330682902408</v>
      </c>
      <c r="D15" s="3">
        <v>2.8568730523059051E-2</v>
      </c>
      <c r="E15" s="3">
        <v>2.8077832760147099E-2</v>
      </c>
      <c r="F15" s="3">
        <v>-0.1158878044572183</v>
      </c>
      <c r="G15" s="3">
        <v>3.0799136891822149E-2</v>
      </c>
      <c r="H15" s="3">
        <v>0.10441349057499739</v>
      </c>
      <c r="I15" s="3">
        <v>0.10577826393436709</v>
      </c>
      <c r="J15" s="3">
        <v>-4.9492420469365118E-2</v>
      </c>
      <c r="K15" s="3">
        <v>2.98493940082807E-2</v>
      </c>
      <c r="L15" s="3">
        <v>-3.2023117657701612E-2</v>
      </c>
      <c r="M15" s="3">
        <v>7.4665034619995879E-2</v>
      </c>
      <c r="N15" s="3">
        <v>-0.18150839211074909</v>
      </c>
      <c r="O15" s="3">
        <v>-3.1533241023695979E-3</v>
      </c>
      <c r="P15" s="3">
        <v>-2.413486306098717E-2</v>
      </c>
      <c r="Q15" s="3">
        <v>-3.8013893060143973E-2</v>
      </c>
      <c r="R15" s="3">
        <v>-6.3338145900898424E-2</v>
      </c>
      <c r="S15" s="3">
        <v>-3.4430504464033132E-2</v>
      </c>
      <c r="T15" s="3">
        <v>-6.0742310570791637E-2</v>
      </c>
      <c r="U15" s="3">
        <v>-1.81572991918965E-2</v>
      </c>
      <c r="V15" s="3">
        <v>-5.5553712523551922E-2</v>
      </c>
      <c r="W15" s="3">
        <v>5.1037173184236527E-2</v>
      </c>
      <c r="X15" s="3">
        <v>0.1782949830095712</v>
      </c>
      <c r="Y15" s="3">
        <v>-2.1089809919360211E-2</v>
      </c>
      <c r="Z15" s="3">
        <v>2.0610551777150571E-2</v>
      </c>
      <c r="AA15" s="3">
        <v>-2.180036886849776E-2</v>
      </c>
      <c r="AB15" s="3">
        <v>-7.8747922323567365E-2</v>
      </c>
      <c r="AC15" s="3">
        <v>8.4925206993691146E-3</v>
      </c>
      <c r="AD15" s="3">
        <v>-5.9207444498681761E-3</v>
      </c>
      <c r="AE15" s="3">
        <v>-3.9090297454908163E-2</v>
      </c>
      <c r="AF15" s="3">
        <v>-2.548242382958853E-2</v>
      </c>
      <c r="AG15" s="3">
        <v>-2.8536048998283051E-2</v>
      </c>
      <c r="AH15" s="3">
        <v>5.624086647702687E-3</v>
      </c>
      <c r="AI15" s="3">
        <v>5.3647382593792911E-2</v>
      </c>
      <c r="AJ15" s="3">
        <v>2.7923853028647E-2</v>
      </c>
      <c r="AK15" s="3">
        <v>1.4694506568275759E-2</v>
      </c>
      <c r="AL15" s="3">
        <v>1.424861671036258E-2</v>
      </c>
      <c r="AM15" s="3">
        <v>4.7904549628130517E-2</v>
      </c>
      <c r="AN15" s="3">
        <v>8.4251902340962415E-3</v>
      </c>
      <c r="AO15" s="3">
        <v>-7.5505086111607514E-2</v>
      </c>
      <c r="AP15" s="3">
        <v>1.6926847615597811E-2</v>
      </c>
      <c r="AQ15" s="3">
        <v>-7.8661418685322254E-3</v>
      </c>
      <c r="AR15" s="3">
        <v>1.173955931389617E-2</v>
      </c>
      <c r="AS15" s="3">
        <v>6.9583505645225419E-2</v>
      </c>
      <c r="AT15" s="3">
        <v>-7.1253332888351756E-3</v>
      </c>
      <c r="AU15" s="3">
        <v>-1.6736345174744359E-3</v>
      </c>
      <c r="AV15" s="3">
        <v>-3.9874030092488119E-2</v>
      </c>
      <c r="AW15" s="3">
        <v>8.5974185729006447E-2</v>
      </c>
      <c r="AX15" s="3">
        <v>8.4062842596588833E-2</v>
      </c>
      <c r="AY15" s="3">
        <v>7.46600155258383E-2</v>
      </c>
      <c r="AZ15" s="3">
        <v>3.7827819832839109E-2</v>
      </c>
      <c r="BA15" s="3">
        <v>4.9464536482278908E-2</v>
      </c>
      <c r="BB15" s="3">
        <v>-8.4061178373500689E-2</v>
      </c>
      <c r="BC15" s="3">
        <v>4.3671484584452948E-2</v>
      </c>
      <c r="BD15" s="3">
        <v>-1.8774988947888389E-2</v>
      </c>
      <c r="BE15" s="3">
        <v>-6.9870823321594139E-2</v>
      </c>
      <c r="BF15" s="3">
        <v>-7.8396579964920818E-2</v>
      </c>
      <c r="BG15" s="3">
        <v>5.789830041124211E-3</v>
      </c>
      <c r="BH15" s="3">
        <v>4.4784412640544391E-2</v>
      </c>
      <c r="BI15" s="3">
        <v>-7.1964565849064327E-2</v>
      </c>
      <c r="BJ15" s="3">
        <v>0.10104909455589051</v>
      </c>
      <c r="BK15" s="3">
        <v>2.2584606544302419E-2</v>
      </c>
      <c r="BL15" s="3">
        <v>1.8194619979513531E-2</v>
      </c>
      <c r="BM15" s="3">
        <v>-2.2847015923731669E-2</v>
      </c>
      <c r="BN15" s="3">
        <v>7.4639234963642567E-2</v>
      </c>
      <c r="BO15" s="3">
        <v>-1.8119817916478612E-2</v>
      </c>
      <c r="BP15" s="3">
        <v>3.7457193843540279E-2</v>
      </c>
      <c r="BQ15" s="3">
        <v>-7.3171733711863363E-2</v>
      </c>
      <c r="BR15" s="3">
        <v>-8.2978585986547865E-2</v>
      </c>
      <c r="BS15" s="3">
        <v>-4.3560905657767823E-2</v>
      </c>
      <c r="BT15" s="3">
        <v>8.5020303760100793E-2</v>
      </c>
      <c r="BU15" s="3">
        <v>-8.5768611748576515E-2</v>
      </c>
      <c r="BV15" s="3">
        <v>-7.9775687823126648E-2</v>
      </c>
      <c r="BW15" s="3">
        <v>0.12601601006340271</v>
      </c>
      <c r="BX15" s="3">
        <v>-5.038637953601946E-2</v>
      </c>
      <c r="BY15" s="3">
        <v>-0.16675554479243501</v>
      </c>
      <c r="BZ15" s="3">
        <v>-2.740844361085798E-2</v>
      </c>
      <c r="CA15" s="3">
        <v>7.3313854648852858E-2</v>
      </c>
      <c r="CB15" s="3">
        <v>-3.9082207485927493E-2</v>
      </c>
      <c r="CC15" s="3">
        <v>2.7616275872775829E-3</v>
      </c>
      <c r="CD15" s="3">
        <v>0.1307388606241878</v>
      </c>
      <c r="CE15" s="3">
        <v>9.0474606052753301E-2</v>
      </c>
      <c r="CF15" s="3">
        <v>2.458182493521429E-2</v>
      </c>
      <c r="CG15" s="3">
        <v>0.16814998513644611</v>
      </c>
      <c r="CH15" s="3">
        <v>7.5120168153105127E-2</v>
      </c>
      <c r="CI15" s="3">
        <v>4.2262578236426297E-2</v>
      </c>
      <c r="CJ15" s="3">
        <v>2.6945040737651679E-2</v>
      </c>
      <c r="CK15" s="3">
        <v>2.7262761844498158E-3</v>
      </c>
      <c r="CL15" s="3">
        <v>0.12498422119729009</v>
      </c>
      <c r="CM15" s="3">
        <v>-1.383408112415894E-2</v>
      </c>
      <c r="CN15" s="3">
        <v>-8.736855939715793E-4</v>
      </c>
      <c r="CO15" s="3">
        <v>-0.20135593180814221</v>
      </c>
      <c r="CP15" s="3">
        <v>-1.298517158156425E-2</v>
      </c>
      <c r="CQ15" s="3">
        <v>9.8268523121554582E-2</v>
      </c>
      <c r="CR15" s="3">
        <v>-3.4388283639996638E-2</v>
      </c>
      <c r="CS15" s="3">
        <v>-1.115673090089433E-2</v>
      </c>
      <c r="CT15" s="3">
        <v>7.6259220927103522E-2</v>
      </c>
      <c r="CU15" s="3">
        <v>0.11927893506980811</v>
      </c>
      <c r="CV15" s="3">
        <v>2.5793087640041709E-3</v>
      </c>
      <c r="CW15" s="3">
        <v>1.6081102171037111E-2</v>
      </c>
      <c r="CX15" s="3">
        <v>4.3017717202646688E-2</v>
      </c>
      <c r="CY15" s="3">
        <v>-3.892377905292769E-3</v>
      </c>
      <c r="CZ15" s="3">
        <v>9.6728651104684676E-2</v>
      </c>
      <c r="DA15" s="3">
        <v>0.1400079992627612</v>
      </c>
      <c r="DB15" s="3">
        <v>-7.0615364634965233E-2</v>
      </c>
      <c r="DC15" s="3">
        <v>1.0356844494999981E-2</v>
      </c>
      <c r="DD15" s="3">
        <v>0.13839135213579259</v>
      </c>
      <c r="DE15" s="3">
        <v>5.0359467424514782E-2</v>
      </c>
      <c r="DF15" s="3">
        <v>0.29382796826687158</v>
      </c>
      <c r="DG15" s="3">
        <v>-4.7884329493891563E-2</v>
      </c>
      <c r="DH15" s="3">
        <v>1.9333709836524791E-2</v>
      </c>
      <c r="DI15" s="3">
        <v>-1.131514188481623E-2</v>
      </c>
      <c r="DJ15" s="3">
        <v>6.6997968525149387E-2</v>
      </c>
      <c r="DK15" s="3">
        <v>-1.83920897660407E-2</v>
      </c>
      <c r="DL15" s="3">
        <v>3.2599097558642112E-2</v>
      </c>
      <c r="DM15" s="3">
        <v>-4.6652144000773749E-2</v>
      </c>
      <c r="DN15" s="3">
        <v>2.4767406381830889E-2</v>
      </c>
      <c r="DO15" s="3">
        <v>-0.177024989092953</v>
      </c>
      <c r="DP15" s="3">
        <v>-1.341142597407787E-2</v>
      </c>
      <c r="DQ15" s="3">
        <v>-1.688810352169641E-2</v>
      </c>
      <c r="DR15" s="3">
        <v>2.5901062535000189E-2</v>
      </c>
      <c r="DS15" s="3">
        <v>8.0560750984852464E-2</v>
      </c>
      <c r="DT15" s="3">
        <v>-2.186085719754394E-2</v>
      </c>
      <c r="DU15" s="3">
        <v>-7.3220461928131392E-2</v>
      </c>
      <c r="DV15" s="3">
        <v>3.4014704999781931E-2</v>
      </c>
      <c r="DW15" s="3">
        <v>-6.1906735218459713E-2</v>
      </c>
      <c r="DX15" s="3">
        <v>3.4528413038254629E-2</v>
      </c>
      <c r="DY15" s="3">
        <v>5.7905185993903617E-2</v>
      </c>
      <c r="DZ15" s="3">
        <v>-9.2458202181727678E-2</v>
      </c>
      <c r="EA15" s="3">
        <v>-6.6869289405632082E-2</v>
      </c>
      <c r="EB15" s="3">
        <v>3.5609034984090827E-2</v>
      </c>
      <c r="EC15" s="3">
        <v>2.3754605609393579E-2</v>
      </c>
      <c r="ED15" s="3">
        <v>-0.1237985830676208</v>
      </c>
      <c r="EE15" s="3">
        <v>-2.801090432330218E-2</v>
      </c>
      <c r="EF15" s="3">
        <v>2.876227193903488E-2</v>
      </c>
      <c r="EG15" s="3">
        <v>-2.8482098108707481E-2</v>
      </c>
      <c r="EH15" s="3">
        <v>-1.865418889750917E-2</v>
      </c>
      <c r="EI15" s="3">
        <v>2.941538625509903E-2</v>
      </c>
      <c r="EJ15" s="3">
        <v>4.1626492241496268E-3</v>
      </c>
      <c r="EK15" s="3">
        <v>-2.3130512703716039E-2</v>
      </c>
      <c r="EL15" s="3">
        <v>-5.1721311992015677E-2</v>
      </c>
      <c r="EM15">
        <f t="shared" si="11"/>
        <v>3.9596627121234861E-3</v>
      </c>
      <c r="EN15">
        <f t="shared" si="12"/>
        <v>7.6055193097188542E-2</v>
      </c>
      <c r="EO15">
        <f t="shared" si="13"/>
        <v>5.2063015697870328E-2</v>
      </c>
    </row>
    <row r="16" spans="1:145" x14ac:dyDescent="0.3">
      <c r="A16" s="18">
        <v>120</v>
      </c>
      <c r="B16" s="18">
        <f t="shared" si="10"/>
        <v>9</v>
      </c>
      <c r="C16" s="3">
        <v>-0.33719471696174602</v>
      </c>
      <c r="D16" s="3">
        <v>3.7583010150954207E-2</v>
      </c>
      <c r="E16" s="3">
        <v>3.6514485846697017E-2</v>
      </c>
      <c r="F16" s="3">
        <v>-7.8938953904739206E-2</v>
      </c>
      <c r="G16" s="3">
        <v>-1.1801611551962139E-2</v>
      </c>
      <c r="H16" s="3">
        <v>0.1145589623690083</v>
      </c>
      <c r="I16" s="3">
        <v>0.1110616178207557</v>
      </c>
      <c r="J16" s="3">
        <v>-5.4936694062815282E-2</v>
      </c>
      <c r="K16" s="3">
        <v>2.72892456649611E-2</v>
      </c>
      <c r="L16" s="3">
        <v>-2.904821938850103E-2</v>
      </c>
      <c r="M16" s="3">
        <v>5.9480870558547998E-2</v>
      </c>
      <c r="N16" s="3">
        <v>-0.19036680297750541</v>
      </c>
      <c r="O16" s="3">
        <v>-6.0528534482591559E-3</v>
      </c>
      <c r="P16" s="3">
        <v>-2.449681246488072E-2</v>
      </c>
      <c r="Q16" s="3">
        <v>-3.2565084760590342E-2</v>
      </c>
      <c r="R16" s="3">
        <v>-2.3321982822015721E-2</v>
      </c>
      <c r="S16" s="3">
        <v>-1.848915496424729E-2</v>
      </c>
      <c r="T16" s="3">
        <v>-4.6025279542332022E-2</v>
      </c>
      <c r="U16" s="3">
        <v>-5.3674175191229384E-3</v>
      </c>
      <c r="V16" s="3">
        <v>-5.1625347233208427E-2</v>
      </c>
      <c r="W16" s="3">
        <v>5.3399451912793792E-2</v>
      </c>
      <c r="X16" s="3">
        <v>0.16677303280349531</v>
      </c>
      <c r="Y16" s="3">
        <v>-4.216708664182816E-2</v>
      </c>
      <c r="Z16" s="3">
        <v>3.0076086236376521E-2</v>
      </c>
      <c r="AA16" s="3">
        <v>-2.1405616181770299E-2</v>
      </c>
      <c r="AB16" s="3">
        <v>-7.4814108237981458E-2</v>
      </c>
      <c r="AC16" s="3">
        <v>1.3734453731571689E-2</v>
      </c>
      <c r="AD16" s="3">
        <v>-1.1476857514522361E-2</v>
      </c>
      <c r="AE16" s="3">
        <v>-1.2866487498699741E-2</v>
      </c>
      <c r="AF16" s="3">
        <v>-1.106691975351308E-2</v>
      </c>
      <c r="AG16" s="3">
        <v>-2.753948032621267E-2</v>
      </c>
      <c r="AH16" s="3">
        <v>3.477142516157631E-2</v>
      </c>
      <c r="AI16" s="3">
        <v>4.3746904740499533E-2</v>
      </c>
      <c r="AJ16" s="3">
        <v>1.881596305323251E-2</v>
      </c>
      <c r="AK16" s="3">
        <v>2.989921104901579E-2</v>
      </c>
      <c r="AL16" s="3">
        <v>1.421777294096881E-2</v>
      </c>
      <c r="AM16" s="3">
        <v>5.3882075550129707E-2</v>
      </c>
      <c r="AN16" s="3">
        <v>1.475490703962481E-2</v>
      </c>
      <c r="AO16" s="3">
        <v>-9.4359588327903421E-2</v>
      </c>
      <c r="AP16" s="3">
        <v>1.8634455507570279E-2</v>
      </c>
      <c r="AQ16" s="3">
        <v>-7.2430766333043484E-3</v>
      </c>
      <c r="AR16" s="3">
        <v>9.5975679136672126E-4</v>
      </c>
      <c r="AS16" s="3">
        <v>9.7171969160598309E-2</v>
      </c>
      <c r="AT16" s="3">
        <v>-2.044145184313205E-2</v>
      </c>
      <c r="AU16" s="3">
        <v>2.4060242725367349E-2</v>
      </c>
      <c r="AV16" s="3">
        <v>-3.3991322332137072E-2</v>
      </c>
      <c r="AW16" s="3">
        <v>9.5171419622829878E-2</v>
      </c>
      <c r="AX16" s="3">
        <v>8.6668914393209132E-2</v>
      </c>
      <c r="AY16" s="3">
        <v>6.4039108465977823E-2</v>
      </c>
      <c r="AZ16" s="3">
        <v>2.6781145212119079E-2</v>
      </c>
      <c r="BA16" s="3">
        <v>5.204489326090618E-2</v>
      </c>
      <c r="BB16" s="3">
        <v>-8.2794998948929679E-2</v>
      </c>
      <c r="BC16" s="3">
        <v>4.5488004219051102E-2</v>
      </c>
      <c r="BD16" s="3">
        <v>-2.275993214244339E-2</v>
      </c>
      <c r="BE16" s="3">
        <v>-6.6756002026063313E-2</v>
      </c>
      <c r="BF16" s="3">
        <v>-7.2899323373624869E-2</v>
      </c>
      <c r="BG16" s="3">
        <v>3.0243231413106249E-3</v>
      </c>
      <c r="BH16" s="3">
        <v>3.3612876520779267E-2</v>
      </c>
      <c r="BI16" s="3">
        <v>-6.4815593220377235E-2</v>
      </c>
      <c r="BJ16" s="3">
        <v>0.1149671540107913</v>
      </c>
      <c r="BK16" s="3">
        <v>2.484614876064108E-2</v>
      </c>
      <c r="BL16" s="3">
        <v>2.189754326558899E-2</v>
      </c>
      <c r="BM16" s="3">
        <v>-5.6572631820200094E-3</v>
      </c>
      <c r="BN16" s="3">
        <v>8.0254628735651368E-2</v>
      </c>
      <c r="BO16" s="3">
        <v>-3.0388986702272591E-2</v>
      </c>
      <c r="BP16" s="3">
        <v>4.1114099781881443E-2</v>
      </c>
      <c r="BQ16" s="3">
        <v>-5.9976324579782449E-2</v>
      </c>
      <c r="BR16" s="3">
        <v>-9.1371605334086392E-2</v>
      </c>
      <c r="BS16" s="3">
        <v>-5.6682914606999771E-2</v>
      </c>
      <c r="BT16" s="3">
        <v>9.4111330578499353E-2</v>
      </c>
      <c r="BU16" s="3">
        <v>-8.6849822500919729E-2</v>
      </c>
      <c r="BV16" s="3">
        <v>-7.0467584362830571E-2</v>
      </c>
      <c r="BW16" s="3">
        <v>0.1351905018172716</v>
      </c>
      <c r="BX16" s="3">
        <v>-4.3301204349632319E-3</v>
      </c>
      <c r="BY16" s="3">
        <v>-0.17816525342922809</v>
      </c>
      <c r="BZ16" s="3">
        <v>-4.3167760814387807E-2</v>
      </c>
      <c r="CA16" s="3">
        <v>3.6554971442404237E-2</v>
      </c>
      <c r="CB16" s="3">
        <v>-7.0826554977437506E-2</v>
      </c>
      <c r="CC16" s="3">
        <v>2.5597969894166121E-2</v>
      </c>
      <c r="CD16" s="3">
        <v>0.14581732482950779</v>
      </c>
      <c r="CE16" s="3">
        <v>0.10104622085229339</v>
      </c>
      <c r="CF16" s="3">
        <v>2.5413459399197379E-2</v>
      </c>
      <c r="CG16" s="3">
        <v>0.18185472893424151</v>
      </c>
      <c r="CH16" s="3">
        <v>6.7651680285974208E-2</v>
      </c>
      <c r="CI16" s="3">
        <v>4.4041106355714323E-2</v>
      </c>
      <c r="CJ16" s="3">
        <v>1.927757125151262E-2</v>
      </c>
      <c r="CK16" s="3">
        <v>1.5523257852028539E-3</v>
      </c>
      <c r="CL16" s="3">
        <v>9.9042720899708336E-2</v>
      </c>
      <c r="CM16" s="3">
        <v>-4.1762660033764359E-2</v>
      </c>
      <c r="CN16" s="3">
        <v>4.6008281398040359E-3</v>
      </c>
      <c r="CO16" s="3">
        <v>-0.21736178859748601</v>
      </c>
      <c r="CP16" s="3">
        <v>5.2961987977761874E-3</v>
      </c>
      <c r="CQ16" s="3">
        <v>0.10670981751102911</v>
      </c>
      <c r="CR16" s="3">
        <v>-3.3430173788279692E-2</v>
      </c>
      <c r="CS16" s="3">
        <v>-3.9606920383472917E-2</v>
      </c>
      <c r="CT16" s="3">
        <v>5.7750744052635299E-2</v>
      </c>
      <c r="CU16" s="3">
        <v>0.13890010694963939</v>
      </c>
      <c r="CV16" s="3">
        <v>-4.9655333296795227E-3</v>
      </c>
      <c r="CW16" s="3">
        <v>-2.257061399572951E-3</v>
      </c>
      <c r="CX16" s="3">
        <v>1.0780976499756061E-2</v>
      </c>
      <c r="CY16" s="3">
        <v>-2.4186184087799299E-2</v>
      </c>
      <c r="CZ16" s="3">
        <v>0.10742358224770281</v>
      </c>
      <c r="DA16" s="3">
        <v>0.1551568853911072</v>
      </c>
      <c r="DB16" s="3">
        <v>-7.0873702161471056E-2</v>
      </c>
      <c r="DC16" s="3">
        <v>3.0955089798361951E-3</v>
      </c>
      <c r="DD16" s="3">
        <v>0.15805281844200439</v>
      </c>
      <c r="DE16" s="3">
        <v>6.0441631089770152E-2</v>
      </c>
      <c r="DF16" s="3">
        <v>0.32388561278627681</v>
      </c>
      <c r="DG16" s="3">
        <v>-5.3322202119235093E-2</v>
      </c>
      <c r="DH16" s="3">
        <v>1.342880422683519E-2</v>
      </c>
      <c r="DI16" s="3">
        <v>-1.0229033806713901E-2</v>
      </c>
      <c r="DJ16" s="3">
        <v>6.1814260985240753E-2</v>
      </c>
      <c r="DK16" s="3">
        <v>-5.369797100032675E-2</v>
      </c>
      <c r="DL16" s="3">
        <v>4.0904485665343583E-2</v>
      </c>
      <c r="DM16" s="3">
        <v>7.3302540310266201E-3</v>
      </c>
      <c r="DN16" s="3">
        <v>1.0761370165755809E-2</v>
      </c>
      <c r="DO16" s="3">
        <v>-6.7514873634712272E-2</v>
      </c>
      <c r="DP16" s="3">
        <v>5.1931575302151256E-3</v>
      </c>
      <c r="DQ16" s="3">
        <v>-4.1745471911758668E-2</v>
      </c>
      <c r="DR16" s="3">
        <v>7.585588947902136E-3</v>
      </c>
      <c r="DS16" s="3">
        <v>8.875893595774513E-2</v>
      </c>
      <c r="DT16" s="3">
        <v>-9.0513690724277548E-3</v>
      </c>
      <c r="DU16" s="3">
        <v>-9.2667795173157971E-2</v>
      </c>
      <c r="DV16" s="3">
        <v>2.5017669984064721E-2</v>
      </c>
      <c r="DW16" s="3">
        <v>-4.2637017609244328E-2</v>
      </c>
      <c r="DX16" s="3">
        <v>3.4364431384112951E-2</v>
      </c>
      <c r="DY16" s="3">
        <v>7.164719963751269E-2</v>
      </c>
      <c r="DZ16" s="3">
        <v>-5.0442955621895297E-2</v>
      </c>
      <c r="EA16" s="3">
        <v>-7.190421357408279E-2</v>
      </c>
      <c r="EB16" s="3">
        <v>4.2025719524235762E-2</v>
      </c>
      <c r="EC16" s="3">
        <v>2.9504462457923809E-2</v>
      </c>
      <c r="ED16" s="3">
        <v>-0.13997555955886151</v>
      </c>
      <c r="EE16" s="3">
        <v>-2.48117866151937E-2</v>
      </c>
      <c r="EF16" s="3">
        <v>2.907282623663468E-2</v>
      </c>
      <c r="EG16" s="3">
        <v>-2.008474315761552E-2</v>
      </c>
      <c r="EH16" s="3">
        <v>-5.2687062908993122E-4</v>
      </c>
      <c r="EI16" s="3">
        <v>3.078434142335033E-2</v>
      </c>
      <c r="EJ16" s="3">
        <v>3.5595538763259081E-3</v>
      </c>
      <c r="EK16" s="3">
        <v>-3.7660044109789528E-2</v>
      </c>
      <c r="EL16" s="3">
        <v>-6.9698826915612064E-2</v>
      </c>
      <c r="EM16">
        <f t="shared" si="11"/>
        <v>5.7597722830897572E-3</v>
      </c>
      <c r="EN16">
        <f t="shared" si="12"/>
        <v>7.8530199087821995E-2</v>
      </c>
      <c r="EO16">
        <f t="shared" si="13"/>
        <v>7.3344679499010065E-2</v>
      </c>
    </row>
    <row r="17" spans="1:145" x14ac:dyDescent="0.3">
      <c r="A17" s="18">
        <v>130</v>
      </c>
      <c r="B17" s="18">
        <f t="shared" si="10"/>
        <v>8</v>
      </c>
      <c r="C17" s="3">
        <v>-0.38726946063985501</v>
      </c>
      <c r="D17" s="3">
        <v>6.983558829213303E-3</v>
      </c>
      <c r="E17" s="3">
        <v>3.4862810242812951E-2</v>
      </c>
      <c r="F17" s="3">
        <v>-5.6414781161825758E-2</v>
      </c>
      <c r="G17" s="3">
        <v>-4.866510248786507E-2</v>
      </c>
      <c r="H17" s="3">
        <v>8.1079584264277749E-2</v>
      </c>
      <c r="I17" s="3">
        <v>0.12310737588239171</v>
      </c>
      <c r="J17" s="3">
        <v>-4.9986795084393257E-2</v>
      </c>
      <c r="K17" s="3">
        <v>1.5616635333902E-2</v>
      </c>
      <c r="L17" s="3">
        <v>-2.2033493456877589E-2</v>
      </c>
      <c r="M17" s="3">
        <v>6.1360005089742493E-2</v>
      </c>
      <c r="N17" s="3">
        <v>-0.2115680823406634</v>
      </c>
      <c r="O17" s="3">
        <v>-1.1264191169032369E-2</v>
      </c>
      <c r="P17" s="3">
        <v>-2.9203447455367001E-2</v>
      </c>
      <c r="Q17" s="3">
        <v>4.1469340637646027E-2</v>
      </c>
      <c r="R17" s="3">
        <v>-2.6131700909107609E-2</v>
      </c>
      <c r="S17" s="3">
        <v>-2.0855238601433179E-2</v>
      </c>
      <c r="T17" s="3">
        <v>-1.19512296121884E-2</v>
      </c>
      <c r="U17" s="3">
        <v>-3.4510153525954851E-2</v>
      </c>
      <c r="V17" s="3">
        <v>-7.363157808261668E-2</v>
      </c>
      <c r="W17" s="3">
        <v>7.5604207326912282E-2</v>
      </c>
      <c r="X17" s="3">
        <v>0.1780202715502105</v>
      </c>
      <c r="Y17" s="3">
        <v>-5.0284424472016337E-2</v>
      </c>
      <c r="Z17" s="3">
        <v>1.367371986610968E-2</v>
      </c>
      <c r="AA17" s="3">
        <v>-3.3132343236096783E-2</v>
      </c>
      <c r="AB17" s="3">
        <v>-7.5314200791837482E-2</v>
      </c>
      <c r="AC17" s="3">
        <v>4.4479330371744653E-2</v>
      </c>
      <c r="AD17" s="3">
        <v>-2.5931581230254391E-2</v>
      </c>
      <c r="AE17" s="3">
        <v>-1.697466660754918E-4</v>
      </c>
      <c r="AF17" s="3">
        <v>6.0081385259343244E-3</v>
      </c>
      <c r="AG17" s="3">
        <v>-2.5393387088483849E-2</v>
      </c>
      <c r="AH17" s="3">
        <v>6.8173210114584382E-2</v>
      </c>
      <c r="AI17" s="3">
        <v>4.0608094090690161E-2</v>
      </c>
      <c r="AJ17" s="3">
        <v>2.5516654379494592E-2</v>
      </c>
      <c r="AK17" s="3">
        <v>3.2651834918657627E-2</v>
      </c>
      <c r="AL17" s="3">
        <v>1.1683117449625351E-2</v>
      </c>
      <c r="AM17" s="3">
        <v>5.6243499322852608E-2</v>
      </c>
      <c r="AN17" s="3">
        <v>-4.6608848880515807E-2</v>
      </c>
      <c r="AO17" s="3">
        <v>-9.4834540935376466E-2</v>
      </c>
      <c r="AP17" s="3">
        <v>1.6541246987710239E-2</v>
      </c>
      <c r="AQ17" s="3">
        <v>5.163232866553495E-3</v>
      </c>
      <c r="AR17" s="3">
        <v>-2.0233605882663468E-2</v>
      </c>
      <c r="AS17" s="3">
        <v>7.6675698228796302E-2</v>
      </c>
      <c r="AT17" s="3">
        <v>1.016631955390505E-2</v>
      </c>
      <c r="AU17" s="3">
        <v>3.0924514911594481E-2</v>
      </c>
      <c r="AV17" s="3">
        <v>-3.0597690837173789E-2</v>
      </c>
      <c r="AW17" s="3">
        <v>9.5708596170393012E-2</v>
      </c>
      <c r="AX17" s="3">
        <v>0.13141082970270421</v>
      </c>
      <c r="AY17" s="3">
        <v>7.0360419180294231E-2</v>
      </c>
      <c r="AZ17" s="3">
        <v>3.9189973759713732E-2</v>
      </c>
      <c r="BA17" s="3">
        <v>6.3424249946885378E-2</v>
      </c>
      <c r="BB17" s="3">
        <v>-0.10696789807957489</v>
      </c>
      <c r="BC17" s="3">
        <v>5.0565785346765917E-2</v>
      </c>
      <c r="BD17" s="3">
        <v>-1.424670765476121E-2</v>
      </c>
      <c r="BE17" s="3">
        <v>-7.0132413612262828E-2</v>
      </c>
      <c r="BF17" s="3">
        <v>-3.6136567571838439E-2</v>
      </c>
      <c r="BG17" s="3">
        <v>1.4497508373151641E-2</v>
      </c>
      <c r="BH17" s="3">
        <v>4.6132658756449653E-2</v>
      </c>
      <c r="BI17" s="3">
        <v>-5.6287079037349891E-2</v>
      </c>
      <c r="BJ17" s="3">
        <v>0.14275417579095251</v>
      </c>
      <c r="BK17" s="3">
        <v>7.9041582578590411E-2</v>
      </c>
      <c r="BL17" s="3">
        <v>2.3494203913710109E-2</v>
      </c>
      <c r="BM17" s="3">
        <v>-2.9367342359069219E-3</v>
      </c>
      <c r="BN17" s="3">
        <v>7.2904709805127282E-2</v>
      </c>
      <c r="BO17" s="3">
        <v>-3.3802278349923227E-2</v>
      </c>
      <c r="BP17" s="3">
        <v>4.5873347725749823E-2</v>
      </c>
      <c r="BQ17" s="3">
        <v>-5.0165332534186848E-2</v>
      </c>
      <c r="BR17" s="3">
        <v>-9.8616703837426725E-2</v>
      </c>
      <c r="BS17" s="3">
        <v>7.9416438475915837E-3</v>
      </c>
      <c r="BT17" s="3">
        <v>0.1650163813689445</v>
      </c>
      <c r="BU17" s="3">
        <v>-8.1330247976532211E-2</v>
      </c>
      <c r="BV17" s="3">
        <v>-8.0486295762912052E-2</v>
      </c>
      <c r="BW17" s="3">
        <v>0.14897359341681549</v>
      </c>
      <c r="BX17" s="3">
        <v>5.785314164149092E-2</v>
      </c>
      <c r="BY17" s="3">
        <v>-0.19114578013504249</v>
      </c>
      <c r="BZ17" s="3">
        <v>-5.7734805989416688E-2</v>
      </c>
      <c r="CA17" s="3">
        <v>2.3519280720658901E-2</v>
      </c>
      <c r="CB17" s="3">
        <v>-6.2792090934456674E-2</v>
      </c>
      <c r="CC17" s="3">
        <v>-3.2334260562808539E-3</v>
      </c>
      <c r="CD17" s="3">
        <v>0.1355355139632006</v>
      </c>
      <c r="CE17" s="3">
        <v>9.0651323895772878E-2</v>
      </c>
      <c r="CF17" s="3">
        <v>1.5438975211387561E-2</v>
      </c>
      <c r="CG17" s="3">
        <v>0.1870852003281922</v>
      </c>
      <c r="CH17" s="3">
        <v>7.457577783014116E-2</v>
      </c>
      <c r="CI17" s="3">
        <v>8.7959023980666767E-2</v>
      </c>
      <c r="CJ17" s="3">
        <v>1.642019963164874E-2</v>
      </c>
      <c r="CK17" s="3">
        <v>1.484932837482514E-2</v>
      </c>
      <c r="CL17" s="3">
        <v>0.1017981362576558</v>
      </c>
      <c r="CM17" s="3">
        <v>-2.7228339446812629E-2</v>
      </c>
      <c r="CN17" s="3">
        <v>5.9499279382696849E-3</v>
      </c>
      <c r="CO17" s="3">
        <v>-0.25692497003594561</v>
      </c>
      <c r="CP17" s="3">
        <v>-2.2587046160027209E-3</v>
      </c>
      <c r="CQ17" s="3">
        <v>0.10155662159016141</v>
      </c>
      <c r="CR17" s="3">
        <v>-2.9188306562024761E-2</v>
      </c>
      <c r="CS17" s="3">
        <v>-4.2655694287656393E-2</v>
      </c>
      <c r="CT17" s="3">
        <v>7.0290502137627511E-2</v>
      </c>
      <c r="CU17" s="3">
        <v>9.6069713571452733E-2</v>
      </c>
      <c r="CV17" s="3">
        <v>-1.9846749309992001E-2</v>
      </c>
      <c r="CW17" s="3">
        <v>-3.1544506334713171E-3</v>
      </c>
      <c r="CX17" s="3">
        <v>1.948679835280262E-2</v>
      </c>
      <c r="CY17" s="3">
        <v>-3.2554735868202241E-2</v>
      </c>
      <c r="CZ17" s="3">
        <v>0.12342529772623401</v>
      </c>
      <c r="DA17" s="3">
        <v>0.16263528976513811</v>
      </c>
      <c r="DB17" s="3">
        <v>-7.9409499486036081E-2</v>
      </c>
      <c r="DC17" s="3">
        <v>1.5337152057414221E-2</v>
      </c>
      <c r="DD17" s="3">
        <v>0.1939354525350846</v>
      </c>
      <c r="DE17" s="3">
        <v>5.7491415537363942E-2</v>
      </c>
      <c r="DF17" s="3">
        <v>0.19727577196254489</v>
      </c>
      <c r="DG17" s="3">
        <v>-4.7188532581633337E-2</v>
      </c>
      <c r="DH17" s="3">
        <v>3.266711208988729E-2</v>
      </c>
      <c r="DI17" s="3">
        <v>-1.1674858348201349E-2</v>
      </c>
      <c r="DJ17" s="3">
        <v>6.0804178774416809E-2</v>
      </c>
      <c r="DK17" s="3">
        <v>-5.776051499376636E-2</v>
      </c>
      <c r="DL17" s="3">
        <v>4.626982077953995E-2</v>
      </c>
      <c r="DM17" s="3">
        <v>-8.4298328733495298E-3</v>
      </c>
      <c r="DN17" s="3">
        <v>3.7161046171072007E-2</v>
      </c>
      <c r="DO17" s="3">
        <v>-7.058491268410913E-2</v>
      </c>
      <c r="DP17" s="3">
        <v>8.5510285133897947E-3</v>
      </c>
      <c r="DQ17" s="3">
        <v>-4.6658383709785242E-2</v>
      </c>
      <c r="DR17" s="3">
        <v>2.1605639095810189E-3</v>
      </c>
      <c r="DS17" s="3">
        <v>1.8725152681122251E-3</v>
      </c>
      <c r="DT17" s="3">
        <v>-1.0456271345699059E-2</v>
      </c>
      <c r="DU17" s="3">
        <v>-0.1059165071926524</v>
      </c>
      <c r="DV17" s="3">
        <v>2.9768557105794E-2</v>
      </c>
      <c r="DW17" s="3">
        <v>-5.1239083008121258E-2</v>
      </c>
      <c r="DX17" s="3">
        <v>4.390253370026255E-2</v>
      </c>
      <c r="DY17" s="3">
        <v>5.8367698749686892E-2</v>
      </c>
      <c r="DZ17" s="3">
        <v>-4.5662031540426203E-2</v>
      </c>
      <c r="EA17" s="3">
        <v>-8.2570896216689255E-2</v>
      </c>
      <c r="EB17" s="3">
        <v>4.7376201272513283E-2</v>
      </c>
      <c r="EC17" s="3">
        <v>5.4131150605152577E-2</v>
      </c>
      <c r="ED17" s="3">
        <v>-0.15137487685820661</v>
      </c>
      <c r="EE17" s="3">
        <v>-2.5154992618359542E-2</v>
      </c>
      <c r="EF17" s="3">
        <v>3.5849665893294587E-2</v>
      </c>
      <c r="EG17" s="3">
        <v>-1.9721095317935311E-2</v>
      </c>
      <c r="EH17" s="3">
        <v>-7.2252589489592662E-3</v>
      </c>
      <c r="EI17" s="3">
        <v>2.0356117734418019E-2</v>
      </c>
      <c r="EJ17" s="3">
        <v>1.6488189602491439E-2</v>
      </c>
      <c r="EK17" s="3">
        <v>-1.419147988038047E-2</v>
      </c>
      <c r="EL17" s="3">
        <v>-5.7933056032886641E-2</v>
      </c>
      <c r="EM17">
        <f t="shared" si="11"/>
        <v>6.8557447492549875E-3</v>
      </c>
      <c r="EN17">
        <f t="shared" si="12"/>
        <v>8.1867408237331116E-2</v>
      </c>
      <c r="EO17">
        <f t="shared" si="13"/>
        <v>8.3742051896652125E-2</v>
      </c>
    </row>
    <row r="18" spans="1:145" x14ac:dyDescent="0.3">
      <c r="A18" s="18">
        <v>150</v>
      </c>
      <c r="B18" s="18">
        <f t="shared" si="10"/>
        <v>7</v>
      </c>
      <c r="C18" s="3">
        <v>-0.30545625187617981</v>
      </c>
      <c r="D18" s="3">
        <v>1.3157311823660769E-2</v>
      </c>
      <c r="E18" s="3">
        <v>5.5845670235956581E-2</v>
      </c>
      <c r="F18" s="3">
        <v>-7.3542544378946167E-2</v>
      </c>
      <c r="G18" s="3">
        <v>-7.290909198341522E-2</v>
      </c>
      <c r="H18" s="3">
        <v>8.4192798545776673E-2</v>
      </c>
      <c r="I18" s="3">
        <v>0.1546692730658151</v>
      </c>
      <c r="J18" s="3">
        <v>-5.070105060005875E-2</v>
      </c>
      <c r="K18" s="3">
        <v>1.0789620637081341E-2</v>
      </c>
      <c r="L18" s="3">
        <v>3.6625826307318671E-3</v>
      </c>
      <c r="M18" s="3">
        <v>-6.8206583133878229E-2</v>
      </c>
      <c r="N18" s="3">
        <v>-0.23408322387353661</v>
      </c>
      <c r="O18" s="3">
        <v>4.2952669697481252E-2</v>
      </c>
      <c r="P18" s="3">
        <v>-3.5959842070623818E-2</v>
      </c>
      <c r="Q18" s="3">
        <v>1.895288788516002E-2</v>
      </c>
      <c r="R18" s="3">
        <v>-1.2119458550561339E-2</v>
      </c>
      <c r="S18" s="3">
        <v>8.9094931400282323E-2</v>
      </c>
      <c r="T18" s="3">
        <v>-1.76062494131848E-2</v>
      </c>
      <c r="U18" s="3">
        <v>-3.7763131475425447E-2</v>
      </c>
      <c r="V18" s="3">
        <v>-2.4201525143673078E-2</v>
      </c>
      <c r="W18" s="3">
        <v>4.9778669298646917E-2</v>
      </c>
      <c r="X18" s="3">
        <v>0.20566314182325321</v>
      </c>
      <c r="Y18" s="3">
        <v>-5.2492446626009492E-2</v>
      </c>
      <c r="Z18" s="3">
        <v>2.1062097845158109E-2</v>
      </c>
      <c r="AA18" s="3">
        <v>-2.1789295159790629E-2</v>
      </c>
      <c r="AB18" s="3">
        <v>-0.1039668961066116</v>
      </c>
      <c r="AC18" s="3">
        <v>2.574565477202722E-2</v>
      </c>
      <c r="AD18" s="3">
        <v>-3.080547690174653E-2</v>
      </c>
      <c r="AE18" s="3">
        <v>1.8320029541464292E-2</v>
      </c>
      <c r="AF18" s="3">
        <v>1.8032958641145139E-2</v>
      </c>
      <c r="AG18" s="3">
        <v>-6.5111395920840448E-2</v>
      </c>
      <c r="AH18" s="3">
        <v>-1.350720442758357E-3</v>
      </c>
      <c r="AI18" s="3">
        <v>4.7848784141466122E-2</v>
      </c>
      <c r="AJ18" s="3">
        <v>2.6191134517254699E-2</v>
      </c>
      <c r="AK18" s="3">
        <v>2.022581910538342E-2</v>
      </c>
      <c r="AL18" s="3">
        <v>3.4248214176548228E-3</v>
      </c>
      <c r="AM18" s="3">
        <v>5.5333145323496903E-2</v>
      </c>
      <c r="AN18" s="3">
        <v>-7.4300915007178864E-2</v>
      </c>
      <c r="AO18" s="3">
        <v>-0.1199983662239853</v>
      </c>
      <c r="AP18" s="3">
        <v>3.0021592462628689E-2</v>
      </c>
      <c r="AQ18" s="3">
        <v>-7.3784806715637532E-3</v>
      </c>
      <c r="AR18" s="3">
        <v>-8.5111763013472775E-3</v>
      </c>
      <c r="AS18" s="3">
        <v>2.553670606301767E-2</v>
      </c>
      <c r="AT18" s="3">
        <v>1.4437132333935459E-2</v>
      </c>
      <c r="AU18" s="3">
        <v>1.835147796522343E-2</v>
      </c>
      <c r="AV18" s="3">
        <v>-5.3911885443944027E-2</v>
      </c>
      <c r="AW18" s="3">
        <v>9.5093590184715887E-2</v>
      </c>
      <c r="AX18" s="3">
        <v>0.14664792381949479</v>
      </c>
      <c r="AY18" s="3">
        <v>-3.323005503558786E-2</v>
      </c>
      <c r="AZ18" s="3">
        <v>4.9519620245157242E-2</v>
      </c>
      <c r="BA18" s="3">
        <v>7.0757427865222475E-2</v>
      </c>
      <c r="BB18" s="3">
        <v>-0.1876616399776295</v>
      </c>
      <c r="BC18" s="3">
        <v>4.4994735593944603E-2</v>
      </c>
      <c r="BD18" s="3">
        <v>-6.3765591406869061E-3</v>
      </c>
      <c r="BE18" s="3">
        <v>-3.7832237128473459E-2</v>
      </c>
      <c r="BF18" s="3">
        <v>-4.7700936623500022E-2</v>
      </c>
      <c r="BG18" s="3">
        <v>2.210782954663983E-2</v>
      </c>
      <c r="BH18" s="3">
        <v>1.5206166609004651E-2</v>
      </c>
      <c r="BI18" s="3">
        <v>-7.0533741282948328E-2</v>
      </c>
      <c r="BJ18" s="3">
        <v>0.14138494084354639</v>
      </c>
      <c r="BK18" s="3">
        <v>8.3915490157035103E-2</v>
      </c>
      <c r="BL18" s="3">
        <v>2.5455183652085388E-2</v>
      </c>
      <c r="BM18" s="3">
        <v>1.8472400877371169E-2</v>
      </c>
      <c r="BN18" s="3">
        <v>8.6738128898747408E-2</v>
      </c>
      <c r="BO18" s="3">
        <v>-3.1661151804279128E-2</v>
      </c>
      <c r="BP18" s="3">
        <v>5.7012267539655687E-2</v>
      </c>
      <c r="BQ18" s="3">
        <v>-6.7570730999671078E-2</v>
      </c>
      <c r="BR18" s="3">
        <v>-0.10013920197109411</v>
      </c>
      <c r="BS18" s="3">
        <v>3.058552296154982E-3</v>
      </c>
      <c r="BT18" s="3">
        <v>0.1700494196087862</v>
      </c>
      <c r="BU18" s="3">
        <v>-8.78054283474652E-2</v>
      </c>
      <c r="BV18" s="3">
        <v>-7.8330560089962475E-2</v>
      </c>
      <c r="BW18" s="3">
        <v>0.17350663553465709</v>
      </c>
      <c r="BX18" s="3">
        <v>7.8153825589553222E-2</v>
      </c>
      <c r="BY18" s="3">
        <v>-0.17931795619677851</v>
      </c>
      <c r="BZ18" s="3">
        <v>-4.449380197558131E-2</v>
      </c>
      <c r="CA18" s="3">
        <v>4.1204768556111868E-2</v>
      </c>
      <c r="CB18" s="3">
        <v>-5.1802037918086768E-2</v>
      </c>
      <c r="CC18" s="3">
        <v>-2.9673843043498769E-2</v>
      </c>
      <c r="CD18" s="3">
        <v>0.1365562874889801</v>
      </c>
      <c r="CE18" s="3">
        <v>9.0259700677334492E-2</v>
      </c>
      <c r="CF18" s="3">
        <v>3.2792376986334283E-2</v>
      </c>
      <c r="CG18" s="3">
        <v>0.2118976946300998</v>
      </c>
      <c r="CH18" s="3">
        <v>0.11572937173375809</v>
      </c>
      <c r="CI18" s="3">
        <v>-1.8017518425241831E-2</v>
      </c>
      <c r="CJ18" s="3">
        <v>2.842892387709732E-3</v>
      </c>
      <c r="CK18" s="3">
        <v>2.805201849163495E-2</v>
      </c>
      <c r="CL18" s="3">
        <v>0.11349274492237819</v>
      </c>
      <c r="CM18" s="3">
        <v>-1.7031244659970371E-2</v>
      </c>
      <c r="CN18" s="3">
        <v>2.8084474567775402E-3</v>
      </c>
      <c r="CO18" s="3">
        <v>-0.26149433448585219</v>
      </c>
      <c r="CP18" s="3">
        <v>-1.7088431315748569E-3</v>
      </c>
      <c r="CQ18" s="3">
        <v>0.1151743584697945</v>
      </c>
      <c r="CR18" s="3">
        <v>-2.6253511428341599E-2</v>
      </c>
      <c r="CS18" s="3">
        <v>-4.7631302578826702E-2</v>
      </c>
      <c r="CT18" s="3">
        <v>4.0433215076993392E-2</v>
      </c>
      <c r="CU18" s="3">
        <v>1.963913933458569E-3</v>
      </c>
      <c r="CV18" s="3">
        <v>-3.0825983429249259E-2</v>
      </c>
      <c r="CW18" s="3">
        <v>5.6930464051017572E-2</v>
      </c>
      <c r="CX18" s="3">
        <v>-1.6607258594482439E-2</v>
      </c>
      <c r="CY18" s="3">
        <v>-1.7848255953192931E-2</v>
      </c>
      <c r="CZ18" s="3">
        <v>0.1056624983291844</v>
      </c>
      <c r="DA18" s="3">
        <v>0.14229882388155199</v>
      </c>
      <c r="DB18" s="3">
        <v>-9.4936776329519967E-2</v>
      </c>
      <c r="DC18" s="3">
        <v>1.517647882253827E-2</v>
      </c>
      <c r="DD18" s="3">
        <v>0.23903202835267459</v>
      </c>
      <c r="DE18" s="3">
        <v>3.8269326274273048E-2</v>
      </c>
      <c r="DF18" s="3">
        <v>0.20883077947826151</v>
      </c>
      <c r="DG18" s="3">
        <v>-4.0589467041060742E-2</v>
      </c>
      <c r="DH18" s="3">
        <v>2.3100878957485738E-2</v>
      </c>
      <c r="DI18" s="3">
        <v>-3.1454944111920513E-2</v>
      </c>
      <c r="DJ18" s="3">
        <v>3.727123736444464E-2</v>
      </c>
      <c r="DK18" s="3">
        <v>-6.1704440254206197E-2</v>
      </c>
      <c r="DL18" s="3">
        <v>5.1632826194302033E-2</v>
      </c>
      <c r="DM18" s="3">
        <v>-2.124106833901343E-2</v>
      </c>
      <c r="DN18" s="3">
        <v>3.9379603679230227E-2</v>
      </c>
      <c r="DO18" s="3">
        <v>-5.7881774635012838E-2</v>
      </c>
      <c r="DP18" s="3">
        <v>1.044922304723162E-2</v>
      </c>
      <c r="DQ18" s="3">
        <v>-1.1318625363436269E-2</v>
      </c>
      <c r="DR18" s="3">
        <v>-2.0950841161465339E-3</v>
      </c>
      <c r="DS18" s="3">
        <v>2.8985819202233978E-3</v>
      </c>
      <c r="DT18" s="3">
        <v>-9.0342153460376065E-3</v>
      </c>
      <c r="DU18" s="3">
        <v>-0.1153019162205578</v>
      </c>
      <c r="DV18" s="3">
        <v>4.7395343630323328E-2</v>
      </c>
      <c r="DW18" s="3">
        <v>-1.376905957195566E-2</v>
      </c>
      <c r="DX18" s="3">
        <v>4.7204894705402248E-2</v>
      </c>
      <c r="DY18" s="3">
        <v>8.2548503437533047E-2</v>
      </c>
      <c r="DZ18" s="3">
        <v>-4.9236460018198792E-2</v>
      </c>
      <c r="EA18" s="3">
        <v>-0.1125648095498149</v>
      </c>
      <c r="EB18" s="3">
        <v>4.8418872137791183E-2</v>
      </c>
      <c r="EC18" s="3">
        <v>5.4167650923386303E-2</v>
      </c>
      <c r="ED18" s="3">
        <v>-0.14968450341801059</v>
      </c>
      <c r="EE18" s="3">
        <v>-1.273555422288903E-2</v>
      </c>
      <c r="EF18" s="3">
        <v>5.7528000841776492E-2</v>
      </c>
      <c r="EG18" s="3">
        <v>1.2020078816027849E-2</v>
      </c>
      <c r="EH18" s="3">
        <v>-9.7453860373190766E-3</v>
      </c>
      <c r="EI18" s="3">
        <v>-6.2068014240454633E-3</v>
      </c>
      <c r="EJ18" s="3">
        <v>4.0850361000113133E-2</v>
      </c>
      <c r="EK18" s="3">
        <v>1.5375669550224321E-2</v>
      </c>
      <c r="EL18" s="3">
        <v>-6.3206772664716498E-2</v>
      </c>
      <c r="EM18">
        <f t="shared" si="11"/>
        <v>5.8470940432195665E-3</v>
      </c>
      <c r="EN18">
        <f t="shared" si="12"/>
        <v>8.4552272180316232E-2</v>
      </c>
      <c r="EO18">
        <f t="shared" si="13"/>
        <v>6.9153600399407947E-2</v>
      </c>
    </row>
    <row r="19" spans="1:145" x14ac:dyDescent="0.3">
      <c r="A19" s="18">
        <v>180</v>
      </c>
      <c r="B19" s="18">
        <f t="shared" si="10"/>
        <v>6</v>
      </c>
      <c r="C19" s="3">
        <v>-0.36316929294225231</v>
      </c>
      <c r="D19" s="3">
        <v>9.5692707962891921E-3</v>
      </c>
      <c r="E19" s="3">
        <v>6.0173727891634353E-2</v>
      </c>
      <c r="F19" s="3">
        <v>-4.5755029543910399E-2</v>
      </c>
      <c r="G19" s="3">
        <v>-6.4692544925294457E-2</v>
      </c>
      <c r="H19" s="3">
        <v>0.1115221865716161</v>
      </c>
      <c r="I19" s="3">
        <v>0.13774887566303951</v>
      </c>
      <c r="J19" s="3">
        <v>-5.5473854864703263E-2</v>
      </c>
      <c r="K19" s="3">
        <v>9.1279198637863757E-3</v>
      </c>
      <c r="L19" s="3">
        <v>-1.8857137777876912E-2</v>
      </c>
      <c r="M19" s="3">
        <v>-7.5996245634320017E-2</v>
      </c>
      <c r="N19" s="3">
        <v>-0.26995234713506228</v>
      </c>
      <c r="O19" s="3">
        <v>6.4530073263427676E-2</v>
      </c>
      <c r="P19" s="3">
        <v>-4.9395032488176838E-2</v>
      </c>
      <c r="Q19" s="3">
        <v>-7.2461582469711544E-3</v>
      </c>
      <c r="R19" s="3">
        <v>-3.3534765676871803E-2</v>
      </c>
      <c r="S19" s="3">
        <v>6.7612353005729986E-2</v>
      </c>
      <c r="T19" s="3">
        <v>-8.356715694096184E-3</v>
      </c>
      <c r="U19" s="3">
        <v>-5.9092763442605077E-2</v>
      </c>
      <c r="V19" s="3">
        <v>1.2093999096817051E-3</v>
      </c>
      <c r="W19" s="3">
        <v>6.2091372778264861E-2</v>
      </c>
      <c r="X19" s="3">
        <v>0.21073080871797409</v>
      </c>
      <c r="Y19" s="3">
        <v>-6.1700877193636011E-2</v>
      </c>
      <c r="Z19" s="3">
        <v>3.4051564856975428E-2</v>
      </c>
      <c r="AA19" s="3">
        <v>-2.7462856573309439E-2</v>
      </c>
      <c r="AB19" s="3">
        <v>-0.1039746060320365</v>
      </c>
      <c r="AC19" s="3">
        <v>3.2830703923954811E-2</v>
      </c>
      <c r="AD19" s="3">
        <v>-5.7811036698460667E-2</v>
      </c>
      <c r="AE19" s="3">
        <v>6.388201008309391E-4</v>
      </c>
      <c r="AF19" s="3">
        <v>2.5979630470816729E-2</v>
      </c>
      <c r="AG19" s="3">
        <v>-6.4785680319595737E-2</v>
      </c>
      <c r="AH19" s="3">
        <v>8.1363979947900872E-4</v>
      </c>
      <c r="AI19" s="3">
        <v>5.1633491181230493E-2</v>
      </c>
      <c r="AJ19" s="3">
        <v>4.4783232219368779E-3</v>
      </c>
      <c r="AK19" s="3">
        <v>1.8354849455087481E-2</v>
      </c>
      <c r="AL19" s="3">
        <v>7.6064192546454069E-3</v>
      </c>
      <c r="AM19" s="3">
        <v>7.2089443845218884E-2</v>
      </c>
      <c r="AN19" s="3">
        <v>-6.4184461238439516E-2</v>
      </c>
      <c r="AO19" s="3">
        <v>-9.4818136737215591E-2</v>
      </c>
      <c r="AP19" s="3">
        <v>4.3293057000191183E-2</v>
      </c>
      <c r="AQ19" s="3">
        <v>-1.7632589101343201E-3</v>
      </c>
      <c r="AR19" s="3">
        <v>-2.476413933734031E-5</v>
      </c>
      <c r="AS19" s="3">
        <v>-2.688940824324218E-2</v>
      </c>
      <c r="AT19" s="3">
        <v>1.517787094484508E-2</v>
      </c>
      <c r="AU19" s="3">
        <v>1.4571491513116951E-2</v>
      </c>
      <c r="AV19" s="3">
        <v>-3.9372363552975007E-2</v>
      </c>
      <c r="AW19" s="3">
        <v>0.1044326159094041</v>
      </c>
      <c r="AX19" s="3">
        <v>0.17758865712294869</v>
      </c>
      <c r="AY19" s="3">
        <v>5.5182645108913728E-3</v>
      </c>
      <c r="AZ19" s="3">
        <v>5.235286197464134E-2</v>
      </c>
      <c r="BA19" s="3">
        <v>8.0779330415818151E-3</v>
      </c>
      <c r="BB19" s="3">
        <v>-0.27000228627694389</v>
      </c>
      <c r="BC19" s="3">
        <v>4.7385676884881968E-2</v>
      </c>
      <c r="BD19" s="3">
        <v>-3.8107954989429448E-4</v>
      </c>
      <c r="BE19" s="3">
        <v>-2.100200498564115E-2</v>
      </c>
      <c r="BF19" s="3">
        <v>-5.2404816138583159E-2</v>
      </c>
      <c r="BG19" s="3">
        <v>2.8925932889707899E-2</v>
      </c>
      <c r="BH19" s="3">
        <v>3.3869033604402581E-3</v>
      </c>
      <c r="BI19" s="3">
        <v>-5.0294903400277292E-2</v>
      </c>
      <c r="BJ19" s="3">
        <v>2.3356382629809751E-2</v>
      </c>
      <c r="BK19" s="3">
        <v>8.9766859427346149E-2</v>
      </c>
      <c r="BL19" s="3">
        <v>3.0559477115592999E-2</v>
      </c>
      <c r="BM19" s="3">
        <v>2.800618425802737E-2</v>
      </c>
      <c r="BN19" s="3">
        <v>9.7449007739862217E-2</v>
      </c>
      <c r="BO19" s="3">
        <v>-1.8796786929164429E-2</v>
      </c>
      <c r="BP19" s="3">
        <v>3.077355288628392E-2</v>
      </c>
      <c r="BQ19" s="3">
        <v>-7.7578046015778668E-2</v>
      </c>
      <c r="BR19" s="3">
        <v>-0.1185982821021305</v>
      </c>
      <c r="BS19" s="3">
        <v>-7.6241140332307259E-3</v>
      </c>
      <c r="BT19" s="3">
        <v>0.17629651757014719</v>
      </c>
      <c r="BU19" s="3">
        <v>-0.1007152350282562</v>
      </c>
      <c r="BV19" s="3">
        <v>-8.6690064843736508E-2</v>
      </c>
      <c r="BW19" s="3">
        <v>0.20052909739352129</v>
      </c>
      <c r="BX19" s="3">
        <v>9.6735122437318202E-2</v>
      </c>
      <c r="BY19" s="3">
        <v>-0.19242036493764689</v>
      </c>
      <c r="BZ19" s="3">
        <v>-5.9248846947168143E-2</v>
      </c>
      <c r="CA19" s="3">
        <v>3.790417369097894E-2</v>
      </c>
      <c r="CB19" s="3">
        <v>-4.3068838117527673E-2</v>
      </c>
      <c r="CC19" s="3">
        <v>-7.5628681193083538E-2</v>
      </c>
      <c r="CD19" s="3">
        <v>0.1124252050283838</v>
      </c>
      <c r="CE19" s="3">
        <v>9.3621623815495852E-2</v>
      </c>
      <c r="CF19" s="3">
        <v>3.9308176678268511E-2</v>
      </c>
      <c r="CG19" s="3">
        <v>0.19505335173484839</v>
      </c>
      <c r="CH19" s="3">
        <v>5.045512340402207E-2</v>
      </c>
      <c r="CI19" s="3">
        <v>-9.3478395546873483E-3</v>
      </c>
      <c r="CJ19" s="3">
        <v>7.2401094721815523E-3</v>
      </c>
      <c r="CK19" s="3">
        <v>1.951500117664769E-2</v>
      </c>
      <c r="CL19" s="3">
        <v>0.1194447615788697</v>
      </c>
      <c r="CM19" s="3">
        <v>-2.663878358680551E-2</v>
      </c>
      <c r="CN19" s="3">
        <v>1.7085134786132539E-2</v>
      </c>
      <c r="CO19" s="3">
        <v>-0.35584407189087119</v>
      </c>
      <c r="CP19" s="3">
        <v>6.6720311843117761E-3</v>
      </c>
      <c r="CQ19" s="3">
        <v>0.1206055489188966</v>
      </c>
      <c r="CR19" s="3">
        <v>-3.6247752819522333E-2</v>
      </c>
      <c r="CS19" s="3">
        <v>-2.6938044872202079E-2</v>
      </c>
      <c r="CT19" s="3">
        <v>4.1809367383051257E-2</v>
      </c>
      <c r="CU19" s="3">
        <v>2.4504662501363791E-2</v>
      </c>
      <c r="CV19" s="3">
        <v>1.913875350140239E-2</v>
      </c>
      <c r="CW19" s="3">
        <v>5.4241535332350363E-2</v>
      </c>
      <c r="CX19" s="3">
        <v>-1.268094318320521E-2</v>
      </c>
      <c r="CY19" s="3">
        <v>-4.3681566375884232E-2</v>
      </c>
      <c r="CZ19" s="3">
        <v>0.1161366167899467</v>
      </c>
      <c r="DA19" s="3">
        <v>0.12871494520274279</v>
      </c>
      <c r="DB19" s="3">
        <v>-6.6857784019582367E-2</v>
      </c>
      <c r="DC19" s="3">
        <v>8.2080548850737428E-3</v>
      </c>
      <c r="DD19" s="3">
        <v>0.29977904071801181</v>
      </c>
      <c r="DE19" s="3">
        <v>-9.3284610938999257E-3</v>
      </c>
      <c r="DF19" s="3">
        <v>0.2288269855887467</v>
      </c>
      <c r="DG19" s="3">
        <v>-3.9499343021628712E-2</v>
      </c>
      <c r="DH19" s="3">
        <v>1.7971034130056941E-2</v>
      </c>
      <c r="DI19" s="3">
        <v>-4.7837437818215672E-2</v>
      </c>
      <c r="DJ19" s="3">
        <v>3.5171329026414698E-2</v>
      </c>
      <c r="DK19" s="3">
        <v>-4.4317766372805531E-2</v>
      </c>
      <c r="DL19" s="3">
        <v>4.8448175575860078E-2</v>
      </c>
      <c r="DM19" s="3">
        <v>-6.8927312664628676E-2</v>
      </c>
      <c r="DN19" s="3">
        <v>2.3500446793319089E-2</v>
      </c>
      <c r="DO19" s="3">
        <v>-7.0238823886145052E-2</v>
      </c>
      <c r="DP19" s="3">
        <v>3.1808370140774388E-2</v>
      </c>
      <c r="DQ19" s="3">
        <v>-2.2207454654171479E-2</v>
      </c>
      <c r="DR19" s="3">
        <v>-4.7050730002297779E-2</v>
      </c>
      <c r="DS19" s="3">
        <v>-1.082172244452408E-2</v>
      </c>
      <c r="DT19" s="3">
        <v>1.812069637343663E-3</v>
      </c>
      <c r="DU19" s="3">
        <v>-0.1215257450123322</v>
      </c>
      <c r="DV19" s="3">
        <v>6.2804332898545034E-2</v>
      </c>
      <c r="DW19" s="3">
        <v>7.4611292700620113E-3</v>
      </c>
      <c r="DX19" s="3">
        <v>5.7682969696334817E-2</v>
      </c>
      <c r="DY19" s="3">
        <v>0.12554103607909689</v>
      </c>
      <c r="DZ19" s="3">
        <v>-6.9726587858222278E-2</v>
      </c>
      <c r="EA19" s="3">
        <v>-8.3316657474225578E-2</v>
      </c>
      <c r="EB19" s="3">
        <v>4.7894929674768993E-2</v>
      </c>
      <c r="EC19" s="3">
        <v>4.250832163184981E-2</v>
      </c>
      <c r="ED19" s="3">
        <v>-0.14227001172628931</v>
      </c>
      <c r="EE19" s="3">
        <v>-1.338217120531277E-2</v>
      </c>
      <c r="EF19" s="3">
        <v>2.963008720004983E-2</v>
      </c>
      <c r="EG19" s="3">
        <v>-3.0984309342069041E-2</v>
      </c>
      <c r="EH19" s="3">
        <v>4.2276183988109346E-3</v>
      </c>
      <c r="EI19" s="3">
        <v>-1.126403356612268E-2</v>
      </c>
      <c r="EJ19" s="3">
        <v>4.5521929331798043E-2</v>
      </c>
      <c r="EK19" s="3">
        <v>1.866258372846943E-3</v>
      </c>
      <c r="EL19" s="3">
        <v>-4.7992289080300191E-2</v>
      </c>
      <c r="EM19">
        <f t="shared" si="11"/>
        <v>2.5273232169735812E-3</v>
      </c>
      <c r="EN19">
        <f t="shared" si="12"/>
        <v>9.2845423002206329E-2</v>
      </c>
      <c r="EO19">
        <f t="shared" si="13"/>
        <v>2.7220762588517942E-2</v>
      </c>
    </row>
    <row r="20" spans="1:145" x14ac:dyDescent="0.3">
      <c r="A20" s="18">
        <v>200</v>
      </c>
      <c r="B20" s="18">
        <f t="shared" si="10"/>
        <v>5</v>
      </c>
      <c r="C20" s="3">
        <v>-0.39491148348520111</v>
      </c>
      <c r="D20" s="3">
        <v>2.8165616799169482E-2</v>
      </c>
      <c r="E20" s="3">
        <v>7.6366597820176241E-2</v>
      </c>
      <c r="F20" s="3">
        <v>1.6143960735499369E-2</v>
      </c>
      <c r="G20" s="3">
        <v>-7.7994296980268024E-2</v>
      </c>
      <c r="H20" s="3">
        <v>3.0507279834356749E-2</v>
      </c>
      <c r="I20" s="3">
        <v>0.17916341421510079</v>
      </c>
      <c r="J20" s="3">
        <v>-7.8558365121732254E-2</v>
      </c>
      <c r="K20" s="3">
        <v>1.31411437475339E-2</v>
      </c>
      <c r="L20" s="3">
        <v>-4.5839499796906699E-2</v>
      </c>
      <c r="M20" s="3">
        <v>-7.0809710725672242E-2</v>
      </c>
      <c r="N20" s="3">
        <v>-0.30233764992165418</v>
      </c>
      <c r="O20" s="3">
        <v>8.1050548742995748E-2</v>
      </c>
      <c r="P20" s="3">
        <v>-6.369815550902784E-2</v>
      </c>
      <c r="Q20" s="3">
        <v>2.142397673373059E-3</v>
      </c>
      <c r="R20" s="3">
        <v>-6.9659396330998713E-2</v>
      </c>
      <c r="S20" s="3">
        <v>4.1110020600276992E-2</v>
      </c>
      <c r="T20" s="3">
        <v>2.295499624396662E-2</v>
      </c>
      <c r="U20" s="3">
        <v>-2.6677519667014409E-2</v>
      </c>
      <c r="V20" s="3">
        <v>1.654392912198548E-2</v>
      </c>
      <c r="W20" s="3">
        <v>-3.9090294958941202E-2</v>
      </c>
      <c r="X20" s="3">
        <v>0.25686542877194563</v>
      </c>
      <c r="Y20" s="3">
        <v>-0.10843721856908969</v>
      </c>
      <c r="Z20" s="3">
        <v>1.8739207644117361E-2</v>
      </c>
      <c r="AA20" s="3">
        <v>-7.3470851255444489E-2</v>
      </c>
      <c r="AB20" s="3">
        <v>-4.6811659593410222E-2</v>
      </c>
      <c r="AC20" s="3">
        <v>3.4622229210977497E-2</v>
      </c>
      <c r="AD20" s="3">
        <v>-7.2927677987312339E-2</v>
      </c>
      <c r="AE20" s="3">
        <v>1.196272446843665E-2</v>
      </c>
      <c r="AF20" s="3">
        <v>2.1148830036799609E-2</v>
      </c>
      <c r="AG20" s="3">
        <v>-8.4665775452206979E-2</v>
      </c>
      <c r="AH20" s="3">
        <v>-2.7827257646328429E-3</v>
      </c>
      <c r="AI20" s="3">
        <v>5.5541476558492731E-2</v>
      </c>
      <c r="AJ20" s="3">
        <v>1.4855525628740939E-2</v>
      </c>
      <c r="AK20" s="3">
        <v>1.454393282157858E-2</v>
      </c>
      <c r="AL20" s="3">
        <v>6.8089544644982462E-3</v>
      </c>
      <c r="AM20" s="3">
        <v>7.6975958172880901E-2</v>
      </c>
      <c r="AN20" s="3">
        <v>-0.1191488923881082</v>
      </c>
      <c r="AO20" s="3">
        <v>-0.1080895977473918</v>
      </c>
      <c r="AP20" s="3">
        <v>4.6939149154621392E-2</v>
      </c>
      <c r="AQ20" s="3">
        <v>-2.4772477371509901E-3</v>
      </c>
      <c r="AR20" s="3">
        <v>4.8162182135912607E-3</v>
      </c>
      <c r="AS20" s="3">
        <v>-4.1356899353337893E-3</v>
      </c>
      <c r="AT20" s="3">
        <v>4.0071803551345139E-2</v>
      </c>
      <c r="AU20" s="3">
        <v>3.6462044089680123E-2</v>
      </c>
      <c r="AV20" s="3">
        <v>-1.3201919140925991E-2</v>
      </c>
      <c r="AW20" s="3">
        <v>0.15438110343776351</v>
      </c>
      <c r="AX20" s="3">
        <v>0.21880694453938651</v>
      </c>
      <c r="AY20" s="3">
        <v>4.2025853601735941E-3</v>
      </c>
      <c r="AZ20" s="3">
        <v>2.9308553747612171E-2</v>
      </c>
      <c r="BA20" s="3">
        <v>1.056271920743673E-4</v>
      </c>
      <c r="BB20" s="3">
        <v>-0.29660246542723379</v>
      </c>
      <c r="BC20" s="3">
        <v>5.9727415147501108E-2</v>
      </c>
      <c r="BD20" s="3">
        <v>7.9913262681114983E-3</v>
      </c>
      <c r="BE20" s="3">
        <v>-4.1122583202598373E-2</v>
      </c>
      <c r="BF20" s="3">
        <v>-5.8223563592610363E-2</v>
      </c>
      <c r="BG20" s="3">
        <v>5.1221838223755027E-2</v>
      </c>
      <c r="BH20" s="3">
        <v>1.2222152217709909E-2</v>
      </c>
      <c r="BI20" s="3">
        <v>-4.4950019884320618E-2</v>
      </c>
      <c r="BJ20" s="3">
        <v>2.3185075057076041E-2</v>
      </c>
      <c r="BK20" s="3">
        <v>0.1220573318849752</v>
      </c>
      <c r="BL20" s="3">
        <v>2.303066498939808E-2</v>
      </c>
      <c r="BM20" s="3">
        <v>2.6547300715593948E-4</v>
      </c>
      <c r="BN20" s="3">
        <v>6.4265605764008221E-2</v>
      </c>
      <c r="BO20" s="3">
        <v>-2.707555818813594E-2</v>
      </c>
      <c r="BP20" s="3">
        <v>4.2383814593565189E-2</v>
      </c>
      <c r="BQ20" s="3">
        <v>4.0965772188618702E-4</v>
      </c>
      <c r="BR20" s="3">
        <v>-0.11131734580018619</v>
      </c>
      <c r="BS20" s="3">
        <v>-2.112158585400041E-2</v>
      </c>
      <c r="BT20" s="3">
        <v>0.1870317137116386</v>
      </c>
      <c r="BU20" s="3">
        <v>-0.109502605773731</v>
      </c>
      <c r="BV20" s="3">
        <v>-7.0322975448297104E-2</v>
      </c>
      <c r="BW20" s="3">
        <v>0.25896113615999861</v>
      </c>
      <c r="BX20" s="3">
        <v>0.12714428304380901</v>
      </c>
      <c r="BY20" s="3">
        <v>-0.2124572436690628</v>
      </c>
      <c r="BZ20" s="3">
        <v>-0.12107575163951349</v>
      </c>
      <c r="CA20" s="3">
        <v>-1.592154159165151E-2</v>
      </c>
      <c r="CB20" s="3">
        <v>-4.4423154004907289E-2</v>
      </c>
      <c r="CC20" s="3">
        <v>-8.6768755291729893E-2</v>
      </c>
      <c r="CD20" s="3">
        <v>6.8979521130255989E-2</v>
      </c>
      <c r="CE20" s="3">
        <v>0.1027372443720679</v>
      </c>
      <c r="CF20" s="3">
        <v>4.5746318460149427E-2</v>
      </c>
      <c r="CG20" s="3">
        <v>0.15492100804500339</v>
      </c>
      <c r="CH20" s="3">
        <v>6.3084429150142868E-2</v>
      </c>
      <c r="CI20" s="3">
        <v>-7.8462137836313867E-3</v>
      </c>
      <c r="CJ20" s="3">
        <v>2.865295590829695E-3</v>
      </c>
      <c r="CK20" s="3">
        <v>2.6756680543521542E-2</v>
      </c>
      <c r="CL20" s="3">
        <v>9.3887705686203249E-2</v>
      </c>
      <c r="CM20" s="3">
        <v>-4.8449955185459817E-3</v>
      </c>
      <c r="CN20" s="3">
        <v>2.2412213713587051E-2</v>
      </c>
      <c r="CO20" s="3">
        <v>-0.36957874741374858</v>
      </c>
      <c r="CP20" s="3">
        <v>1.106202928374019E-2</v>
      </c>
      <c r="CQ20" s="3">
        <v>0.13442641262347729</v>
      </c>
      <c r="CR20" s="3">
        <v>-3.9700813200968778E-2</v>
      </c>
      <c r="CS20" s="3">
        <v>-3.7511011582028388E-2</v>
      </c>
      <c r="CT20" s="3">
        <v>6.184481905321107E-2</v>
      </c>
      <c r="CU20" s="3">
        <v>-1.1386436118550331E-2</v>
      </c>
      <c r="CV20" s="3">
        <v>2.859946514848663E-2</v>
      </c>
      <c r="CW20" s="3">
        <v>3.1394166695379443E-2</v>
      </c>
      <c r="CX20" s="3">
        <v>-1.4619630017486609E-2</v>
      </c>
      <c r="CY20" s="3">
        <v>-5.6975046518222848E-2</v>
      </c>
      <c r="CZ20" s="3">
        <v>0.1303450861602008</v>
      </c>
      <c r="DA20" s="3">
        <v>0.1718918353560499</v>
      </c>
      <c r="DB20" s="3">
        <v>-7.3298722349617984E-2</v>
      </c>
      <c r="DC20" s="3">
        <v>3.0005217210743871E-2</v>
      </c>
      <c r="DD20" s="3">
        <v>0.40453955209609399</v>
      </c>
      <c r="DE20" s="3">
        <v>-2.4502998581927431E-2</v>
      </c>
      <c r="DF20" s="3">
        <v>0.2699383467745467</v>
      </c>
      <c r="DG20" s="3">
        <v>-5.9458068538023857E-2</v>
      </c>
      <c r="DH20" s="3">
        <v>2.046966569059035E-2</v>
      </c>
      <c r="DI20" s="3">
        <v>-5.405897306988388E-2</v>
      </c>
      <c r="DJ20" s="3">
        <v>4.5458021096861118E-2</v>
      </c>
      <c r="DK20" s="3">
        <v>-3.5357176068288337E-2</v>
      </c>
      <c r="DL20" s="3">
        <v>5.3815203266817997E-2</v>
      </c>
      <c r="DM20" s="3">
        <v>-9.5747155455366856E-2</v>
      </c>
      <c r="DN20" s="3">
        <v>1.50848722240395E-2</v>
      </c>
      <c r="DO20" s="3">
        <v>-6.6551862241889498E-2</v>
      </c>
      <c r="DP20" s="3">
        <v>1.8071021259892111E-2</v>
      </c>
      <c r="DQ20" s="3">
        <v>-2.4115692352793049E-2</v>
      </c>
      <c r="DR20" s="3">
        <v>-8.4793520533836042E-2</v>
      </c>
      <c r="DS20" s="3">
        <v>5.1023043113318321E-3</v>
      </c>
      <c r="DT20" s="3">
        <v>-2.2820884000642111E-2</v>
      </c>
      <c r="DU20" s="3">
        <v>-0.1371672906014661</v>
      </c>
      <c r="DV20" s="3">
        <v>8.6968693985255599E-2</v>
      </c>
      <c r="DW20" s="3">
        <v>1.8997048596638959E-2</v>
      </c>
      <c r="DX20" s="3">
        <v>8.8455810762589626E-2</v>
      </c>
      <c r="DY20" s="3">
        <v>9.7389159019779625E-2</v>
      </c>
      <c r="DZ20" s="3">
        <v>-9.9111894359310643E-2</v>
      </c>
      <c r="EA20" s="3">
        <v>-5.4936495662081121E-2</v>
      </c>
      <c r="EB20" s="3">
        <v>3.559355493168577E-2</v>
      </c>
      <c r="EC20" s="3">
        <v>5.4632714256685547E-2</v>
      </c>
      <c r="ED20" s="3">
        <v>-0.1200741343973587</v>
      </c>
      <c r="EE20" s="3">
        <v>-1.628534254515469E-2</v>
      </c>
      <c r="EF20" s="3">
        <v>6.862803588794774E-3</v>
      </c>
      <c r="EG20" s="3">
        <v>-8.3487865499130037E-2</v>
      </c>
      <c r="EH20" s="3">
        <v>1.350619075178794E-2</v>
      </c>
      <c r="EI20" s="3">
        <v>-4.9497643897234093E-2</v>
      </c>
      <c r="EJ20" s="3">
        <v>6.2034868703864862E-2</v>
      </c>
      <c r="EK20" s="3">
        <v>-1.1746175198816411E-2</v>
      </c>
      <c r="EL20" s="3">
        <v>-3.9911082041164801E-2</v>
      </c>
      <c r="EM20">
        <f t="shared" si="11"/>
        <v>1.7873451496176747E-3</v>
      </c>
      <c r="EN20">
        <f t="shared" si="12"/>
        <v>0.1045903172297197</v>
      </c>
      <c r="EO20">
        <f t="shared" si="13"/>
        <v>1.7089011650017201E-2</v>
      </c>
    </row>
    <row r="21" spans="1:145" x14ac:dyDescent="0.3">
      <c r="A21" s="18">
        <v>256</v>
      </c>
      <c r="B21" s="18">
        <f t="shared" si="10"/>
        <v>4</v>
      </c>
      <c r="C21" s="3">
        <v>-0.44849693070711888</v>
      </c>
      <c r="D21" s="3">
        <v>1.876697483162525E-2</v>
      </c>
      <c r="E21" s="3">
        <v>6.2268402999185693E-2</v>
      </c>
      <c r="F21" s="3">
        <v>4.5720969992433573E-2</v>
      </c>
      <c r="G21" s="3">
        <v>-8.4689902863226363E-2</v>
      </c>
      <c r="H21" s="3">
        <v>7.3072069112157856E-2</v>
      </c>
      <c r="I21" s="3">
        <v>0.23932306217775401</v>
      </c>
      <c r="J21" s="3">
        <v>-0.1034032254026073</v>
      </c>
      <c r="K21" s="3">
        <v>2.460682165013427E-3</v>
      </c>
      <c r="L21" s="3">
        <v>-6.4632441096871329E-2</v>
      </c>
      <c r="M21" s="3">
        <v>-6.7893893861342342E-2</v>
      </c>
      <c r="N21" s="3">
        <v>-0.39429551569186849</v>
      </c>
      <c r="O21" s="3">
        <v>0.10509430827052391</v>
      </c>
      <c r="P21" s="3">
        <v>-0.1037902279004991</v>
      </c>
      <c r="Q21" s="3">
        <v>3.7009044807521041E-2</v>
      </c>
      <c r="R21" s="3">
        <v>-7.8826177755603216E-2</v>
      </c>
      <c r="S21" s="3">
        <v>9.5692506185943119E-2</v>
      </c>
      <c r="T21" s="3">
        <v>-4.1664087236111022E-2</v>
      </c>
      <c r="U21" s="3">
        <v>-5.6405486162132687E-2</v>
      </c>
      <c r="V21" s="3">
        <v>-4.4070544734309658E-2</v>
      </c>
      <c r="W21" s="3">
        <v>-5.947959733232757E-2</v>
      </c>
      <c r="X21" s="3">
        <v>0.19376808120145669</v>
      </c>
      <c r="Y21" s="3">
        <v>-0.14953389547317</v>
      </c>
      <c r="Z21" s="3">
        <v>-5.1240279479950104E-3</v>
      </c>
      <c r="AA21" s="3">
        <v>-5.2160307227101507E-2</v>
      </c>
      <c r="AB21" s="3">
        <v>-2.6042387985488139E-2</v>
      </c>
      <c r="AC21" s="3">
        <v>4.45202763574018E-2</v>
      </c>
      <c r="AD21" s="3">
        <v>4.4190943740322078E-2</v>
      </c>
      <c r="AE21" s="3">
        <v>1.3409921155695051E-2</v>
      </c>
      <c r="AF21" s="3">
        <v>4.0781599026387817E-2</v>
      </c>
      <c r="AG21" s="3">
        <v>-9.890299714730956E-2</v>
      </c>
      <c r="AH21" s="3">
        <v>8.8488523503087446E-3</v>
      </c>
      <c r="AI21" s="3">
        <v>-4.8498591418221111E-3</v>
      </c>
      <c r="AJ21" s="3">
        <v>1.4135034267776099E-2</v>
      </c>
      <c r="AK21" s="3">
        <v>3.0617656117594427E-4</v>
      </c>
      <c r="AL21" s="3">
        <v>2.2307638047237639E-2</v>
      </c>
      <c r="AM21" s="3">
        <v>9.7346904959314418E-2</v>
      </c>
      <c r="AN21" s="3">
        <v>-0.17072387349560489</v>
      </c>
      <c r="AO21" s="3">
        <v>-7.5524154929500695E-2</v>
      </c>
      <c r="AP21" s="3">
        <v>-0.1236188373186721</v>
      </c>
      <c r="AQ21" s="3">
        <v>-4.1147762644638142E-3</v>
      </c>
      <c r="AR21" s="3">
        <v>4.4527393447783441E-2</v>
      </c>
      <c r="AS21" s="3">
        <v>6.1571892458611999E-3</v>
      </c>
      <c r="AT21" s="3">
        <v>-4.1090023790079366E-3</v>
      </c>
      <c r="AU21" s="3">
        <v>6.1290189581173563E-2</v>
      </c>
      <c r="AV21" s="3">
        <v>2.863736841929572E-2</v>
      </c>
      <c r="AW21" s="3">
        <v>0.21075531715359619</v>
      </c>
      <c r="AX21" s="3">
        <v>0.22506695034169219</v>
      </c>
      <c r="AY21" s="3">
        <v>-1.750426908835338E-2</v>
      </c>
      <c r="AZ21" s="3">
        <v>5.5962924116667437E-2</v>
      </c>
      <c r="BA21" s="3">
        <v>-1.15873993597556E-2</v>
      </c>
      <c r="BB21" s="3">
        <v>-0.19691073085987651</v>
      </c>
      <c r="BC21" s="3">
        <v>6.9576566026184963E-2</v>
      </c>
      <c r="BD21" s="3">
        <v>4.0297141885174088E-2</v>
      </c>
      <c r="BE21" s="3">
        <v>-5.4597655411731061E-2</v>
      </c>
      <c r="BF21" s="3">
        <v>-5.15799055542372E-2</v>
      </c>
      <c r="BG21" s="3">
        <v>7.0471930611712919E-2</v>
      </c>
      <c r="BH21" s="3">
        <v>3.1583984852304871E-3</v>
      </c>
      <c r="BI21" s="3">
        <v>-1.619025943810197E-2</v>
      </c>
      <c r="BJ21" s="3">
        <v>1.0673536693002691E-2</v>
      </c>
      <c r="BK21" s="3">
        <v>0.1513671915300234</v>
      </c>
      <c r="BL21" s="3">
        <v>2.4402253824020208E-2</v>
      </c>
      <c r="BM21" s="3">
        <v>-3.140292235746574E-3</v>
      </c>
      <c r="BN21" s="3">
        <v>1.567708108992872E-2</v>
      </c>
      <c r="BO21" s="3">
        <v>-1.6787910915567139E-2</v>
      </c>
      <c r="BP21" s="3">
        <v>7.1196913039707904E-2</v>
      </c>
      <c r="BQ21" s="3">
        <v>-3.6995325281497217E-2</v>
      </c>
      <c r="BR21" s="3">
        <v>-0.12321206086579201</v>
      </c>
      <c r="BS21" s="3">
        <v>-1.2481743089960281E-3</v>
      </c>
      <c r="BT21" s="3">
        <v>0.20472196812600149</v>
      </c>
      <c r="BU21" s="3">
        <v>-7.2909816089138241E-2</v>
      </c>
      <c r="BV21" s="3">
        <v>-7.5182780572788988E-2</v>
      </c>
      <c r="BW21" s="3">
        <v>0.3252748838880517</v>
      </c>
      <c r="BX21" s="3">
        <v>0.1417880672852026</v>
      </c>
      <c r="BY21" s="3">
        <v>-0.15925462073524241</v>
      </c>
      <c r="BZ21" s="3">
        <v>-0.1755407474103918</v>
      </c>
      <c r="CA21" s="3">
        <v>-5.1099550527944314E-3</v>
      </c>
      <c r="CB21" s="3">
        <v>-0.1052799831951981</v>
      </c>
      <c r="CC21" s="3">
        <v>-0.1341027852920931</v>
      </c>
      <c r="CD21" s="3">
        <v>8.5206466344847423E-2</v>
      </c>
      <c r="CE21" s="3">
        <v>6.711539686771853E-2</v>
      </c>
      <c r="CF21" s="3">
        <v>5.2384286261149993E-2</v>
      </c>
      <c r="CG21" s="3">
        <v>0.2380992911546132</v>
      </c>
      <c r="CH21" s="3">
        <v>1.9081686142426248E-2</v>
      </c>
      <c r="CI21" s="3">
        <v>-2.0121247075303061E-2</v>
      </c>
      <c r="CJ21" s="3">
        <v>1.8746703673516971E-2</v>
      </c>
      <c r="CK21" s="3">
        <v>5.1439248309640577E-2</v>
      </c>
      <c r="CL21" s="3">
        <v>6.4193198711984298E-2</v>
      </c>
      <c r="CM21" s="3">
        <v>8.0625315053144894E-3</v>
      </c>
      <c r="CN21" s="3">
        <v>3.0496263601091912E-2</v>
      </c>
      <c r="CO21" s="3">
        <v>-0.40094179532509389</v>
      </c>
      <c r="CP21" s="3">
        <v>-6.1815028072549461E-2</v>
      </c>
      <c r="CQ21" s="3">
        <v>0.1397618327553071</v>
      </c>
      <c r="CR21" s="3">
        <v>-4.1319888765932039E-2</v>
      </c>
      <c r="CS21" s="3">
        <v>-3.6412256278875253E-2</v>
      </c>
      <c r="CT21" s="3">
        <v>8.515002579542498E-2</v>
      </c>
      <c r="CU21" s="3">
        <v>-1.5719531829215028E-2</v>
      </c>
      <c r="CV21" s="3">
        <v>5.8257805995761539E-2</v>
      </c>
      <c r="CW21" s="3">
        <v>-5.6422700887951358E-3</v>
      </c>
      <c r="CX21" s="3">
        <v>6.7262395355196791E-3</v>
      </c>
      <c r="CY21" s="3">
        <v>-3.3771173432296832E-2</v>
      </c>
      <c r="CZ21" s="3">
        <v>0.19090175467653719</v>
      </c>
      <c r="DA21" s="3">
        <v>0.20480974429347901</v>
      </c>
      <c r="DB21" s="3">
        <v>-0.1184448030980856</v>
      </c>
      <c r="DC21" s="3">
        <v>2.9521644260110062E-2</v>
      </c>
      <c r="DD21" s="3">
        <v>0.5089436566870662</v>
      </c>
      <c r="DE21" s="3">
        <v>-2.0211178850153031E-2</v>
      </c>
      <c r="DF21" s="3">
        <v>0.34820643742645901</v>
      </c>
      <c r="DG21" s="3">
        <v>-7.1411992538332414E-2</v>
      </c>
      <c r="DH21" s="3">
        <v>3.1093574217129119E-2</v>
      </c>
      <c r="DI21" s="3">
        <v>-7.7891275410077343E-2</v>
      </c>
      <c r="DJ21" s="3">
        <v>7.2040205142832867E-2</v>
      </c>
      <c r="DK21" s="3">
        <v>-9.954883442899945E-2</v>
      </c>
      <c r="DL21" s="3">
        <v>3.4795173463911873E-2</v>
      </c>
      <c r="DM21" s="3">
        <v>-0.1162525000516713</v>
      </c>
      <c r="DN21" s="3">
        <v>2.4232641585290302E-2</v>
      </c>
      <c r="DO21" s="3">
        <v>-4.7836914289904747E-2</v>
      </c>
      <c r="DP21" s="3">
        <v>4.0074715270571229E-2</v>
      </c>
      <c r="DQ21" s="3">
        <v>-1.614541730611873E-2</v>
      </c>
      <c r="DR21" s="3">
        <v>-0.1260915916090207</v>
      </c>
      <c r="DS21" s="3">
        <v>2.521158171580145E-2</v>
      </c>
      <c r="DT21" s="3">
        <v>-3.8595725541521131E-2</v>
      </c>
      <c r="DU21" s="3">
        <v>-0.1299122743521888</v>
      </c>
      <c r="DV21" s="3">
        <v>3.7688687507114273E-2</v>
      </c>
      <c r="DW21" s="3">
        <v>2.1747657669180399E-2</v>
      </c>
      <c r="DX21" s="3">
        <v>9.6421003164210484E-2</v>
      </c>
      <c r="DY21" s="3">
        <v>6.4844045139977768E-2</v>
      </c>
      <c r="DZ21" s="3">
        <v>-0.15580234669749921</v>
      </c>
      <c r="EA21" s="3">
        <v>-7.8618767947022022E-2</v>
      </c>
      <c r="EB21" s="3">
        <v>4.4715167307658878E-2</v>
      </c>
      <c r="EC21" s="3">
        <v>5.265082253949057E-2</v>
      </c>
      <c r="ED21" s="3">
        <v>-0.1483885032519239</v>
      </c>
      <c r="EE21" s="3">
        <v>-4.591426602995341E-2</v>
      </c>
      <c r="EF21" s="3">
        <v>1.5003355393085281E-2</v>
      </c>
      <c r="EG21" s="3">
        <v>-1.057450389682997E-2</v>
      </c>
      <c r="EH21" s="3">
        <v>4.1078990302187618E-2</v>
      </c>
      <c r="EI21" s="3">
        <v>-1.5885877843455081E-3</v>
      </c>
      <c r="EJ21" s="3">
        <v>7.3385151474401181E-2</v>
      </c>
      <c r="EK21" s="3">
        <v>3.8575307508855072E-2</v>
      </c>
      <c r="EL21" s="3">
        <v>-6.52935553100151E-2</v>
      </c>
      <c r="EM21">
        <f t="shared" si="11"/>
        <v>2.4066853958288081E-3</v>
      </c>
      <c r="EN21">
        <f t="shared" si="12"/>
        <v>0.12095856299532479</v>
      </c>
      <c r="EO21">
        <f t="shared" si="13"/>
        <v>1.9896775691042475E-2</v>
      </c>
    </row>
    <row r="22" spans="1:145" x14ac:dyDescent="0.3">
      <c r="A22" s="18">
        <v>400</v>
      </c>
      <c r="B22" s="18">
        <f t="shared" si="10"/>
        <v>3</v>
      </c>
      <c r="C22" s="3">
        <v>-0.46515165895706062</v>
      </c>
      <c r="D22" s="3">
        <v>-5.3644845849835213E-2</v>
      </c>
      <c r="E22" s="3">
        <v>8.5659841505222031E-2</v>
      </c>
      <c r="F22" s="3">
        <v>5.4224421264632713E-2</v>
      </c>
      <c r="G22" s="3">
        <v>-5.2573094938333093E-2</v>
      </c>
      <c r="H22" s="3">
        <v>0.1211735446675606</v>
      </c>
      <c r="I22" s="3">
        <v>0.25443290291045001</v>
      </c>
      <c r="J22" s="3">
        <v>-0.1202718837509137</v>
      </c>
      <c r="K22" s="3">
        <v>4.3802396336493743E-2</v>
      </c>
      <c r="L22" s="3">
        <v>-7.8658959908337406E-2</v>
      </c>
      <c r="M22" s="3">
        <v>-8.3251085248170056E-2</v>
      </c>
      <c r="N22" s="3">
        <v>-0.56720130244850653</v>
      </c>
      <c r="O22" s="3">
        <v>0.12080977238306401</v>
      </c>
      <c r="P22" s="3">
        <v>-9.0630874426634297E-2</v>
      </c>
      <c r="Q22" s="3">
        <v>3.2405358239837659E-3</v>
      </c>
      <c r="R22" s="3">
        <v>-0.10652310321825641</v>
      </c>
      <c r="S22" s="3">
        <v>0.15954155505315559</v>
      </c>
      <c r="T22" s="3">
        <v>-6.8688286014855882E-2</v>
      </c>
      <c r="U22" s="3">
        <v>-3.254518267436677E-2</v>
      </c>
      <c r="V22" s="3">
        <v>-4.4141484900850923E-2</v>
      </c>
      <c r="W22" s="3">
        <v>-0.12144072267653359</v>
      </c>
      <c r="X22" s="3">
        <v>0.21545688671230401</v>
      </c>
      <c r="Y22" s="3">
        <v>-2.5932219629603279E-2</v>
      </c>
      <c r="Z22" s="3">
        <v>1.345878394758477E-2</v>
      </c>
      <c r="AA22" s="3">
        <v>-7.5945475901633155E-2</v>
      </c>
      <c r="AB22" s="3">
        <v>1.047150900010407E-2</v>
      </c>
      <c r="AC22" s="3">
        <v>7.811230927363387E-2</v>
      </c>
      <c r="AD22" s="3">
        <v>9.2695758843548887E-2</v>
      </c>
      <c r="AE22" s="3">
        <v>-8.4023840344003009E-3</v>
      </c>
      <c r="AF22" s="3">
        <v>5.0527323044879287E-2</v>
      </c>
      <c r="AG22" s="3">
        <v>-0.166607648900026</v>
      </c>
      <c r="AH22" s="3">
        <v>-3.2482555031734063E-2</v>
      </c>
      <c r="AI22" s="3">
        <v>-2.29476040149647E-2</v>
      </c>
      <c r="AJ22" s="3">
        <v>1.718004221813289E-2</v>
      </c>
      <c r="AK22" s="3">
        <v>2.5089093190449861E-2</v>
      </c>
      <c r="AL22" s="3">
        <v>-1.421815836389159E-2</v>
      </c>
      <c r="AM22" s="3">
        <v>0.11197162799225829</v>
      </c>
      <c r="AN22" s="3">
        <v>-0.19029434940159551</v>
      </c>
      <c r="AO22" s="3">
        <v>1.3181697391507039E-2</v>
      </c>
      <c r="AP22" s="3">
        <v>-0.14954659922397739</v>
      </c>
      <c r="AQ22" s="3">
        <v>-4.7048146818941518E-2</v>
      </c>
      <c r="AR22" s="3">
        <v>3.7327076684617322E-3</v>
      </c>
      <c r="AS22" s="3">
        <v>6.0593928630322112E-2</v>
      </c>
      <c r="AT22" s="3">
        <v>2.2773171629871629E-3</v>
      </c>
      <c r="AU22" s="3">
        <v>7.551963892383716E-2</v>
      </c>
      <c r="AV22" s="3">
        <v>1.768747922123454E-2</v>
      </c>
      <c r="AW22" s="3">
        <v>0.2294932332459502</v>
      </c>
      <c r="AX22" s="3">
        <v>0.2418591434085138</v>
      </c>
      <c r="AY22" s="3">
        <v>-4.1015182660395492E-2</v>
      </c>
      <c r="AZ22" s="3">
        <v>5.6615723707059827E-2</v>
      </c>
      <c r="BA22" s="3">
        <v>3.8004580566101072E-2</v>
      </c>
      <c r="BB22" s="3">
        <v>-0.27312510278554353</v>
      </c>
      <c r="BC22" s="3">
        <v>-3.6671643616015749E-2</v>
      </c>
      <c r="BD22" s="3">
        <v>3.8662233380213101E-2</v>
      </c>
      <c r="BE22" s="3">
        <v>-6.3686660972256601E-3</v>
      </c>
      <c r="BF22" s="3">
        <v>-8.0447926170967229E-3</v>
      </c>
      <c r="BG22" s="3">
        <v>-7.5859138918765133E-3</v>
      </c>
      <c r="BH22" s="3">
        <v>3.5337566291639748E-2</v>
      </c>
      <c r="BI22" s="3">
        <v>1.1598580508420791E-2</v>
      </c>
      <c r="BJ22" s="3">
        <v>1.7583710807952391E-2</v>
      </c>
      <c r="BK22" s="3">
        <v>7.388776166554259E-2</v>
      </c>
      <c r="BL22" s="3">
        <v>4.3102686516829462E-2</v>
      </c>
      <c r="BM22" s="3">
        <v>1.4644814453456719E-2</v>
      </c>
      <c r="BN22" s="3">
        <v>1.3806241853456681E-2</v>
      </c>
      <c r="BO22" s="3">
        <v>4.559404023839489E-3</v>
      </c>
      <c r="BP22" s="3">
        <v>2.5707033315901458E-2</v>
      </c>
      <c r="BQ22" s="3">
        <v>-8.6838112330046624E-2</v>
      </c>
      <c r="BR22" s="3">
        <v>-0.12669320704477019</v>
      </c>
      <c r="BS22" s="3">
        <v>-1.491766577939898E-3</v>
      </c>
      <c r="BT22" s="3">
        <v>0.1251743638153513</v>
      </c>
      <c r="BU22" s="3">
        <v>-1.064626009861795E-2</v>
      </c>
      <c r="BV22" s="3">
        <v>-8.8931919560758008E-2</v>
      </c>
      <c r="BW22" s="3">
        <v>0.41378839357371872</v>
      </c>
      <c r="BX22" s="3">
        <v>0.173344437987763</v>
      </c>
      <c r="BY22" s="3">
        <v>-0.1549765342568942</v>
      </c>
      <c r="BZ22" s="3">
        <v>-0.28746555919366029</v>
      </c>
      <c r="CA22" s="3">
        <v>-4.0011971045677823E-2</v>
      </c>
      <c r="CB22" s="3">
        <v>-0.1148367612994602</v>
      </c>
      <c r="CC22" s="3">
        <v>-0.1951119459463366</v>
      </c>
      <c r="CD22" s="3">
        <v>0.1177604192801871</v>
      </c>
      <c r="CE22" s="3">
        <v>3.8302579777822518E-2</v>
      </c>
      <c r="CF22" s="3">
        <v>5.6609494287472993E-2</v>
      </c>
      <c r="CG22" s="3">
        <v>0.31395999595577651</v>
      </c>
      <c r="CH22" s="3">
        <v>-0.13733604760108281</v>
      </c>
      <c r="CI22" s="3">
        <v>1.7369404485536071E-2</v>
      </c>
      <c r="CJ22" s="3">
        <v>3.9647783620364828E-2</v>
      </c>
      <c r="CK22" s="3">
        <v>3.3498201928437998E-2</v>
      </c>
      <c r="CL22" s="3">
        <v>1.519332483994708E-2</v>
      </c>
      <c r="CM22" s="3">
        <v>6.9928789733091648E-2</v>
      </c>
      <c r="CN22" s="3">
        <v>4.629812726420772E-2</v>
      </c>
      <c r="CO22" s="3">
        <v>-0.5134075272983506</v>
      </c>
      <c r="CP22" s="3">
        <v>-4.5925040552585818E-2</v>
      </c>
      <c r="CQ22" s="3">
        <v>0.12259164790239641</v>
      </c>
      <c r="CR22" s="3">
        <v>-4.4739600323238288E-2</v>
      </c>
      <c r="CS22" s="3">
        <v>-5.685791958058483E-2</v>
      </c>
      <c r="CT22" s="3">
        <v>-1.5641357039080091E-2</v>
      </c>
      <c r="CU22" s="3">
        <v>2.958451875969131E-3</v>
      </c>
      <c r="CV22" s="3">
        <v>8.5220246523104698E-2</v>
      </c>
      <c r="CW22" s="3">
        <v>-2.9682827201314141E-2</v>
      </c>
      <c r="CX22" s="3">
        <v>1.877806211273637E-2</v>
      </c>
      <c r="CY22" s="3">
        <v>3.5489312651208089E-2</v>
      </c>
      <c r="CZ22" s="3">
        <v>0.33874729557436051</v>
      </c>
      <c r="DA22" s="3">
        <v>0.26848188501386011</v>
      </c>
      <c r="DB22" s="3">
        <v>-0.10037638074168501</v>
      </c>
      <c r="DC22" s="3">
        <v>1.9498159946064849E-2</v>
      </c>
      <c r="DD22" s="3">
        <v>0.66776484971044869</v>
      </c>
      <c r="DE22" s="3">
        <v>5.2313336741647329E-2</v>
      </c>
      <c r="DF22" s="3">
        <v>0.36694030490949792</v>
      </c>
      <c r="DG22" s="3">
        <v>-0.1191961498621895</v>
      </c>
      <c r="DH22" s="3">
        <v>8.4005450105988769E-2</v>
      </c>
      <c r="DI22" s="3">
        <v>-7.4970986533330425E-2</v>
      </c>
      <c r="DJ22" s="3">
        <v>4.6022917159326243E-2</v>
      </c>
      <c r="DK22" s="3">
        <v>-0.1391188008549</v>
      </c>
      <c r="DL22" s="3">
        <v>1.01131557868818E-2</v>
      </c>
      <c r="DM22" s="3">
        <v>-5.5868605035985217E-2</v>
      </c>
      <c r="DN22" s="3">
        <v>-1.5382356665569421E-2</v>
      </c>
      <c r="DO22" s="3">
        <v>-4.5988838409316883E-2</v>
      </c>
      <c r="DP22" s="3">
        <v>-3.8861921425484378E-2</v>
      </c>
      <c r="DQ22" s="3">
        <v>-7.5936160886283022E-2</v>
      </c>
      <c r="DR22" s="3">
        <v>-0.1158536842388173</v>
      </c>
      <c r="DS22" s="3">
        <v>8.2165395822916432E-2</v>
      </c>
      <c r="DT22" s="3">
        <v>-3.7947944365620268E-2</v>
      </c>
      <c r="DU22" s="3">
        <v>-0.12271053613815031</v>
      </c>
      <c r="DV22" s="3">
        <v>2.403945206487652E-2</v>
      </c>
      <c r="DW22" s="3">
        <v>7.090679511810466E-2</v>
      </c>
      <c r="DX22" s="3">
        <v>-3.2918554873065391E-3</v>
      </c>
      <c r="DY22" s="3">
        <v>-6.1644651879930998E-2</v>
      </c>
      <c r="DZ22" s="3">
        <v>-0.21227764260021981</v>
      </c>
      <c r="EA22" s="3">
        <v>8.1788021378192688E-2</v>
      </c>
      <c r="EB22" s="3">
        <v>3.1512903122805518E-2</v>
      </c>
      <c r="EC22" s="3">
        <v>8.8703730253636398E-2</v>
      </c>
      <c r="ED22" s="3">
        <v>-0.1226961500795283</v>
      </c>
      <c r="EE22" s="3">
        <v>-5.9995094923695633E-2</v>
      </c>
      <c r="EF22" s="3">
        <v>3.7745170010406282E-2</v>
      </c>
      <c r="EG22" s="3">
        <v>7.119985179853966E-2</v>
      </c>
      <c r="EH22" s="3">
        <v>5.967033335790449E-2</v>
      </c>
      <c r="EI22" s="3">
        <v>1.082705763038763E-2</v>
      </c>
      <c r="EJ22" s="3">
        <v>6.7276444680652026E-2</v>
      </c>
      <c r="EK22" s="3">
        <v>5.4704260831085677E-2</v>
      </c>
      <c r="EL22" s="3">
        <v>-0.13168555861020831</v>
      </c>
      <c r="EM22">
        <f t="shared" si="11"/>
        <v>1.8620499418083292E-3</v>
      </c>
      <c r="EN22">
        <f t="shared" si="12"/>
        <v>0.14657500385179559</v>
      </c>
      <c r="EO22">
        <f t="shared" si="13"/>
        <v>1.2703734558254413E-2</v>
      </c>
    </row>
    <row r="23" spans="1:145" x14ac:dyDescent="0.3">
      <c r="A23" s="18">
        <v>512</v>
      </c>
      <c r="B23" s="18">
        <f t="shared" si="10"/>
        <v>2</v>
      </c>
      <c r="C23" s="3">
        <v>-0.31090829061820269</v>
      </c>
      <c r="D23" s="3">
        <v>-5.1297262763643027E-2</v>
      </c>
      <c r="E23" s="3">
        <v>0.15605461923107611</v>
      </c>
      <c r="F23" s="3">
        <v>1.8413180064745769E-2</v>
      </c>
      <c r="G23" s="3">
        <v>-0.12502370820524489</v>
      </c>
      <c r="H23" s="3">
        <v>4.3699235854634769E-2</v>
      </c>
      <c r="I23" s="3">
        <v>0.25570287206557712</v>
      </c>
      <c r="J23" s="3">
        <v>-0.1882923516854863</v>
      </c>
      <c r="K23" s="3">
        <v>6.0900350821073763E-2</v>
      </c>
      <c r="L23" s="3">
        <v>-0.1321376579237199</v>
      </c>
      <c r="M23" s="3">
        <v>-0.2022794731383343</v>
      </c>
      <c r="N23" s="3">
        <v>-0.85422662459554721</v>
      </c>
      <c r="O23" s="3">
        <v>5.7986264258453123E-2</v>
      </c>
      <c r="P23" s="3">
        <v>-9.2015937722076946E-2</v>
      </c>
      <c r="Q23" s="3">
        <v>-1.1271263018355409E-2</v>
      </c>
      <c r="R23" s="3">
        <v>-6.2821977969761703E-2</v>
      </c>
      <c r="S23" s="3">
        <v>0.22249309547063029</v>
      </c>
      <c r="T23" s="3">
        <v>7.3954628366049158E-3</v>
      </c>
      <c r="U23" s="3">
        <v>4.7533727752186568E-2</v>
      </c>
      <c r="V23" s="3">
        <v>-7.9668996602351938E-2</v>
      </c>
      <c r="W23" s="3">
        <v>-0.15631467949678721</v>
      </c>
      <c r="X23" s="3">
        <v>0.1213690203693893</v>
      </c>
      <c r="Y23" s="3">
        <v>-4.4620908825122103E-2</v>
      </c>
      <c r="Z23" s="3">
        <v>2.319844218664514E-2</v>
      </c>
      <c r="AA23" s="3">
        <v>-0.10593171872482771</v>
      </c>
      <c r="AB23" s="3">
        <v>-0.13598872423960251</v>
      </c>
      <c r="AC23" s="3">
        <v>9.4912867103723209E-2</v>
      </c>
      <c r="AD23" s="3">
        <v>0.1123020370254148</v>
      </c>
      <c r="AE23" s="3">
        <v>-3.841361118099651E-2</v>
      </c>
      <c r="AF23" s="3">
        <v>9.0392767379034858E-2</v>
      </c>
      <c r="AG23" s="3">
        <v>-0.24088820419951201</v>
      </c>
      <c r="AH23" s="3">
        <v>-0.1079014490507917</v>
      </c>
      <c r="AI23" s="3">
        <v>-2.5259591684724719E-2</v>
      </c>
      <c r="AJ23" s="3">
        <v>-4.9052240034926711E-3</v>
      </c>
      <c r="AK23" s="3">
        <v>-1.5701081208876439E-2</v>
      </c>
      <c r="AL23" s="3">
        <v>2.6805574299417319E-2</v>
      </c>
      <c r="AM23" s="3">
        <v>5.7779556841464748E-2</v>
      </c>
      <c r="AN23" s="3">
        <v>-0.20836618418876421</v>
      </c>
      <c r="AO23" s="3">
        <v>3.2134598262233353E-2</v>
      </c>
      <c r="AP23" s="3">
        <v>-0.13444778094613899</v>
      </c>
      <c r="AQ23" s="3">
        <v>-9.6379813356473526E-2</v>
      </c>
      <c r="AR23" s="3">
        <v>3.9196986859566567E-2</v>
      </c>
      <c r="AS23" s="3">
        <v>8.0204685249834304E-2</v>
      </c>
      <c r="AT23" s="3">
        <v>2.7490071748968271E-2</v>
      </c>
      <c r="AU23" s="3">
        <v>0.1117153448872432</v>
      </c>
      <c r="AV23" s="3">
        <v>-5.140449459282978E-3</v>
      </c>
      <c r="AW23" s="3">
        <v>0.32642827270511449</v>
      </c>
      <c r="AX23" s="3">
        <v>-8.7873464922709588E-2</v>
      </c>
      <c r="AY23" s="3">
        <v>-5.8139600106789993E-2</v>
      </c>
      <c r="AZ23" s="3">
        <v>7.8071576521207053E-2</v>
      </c>
      <c r="BA23" s="3">
        <v>6.0626591425879887E-2</v>
      </c>
      <c r="BB23" s="3">
        <v>-0.219229559596721</v>
      </c>
      <c r="BC23" s="3">
        <v>-9.4851545725873371E-2</v>
      </c>
      <c r="BD23" s="3">
        <v>2.1133172438465509E-2</v>
      </c>
      <c r="BE23" s="3">
        <v>-6.3573256637258463E-2</v>
      </c>
      <c r="BF23" s="3">
        <v>3.2658032466642582E-2</v>
      </c>
      <c r="BG23" s="3">
        <v>-0.12728601566673289</v>
      </c>
      <c r="BH23" s="3">
        <v>-0.1121967635576023</v>
      </c>
      <c r="BI23" s="3">
        <v>2.880123580376991E-2</v>
      </c>
      <c r="BJ23" s="3">
        <v>-3.8570935997452087E-2</v>
      </c>
      <c r="BK23" s="3">
        <v>5.9455887378442013E-2</v>
      </c>
      <c r="BL23" s="3">
        <v>2.9943010963370389E-2</v>
      </c>
      <c r="BM23" s="3">
        <v>1.6605411130872581E-2</v>
      </c>
      <c r="BN23" s="3">
        <v>1.900578361937796E-2</v>
      </c>
      <c r="BO23" s="3">
        <v>9.7963061853114111E-2</v>
      </c>
      <c r="BP23" s="3">
        <v>7.4224528571251266E-2</v>
      </c>
      <c r="BQ23" s="3">
        <v>-7.9170356130416203E-2</v>
      </c>
      <c r="BR23" s="3">
        <v>-9.2588343849667798E-2</v>
      </c>
      <c r="BS23" s="3">
        <v>1.480744099448407E-2</v>
      </c>
      <c r="BT23" s="3">
        <v>0.18648869689620201</v>
      </c>
      <c r="BU23" s="3">
        <v>6.2328819646770013E-2</v>
      </c>
      <c r="BV23" s="3">
        <v>-8.7394701775496894E-2</v>
      </c>
      <c r="BW23" s="3">
        <v>0.59610673764055144</v>
      </c>
      <c r="BX23" s="3">
        <v>0.18557181231290629</v>
      </c>
      <c r="BY23" s="3">
        <v>-5.4527767249386322E-2</v>
      </c>
      <c r="BZ23" s="3">
        <v>-0.52429918989246416</v>
      </c>
      <c r="CA23" s="3">
        <v>-7.3995832209295301E-2</v>
      </c>
      <c r="CB23" s="3">
        <v>-0.1594884909466078</v>
      </c>
      <c r="CC23" s="3">
        <v>-0.29576745436033142</v>
      </c>
      <c r="CD23" s="3">
        <v>0.14607357131690449</v>
      </c>
      <c r="CE23" s="3">
        <v>1.8223939838644138E-2</v>
      </c>
      <c r="CF23" s="3">
        <v>2.3852083505405439E-2</v>
      </c>
      <c r="CG23" s="3">
        <v>9.8142709469786732E-2</v>
      </c>
      <c r="CH23" s="3">
        <v>-0.16588584375846829</v>
      </c>
      <c r="CI23" s="3">
        <v>6.7515458264693545E-2</v>
      </c>
      <c r="CJ23" s="3">
        <v>3.7666763931247717E-2</v>
      </c>
      <c r="CK23" s="3">
        <v>0.19505718507910211</v>
      </c>
      <c r="CL23" s="3">
        <v>4.9077198527335414E-3</v>
      </c>
      <c r="CM23" s="3">
        <v>8.7692471240971265E-2</v>
      </c>
      <c r="CN23" s="3">
        <v>3.2107145592541082E-2</v>
      </c>
      <c r="CO23" s="3">
        <v>-0.62198209319343156</v>
      </c>
      <c r="CP23" s="3">
        <v>-8.3333194488091067E-2</v>
      </c>
      <c r="CQ23" s="3">
        <v>6.3826464292857599E-2</v>
      </c>
      <c r="CR23" s="3">
        <v>-1.6288977447992781E-3</v>
      </c>
      <c r="CS23" s="3">
        <v>-5.1180022818716087E-2</v>
      </c>
      <c r="CT23" s="3">
        <v>-6.2054321841715283E-2</v>
      </c>
      <c r="CU23" s="3">
        <v>-3.1107370386757659E-2</v>
      </c>
      <c r="CV23" s="3">
        <v>0.12451994261667799</v>
      </c>
      <c r="CW23" s="3">
        <v>-3.5607473042190162E-2</v>
      </c>
      <c r="CX23" s="3">
        <v>-8.7015166268615995E-2</v>
      </c>
      <c r="CY23" s="3">
        <v>0.13861209945877631</v>
      </c>
      <c r="CZ23" s="3">
        <v>0.43963801582496181</v>
      </c>
      <c r="DA23" s="3">
        <v>0.34248744824833538</v>
      </c>
      <c r="DB23" s="3">
        <v>-0.1321095689055074</v>
      </c>
      <c r="DC23" s="3">
        <v>1.6354005743360281E-2</v>
      </c>
      <c r="DD23" s="3">
        <v>-0.1438780079249197</v>
      </c>
      <c r="DE23" s="3">
        <v>-3.3114527111077222E-2</v>
      </c>
      <c r="DF23" s="3">
        <v>0.30552206848487079</v>
      </c>
      <c r="DG23" s="3">
        <v>-0.1017624803000427</v>
      </c>
      <c r="DH23" s="3">
        <v>0.110330900930021</v>
      </c>
      <c r="DI23" s="3">
        <v>-5.6205252296467993E-2</v>
      </c>
      <c r="DJ23" s="3">
        <v>2.448905626840751E-2</v>
      </c>
      <c r="DK23" s="3">
        <v>-0.1122661818921404</v>
      </c>
      <c r="DL23" s="3">
        <v>-2.589366717500827E-2</v>
      </c>
      <c r="DM23" s="3">
        <v>-1.027107381339022E-2</v>
      </c>
      <c r="DN23" s="3">
        <v>-4.5555740236822809E-2</v>
      </c>
      <c r="DO23" s="3">
        <v>-0.1058369914786199</v>
      </c>
      <c r="DP23" s="3">
        <v>1.332489542255485E-2</v>
      </c>
      <c r="DQ23" s="3">
        <v>-7.0547502828398903E-2</v>
      </c>
      <c r="DR23" s="3">
        <v>3.2644985915009042E-2</v>
      </c>
      <c r="DS23" s="3">
        <v>4.9818128162607757E-2</v>
      </c>
      <c r="DT23" s="3">
        <v>-0.1193132895827672</v>
      </c>
      <c r="DU23" s="3">
        <v>-6.6495670406304719E-2</v>
      </c>
      <c r="DV23" s="3">
        <v>-9.7869466725724691E-2</v>
      </c>
      <c r="DW23" s="3">
        <v>9.5618067792869188E-2</v>
      </c>
      <c r="DX23" s="3">
        <v>8.9410705194475693E-2</v>
      </c>
      <c r="DY23" s="3">
        <v>4.2532151256976188E-2</v>
      </c>
      <c r="DZ23" s="3">
        <v>-0.26156026573398228</v>
      </c>
      <c r="EA23" s="3">
        <v>6.8590680185682332E-2</v>
      </c>
      <c r="EB23" s="3">
        <v>4.0493051208704112E-2</v>
      </c>
      <c r="EC23" s="3">
        <v>8.682662478383063E-2</v>
      </c>
      <c r="ED23" s="3">
        <v>-0.14136142578350411</v>
      </c>
      <c r="EE23" s="3">
        <v>-4.6045452758289543E-2</v>
      </c>
      <c r="EF23" s="3">
        <v>6.4187810778912696E-2</v>
      </c>
      <c r="EG23" s="3">
        <v>0.10855369608120879</v>
      </c>
      <c r="EH23" s="3">
        <v>5.6318941170505288E-2</v>
      </c>
      <c r="EI23" s="3">
        <v>-4.1339182548013886E-3</v>
      </c>
      <c r="EJ23" s="3">
        <v>0.13168129847830901</v>
      </c>
      <c r="EK23" s="3">
        <v>2.950855110052801E-2</v>
      </c>
      <c r="EL23" s="3">
        <v>-7.7036707501015711E-2</v>
      </c>
      <c r="EM23">
        <f t="shared" si="11"/>
        <v>-1.1612702480397717E-2</v>
      </c>
      <c r="EN23">
        <f t="shared" si="12"/>
        <v>0.16335863142724202</v>
      </c>
      <c r="EO23">
        <f t="shared" si="13"/>
        <v>-7.1087168023747038E-2</v>
      </c>
    </row>
    <row r="24" spans="1:145" x14ac:dyDescent="0.3">
      <c r="A24" s="18">
        <v>1051</v>
      </c>
      <c r="B24" s="18">
        <f t="shared" si="10"/>
        <v>1</v>
      </c>
      <c r="C24" s="3">
        <v>-0.39937503065302549</v>
      </c>
      <c r="D24" s="3">
        <v>-0.22386757244764949</v>
      </c>
      <c r="E24" s="3">
        <v>2.2169526388432521E-2</v>
      </c>
      <c r="F24" s="3">
        <v>3.5836050930639927E-2</v>
      </c>
      <c r="G24" s="3">
        <v>-0.1570479975762373</v>
      </c>
      <c r="H24" s="3">
        <v>3.5855796654956661E-2</v>
      </c>
      <c r="I24" s="3">
        <v>0.2403862447709158</v>
      </c>
      <c r="J24" s="3">
        <v>-9.1363264492087051E-2</v>
      </c>
      <c r="K24" s="3">
        <v>0.13454225747644219</v>
      </c>
      <c r="L24" s="3">
        <v>-0.1668120549312801</v>
      </c>
      <c r="M24" s="3">
        <v>-0.18677327323892709</v>
      </c>
      <c r="N24" s="3">
        <v>-1.6865642838177739</v>
      </c>
      <c r="O24" s="3">
        <v>-9.6077155901750436E-3</v>
      </c>
      <c r="P24" s="3">
        <v>-4.7026569465947438E-2</v>
      </c>
      <c r="Q24" s="3">
        <v>6.465307523586919E-2</v>
      </c>
      <c r="R24" s="3">
        <v>-0.14756758502637829</v>
      </c>
      <c r="S24" s="3">
        <v>-2.7971827845272731E-2</v>
      </c>
      <c r="T24" s="3">
        <v>8.8277039732943041E-2</v>
      </c>
      <c r="U24" s="3">
        <v>0.28585628998140078</v>
      </c>
      <c r="V24" s="3">
        <v>0.12857728078726391</v>
      </c>
      <c r="W24" s="3">
        <v>-0.57119140334532303</v>
      </c>
      <c r="X24" s="3">
        <v>0.18491846984995239</v>
      </c>
      <c r="Y24" s="3">
        <v>1.9842588134563421E-2</v>
      </c>
      <c r="Z24" s="3">
        <v>-2.439454874957615E-2</v>
      </c>
      <c r="AA24" s="3">
        <v>-9.4359582813794432E-2</v>
      </c>
      <c r="AB24" s="3">
        <v>-0.18425142266877839</v>
      </c>
      <c r="AC24" s="3">
        <v>8.2874660387605159E-3</v>
      </c>
      <c r="AD24" s="3">
        <v>-0.1003315196688388</v>
      </c>
      <c r="AE24" s="3">
        <v>-9.5238271723366297E-2</v>
      </c>
      <c r="AF24" s="3">
        <v>0.16570377964654229</v>
      </c>
      <c r="AG24" s="3">
        <v>-0.24089489583983209</v>
      </c>
      <c r="AH24" s="3">
        <v>-0.1304860999126371</v>
      </c>
      <c r="AI24" s="3">
        <v>-1.112199618336919E-2</v>
      </c>
      <c r="AJ24" s="3">
        <v>8.5435201790864113E-2</v>
      </c>
      <c r="AK24" s="3">
        <v>-5.6154967710780462E-2</v>
      </c>
      <c r="AL24" s="3">
        <v>0.1031784257218815</v>
      </c>
      <c r="AM24" s="3">
        <v>-4.7533610695957608E-3</v>
      </c>
      <c r="AN24" s="3">
        <v>-0.29799779319444542</v>
      </c>
      <c r="AO24" s="3">
        <v>-8.2691715845113409E-2</v>
      </c>
      <c r="AP24" s="3">
        <v>-7.7854171805328387E-2</v>
      </c>
      <c r="AQ24" s="3">
        <v>-2.9598394824722121E-2</v>
      </c>
      <c r="AR24" s="3">
        <v>8.9151319535340695E-2</v>
      </c>
      <c r="AS24" s="3">
        <v>9.6403556218121134E-2</v>
      </c>
      <c r="AT24" s="3">
        <v>7.0189562161465241E-2</v>
      </c>
      <c r="AU24" s="3">
        <v>0.41642956542596737</v>
      </c>
      <c r="AV24" s="3">
        <v>-3.3731476248797382E-2</v>
      </c>
      <c r="AW24" s="3">
        <v>0.49175138076464031</v>
      </c>
      <c r="AX24" s="3">
        <v>-9.3831261736678065E-2</v>
      </c>
      <c r="AY24" s="3">
        <v>-0.26743574468647008</v>
      </c>
      <c r="AZ24" s="3">
        <v>0.11862372507117649</v>
      </c>
      <c r="BA24" s="3">
        <v>2.0930804212408009E-2</v>
      </c>
      <c r="BB24" s="3">
        <v>-0.1190741914200034</v>
      </c>
      <c r="BC24" s="3">
        <v>9.5674963059490373E-2</v>
      </c>
      <c r="BD24" s="3">
        <v>1.8631034086863729E-2</v>
      </c>
      <c r="BE24" s="3">
        <v>-0.1260153625223486</v>
      </c>
      <c r="BF24" s="3">
        <v>-0.1010365859150868</v>
      </c>
      <c r="BG24" s="3">
        <v>-4.4491723409217587E-2</v>
      </c>
      <c r="BH24" s="3">
        <v>-4.3834044990246637E-2</v>
      </c>
      <c r="BI24" s="3">
        <v>0.1121502719699351</v>
      </c>
      <c r="BJ24" s="3">
        <v>-6.4159661500533344E-2</v>
      </c>
      <c r="BK24" s="3">
        <v>5.8040775327281663E-2</v>
      </c>
      <c r="BL24" s="3">
        <v>0.108810315262761</v>
      </c>
      <c r="BM24" s="3">
        <v>0.14368164890390109</v>
      </c>
      <c r="BN24" s="3">
        <v>5.7949541356830857E-2</v>
      </c>
      <c r="BO24" s="3">
        <v>0.14784527134894471</v>
      </c>
      <c r="BP24" s="3">
        <v>-1.4781072663421161E-3</v>
      </c>
      <c r="BQ24" s="3">
        <v>-0.1772780327046794</v>
      </c>
      <c r="BR24" s="3">
        <v>9.4022822185281296E-2</v>
      </c>
      <c r="BS24" s="3">
        <v>-4.7178303502620117E-2</v>
      </c>
      <c r="BT24" s="3">
        <v>0.19177401626765361</v>
      </c>
      <c r="BU24" s="3">
        <v>-8.7484923148454363E-3</v>
      </c>
      <c r="BV24" s="3">
        <v>3.3797379583290661E-2</v>
      </c>
      <c r="BW24" s="3">
        <v>1.109012070037362</v>
      </c>
      <c r="BX24" s="3">
        <v>0.24480504809538919</v>
      </c>
      <c r="BY24" s="3">
        <v>-2.0710948904457571E-2</v>
      </c>
      <c r="BZ24" s="3">
        <v>-0.69951701648056208</v>
      </c>
      <c r="CA24" s="3">
        <v>-3.1201330839880019E-2</v>
      </c>
      <c r="CB24" s="3">
        <v>-0.16391839681819789</v>
      </c>
      <c r="CC24" s="3">
        <v>-0.3953543646189539</v>
      </c>
      <c r="CD24" s="3">
        <v>3.9616780180727312E-2</v>
      </c>
      <c r="CE24" s="3">
        <v>5.9915623701668492E-3</v>
      </c>
      <c r="CF24" s="3">
        <v>-6.7739908998654596E-4</v>
      </c>
      <c r="CG24" s="3">
        <v>-0.1097629878689418</v>
      </c>
      <c r="CH24" s="3">
        <v>-0.10090284711822679</v>
      </c>
      <c r="CI24" s="3">
        <v>-3.291185657723085E-2</v>
      </c>
      <c r="CJ24" s="3">
        <v>6.1428062690227193E-2</v>
      </c>
      <c r="CK24" s="3">
        <v>0.3270844443283818</v>
      </c>
      <c r="CL24" s="3">
        <v>-3.9863016708614751E-4</v>
      </c>
      <c r="CM24" s="3">
        <v>-8.6846154400410408E-2</v>
      </c>
      <c r="CN24" s="3">
        <v>0.1085623812953212</v>
      </c>
      <c r="CO24" s="3">
        <v>-0.71572900872536049</v>
      </c>
      <c r="CP24" s="3">
        <v>-7.1438857215211884E-2</v>
      </c>
      <c r="CQ24" s="3">
        <v>4.2753650565274838E-2</v>
      </c>
      <c r="CR24" s="3">
        <v>-2.2126279793981289E-2</v>
      </c>
      <c r="CS24" s="3">
        <v>3.9047693100590801E-2</v>
      </c>
      <c r="CT24" s="3">
        <v>-1.9405409694452522E-2</v>
      </c>
      <c r="CU24" s="3">
        <v>-0.14645564360545801</v>
      </c>
      <c r="CV24" s="3">
        <v>0.1031063212404506</v>
      </c>
      <c r="CW24" s="3">
        <v>9.1460430875503086E-3</v>
      </c>
      <c r="CX24" s="3">
        <v>-7.5681145539315542E-2</v>
      </c>
      <c r="CY24" s="3">
        <v>0.2387080678553212</v>
      </c>
      <c r="CZ24" s="3">
        <v>0.39964872278672459</v>
      </c>
      <c r="DA24" s="3">
        <v>3.0950246041101099E-2</v>
      </c>
      <c r="DB24" s="3">
        <v>-6.1885586010598528E-2</v>
      </c>
      <c r="DC24" s="3">
        <v>0.17759040607149931</v>
      </c>
      <c r="DD24" s="3">
        <v>-2.3668650102661591E-3</v>
      </c>
      <c r="DE24" s="3">
        <v>-4.7996828150036107E-2</v>
      </c>
      <c r="DF24" s="3">
        <v>0.2805157174161016</v>
      </c>
      <c r="DG24" s="3">
        <v>-0.13198890498278401</v>
      </c>
      <c r="DH24" s="3">
        <v>0.1166081774832592</v>
      </c>
      <c r="DI24" s="3">
        <v>-0.1347629567973001</v>
      </c>
      <c r="DJ24" s="3">
        <v>3.2597200199561069E-2</v>
      </c>
      <c r="DK24" s="3">
        <v>0.16445858746947031</v>
      </c>
      <c r="DL24" s="3">
        <v>-2.4804225961769271E-2</v>
      </c>
      <c r="DM24" s="3">
        <v>-8.1409543633570974E-2</v>
      </c>
      <c r="DN24" s="3">
        <v>-1.8083128207080131E-2</v>
      </c>
      <c r="DO24" s="3">
        <v>-0.1572878203884783</v>
      </c>
      <c r="DP24" s="3">
        <v>-0.11398584048932579</v>
      </c>
      <c r="DQ24" s="3">
        <v>-9.0414405022325159E-2</v>
      </c>
      <c r="DR24" s="3">
        <v>5.2291080836877953E-2</v>
      </c>
      <c r="DS24" s="3">
        <v>-6.1187578774886911E-2</v>
      </c>
      <c r="DT24" s="3">
        <v>-9.8982358392772057E-2</v>
      </c>
      <c r="DU24" s="3">
        <v>-0.1237436918909495</v>
      </c>
      <c r="DV24" s="3">
        <v>9.8046834802625854E-2</v>
      </c>
      <c r="DW24" s="3">
        <v>4.3130543547863262E-2</v>
      </c>
      <c r="DX24" s="3">
        <v>-0.14434753171276421</v>
      </c>
      <c r="DY24" s="3">
        <v>2.1341560161376099E-2</v>
      </c>
      <c r="DZ24" s="3">
        <v>-0.12806922056758191</v>
      </c>
      <c r="EA24" s="3">
        <v>7.71637978052091E-2</v>
      </c>
      <c r="EB24" s="3">
        <v>-4.955153962211245E-2</v>
      </c>
      <c r="EC24" s="3">
        <v>3.6069953857201749E-2</v>
      </c>
      <c r="ED24" s="3">
        <v>-7.1341141466125829E-2</v>
      </c>
      <c r="EE24" s="3">
        <v>-0.1115666820172357</v>
      </c>
      <c r="EF24" s="3">
        <v>0.2026563324852266</v>
      </c>
      <c r="EG24" s="3">
        <v>0.15911698502976421</v>
      </c>
      <c r="EH24" s="3">
        <v>2.161830676670394E-2</v>
      </c>
      <c r="EI24" s="3">
        <v>-3.3297682607584957E-2</v>
      </c>
      <c r="EJ24" s="3">
        <v>0.13814976332705689</v>
      </c>
      <c r="EK24" s="3">
        <v>1.9492080455529599E-2</v>
      </c>
      <c r="EL24" s="3">
        <v>-0.1776039124122257</v>
      </c>
      <c r="EM24">
        <f t="shared" si="11"/>
        <v>-1.7580144021149387E-2</v>
      </c>
      <c r="EN24">
        <f t="shared" si="12"/>
        <v>0.24118600325990155</v>
      </c>
      <c r="EO24">
        <f t="shared" si="13"/>
        <v>-7.2890399042787976E-2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7" t="s">
        <v>157</v>
      </c>
      <c r="C27" s="4" t="s">
        <v>158</v>
      </c>
      <c r="D27" s="4" t="s">
        <v>158</v>
      </c>
      <c r="E27" s="4" t="s">
        <v>158</v>
      </c>
      <c r="F27" s="4" t="s">
        <v>158</v>
      </c>
      <c r="G27" s="4" t="s">
        <v>158</v>
      </c>
      <c r="H27" s="4" t="s">
        <v>159</v>
      </c>
      <c r="I27" s="4" t="s">
        <v>160</v>
      </c>
      <c r="J27" s="4" t="s">
        <v>161</v>
      </c>
      <c r="K27" s="4" t="s">
        <v>161</v>
      </c>
      <c r="L27" s="4" t="s">
        <v>162</v>
      </c>
      <c r="M27" s="4" t="s">
        <v>159</v>
      </c>
      <c r="N27" s="4" t="s">
        <v>163</v>
      </c>
      <c r="O27" s="4" t="s">
        <v>162</v>
      </c>
      <c r="P27" s="4" t="s">
        <v>164</v>
      </c>
      <c r="Q27" s="4" t="s">
        <v>164</v>
      </c>
      <c r="R27" s="4" t="s">
        <v>164</v>
      </c>
      <c r="S27" s="4" t="s">
        <v>159</v>
      </c>
      <c r="T27" s="4" t="s">
        <v>165</v>
      </c>
      <c r="U27" s="4" t="s">
        <v>164</v>
      </c>
      <c r="V27" s="4" t="s">
        <v>166</v>
      </c>
      <c r="W27" s="4" t="s">
        <v>167</v>
      </c>
      <c r="X27" s="4" t="s">
        <v>166</v>
      </c>
      <c r="Y27" s="4" t="s">
        <v>164</v>
      </c>
      <c r="Z27" s="4" t="s">
        <v>164</v>
      </c>
      <c r="AA27" s="4" t="s">
        <v>164</v>
      </c>
      <c r="AB27" s="4" t="s">
        <v>164</v>
      </c>
      <c r="AC27" s="4" t="s">
        <v>164</v>
      </c>
      <c r="AD27" s="4" t="s">
        <v>168</v>
      </c>
      <c r="AE27" s="4" t="s">
        <v>169</v>
      </c>
      <c r="AF27" s="4" t="s">
        <v>164</v>
      </c>
      <c r="AG27" s="4" t="s">
        <v>170</v>
      </c>
      <c r="AH27" s="4" t="s">
        <v>164</v>
      </c>
      <c r="AI27" s="4" t="s">
        <v>171</v>
      </c>
      <c r="AJ27" s="4" t="s">
        <v>164</v>
      </c>
      <c r="AK27" s="4" t="s">
        <v>171</v>
      </c>
      <c r="AL27" s="4" t="s">
        <v>164</v>
      </c>
      <c r="AM27" s="4" t="s">
        <v>171</v>
      </c>
      <c r="AN27" s="4" t="s">
        <v>171</v>
      </c>
      <c r="AO27" s="4" t="s">
        <v>164</v>
      </c>
      <c r="AP27" s="4" t="s">
        <v>171</v>
      </c>
      <c r="AQ27" s="4" t="s">
        <v>171</v>
      </c>
      <c r="AR27" s="4" t="s">
        <v>171</v>
      </c>
      <c r="AS27" s="4" t="s">
        <v>169</v>
      </c>
      <c r="AT27" s="4" t="s">
        <v>164</v>
      </c>
      <c r="AU27" s="4" t="s">
        <v>171</v>
      </c>
      <c r="AV27" s="4" t="s">
        <v>172</v>
      </c>
      <c r="AW27" s="4" t="s">
        <v>164</v>
      </c>
      <c r="AX27" s="4" t="s">
        <v>172</v>
      </c>
      <c r="AY27" s="4" t="s">
        <v>165</v>
      </c>
      <c r="AZ27" s="4" t="s">
        <v>164</v>
      </c>
      <c r="BA27" s="4" t="s">
        <v>171</v>
      </c>
      <c r="BB27" s="4" t="s">
        <v>171</v>
      </c>
      <c r="BC27" s="4" t="s">
        <v>171</v>
      </c>
      <c r="BD27" s="4" t="s">
        <v>164</v>
      </c>
      <c r="BE27" s="4" t="s">
        <v>173</v>
      </c>
      <c r="BF27" s="4" t="s">
        <v>174</v>
      </c>
      <c r="BG27" s="4" t="s">
        <v>171</v>
      </c>
      <c r="BH27" s="4" t="s">
        <v>175</v>
      </c>
      <c r="BI27" s="4" t="s">
        <v>176</v>
      </c>
      <c r="BJ27" s="4" t="s">
        <v>171</v>
      </c>
      <c r="BK27" s="4" t="s">
        <v>175</v>
      </c>
      <c r="BL27" s="4" t="s">
        <v>171</v>
      </c>
      <c r="BM27" s="4" t="s">
        <v>171</v>
      </c>
      <c r="BN27" s="4" t="s">
        <v>171</v>
      </c>
      <c r="BO27" s="4" t="s">
        <v>171</v>
      </c>
      <c r="BP27" s="4" t="s">
        <v>171</v>
      </c>
      <c r="BQ27" s="4" t="s">
        <v>171</v>
      </c>
      <c r="BR27" s="4" t="s">
        <v>171</v>
      </c>
      <c r="BS27" s="4" t="s">
        <v>171</v>
      </c>
      <c r="BT27" s="4" t="s">
        <v>171</v>
      </c>
      <c r="BU27" s="4" t="s">
        <v>175</v>
      </c>
      <c r="BV27" s="4" t="s">
        <v>175</v>
      </c>
      <c r="BW27" s="4" t="s">
        <v>175</v>
      </c>
      <c r="BX27" s="4" t="s">
        <v>171</v>
      </c>
      <c r="BY27" s="4" t="s">
        <v>171</v>
      </c>
      <c r="BZ27" s="4" t="s">
        <v>175</v>
      </c>
      <c r="CA27" s="4" t="s">
        <v>177</v>
      </c>
      <c r="CB27" s="4" t="s">
        <v>178</v>
      </c>
      <c r="CC27" s="4" t="s">
        <v>172</v>
      </c>
      <c r="CD27" s="4" t="s">
        <v>179</v>
      </c>
      <c r="CE27" s="4" t="s">
        <v>171</v>
      </c>
      <c r="CF27" s="4" t="s">
        <v>171</v>
      </c>
      <c r="CG27" s="4" t="s">
        <v>179</v>
      </c>
      <c r="CH27" s="4" t="s">
        <v>180</v>
      </c>
      <c r="CI27" s="4" t="s">
        <v>181</v>
      </c>
      <c r="CJ27" s="4" t="s">
        <v>180</v>
      </c>
      <c r="CK27" s="4" t="s">
        <v>179</v>
      </c>
      <c r="CL27" s="4" t="s">
        <v>180</v>
      </c>
      <c r="CM27" s="4" t="s">
        <v>180</v>
      </c>
      <c r="CN27" s="4" t="s">
        <v>180</v>
      </c>
      <c r="CO27" s="4" t="s">
        <v>182</v>
      </c>
      <c r="CP27" s="4" t="s">
        <v>178</v>
      </c>
      <c r="CQ27" s="4" t="s">
        <v>180</v>
      </c>
      <c r="CR27" s="4" t="s">
        <v>179</v>
      </c>
      <c r="CS27" s="4" t="s">
        <v>182</v>
      </c>
      <c r="CT27" s="4" t="s">
        <v>179</v>
      </c>
      <c r="CU27" s="4" t="s">
        <v>178</v>
      </c>
      <c r="CV27" s="4" t="s">
        <v>178</v>
      </c>
      <c r="CW27" s="4" t="s">
        <v>178</v>
      </c>
      <c r="CX27" s="4" t="s">
        <v>183</v>
      </c>
      <c r="CY27" s="4" t="s">
        <v>171</v>
      </c>
      <c r="CZ27" s="4" t="s">
        <v>184</v>
      </c>
      <c r="DA27" s="4" t="s">
        <v>183</v>
      </c>
      <c r="DB27" s="4" t="s">
        <v>185</v>
      </c>
      <c r="DC27" s="4" t="s">
        <v>171</v>
      </c>
      <c r="DD27" s="4" t="s">
        <v>183</v>
      </c>
      <c r="DE27" s="4" t="s">
        <v>184</v>
      </c>
      <c r="DF27" s="4" t="s">
        <v>171</v>
      </c>
      <c r="DG27" s="4" t="s">
        <v>185</v>
      </c>
      <c r="DH27" s="4" t="s">
        <v>171</v>
      </c>
      <c r="DI27" s="4" t="s">
        <v>184</v>
      </c>
      <c r="DJ27" s="4" t="s">
        <v>171</v>
      </c>
      <c r="DK27" s="4" t="s">
        <v>171</v>
      </c>
      <c r="DL27" s="4" t="s">
        <v>171</v>
      </c>
      <c r="DM27" s="4" t="s">
        <v>186</v>
      </c>
      <c r="DN27" s="4" t="s">
        <v>187</v>
      </c>
      <c r="DO27" s="4" t="s">
        <v>184</v>
      </c>
      <c r="DP27" s="4" t="s">
        <v>188</v>
      </c>
      <c r="DQ27" s="4" t="s">
        <v>187</v>
      </c>
      <c r="DR27" s="4" t="s">
        <v>188</v>
      </c>
      <c r="DS27" s="4" t="s">
        <v>180</v>
      </c>
      <c r="DT27" s="4" t="s">
        <v>180</v>
      </c>
      <c r="DU27" s="4" t="s">
        <v>180</v>
      </c>
      <c r="DV27" s="4" t="s">
        <v>184</v>
      </c>
      <c r="DW27" s="4" t="s">
        <v>189</v>
      </c>
      <c r="DX27" s="4" t="s">
        <v>179</v>
      </c>
      <c r="DY27" s="4" t="s">
        <v>184</v>
      </c>
      <c r="DZ27" s="4" t="s">
        <v>189</v>
      </c>
      <c r="EA27" s="4" t="s">
        <v>189</v>
      </c>
      <c r="EB27" s="4" t="s">
        <v>189</v>
      </c>
      <c r="EC27" s="4" t="s">
        <v>184</v>
      </c>
      <c r="ED27" s="4" t="s">
        <v>189</v>
      </c>
      <c r="EE27" s="4" t="s">
        <v>184</v>
      </c>
      <c r="EF27" s="4" t="s">
        <v>185</v>
      </c>
      <c r="EG27" s="4" t="s">
        <v>190</v>
      </c>
      <c r="EH27" s="4" t="s">
        <v>190</v>
      </c>
      <c r="EI27" s="4" t="s">
        <v>184</v>
      </c>
      <c r="EJ27" s="4" t="s">
        <v>184</v>
      </c>
      <c r="EK27" s="4" t="s">
        <v>189</v>
      </c>
      <c r="EL27" s="4" t="s">
        <v>190</v>
      </c>
      <c r="EM27" t="s">
        <v>191</v>
      </c>
    </row>
    <row r="28" spans="1:145" x14ac:dyDescent="0.3">
      <c r="B28" s="17" t="s">
        <v>192</v>
      </c>
      <c r="C28" s="4" t="s">
        <v>193</v>
      </c>
      <c r="D28" s="4" t="s">
        <v>193</v>
      </c>
      <c r="E28" s="4" t="s">
        <v>193</v>
      </c>
      <c r="F28" s="4" t="s">
        <v>193</v>
      </c>
      <c r="G28" s="4" t="s">
        <v>193</v>
      </c>
      <c r="H28" s="4" t="s">
        <v>194</v>
      </c>
      <c r="I28" s="4" t="s">
        <v>195</v>
      </c>
      <c r="J28" s="4" t="s">
        <v>196</v>
      </c>
      <c r="K28" s="4" t="s">
        <v>196</v>
      </c>
      <c r="L28" s="4" t="s">
        <v>197</v>
      </c>
      <c r="M28" s="4" t="s">
        <v>194</v>
      </c>
      <c r="N28" s="4" t="s">
        <v>198</v>
      </c>
      <c r="O28" s="4" t="s">
        <v>197</v>
      </c>
      <c r="P28" s="4" t="s">
        <v>199</v>
      </c>
      <c r="Q28" s="4" t="s">
        <v>199</v>
      </c>
      <c r="R28" s="4" t="s">
        <v>199</v>
      </c>
      <c r="S28" s="4" t="s">
        <v>194</v>
      </c>
      <c r="T28" s="4" t="s">
        <v>200</v>
      </c>
      <c r="U28" s="4" t="s">
        <v>199</v>
      </c>
      <c r="V28" s="4" t="s">
        <v>201</v>
      </c>
      <c r="W28" s="4" t="s">
        <v>202</v>
      </c>
      <c r="X28" s="4" t="s">
        <v>201</v>
      </c>
      <c r="Y28" s="4" t="s">
        <v>199</v>
      </c>
      <c r="Z28" s="4" t="s">
        <v>199</v>
      </c>
      <c r="AA28" s="4" t="s">
        <v>199</v>
      </c>
      <c r="AB28" s="4" t="s">
        <v>199</v>
      </c>
      <c r="AC28" s="4" t="s">
        <v>199</v>
      </c>
      <c r="AD28" s="4" t="s">
        <v>203</v>
      </c>
      <c r="AE28" s="4" t="s">
        <v>204</v>
      </c>
      <c r="AF28" s="4" t="s">
        <v>199</v>
      </c>
      <c r="AG28" s="4" t="s">
        <v>205</v>
      </c>
      <c r="AH28" s="4" t="s">
        <v>199</v>
      </c>
      <c r="AI28" s="4" t="s">
        <v>206</v>
      </c>
      <c r="AJ28" s="4" t="s">
        <v>199</v>
      </c>
      <c r="AK28" s="4" t="s">
        <v>206</v>
      </c>
      <c r="AL28" s="4" t="s">
        <v>199</v>
      </c>
      <c r="AM28" s="4" t="s">
        <v>206</v>
      </c>
      <c r="AN28" s="4" t="s">
        <v>206</v>
      </c>
      <c r="AO28" s="4" t="s">
        <v>199</v>
      </c>
      <c r="AP28" s="4" t="s">
        <v>206</v>
      </c>
      <c r="AQ28" s="4" t="s">
        <v>206</v>
      </c>
      <c r="AR28" s="4" t="s">
        <v>206</v>
      </c>
      <c r="AS28" s="4" t="s">
        <v>204</v>
      </c>
      <c r="AT28" s="4" t="s">
        <v>199</v>
      </c>
      <c r="AU28" s="4" t="s">
        <v>206</v>
      </c>
      <c r="AV28" s="4" t="s">
        <v>207</v>
      </c>
      <c r="AW28" s="4" t="s">
        <v>199</v>
      </c>
      <c r="AX28" s="4" t="s">
        <v>207</v>
      </c>
      <c r="AY28" s="4" t="s">
        <v>200</v>
      </c>
      <c r="AZ28" s="4" t="s">
        <v>199</v>
      </c>
      <c r="BA28" s="4" t="s">
        <v>206</v>
      </c>
      <c r="BB28" s="4" t="s">
        <v>206</v>
      </c>
      <c r="BC28" s="4" t="s">
        <v>206</v>
      </c>
      <c r="BD28" s="4" t="s">
        <v>199</v>
      </c>
      <c r="BE28" s="4" t="s">
        <v>208</v>
      </c>
      <c r="BF28" s="4" t="s">
        <v>209</v>
      </c>
      <c r="BG28" s="4" t="s">
        <v>206</v>
      </c>
      <c r="BH28" s="4" t="s">
        <v>210</v>
      </c>
      <c r="BI28" s="4" t="s">
        <v>211</v>
      </c>
      <c r="BJ28" s="4" t="s">
        <v>206</v>
      </c>
      <c r="BK28" s="4" t="s">
        <v>210</v>
      </c>
      <c r="BL28" s="4" t="s">
        <v>206</v>
      </c>
      <c r="BM28" s="4" t="s">
        <v>206</v>
      </c>
      <c r="BN28" s="4" t="s">
        <v>206</v>
      </c>
      <c r="BO28" s="4" t="s">
        <v>206</v>
      </c>
      <c r="BP28" s="4" t="s">
        <v>206</v>
      </c>
      <c r="BQ28" s="4" t="s">
        <v>206</v>
      </c>
      <c r="BR28" s="4" t="s">
        <v>206</v>
      </c>
      <c r="BS28" s="4" t="s">
        <v>206</v>
      </c>
      <c r="BT28" s="4" t="s">
        <v>206</v>
      </c>
      <c r="BU28" s="4" t="s">
        <v>210</v>
      </c>
      <c r="BV28" s="4" t="s">
        <v>210</v>
      </c>
      <c r="BW28" s="4" t="s">
        <v>210</v>
      </c>
      <c r="BX28" s="4" t="s">
        <v>206</v>
      </c>
      <c r="BY28" s="4" t="s">
        <v>206</v>
      </c>
      <c r="BZ28" s="4" t="s">
        <v>210</v>
      </c>
      <c r="CA28" s="4" t="s">
        <v>212</v>
      </c>
      <c r="CB28" s="4" t="s">
        <v>213</v>
      </c>
      <c r="CC28" s="4" t="s">
        <v>207</v>
      </c>
      <c r="CD28" s="4" t="s">
        <v>214</v>
      </c>
      <c r="CE28" s="4" t="s">
        <v>206</v>
      </c>
      <c r="CF28" s="4" t="s">
        <v>206</v>
      </c>
      <c r="CG28" s="4" t="s">
        <v>214</v>
      </c>
      <c r="CH28" s="4" t="s">
        <v>215</v>
      </c>
      <c r="CI28" s="4" t="s">
        <v>216</v>
      </c>
      <c r="CJ28" s="4" t="s">
        <v>215</v>
      </c>
      <c r="CK28" s="4" t="s">
        <v>214</v>
      </c>
      <c r="CL28" s="4" t="s">
        <v>215</v>
      </c>
      <c r="CM28" s="4" t="s">
        <v>215</v>
      </c>
      <c r="CN28" s="4" t="s">
        <v>215</v>
      </c>
      <c r="CO28" s="4" t="s">
        <v>217</v>
      </c>
      <c r="CP28" s="4" t="s">
        <v>213</v>
      </c>
      <c r="CQ28" s="4" t="s">
        <v>215</v>
      </c>
      <c r="CR28" s="4" t="s">
        <v>214</v>
      </c>
      <c r="CS28" s="4" t="s">
        <v>217</v>
      </c>
      <c r="CT28" s="4" t="s">
        <v>214</v>
      </c>
      <c r="CU28" s="4" t="s">
        <v>213</v>
      </c>
      <c r="CV28" s="4" t="s">
        <v>213</v>
      </c>
      <c r="CW28" s="4" t="s">
        <v>213</v>
      </c>
      <c r="CX28" s="4" t="s">
        <v>218</v>
      </c>
      <c r="CY28" s="4" t="s">
        <v>206</v>
      </c>
      <c r="CZ28" s="4" t="s">
        <v>219</v>
      </c>
      <c r="DA28" s="4" t="s">
        <v>218</v>
      </c>
      <c r="DB28" s="4" t="s">
        <v>220</v>
      </c>
      <c r="DC28" s="4" t="s">
        <v>206</v>
      </c>
      <c r="DD28" s="4" t="s">
        <v>218</v>
      </c>
      <c r="DE28" s="4" t="s">
        <v>219</v>
      </c>
      <c r="DF28" s="4" t="s">
        <v>206</v>
      </c>
      <c r="DG28" s="4" t="s">
        <v>220</v>
      </c>
      <c r="DH28" s="4" t="s">
        <v>206</v>
      </c>
      <c r="DI28" s="4" t="s">
        <v>219</v>
      </c>
      <c r="DJ28" s="4" t="s">
        <v>206</v>
      </c>
      <c r="DK28" s="4" t="s">
        <v>206</v>
      </c>
      <c r="DL28" s="4" t="s">
        <v>206</v>
      </c>
      <c r="DM28" s="4" t="s">
        <v>221</v>
      </c>
      <c r="DN28" s="4" t="s">
        <v>222</v>
      </c>
      <c r="DO28" s="4" t="s">
        <v>219</v>
      </c>
      <c r="DP28" s="4" t="s">
        <v>223</v>
      </c>
      <c r="DQ28" s="4" t="s">
        <v>222</v>
      </c>
      <c r="DR28" s="4" t="s">
        <v>223</v>
      </c>
      <c r="DS28" s="4" t="s">
        <v>215</v>
      </c>
      <c r="DT28" s="4" t="s">
        <v>215</v>
      </c>
      <c r="DU28" s="4" t="s">
        <v>215</v>
      </c>
      <c r="DV28" s="4" t="s">
        <v>219</v>
      </c>
      <c r="DW28" s="4" t="s">
        <v>224</v>
      </c>
      <c r="DX28" s="4" t="s">
        <v>214</v>
      </c>
      <c r="DY28" s="4" t="s">
        <v>219</v>
      </c>
      <c r="DZ28" s="4" t="s">
        <v>224</v>
      </c>
      <c r="EA28" s="4" t="s">
        <v>224</v>
      </c>
      <c r="EB28" s="4" t="s">
        <v>224</v>
      </c>
      <c r="EC28" s="4" t="s">
        <v>219</v>
      </c>
      <c r="ED28" s="4" t="s">
        <v>224</v>
      </c>
      <c r="EE28" s="4" t="s">
        <v>219</v>
      </c>
      <c r="EF28" s="4" t="s">
        <v>220</v>
      </c>
      <c r="EG28" s="4" t="s">
        <v>225</v>
      </c>
      <c r="EH28" s="4" t="s">
        <v>225</v>
      </c>
      <c r="EI28" s="4" t="s">
        <v>219</v>
      </c>
      <c r="EJ28" s="4" t="s">
        <v>219</v>
      </c>
      <c r="EK28" s="4" t="s">
        <v>224</v>
      </c>
      <c r="EL28" s="4" t="s">
        <v>225</v>
      </c>
      <c r="EM28" t="s">
        <v>226</v>
      </c>
    </row>
    <row r="29" spans="1:145" x14ac:dyDescent="0.3">
      <c r="B29" s="17" t="s">
        <v>227</v>
      </c>
      <c r="C29" s="4" t="s">
        <v>228</v>
      </c>
      <c r="D29" s="4" t="s">
        <v>228</v>
      </c>
      <c r="E29" s="4" t="s">
        <v>229</v>
      </c>
      <c r="F29" s="4" t="s">
        <v>229</v>
      </c>
      <c r="G29" s="4" t="s">
        <v>228</v>
      </c>
      <c r="H29" s="4" t="s">
        <v>230</v>
      </c>
      <c r="I29" s="4" t="s">
        <v>231</v>
      </c>
      <c r="J29" s="4" t="s">
        <v>229</v>
      </c>
      <c r="K29" s="4" t="s">
        <v>229</v>
      </c>
      <c r="L29" s="4" t="s">
        <v>232</v>
      </c>
      <c r="M29" s="4" t="s">
        <v>230</v>
      </c>
      <c r="N29" s="4" t="s">
        <v>229</v>
      </c>
      <c r="O29" s="4" t="s">
        <v>233</v>
      </c>
      <c r="P29" s="4" t="s">
        <v>230</v>
      </c>
      <c r="Q29" s="4" t="s">
        <v>230</v>
      </c>
      <c r="R29" s="4" t="s">
        <v>230</v>
      </c>
      <c r="S29" s="4" t="s">
        <v>229</v>
      </c>
      <c r="T29" s="4" t="s">
        <v>233</v>
      </c>
      <c r="U29" s="4" t="s">
        <v>230</v>
      </c>
      <c r="V29" s="4" t="s">
        <v>233</v>
      </c>
      <c r="W29" s="4" t="s">
        <v>159</v>
      </c>
      <c r="X29" s="4" t="s">
        <v>159</v>
      </c>
      <c r="Y29" s="4" t="s">
        <v>230</v>
      </c>
      <c r="Z29" s="4" t="s">
        <v>230</v>
      </c>
      <c r="AA29" s="4" t="s">
        <v>230</v>
      </c>
      <c r="AB29" s="4" t="s">
        <v>230</v>
      </c>
      <c r="AC29" s="4" t="s">
        <v>230</v>
      </c>
      <c r="AD29" s="4" t="s">
        <v>169</v>
      </c>
      <c r="AE29" s="4" t="s">
        <v>229</v>
      </c>
      <c r="AF29" s="4" t="s">
        <v>230</v>
      </c>
      <c r="AG29" s="4" t="s">
        <v>234</v>
      </c>
      <c r="AH29" s="4" t="s">
        <v>230</v>
      </c>
      <c r="AI29" s="4" t="s">
        <v>229</v>
      </c>
      <c r="AJ29" s="4" t="s">
        <v>230</v>
      </c>
      <c r="AK29" s="4" t="s">
        <v>229</v>
      </c>
      <c r="AL29" s="4" t="s">
        <v>230</v>
      </c>
      <c r="AM29" s="4" t="s">
        <v>229</v>
      </c>
      <c r="AN29" s="4" t="s">
        <v>229</v>
      </c>
      <c r="AO29" s="4" t="s">
        <v>230</v>
      </c>
      <c r="AP29" s="4" t="s">
        <v>229</v>
      </c>
      <c r="AQ29" s="4" t="s">
        <v>229</v>
      </c>
      <c r="AR29" s="4" t="s">
        <v>229</v>
      </c>
      <c r="AS29" s="4" t="s">
        <v>235</v>
      </c>
      <c r="AT29" s="4" t="s">
        <v>230</v>
      </c>
      <c r="AU29" s="4" t="s">
        <v>229</v>
      </c>
      <c r="AV29" s="4" t="s">
        <v>236</v>
      </c>
      <c r="AW29" s="4" t="s">
        <v>230</v>
      </c>
      <c r="AX29" s="4" t="s">
        <v>236</v>
      </c>
      <c r="AY29" s="4" t="s">
        <v>175</v>
      </c>
      <c r="AZ29" s="4" t="s">
        <v>230</v>
      </c>
      <c r="BA29" s="4" t="s">
        <v>237</v>
      </c>
      <c r="BB29" s="4" t="s">
        <v>237</v>
      </c>
      <c r="BC29" s="4" t="s">
        <v>238</v>
      </c>
      <c r="BD29" s="4" t="s">
        <v>230</v>
      </c>
      <c r="BE29" s="4" t="s">
        <v>230</v>
      </c>
      <c r="BF29" s="4" t="s">
        <v>230</v>
      </c>
      <c r="BG29" s="4" t="s">
        <v>238</v>
      </c>
      <c r="BH29" s="4" t="s">
        <v>230</v>
      </c>
      <c r="BI29" s="4" t="s">
        <v>239</v>
      </c>
      <c r="BJ29" s="4" t="s">
        <v>238</v>
      </c>
      <c r="BK29" s="4" t="s">
        <v>230</v>
      </c>
      <c r="BL29" s="4" t="s">
        <v>240</v>
      </c>
      <c r="BM29" s="4" t="s">
        <v>241</v>
      </c>
      <c r="BN29" s="4" t="s">
        <v>240</v>
      </c>
      <c r="BO29" s="4" t="s">
        <v>240</v>
      </c>
      <c r="BP29" s="4" t="s">
        <v>240</v>
      </c>
      <c r="BQ29" s="4" t="s">
        <v>237</v>
      </c>
      <c r="BR29" s="4" t="s">
        <v>242</v>
      </c>
      <c r="BS29" s="4" t="s">
        <v>237</v>
      </c>
      <c r="BT29" s="4" t="s">
        <v>243</v>
      </c>
      <c r="BU29" s="4" t="s">
        <v>230</v>
      </c>
      <c r="BV29" s="4" t="s">
        <v>230</v>
      </c>
      <c r="BW29" s="4" t="s">
        <v>230</v>
      </c>
      <c r="BX29" s="4" t="s">
        <v>237</v>
      </c>
      <c r="BY29" s="4" t="s">
        <v>237</v>
      </c>
      <c r="BZ29" s="4" t="s">
        <v>230</v>
      </c>
      <c r="CA29" s="4" t="s">
        <v>244</v>
      </c>
      <c r="CB29" s="4" t="s">
        <v>230</v>
      </c>
      <c r="CC29" s="4" t="s">
        <v>245</v>
      </c>
      <c r="CD29" s="4" t="s">
        <v>230</v>
      </c>
      <c r="CE29" s="4" t="s">
        <v>245</v>
      </c>
      <c r="CF29" s="4" t="s">
        <v>245</v>
      </c>
      <c r="CG29" s="4" t="s">
        <v>230</v>
      </c>
      <c r="CH29" s="4" t="s">
        <v>245</v>
      </c>
      <c r="CI29" s="4" t="s">
        <v>246</v>
      </c>
      <c r="CJ29" s="4" t="s">
        <v>237</v>
      </c>
      <c r="CK29" s="4" t="s">
        <v>230</v>
      </c>
      <c r="CL29" s="4" t="s">
        <v>237</v>
      </c>
      <c r="CM29" s="4" t="s">
        <v>237</v>
      </c>
      <c r="CN29" s="4" t="s">
        <v>237</v>
      </c>
      <c r="CO29" s="4" t="s">
        <v>247</v>
      </c>
      <c r="CP29" s="4" t="s">
        <v>230</v>
      </c>
      <c r="CQ29" s="4" t="s">
        <v>237</v>
      </c>
      <c r="CR29" s="4" t="s">
        <v>230</v>
      </c>
      <c r="CS29" s="4" t="s">
        <v>247</v>
      </c>
      <c r="CT29" s="4" t="s">
        <v>230</v>
      </c>
      <c r="CU29" s="4" t="s">
        <v>230</v>
      </c>
      <c r="CV29" s="4" t="s">
        <v>230</v>
      </c>
      <c r="CW29" s="4" t="s">
        <v>230</v>
      </c>
      <c r="CX29" s="4" t="s">
        <v>230</v>
      </c>
      <c r="CY29" s="4" t="s">
        <v>238</v>
      </c>
      <c r="CZ29" s="4" t="s">
        <v>230</v>
      </c>
      <c r="DA29" s="4" t="s">
        <v>230</v>
      </c>
      <c r="DB29" s="4" t="s">
        <v>230</v>
      </c>
      <c r="DC29" s="4" t="s">
        <v>248</v>
      </c>
      <c r="DD29" s="4" t="s">
        <v>230</v>
      </c>
      <c r="DE29" s="4" t="s">
        <v>230</v>
      </c>
      <c r="DF29" s="4" t="s">
        <v>230</v>
      </c>
      <c r="DG29" s="4" t="s">
        <v>230</v>
      </c>
      <c r="DH29" s="4" t="s">
        <v>237</v>
      </c>
      <c r="DI29" s="4" t="s">
        <v>230</v>
      </c>
      <c r="DJ29" s="4" t="s">
        <v>249</v>
      </c>
      <c r="DK29" s="4" t="s">
        <v>237</v>
      </c>
      <c r="DL29" s="4" t="s">
        <v>245</v>
      </c>
      <c r="DM29" s="4" t="s">
        <v>170</v>
      </c>
      <c r="DN29" s="4" t="s">
        <v>250</v>
      </c>
      <c r="DO29" s="4" t="s">
        <v>230</v>
      </c>
      <c r="DP29" s="4" t="s">
        <v>230</v>
      </c>
      <c r="DQ29" s="4" t="s">
        <v>238</v>
      </c>
      <c r="DR29" s="4" t="s">
        <v>230</v>
      </c>
      <c r="DS29" s="4" t="s">
        <v>245</v>
      </c>
      <c r="DT29" s="4" t="s">
        <v>245</v>
      </c>
      <c r="DU29" s="4" t="s">
        <v>245</v>
      </c>
      <c r="DV29" s="4" t="s">
        <v>230</v>
      </c>
      <c r="DW29" s="4" t="s">
        <v>248</v>
      </c>
      <c r="DX29" s="4" t="s">
        <v>230</v>
      </c>
      <c r="DY29" s="4" t="s">
        <v>230</v>
      </c>
      <c r="DZ29" s="4" t="s">
        <v>248</v>
      </c>
      <c r="EA29" s="4" t="s">
        <v>248</v>
      </c>
      <c r="EB29" s="4" t="s">
        <v>245</v>
      </c>
      <c r="EC29" s="4" t="s">
        <v>230</v>
      </c>
      <c r="ED29" s="4" t="s">
        <v>248</v>
      </c>
      <c r="EE29" s="4" t="s">
        <v>230</v>
      </c>
      <c r="EF29" s="4" t="s">
        <v>245</v>
      </c>
      <c r="EG29" s="4" t="s">
        <v>251</v>
      </c>
      <c r="EH29" s="4" t="s">
        <v>251</v>
      </c>
      <c r="EI29" s="4" t="s">
        <v>230</v>
      </c>
      <c r="EJ29" s="4" t="s">
        <v>230</v>
      </c>
      <c r="EK29" s="4" t="s">
        <v>245</v>
      </c>
      <c r="EL29" s="4" t="s">
        <v>251</v>
      </c>
      <c r="EM29" t="s">
        <v>252</v>
      </c>
    </row>
    <row r="30" spans="1:145" x14ac:dyDescent="0.3">
      <c r="B30" s="17" t="s">
        <v>192</v>
      </c>
      <c r="C30" s="4" t="s">
        <v>253</v>
      </c>
      <c r="D30" s="4" t="s">
        <v>253</v>
      </c>
      <c r="E30" s="4" t="s">
        <v>254</v>
      </c>
      <c r="F30" s="4" t="s">
        <v>254</v>
      </c>
      <c r="G30" s="4" t="s">
        <v>253</v>
      </c>
      <c r="H30" s="4" t="s">
        <v>255</v>
      </c>
      <c r="I30" s="4" t="s">
        <v>256</v>
      </c>
      <c r="J30" s="4" t="s">
        <v>254</v>
      </c>
      <c r="K30" s="4" t="s">
        <v>254</v>
      </c>
      <c r="L30" s="4" t="s">
        <v>257</v>
      </c>
      <c r="M30" s="4" t="s">
        <v>255</v>
      </c>
      <c r="N30" s="4" t="s">
        <v>254</v>
      </c>
      <c r="O30" s="4" t="s">
        <v>258</v>
      </c>
      <c r="P30" s="4" t="s">
        <v>255</v>
      </c>
      <c r="Q30" s="4" t="s">
        <v>255</v>
      </c>
      <c r="R30" s="4" t="s">
        <v>255</v>
      </c>
      <c r="S30" s="4" t="s">
        <v>254</v>
      </c>
      <c r="T30" s="4" t="s">
        <v>258</v>
      </c>
      <c r="U30" s="4" t="s">
        <v>255</v>
      </c>
      <c r="V30" s="4" t="s">
        <v>258</v>
      </c>
      <c r="W30" s="4" t="s">
        <v>194</v>
      </c>
      <c r="X30" s="4" t="s">
        <v>194</v>
      </c>
      <c r="Y30" s="4" t="s">
        <v>255</v>
      </c>
      <c r="Z30" s="4" t="s">
        <v>255</v>
      </c>
      <c r="AA30" s="4" t="s">
        <v>255</v>
      </c>
      <c r="AB30" s="4" t="s">
        <v>255</v>
      </c>
      <c r="AC30" s="4" t="s">
        <v>255</v>
      </c>
      <c r="AD30" s="4" t="s">
        <v>204</v>
      </c>
      <c r="AE30" s="4" t="s">
        <v>254</v>
      </c>
      <c r="AF30" s="4" t="s">
        <v>255</v>
      </c>
      <c r="AG30" s="4" t="s">
        <v>259</v>
      </c>
      <c r="AH30" s="4" t="s">
        <v>255</v>
      </c>
      <c r="AI30" s="4" t="s">
        <v>254</v>
      </c>
      <c r="AJ30" s="4" t="s">
        <v>255</v>
      </c>
      <c r="AK30" s="4" t="s">
        <v>254</v>
      </c>
      <c r="AL30" s="4" t="s">
        <v>255</v>
      </c>
      <c r="AM30" s="4" t="s">
        <v>254</v>
      </c>
      <c r="AN30" s="4" t="s">
        <v>254</v>
      </c>
      <c r="AO30" s="4" t="s">
        <v>255</v>
      </c>
      <c r="AP30" s="4" t="s">
        <v>254</v>
      </c>
      <c r="AQ30" s="4" t="s">
        <v>254</v>
      </c>
      <c r="AR30" s="4" t="s">
        <v>254</v>
      </c>
      <c r="AS30" s="4" t="s">
        <v>260</v>
      </c>
      <c r="AT30" s="4" t="s">
        <v>255</v>
      </c>
      <c r="AU30" s="4" t="s">
        <v>254</v>
      </c>
      <c r="AV30" s="4" t="s">
        <v>261</v>
      </c>
      <c r="AW30" s="4" t="s">
        <v>255</v>
      </c>
      <c r="AX30" s="4" t="s">
        <v>261</v>
      </c>
      <c r="AY30" s="4" t="s">
        <v>210</v>
      </c>
      <c r="AZ30" s="4" t="s">
        <v>255</v>
      </c>
      <c r="BA30" s="4" t="s">
        <v>262</v>
      </c>
      <c r="BB30" s="4" t="s">
        <v>262</v>
      </c>
      <c r="BC30" s="4" t="s">
        <v>263</v>
      </c>
      <c r="BD30" s="4" t="s">
        <v>255</v>
      </c>
      <c r="BE30" s="4" t="s">
        <v>255</v>
      </c>
      <c r="BF30" s="4" t="s">
        <v>255</v>
      </c>
      <c r="BG30" s="4" t="s">
        <v>263</v>
      </c>
      <c r="BH30" s="4" t="s">
        <v>255</v>
      </c>
      <c r="BI30" s="4" t="s">
        <v>264</v>
      </c>
      <c r="BJ30" s="4" t="s">
        <v>263</v>
      </c>
      <c r="BK30" s="4" t="s">
        <v>255</v>
      </c>
      <c r="BL30" s="4" t="s">
        <v>265</v>
      </c>
      <c r="BM30" s="4" t="s">
        <v>266</v>
      </c>
      <c r="BN30" s="4" t="s">
        <v>265</v>
      </c>
      <c r="BO30" s="4" t="s">
        <v>265</v>
      </c>
      <c r="BP30" s="4" t="s">
        <v>265</v>
      </c>
      <c r="BQ30" s="4" t="s">
        <v>262</v>
      </c>
      <c r="BR30" s="4" t="s">
        <v>267</v>
      </c>
      <c r="BS30" s="4" t="s">
        <v>262</v>
      </c>
      <c r="BT30" s="4" t="s">
        <v>268</v>
      </c>
      <c r="BU30" s="4" t="s">
        <v>255</v>
      </c>
      <c r="BV30" s="4" t="s">
        <v>255</v>
      </c>
      <c r="BW30" s="4" t="s">
        <v>255</v>
      </c>
      <c r="BX30" s="4" t="s">
        <v>262</v>
      </c>
      <c r="BY30" s="4" t="s">
        <v>262</v>
      </c>
      <c r="BZ30" s="4" t="s">
        <v>255</v>
      </c>
      <c r="CA30" s="4" t="s">
        <v>269</v>
      </c>
      <c r="CB30" s="4" t="s">
        <v>255</v>
      </c>
      <c r="CC30" s="4" t="s">
        <v>270</v>
      </c>
      <c r="CD30" s="4" t="s">
        <v>255</v>
      </c>
      <c r="CE30" s="4" t="s">
        <v>270</v>
      </c>
      <c r="CF30" s="4" t="s">
        <v>270</v>
      </c>
      <c r="CG30" s="4" t="s">
        <v>255</v>
      </c>
      <c r="CH30" s="4" t="s">
        <v>270</v>
      </c>
      <c r="CI30" s="4" t="s">
        <v>271</v>
      </c>
      <c r="CJ30" s="4" t="s">
        <v>262</v>
      </c>
      <c r="CK30" s="4" t="s">
        <v>255</v>
      </c>
      <c r="CL30" s="4" t="s">
        <v>262</v>
      </c>
      <c r="CM30" s="4" t="s">
        <v>262</v>
      </c>
      <c r="CN30" s="4" t="s">
        <v>262</v>
      </c>
      <c r="CO30" s="4" t="s">
        <v>272</v>
      </c>
      <c r="CP30" s="4" t="s">
        <v>255</v>
      </c>
      <c r="CQ30" s="4" t="s">
        <v>262</v>
      </c>
      <c r="CR30" s="4" t="s">
        <v>255</v>
      </c>
      <c r="CS30" s="4" t="s">
        <v>272</v>
      </c>
      <c r="CT30" s="4" t="s">
        <v>255</v>
      </c>
      <c r="CU30" s="4" t="s">
        <v>255</v>
      </c>
      <c r="CV30" s="4" t="s">
        <v>255</v>
      </c>
      <c r="CW30" s="4" t="s">
        <v>255</v>
      </c>
      <c r="CX30" s="4" t="s">
        <v>255</v>
      </c>
      <c r="CY30" s="4" t="s">
        <v>263</v>
      </c>
      <c r="CZ30" s="4" t="s">
        <v>255</v>
      </c>
      <c r="DA30" s="4" t="s">
        <v>255</v>
      </c>
      <c r="DB30" s="4" t="s">
        <v>255</v>
      </c>
      <c r="DC30" s="4" t="s">
        <v>273</v>
      </c>
      <c r="DD30" s="4" t="s">
        <v>255</v>
      </c>
      <c r="DE30" s="4" t="s">
        <v>255</v>
      </c>
      <c r="DF30" s="4" t="s">
        <v>255</v>
      </c>
      <c r="DG30" s="4" t="s">
        <v>255</v>
      </c>
      <c r="DH30" s="4" t="s">
        <v>262</v>
      </c>
      <c r="DI30" s="4" t="s">
        <v>255</v>
      </c>
      <c r="DJ30" s="4" t="s">
        <v>274</v>
      </c>
      <c r="DK30" s="4" t="s">
        <v>262</v>
      </c>
      <c r="DL30" s="4" t="s">
        <v>270</v>
      </c>
      <c r="DM30" s="4" t="s">
        <v>205</v>
      </c>
      <c r="DN30" s="4" t="s">
        <v>275</v>
      </c>
      <c r="DO30" s="4" t="s">
        <v>255</v>
      </c>
      <c r="DP30" s="4" t="s">
        <v>255</v>
      </c>
      <c r="DQ30" s="4" t="s">
        <v>263</v>
      </c>
      <c r="DR30" s="4" t="s">
        <v>255</v>
      </c>
      <c r="DS30" s="4" t="s">
        <v>270</v>
      </c>
      <c r="DT30" s="4" t="s">
        <v>270</v>
      </c>
      <c r="DU30" s="4" t="s">
        <v>270</v>
      </c>
      <c r="DV30" s="4" t="s">
        <v>255</v>
      </c>
      <c r="DW30" s="4" t="s">
        <v>273</v>
      </c>
      <c r="DX30" s="4" t="s">
        <v>255</v>
      </c>
      <c r="DY30" s="4" t="s">
        <v>255</v>
      </c>
      <c r="DZ30" s="4" t="s">
        <v>273</v>
      </c>
      <c r="EA30" s="4" t="s">
        <v>273</v>
      </c>
      <c r="EB30" s="4" t="s">
        <v>270</v>
      </c>
      <c r="EC30" s="4" t="s">
        <v>255</v>
      </c>
      <c r="ED30" s="4" t="s">
        <v>273</v>
      </c>
      <c r="EE30" s="4" t="s">
        <v>255</v>
      </c>
      <c r="EF30" s="4" t="s">
        <v>270</v>
      </c>
      <c r="EG30" s="4" t="s">
        <v>276</v>
      </c>
      <c r="EH30" s="4" t="s">
        <v>276</v>
      </c>
      <c r="EI30" s="4" t="s">
        <v>255</v>
      </c>
      <c r="EJ30" s="4" t="s">
        <v>255</v>
      </c>
      <c r="EK30" s="4" t="s">
        <v>270</v>
      </c>
      <c r="EL30" s="4" t="s">
        <v>276</v>
      </c>
      <c r="EM30" t="s">
        <v>277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7">
      <formula>EN12&lt;$EN$25</formula>
    </cfRule>
  </conditionalFormatting>
  <conditionalFormatting sqref="EO12:EO24">
    <cfRule type="expression" dxfId="4" priority="6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1" zoomScale="130" zoomScaleNormal="130" workbookViewId="0">
      <selection activeCell="EL7" sqref="EL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278</v>
      </c>
      <c r="EN11" s="6" t="s">
        <v>279</v>
      </c>
    </row>
    <row r="12" spans="1:144" x14ac:dyDescent="0.3">
      <c r="A12" s="18">
        <v>10</v>
      </c>
      <c r="B12" s="18">
        <f t="shared" ref="B12:B24" si="10">ROUND($D$10/A12,0)</f>
        <v>105</v>
      </c>
      <c r="C12" s="10">
        <f>IF(預測IC!C12&gt;預測IC!C$25,1,0)</f>
        <v>0</v>
      </c>
      <c r="D12" s="10">
        <f>IF(預測IC!D12&gt;預測IC!D$25,1,0)</f>
        <v>0</v>
      </c>
      <c r="E12" s="10">
        <f>IF(預測IC!E12&gt;預測IC!E$25,1,0)</f>
        <v>0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1</v>
      </c>
      <c r="I12" s="10">
        <f>IF(預測IC!I12&gt;預測IC!I$25,1,0)</f>
        <v>0</v>
      </c>
      <c r="J12" s="10">
        <f>IF(預測IC!J12&gt;預測IC!J$25,1,0)</f>
        <v>1</v>
      </c>
      <c r="K12" s="10">
        <f>IF(預測IC!K12&gt;預測IC!K$25,1,0)</f>
        <v>1</v>
      </c>
      <c r="L12" s="10">
        <f>IF(預測IC!L12&gt;預測IC!L$25,1,0)</f>
        <v>1</v>
      </c>
      <c r="M12" s="10">
        <f>IF(預測IC!M12&gt;預測IC!M$25,1,0)</f>
        <v>0</v>
      </c>
      <c r="N12" s="10">
        <f>IF(預測IC!N12&gt;預測IC!N$25,1,0)</f>
        <v>0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0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0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1</v>
      </c>
      <c r="Y12" s="10">
        <f>IF(預測IC!Y12&gt;預測IC!Y$25,1,0)</f>
        <v>0</v>
      </c>
      <c r="Z12" s="10">
        <f>IF(預測IC!Z12&gt;預測IC!Z$25,1,0)</f>
        <v>1</v>
      </c>
      <c r="AA12" s="10">
        <f>IF(預測IC!AA12&gt;預測IC!AA$25,1,0)</f>
        <v>1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0</v>
      </c>
      <c r="AG12" s="10">
        <f>IF(預測IC!AG12&gt;預測IC!AG$25,1,0)</f>
        <v>1</v>
      </c>
      <c r="AH12" s="10">
        <f>IF(預測IC!AH12&gt;預測IC!AH$25,1,0)</f>
        <v>0</v>
      </c>
      <c r="AI12" s="10">
        <f>IF(預測IC!AI12&gt;預測IC!AI$25,1,0)</f>
        <v>1</v>
      </c>
      <c r="AJ12" s="10">
        <f>IF(預測IC!AJ12&gt;預測IC!AJ$25,1,0)</f>
        <v>0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1</v>
      </c>
      <c r="AN12" s="10">
        <f>IF(預測IC!AN12&gt;預測IC!AN$25,1,0)</f>
        <v>0</v>
      </c>
      <c r="AO12" s="10">
        <f>IF(預測IC!AO12&gt;預測IC!AO$25,1,0)</f>
        <v>0</v>
      </c>
      <c r="AP12" s="10">
        <f>IF(預測IC!AP12&gt;預測IC!AP$25,1,0)</f>
        <v>0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0</v>
      </c>
      <c r="AT12" s="10">
        <f>IF(預測IC!AT12&gt;預測IC!AT$25,1,0)</f>
        <v>0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0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1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0</v>
      </c>
      <c r="BR12" s="10">
        <f>IF(預測IC!BR12&gt;預測IC!BR$25,1,0)</f>
        <v>0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1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0</v>
      </c>
      <c r="CP12" s="10">
        <f>IF(預測IC!CP12&gt;預測IC!CP$25,1,0)</f>
        <v>0</v>
      </c>
      <c r="CQ12" s="10">
        <f>IF(預測IC!CQ12&gt;預測IC!CQ$25,1,0)</f>
        <v>1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0</v>
      </c>
      <c r="CW12" s="10">
        <f>IF(預測IC!CW12&gt;預測IC!CW$25,1,0)</f>
        <v>0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0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0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0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1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0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56</v>
      </c>
      <c r="EN12" s="19">
        <f t="shared" ref="EN12:EN24" si="12">EM12/140</f>
        <v>0.4</v>
      </c>
    </row>
    <row r="13" spans="1:144" x14ac:dyDescent="0.3">
      <c r="A13" s="18">
        <v>20</v>
      </c>
      <c r="B13" s="18">
        <f t="shared" si="10"/>
        <v>53</v>
      </c>
      <c r="C13" s="10">
        <f>IF(預測IC!C13&gt;預測IC!C$25,1,0)</f>
        <v>0</v>
      </c>
      <c r="D13" s="10">
        <f>IF(預測IC!D13&gt;預測IC!D$25,1,0)</f>
        <v>0</v>
      </c>
      <c r="E13" s="10">
        <f>IF(預測IC!E13&gt;預測IC!E$25,1,0)</f>
        <v>0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1</v>
      </c>
      <c r="J13" s="10">
        <f>IF(預測IC!J13&gt;預測IC!J$25,1,0)</f>
        <v>0</v>
      </c>
      <c r="K13" s="10">
        <f>IF(預測IC!K13&gt;預測IC!K$25,1,0)</f>
        <v>1</v>
      </c>
      <c r="L13" s="10">
        <f>IF(預測IC!L13&gt;預測IC!L$25,1,0)</f>
        <v>1</v>
      </c>
      <c r="M13" s="10">
        <f>IF(預測IC!M13&gt;預測IC!M$25,1,0)</f>
        <v>0</v>
      </c>
      <c r="N13" s="10">
        <f>IF(預測IC!N13&gt;預測IC!N$25,1,0)</f>
        <v>0</v>
      </c>
      <c r="O13" s="10">
        <f>IF(預測IC!O13&gt;預測IC!O$25,1,0)</f>
        <v>0</v>
      </c>
      <c r="P13" s="10">
        <f>IF(預測IC!P13&gt;預測IC!P$25,1,0)</f>
        <v>0</v>
      </c>
      <c r="Q13" s="10">
        <f>IF(預測IC!Q13&gt;預測IC!Q$25,1,0)</f>
        <v>0</v>
      </c>
      <c r="R13" s="10">
        <f>IF(預測IC!R13&gt;預測IC!R$25,1,0)</f>
        <v>0</v>
      </c>
      <c r="S13" s="10">
        <f>IF(預測IC!S13&gt;預測IC!S$25,1,0)</f>
        <v>0</v>
      </c>
      <c r="T13" s="10">
        <f>IF(預測IC!T13&gt;預測IC!T$25,1,0)</f>
        <v>0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1</v>
      </c>
      <c r="Y13" s="10">
        <f>IF(預測IC!Y13&gt;預測IC!Y$25,1,0)</f>
        <v>0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0</v>
      </c>
      <c r="AC13" s="10">
        <f>IF(預測IC!AC13&gt;預測IC!AC$25,1,0)</f>
        <v>1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0</v>
      </c>
      <c r="AG13" s="10">
        <f>IF(預測IC!AG13&gt;預測IC!AG$25,1,0)</f>
        <v>1</v>
      </c>
      <c r="AH13" s="10">
        <f>IF(預測IC!AH13&gt;預測IC!AH$25,1,0)</f>
        <v>1</v>
      </c>
      <c r="AI13" s="10">
        <f>IF(預測IC!AI13&gt;預測IC!AI$25,1,0)</f>
        <v>1</v>
      </c>
      <c r="AJ13" s="10">
        <f>IF(預測IC!AJ13&gt;預測IC!AJ$25,1,0)</f>
        <v>0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1</v>
      </c>
      <c r="AN13" s="10">
        <f>IF(預測IC!AN13&gt;預測IC!AN$25,1,0)</f>
        <v>0</v>
      </c>
      <c r="AO13" s="10">
        <f>IF(預測IC!AO13&gt;預測IC!AO$25,1,0)</f>
        <v>0</v>
      </c>
      <c r="AP13" s="10">
        <f>IF(預測IC!AP13&gt;預測IC!AP$25,1,0)</f>
        <v>0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1</v>
      </c>
      <c r="AT13" s="10">
        <f>IF(預測IC!AT13&gt;預測IC!AT$25,1,0)</f>
        <v>0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0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0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0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1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0</v>
      </c>
      <c r="BR13" s="10">
        <f>IF(預測IC!BR13&gt;預測IC!BR$25,1,0)</f>
        <v>0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1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1</v>
      </c>
      <c r="CL13" s="10">
        <f>IF(預測IC!CL13&gt;預測IC!CL$25,1,0)</f>
        <v>1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0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1</v>
      </c>
      <c r="CU13" s="10">
        <f>IF(預測IC!CU13&gt;預測IC!CU$25,1,0)</f>
        <v>1</v>
      </c>
      <c r="CV13" s="10">
        <f>IF(預測IC!CV13&gt;預測IC!CV$25,1,0)</f>
        <v>0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0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0</v>
      </c>
      <c r="DI13" s="10">
        <f>IF(預測IC!DI13&gt;預測IC!DI$25,1,0)</f>
        <v>1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0</v>
      </c>
      <c r="DM13" s="10">
        <f>IF(預測IC!DM13&gt;預測IC!DM$25,1,0)</f>
        <v>1</v>
      </c>
      <c r="DN13" s="10">
        <f>IF(預測IC!DN13&gt;預測IC!DN$25,1,0)</f>
        <v>1</v>
      </c>
      <c r="DO13" s="10">
        <f>IF(預測IC!DO13&gt;預測IC!DO$25,1,0)</f>
        <v>0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1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0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1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61</v>
      </c>
      <c r="EN13" s="19">
        <f t="shared" si="12"/>
        <v>0.43571428571428572</v>
      </c>
    </row>
    <row r="14" spans="1:144" x14ac:dyDescent="0.3">
      <c r="A14" s="18">
        <v>50</v>
      </c>
      <c r="B14" s="18">
        <f t="shared" si="10"/>
        <v>21</v>
      </c>
      <c r="C14" s="10">
        <f>IF(預測IC!C14&gt;預測IC!C$25,1,0)</f>
        <v>0</v>
      </c>
      <c r="D14" s="10">
        <f>IF(預測IC!D14&gt;預測IC!D$25,1,0)</f>
        <v>0</v>
      </c>
      <c r="E14" s="10">
        <f>IF(預測IC!E14&gt;預測IC!E$25,1,0)</f>
        <v>0</v>
      </c>
      <c r="F14" s="10">
        <f>IF(預測IC!F14&gt;預測IC!F$25,1,0)</f>
        <v>0</v>
      </c>
      <c r="G14" s="10">
        <f>IF(預測IC!G14&gt;預測IC!G$25,1,0)</f>
        <v>0</v>
      </c>
      <c r="H14" s="10">
        <f>IF(預測IC!H14&gt;預測IC!H$25,1,0)</f>
        <v>0</v>
      </c>
      <c r="I14" s="10">
        <f>IF(預測IC!I14&gt;預測IC!I$25,1,0)</f>
        <v>1</v>
      </c>
      <c r="J14" s="10">
        <f>IF(預測IC!J14&gt;預測IC!J$25,1,0)</f>
        <v>0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0</v>
      </c>
      <c r="O14" s="10">
        <f>IF(預測IC!O14&gt;預測IC!O$25,1,0)</f>
        <v>0</v>
      </c>
      <c r="P14" s="10">
        <f>IF(預測IC!P14&gt;預測IC!P$25,1,0)</f>
        <v>0</v>
      </c>
      <c r="Q14" s="10">
        <f>IF(預測IC!Q14&gt;預測IC!Q$25,1,0)</f>
        <v>0</v>
      </c>
      <c r="R14" s="10">
        <f>IF(預測IC!R14&gt;預測IC!R$25,1,0)</f>
        <v>0</v>
      </c>
      <c r="S14" s="10">
        <f>IF(預測IC!S14&gt;預測IC!S$25,1,0)</f>
        <v>1</v>
      </c>
      <c r="T14" s="10">
        <f>IF(預測IC!T14&gt;預測IC!T$25,1,0)</f>
        <v>0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1</v>
      </c>
      <c r="X14" s="10">
        <f>IF(預測IC!X14&gt;預測IC!X$25,1,0)</f>
        <v>1</v>
      </c>
      <c r="Y14" s="10">
        <f>IF(預測IC!Y14&gt;預測IC!Y$25,1,0)</f>
        <v>0</v>
      </c>
      <c r="Z14" s="10">
        <f>IF(預測IC!Z14&gt;預測IC!Z$25,1,0)</f>
        <v>1</v>
      </c>
      <c r="AA14" s="10">
        <f>IF(預測IC!AA14&gt;預測IC!AA$25,1,0)</f>
        <v>1</v>
      </c>
      <c r="AB14" s="10">
        <f>IF(預測IC!AB14&gt;預測IC!AB$25,1,0)</f>
        <v>0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0</v>
      </c>
      <c r="AI14" s="10">
        <f>IF(預測IC!AI14&gt;預測IC!AI$25,1,0)</f>
        <v>1</v>
      </c>
      <c r="AJ14" s="10">
        <f>IF(預測IC!AJ14&gt;預測IC!AJ$25,1,0)</f>
        <v>1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0</v>
      </c>
      <c r="AO14" s="10">
        <f>IF(預測IC!AO14&gt;預測IC!AO$25,1,0)</f>
        <v>0</v>
      </c>
      <c r="AP14" s="10">
        <f>IF(預測IC!AP14&gt;預測IC!AP$25,1,0)</f>
        <v>0</v>
      </c>
      <c r="AQ14" s="10">
        <f>IF(預測IC!AQ14&gt;預測IC!AQ$25,1,0)</f>
        <v>0</v>
      </c>
      <c r="AR14" s="10">
        <f>IF(預測IC!AR14&gt;預測IC!AR$25,1,0)</f>
        <v>0</v>
      </c>
      <c r="AS14" s="10">
        <f>IF(預測IC!AS14&gt;預測IC!AS$25,1,0)</f>
        <v>1</v>
      </c>
      <c r="AT14" s="10">
        <f>IF(預測IC!AT14&gt;預測IC!AT$25,1,0)</f>
        <v>0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1</v>
      </c>
      <c r="AX14" s="10">
        <f>IF(預測IC!AX14&gt;預測IC!AX$25,1,0)</f>
        <v>1</v>
      </c>
      <c r="AY14" s="10">
        <f>IF(預測IC!AY14&gt;預測IC!AY$25,1,0)</f>
        <v>0</v>
      </c>
      <c r="AZ14" s="10">
        <f>IF(預測IC!AZ14&gt;預測IC!AZ$25,1,0)</f>
        <v>1</v>
      </c>
      <c r="BA14" s="10">
        <f>IF(預測IC!BA14&gt;預測IC!BA$25,1,0)</f>
        <v>1</v>
      </c>
      <c r="BB14" s="10">
        <f>IF(預測IC!BB14&gt;預測IC!BB$25,1,0)</f>
        <v>0</v>
      </c>
      <c r="BC14" s="10">
        <f>IF(預測IC!BC14&gt;預測IC!BC$25,1,0)</f>
        <v>1</v>
      </c>
      <c r="BD14" s="10">
        <f>IF(預測IC!BD14&gt;預測IC!BD$25,1,0)</f>
        <v>1</v>
      </c>
      <c r="BE14" s="10">
        <f>IF(預測IC!BE14&gt;預測IC!BE$25,1,0)</f>
        <v>0</v>
      </c>
      <c r="BF14" s="10">
        <f>IF(預測IC!BF14&gt;預測IC!BF$25,1,0)</f>
        <v>0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0</v>
      </c>
      <c r="BJ14" s="10">
        <f>IF(預測IC!BJ14&gt;預測IC!BJ$25,1,0)</f>
        <v>1</v>
      </c>
      <c r="BK14" s="10">
        <f>IF(預測IC!BK14&gt;預測IC!BK$25,1,0)</f>
        <v>1</v>
      </c>
      <c r="BL14" s="10">
        <f>IF(預測IC!BL14&gt;預測IC!BL$25,1,0)</f>
        <v>0</v>
      </c>
      <c r="BM14" s="10">
        <f>IF(預測IC!BM14&gt;預測IC!BM$25,1,0)</f>
        <v>0</v>
      </c>
      <c r="BN14" s="10">
        <f>IF(預測IC!BN14&gt;預測IC!BN$25,1,0)</f>
        <v>1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0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1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1</v>
      </c>
      <c r="CB14" s="10">
        <f>IF(預測IC!CB14&gt;預測IC!CB$25,1,0)</f>
        <v>0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1</v>
      </c>
      <c r="CF14" s="10">
        <f>IF(預測IC!CF14&gt;預測IC!CF$25,1,0)</f>
        <v>1</v>
      </c>
      <c r="CG14" s="10">
        <f>IF(預測IC!CG14&gt;預測IC!CG$25,1,0)</f>
        <v>1</v>
      </c>
      <c r="CH14" s="10">
        <f>IF(預測IC!CH14&gt;預測IC!CH$25,1,0)</f>
        <v>1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0</v>
      </c>
      <c r="CL14" s="10">
        <f>IF(預測IC!CL14&gt;預測IC!CL$25,1,0)</f>
        <v>1</v>
      </c>
      <c r="CM14" s="10">
        <f>IF(預測IC!CM14&gt;預測IC!CM$25,1,0)</f>
        <v>0</v>
      </c>
      <c r="CN14" s="10">
        <f>IF(預測IC!CN14&gt;預測IC!CN$25,1,0)</f>
        <v>0</v>
      </c>
      <c r="CO14" s="10">
        <f>IF(預測IC!CO14&gt;預測IC!CO$25,1,0)</f>
        <v>0</v>
      </c>
      <c r="CP14" s="10">
        <f>IF(預測IC!CP14&gt;預測IC!CP$25,1,0)</f>
        <v>0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1</v>
      </c>
      <c r="CU14" s="10">
        <f>IF(預測IC!CU14&gt;預測IC!CU$25,1,0)</f>
        <v>1</v>
      </c>
      <c r="CV14" s="10">
        <f>IF(預測IC!CV14&gt;預測IC!CV$25,1,0)</f>
        <v>0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0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0</v>
      </c>
      <c r="DH14" s="10">
        <f>IF(預測IC!DH14&gt;預測IC!DH$25,1,0)</f>
        <v>0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1</v>
      </c>
      <c r="DM14" s="10">
        <f>IF(預測IC!DM14&gt;預測IC!DM$25,1,0)</f>
        <v>1</v>
      </c>
      <c r="DN14" s="10">
        <f>IF(預測IC!DN14&gt;預測IC!DN$25,1,0)</f>
        <v>1</v>
      </c>
      <c r="DO14" s="10">
        <f>IF(預測IC!DO14&gt;預測IC!DO$25,1,0)</f>
        <v>0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1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1</v>
      </c>
      <c r="DW14" s="10">
        <f>IF(預測IC!DW14&gt;預測IC!DW$25,1,0)</f>
        <v>0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0</v>
      </c>
      <c r="EB14" s="10">
        <f>IF(預測IC!EB14&gt;預測IC!EB$25,1,0)</f>
        <v>0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1</v>
      </c>
      <c r="EG14" s="10">
        <f>IF(預測IC!EG14&gt;預測IC!EG$25,1,0)</f>
        <v>1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61</v>
      </c>
      <c r="EN14" s="19">
        <f t="shared" si="12"/>
        <v>0.43571428571428572</v>
      </c>
    </row>
    <row r="15" spans="1:144" x14ac:dyDescent="0.3">
      <c r="A15" s="18">
        <v>110</v>
      </c>
      <c r="B15" s="18">
        <f t="shared" si="10"/>
        <v>10</v>
      </c>
      <c r="C15" s="10">
        <f>IF(預測IC!C15&gt;預測IC!C$25,1,0)</f>
        <v>0</v>
      </c>
      <c r="D15" s="10">
        <f>IF(預測IC!D15&gt;預測IC!D$25,1,0)</f>
        <v>1</v>
      </c>
      <c r="E15" s="10">
        <f>IF(預測IC!E15&gt;預測IC!E$25,1,0)</f>
        <v>1</v>
      </c>
      <c r="F15" s="10">
        <f>IF(預測IC!F15&gt;預測IC!F$25,1,0)</f>
        <v>0</v>
      </c>
      <c r="G15" s="10">
        <f>IF(預測IC!G15&gt;預測IC!G$25,1,0)</f>
        <v>0</v>
      </c>
      <c r="H15" s="10">
        <f>IF(預測IC!H15&gt;預測IC!H$25,1,0)</f>
        <v>1</v>
      </c>
      <c r="I15" s="10">
        <f>IF(預測IC!I15&gt;預測IC!I$25,1,0)</f>
        <v>1</v>
      </c>
      <c r="J15" s="10">
        <f>IF(預測IC!J15&gt;預測IC!J$25,1,0)</f>
        <v>0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1</v>
      </c>
      <c r="N15" s="10">
        <f>IF(預測IC!N15&gt;預測IC!N$25,1,0)</f>
        <v>0</v>
      </c>
      <c r="O15" s="10">
        <f>IF(預測IC!O15&gt;預測IC!O$25,1,0)</f>
        <v>0</v>
      </c>
      <c r="P15" s="10">
        <f>IF(預測IC!P15&gt;預測IC!P$25,1,0)</f>
        <v>0</v>
      </c>
      <c r="Q15" s="10">
        <f>IF(預測IC!Q15&gt;預測IC!Q$25,1,0)</f>
        <v>0</v>
      </c>
      <c r="R15" s="10">
        <f>IF(預測IC!R15&gt;預測IC!R$25,1,0)</f>
        <v>0</v>
      </c>
      <c r="S15" s="10">
        <f>IF(預測IC!S15&gt;預測IC!S$25,1,0)</f>
        <v>0</v>
      </c>
      <c r="T15" s="10">
        <f>IF(預測IC!T15&gt;預測IC!T$25,1,0)</f>
        <v>0</v>
      </c>
      <c r="U15" s="10">
        <f>IF(預測IC!U15&gt;預測IC!U$25,1,0)</f>
        <v>1</v>
      </c>
      <c r="V15" s="10">
        <f>IF(預測IC!V15&gt;預測IC!V$25,1,0)</f>
        <v>1</v>
      </c>
      <c r="W15" s="10">
        <f>IF(預測IC!W15&gt;預測IC!W$25,1,0)</f>
        <v>1</v>
      </c>
      <c r="X15" s="10">
        <f>IF(預測IC!X15&gt;預測IC!X$25,1,0)</f>
        <v>1</v>
      </c>
      <c r="Y15" s="10">
        <f>IF(預測IC!Y15&gt;預測IC!Y$25,1,0)</f>
        <v>1</v>
      </c>
      <c r="Z15" s="10">
        <f>IF(預測IC!Z15&gt;預測IC!Z$25,1,0)</f>
        <v>1</v>
      </c>
      <c r="AA15" s="10">
        <f>IF(預測IC!AA15&gt;預測IC!AA$25,1,0)</f>
        <v>1</v>
      </c>
      <c r="AB15" s="10">
        <f>IF(預測IC!AB15&gt;預測IC!AB$25,1,0)</f>
        <v>0</v>
      </c>
      <c r="AC15" s="10">
        <f>IF(預測IC!AC15&gt;預測IC!AC$25,1,0)</f>
        <v>0</v>
      </c>
      <c r="AD15" s="10">
        <f>IF(預測IC!AD15&gt;預測IC!AD$25,1,0)</f>
        <v>1</v>
      </c>
      <c r="AE15" s="10">
        <f>IF(預測IC!AE15&gt;預測IC!AE$25,1,0)</f>
        <v>0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0</v>
      </c>
      <c r="AI15" s="10">
        <f>IF(預測IC!AI15&gt;預測IC!AI$25,1,0)</f>
        <v>1</v>
      </c>
      <c r="AJ15" s="10">
        <f>IF(預測IC!AJ15&gt;預測IC!AJ$25,1,0)</f>
        <v>1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1</v>
      </c>
      <c r="AN15" s="10">
        <f>IF(預測IC!AN15&gt;預測IC!AN$25,1,0)</f>
        <v>0</v>
      </c>
      <c r="AO15" s="10">
        <f>IF(預測IC!AO15&gt;預測IC!AO$25,1,0)</f>
        <v>0</v>
      </c>
      <c r="AP15" s="10">
        <f>IF(預測IC!AP15&gt;預測IC!AP$25,1,0)</f>
        <v>1</v>
      </c>
      <c r="AQ15" s="10">
        <f>IF(預測IC!AQ15&gt;預測IC!AQ$25,1,0)</f>
        <v>0</v>
      </c>
      <c r="AR15" s="10">
        <f>IF(預測IC!AR15&gt;預測IC!AR$25,1,0)</f>
        <v>0</v>
      </c>
      <c r="AS15" s="10">
        <f>IF(預測IC!AS15&gt;預測IC!AS$25,1,0)</f>
        <v>1</v>
      </c>
      <c r="AT15" s="10">
        <f>IF(預測IC!AT15&gt;預測IC!AT$25,1,0)</f>
        <v>0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1</v>
      </c>
      <c r="AX15" s="10">
        <f>IF(預測IC!AX15&gt;預測IC!AX$25,1,0)</f>
        <v>1</v>
      </c>
      <c r="AY15" s="10">
        <f>IF(預測IC!AY15&gt;預測IC!AY$25,1,0)</f>
        <v>1</v>
      </c>
      <c r="AZ15" s="10">
        <f>IF(預測IC!AZ15&gt;預測IC!AZ$25,1,0)</f>
        <v>1</v>
      </c>
      <c r="BA15" s="10">
        <f>IF(預測IC!BA15&gt;預測IC!BA$25,1,0)</f>
        <v>1</v>
      </c>
      <c r="BB15" s="10">
        <f>IF(預測IC!BB15&gt;預測IC!BB$25,1,0)</f>
        <v>0</v>
      </c>
      <c r="BC15" s="10">
        <f>IF(預測IC!BC15&gt;預測IC!BC$25,1,0)</f>
        <v>1</v>
      </c>
      <c r="BD15" s="10">
        <f>IF(預測IC!BD15&gt;預測IC!BD$25,1,0)</f>
        <v>0</v>
      </c>
      <c r="BE15" s="10">
        <f>IF(預測IC!BE15&gt;預測IC!BE$25,1,0)</f>
        <v>0</v>
      </c>
      <c r="BF15" s="10">
        <f>IF(預測IC!BF15&gt;預測IC!BF$25,1,0)</f>
        <v>0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0</v>
      </c>
      <c r="BJ15" s="10">
        <f>IF(預測IC!BJ15&gt;預測IC!BJ$25,1,0)</f>
        <v>1</v>
      </c>
      <c r="BK15" s="10">
        <f>IF(預測IC!BK15&gt;預測IC!BK$25,1,0)</f>
        <v>1</v>
      </c>
      <c r="BL15" s="10">
        <f>IF(預測IC!BL15&gt;預測IC!BL$25,1,0)</f>
        <v>0</v>
      </c>
      <c r="BM15" s="10">
        <f>IF(預測IC!BM15&gt;預測IC!BM$25,1,0)</f>
        <v>0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0</v>
      </c>
      <c r="BR15" s="10">
        <f>IF(預測IC!BR15&gt;預測IC!BR$25,1,0)</f>
        <v>0</v>
      </c>
      <c r="BS15" s="10">
        <f>IF(預測IC!BS15&gt;預測IC!BS$25,1,0)</f>
        <v>0</v>
      </c>
      <c r="BT15" s="10">
        <f>IF(預測IC!BT15&gt;預測IC!BT$25,1,0)</f>
        <v>1</v>
      </c>
      <c r="BU15" s="10">
        <f>IF(預測IC!BU15&gt;預測IC!BU$25,1,0)</f>
        <v>0</v>
      </c>
      <c r="BV15" s="10">
        <f>IF(預測IC!BV15&gt;預測IC!BV$25,1,0)</f>
        <v>0</v>
      </c>
      <c r="BW15" s="10">
        <f>IF(預測IC!BW15&gt;預測IC!BW$25,1,0)</f>
        <v>1</v>
      </c>
      <c r="BX15" s="10">
        <f>IF(預測IC!BX15&gt;預測IC!BX$25,1,0)</f>
        <v>0</v>
      </c>
      <c r="BY15" s="10">
        <f>IF(預測IC!BY15&gt;預測IC!BY$25,1,0)</f>
        <v>0</v>
      </c>
      <c r="BZ15" s="10">
        <f>IF(預測IC!BZ15&gt;預測IC!BZ$25,1,0)</f>
        <v>0</v>
      </c>
      <c r="CA15" s="10">
        <f>IF(預測IC!CA15&gt;預測IC!CA$25,1,0)</f>
        <v>1</v>
      </c>
      <c r="CB15" s="10">
        <f>IF(預測IC!CB15&gt;預測IC!CB$25,1,0)</f>
        <v>0</v>
      </c>
      <c r="CC15" s="10">
        <f>IF(預測IC!CC15&gt;預測IC!CC$25,1,0)</f>
        <v>0</v>
      </c>
      <c r="CD15" s="10">
        <f>IF(預測IC!CD15&gt;預測IC!CD$25,1,0)</f>
        <v>1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1</v>
      </c>
      <c r="CH15" s="10">
        <f>IF(預測IC!CH15&gt;預測IC!CH$25,1,0)</f>
        <v>1</v>
      </c>
      <c r="CI15" s="10">
        <f>IF(預測IC!CI15&gt;預測IC!CI$25,1,0)</f>
        <v>1</v>
      </c>
      <c r="CJ15" s="10">
        <f>IF(預測IC!CJ15&gt;預測IC!CJ$25,1,0)</f>
        <v>0</v>
      </c>
      <c r="CK15" s="10">
        <f>IF(預測IC!CK15&gt;預測IC!CK$25,1,0)</f>
        <v>0</v>
      </c>
      <c r="CL15" s="10">
        <f>IF(預測IC!CL15&gt;預測IC!CL$25,1,0)</f>
        <v>1</v>
      </c>
      <c r="CM15" s="10">
        <f>IF(預測IC!CM15&gt;預測IC!CM$25,1,0)</f>
        <v>1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0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1</v>
      </c>
      <c r="CU15" s="10">
        <f>IF(預測IC!CU15&gt;預測IC!CU$25,1,0)</f>
        <v>1</v>
      </c>
      <c r="CV15" s="10">
        <f>IF(預測IC!CV15&gt;預測IC!CV$25,1,0)</f>
        <v>1</v>
      </c>
      <c r="CW15" s="10">
        <f>IF(預測IC!CW15&gt;預測IC!CW$25,1,0)</f>
        <v>1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1</v>
      </c>
      <c r="DB15" s="10">
        <f>IF(預測IC!DB15&gt;預測IC!DB$25,1,0)</f>
        <v>0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0</v>
      </c>
      <c r="DL15" s="10">
        <f>IF(預測IC!DL15&gt;預測IC!DL$25,1,0)</f>
        <v>1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0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1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0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0</v>
      </c>
      <c r="EA15" s="10">
        <f>IF(預測IC!EA15&gt;預測IC!EA$25,1,0)</f>
        <v>0</v>
      </c>
      <c r="EB15" s="10">
        <f>IF(預測IC!EB15&gt;預測IC!EB$25,1,0)</f>
        <v>1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1</v>
      </c>
      <c r="EG15" s="10">
        <f>IF(預測IC!EG15&gt;預測IC!EG$25,1,0)</f>
        <v>1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0</v>
      </c>
      <c r="EL15" s="10">
        <f>IF(預測IC!EL15&gt;預測IC!EL$25,1,0)</f>
        <v>0</v>
      </c>
      <c r="EM15" s="6">
        <f t="shared" si="11"/>
        <v>70</v>
      </c>
      <c r="EN15" s="19">
        <f t="shared" si="12"/>
        <v>0.5</v>
      </c>
    </row>
    <row r="16" spans="1:144" x14ac:dyDescent="0.3">
      <c r="A16" s="18">
        <v>120</v>
      </c>
      <c r="B16" s="18">
        <f t="shared" si="10"/>
        <v>9</v>
      </c>
      <c r="C16" s="10">
        <f>IF(預測IC!C16&gt;預測IC!C$25,1,0)</f>
        <v>0</v>
      </c>
      <c r="D16" s="10">
        <f>IF(預測IC!D16&gt;預測IC!D$25,1,0)</f>
        <v>1</v>
      </c>
      <c r="E16" s="10">
        <f>IF(預測IC!E16&gt;預測IC!E$25,1,0)</f>
        <v>1</v>
      </c>
      <c r="F16" s="10">
        <f>IF(預測IC!F16&gt;預測IC!F$25,1,0)</f>
        <v>0</v>
      </c>
      <c r="G16" s="10">
        <f>IF(預測IC!G16&gt;預測IC!G$25,1,0)</f>
        <v>0</v>
      </c>
      <c r="H16" s="10">
        <f>IF(預測IC!H16&gt;預測IC!H$25,1,0)</f>
        <v>1</v>
      </c>
      <c r="I16" s="10">
        <f>IF(預測IC!I16&gt;預測IC!I$25,1,0)</f>
        <v>1</v>
      </c>
      <c r="J16" s="10">
        <f>IF(預測IC!J16&gt;預測IC!J$25,1,0)</f>
        <v>0</v>
      </c>
      <c r="K16" s="10">
        <f>IF(預測IC!K16&gt;預測IC!K$25,1,0)</f>
        <v>1</v>
      </c>
      <c r="L16" s="10">
        <f>IF(預測IC!L16&gt;預測IC!L$25,1,0)</f>
        <v>0</v>
      </c>
      <c r="M16" s="10">
        <f>IF(預測IC!M16&gt;預測IC!M$25,1,0)</f>
        <v>1</v>
      </c>
      <c r="N16" s="10">
        <f>IF(預測IC!N16&gt;預測IC!N$25,1,0)</f>
        <v>0</v>
      </c>
      <c r="O16" s="10">
        <f>IF(預測IC!O16&gt;預測IC!O$25,1,0)</f>
        <v>0</v>
      </c>
      <c r="P16" s="10">
        <f>IF(預測IC!P16&gt;預測IC!P$25,1,0)</f>
        <v>0</v>
      </c>
      <c r="Q16" s="10">
        <f>IF(預測IC!Q16&gt;預測IC!Q$25,1,0)</f>
        <v>0</v>
      </c>
      <c r="R16" s="10">
        <f>IF(預測IC!R16&gt;預測IC!R$25,1,0)</f>
        <v>0</v>
      </c>
      <c r="S16" s="10">
        <f>IF(預測IC!S16&gt;預測IC!S$25,1,0)</f>
        <v>0</v>
      </c>
      <c r="T16" s="10">
        <f>IF(預測IC!T16&gt;預測IC!T$25,1,0)</f>
        <v>0</v>
      </c>
      <c r="U16" s="10">
        <f>IF(預測IC!U16&gt;預測IC!U$25,1,0)</f>
        <v>1</v>
      </c>
      <c r="V16" s="10">
        <f>IF(預測IC!V16&gt;預測IC!V$25,1,0)</f>
        <v>1</v>
      </c>
      <c r="W16" s="10">
        <f>IF(預測IC!W16&gt;預測IC!W$25,1,0)</f>
        <v>1</v>
      </c>
      <c r="X16" s="10">
        <f>IF(預測IC!X16&gt;預測IC!X$25,1,0)</f>
        <v>1</v>
      </c>
      <c r="Y16" s="10">
        <f>IF(預測IC!Y16&gt;預測IC!Y$25,1,0)</f>
        <v>0</v>
      </c>
      <c r="Z16" s="10">
        <f>IF(預測IC!Z16&gt;預測IC!Z$25,1,0)</f>
        <v>1</v>
      </c>
      <c r="AA16" s="10">
        <f>IF(預測IC!AA16&gt;預測IC!AA$25,1,0)</f>
        <v>1</v>
      </c>
      <c r="AB16" s="10">
        <f>IF(預測IC!AB16&gt;預測IC!AB$25,1,0)</f>
        <v>0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0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1</v>
      </c>
      <c r="AI16" s="10">
        <f>IF(預測IC!AI16&gt;預測IC!AI$25,1,0)</f>
        <v>1</v>
      </c>
      <c r="AJ16" s="10">
        <f>IF(預測IC!AJ16&gt;預測IC!AJ$25,1,0)</f>
        <v>1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1</v>
      </c>
      <c r="AN16" s="10">
        <f>IF(預測IC!AN16&gt;預測IC!AN$25,1,0)</f>
        <v>0</v>
      </c>
      <c r="AO16" s="10">
        <f>IF(預測IC!AO16&gt;預測IC!AO$25,1,0)</f>
        <v>0</v>
      </c>
      <c r="AP16" s="10">
        <f>IF(預測IC!AP16&gt;預測IC!AP$25,1,0)</f>
        <v>1</v>
      </c>
      <c r="AQ16" s="10">
        <f>IF(預測IC!AQ16&gt;預測IC!AQ$25,1,0)</f>
        <v>0</v>
      </c>
      <c r="AR16" s="10">
        <f>IF(預測IC!AR16&gt;預測IC!AR$25,1,0)</f>
        <v>0</v>
      </c>
      <c r="AS16" s="10">
        <f>IF(預測IC!AS16&gt;預測IC!AS$25,1,0)</f>
        <v>1</v>
      </c>
      <c r="AT16" s="10">
        <f>IF(預測IC!AT16&gt;預測IC!AT$25,1,0)</f>
        <v>0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1</v>
      </c>
      <c r="AZ16" s="10">
        <f>IF(預測IC!AZ16&gt;預測IC!AZ$25,1,0)</f>
        <v>1</v>
      </c>
      <c r="BA16" s="10">
        <f>IF(預測IC!BA16&gt;預測IC!BA$25,1,0)</f>
        <v>1</v>
      </c>
      <c r="BB16" s="10">
        <f>IF(預測IC!BB16&gt;預測IC!BB$25,1,0)</f>
        <v>0</v>
      </c>
      <c r="BC16" s="10">
        <f>IF(預測IC!BC16&gt;預測IC!BC$25,1,0)</f>
        <v>1</v>
      </c>
      <c r="BD16" s="10">
        <f>IF(預測IC!BD16&gt;預測IC!BD$25,1,0)</f>
        <v>0</v>
      </c>
      <c r="BE16" s="10">
        <f>IF(預測IC!BE16&gt;預測IC!BE$25,1,0)</f>
        <v>0</v>
      </c>
      <c r="BF16" s="10">
        <f>IF(預測IC!BF16&gt;預測IC!BF$25,1,0)</f>
        <v>0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0</v>
      </c>
      <c r="BJ16" s="10">
        <f>IF(預測IC!BJ16&gt;預測IC!BJ$25,1,0)</f>
        <v>1</v>
      </c>
      <c r="BK16" s="10">
        <f>IF(預測IC!BK16&gt;預測IC!BK$25,1,0)</f>
        <v>1</v>
      </c>
      <c r="BL16" s="10">
        <f>IF(預測IC!BL16&gt;預測IC!BL$25,1,0)</f>
        <v>0</v>
      </c>
      <c r="BM16" s="10">
        <f>IF(預測IC!BM16&gt;預測IC!BM$25,1,0)</f>
        <v>0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0</v>
      </c>
      <c r="BR16" s="10">
        <f>IF(預測IC!BR16&gt;預測IC!BR$25,1,0)</f>
        <v>0</v>
      </c>
      <c r="BS16" s="10">
        <f>IF(預測IC!BS16&gt;預測IC!BS$25,1,0)</f>
        <v>0</v>
      </c>
      <c r="BT16" s="10">
        <f>IF(預測IC!BT16&gt;預測IC!BT$25,1,0)</f>
        <v>1</v>
      </c>
      <c r="BU16" s="10">
        <f>IF(預測IC!BU16&gt;預測IC!BU$25,1,0)</f>
        <v>0</v>
      </c>
      <c r="BV16" s="10">
        <f>IF(預測IC!BV16&gt;預測IC!BV$25,1,0)</f>
        <v>0</v>
      </c>
      <c r="BW16" s="10">
        <f>IF(預測IC!BW16&gt;預測IC!BW$25,1,0)</f>
        <v>1</v>
      </c>
      <c r="BX16" s="10">
        <f>IF(預測IC!BX16&gt;預測IC!BX$25,1,0)</f>
        <v>1</v>
      </c>
      <c r="BY16" s="10">
        <f>IF(預測IC!BY16&gt;預測IC!BY$25,1,0)</f>
        <v>0</v>
      </c>
      <c r="BZ16" s="10">
        <f>IF(預測IC!BZ16&gt;預測IC!BZ$25,1,0)</f>
        <v>0</v>
      </c>
      <c r="CA16" s="10">
        <f>IF(預測IC!CA16&gt;預測IC!CA$25,1,0)</f>
        <v>1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1</v>
      </c>
      <c r="CH16" s="10">
        <f>IF(預測IC!CH16&gt;預測IC!CH$25,1,0)</f>
        <v>0</v>
      </c>
      <c r="CI16" s="10">
        <f>IF(預測IC!CI16&gt;預測IC!CI$25,1,0)</f>
        <v>1</v>
      </c>
      <c r="CJ16" s="10">
        <f>IF(預測IC!CJ16&gt;預測IC!CJ$25,1,0)</f>
        <v>0</v>
      </c>
      <c r="CK16" s="10">
        <f>IF(預測IC!CK16&gt;預測IC!CK$25,1,0)</f>
        <v>0</v>
      </c>
      <c r="CL16" s="10">
        <f>IF(預測IC!CL16&gt;預測IC!CL$25,1,0)</f>
        <v>1</v>
      </c>
      <c r="CM16" s="10">
        <f>IF(預測IC!CM16&gt;預測IC!CM$25,1,0)</f>
        <v>0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0</v>
      </c>
      <c r="CQ16" s="10">
        <f>IF(預測IC!CQ16&gt;預測IC!CQ$25,1,0)</f>
        <v>1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1</v>
      </c>
      <c r="CU16" s="10">
        <f>IF(預測IC!CU16&gt;預測IC!CU$25,1,0)</f>
        <v>1</v>
      </c>
      <c r="CV16" s="10">
        <f>IF(預測IC!CV16&gt;預測IC!CV$25,1,0)</f>
        <v>0</v>
      </c>
      <c r="CW16" s="10">
        <f>IF(預測IC!CW16&gt;預測IC!CW$25,1,0)</f>
        <v>0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1</v>
      </c>
      <c r="DB16" s="10">
        <f>IF(預測IC!DB16&gt;預測IC!DB$25,1,0)</f>
        <v>0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0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0</v>
      </c>
      <c r="DL16" s="10">
        <f>IF(預測IC!DL16&gt;預測IC!DL$25,1,0)</f>
        <v>1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0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1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0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0</v>
      </c>
      <c r="EA16" s="10">
        <f>IF(預測IC!EA16&gt;預測IC!EA$25,1,0)</f>
        <v>0</v>
      </c>
      <c r="EB16" s="10">
        <f>IF(預測IC!EB16&gt;預測IC!EB$25,1,0)</f>
        <v>1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1</v>
      </c>
      <c r="EG16" s="10">
        <f>IF(預測IC!EG16&gt;預測IC!EG$25,1,0)</f>
        <v>1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0</v>
      </c>
      <c r="EL16" s="10">
        <f>IF(預測IC!EL16&gt;預測IC!EL$25,1,0)</f>
        <v>0</v>
      </c>
      <c r="EM16" s="6">
        <f t="shared" si="11"/>
        <v>66</v>
      </c>
      <c r="EN16" s="19">
        <f t="shared" si="12"/>
        <v>0.47142857142857142</v>
      </c>
    </row>
    <row r="17" spans="1:144" x14ac:dyDescent="0.3">
      <c r="A17" s="18">
        <v>130</v>
      </c>
      <c r="B17" s="18">
        <f t="shared" si="10"/>
        <v>8</v>
      </c>
      <c r="C17" s="10">
        <f>IF(預測IC!C17&gt;預測IC!C$25,1,0)</f>
        <v>0</v>
      </c>
      <c r="D17" s="10">
        <f>IF(預測IC!D17&gt;預測IC!D$25,1,0)</f>
        <v>0</v>
      </c>
      <c r="E17" s="10">
        <f>IF(預測IC!E17&gt;預測IC!E$25,1,0)</f>
        <v>1</v>
      </c>
      <c r="F17" s="10">
        <f>IF(預測IC!F17&gt;預測IC!F$25,1,0)</f>
        <v>0</v>
      </c>
      <c r="G17" s="10">
        <f>IF(預測IC!G17&gt;預測IC!G$25,1,0)</f>
        <v>0</v>
      </c>
      <c r="H17" s="10">
        <f>IF(預測IC!H17&gt;預測IC!H$25,1,0)</f>
        <v>1</v>
      </c>
      <c r="I17" s="10">
        <f>IF(預測IC!I17&gt;預測IC!I$25,1,0)</f>
        <v>1</v>
      </c>
      <c r="J17" s="10">
        <f>IF(預測IC!J17&gt;預測IC!J$25,1,0)</f>
        <v>0</v>
      </c>
      <c r="K17" s="10">
        <f>IF(預測IC!K17&gt;預測IC!K$25,1,0)</f>
        <v>1</v>
      </c>
      <c r="L17" s="10">
        <f>IF(預測IC!L17&gt;預測IC!L$25,1,0)</f>
        <v>0</v>
      </c>
      <c r="M17" s="10">
        <f>IF(預測IC!M17&gt;預測IC!M$25,1,0)</f>
        <v>1</v>
      </c>
      <c r="N17" s="10">
        <f>IF(預測IC!N17&gt;預測IC!N$25,1,0)</f>
        <v>0</v>
      </c>
      <c r="O17" s="10">
        <f>IF(預測IC!O17&gt;預測IC!O$25,1,0)</f>
        <v>0</v>
      </c>
      <c r="P17" s="10">
        <f>IF(預測IC!P17&gt;預測IC!P$25,1,0)</f>
        <v>0</v>
      </c>
      <c r="Q17" s="10">
        <f>IF(預測IC!Q17&gt;預測IC!Q$25,1,0)</f>
        <v>1</v>
      </c>
      <c r="R17" s="10">
        <f>IF(預測IC!R17&gt;預測IC!R$25,1,0)</f>
        <v>0</v>
      </c>
      <c r="S17" s="10">
        <f>IF(預測IC!S17&gt;預測IC!S$25,1,0)</f>
        <v>0</v>
      </c>
      <c r="T17" s="10">
        <f>IF(預測IC!T17&gt;預測IC!T$25,1,0)</f>
        <v>1</v>
      </c>
      <c r="U17" s="10">
        <f>IF(預測IC!U17&gt;預測IC!U$25,1,0)</f>
        <v>1</v>
      </c>
      <c r="V17" s="10">
        <f>IF(預測IC!V17&gt;預測IC!V$25,1,0)</f>
        <v>0</v>
      </c>
      <c r="W17" s="10">
        <f>IF(預測IC!W17&gt;預測IC!W$25,1,0)</f>
        <v>1</v>
      </c>
      <c r="X17" s="10">
        <f>IF(預測IC!X17&gt;預測IC!X$25,1,0)</f>
        <v>1</v>
      </c>
      <c r="Y17" s="10">
        <f>IF(預測IC!Y17&gt;預測IC!Y$25,1,0)</f>
        <v>0</v>
      </c>
      <c r="Z17" s="10">
        <f>IF(預測IC!Z17&gt;預測IC!Z$25,1,0)</f>
        <v>1</v>
      </c>
      <c r="AA17" s="10">
        <f>IF(預測IC!AA17&gt;預測IC!AA$25,1,0)</f>
        <v>0</v>
      </c>
      <c r="AB17" s="10">
        <f>IF(預測IC!AB17&gt;預測IC!AB$25,1,0)</f>
        <v>0</v>
      </c>
      <c r="AC17" s="10">
        <f>IF(預測IC!AC17&gt;預測IC!AC$25,1,0)</f>
        <v>1</v>
      </c>
      <c r="AD17" s="10">
        <f>IF(預測IC!AD17&gt;預測IC!AD$25,1,0)</f>
        <v>1</v>
      </c>
      <c r="AE17" s="10">
        <f>IF(預測IC!AE17&gt;預測IC!AE$25,1,0)</f>
        <v>0</v>
      </c>
      <c r="AF17" s="10">
        <f>IF(預測IC!AF17&gt;預測IC!AF$25,1,0)</f>
        <v>0</v>
      </c>
      <c r="AG17" s="10">
        <f>IF(預測IC!AG17&gt;預測IC!AG$25,1,0)</f>
        <v>0</v>
      </c>
      <c r="AH17" s="10">
        <f>IF(預測IC!AH17&gt;預測IC!AH$25,1,0)</f>
        <v>1</v>
      </c>
      <c r="AI17" s="10">
        <f>IF(預測IC!AI17&gt;預測IC!AI$25,1,0)</f>
        <v>1</v>
      </c>
      <c r="AJ17" s="10">
        <f>IF(預測IC!AJ17&gt;預測IC!AJ$25,1,0)</f>
        <v>1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1</v>
      </c>
      <c r="AN17" s="10">
        <f>IF(預測IC!AN17&gt;預測IC!AN$25,1,0)</f>
        <v>0</v>
      </c>
      <c r="AO17" s="10">
        <f>IF(預測IC!AO17&gt;預測IC!AO$25,1,0)</f>
        <v>0</v>
      </c>
      <c r="AP17" s="10">
        <f>IF(預測IC!AP17&gt;預測IC!AP$25,1,0)</f>
        <v>1</v>
      </c>
      <c r="AQ17" s="10">
        <f>IF(預測IC!AQ17&gt;預測IC!AQ$25,1,0)</f>
        <v>0</v>
      </c>
      <c r="AR17" s="10">
        <f>IF(預測IC!AR17&gt;預測IC!AR$25,1,0)</f>
        <v>0</v>
      </c>
      <c r="AS17" s="10">
        <f>IF(預測IC!AS17&gt;預測IC!AS$25,1,0)</f>
        <v>1</v>
      </c>
      <c r="AT17" s="10">
        <f>IF(預測IC!AT17&gt;預測IC!AT$25,1,0)</f>
        <v>0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1</v>
      </c>
      <c r="AZ17" s="10">
        <f>IF(預測IC!AZ17&gt;預測IC!AZ$25,1,0)</f>
        <v>1</v>
      </c>
      <c r="BA17" s="10">
        <f>IF(預測IC!BA17&gt;預測IC!BA$25,1,0)</f>
        <v>1</v>
      </c>
      <c r="BB17" s="10">
        <f>IF(預測IC!BB17&gt;預測IC!BB$25,1,0)</f>
        <v>0</v>
      </c>
      <c r="BC17" s="10">
        <f>IF(預測IC!BC17&gt;預測IC!BC$25,1,0)</f>
        <v>1</v>
      </c>
      <c r="BD17" s="10">
        <f>IF(預測IC!BD17&gt;預測IC!BD$25,1,0)</f>
        <v>0</v>
      </c>
      <c r="BE17" s="10">
        <f>IF(預測IC!BE17&gt;預測IC!BE$25,1,0)</f>
        <v>0</v>
      </c>
      <c r="BF17" s="10">
        <f>IF(預測IC!BF17&gt;預測IC!BF$25,1,0)</f>
        <v>0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0</v>
      </c>
      <c r="BJ17" s="10">
        <f>IF(預測IC!BJ17&gt;預測IC!BJ$25,1,0)</f>
        <v>1</v>
      </c>
      <c r="BK17" s="10">
        <f>IF(預測IC!BK17&gt;預測IC!BK$25,1,0)</f>
        <v>1</v>
      </c>
      <c r="BL17" s="10">
        <f>IF(預測IC!BL17&gt;預測IC!BL$25,1,0)</f>
        <v>0</v>
      </c>
      <c r="BM17" s="10">
        <f>IF(預測IC!BM17&gt;預測IC!BM$25,1,0)</f>
        <v>0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0</v>
      </c>
      <c r="BR17" s="10">
        <f>IF(預測IC!BR17&gt;預測IC!BR$25,1,0)</f>
        <v>0</v>
      </c>
      <c r="BS17" s="10">
        <f>IF(預測IC!BS17&gt;預測IC!BS$25,1,0)</f>
        <v>0</v>
      </c>
      <c r="BT17" s="10">
        <f>IF(預測IC!BT17&gt;預測IC!BT$25,1,0)</f>
        <v>1</v>
      </c>
      <c r="BU17" s="10">
        <f>IF(預測IC!BU17&gt;預測IC!BU$25,1,0)</f>
        <v>0</v>
      </c>
      <c r="BV17" s="10">
        <f>IF(預測IC!BV17&gt;預測IC!BV$25,1,0)</f>
        <v>0</v>
      </c>
      <c r="BW17" s="10">
        <f>IF(預測IC!BW17&gt;預測IC!BW$25,1,0)</f>
        <v>1</v>
      </c>
      <c r="BX17" s="10">
        <f>IF(預測IC!BX17&gt;預測IC!BX$25,1,0)</f>
        <v>1</v>
      </c>
      <c r="BY17" s="10">
        <f>IF(預測IC!BY17&gt;預測IC!BY$25,1,0)</f>
        <v>0</v>
      </c>
      <c r="BZ17" s="10">
        <f>IF(預測IC!BZ17&gt;預測IC!BZ$25,1,0)</f>
        <v>0</v>
      </c>
      <c r="CA17" s="10">
        <f>IF(預測IC!CA17&gt;預測IC!CA$25,1,0)</f>
        <v>1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1</v>
      </c>
      <c r="CH17" s="10">
        <f>IF(預測IC!CH17&gt;預測IC!CH$25,1,0)</f>
        <v>1</v>
      </c>
      <c r="CI17" s="10">
        <f>IF(預測IC!CI17&gt;預測IC!CI$25,1,0)</f>
        <v>1</v>
      </c>
      <c r="CJ17" s="10">
        <f>IF(預測IC!CJ17&gt;預測IC!CJ$25,1,0)</f>
        <v>0</v>
      </c>
      <c r="CK17" s="10">
        <f>IF(預測IC!CK17&gt;預測IC!CK$25,1,0)</f>
        <v>0</v>
      </c>
      <c r="CL17" s="10">
        <f>IF(預測IC!CL17&gt;預測IC!CL$25,1,0)</f>
        <v>1</v>
      </c>
      <c r="CM17" s="10">
        <f>IF(預測IC!CM17&gt;預測IC!CM$25,1,0)</f>
        <v>1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0</v>
      </c>
      <c r="CQ17" s="10">
        <f>IF(預測IC!CQ17&gt;預測IC!CQ$25,1,0)</f>
        <v>1</v>
      </c>
      <c r="CR17" s="10">
        <f>IF(預測IC!CR17&gt;預測IC!CR$25,1,0)</f>
        <v>0</v>
      </c>
      <c r="CS17" s="10">
        <f>IF(預測IC!CS17&gt;預測IC!CS$25,1,0)</f>
        <v>0</v>
      </c>
      <c r="CT17" s="10">
        <f>IF(預測IC!CT17&gt;預測IC!CT$25,1,0)</f>
        <v>1</v>
      </c>
      <c r="CU17" s="10">
        <f>IF(預測IC!CU17&gt;預測IC!CU$25,1,0)</f>
        <v>1</v>
      </c>
      <c r="CV17" s="10">
        <f>IF(預測IC!CV17&gt;預測IC!CV$25,1,0)</f>
        <v>0</v>
      </c>
      <c r="CW17" s="10">
        <f>IF(預測IC!CW17&gt;預測IC!CW$25,1,0)</f>
        <v>0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1</v>
      </c>
      <c r="DB17" s="10">
        <f>IF(預測IC!DB17&gt;預測IC!DB$25,1,0)</f>
        <v>0</v>
      </c>
      <c r="DC17" s="10">
        <f>IF(預測IC!DC17&gt;預測IC!DC$25,1,0)</f>
        <v>1</v>
      </c>
      <c r="DD17" s="10">
        <f>IF(預測IC!DD17&gt;預測IC!DD$25,1,0)</f>
        <v>1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0</v>
      </c>
      <c r="DL17" s="10">
        <f>IF(預測IC!DL17&gt;預測IC!DL$25,1,0)</f>
        <v>1</v>
      </c>
      <c r="DM17" s="10">
        <f>IF(預測IC!DM17&gt;預測IC!DM$25,1,0)</f>
        <v>0</v>
      </c>
      <c r="DN17" s="10">
        <f>IF(預測IC!DN17&gt;預測IC!DN$25,1,0)</f>
        <v>1</v>
      </c>
      <c r="DO17" s="10">
        <f>IF(預測IC!DO17&gt;預測IC!DO$25,1,0)</f>
        <v>0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1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0</v>
      </c>
      <c r="EA17" s="10">
        <f>IF(預測IC!EA17&gt;預測IC!EA$25,1,0)</f>
        <v>0</v>
      </c>
      <c r="EB17" s="10">
        <f>IF(預測IC!EB17&gt;預測IC!EB$25,1,0)</f>
        <v>1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0</v>
      </c>
      <c r="EF17" s="10">
        <f>IF(預測IC!EF17&gt;預測IC!EF$25,1,0)</f>
        <v>1</v>
      </c>
      <c r="EG17" s="10">
        <f>IF(預測IC!EG17&gt;預測IC!EG$25,1,0)</f>
        <v>1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0</v>
      </c>
      <c r="EL17" s="10">
        <f>IF(預測IC!EL17&gt;預測IC!EL$25,1,0)</f>
        <v>0</v>
      </c>
      <c r="EM17" s="6">
        <f t="shared" si="11"/>
        <v>69</v>
      </c>
      <c r="EN17" s="19">
        <f t="shared" si="12"/>
        <v>0.49285714285714288</v>
      </c>
    </row>
    <row r="18" spans="1:144" x14ac:dyDescent="0.3">
      <c r="A18" s="18">
        <v>150</v>
      </c>
      <c r="B18" s="18">
        <f t="shared" si="10"/>
        <v>7</v>
      </c>
      <c r="C18" s="10">
        <f>IF(預測IC!C18&gt;預測IC!C$25,1,0)</f>
        <v>0</v>
      </c>
      <c r="D18" s="10">
        <f>IF(預測IC!D18&gt;預測IC!D$25,1,0)</f>
        <v>0</v>
      </c>
      <c r="E18" s="10">
        <f>IF(預測IC!E18&gt;預測IC!E$25,1,0)</f>
        <v>1</v>
      </c>
      <c r="F18" s="10">
        <f>IF(預測IC!F18&gt;預測IC!F$25,1,0)</f>
        <v>0</v>
      </c>
      <c r="G18" s="10">
        <f>IF(預測IC!G18&gt;預測IC!G$25,1,0)</f>
        <v>0</v>
      </c>
      <c r="H18" s="10">
        <f>IF(預測IC!H18&gt;預測IC!H$25,1,0)</f>
        <v>1</v>
      </c>
      <c r="I18" s="10">
        <f>IF(預測IC!I18&gt;預測IC!I$25,1,0)</f>
        <v>1</v>
      </c>
      <c r="J18" s="10">
        <f>IF(預測IC!J18&gt;預測IC!J$25,1,0)</f>
        <v>0</v>
      </c>
      <c r="K18" s="10">
        <f>IF(預測IC!K18&gt;預測IC!K$25,1,0)</f>
        <v>1</v>
      </c>
      <c r="L18" s="10">
        <f>IF(預測IC!L18&gt;預測IC!L$25,1,0)</f>
        <v>1</v>
      </c>
      <c r="M18" s="10">
        <f>IF(預測IC!M18&gt;預測IC!M$25,1,0)</f>
        <v>0</v>
      </c>
      <c r="N18" s="10">
        <f>IF(預測IC!N18&gt;預測IC!N$25,1,0)</f>
        <v>0</v>
      </c>
      <c r="O18" s="10">
        <f>IF(預測IC!O18&gt;預測IC!O$25,1,0)</f>
        <v>1</v>
      </c>
      <c r="P18" s="10">
        <f>IF(預測IC!P18&gt;預測IC!P$25,1,0)</f>
        <v>0</v>
      </c>
      <c r="Q18" s="10">
        <f>IF(預測IC!Q18&gt;預測IC!Q$25,1,0)</f>
        <v>1</v>
      </c>
      <c r="R18" s="10">
        <f>IF(預測IC!R18&gt;預測IC!R$25,1,0)</f>
        <v>0</v>
      </c>
      <c r="S18" s="10">
        <f>IF(預測IC!S18&gt;預測IC!S$25,1,0)</f>
        <v>1</v>
      </c>
      <c r="T18" s="10">
        <f>IF(預測IC!T18&gt;預測IC!T$25,1,0)</f>
        <v>1</v>
      </c>
      <c r="U18" s="10">
        <f>IF(預測IC!U18&gt;預測IC!U$25,1,0)</f>
        <v>1</v>
      </c>
      <c r="V18" s="10">
        <f>IF(預測IC!V18&gt;預測IC!V$25,1,0)</f>
        <v>1</v>
      </c>
      <c r="W18" s="10">
        <f>IF(預測IC!W18&gt;預測IC!W$25,1,0)</f>
        <v>1</v>
      </c>
      <c r="X18" s="10">
        <f>IF(預測IC!X18&gt;預測IC!X$25,1,0)</f>
        <v>1</v>
      </c>
      <c r="Y18" s="10">
        <f>IF(預測IC!Y18&gt;預測IC!Y$25,1,0)</f>
        <v>0</v>
      </c>
      <c r="Z18" s="10">
        <f>IF(預測IC!Z18&gt;預測IC!Z$25,1,0)</f>
        <v>1</v>
      </c>
      <c r="AA18" s="10">
        <f>IF(預測IC!AA18&gt;預測IC!AA$25,1,0)</f>
        <v>1</v>
      </c>
      <c r="AB18" s="10">
        <f>IF(預測IC!AB18&gt;預測IC!AB$25,1,0)</f>
        <v>0</v>
      </c>
      <c r="AC18" s="10">
        <f>IF(預測IC!AC18&gt;預測IC!AC$25,1,0)</f>
        <v>0</v>
      </c>
      <c r="AD18" s="10">
        <f>IF(預測IC!AD18&gt;預測IC!AD$25,1,0)</f>
        <v>1</v>
      </c>
      <c r="AE18" s="10">
        <f>IF(預測IC!AE18&gt;預測IC!AE$25,1,0)</f>
        <v>0</v>
      </c>
      <c r="AF18" s="10">
        <f>IF(預測IC!AF18&gt;預測IC!AF$25,1,0)</f>
        <v>1</v>
      </c>
      <c r="AG18" s="10">
        <f>IF(預測IC!AG18&gt;預測IC!AG$25,1,0)</f>
        <v>0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1</v>
      </c>
      <c r="AN18" s="10">
        <f>IF(預測IC!AN18&gt;預測IC!AN$25,1,0)</f>
        <v>0</v>
      </c>
      <c r="AO18" s="10">
        <f>IF(預測IC!AO18&gt;預測IC!AO$25,1,0)</f>
        <v>0</v>
      </c>
      <c r="AP18" s="10">
        <f>IF(預測IC!AP18&gt;預測IC!AP$25,1,0)</f>
        <v>1</v>
      </c>
      <c r="AQ18" s="10">
        <f>IF(預測IC!AQ18&gt;預測IC!AQ$25,1,0)</f>
        <v>0</v>
      </c>
      <c r="AR18" s="10">
        <f>IF(預測IC!AR18&gt;預測IC!AR$25,1,0)</f>
        <v>0</v>
      </c>
      <c r="AS18" s="10">
        <f>IF(預測IC!AS18&gt;預測IC!AS$25,1,0)</f>
        <v>1</v>
      </c>
      <c r="AT18" s="10">
        <f>IF(預測IC!AT18&gt;預測IC!AT$25,1,0)</f>
        <v>0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0</v>
      </c>
      <c r="AZ18" s="10">
        <f>IF(預測IC!AZ18&gt;預測IC!AZ$25,1,0)</f>
        <v>1</v>
      </c>
      <c r="BA18" s="10">
        <f>IF(預測IC!BA18&gt;預測IC!BA$25,1,0)</f>
        <v>1</v>
      </c>
      <c r="BB18" s="10">
        <f>IF(預測IC!BB18&gt;預測IC!BB$25,1,0)</f>
        <v>0</v>
      </c>
      <c r="BC18" s="10">
        <f>IF(預測IC!BC18&gt;預測IC!BC$25,1,0)</f>
        <v>1</v>
      </c>
      <c r="BD18" s="10">
        <f>IF(預測IC!BD18&gt;預測IC!BD$25,1,0)</f>
        <v>0</v>
      </c>
      <c r="BE18" s="10">
        <f>IF(預測IC!BE18&gt;預測IC!BE$25,1,0)</f>
        <v>0</v>
      </c>
      <c r="BF18" s="10">
        <f>IF(預測IC!BF18&gt;預測IC!BF$25,1,0)</f>
        <v>0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0</v>
      </c>
      <c r="BJ18" s="10">
        <f>IF(預測IC!BJ18&gt;預測IC!BJ$25,1,0)</f>
        <v>1</v>
      </c>
      <c r="BK18" s="10">
        <f>IF(預測IC!BK18&gt;預測IC!BK$25,1,0)</f>
        <v>1</v>
      </c>
      <c r="BL18" s="10">
        <f>IF(預測IC!BL18&gt;預測IC!BL$25,1,0)</f>
        <v>0</v>
      </c>
      <c r="BM18" s="10">
        <f>IF(預測IC!BM18&gt;預測IC!BM$25,1,0)</f>
        <v>0</v>
      </c>
      <c r="BN18" s="10">
        <f>IF(預測IC!BN18&gt;預測IC!BN$25,1,0)</f>
        <v>1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0</v>
      </c>
      <c r="BR18" s="10">
        <f>IF(預測IC!BR18&gt;預測IC!BR$25,1,0)</f>
        <v>0</v>
      </c>
      <c r="BS18" s="10">
        <f>IF(預測IC!BS18&gt;預測IC!BS$25,1,0)</f>
        <v>0</v>
      </c>
      <c r="BT18" s="10">
        <f>IF(預測IC!BT18&gt;預測IC!BT$25,1,0)</f>
        <v>1</v>
      </c>
      <c r="BU18" s="10">
        <f>IF(預測IC!BU18&gt;預測IC!BU$25,1,0)</f>
        <v>0</v>
      </c>
      <c r="BV18" s="10">
        <f>IF(預測IC!BV18&gt;預測IC!BV$25,1,0)</f>
        <v>0</v>
      </c>
      <c r="BW18" s="10">
        <f>IF(預測IC!BW18&gt;預測IC!BW$25,1,0)</f>
        <v>1</v>
      </c>
      <c r="BX18" s="10">
        <f>IF(預測IC!BX18&gt;預測IC!BX$25,1,0)</f>
        <v>1</v>
      </c>
      <c r="BY18" s="10">
        <f>IF(預測IC!BY18&gt;預測IC!BY$25,1,0)</f>
        <v>0</v>
      </c>
      <c r="BZ18" s="10">
        <f>IF(預測IC!BZ18&gt;預測IC!BZ$25,1,0)</f>
        <v>0</v>
      </c>
      <c r="CA18" s="10">
        <f>IF(預測IC!CA18&gt;預測IC!CA$25,1,0)</f>
        <v>1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1</v>
      </c>
      <c r="CH18" s="10">
        <f>IF(預測IC!CH18&gt;預測IC!CH$25,1,0)</f>
        <v>1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0</v>
      </c>
      <c r="CL18" s="10">
        <f>IF(預測IC!CL18&gt;預測IC!CL$25,1,0)</f>
        <v>1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0</v>
      </c>
      <c r="CQ18" s="10">
        <f>IF(預測IC!CQ18&gt;預測IC!CQ$25,1,0)</f>
        <v>1</v>
      </c>
      <c r="CR18" s="10">
        <f>IF(預測IC!CR18&gt;預測IC!CR$25,1,0)</f>
        <v>0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1</v>
      </c>
      <c r="CV18" s="10">
        <f>IF(預測IC!CV18&gt;預測IC!CV$25,1,0)</f>
        <v>0</v>
      </c>
      <c r="CW18" s="10">
        <f>IF(預測IC!CW18&gt;預測IC!CW$25,1,0)</f>
        <v>1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1</v>
      </c>
      <c r="DB18" s="10">
        <f>IF(預測IC!DB18&gt;預測IC!DB$25,1,0)</f>
        <v>0</v>
      </c>
      <c r="DC18" s="10">
        <f>IF(預測IC!DC18&gt;預測IC!DC$25,1,0)</f>
        <v>1</v>
      </c>
      <c r="DD18" s="10">
        <f>IF(預測IC!DD18&gt;預測IC!DD$25,1,0)</f>
        <v>1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1</v>
      </c>
      <c r="DI18" s="10">
        <f>IF(預測IC!DI18&gt;預測IC!DI$25,1,0)</f>
        <v>0</v>
      </c>
      <c r="DJ18" s="10">
        <f>IF(預測IC!DJ18&gt;預測IC!DJ$25,1,0)</f>
        <v>1</v>
      </c>
      <c r="DK18" s="10">
        <f>IF(預測IC!DK18&gt;預測IC!DK$25,1,0)</f>
        <v>0</v>
      </c>
      <c r="DL18" s="10">
        <f>IF(預測IC!DL18&gt;預測IC!DL$25,1,0)</f>
        <v>1</v>
      </c>
      <c r="DM18" s="10">
        <f>IF(預測IC!DM18&gt;預測IC!DM$25,1,0)</f>
        <v>0</v>
      </c>
      <c r="DN18" s="10">
        <f>IF(預測IC!DN18&gt;預測IC!DN$25,1,0)</f>
        <v>1</v>
      </c>
      <c r="DO18" s="10">
        <f>IF(預測IC!DO18&gt;預測IC!DO$25,1,0)</f>
        <v>0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1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0</v>
      </c>
      <c r="EA18" s="10">
        <f>IF(預測IC!EA18&gt;預測IC!EA$25,1,0)</f>
        <v>0</v>
      </c>
      <c r="EB18" s="10">
        <f>IF(預測IC!EB18&gt;預測IC!EB$25,1,0)</f>
        <v>1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1</v>
      </c>
      <c r="EG18" s="10">
        <f>IF(預測IC!EG18&gt;預測IC!EG$25,1,0)</f>
        <v>1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0</v>
      </c>
      <c r="EL18" s="10">
        <f>IF(預測IC!EL18&gt;預測IC!EL$25,1,0)</f>
        <v>0</v>
      </c>
      <c r="EM18" s="6">
        <f t="shared" si="11"/>
        <v>70</v>
      </c>
      <c r="EN18" s="19">
        <f t="shared" si="12"/>
        <v>0.5</v>
      </c>
    </row>
    <row r="19" spans="1:144" x14ac:dyDescent="0.3">
      <c r="A19" s="18">
        <v>180</v>
      </c>
      <c r="B19" s="18">
        <f t="shared" si="10"/>
        <v>6</v>
      </c>
      <c r="C19" s="10">
        <f>IF(預測IC!C19&gt;預測IC!C$25,1,0)</f>
        <v>0</v>
      </c>
      <c r="D19" s="10">
        <f>IF(預測IC!D19&gt;預測IC!D$25,1,0)</f>
        <v>0</v>
      </c>
      <c r="E19" s="10">
        <f>IF(預測IC!E19&gt;預測IC!E$25,1,0)</f>
        <v>1</v>
      </c>
      <c r="F19" s="10">
        <f>IF(預測IC!F19&gt;預測IC!F$25,1,0)</f>
        <v>0</v>
      </c>
      <c r="G19" s="10">
        <f>IF(預測IC!G19&gt;預測IC!G$25,1,0)</f>
        <v>0</v>
      </c>
      <c r="H19" s="10">
        <f>IF(預測IC!H19&gt;預測IC!H$25,1,0)</f>
        <v>1</v>
      </c>
      <c r="I19" s="10">
        <f>IF(預測IC!I19&gt;預測IC!I$25,1,0)</f>
        <v>1</v>
      </c>
      <c r="J19" s="10">
        <f>IF(預測IC!J19&gt;預測IC!J$25,1,0)</f>
        <v>0</v>
      </c>
      <c r="K19" s="10">
        <f>IF(預測IC!K19&gt;預測IC!K$25,1,0)</f>
        <v>1</v>
      </c>
      <c r="L19" s="10">
        <f>IF(預測IC!L19&gt;預測IC!L$25,1,0)</f>
        <v>0</v>
      </c>
      <c r="M19" s="10">
        <f>IF(預測IC!M19&gt;預測IC!M$25,1,0)</f>
        <v>0</v>
      </c>
      <c r="N19" s="10">
        <f>IF(預測IC!N19&gt;預測IC!N$25,1,0)</f>
        <v>0</v>
      </c>
      <c r="O19" s="10">
        <f>IF(預測IC!O19&gt;預測IC!O$25,1,0)</f>
        <v>1</v>
      </c>
      <c r="P19" s="10">
        <f>IF(預測IC!P19&gt;預測IC!P$25,1,0)</f>
        <v>0</v>
      </c>
      <c r="Q19" s="10">
        <f>IF(預測IC!Q19&gt;預測IC!Q$25,1,0)</f>
        <v>0</v>
      </c>
      <c r="R19" s="10">
        <f>IF(預測IC!R19&gt;預測IC!R$25,1,0)</f>
        <v>0</v>
      </c>
      <c r="S19" s="10">
        <f>IF(預測IC!S19&gt;預測IC!S$25,1,0)</f>
        <v>1</v>
      </c>
      <c r="T19" s="10">
        <f>IF(預測IC!T19&gt;預測IC!T$25,1,0)</f>
        <v>1</v>
      </c>
      <c r="U19" s="10">
        <f>IF(預測IC!U19&gt;預測IC!U$25,1,0)</f>
        <v>1</v>
      </c>
      <c r="V19" s="10">
        <f>IF(預測IC!V19&gt;預測IC!V$25,1,0)</f>
        <v>1</v>
      </c>
      <c r="W19" s="10">
        <f>IF(預測IC!W19&gt;預測IC!W$25,1,0)</f>
        <v>1</v>
      </c>
      <c r="X19" s="10">
        <f>IF(預測IC!X19&gt;預測IC!X$25,1,0)</f>
        <v>1</v>
      </c>
      <c r="Y19" s="10">
        <f>IF(預測IC!Y19&gt;預測IC!Y$25,1,0)</f>
        <v>0</v>
      </c>
      <c r="Z19" s="10">
        <f>IF(預測IC!Z19&gt;預測IC!Z$25,1,0)</f>
        <v>1</v>
      </c>
      <c r="AA19" s="10">
        <f>IF(預測IC!AA19&gt;預測IC!AA$25,1,0)</f>
        <v>0</v>
      </c>
      <c r="AB19" s="10">
        <f>IF(預測IC!AB19&gt;預測IC!AB$25,1,0)</f>
        <v>0</v>
      </c>
      <c r="AC19" s="10">
        <f>IF(預測IC!AC19&gt;預測IC!AC$25,1,0)</f>
        <v>0</v>
      </c>
      <c r="AD19" s="10">
        <f>IF(預測IC!AD19&gt;預測IC!AD$25,1,0)</f>
        <v>0</v>
      </c>
      <c r="AE19" s="10">
        <f>IF(預測IC!AE19&gt;預測IC!AE$25,1,0)</f>
        <v>0</v>
      </c>
      <c r="AF19" s="10">
        <f>IF(預測IC!AF19&gt;預測IC!AF$25,1,0)</f>
        <v>1</v>
      </c>
      <c r="AG19" s="10">
        <f>IF(預測IC!AG19&gt;預測IC!AG$25,1,0)</f>
        <v>0</v>
      </c>
      <c r="AH19" s="10">
        <f>IF(預測IC!AH19&gt;預測IC!AH$25,1,0)</f>
        <v>0</v>
      </c>
      <c r="AI19" s="10">
        <f>IF(預測IC!AI19&gt;預測IC!AI$25,1,0)</f>
        <v>1</v>
      </c>
      <c r="AJ19" s="10">
        <f>IF(預測IC!AJ19&gt;預測IC!AJ$25,1,0)</f>
        <v>0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0</v>
      </c>
      <c r="AO19" s="10">
        <f>IF(預測IC!AO19&gt;預測IC!AO$25,1,0)</f>
        <v>0</v>
      </c>
      <c r="AP19" s="10">
        <f>IF(預測IC!AP19&gt;預測IC!AP$25,1,0)</f>
        <v>1</v>
      </c>
      <c r="AQ19" s="10">
        <f>IF(預測IC!AQ19&gt;預測IC!AQ$25,1,0)</f>
        <v>0</v>
      </c>
      <c r="AR19" s="10">
        <f>IF(預測IC!AR19&gt;預測IC!AR$25,1,0)</f>
        <v>0</v>
      </c>
      <c r="AS19" s="10">
        <f>IF(預測IC!AS19&gt;預測IC!AS$25,1,0)</f>
        <v>0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1</v>
      </c>
      <c r="BA19" s="10">
        <f>IF(預測IC!BA19&gt;預測IC!BA$25,1,0)</f>
        <v>0</v>
      </c>
      <c r="BB19" s="10">
        <f>IF(預測IC!BB19&gt;預測IC!BB$25,1,0)</f>
        <v>0</v>
      </c>
      <c r="BC19" s="10">
        <f>IF(預測IC!BC19&gt;預測IC!BC$25,1,0)</f>
        <v>1</v>
      </c>
      <c r="BD19" s="10">
        <f>IF(預測IC!BD19&gt;預測IC!BD$25,1,0)</f>
        <v>1</v>
      </c>
      <c r="BE19" s="10">
        <f>IF(預測IC!BE19&gt;預測IC!BE$25,1,0)</f>
        <v>0</v>
      </c>
      <c r="BF19" s="10">
        <f>IF(預測IC!BF19&gt;預測IC!BF$25,1,0)</f>
        <v>0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0</v>
      </c>
      <c r="BJ19" s="10">
        <f>IF(預測IC!BJ19&gt;預測IC!BJ$25,1,0)</f>
        <v>1</v>
      </c>
      <c r="BK19" s="10">
        <f>IF(預測IC!BK19&gt;預測IC!BK$25,1,0)</f>
        <v>1</v>
      </c>
      <c r="BL19" s="10">
        <f>IF(預測IC!BL19&gt;預測IC!BL$25,1,0)</f>
        <v>0</v>
      </c>
      <c r="BM19" s="10">
        <f>IF(預測IC!BM19&gt;預測IC!BM$25,1,0)</f>
        <v>1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0</v>
      </c>
      <c r="BR19" s="10">
        <f>IF(預測IC!BR19&gt;預測IC!BR$25,1,0)</f>
        <v>0</v>
      </c>
      <c r="BS19" s="10">
        <f>IF(預測IC!BS19&gt;預測IC!BS$25,1,0)</f>
        <v>0</v>
      </c>
      <c r="BT19" s="10">
        <f>IF(預測IC!BT19&gt;預測IC!BT$25,1,0)</f>
        <v>1</v>
      </c>
      <c r="BU19" s="10">
        <f>IF(預測IC!BU19&gt;預測IC!BU$25,1,0)</f>
        <v>0</v>
      </c>
      <c r="BV19" s="10">
        <f>IF(預測IC!BV19&gt;預測IC!BV$25,1,0)</f>
        <v>0</v>
      </c>
      <c r="BW19" s="10">
        <f>IF(預測IC!BW19&gt;預測IC!BW$25,1,0)</f>
        <v>1</v>
      </c>
      <c r="BX19" s="10">
        <f>IF(預測IC!BX19&gt;預測IC!BX$25,1,0)</f>
        <v>1</v>
      </c>
      <c r="BY19" s="10">
        <f>IF(預測IC!BY19&gt;預測IC!BY$25,1,0)</f>
        <v>0</v>
      </c>
      <c r="BZ19" s="10">
        <f>IF(預測IC!BZ19&gt;預測IC!BZ$25,1,0)</f>
        <v>0</v>
      </c>
      <c r="CA19" s="10">
        <f>IF(預測IC!CA19&gt;預測IC!CA$25,1,0)</f>
        <v>1</v>
      </c>
      <c r="CB19" s="10">
        <f>IF(預測IC!CB19&gt;預測IC!CB$25,1,0)</f>
        <v>0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1</v>
      </c>
      <c r="CF19" s="10">
        <f>IF(預測IC!CF19&gt;預測IC!CF$25,1,0)</f>
        <v>1</v>
      </c>
      <c r="CG19" s="10">
        <f>IF(預測IC!CG19&gt;預測IC!CG$25,1,0)</f>
        <v>1</v>
      </c>
      <c r="CH19" s="10">
        <f>IF(預測IC!CH19&gt;預測IC!CH$25,1,0)</f>
        <v>0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0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0</v>
      </c>
      <c r="CQ19" s="10">
        <f>IF(預測IC!CQ19&gt;預測IC!CQ$25,1,0)</f>
        <v>1</v>
      </c>
      <c r="CR19" s="10">
        <f>IF(預測IC!CR19&gt;預測IC!CR$25,1,0)</f>
        <v>0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1</v>
      </c>
      <c r="CV19" s="10">
        <f>IF(預測IC!CV19&gt;預測IC!CV$25,1,0)</f>
        <v>1</v>
      </c>
      <c r="CW19" s="10">
        <f>IF(預測IC!CW19&gt;預測IC!CW$25,1,0)</f>
        <v>1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1</v>
      </c>
      <c r="DB19" s="10">
        <f>IF(預測IC!DB19&gt;預測IC!DB$25,1,0)</f>
        <v>0</v>
      </c>
      <c r="DC19" s="10">
        <f>IF(預測IC!DC19&gt;預測IC!DC$25,1,0)</f>
        <v>1</v>
      </c>
      <c r="DD19" s="10">
        <f>IF(預測IC!DD19&gt;預測IC!DD$25,1,0)</f>
        <v>1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1</v>
      </c>
      <c r="DI19" s="10">
        <f>IF(預測IC!DI19&gt;預測IC!DI$25,1,0)</f>
        <v>0</v>
      </c>
      <c r="DJ19" s="10">
        <f>IF(預測IC!DJ19&gt;預測IC!DJ$25,1,0)</f>
        <v>1</v>
      </c>
      <c r="DK19" s="10">
        <f>IF(預測IC!DK19&gt;預測IC!DK$25,1,0)</f>
        <v>0</v>
      </c>
      <c r="DL19" s="10">
        <f>IF(預測IC!DL19&gt;預測IC!DL$25,1,0)</f>
        <v>1</v>
      </c>
      <c r="DM19" s="10">
        <f>IF(預測IC!DM19&gt;預測IC!DM$25,1,0)</f>
        <v>0</v>
      </c>
      <c r="DN19" s="10">
        <f>IF(預測IC!DN19&gt;預測IC!DN$25,1,0)</f>
        <v>1</v>
      </c>
      <c r="DO19" s="10">
        <f>IF(預測IC!DO19&gt;預測IC!DO$25,1,0)</f>
        <v>0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0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1</v>
      </c>
      <c r="DW19" s="10">
        <f>IF(預測IC!DW19&gt;預測IC!DW$25,1,0)</f>
        <v>0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0</v>
      </c>
      <c r="EA19" s="10">
        <f>IF(預測IC!EA19&gt;預測IC!EA$25,1,0)</f>
        <v>0</v>
      </c>
      <c r="EB19" s="10">
        <f>IF(預測IC!EB19&gt;預測IC!EB$25,1,0)</f>
        <v>1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1</v>
      </c>
      <c r="EG19" s="10">
        <f>IF(預測IC!EG19&gt;預測IC!EG$25,1,0)</f>
        <v>1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1</v>
      </c>
      <c r="EK19" s="10">
        <f>IF(預測IC!EK19&gt;預測IC!EK$25,1,0)</f>
        <v>0</v>
      </c>
      <c r="EL19" s="10">
        <f>IF(預測IC!EL19&gt;預測IC!EL$25,1,0)</f>
        <v>0</v>
      </c>
      <c r="EM19" s="6">
        <f t="shared" si="11"/>
        <v>66</v>
      </c>
      <c r="EN19" s="19">
        <f t="shared" si="12"/>
        <v>0.47142857142857142</v>
      </c>
    </row>
    <row r="20" spans="1:144" x14ac:dyDescent="0.3">
      <c r="A20" s="18">
        <v>200</v>
      </c>
      <c r="B20" s="18">
        <f t="shared" si="10"/>
        <v>5</v>
      </c>
      <c r="C20" s="10">
        <f>IF(預測IC!C20&gt;預測IC!C$25,1,0)</f>
        <v>0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1</v>
      </c>
      <c r="G20" s="10">
        <f>IF(預測IC!G20&gt;預測IC!G$25,1,0)</f>
        <v>0</v>
      </c>
      <c r="H20" s="10">
        <f>IF(預測IC!H20&gt;預測IC!H$25,1,0)</f>
        <v>0</v>
      </c>
      <c r="I20" s="10">
        <f>IF(預測IC!I20&gt;預測IC!I$25,1,0)</f>
        <v>1</v>
      </c>
      <c r="J20" s="10">
        <f>IF(預測IC!J20&gt;預測IC!J$25,1,0)</f>
        <v>0</v>
      </c>
      <c r="K20" s="10">
        <f>IF(預測IC!K20&gt;預測IC!K$25,1,0)</f>
        <v>1</v>
      </c>
      <c r="L20" s="10">
        <f>IF(預測IC!L20&gt;預測IC!L$25,1,0)</f>
        <v>0</v>
      </c>
      <c r="M20" s="10">
        <f>IF(預測IC!M20&gt;預測IC!M$25,1,0)</f>
        <v>0</v>
      </c>
      <c r="N20" s="10">
        <f>IF(預測IC!N20&gt;預測IC!N$25,1,0)</f>
        <v>0</v>
      </c>
      <c r="O20" s="10">
        <f>IF(預測IC!O20&gt;預測IC!O$25,1,0)</f>
        <v>1</v>
      </c>
      <c r="P20" s="10">
        <f>IF(預測IC!P20&gt;預測IC!P$25,1,0)</f>
        <v>0</v>
      </c>
      <c r="Q20" s="10">
        <f>IF(預測IC!Q20&gt;預測IC!Q$25,1,0)</f>
        <v>1</v>
      </c>
      <c r="R20" s="10">
        <f>IF(預測IC!R20&gt;預測IC!R$25,1,0)</f>
        <v>0</v>
      </c>
      <c r="S20" s="10">
        <f>IF(預測IC!S20&gt;預測IC!S$25,1,0)</f>
        <v>1</v>
      </c>
      <c r="T20" s="10">
        <f>IF(預測IC!T20&gt;預測IC!T$25,1,0)</f>
        <v>1</v>
      </c>
      <c r="U20" s="10">
        <f>IF(預測IC!U20&gt;預測IC!U$25,1,0)</f>
        <v>1</v>
      </c>
      <c r="V20" s="10">
        <f>IF(預測IC!V20&gt;預測IC!V$25,1,0)</f>
        <v>1</v>
      </c>
      <c r="W20" s="10">
        <f>IF(預測IC!W20&gt;預測IC!W$25,1,0)</f>
        <v>0</v>
      </c>
      <c r="X20" s="10">
        <f>IF(預測IC!X20&gt;預測IC!X$25,1,0)</f>
        <v>1</v>
      </c>
      <c r="Y20" s="10">
        <f>IF(預測IC!Y20&gt;預測IC!Y$25,1,0)</f>
        <v>0</v>
      </c>
      <c r="Z20" s="10">
        <f>IF(預測IC!Z20&gt;預測IC!Z$25,1,0)</f>
        <v>1</v>
      </c>
      <c r="AA20" s="10">
        <f>IF(預測IC!AA20&gt;預測IC!AA$25,1,0)</f>
        <v>0</v>
      </c>
      <c r="AB20" s="10">
        <f>IF(預測IC!AB20&gt;預測IC!AB$25,1,0)</f>
        <v>0</v>
      </c>
      <c r="AC20" s="10">
        <f>IF(預測IC!AC20&gt;預測IC!AC$25,1,0)</f>
        <v>0</v>
      </c>
      <c r="AD20" s="10">
        <f>IF(預測IC!AD20&gt;預測IC!AD$25,1,0)</f>
        <v>0</v>
      </c>
      <c r="AE20" s="10">
        <f>IF(預測IC!AE20&gt;預測IC!AE$25,1,0)</f>
        <v>0</v>
      </c>
      <c r="AF20" s="10">
        <f>IF(預測IC!AF20&gt;預測IC!AF$25,1,0)</f>
        <v>1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1</v>
      </c>
      <c r="AJ20" s="10">
        <f>IF(預測IC!AJ20&gt;預測IC!AJ$25,1,0)</f>
        <v>1</v>
      </c>
      <c r="AK20" s="10">
        <f>IF(預測IC!AK20&gt;預測IC!AK$25,1,0)</f>
        <v>1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0</v>
      </c>
      <c r="AO20" s="10">
        <f>IF(預測IC!AO20&gt;預測IC!AO$25,1,0)</f>
        <v>0</v>
      </c>
      <c r="AP20" s="10">
        <f>IF(預測IC!AP20&gt;預測IC!AP$25,1,0)</f>
        <v>1</v>
      </c>
      <c r="AQ20" s="10">
        <f>IF(預測IC!AQ20&gt;預測IC!AQ$25,1,0)</f>
        <v>0</v>
      </c>
      <c r="AR20" s="10">
        <f>IF(預測IC!AR20&gt;預測IC!AR$25,1,0)</f>
        <v>0</v>
      </c>
      <c r="AS20" s="10">
        <f>IF(預測IC!AS20&gt;預測IC!AS$25,1,0)</f>
        <v>0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1</v>
      </c>
      <c r="BA20" s="10">
        <f>IF(預測IC!BA20&gt;預測IC!BA$25,1,0)</f>
        <v>0</v>
      </c>
      <c r="BB20" s="10">
        <f>IF(預測IC!BB20&gt;預測IC!BB$25,1,0)</f>
        <v>0</v>
      </c>
      <c r="BC20" s="10">
        <f>IF(預測IC!BC20&gt;預測IC!BC$25,1,0)</f>
        <v>1</v>
      </c>
      <c r="BD20" s="10">
        <f>IF(預測IC!BD20&gt;預測IC!BD$25,1,0)</f>
        <v>1</v>
      </c>
      <c r="BE20" s="10">
        <f>IF(預測IC!BE20&gt;預測IC!BE$25,1,0)</f>
        <v>0</v>
      </c>
      <c r="BF20" s="10">
        <f>IF(預測IC!BF20&gt;預測IC!BF$25,1,0)</f>
        <v>0</v>
      </c>
      <c r="BG20" s="10">
        <f>IF(預測IC!BG20&gt;預測IC!BG$25,1,0)</f>
        <v>1</v>
      </c>
      <c r="BH20" s="10">
        <f>IF(預測IC!BH20&gt;預測IC!BH$25,1,0)</f>
        <v>1</v>
      </c>
      <c r="BI20" s="10">
        <f>IF(預測IC!BI20&gt;預測IC!BI$25,1,0)</f>
        <v>0</v>
      </c>
      <c r="BJ20" s="10">
        <f>IF(預測IC!BJ20&gt;預測IC!BJ$25,1,0)</f>
        <v>1</v>
      </c>
      <c r="BK20" s="10">
        <f>IF(預測IC!BK20&gt;預測IC!BK$25,1,0)</f>
        <v>1</v>
      </c>
      <c r="BL20" s="10">
        <f>IF(預測IC!BL20&gt;預測IC!BL$25,1,0)</f>
        <v>0</v>
      </c>
      <c r="BM20" s="10">
        <f>IF(預測IC!BM20&gt;預測IC!BM$25,1,0)</f>
        <v>0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0</v>
      </c>
      <c r="BR20" s="10">
        <f>IF(預測IC!BR20&gt;預測IC!BR$25,1,0)</f>
        <v>0</v>
      </c>
      <c r="BS20" s="10">
        <f>IF(預測IC!BS20&gt;預測IC!BS$25,1,0)</f>
        <v>0</v>
      </c>
      <c r="BT20" s="10">
        <f>IF(預測IC!BT20&gt;預測IC!BT$25,1,0)</f>
        <v>1</v>
      </c>
      <c r="BU20" s="10">
        <f>IF(預測IC!BU20&gt;預測IC!BU$25,1,0)</f>
        <v>0</v>
      </c>
      <c r="BV20" s="10">
        <f>IF(預測IC!BV20&gt;預測IC!BV$25,1,0)</f>
        <v>0</v>
      </c>
      <c r="BW20" s="10">
        <f>IF(預測IC!BW20&gt;預測IC!BW$25,1,0)</f>
        <v>1</v>
      </c>
      <c r="BX20" s="10">
        <f>IF(預測IC!BX20&gt;預測IC!BX$25,1,0)</f>
        <v>1</v>
      </c>
      <c r="BY20" s="10">
        <f>IF(預測IC!BY20&gt;預測IC!BY$25,1,0)</f>
        <v>0</v>
      </c>
      <c r="BZ20" s="10">
        <f>IF(預測IC!BZ20&gt;預測IC!BZ$25,1,0)</f>
        <v>0</v>
      </c>
      <c r="CA20" s="10">
        <f>IF(預測IC!CA20&gt;預測IC!CA$25,1,0)</f>
        <v>0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1</v>
      </c>
      <c r="CF20" s="10">
        <f>IF(預測IC!CF20&gt;預測IC!CF$25,1,0)</f>
        <v>1</v>
      </c>
      <c r="CG20" s="10">
        <f>IF(預測IC!CG20&gt;預測IC!CG$25,1,0)</f>
        <v>1</v>
      </c>
      <c r="CH20" s="10">
        <f>IF(預測IC!CH20&gt;預測IC!CH$25,1,0)</f>
        <v>0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0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0</v>
      </c>
      <c r="CQ20" s="10">
        <f>IF(預測IC!CQ20&gt;預測IC!CQ$25,1,0)</f>
        <v>1</v>
      </c>
      <c r="CR20" s="10">
        <f>IF(預測IC!CR20&gt;預測IC!CR$25,1,0)</f>
        <v>0</v>
      </c>
      <c r="CS20" s="10">
        <f>IF(預測IC!CS20&gt;預測IC!CS$25,1,0)</f>
        <v>0</v>
      </c>
      <c r="CT20" s="10">
        <f>IF(預測IC!CT20&gt;預測IC!CT$25,1,0)</f>
        <v>1</v>
      </c>
      <c r="CU20" s="10">
        <f>IF(預測IC!CU20&gt;預測IC!CU$25,1,0)</f>
        <v>1</v>
      </c>
      <c r="CV20" s="10">
        <f>IF(預測IC!CV20&gt;預測IC!CV$25,1,0)</f>
        <v>1</v>
      </c>
      <c r="CW20" s="10">
        <f>IF(預測IC!CW20&gt;預測IC!CW$25,1,0)</f>
        <v>1</v>
      </c>
      <c r="CX20" s="10">
        <f>IF(預測IC!CX20&gt;預測IC!CX$25,1,0)</f>
        <v>1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1</v>
      </c>
      <c r="DB20" s="10">
        <f>IF(預測IC!DB20&gt;預測IC!DB$25,1,0)</f>
        <v>0</v>
      </c>
      <c r="DC20" s="10">
        <f>IF(預測IC!DC20&gt;預測IC!DC$25,1,0)</f>
        <v>1</v>
      </c>
      <c r="DD20" s="10">
        <f>IF(預測IC!DD20&gt;預測IC!DD$25,1,0)</f>
        <v>1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1</v>
      </c>
      <c r="DI20" s="10">
        <f>IF(預測IC!DI20&gt;預測IC!DI$25,1,0)</f>
        <v>0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1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0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0</v>
      </c>
      <c r="DS20" s="10">
        <f>IF(預測IC!DS20&gt;預測IC!DS$25,1,0)</f>
        <v>1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1</v>
      </c>
      <c r="DW20" s="10">
        <f>IF(預測IC!DW20&gt;預測IC!DW$25,1,0)</f>
        <v>0</v>
      </c>
      <c r="DX20" s="10">
        <f>IF(預測IC!DX20&gt;預測IC!DX$25,1,0)</f>
        <v>1</v>
      </c>
      <c r="DY20" s="10">
        <f>IF(預測IC!DY20&gt;預測IC!DY$25,1,0)</f>
        <v>1</v>
      </c>
      <c r="DZ20" s="10">
        <f>IF(預測IC!DZ20&gt;預測IC!DZ$25,1,0)</f>
        <v>0</v>
      </c>
      <c r="EA20" s="10">
        <f>IF(預測IC!EA20&gt;預測IC!EA$25,1,0)</f>
        <v>0</v>
      </c>
      <c r="EB20" s="10">
        <f>IF(預測IC!EB20&gt;預測IC!EB$25,1,0)</f>
        <v>1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0</v>
      </c>
      <c r="EF20" s="10">
        <f>IF(預測IC!EF20&gt;預測IC!EF$25,1,0)</f>
        <v>1</v>
      </c>
      <c r="EG20" s="10">
        <f>IF(預測IC!EG20&gt;預測IC!EG$25,1,0)</f>
        <v>1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1</v>
      </c>
      <c r="EK20" s="10">
        <f>IF(預測IC!EK20&gt;預測IC!EK$25,1,0)</f>
        <v>0</v>
      </c>
      <c r="EL20" s="10">
        <f>IF(預測IC!EL20&gt;預測IC!EL$25,1,0)</f>
        <v>0</v>
      </c>
      <c r="EM20" s="6">
        <f t="shared" si="11"/>
        <v>69</v>
      </c>
      <c r="EN20" s="19">
        <f t="shared" si="12"/>
        <v>0.49285714285714288</v>
      </c>
    </row>
    <row r="21" spans="1:144" x14ac:dyDescent="0.3">
      <c r="A21" s="18">
        <v>256</v>
      </c>
      <c r="B21" s="18">
        <f t="shared" si="10"/>
        <v>4</v>
      </c>
      <c r="C21" s="10">
        <f>IF(預測IC!C21&gt;預測IC!C$25,1,0)</f>
        <v>0</v>
      </c>
      <c r="D21" s="10">
        <f>IF(預測IC!D21&gt;預測IC!D$25,1,0)</f>
        <v>0</v>
      </c>
      <c r="E21" s="10">
        <f>IF(預測IC!E21&gt;預測IC!E$25,1,0)</f>
        <v>1</v>
      </c>
      <c r="F21" s="10">
        <f>IF(預測IC!F21&gt;預測IC!F$25,1,0)</f>
        <v>1</v>
      </c>
      <c r="G21" s="10">
        <f>IF(預測IC!G21&gt;預測IC!G$25,1,0)</f>
        <v>0</v>
      </c>
      <c r="H21" s="10">
        <f>IF(預測IC!H21&gt;預測IC!H$25,1,0)</f>
        <v>1</v>
      </c>
      <c r="I21" s="10">
        <f>IF(預測IC!I21&gt;預測IC!I$25,1,0)</f>
        <v>1</v>
      </c>
      <c r="J21" s="10">
        <f>IF(預測IC!J21&gt;預測IC!J$25,1,0)</f>
        <v>0</v>
      </c>
      <c r="K21" s="10">
        <f>IF(預測IC!K21&gt;預測IC!K$25,1,0)</f>
        <v>1</v>
      </c>
      <c r="L21" s="10">
        <f>IF(預測IC!L21&gt;預測IC!L$25,1,0)</f>
        <v>0</v>
      </c>
      <c r="M21" s="10">
        <f>IF(預測IC!M21&gt;預測IC!M$25,1,0)</f>
        <v>0</v>
      </c>
      <c r="N21" s="10">
        <f>IF(預測IC!N21&gt;預測IC!N$25,1,0)</f>
        <v>0</v>
      </c>
      <c r="O21" s="10">
        <f>IF(預測IC!O21&gt;預測IC!O$25,1,0)</f>
        <v>1</v>
      </c>
      <c r="P21" s="10">
        <f>IF(預測IC!P21&gt;預測IC!P$25,1,0)</f>
        <v>0</v>
      </c>
      <c r="Q21" s="10">
        <f>IF(預測IC!Q21&gt;預測IC!Q$25,1,0)</f>
        <v>1</v>
      </c>
      <c r="R21" s="10">
        <f>IF(預測IC!R21&gt;預測IC!R$25,1,0)</f>
        <v>0</v>
      </c>
      <c r="S21" s="10">
        <f>IF(預測IC!S21&gt;預測IC!S$25,1,0)</f>
        <v>1</v>
      </c>
      <c r="T21" s="10">
        <f>IF(預測IC!T21&gt;預測IC!T$25,1,0)</f>
        <v>0</v>
      </c>
      <c r="U21" s="10">
        <f>IF(預測IC!U21&gt;預測IC!U$25,1,0)</f>
        <v>1</v>
      </c>
      <c r="V21" s="10">
        <f>IF(預測IC!V21&gt;預測IC!V$25,1,0)</f>
        <v>1</v>
      </c>
      <c r="W21" s="10">
        <f>IF(預測IC!W21&gt;預測IC!W$25,1,0)</f>
        <v>0</v>
      </c>
      <c r="X21" s="10">
        <f>IF(預測IC!X21&gt;預測IC!X$25,1,0)</f>
        <v>1</v>
      </c>
      <c r="Y21" s="10">
        <f>IF(預測IC!Y21&gt;預測IC!Y$25,1,0)</f>
        <v>0</v>
      </c>
      <c r="Z21" s="10">
        <f>IF(預測IC!Z21&gt;預測IC!Z$25,1,0)</f>
        <v>0</v>
      </c>
      <c r="AA21" s="10">
        <f>IF(預測IC!AA21&gt;預測IC!AA$25,1,0)</f>
        <v>0</v>
      </c>
      <c r="AB21" s="10">
        <f>IF(預測IC!AB21&gt;預測IC!AB$25,1,0)</f>
        <v>0</v>
      </c>
      <c r="AC21" s="10">
        <f>IF(預測IC!AC21&gt;預測IC!AC$25,1,0)</f>
        <v>1</v>
      </c>
      <c r="AD21" s="10">
        <f>IF(預測IC!AD21&gt;預測IC!AD$25,1,0)</f>
        <v>1</v>
      </c>
      <c r="AE21" s="10">
        <f>IF(預測IC!AE21&gt;預測IC!AE$25,1,0)</f>
        <v>0</v>
      </c>
      <c r="AF21" s="10">
        <f>IF(預測IC!AF21&gt;預測IC!AF$25,1,0)</f>
        <v>1</v>
      </c>
      <c r="AG21" s="10">
        <f>IF(預測IC!AG21&gt;預測IC!AG$25,1,0)</f>
        <v>0</v>
      </c>
      <c r="AH21" s="10">
        <f>IF(預測IC!AH21&gt;預測IC!AH$25,1,0)</f>
        <v>0</v>
      </c>
      <c r="AI21" s="10">
        <f>IF(預測IC!AI21&gt;預測IC!AI$25,1,0)</f>
        <v>0</v>
      </c>
      <c r="AJ21" s="10">
        <f>IF(預測IC!AJ21&gt;預測IC!AJ$25,1,0)</f>
        <v>1</v>
      </c>
      <c r="AK21" s="10">
        <f>IF(預測IC!AK21&gt;預測IC!AK$25,1,0)</f>
        <v>1</v>
      </c>
      <c r="AL21" s="10">
        <f>IF(預測IC!AL21&gt;預測IC!AL$25,1,0)</f>
        <v>1</v>
      </c>
      <c r="AM21" s="10">
        <f>IF(預測IC!AM21&gt;預測IC!AM$25,1,0)</f>
        <v>1</v>
      </c>
      <c r="AN21" s="10">
        <f>IF(預測IC!AN21&gt;預測IC!AN$25,1,0)</f>
        <v>0</v>
      </c>
      <c r="AO21" s="10">
        <f>IF(預測IC!AO21&gt;預測IC!AO$25,1,0)</f>
        <v>0</v>
      </c>
      <c r="AP21" s="10">
        <f>IF(預測IC!AP21&gt;預測IC!AP$25,1,0)</f>
        <v>0</v>
      </c>
      <c r="AQ21" s="10">
        <f>IF(預測IC!AQ21&gt;預測IC!AQ$25,1,0)</f>
        <v>0</v>
      </c>
      <c r="AR21" s="10">
        <f>IF(預測IC!AR21&gt;預測IC!AR$25,1,0)</f>
        <v>1</v>
      </c>
      <c r="AS21" s="10">
        <f>IF(預測IC!AS21&gt;預測IC!AS$25,1,0)</f>
        <v>1</v>
      </c>
      <c r="AT21" s="10">
        <f>IF(預測IC!AT21&gt;預測IC!AT$25,1,0)</f>
        <v>0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1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1</v>
      </c>
      <c r="BA21" s="10">
        <f>IF(預測IC!BA21&gt;預測IC!BA$25,1,0)</f>
        <v>0</v>
      </c>
      <c r="BB21" s="10">
        <f>IF(預測IC!BB21&gt;預測IC!BB$25,1,0)</f>
        <v>0</v>
      </c>
      <c r="BC21" s="10">
        <f>IF(預測IC!BC21&gt;預測IC!BC$25,1,0)</f>
        <v>1</v>
      </c>
      <c r="BD21" s="10">
        <f>IF(預測IC!BD21&gt;預測IC!BD$25,1,0)</f>
        <v>1</v>
      </c>
      <c r="BE21" s="10">
        <f>IF(預測IC!BE21&gt;預測IC!BE$25,1,0)</f>
        <v>0</v>
      </c>
      <c r="BF21" s="10">
        <f>IF(預測IC!BF21&gt;預測IC!BF$25,1,0)</f>
        <v>0</v>
      </c>
      <c r="BG21" s="10">
        <f>IF(預測IC!BG21&gt;預測IC!BG$25,1,0)</f>
        <v>1</v>
      </c>
      <c r="BH21" s="10">
        <f>IF(預測IC!BH21&gt;預測IC!BH$25,1,0)</f>
        <v>1</v>
      </c>
      <c r="BI21" s="10">
        <f>IF(預測IC!BI21&gt;預測IC!BI$25,1,0)</f>
        <v>0</v>
      </c>
      <c r="BJ21" s="10">
        <f>IF(預測IC!BJ21&gt;預測IC!BJ$25,1,0)</f>
        <v>1</v>
      </c>
      <c r="BK21" s="10">
        <f>IF(預測IC!BK21&gt;預測IC!BK$25,1,0)</f>
        <v>1</v>
      </c>
      <c r="BL21" s="10">
        <f>IF(預測IC!BL21&gt;預測IC!BL$25,1,0)</f>
        <v>0</v>
      </c>
      <c r="BM21" s="10">
        <f>IF(預測IC!BM21&gt;預測IC!BM$25,1,0)</f>
        <v>0</v>
      </c>
      <c r="BN21" s="10">
        <f>IF(預測IC!BN21&gt;預測IC!BN$25,1,0)</f>
        <v>0</v>
      </c>
      <c r="BO21" s="10">
        <f>IF(預測IC!BO21&gt;預測IC!BO$25,1,0)</f>
        <v>1</v>
      </c>
      <c r="BP21" s="10">
        <f>IF(預測IC!BP21&gt;預測IC!BP$25,1,0)</f>
        <v>1</v>
      </c>
      <c r="BQ21" s="10">
        <f>IF(預測IC!BQ21&gt;預測IC!BQ$25,1,0)</f>
        <v>0</v>
      </c>
      <c r="BR21" s="10">
        <f>IF(預測IC!BR21&gt;預測IC!BR$25,1,0)</f>
        <v>0</v>
      </c>
      <c r="BS21" s="10">
        <f>IF(預測IC!BS21&gt;預測IC!BS$25,1,0)</f>
        <v>0</v>
      </c>
      <c r="BT21" s="10">
        <f>IF(預測IC!BT21&gt;預測IC!BT$25,1,0)</f>
        <v>1</v>
      </c>
      <c r="BU21" s="10">
        <f>IF(預測IC!BU21&gt;預測IC!BU$25,1,0)</f>
        <v>0</v>
      </c>
      <c r="BV21" s="10">
        <f>IF(預測IC!BV21&gt;預測IC!BV$25,1,0)</f>
        <v>0</v>
      </c>
      <c r="BW21" s="10">
        <f>IF(預測IC!BW21&gt;預測IC!BW$25,1,0)</f>
        <v>1</v>
      </c>
      <c r="BX21" s="10">
        <f>IF(預測IC!BX21&gt;預測IC!BX$25,1,0)</f>
        <v>1</v>
      </c>
      <c r="BY21" s="10">
        <f>IF(預測IC!BY21&gt;預測IC!BY$25,1,0)</f>
        <v>0</v>
      </c>
      <c r="BZ21" s="10">
        <f>IF(預測IC!BZ21&gt;預測IC!BZ$25,1,0)</f>
        <v>0</v>
      </c>
      <c r="CA21" s="10">
        <f>IF(預測IC!CA21&gt;預測IC!CA$25,1,0)</f>
        <v>0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1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1</v>
      </c>
      <c r="CL21" s="10">
        <f>IF(預測IC!CL21&gt;預測IC!CL$25,1,0)</f>
        <v>0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0</v>
      </c>
      <c r="CQ21" s="10">
        <f>IF(預測IC!CQ21&gt;預測IC!CQ$25,1,0)</f>
        <v>1</v>
      </c>
      <c r="CR21" s="10">
        <f>IF(預測IC!CR21&gt;預測IC!CR$25,1,0)</f>
        <v>0</v>
      </c>
      <c r="CS21" s="10">
        <f>IF(預測IC!CS21&gt;預測IC!CS$25,1,0)</f>
        <v>0</v>
      </c>
      <c r="CT21" s="10">
        <f>IF(預測IC!CT21&gt;預測IC!CT$25,1,0)</f>
        <v>1</v>
      </c>
      <c r="CU21" s="10">
        <f>IF(預測IC!CU21&gt;預測IC!CU$25,1,0)</f>
        <v>1</v>
      </c>
      <c r="CV21" s="10">
        <f>IF(預測IC!CV21&gt;預測IC!CV$25,1,0)</f>
        <v>1</v>
      </c>
      <c r="CW21" s="10">
        <f>IF(預測IC!CW21&gt;預測IC!CW$25,1,0)</f>
        <v>0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1</v>
      </c>
      <c r="DB21" s="10">
        <f>IF(預測IC!DB21&gt;預測IC!DB$25,1,0)</f>
        <v>0</v>
      </c>
      <c r="DC21" s="10">
        <f>IF(預測IC!DC21&gt;預測IC!DC$25,1,0)</f>
        <v>1</v>
      </c>
      <c r="DD21" s="10">
        <f>IF(預測IC!DD21&gt;預測IC!DD$25,1,0)</f>
        <v>1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0</v>
      </c>
      <c r="DN21" s="10">
        <f>IF(預測IC!DN21&gt;預測IC!DN$25,1,0)</f>
        <v>1</v>
      </c>
      <c r="DO21" s="10">
        <f>IF(預測IC!DO21&gt;預測IC!DO$25,1,0)</f>
        <v>0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1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0</v>
      </c>
      <c r="DX21" s="10">
        <f>IF(預測IC!DX21&gt;預測IC!DX$25,1,0)</f>
        <v>1</v>
      </c>
      <c r="DY21" s="10">
        <f>IF(預測IC!DY21&gt;預測IC!DY$25,1,0)</f>
        <v>1</v>
      </c>
      <c r="DZ21" s="10">
        <f>IF(預測IC!DZ21&gt;預測IC!DZ$25,1,0)</f>
        <v>0</v>
      </c>
      <c r="EA21" s="10">
        <f>IF(預測IC!EA21&gt;預測IC!EA$25,1,0)</f>
        <v>0</v>
      </c>
      <c r="EB21" s="10">
        <f>IF(預測IC!EB21&gt;預測IC!EB$25,1,0)</f>
        <v>1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0</v>
      </c>
      <c r="EF21" s="10">
        <f>IF(預測IC!EF21&gt;預測IC!EF$25,1,0)</f>
        <v>1</v>
      </c>
      <c r="EG21" s="10">
        <f>IF(預測IC!EG21&gt;預測IC!EG$25,1,0)</f>
        <v>1</v>
      </c>
      <c r="EH21" s="10">
        <f>IF(預測IC!EH21&gt;預測IC!EH$25,1,0)</f>
        <v>1</v>
      </c>
      <c r="EI21" s="10">
        <f>IF(預測IC!EI21&gt;預測IC!EI$25,1,0)</f>
        <v>0</v>
      </c>
      <c r="EJ21" s="10">
        <f>IF(預測IC!EJ21&gt;預測IC!EJ$25,1,0)</f>
        <v>1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66</v>
      </c>
      <c r="EN21" s="19">
        <f t="shared" si="12"/>
        <v>0.47142857142857142</v>
      </c>
    </row>
    <row r="22" spans="1:144" x14ac:dyDescent="0.3">
      <c r="A22" s="18">
        <v>400</v>
      </c>
      <c r="B22" s="18">
        <f t="shared" si="10"/>
        <v>3</v>
      </c>
      <c r="C22" s="10">
        <f>IF(預測IC!C22&gt;預測IC!C$25,1,0)</f>
        <v>0</v>
      </c>
      <c r="D22" s="10">
        <f>IF(預測IC!D22&gt;預測IC!D$25,1,0)</f>
        <v>0</v>
      </c>
      <c r="E22" s="10">
        <f>IF(預測IC!E22&gt;預測IC!E$25,1,0)</f>
        <v>1</v>
      </c>
      <c r="F22" s="10">
        <f>IF(預測IC!F22&gt;預測IC!F$25,1,0)</f>
        <v>1</v>
      </c>
      <c r="G22" s="10">
        <f>IF(預測IC!G22&gt;預測IC!G$25,1,0)</f>
        <v>0</v>
      </c>
      <c r="H22" s="10">
        <f>IF(預測IC!H22&gt;預測IC!H$25,1,0)</f>
        <v>1</v>
      </c>
      <c r="I22" s="10">
        <f>IF(預測IC!I22&gt;預測IC!I$25,1,0)</f>
        <v>1</v>
      </c>
      <c r="J22" s="10">
        <f>IF(預測IC!J22&gt;預測IC!J$25,1,0)</f>
        <v>0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0</v>
      </c>
      <c r="O22" s="10">
        <f>IF(預測IC!O22&gt;預測IC!O$25,1,0)</f>
        <v>1</v>
      </c>
      <c r="P22" s="10">
        <f>IF(預測IC!P22&gt;預測IC!P$25,1,0)</f>
        <v>0</v>
      </c>
      <c r="Q22" s="10">
        <f>IF(預測IC!Q22&gt;預測IC!Q$25,1,0)</f>
        <v>1</v>
      </c>
      <c r="R22" s="10">
        <f>IF(預測IC!R22&gt;預測IC!R$25,1,0)</f>
        <v>0</v>
      </c>
      <c r="S22" s="10">
        <f>IF(預測IC!S22&gt;預測IC!S$25,1,0)</f>
        <v>1</v>
      </c>
      <c r="T22" s="10">
        <f>IF(預測IC!T22&gt;預測IC!T$25,1,0)</f>
        <v>0</v>
      </c>
      <c r="U22" s="10">
        <f>IF(預測IC!U22&gt;預測IC!U$25,1,0)</f>
        <v>1</v>
      </c>
      <c r="V22" s="10">
        <f>IF(預測IC!V22&gt;預測IC!V$25,1,0)</f>
        <v>1</v>
      </c>
      <c r="W22" s="10">
        <f>IF(預測IC!W22&gt;預測IC!W$25,1,0)</f>
        <v>0</v>
      </c>
      <c r="X22" s="10">
        <f>IF(預測IC!X22&gt;預測IC!X$25,1,0)</f>
        <v>1</v>
      </c>
      <c r="Y22" s="10">
        <f>IF(預測IC!Y22&gt;預測IC!Y$25,1,0)</f>
        <v>1</v>
      </c>
      <c r="Z22" s="10">
        <f>IF(預測IC!Z22&gt;預測IC!Z$25,1,0)</f>
        <v>1</v>
      </c>
      <c r="AA22" s="10">
        <f>IF(預測IC!AA22&gt;預測IC!AA$25,1,0)</f>
        <v>0</v>
      </c>
      <c r="AB22" s="10">
        <f>IF(預測IC!AB22&gt;預測IC!AB$25,1,0)</f>
        <v>0</v>
      </c>
      <c r="AC22" s="10">
        <f>IF(預測IC!AC22&gt;預測IC!AC$25,1,0)</f>
        <v>1</v>
      </c>
      <c r="AD22" s="10">
        <f>IF(預測IC!AD22&gt;預測IC!AD$25,1,0)</f>
        <v>1</v>
      </c>
      <c r="AE22" s="10">
        <f>IF(預測IC!AE22&gt;預測IC!AE$25,1,0)</f>
        <v>0</v>
      </c>
      <c r="AF22" s="10">
        <f>IF(預測IC!AF22&gt;預測IC!AF$25,1,0)</f>
        <v>1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0</v>
      </c>
      <c r="AJ22" s="10">
        <f>IF(預測IC!AJ22&gt;預測IC!AJ$25,1,0)</f>
        <v>1</v>
      </c>
      <c r="AK22" s="10">
        <f>IF(預測IC!AK22&gt;預測IC!AK$25,1,0)</f>
        <v>1</v>
      </c>
      <c r="AL22" s="10">
        <f>IF(預測IC!AL22&gt;預測IC!AL$25,1,0)</f>
        <v>0</v>
      </c>
      <c r="AM22" s="10">
        <f>IF(預測IC!AM22&gt;預測IC!AM$25,1,0)</f>
        <v>1</v>
      </c>
      <c r="AN22" s="10">
        <f>IF(預測IC!AN22&gt;預測IC!AN$25,1,0)</f>
        <v>0</v>
      </c>
      <c r="AO22" s="10">
        <f>IF(預測IC!AO22&gt;預測IC!AO$25,1,0)</f>
        <v>1</v>
      </c>
      <c r="AP22" s="10">
        <f>IF(預測IC!AP22&gt;預測IC!AP$25,1,0)</f>
        <v>0</v>
      </c>
      <c r="AQ22" s="10">
        <f>IF(預測IC!AQ22&gt;預測IC!AQ$25,1,0)</f>
        <v>0</v>
      </c>
      <c r="AR22" s="10">
        <f>IF(預測IC!AR22&gt;預測IC!AR$25,1,0)</f>
        <v>0</v>
      </c>
      <c r="AS22" s="10">
        <f>IF(預測IC!AS22&gt;預測IC!AS$25,1,0)</f>
        <v>1</v>
      </c>
      <c r="AT22" s="10">
        <f>IF(預測IC!AT22&gt;預測IC!AT$25,1,0)</f>
        <v>0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1</v>
      </c>
      <c r="BB22" s="10">
        <f>IF(預測IC!BB22&gt;預測IC!BB$25,1,0)</f>
        <v>0</v>
      </c>
      <c r="BC22" s="10">
        <f>IF(預測IC!BC22&gt;預測IC!BC$25,1,0)</f>
        <v>0</v>
      </c>
      <c r="BD22" s="10">
        <f>IF(預測IC!BD22&gt;預測IC!BD$25,1,0)</f>
        <v>1</v>
      </c>
      <c r="BE22" s="10">
        <f>IF(預測IC!BE22&gt;預測IC!BE$25,1,0)</f>
        <v>0</v>
      </c>
      <c r="BF22" s="10">
        <f>IF(預測IC!BF22&gt;預測IC!BF$25,1,0)</f>
        <v>0</v>
      </c>
      <c r="BG22" s="10">
        <f>IF(預測IC!BG22&gt;預測IC!BG$25,1,0)</f>
        <v>0</v>
      </c>
      <c r="BH22" s="10">
        <f>IF(預測IC!BH22&gt;預測IC!BH$25,1,0)</f>
        <v>1</v>
      </c>
      <c r="BI22" s="10">
        <f>IF(預測IC!BI22&gt;預測IC!BI$25,1,0)</f>
        <v>1</v>
      </c>
      <c r="BJ22" s="10">
        <f>IF(預測IC!BJ22&gt;預測IC!BJ$25,1,0)</f>
        <v>1</v>
      </c>
      <c r="BK22" s="10">
        <f>IF(預測IC!BK22&gt;預測IC!BK$25,1,0)</f>
        <v>1</v>
      </c>
      <c r="BL22" s="10">
        <f>IF(預測IC!BL22&gt;預測IC!BL$25,1,0)</f>
        <v>0</v>
      </c>
      <c r="BM22" s="10">
        <f>IF(預測IC!BM22&gt;預測IC!BM$25,1,0)</f>
        <v>0</v>
      </c>
      <c r="BN22" s="10">
        <f>IF(預測IC!BN22&gt;預測IC!BN$25,1,0)</f>
        <v>0</v>
      </c>
      <c r="BO22" s="10">
        <f>IF(預測IC!BO22&gt;預測IC!BO$25,1,0)</f>
        <v>1</v>
      </c>
      <c r="BP22" s="10">
        <f>IF(預測IC!BP22&gt;預測IC!BP$25,1,0)</f>
        <v>1</v>
      </c>
      <c r="BQ22" s="10">
        <f>IF(預測IC!BQ22&gt;預測IC!BQ$25,1,0)</f>
        <v>0</v>
      </c>
      <c r="BR22" s="10">
        <f>IF(預測IC!BR22&gt;預測IC!BR$25,1,0)</f>
        <v>0</v>
      </c>
      <c r="BS22" s="10">
        <f>IF(預測IC!BS22&gt;預測IC!BS$25,1,0)</f>
        <v>0</v>
      </c>
      <c r="BT22" s="10">
        <f>IF(預測IC!BT22&gt;預測IC!BT$25,1,0)</f>
        <v>1</v>
      </c>
      <c r="BU22" s="10">
        <f>IF(預測IC!BU22&gt;預測IC!BU$25,1,0)</f>
        <v>0</v>
      </c>
      <c r="BV22" s="10">
        <f>IF(預測IC!BV22&gt;預測IC!BV$25,1,0)</f>
        <v>0</v>
      </c>
      <c r="BW22" s="10">
        <f>IF(預測IC!BW22&gt;預測IC!BW$25,1,0)</f>
        <v>1</v>
      </c>
      <c r="BX22" s="10">
        <f>IF(預測IC!BX22&gt;預測IC!BX$25,1,0)</f>
        <v>1</v>
      </c>
      <c r="BY22" s="10">
        <f>IF(預測IC!BY22&gt;預測IC!BY$25,1,0)</f>
        <v>0</v>
      </c>
      <c r="BZ22" s="10">
        <f>IF(預測IC!BZ22&gt;預測IC!BZ$25,1,0)</f>
        <v>0</v>
      </c>
      <c r="CA22" s="10">
        <f>IF(預測IC!CA22&gt;預測IC!CA$25,1,0)</f>
        <v>0</v>
      </c>
      <c r="CB22" s="10">
        <f>IF(預測IC!CB22&gt;預測IC!CB$25,1,0)</f>
        <v>0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1</v>
      </c>
      <c r="CF22" s="10">
        <f>IF(預測IC!CF22&gt;預測IC!CF$25,1,0)</f>
        <v>1</v>
      </c>
      <c r="CG22" s="10">
        <f>IF(預測IC!CG22&gt;預測IC!CG$25,1,0)</f>
        <v>1</v>
      </c>
      <c r="CH22" s="10">
        <f>IF(預測IC!CH22&gt;預測IC!CH$25,1,0)</f>
        <v>0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1</v>
      </c>
      <c r="CL22" s="10">
        <f>IF(預測IC!CL22&gt;預測IC!CL$25,1,0)</f>
        <v>0</v>
      </c>
      <c r="CM22" s="10">
        <f>IF(預測IC!CM22&gt;預測IC!CM$25,1,0)</f>
        <v>1</v>
      </c>
      <c r="CN22" s="10">
        <f>IF(預測IC!CN22&gt;預測IC!CN$25,1,0)</f>
        <v>1</v>
      </c>
      <c r="CO22" s="10">
        <f>IF(預測IC!CO22&gt;預測IC!CO$25,1,0)</f>
        <v>0</v>
      </c>
      <c r="CP22" s="10">
        <f>IF(預測IC!CP22&gt;預測IC!CP$25,1,0)</f>
        <v>0</v>
      </c>
      <c r="CQ22" s="10">
        <f>IF(預測IC!CQ22&gt;預測IC!CQ$25,1,0)</f>
        <v>1</v>
      </c>
      <c r="CR22" s="10">
        <f>IF(預測IC!CR22&gt;預測IC!CR$25,1,0)</f>
        <v>0</v>
      </c>
      <c r="CS22" s="10">
        <f>IF(預測IC!CS22&gt;預測IC!CS$25,1,0)</f>
        <v>0</v>
      </c>
      <c r="CT22" s="10">
        <f>IF(預測IC!CT22&gt;預測IC!CT$25,1,0)</f>
        <v>0</v>
      </c>
      <c r="CU22" s="10">
        <f>IF(預測IC!CU22&gt;預測IC!CU$25,1,0)</f>
        <v>1</v>
      </c>
      <c r="CV22" s="10">
        <f>IF(預測IC!CV22&gt;預測IC!CV$25,1,0)</f>
        <v>1</v>
      </c>
      <c r="CW22" s="10">
        <f>IF(預測IC!CW22&gt;預測IC!CW$25,1,0)</f>
        <v>0</v>
      </c>
      <c r="CX22" s="10">
        <f>IF(預測IC!CX22&gt;預測IC!CX$25,1,0)</f>
        <v>1</v>
      </c>
      <c r="CY22" s="10">
        <f>IF(預測IC!CY22&gt;預測IC!CY$25,1,0)</f>
        <v>1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0</v>
      </c>
      <c r="DC22" s="10">
        <f>IF(預測IC!DC22&gt;預測IC!DC$25,1,0)</f>
        <v>1</v>
      </c>
      <c r="DD22" s="10">
        <f>IF(預測IC!DD22&gt;預測IC!DD$25,1,0)</f>
        <v>1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0</v>
      </c>
      <c r="DM22" s="10">
        <f>IF(預測IC!DM22&gt;預測IC!DM$25,1,0)</f>
        <v>0</v>
      </c>
      <c r="DN22" s="10">
        <f>IF(預測IC!DN22&gt;預測IC!DN$25,1,0)</f>
        <v>1</v>
      </c>
      <c r="DO22" s="10">
        <f>IF(預測IC!DO22&gt;預測IC!DO$25,1,0)</f>
        <v>0</v>
      </c>
      <c r="DP22" s="10">
        <f>IF(預測IC!DP22&gt;預測IC!DP$25,1,0)</f>
        <v>0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1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1</v>
      </c>
      <c r="DW22" s="10">
        <f>IF(預測IC!DW22&gt;預測IC!DW$25,1,0)</f>
        <v>1</v>
      </c>
      <c r="DX22" s="10">
        <f>IF(預測IC!DX22&gt;預測IC!DX$25,1,0)</f>
        <v>0</v>
      </c>
      <c r="DY22" s="10">
        <f>IF(預測IC!DY22&gt;預測IC!DY$25,1,0)</f>
        <v>0</v>
      </c>
      <c r="DZ22" s="10">
        <f>IF(預測IC!DZ22&gt;預測IC!DZ$25,1,0)</f>
        <v>0</v>
      </c>
      <c r="EA22" s="10">
        <f>IF(預測IC!EA22&gt;預測IC!EA$25,1,0)</f>
        <v>1</v>
      </c>
      <c r="EB22" s="10">
        <f>IF(預測IC!EB22&gt;預測IC!EB$25,1,0)</f>
        <v>1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0</v>
      </c>
      <c r="EF22" s="10">
        <f>IF(預測IC!EF22&gt;預測IC!EF$25,1,0)</f>
        <v>1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1</v>
      </c>
      <c r="EK22" s="10">
        <f>IF(預測IC!EK22&gt;預測IC!EK$25,1,0)</f>
        <v>0</v>
      </c>
      <c r="EL22" s="10">
        <f>IF(預測IC!EL22&gt;預測IC!EL$25,1,0)</f>
        <v>0</v>
      </c>
      <c r="EM22" s="6">
        <f t="shared" si="11"/>
        <v>66</v>
      </c>
      <c r="EN22" s="19">
        <f t="shared" si="12"/>
        <v>0.47142857142857142</v>
      </c>
    </row>
    <row r="23" spans="1:144" x14ac:dyDescent="0.3">
      <c r="A23" s="18">
        <v>512</v>
      </c>
      <c r="B23" s="18">
        <f t="shared" si="10"/>
        <v>2</v>
      </c>
      <c r="C23" s="10">
        <f>IF(預測IC!C23&gt;預測IC!C$25,1,0)</f>
        <v>0</v>
      </c>
      <c r="D23" s="10">
        <f>IF(預測IC!D23&gt;預測IC!D$25,1,0)</f>
        <v>0</v>
      </c>
      <c r="E23" s="10">
        <f>IF(預測IC!E23&gt;預測IC!E$25,1,0)</f>
        <v>1</v>
      </c>
      <c r="F23" s="10">
        <f>IF(預測IC!F23&gt;預測IC!F$25,1,0)</f>
        <v>1</v>
      </c>
      <c r="G23" s="10">
        <f>IF(預測IC!G23&gt;預測IC!G$25,1,0)</f>
        <v>0</v>
      </c>
      <c r="H23" s="10">
        <f>IF(預測IC!H23&gt;預測IC!H$25,1,0)</f>
        <v>1</v>
      </c>
      <c r="I23" s="10">
        <f>IF(預測IC!I23&gt;預測IC!I$25,1,0)</f>
        <v>1</v>
      </c>
      <c r="J23" s="10">
        <f>IF(預測IC!J23&gt;預測IC!J$25,1,0)</f>
        <v>0</v>
      </c>
      <c r="K23" s="10">
        <f>IF(預測IC!K23&gt;預測IC!K$25,1,0)</f>
        <v>1</v>
      </c>
      <c r="L23" s="10">
        <f>IF(預測IC!L23&gt;預測IC!L$25,1,0)</f>
        <v>0</v>
      </c>
      <c r="M23" s="10">
        <f>IF(預測IC!M23&gt;預測IC!M$25,1,0)</f>
        <v>0</v>
      </c>
      <c r="N23" s="10">
        <f>IF(預測IC!N23&gt;預測IC!N$25,1,0)</f>
        <v>0</v>
      </c>
      <c r="O23" s="10">
        <f>IF(預測IC!O23&gt;預測IC!O$25,1,0)</f>
        <v>1</v>
      </c>
      <c r="P23" s="10">
        <f>IF(預測IC!P23&gt;預測IC!P$25,1,0)</f>
        <v>0</v>
      </c>
      <c r="Q23" s="10">
        <f>IF(預測IC!Q23&gt;預測IC!Q$25,1,0)</f>
        <v>0</v>
      </c>
      <c r="R23" s="10">
        <f>IF(預測IC!R23&gt;預測IC!R$25,1,0)</f>
        <v>0</v>
      </c>
      <c r="S23" s="10">
        <f>IF(預測IC!S23&gt;預測IC!S$25,1,0)</f>
        <v>1</v>
      </c>
      <c r="T23" s="10">
        <f>IF(預測IC!T23&gt;預測IC!T$25,1,0)</f>
        <v>1</v>
      </c>
      <c r="U23" s="10">
        <f>IF(預測IC!U23&gt;預測IC!U$25,1,0)</f>
        <v>1</v>
      </c>
      <c r="V23" s="10">
        <f>IF(預測IC!V23&gt;預測IC!V$25,1,0)</f>
        <v>0</v>
      </c>
      <c r="W23" s="10">
        <f>IF(預測IC!W23&gt;預測IC!W$25,1,0)</f>
        <v>0</v>
      </c>
      <c r="X23" s="10">
        <f>IF(預測IC!X23&gt;預測IC!X$25,1,0)</f>
        <v>1</v>
      </c>
      <c r="Y23" s="10">
        <f>IF(預測IC!Y23&gt;預測IC!Y$25,1,0)</f>
        <v>0</v>
      </c>
      <c r="Z23" s="10">
        <f>IF(預測IC!Z23&gt;預測IC!Z$25,1,0)</f>
        <v>1</v>
      </c>
      <c r="AA23" s="10">
        <f>IF(預測IC!AA23&gt;預測IC!AA$25,1,0)</f>
        <v>0</v>
      </c>
      <c r="AB23" s="10">
        <f>IF(預測IC!AB23&gt;預測IC!AB$25,1,0)</f>
        <v>0</v>
      </c>
      <c r="AC23" s="10">
        <f>IF(預測IC!AC23&gt;預測IC!AC$25,1,0)</f>
        <v>1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1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0</v>
      </c>
      <c r="AJ23" s="10">
        <f>IF(預測IC!AJ23&gt;預測IC!AJ$25,1,0)</f>
        <v>0</v>
      </c>
      <c r="AK23" s="10">
        <f>IF(預測IC!AK23&gt;預測IC!AK$25,1,0)</f>
        <v>0</v>
      </c>
      <c r="AL23" s="10">
        <f>IF(預測IC!AL23&gt;預測IC!AL$25,1,0)</f>
        <v>1</v>
      </c>
      <c r="AM23" s="10">
        <f>IF(預測IC!AM23&gt;預測IC!AM$25,1,0)</f>
        <v>1</v>
      </c>
      <c r="AN23" s="10">
        <f>IF(預測IC!AN23&gt;預測IC!AN$25,1,0)</f>
        <v>0</v>
      </c>
      <c r="AO23" s="10">
        <f>IF(預測IC!AO23&gt;預測IC!AO$25,1,0)</f>
        <v>1</v>
      </c>
      <c r="AP23" s="10">
        <f>IF(預測IC!AP23&gt;預測IC!AP$25,1,0)</f>
        <v>0</v>
      </c>
      <c r="AQ23" s="10">
        <f>IF(預測IC!AQ23&gt;預測IC!AQ$25,1,0)</f>
        <v>0</v>
      </c>
      <c r="AR23" s="10">
        <f>IF(預測IC!AR23&gt;預測IC!AR$25,1,0)</f>
        <v>1</v>
      </c>
      <c r="AS23" s="10">
        <f>IF(預測IC!AS23&gt;預測IC!AS$25,1,0)</f>
        <v>1</v>
      </c>
      <c r="AT23" s="10">
        <f>IF(預測IC!AT23&gt;預測IC!AT$25,1,0)</f>
        <v>1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0</v>
      </c>
      <c r="AY23" s="10">
        <f>IF(預測IC!AY23&gt;預測IC!AY$25,1,0)</f>
        <v>0</v>
      </c>
      <c r="AZ23" s="10">
        <f>IF(預測IC!AZ23&gt;預測IC!AZ$25,1,0)</f>
        <v>1</v>
      </c>
      <c r="BA23" s="10">
        <f>IF(預測IC!BA23&gt;預測IC!BA$25,1,0)</f>
        <v>1</v>
      </c>
      <c r="BB23" s="10">
        <f>IF(預測IC!BB23&gt;預測IC!BB$25,1,0)</f>
        <v>0</v>
      </c>
      <c r="BC23" s="10">
        <f>IF(預測IC!BC23&gt;預測IC!BC$25,1,0)</f>
        <v>0</v>
      </c>
      <c r="BD23" s="10">
        <f>IF(預測IC!BD23&gt;預測IC!BD$25,1,0)</f>
        <v>1</v>
      </c>
      <c r="BE23" s="10">
        <f>IF(預測IC!BE23&gt;預測IC!BE$25,1,0)</f>
        <v>0</v>
      </c>
      <c r="BF23" s="10">
        <f>IF(預測IC!BF23&gt;預測IC!BF$25,1,0)</f>
        <v>1</v>
      </c>
      <c r="BG23" s="10">
        <f>IF(預測IC!BG23&gt;預測IC!BG$25,1,0)</f>
        <v>0</v>
      </c>
      <c r="BH23" s="10">
        <f>IF(預測IC!BH23&gt;預測IC!BH$25,1,0)</f>
        <v>1</v>
      </c>
      <c r="BI23" s="10">
        <f>IF(預測IC!BI23&gt;預測IC!BI$25,1,0)</f>
        <v>1</v>
      </c>
      <c r="BJ23" s="10">
        <f>IF(預測IC!BJ23&gt;預測IC!BJ$25,1,0)</f>
        <v>0</v>
      </c>
      <c r="BK23" s="10">
        <f>IF(預測IC!BK23&gt;預測IC!BK$25,1,0)</f>
        <v>1</v>
      </c>
      <c r="BL23" s="10">
        <f>IF(預測IC!BL23&gt;預測IC!BL$25,1,0)</f>
        <v>0</v>
      </c>
      <c r="BM23" s="10">
        <f>IF(預測IC!BM23&gt;預測IC!BM$25,1,0)</f>
        <v>0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0</v>
      </c>
      <c r="BR23" s="10">
        <f>IF(預測IC!BR23&gt;預測IC!BR$25,1,0)</f>
        <v>0</v>
      </c>
      <c r="BS23" s="10">
        <f>IF(預測IC!BS23&gt;預測IC!BS$25,1,0)</f>
        <v>0</v>
      </c>
      <c r="BT23" s="10">
        <f>IF(預測IC!BT23&gt;預測IC!BT$25,1,0)</f>
        <v>1</v>
      </c>
      <c r="BU23" s="10">
        <f>IF(預測IC!BU23&gt;預測IC!BU$25,1,0)</f>
        <v>1</v>
      </c>
      <c r="BV23" s="10">
        <f>IF(預測IC!BV23&gt;預測IC!BV$25,1,0)</f>
        <v>0</v>
      </c>
      <c r="BW23" s="10">
        <f>IF(預測IC!BW23&gt;預測IC!BW$25,1,0)</f>
        <v>1</v>
      </c>
      <c r="BX23" s="10">
        <f>IF(預測IC!BX23&gt;預測IC!BX$25,1,0)</f>
        <v>1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0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1</v>
      </c>
      <c r="CF23" s="10">
        <f>IF(預測IC!CF23&gt;預測IC!CF$25,1,0)</f>
        <v>1</v>
      </c>
      <c r="CG23" s="10">
        <f>IF(預測IC!CG23&gt;預測IC!CG$25,1,0)</f>
        <v>1</v>
      </c>
      <c r="CH23" s="10">
        <f>IF(預測IC!CH23&gt;預測IC!CH$25,1,0)</f>
        <v>0</v>
      </c>
      <c r="CI23" s="10">
        <f>IF(預測IC!CI23&gt;預測IC!CI$25,1,0)</f>
        <v>1</v>
      </c>
      <c r="CJ23" s="10">
        <f>IF(預測IC!CJ23&gt;預測IC!CJ$25,1,0)</f>
        <v>0</v>
      </c>
      <c r="CK23" s="10">
        <f>IF(預測IC!CK23&gt;預測IC!CK$25,1,0)</f>
        <v>1</v>
      </c>
      <c r="CL23" s="10">
        <f>IF(預測IC!CL23&gt;預測IC!CL$25,1,0)</f>
        <v>0</v>
      </c>
      <c r="CM23" s="10">
        <f>IF(預測IC!CM23&gt;預測IC!CM$25,1,0)</f>
        <v>1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0</v>
      </c>
      <c r="CQ23" s="10">
        <f>IF(預測IC!CQ23&gt;預測IC!CQ$25,1,0)</f>
        <v>1</v>
      </c>
      <c r="CR23" s="10">
        <f>IF(預測IC!CR23&gt;預測IC!CR$25,1,0)</f>
        <v>0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0</v>
      </c>
      <c r="CV23" s="10">
        <f>IF(預測IC!CV23&gt;預測IC!CV$25,1,0)</f>
        <v>1</v>
      </c>
      <c r="CW23" s="10">
        <f>IF(預測IC!CW23&gt;預測IC!CW$25,1,0)</f>
        <v>0</v>
      </c>
      <c r="CX23" s="10">
        <f>IF(預測IC!CX23&gt;預測IC!CX$25,1,0)</f>
        <v>0</v>
      </c>
      <c r="CY23" s="10">
        <f>IF(預測IC!CY23&gt;預測IC!CY$25,1,0)</f>
        <v>1</v>
      </c>
      <c r="CZ23" s="10">
        <f>IF(預測IC!CZ23&gt;預測IC!CZ$25,1,0)</f>
        <v>1</v>
      </c>
      <c r="DA23" s="10">
        <f>IF(預測IC!DA23&gt;預測IC!DA$25,1,0)</f>
        <v>1</v>
      </c>
      <c r="DB23" s="10">
        <f>IF(預測IC!DB23&gt;預測IC!DB$25,1,0)</f>
        <v>0</v>
      </c>
      <c r="DC23" s="10">
        <f>IF(預測IC!DC23&gt;預測IC!DC$25,1,0)</f>
        <v>1</v>
      </c>
      <c r="DD23" s="10">
        <f>IF(預測IC!DD23&gt;預測IC!DD$25,1,0)</f>
        <v>0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0</v>
      </c>
      <c r="DJ23" s="10">
        <f>IF(預測IC!DJ23&gt;預測IC!DJ$25,1,0)</f>
        <v>1</v>
      </c>
      <c r="DK23" s="10">
        <f>IF(預測IC!DK23&gt;預測IC!DK$25,1,0)</f>
        <v>0</v>
      </c>
      <c r="DL23" s="10">
        <f>IF(預測IC!DL23&gt;預測IC!DL$25,1,0)</f>
        <v>0</v>
      </c>
      <c r="DM23" s="10">
        <f>IF(預測IC!DM23&gt;預測IC!DM$25,1,0)</f>
        <v>0</v>
      </c>
      <c r="DN23" s="10">
        <f>IF(預測IC!DN23&gt;預測IC!DN$25,1,0)</f>
        <v>0</v>
      </c>
      <c r="DO23" s="10">
        <f>IF(預測IC!DO23&gt;預測IC!DO$25,1,0)</f>
        <v>0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1</v>
      </c>
      <c r="DS23" s="10">
        <f>IF(預測IC!DS23&gt;預測IC!DS$25,1,0)</f>
        <v>1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0</v>
      </c>
      <c r="DW23" s="10">
        <f>IF(預測IC!DW23&gt;預測IC!DW$25,1,0)</f>
        <v>1</v>
      </c>
      <c r="DX23" s="10">
        <f>IF(預測IC!DX23&gt;預測IC!DX$25,1,0)</f>
        <v>1</v>
      </c>
      <c r="DY23" s="10">
        <f>IF(預測IC!DY23&gt;預測IC!DY$25,1,0)</f>
        <v>1</v>
      </c>
      <c r="DZ23" s="10">
        <f>IF(預測IC!DZ23&gt;預測IC!DZ$25,1,0)</f>
        <v>0</v>
      </c>
      <c r="EA23" s="10">
        <f>IF(預測IC!EA23&gt;預測IC!EA$25,1,0)</f>
        <v>1</v>
      </c>
      <c r="EB23" s="10">
        <f>IF(預測IC!EB23&gt;預測IC!EB$25,1,0)</f>
        <v>1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0</v>
      </c>
      <c r="EF23" s="10">
        <f>IF(預測IC!EF23&gt;預測IC!EF$25,1,0)</f>
        <v>1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1</v>
      </c>
      <c r="EK23" s="10">
        <f>IF(預測IC!EK23&gt;預測IC!EK$25,1,0)</f>
        <v>0</v>
      </c>
      <c r="EL23" s="10">
        <f>IF(預測IC!EL23&gt;預測IC!EL$25,1,0)</f>
        <v>0</v>
      </c>
      <c r="EM23" s="6">
        <f t="shared" si="11"/>
        <v>65</v>
      </c>
      <c r="EN23" s="19">
        <f t="shared" si="12"/>
        <v>0.4642857142857143</v>
      </c>
    </row>
    <row r="24" spans="1:144" x14ac:dyDescent="0.3">
      <c r="A24" s="18">
        <v>1051</v>
      </c>
      <c r="B24" s="18">
        <f t="shared" si="10"/>
        <v>1</v>
      </c>
      <c r="C24" s="10">
        <f>IF(預測IC!C24&gt;預測IC!C$25,1,0)</f>
        <v>0</v>
      </c>
      <c r="D24" s="10">
        <f>IF(預測IC!D24&gt;預測IC!D$25,1,0)</f>
        <v>0</v>
      </c>
      <c r="E24" s="10">
        <f>IF(預測IC!E24&gt;預測IC!E$25,1,0)</f>
        <v>0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1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0</v>
      </c>
      <c r="O24" s="10">
        <f>IF(預測IC!O24&gt;預測IC!O$25,1,0)</f>
        <v>0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0</v>
      </c>
      <c r="S24" s="10">
        <f>IF(預測IC!S24&gt;預測IC!S$25,1,0)</f>
        <v>0</v>
      </c>
      <c r="T24" s="10">
        <f>IF(預測IC!T24&gt;預測IC!T$25,1,0)</f>
        <v>1</v>
      </c>
      <c r="U24" s="10">
        <f>IF(預測IC!U24&gt;預測IC!U$25,1,0)</f>
        <v>1</v>
      </c>
      <c r="V24" s="10">
        <f>IF(預測IC!V24&gt;預測IC!V$25,1,0)</f>
        <v>1</v>
      </c>
      <c r="W24" s="10">
        <f>IF(預測IC!W24&gt;預測IC!W$25,1,0)</f>
        <v>0</v>
      </c>
      <c r="X24" s="10">
        <f>IF(預測IC!X24&gt;預測IC!X$25,1,0)</f>
        <v>1</v>
      </c>
      <c r="Y24" s="10">
        <f>IF(預測IC!Y24&gt;預測IC!Y$25,1,0)</f>
        <v>1</v>
      </c>
      <c r="Z24" s="10">
        <f>IF(預測IC!Z24&gt;預測IC!Z$25,1,0)</f>
        <v>0</v>
      </c>
      <c r="AA24" s="10">
        <f>IF(預測IC!AA24&gt;預測IC!AA$25,1,0)</f>
        <v>0</v>
      </c>
      <c r="AB24" s="10">
        <f>IF(預測IC!AB24&gt;預測IC!AB$25,1,0)</f>
        <v>0</v>
      </c>
      <c r="AC24" s="10">
        <f>IF(預測IC!AC24&gt;預測IC!AC$25,1,0)</f>
        <v>0</v>
      </c>
      <c r="AD24" s="10">
        <f>IF(預測IC!AD24&gt;預測IC!AD$25,1,0)</f>
        <v>0</v>
      </c>
      <c r="AE24" s="10">
        <f>IF(預測IC!AE24&gt;預測IC!AE$25,1,0)</f>
        <v>0</v>
      </c>
      <c r="AF24" s="10">
        <f>IF(預測IC!AF24&gt;預測IC!AF$25,1,0)</f>
        <v>1</v>
      </c>
      <c r="AG24" s="10">
        <f>IF(預測IC!AG24&gt;預測IC!AG$25,1,0)</f>
        <v>0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1</v>
      </c>
      <c r="AK24" s="10">
        <f>IF(預測IC!AK24&gt;預測IC!AK$25,1,0)</f>
        <v>0</v>
      </c>
      <c r="AL24" s="10">
        <f>IF(預測IC!AL24&gt;預測IC!AL$25,1,0)</f>
        <v>1</v>
      </c>
      <c r="AM24" s="10">
        <f>IF(預測IC!AM24&gt;預測IC!AM$25,1,0)</f>
        <v>0</v>
      </c>
      <c r="AN24" s="10">
        <f>IF(預測IC!AN24&gt;預測IC!AN$25,1,0)</f>
        <v>0</v>
      </c>
      <c r="AO24" s="10">
        <f>IF(預測IC!AO24&gt;預測IC!AO$25,1,0)</f>
        <v>0</v>
      </c>
      <c r="AP24" s="10">
        <f>IF(預測IC!AP24&gt;預測IC!AP$25,1,0)</f>
        <v>0</v>
      </c>
      <c r="AQ24" s="10">
        <f>IF(預測IC!AQ24&gt;預測IC!AQ$25,1,0)</f>
        <v>0</v>
      </c>
      <c r="AR24" s="10">
        <f>IF(預測IC!AR24&gt;預測IC!AR$25,1,0)</f>
        <v>1</v>
      </c>
      <c r="AS24" s="10">
        <f>IF(預測IC!AS24&gt;預測IC!AS$25,1,0)</f>
        <v>1</v>
      </c>
      <c r="AT24" s="10">
        <f>IF(預測IC!AT24&gt;預測IC!AT$25,1,0)</f>
        <v>1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0</v>
      </c>
      <c r="AY24" s="10">
        <f>IF(預測IC!AY24&gt;預測IC!AY$25,1,0)</f>
        <v>0</v>
      </c>
      <c r="AZ24" s="10">
        <f>IF(預測IC!AZ24&gt;預測IC!AZ$25,1,0)</f>
        <v>1</v>
      </c>
      <c r="BA24" s="10">
        <f>IF(預測IC!BA24&gt;預測IC!BA$25,1,0)</f>
        <v>1</v>
      </c>
      <c r="BB24" s="10">
        <f>IF(預測IC!BB24&gt;預測IC!BB$25,1,0)</f>
        <v>0</v>
      </c>
      <c r="BC24" s="10">
        <f>IF(預測IC!BC24&gt;預測IC!BC$25,1,0)</f>
        <v>1</v>
      </c>
      <c r="BD24" s="10">
        <f>IF(預測IC!BD24&gt;預測IC!BD$25,1,0)</f>
        <v>1</v>
      </c>
      <c r="BE24" s="10">
        <f>IF(預測IC!BE24&gt;預測IC!BE$25,1,0)</f>
        <v>0</v>
      </c>
      <c r="BF24" s="10">
        <f>IF(預測IC!BF24&gt;預測IC!BF$25,1,0)</f>
        <v>0</v>
      </c>
      <c r="BG24" s="10">
        <f>IF(預測IC!BG24&gt;預測IC!BG$25,1,0)</f>
        <v>0</v>
      </c>
      <c r="BH24" s="10">
        <f>IF(預測IC!BH24&gt;預測IC!BH$25,1,0)</f>
        <v>1</v>
      </c>
      <c r="BI24" s="10">
        <f>IF(預測IC!BI24&gt;預測IC!BI$25,1,0)</f>
        <v>1</v>
      </c>
      <c r="BJ24" s="10">
        <f>IF(預測IC!BJ24&gt;預測IC!BJ$25,1,0)</f>
        <v>0</v>
      </c>
      <c r="BK24" s="10">
        <f>IF(預測IC!BK24&gt;預測IC!BK$25,1,0)</f>
        <v>1</v>
      </c>
      <c r="BL24" s="10">
        <f>IF(預測IC!BL24&gt;預測IC!BL$25,1,0)</f>
        <v>1</v>
      </c>
      <c r="BM24" s="10">
        <f>IF(預測IC!BM24&gt;預測IC!BM$25,1,0)</f>
        <v>1</v>
      </c>
      <c r="BN24" s="10">
        <f>IF(預測IC!BN24&gt;預測IC!BN$25,1,0)</f>
        <v>1</v>
      </c>
      <c r="BO24" s="10">
        <f>IF(預測IC!BO24&gt;預測IC!BO$25,1,0)</f>
        <v>1</v>
      </c>
      <c r="BP24" s="10">
        <f>IF(預測IC!BP24&gt;預測IC!BP$25,1,0)</f>
        <v>0</v>
      </c>
      <c r="BQ24" s="10">
        <f>IF(預測IC!BQ24&gt;預測IC!BQ$25,1,0)</f>
        <v>0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1</v>
      </c>
      <c r="BU24" s="10">
        <f>IF(預測IC!BU24&gt;預測IC!BU$25,1,0)</f>
        <v>0</v>
      </c>
      <c r="BV24" s="10">
        <f>IF(預測IC!BV24&gt;預測IC!BV$25,1,0)</f>
        <v>0</v>
      </c>
      <c r="BW24" s="10">
        <f>IF(預測IC!BW24&gt;預測IC!BW$25,1,0)</f>
        <v>1</v>
      </c>
      <c r="BX24" s="10">
        <f>IF(預測IC!BX24&gt;預測IC!BX$25,1,0)</f>
        <v>1</v>
      </c>
      <c r="BY24" s="10">
        <f>IF(預測IC!BY24&gt;預測IC!BY$25,1,0)</f>
        <v>1</v>
      </c>
      <c r="BZ24" s="10">
        <f>IF(預測IC!BZ24&gt;預測IC!BZ$25,1,0)</f>
        <v>0</v>
      </c>
      <c r="CA24" s="10">
        <f>IF(預測IC!CA24&gt;預測IC!CA$25,1,0)</f>
        <v>0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1</v>
      </c>
      <c r="CF24" s="10">
        <f>IF(預測IC!CF24&gt;預測IC!CF$25,1,0)</f>
        <v>0</v>
      </c>
      <c r="CG24" s="10">
        <f>IF(預測IC!CG24&gt;預測IC!CG$25,1,0)</f>
        <v>0</v>
      </c>
      <c r="CH24" s="10">
        <f>IF(預測IC!CH24&gt;預測IC!CH$25,1,0)</f>
        <v>0</v>
      </c>
      <c r="CI24" s="10">
        <f>IF(預測IC!CI24&gt;預測IC!CI$25,1,0)</f>
        <v>0</v>
      </c>
      <c r="CJ24" s="10">
        <f>IF(預測IC!CJ24&gt;預測IC!CJ$25,1,0)</f>
        <v>1</v>
      </c>
      <c r="CK24" s="10">
        <f>IF(預測IC!CK24&gt;預測IC!CK$25,1,0)</f>
        <v>1</v>
      </c>
      <c r="CL24" s="10">
        <f>IF(預測IC!CL24&gt;預測IC!CL$25,1,0)</f>
        <v>0</v>
      </c>
      <c r="CM24" s="10">
        <f>IF(預測IC!CM24&gt;預測IC!CM$25,1,0)</f>
        <v>0</v>
      </c>
      <c r="CN24" s="10">
        <f>IF(預測IC!CN24&gt;預測IC!CN$25,1,0)</f>
        <v>1</v>
      </c>
      <c r="CO24" s="10">
        <f>IF(預測IC!CO24&gt;預測IC!CO$25,1,0)</f>
        <v>0</v>
      </c>
      <c r="CP24" s="10">
        <f>IF(預測IC!CP24&gt;預測IC!CP$25,1,0)</f>
        <v>0</v>
      </c>
      <c r="CQ24" s="10">
        <f>IF(預測IC!CQ24&gt;預測IC!CQ$25,1,0)</f>
        <v>1</v>
      </c>
      <c r="CR24" s="10">
        <f>IF(預測IC!CR24&gt;預測IC!CR$25,1,0)</f>
        <v>0</v>
      </c>
      <c r="CS24" s="10">
        <f>IF(預測IC!CS24&gt;預測IC!CS$25,1,0)</f>
        <v>1</v>
      </c>
      <c r="CT24" s="10">
        <f>IF(預測IC!CT24&gt;預測IC!CT$25,1,0)</f>
        <v>0</v>
      </c>
      <c r="CU24" s="10">
        <f>IF(預測IC!CU24&gt;預測IC!CU$25,1,0)</f>
        <v>0</v>
      </c>
      <c r="CV24" s="10">
        <f>IF(預測IC!CV24&gt;預測IC!CV$25,1,0)</f>
        <v>1</v>
      </c>
      <c r="CW24" s="10">
        <f>IF(預測IC!CW24&gt;預測IC!CW$25,1,0)</f>
        <v>1</v>
      </c>
      <c r="CX24" s="10">
        <f>IF(預測IC!CX24&gt;預測IC!CX$25,1,0)</f>
        <v>0</v>
      </c>
      <c r="CY24" s="10">
        <f>IF(預測IC!CY24&gt;預測IC!CY$25,1,0)</f>
        <v>1</v>
      </c>
      <c r="CZ24" s="10">
        <f>IF(預測IC!CZ24&gt;預測IC!CZ$25,1,0)</f>
        <v>1</v>
      </c>
      <c r="DA24" s="10">
        <f>IF(預測IC!DA24&gt;預測IC!DA$25,1,0)</f>
        <v>1</v>
      </c>
      <c r="DB24" s="10">
        <f>IF(預測IC!DB24&gt;預測IC!DB$25,1,0)</f>
        <v>0</v>
      </c>
      <c r="DC24" s="10">
        <f>IF(預測IC!DC24&gt;預測IC!DC$25,1,0)</f>
        <v>1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0</v>
      </c>
      <c r="DJ24" s="10">
        <f>IF(預測IC!DJ24&gt;預測IC!DJ$25,1,0)</f>
        <v>1</v>
      </c>
      <c r="DK24" s="10">
        <f>IF(預測IC!DK24&gt;預測IC!DK$25,1,0)</f>
        <v>1</v>
      </c>
      <c r="DL24" s="10">
        <f>IF(預測IC!DL24&gt;預測IC!DL$25,1,0)</f>
        <v>0</v>
      </c>
      <c r="DM24" s="10">
        <f>IF(預測IC!DM24&gt;預測IC!DM$25,1,0)</f>
        <v>0</v>
      </c>
      <c r="DN24" s="10">
        <f>IF(預測IC!DN24&gt;預測IC!DN$25,1,0)</f>
        <v>1</v>
      </c>
      <c r="DO24" s="10">
        <f>IF(預測IC!DO24&gt;預測IC!DO$25,1,0)</f>
        <v>0</v>
      </c>
      <c r="DP24" s="10">
        <f>IF(預測IC!DP24&gt;預測IC!DP$25,1,0)</f>
        <v>0</v>
      </c>
      <c r="DQ24" s="10">
        <f>IF(預測IC!DQ24&gt;預測IC!DQ$25,1,0)</f>
        <v>0</v>
      </c>
      <c r="DR24" s="10">
        <f>IF(預測IC!DR24&gt;預測IC!DR$25,1,0)</f>
        <v>1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1</v>
      </c>
      <c r="DW24" s="10">
        <f>IF(預測IC!DW24&gt;預測IC!DW$25,1,0)</f>
        <v>1</v>
      </c>
      <c r="DX24" s="10">
        <f>IF(預測IC!DX24&gt;預測IC!DX$25,1,0)</f>
        <v>0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1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0</v>
      </c>
      <c r="EF24" s="10">
        <f>IF(預測IC!EF24&gt;預測IC!EF$25,1,0)</f>
        <v>1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0</v>
      </c>
      <c r="EJ24" s="10">
        <f>IF(預測IC!EJ24&gt;預測IC!EJ$25,1,0)</f>
        <v>1</v>
      </c>
      <c r="EK24" s="10">
        <f>IF(預測IC!EK24&gt;預測IC!EK$25,1,0)</f>
        <v>0</v>
      </c>
      <c r="EL24" s="10">
        <f>IF(預測IC!EL24&gt;預測IC!EL$25,1,0)</f>
        <v>0</v>
      </c>
      <c r="EM24" s="6">
        <f t="shared" si="11"/>
        <v>63</v>
      </c>
      <c r="EN24" s="19">
        <f t="shared" si="12"/>
        <v>0.45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>
        <v>10</v>
      </c>
      <c r="B12" s="18">
        <f t="shared" ref="B12:B24" si="10">ROUND($D$10/A12,0)</f>
        <v>105</v>
      </c>
      <c r="C12" s="2">
        <v>8.0850794339180423E-3</v>
      </c>
      <c r="D12" s="2">
        <f>C12+預測IC!D12</f>
        <v>-3.7521797269075535E-2</v>
      </c>
      <c r="E12" s="2">
        <f>D12+預測IC!E12</f>
        <v>-1.7814299930915326E-2</v>
      </c>
      <c r="F12" s="2">
        <f>E12+預測IC!F12</f>
        <v>-2.503647355847426E-2</v>
      </c>
      <c r="G12" s="2">
        <f>F12+預測IC!G12</f>
        <v>-8.118918334744811E-3</v>
      </c>
      <c r="H12" s="2">
        <f>G12+預測IC!H12</f>
        <v>3.3935556390116757E-2</v>
      </c>
      <c r="I12" s="2">
        <f>H12+預測IC!I12</f>
        <v>1.3395855993584296E-2</v>
      </c>
      <c r="J12" s="2">
        <f>I12+預測IC!J12</f>
        <v>3.3318357069642528E-2</v>
      </c>
      <c r="K12" s="2">
        <f>J12+預測IC!K12</f>
        <v>2.9853805362732699E-2</v>
      </c>
      <c r="L12" s="2">
        <f>K12+預測IC!L12</f>
        <v>6.4253918620029798E-2</v>
      </c>
      <c r="M12" s="2">
        <f>L12+預測IC!M12</f>
        <v>5.0786608391108976E-2</v>
      </c>
      <c r="N12" s="2">
        <f>M12+預測IC!N12</f>
        <v>9.7643133600763266E-3</v>
      </c>
      <c r="O12" s="2">
        <f>N12+預測IC!O12</f>
        <v>2.4656462575888306E-2</v>
      </c>
      <c r="P12" s="2">
        <f>O12+預測IC!P12</f>
        <v>2.1630891775151755E-2</v>
      </c>
      <c r="Q12" s="2">
        <f>P12+預測IC!Q12</f>
        <v>-3.5153984016311757E-3</v>
      </c>
      <c r="R12" s="2">
        <f>Q12+預測IC!R12</f>
        <v>-8.4957852108150378E-3</v>
      </c>
      <c r="S12" s="2">
        <f>R12+預測IC!S12</f>
        <v>-3.5757751159300841E-2</v>
      </c>
      <c r="T12" s="2">
        <f>S12+預測IC!T12</f>
        <v>-0.10633985793075557</v>
      </c>
      <c r="U12" s="2">
        <f>T12+預測IC!U12</f>
        <v>-0.128513375620399</v>
      </c>
      <c r="V12" s="2">
        <f>U12+預測IC!V12</f>
        <v>-9.5919572112774049E-2</v>
      </c>
      <c r="W12" s="2">
        <f>V12+預測IC!W12</f>
        <v>-6.9418868702331521E-2</v>
      </c>
      <c r="X12" s="2">
        <f>W12+預測IC!X12</f>
        <v>3.9181624443981072E-2</v>
      </c>
      <c r="Y12" s="2">
        <f>X12+預測IC!Y12</f>
        <v>4.7975999885536275E-4</v>
      </c>
      <c r="Z12" s="2">
        <f>Y12+預測IC!Z12</f>
        <v>1.2257087000404553E-2</v>
      </c>
      <c r="AA12" s="2">
        <f>Z12+預測IC!AA12</f>
        <v>3.0518640538947581E-2</v>
      </c>
      <c r="AB12" s="2">
        <f>AA12+預測IC!AB12</f>
        <v>2.852542552714862E-2</v>
      </c>
      <c r="AC12" s="2">
        <f>AB12+預測IC!AC12</f>
        <v>6.0168223689904765E-2</v>
      </c>
      <c r="AD12" s="2">
        <f>AC12+預測IC!AD12</f>
        <v>7.92216075927068E-2</v>
      </c>
      <c r="AE12" s="2">
        <f>AD12+預測IC!AE12</f>
        <v>3.1936829888469957E-2</v>
      </c>
      <c r="AF12" s="2">
        <f>AE12+預測IC!AF12</f>
        <v>1.4691093963974378E-2</v>
      </c>
      <c r="AG12" s="2">
        <f>AF12+預測IC!AG12</f>
        <v>5.6243585471098534E-2</v>
      </c>
      <c r="AH12" s="2">
        <f>AG12+預測IC!AH12</f>
        <v>5.6287798840443493E-2</v>
      </c>
      <c r="AI12" s="2">
        <f>AH12+預測IC!AI12</f>
        <v>8.1041837628665431E-2</v>
      </c>
      <c r="AJ12" s="2">
        <f>AI12+預測IC!AJ12</f>
        <v>7.2623765384760286E-2</v>
      </c>
      <c r="AK12" s="2">
        <f>AJ12+預測IC!AK12</f>
        <v>0.10684900132218594</v>
      </c>
      <c r="AL12" s="2">
        <f>AK12+預測IC!AL12</f>
        <v>0.13192482650755241</v>
      </c>
      <c r="AM12" s="2">
        <f>AL12+預測IC!AM12</f>
        <v>0.16464045150170703</v>
      </c>
      <c r="AN12" s="2">
        <f>AM12+預測IC!AN12</f>
        <v>0.15505747560618552</v>
      </c>
      <c r="AO12" s="2">
        <f>AN12+預測IC!AO12</f>
        <v>0.13752691261647099</v>
      </c>
      <c r="AP12" s="2">
        <f>AO12+預測IC!AP12</f>
        <v>0.11535250265085963</v>
      </c>
      <c r="AQ12" s="2">
        <f>AP12+預測IC!AQ12</f>
        <v>0.10140601064047863</v>
      </c>
      <c r="AR12" s="2">
        <f>AQ12+預測IC!AR12</f>
        <v>0.10064024550633363</v>
      </c>
      <c r="AS12" s="2">
        <f>AR12+預測IC!AS12</f>
        <v>9.3659571831345226E-2</v>
      </c>
      <c r="AT12" s="2">
        <f>AS12+預測IC!AT12</f>
        <v>8.2534682634061871E-2</v>
      </c>
      <c r="AU12" s="2">
        <f>AT12+預測IC!AU12</f>
        <v>0.10720266688365573</v>
      </c>
      <c r="AV12" s="2">
        <f>AU12+預測IC!AV12</f>
        <v>6.5342132405562983E-2</v>
      </c>
      <c r="AW12" s="2">
        <f>AV12+預測IC!AW12</f>
        <v>8.4468064120438183E-2</v>
      </c>
      <c r="AX12" s="2">
        <f>AW12+預測IC!AX12</f>
        <v>0.11932995594304294</v>
      </c>
      <c r="AY12" s="2">
        <f>AX12+預測IC!AY12</f>
        <v>0.1475803232247361</v>
      </c>
      <c r="AZ12" s="2">
        <f>AY12+預測IC!AZ12</f>
        <v>0.19575133588044066</v>
      </c>
      <c r="BA12" s="2">
        <f>AZ12+預測IC!BA12</f>
        <v>0.16124717030344404</v>
      </c>
      <c r="BB12" s="2">
        <f>BA12+預測IC!BB12</f>
        <v>0.19705352353225053</v>
      </c>
      <c r="BC12" s="2">
        <f>BB12+預測IC!BC12</f>
        <v>0.20970749432154645</v>
      </c>
      <c r="BD12" s="2">
        <f>BC12+預測IC!BD12</f>
        <v>0.25385791454888568</v>
      </c>
      <c r="BE12" s="2">
        <f>BD12+預測IC!BE12</f>
        <v>0.19834491645900967</v>
      </c>
      <c r="BF12" s="2">
        <f>BE12+預測IC!BF12</f>
        <v>0.15183633311616346</v>
      </c>
      <c r="BG12" s="2">
        <f>BF12+預測IC!BG12</f>
        <v>0.1763484420414704</v>
      </c>
      <c r="BH12" s="2">
        <f>BG12+預測IC!BH12</f>
        <v>0.19685215130660585</v>
      </c>
      <c r="BI12" s="2">
        <f>BH12+預測IC!BI12</f>
        <v>0.212563299551909</v>
      </c>
      <c r="BJ12" s="2">
        <f>BI12+預測IC!BJ12</f>
        <v>0.26343841761787345</v>
      </c>
      <c r="BK12" s="2">
        <f>BJ12+預測IC!BK12</f>
        <v>0.24438426690786277</v>
      </c>
      <c r="BL12" s="2">
        <f>BK12+預測IC!BL12</f>
        <v>0.26545486101861504</v>
      </c>
      <c r="BM12" s="2">
        <f>BL12+預測IC!BM12</f>
        <v>0.25289831326302842</v>
      </c>
      <c r="BN12" s="2">
        <f>BM12+預測IC!BN12</f>
        <v>0.2921574164100792</v>
      </c>
      <c r="BO12" s="2">
        <f>BN12+預測IC!BO12</f>
        <v>0.29844716836713958</v>
      </c>
      <c r="BP12" s="2">
        <f>BO12+預測IC!BP12</f>
        <v>0.27477652266215824</v>
      </c>
      <c r="BQ12" s="2">
        <f>BP12+預測IC!BQ12</f>
        <v>0.26784994373028631</v>
      </c>
      <c r="BR12" s="2">
        <f>BQ12+預測IC!BR12</f>
        <v>0.23023457130611538</v>
      </c>
      <c r="BS12" s="2">
        <f>BR12+預測IC!BS12</f>
        <v>0.22291058962909727</v>
      </c>
      <c r="BT12" s="2">
        <f>BS12+預測IC!BT12</f>
        <v>0.25285440588290042</v>
      </c>
      <c r="BU12" s="2">
        <f>BT12+預測IC!BU12</f>
        <v>0.21820906472241303</v>
      </c>
      <c r="BV12" s="2">
        <f>BU12+預測IC!BV12</f>
        <v>0.21298975152128591</v>
      </c>
      <c r="BW12" s="2">
        <f>BV12+預測IC!BW12</f>
        <v>0.27455486796181744</v>
      </c>
      <c r="BX12" s="2">
        <f>BW12+預測IC!BX12</f>
        <v>0.27833179184665563</v>
      </c>
      <c r="BY12" s="2">
        <f>BX12+預測IC!BY12</f>
        <v>0.22399175789131431</v>
      </c>
      <c r="BZ12" s="2">
        <f>BY12+預測IC!BZ12</f>
        <v>0.24502850142461519</v>
      </c>
      <c r="CA12" s="2">
        <f>BZ12+預測IC!CA12</f>
        <v>0.30465327420906629</v>
      </c>
      <c r="CB12" s="2">
        <f>CA12+預測IC!CB12</f>
        <v>0.24785252839352603</v>
      </c>
      <c r="CC12" s="2">
        <f>CB12+預測IC!CC12</f>
        <v>0.26289734758627414</v>
      </c>
      <c r="CD12" s="2">
        <f>CC12+預測IC!CD12</f>
        <v>0.31801238754887429</v>
      </c>
      <c r="CE12" s="2">
        <f>CD12+預測IC!CE12</f>
        <v>0.4153734185471567</v>
      </c>
      <c r="CF12" s="2">
        <f>CE12+預測IC!CF12</f>
        <v>0.43274330342179951</v>
      </c>
      <c r="CG12" s="2">
        <f>CF12+預測IC!CG12</f>
        <v>0.44018802042730604</v>
      </c>
      <c r="CH12" s="2">
        <f>CG12+預測IC!CH12</f>
        <v>0.48391961570683523</v>
      </c>
      <c r="CI12" s="2">
        <f>CH12+預測IC!CI12</f>
        <v>0.43783866534518368</v>
      </c>
      <c r="CJ12" s="2">
        <f>CI12+預測IC!CJ12</f>
        <v>0.43158966856596748</v>
      </c>
      <c r="CK12" s="2">
        <f>CJ12+預測IC!CK12</f>
        <v>0.45019168145890054</v>
      </c>
      <c r="CL12" s="2">
        <f>CK12+預測IC!CL12</f>
        <v>0.55733524803408185</v>
      </c>
      <c r="CM12" s="2">
        <f>CL12+預測IC!CM12</f>
        <v>0.49596858447729725</v>
      </c>
      <c r="CN12" s="2">
        <f>CM12+預測IC!CN12</f>
        <v>0.51011742931347481</v>
      </c>
      <c r="CO12" s="2">
        <f>CN12+預測IC!CO12</f>
        <v>0.44792700792927331</v>
      </c>
      <c r="CP12" s="2">
        <f>CO12+預測IC!CP12</f>
        <v>0.43430857951058915</v>
      </c>
      <c r="CQ12" s="2">
        <f>CP12+預測IC!CQ12</f>
        <v>0.49749814241578272</v>
      </c>
      <c r="CR12" s="2">
        <f>CQ12+預測IC!CR12</f>
        <v>0.45159109797774299</v>
      </c>
      <c r="CS12" s="2">
        <f>CR12+預測IC!CS12</f>
        <v>0.41050728163459993</v>
      </c>
      <c r="CT12" s="2">
        <f>CS12+預測IC!CT12</f>
        <v>0.44159734875921658</v>
      </c>
      <c r="CU12" s="2">
        <f>CT12+預測IC!CU12</f>
        <v>0.46675784222267952</v>
      </c>
      <c r="CV12" s="2">
        <f>CU12+預測IC!CV12</f>
        <v>0.4609484489405602</v>
      </c>
      <c r="CW12" s="2">
        <f>CV12+預測IC!CW12</f>
        <v>0.45867263365958111</v>
      </c>
      <c r="CX12" s="2">
        <f>CW12+預測IC!CX12</f>
        <v>0.48052598601973801</v>
      </c>
      <c r="CY12" s="2">
        <f>CX12+預測IC!CY12</f>
        <v>0.46136769208207568</v>
      </c>
      <c r="CZ12" s="2">
        <f>CY12+預測IC!CZ12</f>
        <v>0.55283814788100238</v>
      </c>
      <c r="DA12" s="2">
        <f>CZ12+預測IC!DA12</f>
        <v>0.58391279832259968</v>
      </c>
      <c r="DB12" s="2">
        <f>DA12+預測IC!DB12</f>
        <v>0.53561687794428969</v>
      </c>
      <c r="DC12" s="2">
        <f>DB12+預測IC!DC12</f>
        <v>0.57031184169431193</v>
      </c>
      <c r="DD12" s="2">
        <f>DC12+預測IC!DD12</f>
        <v>0.54103256390877363</v>
      </c>
      <c r="DE12" s="2">
        <f>DD12+預測IC!DE12</f>
        <v>0.5237597511001959</v>
      </c>
      <c r="DF12" s="2">
        <f>DE12+預測IC!DF12</f>
        <v>0.57328316817519653</v>
      </c>
      <c r="DG12" s="2">
        <f>DF12+預測IC!DG12</f>
        <v>0.53543530690091734</v>
      </c>
      <c r="DH12" s="2">
        <f>DG12+預測IC!DH12</f>
        <v>0.5373114447325581</v>
      </c>
      <c r="DI12" s="2">
        <f>DH12+預測IC!DI12</f>
        <v>0.55948901363899206</v>
      </c>
      <c r="DJ12" s="2">
        <f>DI12+預測IC!DJ12</f>
        <v>0.57555895143046221</v>
      </c>
      <c r="DK12" s="2">
        <f>DJ12+預測IC!DK12</f>
        <v>0.54773593292128575</v>
      </c>
      <c r="DL12" s="2">
        <f>DK12+預測IC!DL12</f>
        <v>0.54967176726492373</v>
      </c>
      <c r="DM12" s="2">
        <f>DL12+預測IC!DM12</f>
        <v>0.56074617112368064</v>
      </c>
      <c r="DN12" s="2">
        <f>DM12+預測IC!DN12</f>
        <v>0.5862929244871885</v>
      </c>
      <c r="DO12" s="2">
        <f>DN12+預測IC!DO12</f>
        <v>0.55091450292383337</v>
      </c>
      <c r="DP12" s="2">
        <f>DO12+預測IC!DP12</f>
        <v>0.60597194048449632</v>
      </c>
      <c r="DQ12" s="2">
        <f>DP12+預測IC!DQ12</f>
        <v>0.59819381508080394</v>
      </c>
      <c r="DR12" s="2">
        <f>DQ12+預測IC!DR12</f>
        <v>0.59733315679819576</v>
      </c>
      <c r="DS12" s="2">
        <f>DR12+預測IC!DS12</f>
        <v>0.67328845326337328</v>
      </c>
      <c r="DT12" s="2">
        <f>DS12+預測IC!DT12</f>
        <v>0.65663836198589032</v>
      </c>
      <c r="DU12" s="2">
        <f>DT12+預測IC!DU12</f>
        <v>0.61556980106619708</v>
      </c>
      <c r="DV12" s="2">
        <f>DU12+預測IC!DV12</f>
        <v>0.64794947325975683</v>
      </c>
      <c r="DW12" s="2">
        <f>DV12+預測IC!DW12</f>
        <v>0.593982341873873</v>
      </c>
      <c r="DX12" s="2">
        <f>DW12+預測IC!DX12</f>
        <v>0.60711086411251058</v>
      </c>
      <c r="DY12" s="2">
        <f>DX12+預測IC!DY12</f>
        <v>0.62023793863402688</v>
      </c>
      <c r="DZ12" s="2">
        <f>DY12+預測IC!DZ12</f>
        <v>0.59727587687051975</v>
      </c>
      <c r="EA12" s="2">
        <f>DZ12+預測IC!EA12</f>
        <v>0.60503961837116593</v>
      </c>
      <c r="EB12" s="2">
        <f>EA12+預測IC!EB12</f>
        <v>0.60340998116232025</v>
      </c>
      <c r="EC12" s="2">
        <f>EB12+預測IC!EC12</f>
        <v>0.59309283389036571</v>
      </c>
      <c r="ED12" s="2">
        <f>EC12+預測IC!ED12</f>
        <v>0.55932510139776537</v>
      </c>
      <c r="EE12" s="2">
        <f>ED12+預測IC!EE12</f>
        <v>0.55589521174770273</v>
      </c>
      <c r="EF12" s="2">
        <f>EE12+預測IC!EF12</f>
        <v>0.58912230978340474</v>
      </c>
      <c r="EG12" s="2">
        <f>EF12+預測IC!EG12</f>
        <v>0.57934877314649413</v>
      </c>
      <c r="EH12" s="2">
        <f>EG12+預測IC!EH12</f>
        <v>0.56703951914920314</v>
      </c>
      <c r="EI12" s="2">
        <f>EH12+預測IC!EI12</f>
        <v>0.57520040046776522</v>
      </c>
      <c r="EJ12" s="2">
        <f>EI12+預測IC!EJ12</f>
        <v>0.58597156521734306</v>
      </c>
      <c r="EK12" s="2">
        <f>EJ12+預測IC!EK12</f>
        <v>0.57532110735974407</v>
      </c>
      <c r="EL12" s="2">
        <f>EK12+預測IC!EL12</f>
        <v>0.53653426861201436</v>
      </c>
    </row>
    <row r="13" spans="1:142" x14ac:dyDescent="0.3">
      <c r="A13" s="18">
        <v>20</v>
      </c>
      <c r="B13" s="18">
        <f t="shared" si="10"/>
        <v>53</v>
      </c>
      <c r="C13" s="2">
        <v>-2.950459453302642E-2</v>
      </c>
      <c r="D13" s="2">
        <f>C13+預測IC!D13</f>
        <v>-9.3138196569382839E-2</v>
      </c>
      <c r="E13" s="2">
        <f>D13+預測IC!E13</f>
        <v>-7.2649980322133795E-2</v>
      </c>
      <c r="F13" s="2">
        <f>E13+預測IC!F13</f>
        <v>-8.3275672621925492E-2</v>
      </c>
      <c r="G13" s="2">
        <f>F13+預測IC!G13</f>
        <v>-6.3871670343280451E-2</v>
      </c>
      <c r="H13" s="2">
        <f>G13+預測IC!H13</f>
        <v>-4.4622041477396318E-2</v>
      </c>
      <c r="I13" s="2">
        <f>H13+預測IC!I13</f>
        <v>-3.5570771546190025E-2</v>
      </c>
      <c r="J13" s="2">
        <f>I13+預測IC!J13</f>
        <v>-3.7715892076929922E-2</v>
      </c>
      <c r="K13" s="2">
        <f>J13+預測IC!K13</f>
        <v>-5.5898947233820481E-2</v>
      </c>
      <c r="L13" s="2">
        <f>K13+預測IC!L13</f>
        <v>-2.1524994937753929E-2</v>
      </c>
      <c r="M13" s="2">
        <f>L13+預測IC!M13</f>
        <v>-2.5535789260622031E-2</v>
      </c>
      <c r="N13" s="2">
        <f>M13+預測IC!N13</f>
        <v>-8.768018555585598E-2</v>
      </c>
      <c r="O13" s="2">
        <f>N13+預測IC!O13</f>
        <v>-8.6096061431906762E-2</v>
      </c>
      <c r="P13" s="2">
        <f>O13+預測IC!P13</f>
        <v>-9.994935236049575E-2</v>
      </c>
      <c r="Q13" s="2">
        <f>P13+預測IC!Q13</f>
        <v>-0.12389216017138294</v>
      </c>
      <c r="R13" s="2">
        <f>Q13+預測IC!R13</f>
        <v>-0.15489721574416873</v>
      </c>
      <c r="S13" s="2">
        <f>R13+預測IC!S13</f>
        <v>-0.1694311944260001</v>
      </c>
      <c r="T13" s="2">
        <f>S13+預測IC!T13</f>
        <v>-0.23651842665301487</v>
      </c>
      <c r="U13" s="2">
        <f>T13+預測IC!U13</f>
        <v>-0.27235037791983746</v>
      </c>
      <c r="V13" s="2">
        <f>U13+預測IC!V13</f>
        <v>-0.23442501164117152</v>
      </c>
      <c r="W13" s="2">
        <f>V13+預測IC!W13</f>
        <v>-0.19186478083681735</v>
      </c>
      <c r="X13" s="2">
        <f>W13+預測IC!X13</f>
        <v>-4.7363489286431054E-2</v>
      </c>
      <c r="Y13" s="2">
        <f>X13+預測IC!Y13</f>
        <v>-9.0744258613230183E-2</v>
      </c>
      <c r="Z13" s="2">
        <f>Y13+預測IC!Z13</f>
        <v>-6.3416876516739468E-2</v>
      </c>
      <c r="AA13" s="2">
        <f>Z13+預測IC!AA13</f>
        <v>-4.9283738178511796E-2</v>
      </c>
      <c r="AB13" s="2">
        <f>AA13+預測IC!AB13</f>
        <v>-5.2825501512644008E-2</v>
      </c>
      <c r="AC13" s="2">
        <f>AB13+預測IC!AC13</f>
        <v>-1.223206386968665E-2</v>
      </c>
      <c r="AD13" s="2">
        <f>AC13+預測IC!AD13</f>
        <v>-1.0712613195970284E-2</v>
      </c>
      <c r="AE13" s="2">
        <f>AD13+預測IC!AE13</f>
        <v>-6.1837653979470351E-2</v>
      </c>
      <c r="AF13" s="2">
        <f>AE13+預測IC!AF13</f>
        <v>-9.1448210226994439E-2</v>
      </c>
      <c r="AG13" s="2">
        <f>AF13+預測IC!AG13</f>
        <v>-4.1043929941024918E-2</v>
      </c>
      <c r="AH13" s="2">
        <f>AG13+預測IC!AH13</f>
        <v>-2.2513155298645556E-2</v>
      </c>
      <c r="AI13" s="2">
        <f>AH13+預測IC!AI13</f>
        <v>-4.9162179730392261E-3</v>
      </c>
      <c r="AJ13" s="2">
        <f>AI13+預測IC!AJ13</f>
        <v>1.3419494498238685E-3</v>
      </c>
      <c r="AK13" s="2">
        <f>AJ13+預測IC!AK13</f>
        <v>4.3203120050877127E-2</v>
      </c>
      <c r="AL13" s="2">
        <f>AK13+預測IC!AL13</f>
        <v>7.3886876484546532E-2</v>
      </c>
      <c r="AM13" s="2">
        <f>AL13+預測IC!AM13</f>
        <v>0.11085786432459678</v>
      </c>
      <c r="AN13" s="2">
        <f>AM13+預測IC!AN13</f>
        <v>0.10837445229365622</v>
      </c>
      <c r="AO13" s="2">
        <f>AN13+預測IC!AO13</f>
        <v>0.1045026549317658</v>
      </c>
      <c r="AP13" s="2">
        <f>AO13+預測IC!AP13</f>
        <v>8.5064456060219659E-2</v>
      </c>
      <c r="AQ13" s="2">
        <f>AP13+預測IC!AQ13</f>
        <v>6.9897515463403434E-2</v>
      </c>
      <c r="AR13" s="2">
        <f>AQ13+預測IC!AR13</f>
        <v>8.0210496518774252E-2</v>
      </c>
      <c r="AS13" s="2">
        <f>AR13+預測IC!AS13</f>
        <v>8.7838396598281382E-2</v>
      </c>
      <c r="AT13" s="2">
        <f>AS13+預測IC!AT13</f>
        <v>6.9183930348424794E-2</v>
      </c>
      <c r="AU13" s="2">
        <f>AT13+預測IC!AU13</f>
        <v>8.4550059466265856E-2</v>
      </c>
      <c r="AV13" s="2">
        <f>AU13+預測IC!AV13</f>
        <v>3.3770619385796299E-2</v>
      </c>
      <c r="AW13" s="2">
        <f>AV13+預測IC!AW13</f>
        <v>8.4617672565825253E-2</v>
      </c>
      <c r="AX13" s="2">
        <f>AW13+預測IC!AX13</f>
        <v>0.14027234697473812</v>
      </c>
      <c r="AY13" s="2">
        <f>AX13+預測IC!AY13</f>
        <v>0.15966569397379488</v>
      </c>
      <c r="AZ13" s="2">
        <f>AY13+預測IC!AZ13</f>
        <v>0.1985215056944144</v>
      </c>
      <c r="BA13" s="2">
        <f>AZ13+預測IC!BA13</f>
        <v>0.18480718341562496</v>
      </c>
      <c r="BB13" s="2">
        <f>BA13+預測IC!BB13</f>
        <v>0.19118171635401382</v>
      </c>
      <c r="BC13" s="2">
        <f>BB13+預測IC!BC13</f>
        <v>0.19818101783334077</v>
      </c>
      <c r="BD13" s="2">
        <f>BC13+預測IC!BD13</f>
        <v>0.22866345223983212</v>
      </c>
      <c r="BE13" s="2">
        <f>BD13+預測IC!BE13</f>
        <v>0.17506313964449027</v>
      </c>
      <c r="BF13" s="2">
        <f>BE13+預測IC!BF13</f>
        <v>0.14053808393832753</v>
      </c>
      <c r="BG13" s="2">
        <f>BF13+預測IC!BG13</f>
        <v>0.1689299607125698</v>
      </c>
      <c r="BH13" s="2">
        <f>BG13+預測IC!BH13</f>
        <v>0.20055683428427251</v>
      </c>
      <c r="BI13" s="2">
        <f>BH13+預測IC!BI13</f>
        <v>0.20599745478859063</v>
      </c>
      <c r="BJ13" s="2">
        <f>BI13+預測IC!BJ13</f>
        <v>0.25941012622589255</v>
      </c>
      <c r="BK13" s="2">
        <f>BJ13+預測IC!BK13</f>
        <v>0.2315789695351983</v>
      </c>
      <c r="BL13" s="2">
        <f>BK13+預測IC!BL13</f>
        <v>0.26533649276251264</v>
      </c>
      <c r="BM13" s="2">
        <f>BL13+預測IC!BM13</f>
        <v>0.2475684850228993</v>
      </c>
      <c r="BN13" s="2">
        <f>BM13+預測IC!BN13</f>
        <v>0.30148187629149614</v>
      </c>
      <c r="BO13" s="2">
        <f>BN13+預測IC!BO13</f>
        <v>0.29037358263797547</v>
      </c>
      <c r="BP13" s="2">
        <f>BO13+預測IC!BP13</f>
        <v>0.27369491326350531</v>
      </c>
      <c r="BQ13" s="2">
        <f>BP13+預測IC!BQ13</f>
        <v>0.25819727032207729</v>
      </c>
      <c r="BR13" s="2">
        <f>BQ13+預測IC!BR13</f>
        <v>0.21731962246567421</v>
      </c>
      <c r="BS13" s="2">
        <f>BR13+預測IC!BS13</f>
        <v>0.21703328675603642</v>
      </c>
      <c r="BT13" s="2">
        <f>BS13+預測IC!BT13</f>
        <v>0.24729288739318303</v>
      </c>
      <c r="BU13" s="2">
        <f>BT13+預測IC!BU13</f>
        <v>0.19526105528399651</v>
      </c>
      <c r="BV13" s="2">
        <f>BU13+預測IC!BV13</f>
        <v>0.18355230789076579</v>
      </c>
      <c r="BW13" s="2">
        <f>BV13+預測IC!BW13</f>
        <v>0.25236668134150558</v>
      </c>
      <c r="BX13" s="2">
        <f>BW13+預測IC!BX13</f>
        <v>0.25456673918985678</v>
      </c>
      <c r="BY13" s="2">
        <f>BX13+預測IC!BY13</f>
        <v>0.16202533808977093</v>
      </c>
      <c r="BZ13" s="2">
        <f>BY13+預測IC!BZ13</f>
        <v>0.20038357919318056</v>
      </c>
      <c r="CA13" s="2">
        <f>BZ13+預測IC!CA13</f>
        <v>0.25916959446569188</v>
      </c>
      <c r="CB13" s="2">
        <f>CA13+預測IC!CB13</f>
        <v>0.18691519065610177</v>
      </c>
      <c r="CC13" s="2">
        <f>CB13+預測IC!CC13</f>
        <v>0.20964230530594363</v>
      </c>
      <c r="CD13" s="2">
        <f>CC13+預測IC!CD13</f>
        <v>0.26337405594619012</v>
      </c>
      <c r="CE13" s="2">
        <f>CD13+預測IC!CE13</f>
        <v>0.36266183703204374</v>
      </c>
      <c r="CF13" s="2">
        <f>CE13+預測IC!CF13</f>
        <v>0.38868686257246571</v>
      </c>
      <c r="CG13" s="2">
        <f>CF13+預測IC!CG13</f>
        <v>0.40322003882480911</v>
      </c>
      <c r="CH13" s="2">
        <f>CG13+預測IC!CH13</f>
        <v>0.46315103600931451</v>
      </c>
      <c r="CI13" s="2">
        <f>CH13+預測IC!CI13</f>
        <v>0.41700595679369584</v>
      </c>
      <c r="CJ13" s="2">
        <f>CI13+預測IC!CJ13</f>
        <v>0.39700191047809535</v>
      </c>
      <c r="CK13" s="2">
        <f>CJ13+預測IC!CK13</f>
        <v>0.42982198342928851</v>
      </c>
      <c r="CL13" s="2">
        <f>CK13+預測IC!CL13</f>
        <v>0.51523581536317897</v>
      </c>
      <c r="CM13" s="2">
        <f>CL13+預測IC!CM13</f>
        <v>0.47463000944815259</v>
      </c>
      <c r="CN13" s="2">
        <f>CM13+預測IC!CN13</f>
        <v>0.49498347986646574</v>
      </c>
      <c r="CO13" s="2">
        <f>CN13+預測IC!CO13</f>
        <v>0.42420835829115455</v>
      </c>
      <c r="CP13" s="2">
        <f>CO13+預測IC!CP13</f>
        <v>0.39472764189610632</v>
      </c>
      <c r="CQ13" s="2">
        <f>CP13+預測IC!CQ13</f>
        <v>0.46437955489507426</v>
      </c>
      <c r="CR13" s="2">
        <f>CQ13+預測IC!CR13</f>
        <v>0.3883054870588678</v>
      </c>
      <c r="CS13" s="2">
        <f>CR13+預測IC!CS13</f>
        <v>0.34387768104514366</v>
      </c>
      <c r="CT13" s="2">
        <f>CS13+預測IC!CT13</f>
        <v>0.39169499438937605</v>
      </c>
      <c r="CU13" s="2">
        <f>CT13+預測IC!CU13</f>
        <v>0.43455874179874643</v>
      </c>
      <c r="CV13" s="2">
        <f>CU13+預測IC!CV13</f>
        <v>0.43156311451055024</v>
      </c>
      <c r="CW13" s="2">
        <f>CV13+預測IC!CW13</f>
        <v>0.43538141065874825</v>
      </c>
      <c r="CX13" s="2">
        <f>CW13+預測IC!CX13</f>
        <v>0.43818105784823425</v>
      </c>
      <c r="CY13" s="2">
        <f>CX13+預測IC!CY13</f>
        <v>0.4234267459898709</v>
      </c>
      <c r="CZ13" s="2">
        <f>CY13+預測IC!CZ13</f>
        <v>0.51456932969813729</v>
      </c>
      <c r="DA13" s="2">
        <f>CZ13+預測IC!DA13</f>
        <v>0.54907093154075126</v>
      </c>
      <c r="DB13" s="2">
        <f>DA13+預測IC!DB13</f>
        <v>0.51064837961137521</v>
      </c>
      <c r="DC13" s="2">
        <f>DB13+預測IC!DC13</f>
        <v>0.552591302653889</v>
      </c>
      <c r="DD13" s="2">
        <f>DC13+預測IC!DD13</f>
        <v>0.54134103023898639</v>
      </c>
      <c r="DE13" s="2">
        <f>DD13+預測IC!DE13</f>
        <v>0.50289777725257034</v>
      </c>
      <c r="DF13" s="2">
        <f>DE13+預測IC!DF13</f>
        <v>0.5829221117616683</v>
      </c>
      <c r="DG13" s="2">
        <f>DF13+預測IC!DG13</f>
        <v>0.52870164658310559</v>
      </c>
      <c r="DH13" s="2">
        <f>DG13+預測IC!DH13</f>
        <v>0.54292413041089072</v>
      </c>
      <c r="DI13" s="2">
        <f>DH13+預測IC!DI13</f>
        <v>0.57758192576280643</v>
      </c>
      <c r="DJ13" s="2">
        <f>DI13+預測IC!DJ13</f>
        <v>0.61400269475479263</v>
      </c>
      <c r="DK13" s="2">
        <f>DJ13+預測IC!DK13</f>
        <v>0.58645082712937757</v>
      </c>
      <c r="DL13" s="2">
        <f>DK13+預測IC!DL13</f>
        <v>0.59672683102142166</v>
      </c>
      <c r="DM13" s="2">
        <f>DL13+預測IC!DM13</f>
        <v>0.63522287396397159</v>
      </c>
      <c r="DN13" s="2">
        <f>DM13+預測IC!DN13</f>
        <v>0.66773747680631379</v>
      </c>
      <c r="DO13" s="2">
        <f>DN13+預測IC!DO13</f>
        <v>0.62079094296996917</v>
      </c>
      <c r="DP13" s="2">
        <f>DO13+預測IC!DP13</f>
        <v>0.68395360877516065</v>
      </c>
      <c r="DQ13" s="2">
        <f>DP13+預測IC!DQ13</f>
        <v>0.68255507878183364</v>
      </c>
      <c r="DR13" s="2">
        <f>DQ13+預測IC!DR13</f>
        <v>0.67486850446040325</v>
      </c>
      <c r="DS13" s="2">
        <f>DR13+預測IC!DS13</f>
        <v>0.7107899900252298</v>
      </c>
      <c r="DT13" s="2">
        <f>DS13+預測IC!DT13</f>
        <v>0.69762641237638523</v>
      </c>
      <c r="DU13" s="2">
        <f>DT13+預測IC!DU13</f>
        <v>0.68129727777353843</v>
      </c>
      <c r="DV13" s="2">
        <f>DU13+預測IC!DV13</f>
        <v>0.72104698922298183</v>
      </c>
      <c r="DW13" s="2">
        <f>DV13+預測IC!DW13</f>
        <v>0.65767024007292552</v>
      </c>
      <c r="DX13" s="2">
        <f>DW13+預測IC!DX13</f>
        <v>0.66717667992296992</v>
      </c>
      <c r="DY13" s="2">
        <f>DX13+預測IC!DY13</f>
        <v>0.68941950624506398</v>
      </c>
      <c r="DZ13" s="2">
        <f>DY13+預測IC!DZ13</f>
        <v>0.65273103638497043</v>
      </c>
      <c r="EA13" s="2">
        <f>DZ13+預測IC!EA13</f>
        <v>0.65164494393112071</v>
      </c>
      <c r="EB13" s="2">
        <f>EA13+預測IC!EB13</f>
        <v>0.63747681907371123</v>
      </c>
      <c r="EC13" s="2">
        <f>EB13+預測IC!EC13</f>
        <v>0.63224472311560642</v>
      </c>
      <c r="ED13" s="2">
        <f>EC13+預測IC!ED13</f>
        <v>0.56233481604321955</v>
      </c>
      <c r="EE13" s="2">
        <f>ED13+預測IC!EE13</f>
        <v>0.55046162439211976</v>
      </c>
      <c r="EF13" s="2">
        <f>EE13+預測IC!EF13</f>
        <v>0.5783348764771592</v>
      </c>
      <c r="EG13" s="2">
        <f>EF13+預測IC!EG13</f>
        <v>0.54116841122006565</v>
      </c>
      <c r="EH13" s="2">
        <f>EG13+預測IC!EH13</f>
        <v>0.53818854044061881</v>
      </c>
      <c r="EI13" s="2">
        <f>EH13+預測IC!EI13</f>
        <v>0.53807186096556081</v>
      </c>
      <c r="EJ13" s="2">
        <f>EI13+預測IC!EJ13</f>
        <v>0.57235336160937123</v>
      </c>
      <c r="EK13" s="2">
        <f>EJ13+預測IC!EK13</f>
        <v>0.55499466989805679</v>
      </c>
      <c r="EL13" s="2">
        <f>EK13+預測IC!EL13</f>
        <v>0.48534369257244303</v>
      </c>
    </row>
    <row r="14" spans="1:142" x14ac:dyDescent="0.3">
      <c r="A14" s="18">
        <v>50</v>
      </c>
      <c r="B14" s="18">
        <f t="shared" si="10"/>
        <v>21</v>
      </c>
      <c r="C14" s="2">
        <v>-5.6853263530549307E-2</v>
      </c>
      <c r="D14" s="2">
        <f>C14+預測IC!D14</f>
        <v>-0.11036479238695053</v>
      </c>
      <c r="E14" s="2">
        <f>D14+預測IC!E14</f>
        <v>-0.10090047538151026</v>
      </c>
      <c r="F14" s="2">
        <f>E14+預測IC!F14</f>
        <v>-0.14891439466949777</v>
      </c>
      <c r="G14" s="2">
        <f>F14+預測IC!G14</f>
        <v>-0.13563015792941094</v>
      </c>
      <c r="H14" s="2">
        <f>G14+預測IC!H14</f>
        <v>-0.11641469478732316</v>
      </c>
      <c r="I14" s="2">
        <f>H14+預測IC!I14</f>
        <v>-6.6383362924173128E-2</v>
      </c>
      <c r="J14" s="2">
        <f>I14+預測IC!J14</f>
        <v>-0.10697499436977798</v>
      </c>
      <c r="K14" s="2">
        <f>J14+預測IC!K14</f>
        <v>-8.7791174030239255E-2</v>
      </c>
      <c r="L14" s="2">
        <f>K14+預測IC!L14</f>
        <v>-0.11227481465529474</v>
      </c>
      <c r="M14" s="2">
        <f>L14+預測IC!M14</f>
        <v>-8.9549933349240968E-2</v>
      </c>
      <c r="N14" s="2">
        <f>M14+預測IC!N14</f>
        <v>-0.19859249651928718</v>
      </c>
      <c r="O14" s="2">
        <f>N14+預測IC!O14</f>
        <v>-0.22296736580410662</v>
      </c>
      <c r="P14" s="2">
        <f>O14+預測IC!P14</f>
        <v>-0.22234507194490605</v>
      </c>
      <c r="Q14" s="2">
        <f>P14+預測IC!Q14</f>
        <v>-0.29678014639714512</v>
      </c>
      <c r="R14" s="2">
        <f>Q14+預測IC!R14</f>
        <v>-0.32690842515248181</v>
      </c>
      <c r="S14" s="2">
        <f>R14+預測IC!S14</f>
        <v>-0.31474637647125714</v>
      </c>
      <c r="T14" s="2">
        <f>S14+預測IC!T14</f>
        <v>-0.37066401482077971</v>
      </c>
      <c r="U14" s="2">
        <f>T14+預測IC!U14</f>
        <v>-0.41474610566751563</v>
      </c>
      <c r="V14" s="2">
        <f>U14+預測IC!V14</f>
        <v>-0.42967515211889246</v>
      </c>
      <c r="W14" s="2">
        <f>V14+預測IC!W14</f>
        <v>-0.38550065270324602</v>
      </c>
      <c r="X14" s="2">
        <f>W14+預測IC!X14</f>
        <v>-0.17250358469855823</v>
      </c>
      <c r="Y14" s="2">
        <f>X14+預測IC!Y14</f>
        <v>-0.20624350299451985</v>
      </c>
      <c r="Z14" s="2">
        <f>Y14+預測IC!Z14</f>
        <v>-0.16757155082247646</v>
      </c>
      <c r="AA14" s="2">
        <f>Z14+預測IC!AA14</f>
        <v>-0.17527664598743403</v>
      </c>
      <c r="AB14" s="2">
        <f>AA14+預測IC!AB14</f>
        <v>-0.24019820888230686</v>
      </c>
      <c r="AC14" s="2">
        <f>AB14+預測IC!AC14</f>
        <v>-0.2440581214233597</v>
      </c>
      <c r="AD14" s="2">
        <f>AC14+預測IC!AD14</f>
        <v>-0.23028404119237031</v>
      </c>
      <c r="AE14" s="2">
        <f>AD14+預測IC!AE14</f>
        <v>-0.27647377329350004</v>
      </c>
      <c r="AF14" s="2">
        <f>AE14+預測IC!AF14</f>
        <v>-0.32130227260315053</v>
      </c>
      <c r="AG14" s="2">
        <f>AF14+預測IC!AG14</f>
        <v>-0.30571121068242918</v>
      </c>
      <c r="AH14" s="2">
        <f>AG14+預測IC!AH14</f>
        <v>-0.30146087819290229</v>
      </c>
      <c r="AI14" s="2">
        <f>AH14+預測IC!AI14</f>
        <v>-0.24375525034423037</v>
      </c>
      <c r="AJ14" s="2">
        <f>AI14+預測IC!AJ14</f>
        <v>-0.20082251695115</v>
      </c>
      <c r="AK14" s="2">
        <f>AJ14+預測IC!AK14</f>
        <v>-0.19538416655496088</v>
      </c>
      <c r="AL14" s="2">
        <f>AK14+預測IC!AL14</f>
        <v>-0.19075101320300719</v>
      </c>
      <c r="AM14" s="2">
        <f>AL14+預測IC!AM14</f>
        <v>-0.15359632352082062</v>
      </c>
      <c r="AN14" s="2">
        <f>AM14+預測IC!AN14</f>
        <v>-0.17862901492685462</v>
      </c>
      <c r="AO14" s="2">
        <f>AN14+預測IC!AO14</f>
        <v>-0.21186101313553943</v>
      </c>
      <c r="AP14" s="2">
        <f>AO14+預測IC!AP14</f>
        <v>-0.22640150259543501</v>
      </c>
      <c r="AQ14" s="2">
        <f>AP14+預測IC!AQ14</f>
        <v>-0.24645400081828914</v>
      </c>
      <c r="AR14" s="2">
        <f>AQ14+預測IC!AR14</f>
        <v>-0.24012781246695061</v>
      </c>
      <c r="AS14" s="2">
        <f>AR14+預測IC!AS14</f>
        <v>-0.20986166499295428</v>
      </c>
      <c r="AT14" s="2">
        <f>AS14+預測IC!AT14</f>
        <v>-0.24887082222549581</v>
      </c>
      <c r="AU14" s="2">
        <f>AT14+預測IC!AU14</f>
        <v>-0.22299791794307541</v>
      </c>
      <c r="AV14" s="2">
        <f>AU14+預測IC!AV14</f>
        <v>-0.26517066578789106</v>
      </c>
      <c r="AW14" s="2">
        <f>AV14+預測IC!AW14</f>
        <v>-0.22247115724035771</v>
      </c>
      <c r="AX14" s="2">
        <f>AW14+預測IC!AX14</f>
        <v>-0.16418172808869358</v>
      </c>
      <c r="AY14" s="2">
        <f>AX14+預測IC!AY14</f>
        <v>-0.18908330272437948</v>
      </c>
      <c r="AZ14" s="2">
        <f>AY14+預測IC!AZ14</f>
        <v>-0.13771774688610058</v>
      </c>
      <c r="BA14" s="2">
        <f>AZ14+預測IC!BA14</f>
        <v>-0.12314895132958684</v>
      </c>
      <c r="BB14" s="2">
        <f>BA14+預測IC!BB14</f>
        <v>-0.16318886749991796</v>
      </c>
      <c r="BC14" s="2">
        <f>BB14+預測IC!BC14</f>
        <v>-0.12174109944073813</v>
      </c>
      <c r="BD14" s="2">
        <f>BC14+預測IC!BD14</f>
        <v>-9.895090988286806E-2</v>
      </c>
      <c r="BE14" s="2">
        <f>BD14+預測IC!BE14</f>
        <v>-0.14729062787276764</v>
      </c>
      <c r="BF14" s="2">
        <f>BE14+預測IC!BF14</f>
        <v>-0.20073529797322018</v>
      </c>
      <c r="BG14" s="2">
        <f>BF14+預測IC!BG14</f>
        <v>-0.177760887371365</v>
      </c>
      <c r="BH14" s="2">
        <f>BG14+預測IC!BH14</f>
        <v>-0.10915641026692133</v>
      </c>
      <c r="BI14" s="2">
        <f>BH14+預測IC!BI14</f>
        <v>-0.12562645240223608</v>
      </c>
      <c r="BJ14" s="2">
        <f>BI14+預測IC!BJ14</f>
        <v>-4.6171129702139879E-2</v>
      </c>
      <c r="BK14" s="2">
        <f>BJ14+預測IC!BK14</f>
        <v>-2.01761689359625E-2</v>
      </c>
      <c r="BL14" s="2">
        <f>BK14+預測IC!BL14</f>
        <v>1.3597044506622951E-2</v>
      </c>
      <c r="BM14" s="2">
        <f>BL14+預測IC!BM14</f>
        <v>-2.603019124534665E-2</v>
      </c>
      <c r="BN14" s="2">
        <f>BM14+預測IC!BN14</f>
        <v>6.926176783424802E-2</v>
      </c>
      <c r="BO14" s="2">
        <f>BN14+預測IC!BO14</f>
        <v>6.3441590025399675E-2</v>
      </c>
      <c r="BP14" s="2">
        <f>BO14+預測IC!BP14</f>
        <v>7.6183960183575677E-2</v>
      </c>
      <c r="BQ14" s="2">
        <f>BP14+預測IC!BQ14</f>
        <v>2.9353281133551234E-2</v>
      </c>
      <c r="BR14" s="2">
        <f>BQ14+預測IC!BR14</f>
        <v>-4.2056282978435125E-2</v>
      </c>
      <c r="BS14" s="2">
        <f>BR14+預測IC!BS14</f>
        <v>-5.3774940356973944E-2</v>
      </c>
      <c r="BT14" s="2">
        <f>BS14+預測IC!BT14</f>
        <v>-1.8572166916841305E-2</v>
      </c>
      <c r="BU14" s="2">
        <f>BT14+預測IC!BU14</f>
        <v>-0.1213125569746952</v>
      </c>
      <c r="BV14" s="2">
        <f>BU14+預測IC!BV14</f>
        <v>-0.16384476874048992</v>
      </c>
      <c r="BW14" s="2">
        <f>BV14+預測IC!BW14</f>
        <v>-7.7908954625837967E-2</v>
      </c>
      <c r="BX14" s="2">
        <f>BW14+預測IC!BX14</f>
        <v>-6.2569991001828321E-2</v>
      </c>
      <c r="BY14" s="2">
        <f>BX14+預測IC!BY14</f>
        <v>-0.18096749854060301</v>
      </c>
      <c r="BZ14" s="2">
        <f>BY14+預測IC!BZ14</f>
        <v>-0.1179927539727601</v>
      </c>
      <c r="CA14" s="2">
        <f>BZ14+預測IC!CA14</f>
        <v>-4.3441360805465387E-2</v>
      </c>
      <c r="CB14" s="2">
        <f>CA14+預測IC!CB14</f>
        <v>-9.0406920560944154E-2</v>
      </c>
      <c r="CC14" s="2">
        <f>CB14+預測IC!CC14</f>
        <v>-6.4635426108465496E-2</v>
      </c>
      <c r="CD14" s="2">
        <f>CC14+預測IC!CD14</f>
        <v>1.9955589180417219E-2</v>
      </c>
      <c r="CE14" s="2">
        <f>CD14+預測IC!CE14</f>
        <v>0.11352361517621005</v>
      </c>
      <c r="CF14" s="2">
        <f>CE14+預測IC!CF14</f>
        <v>0.15776677152675506</v>
      </c>
      <c r="CG14" s="2">
        <f>CF14+預測IC!CG14</f>
        <v>0.25622417726987307</v>
      </c>
      <c r="CH14" s="2">
        <f>CG14+預測IC!CH14</f>
        <v>0.33884100355309021</v>
      </c>
      <c r="CI14" s="2">
        <f>CH14+預測IC!CI14</f>
        <v>0.34874190435209557</v>
      </c>
      <c r="CJ14" s="2">
        <f>CI14+預測IC!CJ14</f>
        <v>0.34981498527385135</v>
      </c>
      <c r="CK14" s="2">
        <f>CJ14+預測IC!CK14</f>
        <v>0.36688692605170159</v>
      </c>
      <c r="CL14" s="2">
        <f>CK14+預測IC!CL14</f>
        <v>0.5006189537521456</v>
      </c>
      <c r="CM14" s="2">
        <f>CL14+預測IC!CM14</f>
        <v>0.47108544380581086</v>
      </c>
      <c r="CN14" s="2">
        <f>CM14+預測IC!CN14</f>
        <v>0.49053291579593783</v>
      </c>
      <c r="CO14" s="2">
        <f>CN14+預測IC!CO14</f>
        <v>0.39391085166291195</v>
      </c>
      <c r="CP14" s="2">
        <f>CO14+預測IC!CP14</f>
        <v>0.32175211651039815</v>
      </c>
      <c r="CQ14" s="2">
        <f>CP14+預測IC!CQ14</f>
        <v>0.39138368520406636</v>
      </c>
      <c r="CR14" s="2">
        <f>CQ14+預測IC!CR14</f>
        <v>0.33440694947722188</v>
      </c>
      <c r="CS14" s="2">
        <f>CR14+預測IC!CS14</f>
        <v>0.31538934740503255</v>
      </c>
      <c r="CT14" s="2">
        <f>CS14+預測IC!CT14</f>
        <v>0.36785707531585943</v>
      </c>
      <c r="CU14" s="2">
        <f>CT14+預測IC!CU14</f>
        <v>0.45552417829260888</v>
      </c>
      <c r="CV14" s="2">
        <f>CU14+預測IC!CV14</f>
        <v>0.42970635178513128</v>
      </c>
      <c r="CW14" s="2">
        <f>CV14+預測IC!CW14</f>
        <v>0.45523775529734323</v>
      </c>
      <c r="CX14" s="2">
        <f>CW14+預測IC!CX14</f>
        <v>0.41036496703069764</v>
      </c>
      <c r="CY14" s="2">
        <f>CX14+預測IC!CY14</f>
        <v>0.36265950040879724</v>
      </c>
      <c r="CZ14" s="2">
        <f>CY14+預測IC!CZ14</f>
        <v>0.49201097028139446</v>
      </c>
      <c r="DA14" s="2">
        <f>CZ14+預測IC!DA14</f>
        <v>0.55015883081663319</v>
      </c>
      <c r="DB14" s="2">
        <f>DA14+預測IC!DB14</f>
        <v>0.49859909860626839</v>
      </c>
      <c r="DC14" s="2">
        <f>DB14+預測IC!DC14</f>
        <v>0.54434550004473847</v>
      </c>
      <c r="DD14" s="2">
        <f>DC14+預測IC!DD14</f>
        <v>0.59309988119999069</v>
      </c>
      <c r="DE14" s="2">
        <f>DD14+預測IC!DE14</f>
        <v>0.6295362632508561</v>
      </c>
      <c r="DF14" s="2">
        <f>DE14+預測IC!DF14</f>
        <v>0.80392891988549975</v>
      </c>
      <c r="DG14" s="2">
        <f>DF14+預測IC!DG14</f>
        <v>0.75484017443906792</v>
      </c>
      <c r="DH14" s="2">
        <f>DG14+預測IC!DH14</f>
        <v>0.76738848851070374</v>
      </c>
      <c r="DI14" s="2">
        <f>DH14+預測IC!DI14</f>
        <v>0.76982340156088702</v>
      </c>
      <c r="DJ14" s="2">
        <f>DI14+預測IC!DJ14</f>
        <v>0.80428564386930468</v>
      </c>
      <c r="DK14" s="2">
        <f>DJ14+預測IC!DK14</f>
        <v>0.79013840180107575</v>
      </c>
      <c r="DL14" s="2">
        <f>DK14+預測IC!DL14</f>
        <v>0.84515091238571205</v>
      </c>
      <c r="DM14" s="2">
        <f>DL14+預測IC!DM14</f>
        <v>0.87350956695291704</v>
      </c>
      <c r="DN14" s="2">
        <f>DM14+預測IC!DN14</f>
        <v>0.90797041079403396</v>
      </c>
      <c r="DO14" s="2">
        <f>DN14+預測IC!DO14</f>
        <v>0.8084995853546797</v>
      </c>
      <c r="DP14" s="2">
        <f>DO14+預測IC!DP14</f>
        <v>0.82777954133195686</v>
      </c>
      <c r="DQ14" s="2">
        <f>DP14+預測IC!DQ14</f>
        <v>0.84218460571853415</v>
      </c>
      <c r="DR14" s="2">
        <f>DQ14+預測IC!DR14</f>
        <v>0.83034810674094928</v>
      </c>
      <c r="DS14" s="2">
        <f>DR14+預測IC!DS14</f>
        <v>0.87519281321025444</v>
      </c>
      <c r="DT14" s="2">
        <f>DS14+預測IC!DT14</f>
        <v>0.8469168743026293</v>
      </c>
      <c r="DU14" s="2">
        <f>DT14+預測IC!DU14</f>
        <v>0.82252685096025935</v>
      </c>
      <c r="DV14" s="2">
        <f>DU14+預測IC!DV14</f>
        <v>0.83418298159411808</v>
      </c>
      <c r="DW14" s="2">
        <f>DV14+預測IC!DW14</f>
        <v>0.79022642948180433</v>
      </c>
      <c r="DX14" s="2">
        <f>DW14+預測IC!DX14</f>
        <v>0.79274921143901489</v>
      </c>
      <c r="DY14" s="2">
        <f>DX14+預測IC!DY14</f>
        <v>0.86472948858945364</v>
      </c>
      <c r="DZ14" s="2">
        <f>DY14+預測IC!DZ14</f>
        <v>0.82952257097600379</v>
      </c>
      <c r="EA14" s="2">
        <f>DZ14+預測IC!EA14</f>
        <v>0.82356834703772708</v>
      </c>
      <c r="EB14" s="2">
        <f>EA14+預測IC!EB14</f>
        <v>0.84273630380799269</v>
      </c>
      <c r="EC14" s="2">
        <f>EB14+預測IC!EC14</f>
        <v>0.87400258751491111</v>
      </c>
      <c r="ED14" s="2">
        <f>EC14+預測IC!ED14</f>
        <v>0.80157417814353504</v>
      </c>
      <c r="EE14" s="2">
        <f>ED14+預測IC!EE14</f>
        <v>0.7982516831835873</v>
      </c>
      <c r="EF14" s="2">
        <f>EE14+預測IC!EF14</f>
        <v>0.81392817191459332</v>
      </c>
      <c r="EG14" s="2">
        <f>EF14+預測IC!EG14</f>
        <v>0.72260315022537303</v>
      </c>
      <c r="EH14" s="2">
        <f>EG14+預測IC!EH14</f>
        <v>0.70524990349214056</v>
      </c>
      <c r="EI14" s="2">
        <f>EH14+預測IC!EI14</f>
        <v>0.72233856321765688</v>
      </c>
      <c r="EJ14" s="2">
        <f>EI14+預測IC!EJ14</f>
        <v>0.70394624852909948</v>
      </c>
      <c r="EK14" s="2">
        <f>EJ14+預測IC!EK14</f>
        <v>0.68440713033272993</v>
      </c>
      <c r="EL14" s="2">
        <f>EK14+預測IC!EL14</f>
        <v>0.65171651695387212</v>
      </c>
    </row>
    <row r="15" spans="1:142" x14ac:dyDescent="0.3">
      <c r="A15" s="18">
        <v>110</v>
      </c>
      <c r="B15" s="18">
        <f t="shared" si="10"/>
        <v>10</v>
      </c>
      <c r="C15" s="2">
        <v>-9.5037535583778296E-2</v>
      </c>
      <c r="D15" s="2">
        <f>C15+預測IC!D15</f>
        <v>-6.6468805060719241E-2</v>
      </c>
      <c r="E15" s="2">
        <f>D15+預測IC!E15</f>
        <v>-3.8390972300572146E-2</v>
      </c>
      <c r="F15" s="2">
        <f>E15+預測IC!F15</f>
        <v>-0.15427877675779045</v>
      </c>
      <c r="G15" s="2">
        <f>F15+預測IC!G15</f>
        <v>-0.1234796398659683</v>
      </c>
      <c r="H15" s="2">
        <f>G15+預測IC!H15</f>
        <v>-1.9066149290970905E-2</v>
      </c>
      <c r="I15" s="2">
        <f>H15+預測IC!I15</f>
        <v>8.671211464339619E-2</v>
      </c>
      <c r="J15" s="2">
        <f>I15+預測IC!J15</f>
        <v>3.7219694174031072E-2</v>
      </c>
      <c r="K15" s="2">
        <f>J15+預測IC!K15</f>
        <v>6.7069088182311776E-2</v>
      </c>
      <c r="L15" s="2">
        <f>K15+預測IC!L15</f>
        <v>3.5045970524610164E-2</v>
      </c>
      <c r="M15" s="2">
        <f>L15+預測IC!M15</f>
        <v>0.10971100514460605</v>
      </c>
      <c r="N15" s="2">
        <f>M15+預測IC!N15</f>
        <v>-7.1797386966143045E-2</v>
      </c>
      <c r="O15" s="2">
        <f>N15+預測IC!O15</f>
        <v>-7.4950711068512643E-2</v>
      </c>
      <c r="P15" s="2">
        <f>O15+預測IC!P15</f>
        <v>-9.9085574129499809E-2</v>
      </c>
      <c r="Q15" s="2">
        <f>P15+預測IC!Q15</f>
        <v>-0.13709946718964378</v>
      </c>
      <c r="R15" s="2">
        <f>Q15+預測IC!R15</f>
        <v>-0.2004376130905422</v>
      </c>
      <c r="S15" s="2">
        <f>R15+預測IC!S15</f>
        <v>-0.23486811755457532</v>
      </c>
      <c r="T15" s="2">
        <f>S15+預測IC!T15</f>
        <v>-0.29561042812536698</v>
      </c>
      <c r="U15" s="2">
        <f>T15+預測IC!U15</f>
        <v>-0.31376772731726349</v>
      </c>
      <c r="V15" s="2">
        <f>U15+預測IC!V15</f>
        <v>-0.36932143984081539</v>
      </c>
      <c r="W15" s="2">
        <f>V15+預測IC!W15</f>
        <v>-0.31828426665657888</v>
      </c>
      <c r="X15" s="2">
        <f>W15+預測IC!X15</f>
        <v>-0.13998928364700769</v>
      </c>
      <c r="Y15" s="2">
        <f>X15+預測IC!Y15</f>
        <v>-0.1610790935663679</v>
      </c>
      <c r="Z15" s="2">
        <f>Y15+預測IC!Z15</f>
        <v>-0.14046854178921733</v>
      </c>
      <c r="AA15" s="2">
        <f>Z15+預測IC!AA15</f>
        <v>-0.16226891065771509</v>
      </c>
      <c r="AB15" s="2">
        <f>AA15+預測IC!AB15</f>
        <v>-0.24101683298128246</v>
      </c>
      <c r="AC15" s="2">
        <f>AB15+預測IC!AC15</f>
        <v>-0.23252431228191334</v>
      </c>
      <c r="AD15" s="2">
        <f>AC15+預測IC!AD15</f>
        <v>-0.23844505673178151</v>
      </c>
      <c r="AE15" s="2">
        <f>AD15+預測IC!AE15</f>
        <v>-0.27753535418668968</v>
      </c>
      <c r="AF15" s="2">
        <f>AE15+預測IC!AF15</f>
        <v>-0.30301777801627822</v>
      </c>
      <c r="AG15" s="2">
        <f>AF15+預測IC!AG15</f>
        <v>-0.33155382701456126</v>
      </c>
      <c r="AH15" s="2">
        <f>AG15+預測IC!AH15</f>
        <v>-0.32592974036685857</v>
      </c>
      <c r="AI15" s="2">
        <f>AH15+預測IC!AI15</f>
        <v>-0.27228235777306564</v>
      </c>
      <c r="AJ15" s="2">
        <f>AI15+預測IC!AJ15</f>
        <v>-0.24435850474441864</v>
      </c>
      <c r="AK15" s="2">
        <f>AJ15+預測IC!AK15</f>
        <v>-0.22966399817614289</v>
      </c>
      <c r="AL15" s="2">
        <f>AK15+預測IC!AL15</f>
        <v>-0.21541538146578032</v>
      </c>
      <c r="AM15" s="2">
        <f>AL15+預測IC!AM15</f>
        <v>-0.16751083183764981</v>
      </c>
      <c r="AN15" s="2">
        <f>AM15+預測IC!AN15</f>
        <v>-0.15908564160355357</v>
      </c>
      <c r="AO15" s="2">
        <f>AN15+預測IC!AO15</f>
        <v>-0.2345907277151611</v>
      </c>
      <c r="AP15" s="2">
        <f>AO15+預測IC!AP15</f>
        <v>-0.21766388009956328</v>
      </c>
      <c r="AQ15" s="2">
        <f>AP15+預測IC!AQ15</f>
        <v>-0.22553002196809552</v>
      </c>
      <c r="AR15" s="2">
        <f>AQ15+預測IC!AR15</f>
        <v>-0.21379046265419935</v>
      </c>
      <c r="AS15" s="2">
        <f>AR15+預測IC!AS15</f>
        <v>-0.14420695700897393</v>
      </c>
      <c r="AT15" s="2">
        <f>AS15+預測IC!AT15</f>
        <v>-0.15133229029780909</v>
      </c>
      <c r="AU15" s="2">
        <f>AT15+預測IC!AU15</f>
        <v>-0.15300592481528352</v>
      </c>
      <c r="AV15" s="2">
        <f>AU15+預測IC!AV15</f>
        <v>-0.19287995490777166</v>
      </c>
      <c r="AW15" s="2">
        <f>AV15+預測IC!AW15</f>
        <v>-0.10690576917876521</v>
      </c>
      <c r="AX15" s="2">
        <f>AW15+預測IC!AX15</f>
        <v>-2.2842926582176376E-2</v>
      </c>
      <c r="AY15" s="2">
        <f>AX15+預測IC!AY15</f>
        <v>5.1817088943661924E-2</v>
      </c>
      <c r="AZ15" s="2">
        <f>AY15+預測IC!AZ15</f>
        <v>8.9644908776501026E-2</v>
      </c>
      <c r="BA15" s="2">
        <f>AZ15+預測IC!BA15</f>
        <v>0.13910944525877994</v>
      </c>
      <c r="BB15" s="2">
        <f>BA15+預測IC!BB15</f>
        <v>5.5048266885279251E-2</v>
      </c>
      <c r="BC15" s="2">
        <f>BB15+預測IC!BC15</f>
        <v>9.8719751469732192E-2</v>
      </c>
      <c r="BD15" s="2">
        <f>BC15+預測IC!BD15</f>
        <v>7.9944762521843807E-2</v>
      </c>
      <c r="BE15" s="2">
        <f>BD15+預測IC!BE15</f>
        <v>1.0073939200249668E-2</v>
      </c>
      <c r="BF15" s="2">
        <f>BE15+預測IC!BF15</f>
        <v>-6.832264076467115E-2</v>
      </c>
      <c r="BG15" s="2">
        <f>BF15+預測IC!BG15</f>
        <v>-6.2532810723546939E-2</v>
      </c>
      <c r="BH15" s="2">
        <f>BG15+預測IC!BH15</f>
        <v>-1.7748398083002548E-2</v>
      </c>
      <c r="BI15" s="2">
        <f>BH15+預測IC!BI15</f>
        <v>-8.9712963932066875E-2</v>
      </c>
      <c r="BJ15" s="2">
        <f>BI15+預測IC!BJ15</f>
        <v>1.1336130623823631E-2</v>
      </c>
      <c r="BK15" s="2">
        <f>BJ15+預測IC!BK15</f>
        <v>3.3920737168126047E-2</v>
      </c>
      <c r="BL15" s="2">
        <f>BK15+預測IC!BL15</f>
        <v>5.2115357147639582E-2</v>
      </c>
      <c r="BM15" s="2">
        <f>BL15+預測IC!BM15</f>
        <v>2.9268341223907913E-2</v>
      </c>
      <c r="BN15" s="2">
        <f>BM15+預測IC!BN15</f>
        <v>0.10390757618755048</v>
      </c>
      <c r="BO15" s="2">
        <f>BN15+預測IC!BO15</f>
        <v>8.5787758271071865E-2</v>
      </c>
      <c r="BP15" s="2">
        <f>BO15+預測IC!BP15</f>
        <v>0.12324495211461214</v>
      </c>
      <c r="BQ15" s="2">
        <f>BP15+預測IC!BQ15</f>
        <v>5.0073218402748781E-2</v>
      </c>
      <c r="BR15" s="2">
        <f>BQ15+預測IC!BR15</f>
        <v>-3.2905367583799083E-2</v>
      </c>
      <c r="BS15" s="2">
        <f>BR15+預測IC!BS15</f>
        <v>-7.6466273241566907E-2</v>
      </c>
      <c r="BT15" s="2">
        <f>BS15+預測IC!BT15</f>
        <v>8.5540305185338866E-3</v>
      </c>
      <c r="BU15" s="2">
        <f>BT15+預測IC!BU15</f>
        <v>-7.7214581230042628E-2</v>
      </c>
      <c r="BV15" s="2">
        <f>BU15+預測IC!BV15</f>
        <v>-0.15699026905316926</v>
      </c>
      <c r="BW15" s="2">
        <f>BV15+預測IC!BW15</f>
        <v>-3.0974258989766551E-2</v>
      </c>
      <c r="BX15" s="2">
        <f>BW15+預測IC!BX15</f>
        <v>-8.1360638525786011E-2</v>
      </c>
      <c r="BY15" s="2">
        <f>BX15+預測IC!BY15</f>
        <v>-0.24811618331822102</v>
      </c>
      <c r="BZ15" s="2">
        <f>BY15+預測IC!BZ15</f>
        <v>-0.27552462692907898</v>
      </c>
      <c r="CA15" s="2">
        <f>BZ15+預測IC!CA15</f>
        <v>-0.2022107722802261</v>
      </c>
      <c r="CB15" s="2">
        <f>CA15+預測IC!CB15</f>
        <v>-0.2412929797661536</v>
      </c>
      <c r="CC15" s="2">
        <f>CB15+預測IC!CC15</f>
        <v>-0.23853135217887603</v>
      </c>
      <c r="CD15" s="2">
        <f>CC15+預測IC!CD15</f>
        <v>-0.10779249155468823</v>
      </c>
      <c r="CE15" s="2">
        <f>CD15+預測IC!CE15</f>
        <v>-1.7317885501934929E-2</v>
      </c>
      <c r="CF15" s="2">
        <f>CE15+預測IC!CF15</f>
        <v>7.2639394332793608E-3</v>
      </c>
      <c r="CG15" s="2">
        <f>CF15+預測IC!CG15</f>
        <v>0.17541392456972546</v>
      </c>
      <c r="CH15" s="2">
        <f>CG15+預測IC!CH15</f>
        <v>0.25053409272283056</v>
      </c>
      <c r="CI15" s="2">
        <f>CH15+預測IC!CI15</f>
        <v>0.29279667095925688</v>
      </c>
      <c r="CJ15" s="2">
        <f>CI15+預測IC!CJ15</f>
        <v>0.31974171169690857</v>
      </c>
      <c r="CK15" s="2">
        <f>CJ15+預測IC!CK15</f>
        <v>0.32246798788135839</v>
      </c>
      <c r="CL15" s="2">
        <f>CK15+預測IC!CL15</f>
        <v>0.44745220907864847</v>
      </c>
      <c r="CM15" s="2">
        <f>CL15+預測IC!CM15</f>
        <v>0.43361812795448951</v>
      </c>
      <c r="CN15" s="2">
        <f>CM15+預測IC!CN15</f>
        <v>0.4327444423605179</v>
      </c>
      <c r="CO15" s="2">
        <f>CN15+預測IC!CO15</f>
        <v>0.23138851055237569</v>
      </c>
      <c r="CP15" s="2">
        <f>CO15+預測IC!CP15</f>
        <v>0.21840333897081143</v>
      </c>
      <c r="CQ15" s="2">
        <f>CP15+預測IC!CQ15</f>
        <v>0.31667186209236603</v>
      </c>
      <c r="CR15" s="2">
        <f>CQ15+預測IC!CR15</f>
        <v>0.2822835784523694</v>
      </c>
      <c r="CS15" s="2">
        <f>CR15+預測IC!CS15</f>
        <v>0.27112684755147509</v>
      </c>
      <c r="CT15" s="2">
        <f>CS15+預測IC!CT15</f>
        <v>0.34738606847857861</v>
      </c>
      <c r="CU15" s="2">
        <f>CT15+預測IC!CU15</f>
        <v>0.46666500354838669</v>
      </c>
      <c r="CV15" s="2">
        <f>CU15+預測IC!CV15</f>
        <v>0.46924431231239089</v>
      </c>
      <c r="CW15" s="2">
        <f>CV15+預測IC!CW15</f>
        <v>0.48532541448342797</v>
      </c>
      <c r="CX15" s="2">
        <f>CW15+預測IC!CX15</f>
        <v>0.52834313168607472</v>
      </c>
      <c r="CY15" s="2">
        <f>CX15+預測IC!CY15</f>
        <v>0.52445075378078199</v>
      </c>
      <c r="CZ15" s="2">
        <f>CY15+預測IC!CZ15</f>
        <v>0.62117940488546664</v>
      </c>
      <c r="DA15" s="2">
        <f>CZ15+預測IC!DA15</f>
        <v>0.76118740414822783</v>
      </c>
      <c r="DB15" s="2">
        <f>DA15+預測IC!DB15</f>
        <v>0.69057203951326263</v>
      </c>
      <c r="DC15" s="2">
        <f>DB15+預測IC!DC15</f>
        <v>0.70092888400826259</v>
      </c>
      <c r="DD15" s="2">
        <f>DC15+預測IC!DD15</f>
        <v>0.83932023614405515</v>
      </c>
      <c r="DE15" s="2">
        <f>DD15+預測IC!DE15</f>
        <v>0.88967970356856996</v>
      </c>
      <c r="DF15" s="2">
        <f>DE15+預測IC!DF15</f>
        <v>1.1835076718354416</v>
      </c>
      <c r="DG15" s="2">
        <f>DF15+預測IC!DG15</f>
        <v>1.13562334234155</v>
      </c>
      <c r="DH15" s="2">
        <f>DG15+預測IC!DH15</f>
        <v>1.1549570521780748</v>
      </c>
      <c r="DI15" s="2">
        <f>DH15+預測IC!DI15</f>
        <v>1.1436419102932585</v>
      </c>
      <c r="DJ15" s="2">
        <f>DI15+預測IC!DJ15</f>
        <v>1.2106398788184078</v>
      </c>
      <c r="DK15" s="2">
        <f>DJ15+預測IC!DK15</f>
        <v>1.1922477890523671</v>
      </c>
      <c r="DL15" s="2">
        <f>DK15+預測IC!DL15</f>
        <v>1.2248468866110092</v>
      </c>
      <c r="DM15" s="2">
        <f>DL15+預測IC!DM15</f>
        <v>1.1781947426102355</v>
      </c>
      <c r="DN15" s="2">
        <f>DM15+預測IC!DN15</f>
        <v>1.2029621489920663</v>
      </c>
      <c r="DO15" s="2">
        <f>DN15+預測IC!DO15</f>
        <v>1.0259371598991134</v>
      </c>
      <c r="DP15" s="2">
        <f>DO15+預測IC!DP15</f>
        <v>1.0125257339250355</v>
      </c>
      <c r="DQ15" s="2">
        <f>DP15+預測IC!DQ15</f>
        <v>0.99563763040333908</v>
      </c>
      <c r="DR15" s="2">
        <f>DQ15+預測IC!DR15</f>
        <v>1.0215386929383392</v>
      </c>
      <c r="DS15" s="2">
        <f>DR15+預測IC!DS15</f>
        <v>1.1020994439231917</v>
      </c>
      <c r="DT15" s="2">
        <f>DS15+預測IC!DT15</f>
        <v>1.0802385867256477</v>
      </c>
      <c r="DU15" s="2">
        <f>DT15+預測IC!DU15</f>
        <v>1.0070181247975163</v>
      </c>
      <c r="DV15" s="2">
        <f>DU15+預測IC!DV15</f>
        <v>1.0410328297972982</v>
      </c>
      <c r="DW15" s="2">
        <f>DV15+預測IC!DW15</f>
        <v>0.97912609457883848</v>
      </c>
      <c r="DX15" s="2">
        <f>DW15+預測IC!DX15</f>
        <v>1.0136545076170931</v>
      </c>
      <c r="DY15" s="2">
        <f>DX15+預測IC!DY15</f>
        <v>1.0715596936109968</v>
      </c>
      <c r="DZ15" s="2">
        <f>DY15+預測IC!DZ15</f>
        <v>0.97910149142926906</v>
      </c>
      <c r="EA15" s="2">
        <f>DZ15+預測IC!EA15</f>
        <v>0.91223220202363697</v>
      </c>
      <c r="EB15" s="2">
        <f>EA15+預測IC!EB15</f>
        <v>0.94784123700772782</v>
      </c>
      <c r="EC15" s="2">
        <f>EB15+預測IC!EC15</f>
        <v>0.9715958426171214</v>
      </c>
      <c r="ED15" s="2">
        <f>EC15+預測IC!ED15</f>
        <v>0.84779725954950058</v>
      </c>
      <c r="EE15" s="2">
        <f>ED15+預測IC!EE15</f>
        <v>0.81978635522619836</v>
      </c>
      <c r="EF15" s="2">
        <f>EE15+預測IC!EF15</f>
        <v>0.84854862716523327</v>
      </c>
      <c r="EG15" s="2">
        <f>EF15+預測IC!EG15</f>
        <v>0.82006652905652577</v>
      </c>
      <c r="EH15" s="2">
        <f>EG15+預測IC!EH15</f>
        <v>0.80141234015901663</v>
      </c>
      <c r="EI15" s="2">
        <f>EH15+預測IC!EI15</f>
        <v>0.83082772641411562</v>
      </c>
      <c r="EJ15" s="2">
        <f>EI15+預測IC!EJ15</f>
        <v>0.83499037563826528</v>
      </c>
      <c r="EK15" s="2">
        <f>EJ15+預測IC!EK15</f>
        <v>0.81185986293454926</v>
      </c>
      <c r="EL15" s="2">
        <f>EK15+預測IC!EL15</f>
        <v>0.76013855094253358</v>
      </c>
    </row>
    <row r="16" spans="1:142" x14ac:dyDescent="0.3">
      <c r="A16" s="18">
        <v>120</v>
      </c>
      <c r="B16" s="18">
        <f t="shared" si="10"/>
        <v>9</v>
      </c>
      <c r="C16" s="2">
        <v>-9.71680377431344E-2</v>
      </c>
      <c r="D16" s="2">
        <f>C16+預測IC!D16</f>
        <v>-5.9585027592180193E-2</v>
      </c>
      <c r="E16" s="2">
        <f>D16+預測IC!E16</f>
        <v>-2.3070541745483175E-2</v>
      </c>
      <c r="F16" s="2">
        <f>E16+預測IC!F16</f>
        <v>-0.10200949565022238</v>
      </c>
      <c r="G16" s="2">
        <f>F16+預測IC!G16</f>
        <v>-0.11381110720218451</v>
      </c>
      <c r="H16" s="2">
        <f>G16+預測IC!H16</f>
        <v>7.4785516682378261E-4</v>
      </c>
      <c r="I16" s="2">
        <f>H16+預測IC!I16</f>
        <v>0.11180947298757948</v>
      </c>
      <c r="J16" s="2">
        <f>I16+預測IC!J16</f>
        <v>5.6872778924764202E-2</v>
      </c>
      <c r="K16" s="2">
        <f>J16+預測IC!K16</f>
        <v>8.4162024589725298E-2</v>
      </c>
      <c r="L16" s="2">
        <f>K16+預測IC!L16</f>
        <v>5.5113805201224268E-2</v>
      </c>
      <c r="M16" s="2">
        <f>L16+預測IC!M16</f>
        <v>0.11459467575977227</v>
      </c>
      <c r="N16" s="2">
        <f>M16+預測IC!N16</f>
        <v>-7.5772127217733146E-2</v>
      </c>
      <c r="O16" s="2">
        <f>N16+預測IC!O16</f>
        <v>-8.1824980665992308E-2</v>
      </c>
      <c r="P16" s="2">
        <f>O16+預測IC!P16</f>
        <v>-0.10632179313087303</v>
      </c>
      <c r="Q16" s="2">
        <f>P16+預測IC!Q16</f>
        <v>-0.13888687789146337</v>
      </c>
      <c r="R16" s="2">
        <f>Q16+預測IC!R16</f>
        <v>-0.16220886071347909</v>
      </c>
      <c r="S16" s="2">
        <f>R16+預測IC!S16</f>
        <v>-0.18069801567772639</v>
      </c>
      <c r="T16" s="2">
        <f>S16+預測IC!T16</f>
        <v>-0.22672329522005841</v>
      </c>
      <c r="U16" s="2">
        <f>T16+預測IC!U16</f>
        <v>-0.23209071273918136</v>
      </c>
      <c r="V16" s="2">
        <f>U16+預測IC!V16</f>
        <v>-0.2837160599723898</v>
      </c>
      <c r="W16" s="2">
        <f>V16+預測IC!W16</f>
        <v>-0.230316608059596</v>
      </c>
      <c r="X16" s="2">
        <f>W16+預測IC!X16</f>
        <v>-6.3543575256100687E-2</v>
      </c>
      <c r="Y16" s="2">
        <f>X16+預測IC!Y16</f>
        <v>-0.10571066189792885</v>
      </c>
      <c r="Z16" s="2">
        <f>Y16+預測IC!Z16</f>
        <v>-7.5634575661552336E-2</v>
      </c>
      <c r="AA16" s="2">
        <f>Z16+預測IC!AA16</f>
        <v>-9.7040191843322632E-2</v>
      </c>
      <c r="AB16" s="2">
        <f>AA16+預測IC!AB16</f>
        <v>-0.17185430008130409</v>
      </c>
      <c r="AC16" s="2">
        <f>AB16+預測IC!AC16</f>
        <v>-0.15811984634973239</v>
      </c>
      <c r="AD16" s="2">
        <f>AC16+預測IC!AD16</f>
        <v>-0.16959670386425474</v>
      </c>
      <c r="AE16" s="2">
        <f>AD16+預測IC!AE16</f>
        <v>-0.18246319136295447</v>
      </c>
      <c r="AF16" s="2">
        <f>AE16+預測IC!AF16</f>
        <v>-0.19353011111646756</v>
      </c>
      <c r="AG16" s="2">
        <f>AF16+預測IC!AG16</f>
        <v>-0.22106959144268024</v>
      </c>
      <c r="AH16" s="2">
        <f>AG16+預測IC!AH16</f>
        <v>-0.18629816628110393</v>
      </c>
      <c r="AI16" s="2">
        <f>AH16+預測IC!AI16</f>
        <v>-0.14255126154060441</v>
      </c>
      <c r="AJ16" s="2">
        <f>AI16+預測IC!AJ16</f>
        <v>-0.1237352984873719</v>
      </c>
      <c r="AK16" s="2">
        <f>AJ16+預測IC!AK16</f>
        <v>-9.3836087438356114E-2</v>
      </c>
      <c r="AL16" s="2">
        <f>AK16+預測IC!AL16</f>
        <v>-7.9618314497387307E-2</v>
      </c>
      <c r="AM16" s="2">
        <f>AL16+預測IC!AM16</f>
        <v>-2.57362389472576E-2</v>
      </c>
      <c r="AN16" s="2">
        <f>AM16+預測IC!AN16</f>
        <v>-1.0981331907632791E-2</v>
      </c>
      <c r="AO16" s="2">
        <f>AN16+預測IC!AO16</f>
        <v>-0.10534092023553621</v>
      </c>
      <c r="AP16" s="2">
        <f>AO16+預測IC!AP16</f>
        <v>-8.6706464727965921E-2</v>
      </c>
      <c r="AQ16" s="2">
        <f>AP16+預測IC!AQ16</f>
        <v>-9.3949541361270275E-2</v>
      </c>
      <c r="AR16" s="2">
        <f>AQ16+預測IC!AR16</f>
        <v>-9.2989784569903561E-2</v>
      </c>
      <c r="AS16" s="2">
        <f>AR16+預測IC!AS16</f>
        <v>4.1821845906947486E-3</v>
      </c>
      <c r="AT16" s="2">
        <f>AS16+預測IC!AT16</f>
        <v>-1.6259267252437301E-2</v>
      </c>
      <c r="AU16" s="2">
        <f>AT16+預測IC!AU16</f>
        <v>7.8009754729300475E-3</v>
      </c>
      <c r="AV16" s="2">
        <f>AU16+預測IC!AV16</f>
        <v>-2.6190346859207025E-2</v>
      </c>
      <c r="AW16" s="2">
        <f>AV16+預測IC!AW16</f>
        <v>6.898107276362285E-2</v>
      </c>
      <c r="AX16" s="2">
        <f>AW16+預測IC!AX16</f>
        <v>0.15564998715683198</v>
      </c>
      <c r="AY16" s="2">
        <f>AX16+預測IC!AY16</f>
        <v>0.2196890956228098</v>
      </c>
      <c r="AZ16" s="2">
        <f>AY16+預測IC!AZ16</f>
        <v>0.24647024083492888</v>
      </c>
      <c r="BA16" s="2">
        <f>AZ16+預測IC!BA16</f>
        <v>0.29851513409583508</v>
      </c>
      <c r="BB16" s="2">
        <f>BA16+預測IC!BB16</f>
        <v>0.21572013514690541</v>
      </c>
      <c r="BC16" s="2">
        <f>BB16+預測IC!BC16</f>
        <v>0.26120813936595649</v>
      </c>
      <c r="BD16" s="2">
        <f>BC16+預測IC!BD16</f>
        <v>0.23844820722351309</v>
      </c>
      <c r="BE16" s="2">
        <f>BD16+預測IC!BE16</f>
        <v>0.17169220519744977</v>
      </c>
      <c r="BF16" s="2">
        <f>BE16+預測IC!BF16</f>
        <v>9.8792881823824896E-2</v>
      </c>
      <c r="BG16" s="2">
        <f>BF16+預測IC!BG16</f>
        <v>0.10181720496513552</v>
      </c>
      <c r="BH16" s="2">
        <f>BG16+預測IC!BH16</f>
        <v>0.13543008148591479</v>
      </c>
      <c r="BI16" s="2">
        <f>BH16+預測IC!BI16</f>
        <v>7.0614488265537553E-2</v>
      </c>
      <c r="BJ16" s="2">
        <f>BI16+預測IC!BJ16</f>
        <v>0.18558164227632884</v>
      </c>
      <c r="BK16" s="2">
        <f>BJ16+預測IC!BK16</f>
        <v>0.21042779103696993</v>
      </c>
      <c r="BL16" s="2">
        <f>BK16+預測IC!BL16</f>
        <v>0.23232533430255892</v>
      </c>
      <c r="BM16" s="2">
        <f>BL16+預測IC!BM16</f>
        <v>0.22666807112053891</v>
      </c>
      <c r="BN16" s="2">
        <f>BM16+預測IC!BN16</f>
        <v>0.30692269985619025</v>
      </c>
      <c r="BO16" s="2">
        <f>BN16+預測IC!BO16</f>
        <v>0.27653371315391767</v>
      </c>
      <c r="BP16" s="2">
        <f>BO16+預測IC!BP16</f>
        <v>0.31764781293579913</v>
      </c>
      <c r="BQ16" s="2">
        <f>BP16+預測IC!BQ16</f>
        <v>0.25767148835601666</v>
      </c>
      <c r="BR16" s="2">
        <f>BQ16+預測IC!BR16</f>
        <v>0.16629988302193027</v>
      </c>
      <c r="BS16" s="2">
        <f>BR16+預測IC!BS16</f>
        <v>0.1096169684149305</v>
      </c>
      <c r="BT16" s="2">
        <f>BS16+預測IC!BT16</f>
        <v>0.20372829899342987</v>
      </c>
      <c r="BU16" s="2">
        <f>BT16+預測IC!BU16</f>
        <v>0.11687847649251014</v>
      </c>
      <c r="BV16" s="2">
        <f>BU16+預測IC!BV16</f>
        <v>4.6410892129679568E-2</v>
      </c>
      <c r="BW16" s="2">
        <f>BV16+預測IC!BW16</f>
        <v>0.18160139394695118</v>
      </c>
      <c r="BX16" s="2">
        <f>BW16+預測IC!BX16</f>
        <v>0.17727127351198796</v>
      </c>
      <c r="BY16" s="2">
        <f>BX16+預測IC!BY16</f>
        <v>-8.9397991724013415E-4</v>
      </c>
      <c r="BZ16" s="2">
        <f>BY16+預測IC!BZ16</f>
        <v>-4.4061740731627941E-2</v>
      </c>
      <c r="CA16" s="2">
        <f>BZ16+預測IC!CA16</f>
        <v>-7.506769289223704E-3</v>
      </c>
      <c r="CB16" s="2">
        <f>CA16+預測IC!CB16</f>
        <v>-7.8333324266661203E-2</v>
      </c>
      <c r="CC16" s="2">
        <f>CB16+預測IC!CC16</f>
        <v>-5.2735354372495082E-2</v>
      </c>
      <c r="CD16" s="2">
        <f>CC16+預測IC!CD16</f>
        <v>9.3081970457012719E-2</v>
      </c>
      <c r="CE16" s="2">
        <f>CD16+預測IC!CE16</f>
        <v>0.19412819130930611</v>
      </c>
      <c r="CF16" s="2">
        <f>CE16+預測IC!CF16</f>
        <v>0.21954165070850348</v>
      </c>
      <c r="CG16" s="2">
        <f>CF16+預測IC!CG16</f>
        <v>0.40139637964274499</v>
      </c>
      <c r="CH16" s="2">
        <f>CG16+預測IC!CH16</f>
        <v>0.46904805992871923</v>
      </c>
      <c r="CI16" s="2">
        <f>CH16+預測IC!CI16</f>
        <v>0.51308916628443357</v>
      </c>
      <c r="CJ16" s="2">
        <f>CI16+預測IC!CJ16</f>
        <v>0.53236673753594621</v>
      </c>
      <c r="CK16" s="2">
        <f>CJ16+預測IC!CK16</f>
        <v>0.53391906332114902</v>
      </c>
      <c r="CL16" s="2">
        <f>CK16+預測IC!CL16</f>
        <v>0.63296178422085736</v>
      </c>
      <c r="CM16" s="2">
        <f>CL16+預測IC!CM16</f>
        <v>0.59119912418709297</v>
      </c>
      <c r="CN16" s="2">
        <f>CM16+預測IC!CN16</f>
        <v>0.59579995232689698</v>
      </c>
      <c r="CO16" s="2">
        <f>CN16+預測IC!CO16</f>
        <v>0.37843816372941097</v>
      </c>
      <c r="CP16" s="2">
        <f>CO16+預測IC!CP16</f>
        <v>0.38373436252718718</v>
      </c>
      <c r="CQ16" s="2">
        <f>CP16+預測IC!CQ16</f>
        <v>0.49044418003821627</v>
      </c>
      <c r="CR16" s="2">
        <f>CQ16+預測IC!CR16</f>
        <v>0.4570140062499366</v>
      </c>
      <c r="CS16" s="2">
        <f>CR16+預測IC!CS16</f>
        <v>0.41740708586646369</v>
      </c>
      <c r="CT16" s="2">
        <f>CS16+預測IC!CT16</f>
        <v>0.475157829919099</v>
      </c>
      <c r="CU16" s="2">
        <f>CT16+預測IC!CU16</f>
        <v>0.61405793686873844</v>
      </c>
      <c r="CV16" s="2">
        <f>CU16+預測IC!CV16</f>
        <v>0.60909240353905891</v>
      </c>
      <c r="CW16" s="2">
        <f>CV16+預測IC!CW16</f>
        <v>0.60683534213948598</v>
      </c>
      <c r="CX16" s="2">
        <f>CW16+預測IC!CX16</f>
        <v>0.61761631863924205</v>
      </c>
      <c r="CY16" s="2">
        <f>CX16+預測IC!CY16</f>
        <v>0.59343013455144278</v>
      </c>
      <c r="CZ16" s="2">
        <f>CY16+預測IC!CZ16</f>
        <v>0.70085371679914554</v>
      </c>
      <c r="DA16" s="2">
        <f>CZ16+預測IC!DA16</f>
        <v>0.85601060219025271</v>
      </c>
      <c r="DB16" s="2">
        <f>DA16+預測IC!DB16</f>
        <v>0.78513690002878167</v>
      </c>
      <c r="DC16" s="2">
        <f>DB16+預測IC!DC16</f>
        <v>0.78823240900861791</v>
      </c>
      <c r="DD16" s="2">
        <f>DC16+預測IC!DD16</f>
        <v>0.94628522745062227</v>
      </c>
      <c r="DE16" s="2">
        <f>DD16+預測IC!DE16</f>
        <v>1.0067268585403923</v>
      </c>
      <c r="DF16" s="2">
        <f>DE16+預測IC!DF16</f>
        <v>1.3306124713266692</v>
      </c>
      <c r="DG16" s="2">
        <f>DF16+預測IC!DG16</f>
        <v>1.2772902692074342</v>
      </c>
      <c r="DH16" s="2">
        <f>DG16+預測IC!DH16</f>
        <v>1.2907190734342693</v>
      </c>
      <c r="DI16" s="2">
        <f>DH16+預測IC!DI16</f>
        <v>1.2804900396275554</v>
      </c>
      <c r="DJ16" s="2">
        <f>DI16+預測IC!DJ16</f>
        <v>1.3423043006127962</v>
      </c>
      <c r="DK16" s="2">
        <f>DJ16+預測IC!DK16</f>
        <v>1.2886063296124695</v>
      </c>
      <c r="DL16" s="2">
        <f>DK16+預測IC!DL16</f>
        <v>1.329510815277813</v>
      </c>
      <c r="DM16" s="2">
        <f>DL16+預測IC!DM16</f>
        <v>1.3368410693088397</v>
      </c>
      <c r="DN16" s="2">
        <f>DM16+預測IC!DN16</f>
        <v>1.3476024394745956</v>
      </c>
      <c r="DO16" s="2">
        <f>DN16+預測IC!DO16</f>
        <v>1.2800875658398834</v>
      </c>
      <c r="DP16" s="2">
        <f>DO16+預測IC!DP16</f>
        <v>1.2852807233700985</v>
      </c>
      <c r="DQ16" s="2">
        <f>DP16+預測IC!DQ16</f>
        <v>1.2435352514583398</v>
      </c>
      <c r="DR16" s="2">
        <f>DQ16+預測IC!DR16</f>
        <v>1.2511208404062419</v>
      </c>
      <c r="DS16" s="2">
        <f>DR16+預測IC!DS16</f>
        <v>1.3398797763639871</v>
      </c>
      <c r="DT16" s="2">
        <f>DS16+預測IC!DT16</f>
        <v>1.3308284072915595</v>
      </c>
      <c r="DU16" s="2">
        <f>DT16+預測IC!DU16</f>
        <v>1.2381606121184014</v>
      </c>
      <c r="DV16" s="2">
        <f>DU16+預測IC!DV16</f>
        <v>1.2631782821024662</v>
      </c>
      <c r="DW16" s="2">
        <f>DV16+預測IC!DW16</f>
        <v>1.2205412644932219</v>
      </c>
      <c r="DX16" s="2">
        <f>DW16+預測IC!DX16</f>
        <v>1.2549056958773348</v>
      </c>
      <c r="DY16" s="2">
        <f>DX16+預測IC!DY16</f>
        <v>1.3265528955148476</v>
      </c>
      <c r="DZ16" s="2">
        <f>DY16+預測IC!DZ16</f>
        <v>1.2761099398929523</v>
      </c>
      <c r="EA16" s="2">
        <f>DZ16+預測IC!EA16</f>
        <v>1.2042057263188695</v>
      </c>
      <c r="EB16" s="2">
        <f>EA16+預測IC!EB16</f>
        <v>1.2462314458431052</v>
      </c>
      <c r="EC16" s="2">
        <f>EB16+預測IC!EC16</f>
        <v>1.2757359083010289</v>
      </c>
      <c r="ED16" s="2">
        <f>EC16+預測IC!ED16</f>
        <v>1.1357603487421675</v>
      </c>
      <c r="EE16" s="2">
        <f>ED16+預測IC!EE16</f>
        <v>1.1109485621269737</v>
      </c>
      <c r="EF16" s="2">
        <f>EE16+預測IC!EF16</f>
        <v>1.1400213883636083</v>
      </c>
      <c r="EG16" s="2">
        <f>EF16+預測IC!EG16</f>
        <v>1.1199366452059929</v>
      </c>
      <c r="EH16" s="2">
        <f>EG16+預測IC!EH16</f>
        <v>1.1194097745769029</v>
      </c>
      <c r="EI16" s="2">
        <f>EH16+預測IC!EI16</f>
        <v>1.1501941160002533</v>
      </c>
      <c r="EJ16" s="2">
        <f>EI16+預測IC!EJ16</f>
        <v>1.1537536698765793</v>
      </c>
      <c r="EK16" s="2">
        <f>EJ16+預測IC!EK16</f>
        <v>1.1160936257667897</v>
      </c>
      <c r="EL16" s="2">
        <f>EK16+預測IC!EL16</f>
        <v>1.0463947988511777</v>
      </c>
    </row>
    <row r="17" spans="1:142" x14ac:dyDescent="0.3">
      <c r="A17" s="18">
        <v>130</v>
      </c>
      <c r="B17" s="18">
        <f t="shared" si="10"/>
        <v>8</v>
      </c>
      <c r="C17" s="2">
        <v>-0.10848541786298629</v>
      </c>
      <c r="D17" s="2">
        <f>C17+預測IC!D17</f>
        <v>-0.10150185903377298</v>
      </c>
      <c r="E17" s="2">
        <f>D17+預測IC!E17</f>
        <v>-6.6639048790960026E-2</v>
      </c>
      <c r="F17" s="2">
        <f>E17+預測IC!F17</f>
        <v>-0.12305382995278578</v>
      </c>
      <c r="G17" s="2">
        <f>F17+預測IC!G17</f>
        <v>-0.17171893244065084</v>
      </c>
      <c r="H17" s="2">
        <f>G17+預測IC!H17</f>
        <v>-9.0639348176373091E-2</v>
      </c>
      <c r="I17" s="2">
        <f>H17+預測IC!I17</f>
        <v>3.2468027706018615E-2</v>
      </c>
      <c r="J17" s="2">
        <f>I17+預測IC!J17</f>
        <v>-1.7518767378374642E-2</v>
      </c>
      <c r="K17" s="2">
        <f>J17+預測IC!K17</f>
        <v>-1.9021320444726417E-3</v>
      </c>
      <c r="L17" s="2">
        <f>K17+預測IC!L17</f>
        <v>-2.3935625501350231E-2</v>
      </c>
      <c r="M17" s="2">
        <f>L17+預測IC!M17</f>
        <v>3.7424379588392259E-2</v>
      </c>
      <c r="N17" s="2">
        <f>M17+預測IC!N17</f>
        <v>-0.17414370275227115</v>
      </c>
      <c r="O17" s="2">
        <f>N17+預測IC!O17</f>
        <v>-0.18540789392130352</v>
      </c>
      <c r="P17" s="2">
        <f>O17+預測IC!P17</f>
        <v>-0.21461134137667054</v>
      </c>
      <c r="Q17" s="2">
        <f>P17+預測IC!Q17</f>
        <v>-0.17314200073902453</v>
      </c>
      <c r="R17" s="2">
        <f>Q17+預測IC!R17</f>
        <v>-0.19927370164813213</v>
      </c>
      <c r="S17" s="2">
        <f>R17+預測IC!S17</f>
        <v>-0.22012894024956531</v>
      </c>
      <c r="T17" s="2">
        <f>S17+預測IC!T17</f>
        <v>-0.2320801698617537</v>
      </c>
      <c r="U17" s="2">
        <f>T17+預測IC!U17</f>
        <v>-0.26659032338770855</v>
      </c>
      <c r="V17" s="2">
        <f>U17+預測IC!V17</f>
        <v>-0.34022190147032522</v>
      </c>
      <c r="W17" s="2">
        <f>V17+預測IC!W17</f>
        <v>-0.26461769414341296</v>
      </c>
      <c r="X17" s="2">
        <f>W17+預測IC!X17</f>
        <v>-8.6597422593202467E-2</v>
      </c>
      <c r="Y17" s="2">
        <f>X17+預測IC!Y17</f>
        <v>-0.1368818470652188</v>
      </c>
      <c r="Z17" s="2">
        <f>Y17+預測IC!Z17</f>
        <v>-0.12320812719910912</v>
      </c>
      <c r="AA17" s="2">
        <f>Z17+預測IC!AA17</f>
        <v>-0.15634047043520591</v>
      </c>
      <c r="AB17" s="2">
        <f>AA17+預測IC!AB17</f>
        <v>-0.23165467122704339</v>
      </c>
      <c r="AC17" s="2">
        <f>AB17+預測IC!AC17</f>
        <v>-0.18717534085529874</v>
      </c>
      <c r="AD17" s="2">
        <f>AC17+預測IC!AD17</f>
        <v>-0.21310692208555312</v>
      </c>
      <c r="AE17" s="2">
        <f>AD17+預測IC!AE17</f>
        <v>-0.21327666875162862</v>
      </c>
      <c r="AF17" s="2">
        <f>AE17+預測IC!AF17</f>
        <v>-0.2072685302256943</v>
      </c>
      <c r="AG17" s="2">
        <f>AF17+預測IC!AG17</f>
        <v>-0.23266191731417815</v>
      </c>
      <c r="AH17" s="2">
        <f>AG17+預測IC!AH17</f>
        <v>-0.16448870719959377</v>
      </c>
      <c r="AI17" s="2">
        <f>AH17+預測IC!AI17</f>
        <v>-0.12388061310890361</v>
      </c>
      <c r="AJ17" s="2">
        <f>AI17+預測IC!AJ17</f>
        <v>-9.8363958729409021E-2</v>
      </c>
      <c r="AK17" s="2">
        <f>AJ17+預測IC!AK17</f>
        <v>-6.5712123810751394E-2</v>
      </c>
      <c r="AL17" s="2">
        <f>AK17+預測IC!AL17</f>
        <v>-5.4029006361126043E-2</v>
      </c>
      <c r="AM17" s="2">
        <f>AL17+預測IC!AM17</f>
        <v>2.2144929617265649E-3</v>
      </c>
      <c r="AN17" s="2">
        <f>AM17+預測IC!AN17</f>
        <v>-4.4394355918789243E-2</v>
      </c>
      <c r="AO17" s="2">
        <f>AN17+預測IC!AO17</f>
        <v>-0.1392288968541657</v>
      </c>
      <c r="AP17" s="2">
        <f>AO17+預測IC!AP17</f>
        <v>-0.12268764986645546</v>
      </c>
      <c r="AQ17" s="2">
        <f>AP17+預測IC!AQ17</f>
        <v>-0.11752441699990196</v>
      </c>
      <c r="AR17" s="2">
        <f>AQ17+預測IC!AR17</f>
        <v>-0.13775802288256542</v>
      </c>
      <c r="AS17" s="2">
        <f>AR17+預測IC!AS17</f>
        <v>-6.1082324653769116E-2</v>
      </c>
      <c r="AT17" s="2">
        <f>AS17+預測IC!AT17</f>
        <v>-5.0916005099864062E-2</v>
      </c>
      <c r="AU17" s="2">
        <f>AT17+預測IC!AU17</f>
        <v>-1.9991490188269581E-2</v>
      </c>
      <c r="AV17" s="2">
        <f>AU17+預測IC!AV17</f>
        <v>-5.0589181025443367E-2</v>
      </c>
      <c r="AW17" s="2">
        <f>AV17+預測IC!AW17</f>
        <v>4.5119415144949646E-2</v>
      </c>
      <c r="AX17" s="2">
        <f>AW17+預測IC!AX17</f>
        <v>0.17653024484765384</v>
      </c>
      <c r="AY17" s="2">
        <f>AX17+預測IC!AY17</f>
        <v>0.24689066402794807</v>
      </c>
      <c r="AZ17" s="2">
        <f>AY17+預測IC!AZ17</f>
        <v>0.2860806377876618</v>
      </c>
      <c r="BA17" s="2">
        <f>AZ17+預測IC!BA17</f>
        <v>0.34950488773454719</v>
      </c>
      <c r="BB17" s="2">
        <f>BA17+預測IC!BB17</f>
        <v>0.24253698965497228</v>
      </c>
      <c r="BC17" s="2">
        <f>BB17+預測IC!BC17</f>
        <v>0.2931027750017382</v>
      </c>
      <c r="BD17" s="2">
        <f>BC17+預測IC!BD17</f>
        <v>0.27885606734697699</v>
      </c>
      <c r="BE17" s="2">
        <f>BD17+預測IC!BE17</f>
        <v>0.20872365373471416</v>
      </c>
      <c r="BF17" s="2">
        <f>BE17+預測IC!BF17</f>
        <v>0.17258708616287571</v>
      </c>
      <c r="BG17" s="2">
        <f>BF17+預測IC!BG17</f>
        <v>0.18708459453602735</v>
      </c>
      <c r="BH17" s="2">
        <f>BG17+預測IC!BH17</f>
        <v>0.233217253292477</v>
      </c>
      <c r="BI17" s="2">
        <f>BH17+預測IC!BI17</f>
        <v>0.17693017425512711</v>
      </c>
      <c r="BJ17" s="2">
        <f>BI17+預測IC!BJ17</f>
        <v>0.31968435004607965</v>
      </c>
      <c r="BK17" s="2">
        <f>BJ17+預測IC!BK17</f>
        <v>0.39872593262467004</v>
      </c>
      <c r="BL17" s="2">
        <f>BK17+預測IC!BL17</f>
        <v>0.42222013653838014</v>
      </c>
      <c r="BM17" s="2">
        <f>BL17+預測IC!BM17</f>
        <v>0.41928340230247324</v>
      </c>
      <c r="BN17" s="2">
        <f>BM17+預測IC!BN17</f>
        <v>0.4921881121076005</v>
      </c>
      <c r="BO17" s="2">
        <f>BN17+預測IC!BO17</f>
        <v>0.45838583375767727</v>
      </c>
      <c r="BP17" s="2">
        <f>BO17+預測IC!BP17</f>
        <v>0.50425918148342708</v>
      </c>
      <c r="BQ17" s="2">
        <f>BP17+預測IC!BQ17</f>
        <v>0.45409384894924021</v>
      </c>
      <c r="BR17" s="2">
        <f>BQ17+預測IC!BR17</f>
        <v>0.3554771451118135</v>
      </c>
      <c r="BS17" s="2">
        <f>BR17+預測IC!BS17</f>
        <v>0.3634187889594051</v>
      </c>
      <c r="BT17" s="2">
        <f>BS17+預測IC!BT17</f>
        <v>0.52843517032834963</v>
      </c>
      <c r="BU17" s="2">
        <f>BT17+預測IC!BU17</f>
        <v>0.44710492235181742</v>
      </c>
      <c r="BV17" s="2">
        <f>BU17+預測IC!BV17</f>
        <v>0.36661862658890537</v>
      </c>
      <c r="BW17" s="2">
        <f>BV17+預測IC!BW17</f>
        <v>0.5155922200057208</v>
      </c>
      <c r="BX17" s="2">
        <f>BW17+預測IC!BX17</f>
        <v>0.57344536164721172</v>
      </c>
      <c r="BY17" s="2">
        <f>BX17+預測IC!BY17</f>
        <v>0.38229958151216925</v>
      </c>
      <c r="BZ17" s="2">
        <f>BY17+預測IC!BZ17</f>
        <v>0.32456477552275254</v>
      </c>
      <c r="CA17" s="2">
        <f>BZ17+預測IC!CA17</f>
        <v>0.34808405624341143</v>
      </c>
      <c r="CB17" s="2">
        <f>CA17+預測IC!CB17</f>
        <v>0.28529196530895473</v>
      </c>
      <c r="CC17" s="2">
        <f>CB17+預測IC!CC17</f>
        <v>0.28205853925267388</v>
      </c>
      <c r="CD17" s="2">
        <f>CC17+預測IC!CD17</f>
        <v>0.41759405321587451</v>
      </c>
      <c r="CE17" s="2">
        <f>CD17+預測IC!CE17</f>
        <v>0.50824537711164741</v>
      </c>
      <c r="CF17" s="2">
        <f>CE17+預測IC!CF17</f>
        <v>0.52368435232303501</v>
      </c>
      <c r="CG17" s="2">
        <f>CF17+預測IC!CG17</f>
        <v>0.71076955265122721</v>
      </c>
      <c r="CH17" s="2">
        <f>CG17+預測IC!CH17</f>
        <v>0.78534533048136834</v>
      </c>
      <c r="CI17" s="2">
        <f>CH17+預測IC!CI17</f>
        <v>0.87330435446203514</v>
      </c>
      <c r="CJ17" s="2">
        <f>CI17+預測IC!CJ17</f>
        <v>0.88972455409368389</v>
      </c>
      <c r="CK17" s="2">
        <f>CJ17+預測IC!CK17</f>
        <v>0.90457388246850901</v>
      </c>
      <c r="CL17" s="2">
        <f>CK17+預測IC!CL17</f>
        <v>1.0063720187261649</v>
      </c>
      <c r="CM17" s="2">
        <f>CL17+預測IC!CM17</f>
        <v>0.97914367927935231</v>
      </c>
      <c r="CN17" s="2">
        <f>CM17+預測IC!CN17</f>
        <v>0.98509360721762196</v>
      </c>
      <c r="CO17" s="2">
        <f>CN17+預測IC!CO17</f>
        <v>0.72816863718167635</v>
      </c>
      <c r="CP17" s="2">
        <f>CO17+預測IC!CP17</f>
        <v>0.7259099325656736</v>
      </c>
      <c r="CQ17" s="2">
        <f>CP17+預測IC!CQ17</f>
        <v>0.82746655415583503</v>
      </c>
      <c r="CR17" s="2">
        <f>CQ17+預測IC!CR17</f>
        <v>0.79827824759381028</v>
      </c>
      <c r="CS17" s="2">
        <f>CR17+預測IC!CS17</f>
        <v>0.75562255330615391</v>
      </c>
      <c r="CT17" s="2">
        <f>CS17+預測IC!CT17</f>
        <v>0.82591305544378146</v>
      </c>
      <c r="CU17" s="2">
        <f>CT17+預測IC!CU17</f>
        <v>0.92198276901523424</v>
      </c>
      <c r="CV17" s="2">
        <f>CU17+預測IC!CV17</f>
        <v>0.90213601970524226</v>
      </c>
      <c r="CW17" s="2">
        <f>CV17+預測IC!CW17</f>
        <v>0.89898156907177096</v>
      </c>
      <c r="CX17" s="2">
        <f>CW17+預測IC!CX17</f>
        <v>0.91846836742457361</v>
      </c>
      <c r="CY17" s="2">
        <f>CX17+預測IC!CY17</f>
        <v>0.88591363155637137</v>
      </c>
      <c r="CZ17" s="2">
        <f>CY17+預測IC!CZ17</f>
        <v>1.0093389292826054</v>
      </c>
      <c r="DA17" s="2">
        <f>CZ17+預測IC!DA17</f>
        <v>1.1719742190477436</v>
      </c>
      <c r="DB17" s="2">
        <f>DA17+預測IC!DB17</f>
        <v>1.0925647195617074</v>
      </c>
      <c r="DC17" s="2">
        <f>DB17+預測IC!DC17</f>
        <v>1.1079018716191216</v>
      </c>
      <c r="DD17" s="2">
        <f>DC17+預測IC!DD17</f>
        <v>1.3018373241542061</v>
      </c>
      <c r="DE17" s="2">
        <f>DD17+預測IC!DE17</f>
        <v>1.3593287396915701</v>
      </c>
      <c r="DF17" s="2">
        <f>DE17+預測IC!DF17</f>
        <v>1.556604511654115</v>
      </c>
      <c r="DG17" s="2">
        <f>DF17+預測IC!DG17</f>
        <v>1.5094159790724817</v>
      </c>
      <c r="DH17" s="2">
        <f>DG17+預測IC!DH17</f>
        <v>1.5420830911623691</v>
      </c>
      <c r="DI17" s="2">
        <f>DH17+預測IC!DI17</f>
        <v>1.5304082328141677</v>
      </c>
      <c r="DJ17" s="2">
        <f>DI17+預測IC!DJ17</f>
        <v>1.5912124115885846</v>
      </c>
      <c r="DK17" s="2">
        <f>DJ17+預測IC!DK17</f>
        <v>1.5334518965948183</v>
      </c>
      <c r="DL17" s="2">
        <f>DK17+預測IC!DL17</f>
        <v>1.5797217173743583</v>
      </c>
      <c r="DM17" s="2">
        <f>DL17+預測IC!DM17</f>
        <v>1.5712918845010089</v>
      </c>
      <c r="DN17" s="2">
        <f>DM17+預測IC!DN17</f>
        <v>1.6084529306720809</v>
      </c>
      <c r="DO17" s="2">
        <f>DN17+預測IC!DO17</f>
        <v>1.5378680179879718</v>
      </c>
      <c r="DP17" s="2">
        <f>DO17+預測IC!DP17</f>
        <v>1.5464190465013616</v>
      </c>
      <c r="DQ17" s="2">
        <f>DP17+預測IC!DQ17</f>
        <v>1.4997606627915765</v>
      </c>
      <c r="DR17" s="2">
        <f>DQ17+預測IC!DR17</f>
        <v>1.5019212267011575</v>
      </c>
      <c r="DS17" s="2">
        <f>DR17+預測IC!DS17</f>
        <v>1.5037937419692697</v>
      </c>
      <c r="DT17" s="2">
        <f>DS17+預測IC!DT17</f>
        <v>1.4933374706235707</v>
      </c>
      <c r="DU17" s="2">
        <f>DT17+預測IC!DU17</f>
        <v>1.3874209634309183</v>
      </c>
      <c r="DV17" s="2">
        <f>DU17+預測IC!DV17</f>
        <v>1.4171895205367122</v>
      </c>
      <c r="DW17" s="2">
        <f>DV17+預測IC!DW17</f>
        <v>1.3659504375285909</v>
      </c>
      <c r="DX17" s="2">
        <f>DW17+預測IC!DX17</f>
        <v>1.4098529712288534</v>
      </c>
      <c r="DY17" s="2">
        <f>DX17+預測IC!DY17</f>
        <v>1.4682206699785403</v>
      </c>
      <c r="DZ17" s="2">
        <f>DY17+預測IC!DZ17</f>
        <v>1.4225586384381141</v>
      </c>
      <c r="EA17" s="2">
        <f>DZ17+預測IC!EA17</f>
        <v>1.3399877422214248</v>
      </c>
      <c r="EB17" s="2">
        <f>EA17+預測IC!EB17</f>
        <v>1.387363943493938</v>
      </c>
      <c r="EC17" s="2">
        <f>EB17+預測IC!EC17</f>
        <v>1.4414950940990905</v>
      </c>
      <c r="ED17" s="2">
        <f>EC17+預測IC!ED17</f>
        <v>1.2901202172408839</v>
      </c>
      <c r="EE17" s="2">
        <f>ED17+預測IC!EE17</f>
        <v>1.2649652246225243</v>
      </c>
      <c r="EF17" s="2">
        <f>EE17+預測IC!EF17</f>
        <v>1.3008148905158188</v>
      </c>
      <c r="EG17" s="2">
        <f>EF17+預測IC!EG17</f>
        <v>1.2810937951978834</v>
      </c>
      <c r="EH17" s="2">
        <f>EG17+預測IC!EH17</f>
        <v>1.2738685362489242</v>
      </c>
      <c r="EI17" s="2">
        <f>EH17+預測IC!EI17</f>
        <v>1.2942246539833422</v>
      </c>
      <c r="EJ17" s="2">
        <f>EI17+預測IC!EJ17</f>
        <v>1.3107128435858337</v>
      </c>
      <c r="EK17" s="2">
        <f>EJ17+預測IC!EK17</f>
        <v>1.2965213637054533</v>
      </c>
      <c r="EL17" s="2">
        <f>EK17+預測IC!EL17</f>
        <v>1.2385883076725668</v>
      </c>
    </row>
    <row r="18" spans="1:142" x14ac:dyDescent="0.3">
      <c r="A18" s="18">
        <v>150</v>
      </c>
      <c r="B18" s="18">
        <f t="shared" si="10"/>
        <v>7</v>
      </c>
      <c r="C18" s="2">
        <v>-5.264358642546442E-2</v>
      </c>
      <c r="D18" s="2">
        <f>C18+預測IC!D18</f>
        <v>-3.948627460180365E-2</v>
      </c>
      <c r="E18" s="2">
        <f>D18+預測IC!E18</f>
        <v>1.635939563415293E-2</v>
      </c>
      <c r="F18" s="2">
        <f>E18+預測IC!F18</f>
        <v>-5.7183148744793237E-2</v>
      </c>
      <c r="G18" s="2">
        <f>F18+預測IC!G18</f>
        <v>-0.13009224072820846</v>
      </c>
      <c r="H18" s="2">
        <f>G18+預測IC!H18</f>
        <v>-4.5899442182431791E-2</v>
      </c>
      <c r="I18" s="2">
        <f>H18+預測IC!I18</f>
        <v>0.10876983088338331</v>
      </c>
      <c r="J18" s="2">
        <f>I18+預測IC!J18</f>
        <v>5.8068780283324559E-2</v>
      </c>
      <c r="K18" s="2">
        <f>J18+預測IC!K18</f>
        <v>6.8858400920405904E-2</v>
      </c>
      <c r="L18" s="2">
        <f>K18+預測IC!L18</f>
        <v>7.2520983551137772E-2</v>
      </c>
      <c r="M18" s="2">
        <f>L18+預測IC!M18</f>
        <v>4.3144004172595424E-3</v>
      </c>
      <c r="N18" s="2">
        <f>M18+預測IC!N18</f>
        <v>-0.22976882345627708</v>
      </c>
      <c r="O18" s="2">
        <f>N18+預測IC!O18</f>
        <v>-0.18681615375879584</v>
      </c>
      <c r="P18" s="2">
        <f>O18+預測IC!P18</f>
        <v>-0.22277599582941965</v>
      </c>
      <c r="Q18" s="2">
        <f>P18+預測IC!Q18</f>
        <v>-0.20382310794425962</v>
      </c>
      <c r="R18" s="2">
        <f>Q18+預測IC!R18</f>
        <v>-0.21594256649482096</v>
      </c>
      <c r="S18" s="2">
        <f>R18+預測IC!S18</f>
        <v>-0.12684763509453864</v>
      </c>
      <c r="T18" s="2">
        <f>S18+預測IC!T18</f>
        <v>-0.14445388450772345</v>
      </c>
      <c r="U18" s="2">
        <f>T18+預測IC!U18</f>
        <v>-0.18221701598314891</v>
      </c>
      <c r="V18" s="2">
        <f>U18+預測IC!V18</f>
        <v>-0.20641854112682198</v>
      </c>
      <c r="W18" s="2">
        <f>V18+預測IC!W18</f>
        <v>-0.15663987182817507</v>
      </c>
      <c r="X18" s="2">
        <f>W18+預測IC!X18</f>
        <v>4.9023269995078139E-2</v>
      </c>
      <c r="Y18" s="2">
        <f>X18+預測IC!Y18</f>
        <v>-3.4691766309313532E-3</v>
      </c>
      <c r="Z18" s="2">
        <f>Y18+預測IC!Z18</f>
        <v>1.7592921214226755E-2</v>
      </c>
      <c r="AA18" s="2">
        <f>Z18+預測IC!AA18</f>
        <v>-4.1963739455638735E-3</v>
      </c>
      <c r="AB18" s="2">
        <f>AA18+預測IC!AB18</f>
        <v>-0.10816327005217546</v>
      </c>
      <c r="AC18" s="2">
        <f>AB18+預測IC!AC18</f>
        <v>-8.2417615280148238E-2</v>
      </c>
      <c r="AD18" s="2">
        <f>AC18+預測IC!AD18</f>
        <v>-0.11322309218189477</v>
      </c>
      <c r="AE18" s="2">
        <f>AD18+預測IC!AE18</f>
        <v>-9.4903062640430483E-2</v>
      </c>
      <c r="AF18" s="2">
        <f>AE18+預測IC!AF18</f>
        <v>-7.6870103999285344E-2</v>
      </c>
      <c r="AG18" s="2">
        <f>AF18+預測IC!AG18</f>
        <v>-0.14198149992012579</v>
      </c>
      <c r="AH18" s="2">
        <f>AG18+預測IC!AH18</f>
        <v>-0.14333222036288415</v>
      </c>
      <c r="AI18" s="2">
        <f>AH18+預測IC!AI18</f>
        <v>-9.5483436221418028E-2</v>
      </c>
      <c r="AJ18" s="2">
        <f>AI18+預測IC!AJ18</f>
        <v>-6.9292301704163325E-2</v>
      </c>
      <c r="AK18" s="2">
        <f>AJ18+預測IC!AK18</f>
        <v>-4.9066482598779909E-2</v>
      </c>
      <c r="AL18" s="2">
        <f>AK18+預測IC!AL18</f>
        <v>-4.5641661181125087E-2</v>
      </c>
      <c r="AM18" s="2">
        <f>AL18+預測IC!AM18</f>
        <v>9.6914841423718159E-3</v>
      </c>
      <c r="AN18" s="2">
        <f>AM18+預測IC!AN18</f>
        <v>-6.4609430864807055E-2</v>
      </c>
      <c r="AO18" s="2">
        <f>AN18+預測IC!AO18</f>
        <v>-0.18460779708879235</v>
      </c>
      <c r="AP18" s="2">
        <f>AO18+預測IC!AP18</f>
        <v>-0.15458620462616365</v>
      </c>
      <c r="AQ18" s="2">
        <f>AP18+預測IC!AQ18</f>
        <v>-0.1619646852977274</v>
      </c>
      <c r="AR18" s="2">
        <f>AQ18+預測IC!AR18</f>
        <v>-0.17047586159907469</v>
      </c>
      <c r="AS18" s="2">
        <f>AR18+預測IC!AS18</f>
        <v>-0.14493915553605702</v>
      </c>
      <c r="AT18" s="2">
        <f>AS18+預測IC!AT18</f>
        <v>-0.13050202320212156</v>
      </c>
      <c r="AU18" s="2">
        <f>AT18+預測IC!AU18</f>
        <v>-0.11215054523689813</v>
      </c>
      <c r="AV18" s="2">
        <f>AU18+預測IC!AV18</f>
        <v>-0.16606243068084214</v>
      </c>
      <c r="AW18" s="2">
        <f>AV18+預測IC!AW18</f>
        <v>-7.0968840496126256E-2</v>
      </c>
      <c r="AX18" s="2">
        <f>AW18+預測IC!AX18</f>
        <v>7.5679083323368534E-2</v>
      </c>
      <c r="AY18" s="2">
        <f>AX18+預測IC!AY18</f>
        <v>4.2449028287780674E-2</v>
      </c>
      <c r="AZ18" s="2">
        <f>AY18+預測IC!AZ18</f>
        <v>9.1968648532937916E-2</v>
      </c>
      <c r="BA18" s="2">
        <f>AZ18+預測IC!BA18</f>
        <v>0.16272607639816039</v>
      </c>
      <c r="BB18" s="2">
        <f>BA18+預測IC!BB18</f>
        <v>-2.4935563579469106E-2</v>
      </c>
      <c r="BC18" s="2">
        <f>BB18+預測IC!BC18</f>
        <v>2.0059172014475497E-2</v>
      </c>
      <c r="BD18" s="2">
        <f>BC18+預測IC!BD18</f>
        <v>1.368261287378859E-2</v>
      </c>
      <c r="BE18" s="2">
        <f>BD18+預測IC!BE18</f>
        <v>-2.4149624254684868E-2</v>
      </c>
      <c r="BF18" s="2">
        <f>BE18+預測IC!BF18</f>
        <v>-7.1850560878184894E-2</v>
      </c>
      <c r="BG18" s="2">
        <f>BF18+預測IC!BG18</f>
        <v>-4.9742731331545068E-2</v>
      </c>
      <c r="BH18" s="2">
        <f>BG18+預測IC!BH18</f>
        <v>-3.4536564722540415E-2</v>
      </c>
      <c r="BI18" s="2">
        <f>BH18+預測IC!BI18</f>
        <v>-0.10507030600548875</v>
      </c>
      <c r="BJ18" s="2">
        <f>BI18+預測IC!BJ18</f>
        <v>3.6314634838057636E-2</v>
      </c>
      <c r="BK18" s="2">
        <f>BJ18+預測IC!BK18</f>
        <v>0.12023012499509274</v>
      </c>
      <c r="BL18" s="2">
        <f>BK18+預測IC!BL18</f>
        <v>0.14568530864717813</v>
      </c>
      <c r="BM18" s="2">
        <f>BL18+預測IC!BM18</f>
        <v>0.16415770952454931</v>
      </c>
      <c r="BN18" s="2">
        <f>BM18+預測IC!BN18</f>
        <v>0.25089583842329671</v>
      </c>
      <c r="BO18" s="2">
        <f>BN18+預測IC!BO18</f>
        <v>0.21923468661901757</v>
      </c>
      <c r="BP18" s="2">
        <f>BO18+預測IC!BP18</f>
        <v>0.27624695415867329</v>
      </c>
      <c r="BQ18" s="2">
        <f>BP18+預測IC!BQ18</f>
        <v>0.20867622315900219</v>
      </c>
      <c r="BR18" s="2">
        <f>BQ18+預測IC!BR18</f>
        <v>0.10853702118790809</v>
      </c>
      <c r="BS18" s="2">
        <f>BR18+預測IC!BS18</f>
        <v>0.11159557348406307</v>
      </c>
      <c r="BT18" s="2">
        <f>BS18+預測IC!BT18</f>
        <v>0.28164499309284929</v>
      </c>
      <c r="BU18" s="2">
        <f>BT18+預測IC!BU18</f>
        <v>0.19383956474538411</v>
      </c>
      <c r="BV18" s="2">
        <f>BU18+預測IC!BV18</f>
        <v>0.11550900465542163</v>
      </c>
      <c r="BW18" s="2">
        <f>BV18+預測IC!BW18</f>
        <v>0.28901564019007875</v>
      </c>
      <c r="BX18" s="2">
        <f>BW18+預測IC!BX18</f>
        <v>0.36716946577963194</v>
      </c>
      <c r="BY18" s="2">
        <f>BX18+預測IC!BY18</f>
        <v>0.18785150958285343</v>
      </c>
      <c r="BZ18" s="2">
        <f>BY18+預測IC!BZ18</f>
        <v>0.14335770760727212</v>
      </c>
      <c r="CA18" s="2">
        <f>BZ18+預測IC!CA18</f>
        <v>0.184562476163384</v>
      </c>
      <c r="CB18" s="2">
        <f>CA18+預測IC!CB18</f>
        <v>0.13276043824529724</v>
      </c>
      <c r="CC18" s="2">
        <f>CB18+預測IC!CC18</f>
        <v>0.10308659520179847</v>
      </c>
      <c r="CD18" s="2">
        <f>CC18+預測IC!CD18</f>
        <v>0.23964288269077857</v>
      </c>
      <c r="CE18" s="2">
        <f>CD18+預測IC!CE18</f>
        <v>0.32990258336811307</v>
      </c>
      <c r="CF18" s="2">
        <f>CE18+預測IC!CF18</f>
        <v>0.36269496035444737</v>
      </c>
      <c r="CG18" s="2">
        <f>CF18+預測IC!CG18</f>
        <v>0.57459265498454715</v>
      </c>
      <c r="CH18" s="2">
        <f>CG18+預測IC!CH18</f>
        <v>0.69032202671830523</v>
      </c>
      <c r="CI18" s="2">
        <f>CH18+預測IC!CI18</f>
        <v>0.67230450829306343</v>
      </c>
      <c r="CJ18" s="2">
        <f>CI18+預測IC!CJ18</f>
        <v>0.67514740068077317</v>
      </c>
      <c r="CK18" s="2">
        <f>CJ18+預測IC!CK18</f>
        <v>0.70319941917240814</v>
      </c>
      <c r="CL18" s="2">
        <f>CK18+預測IC!CL18</f>
        <v>0.81669216409478629</v>
      </c>
      <c r="CM18" s="2">
        <f>CL18+預測IC!CM18</f>
        <v>0.79966091943481588</v>
      </c>
      <c r="CN18" s="2">
        <f>CM18+預測IC!CN18</f>
        <v>0.80246936689159343</v>
      </c>
      <c r="CO18" s="2">
        <f>CN18+預測IC!CO18</f>
        <v>0.54097503240574119</v>
      </c>
      <c r="CP18" s="2">
        <f>CO18+預測IC!CP18</f>
        <v>0.53926618927416636</v>
      </c>
      <c r="CQ18" s="2">
        <f>CP18+預測IC!CQ18</f>
        <v>0.65444054774396088</v>
      </c>
      <c r="CR18" s="2">
        <f>CQ18+預測IC!CR18</f>
        <v>0.62818703631561923</v>
      </c>
      <c r="CS18" s="2">
        <f>CR18+預測IC!CS18</f>
        <v>0.58055573373679248</v>
      </c>
      <c r="CT18" s="2">
        <f>CS18+預測IC!CT18</f>
        <v>0.62098894881378586</v>
      </c>
      <c r="CU18" s="2">
        <f>CT18+預測IC!CU18</f>
        <v>0.62295286274724437</v>
      </c>
      <c r="CV18" s="2">
        <f>CU18+預測IC!CV18</f>
        <v>0.59212687931799513</v>
      </c>
      <c r="CW18" s="2">
        <f>CV18+預測IC!CW18</f>
        <v>0.64905734336901266</v>
      </c>
      <c r="CX18" s="2">
        <f>CW18+預測IC!CX18</f>
        <v>0.63245008477453024</v>
      </c>
      <c r="CY18" s="2">
        <f>CX18+預測IC!CY18</f>
        <v>0.61460182882133729</v>
      </c>
      <c r="CZ18" s="2">
        <f>CY18+預測IC!CZ18</f>
        <v>0.72026432715052169</v>
      </c>
      <c r="DA18" s="2">
        <f>CZ18+預測IC!DA18</f>
        <v>0.8625631510320737</v>
      </c>
      <c r="DB18" s="2">
        <f>DA18+預測IC!DB18</f>
        <v>0.76762637470255379</v>
      </c>
      <c r="DC18" s="2">
        <f>DB18+預測IC!DC18</f>
        <v>0.78280285352509205</v>
      </c>
      <c r="DD18" s="2">
        <f>DC18+預測IC!DD18</f>
        <v>1.0218348818777667</v>
      </c>
      <c r="DE18" s="2">
        <f>DD18+預測IC!DE18</f>
        <v>1.0601042081520398</v>
      </c>
      <c r="DF18" s="2">
        <f>DE18+預測IC!DF18</f>
        <v>1.2689349876303013</v>
      </c>
      <c r="DG18" s="2">
        <f>DF18+預測IC!DG18</f>
        <v>1.2283455205892406</v>
      </c>
      <c r="DH18" s="2">
        <f>DG18+預測IC!DH18</f>
        <v>1.2514463995467264</v>
      </c>
      <c r="DI18" s="2">
        <f>DH18+預測IC!DI18</f>
        <v>1.2199914554348059</v>
      </c>
      <c r="DJ18" s="2">
        <f>DI18+預測IC!DJ18</f>
        <v>1.2572626927992505</v>
      </c>
      <c r="DK18" s="2">
        <f>DJ18+預測IC!DK18</f>
        <v>1.1955582525450443</v>
      </c>
      <c r="DL18" s="2">
        <f>DK18+預測IC!DL18</f>
        <v>1.2471910787393463</v>
      </c>
      <c r="DM18" s="2">
        <f>DL18+預測IC!DM18</f>
        <v>1.2259500104003329</v>
      </c>
      <c r="DN18" s="2">
        <f>DM18+預測IC!DN18</f>
        <v>1.2653296140795631</v>
      </c>
      <c r="DO18" s="2">
        <f>DN18+預測IC!DO18</f>
        <v>1.2074478394445503</v>
      </c>
      <c r="DP18" s="2">
        <f>DO18+預測IC!DP18</f>
        <v>1.217897062491782</v>
      </c>
      <c r="DQ18" s="2">
        <f>DP18+預測IC!DQ18</f>
        <v>1.2065784371283457</v>
      </c>
      <c r="DR18" s="2">
        <f>DQ18+預測IC!DR18</f>
        <v>1.2044833530121992</v>
      </c>
      <c r="DS18" s="2">
        <f>DR18+預測IC!DS18</f>
        <v>1.2073819349324226</v>
      </c>
      <c r="DT18" s="2">
        <f>DS18+預測IC!DT18</f>
        <v>1.198347719586385</v>
      </c>
      <c r="DU18" s="2">
        <f>DT18+預測IC!DU18</f>
        <v>1.0830458033658272</v>
      </c>
      <c r="DV18" s="2">
        <f>DU18+預測IC!DV18</f>
        <v>1.1304411469961506</v>
      </c>
      <c r="DW18" s="2">
        <f>DV18+預測IC!DW18</f>
        <v>1.1166720874241949</v>
      </c>
      <c r="DX18" s="2">
        <f>DW18+預測IC!DX18</f>
        <v>1.1638769821295971</v>
      </c>
      <c r="DY18" s="2">
        <f>DX18+預測IC!DY18</f>
        <v>1.2464254855671302</v>
      </c>
      <c r="DZ18" s="2">
        <f>DY18+預測IC!DZ18</f>
        <v>1.1971890255489315</v>
      </c>
      <c r="EA18" s="2">
        <f>DZ18+預測IC!EA18</f>
        <v>1.0846242159991166</v>
      </c>
      <c r="EB18" s="2">
        <f>EA18+預測IC!EB18</f>
        <v>1.1330430881369078</v>
      </c>
      <c r="EC18" s="2">
        <f>EB18+預測IC!EC18</f>
        <v>1.1872107390602942</v>
      </c>
      <c r="ED18" s="2">
        <f>EC18+預測IC!ED18</f>
        <v>1.0375262356422836</v>
      </c>
      <c r="EE18" s="2">
        <f>ED18+預測IC!EE18</f>
        <v>1.0247906814193946</v>
      </c>
      <c r="EF18" s="2">
        <f>EE18+預測IC!EF18</f>
        <v>1.082318682261171</v>
      </c>
      <c r="EG18" s="2">
        <f>EF18+預測IC!EG18</f>
        <v>1.0943387610771989</v>
      </c>
      <c r="EH18" s="2">
        <f>EG18+預測IC!EH18</f>
        <v>1.0845933750398797</v>
      </c>
      <c r="EI18" s="2">
        <f>EH18+預測IC!EI18</f>
        <v>1.0783865736158342</v>
      </c>
      <c r="EJ18" s="2">
        <f>EI18+預測IC!EJ18</f>
        <v>1.1192369346159474</v>
      </c>
      <c r="EK18" s="2">
        <f>EJ18+預測IC!EK18</f>
        <v>1.1346126041661717</v>
      </c>
      <c r="EL18" s="2">
        <f>EK18+預測IC!EL18</f>
        <v>1.0714058315014552</v>
      </c>
    </row>
    <row r="19" spans="1:142" x14ac:dyDescent="0.3">
      <c r="A19" s="18">
        <v>180</v>
      </c>
      <c r="B19" s="18">
        <f t="shared" si="10"/>
        <v>6</v>
      </c>
      <c r="C19" s="2">
        <v>-6.3862070951592978E-2</v>
      </c>
      <c r="D19" s="2">
        <f>C19+預測IC!D19</f>
        <v>-5.4292800155303786E-2</v>
      </c>
      <c r="E19" s="2">
        <f>D19+預測IC!E19</f>
        <v>5.880927736330567E-3</v>
      </c>
      <c r="F19" s="2">
        <f>E19+預測IC!F19</f>
        <v>-3.9874101807579831E-2</v>
      </c>
      <c r="G19" s="2">
        <f>F19+預測IC!G19</f>
        <v>-0.10456664673287429</v>
      </c>
      <c r="H19" s="2">
        <f>G19+預測IC!H19</f>
        <v>6.9555398387418088E-3</v>
      </c>
      <c r="I19" s="2">
        <f>H19+預測IC!I19</f>
        <v>0.14470441550178131</v>
      </c>
      <c r="J19" s="2">
        <f>I19+預測IC!J19</f>
        <v>8.9230560637078044E-2</v>
      </c>
      <c r="K19" s="2">
        <f>J19+預測IC!K19</f>
        <v>9.8358480500864418E-2</v>
      </c>
      <c r="L19" s="2">
        <f>K19+預測IC!L19</f>
        <v>7.9501342722987506E-2</v>
      </c>
      <c r="M19" s="2">
        <f>L19+預測IC!M19</f>
        <v>3.5050970886674887E-3</v>
      </c>
      <c r="N19" s="2">
        <f>M19+預測IC!N19</f>
        <v>-0.2664472500463948</v>
      </c>
      <c r="O19" s="2">
        <f>N19+預測IC!O19</f>
        <v>-0.20191717678296711</v>
      </c>
      <c r="P19" s="2">
        <f>O19+預測IC!P19</f>
        <v>-0.25131220927114395</v>
      </c>
      <c r="Q19" s="2">
        <f>P19+預測IC!Q19</f>
        <v>-0.25855836751811512</v>
      </c>
      <c r="R19" s="2">
        <f>Q19+預測IC!R19</f>
        <v>-0.29209313319498692</v>
      </c>
      <c r="S19" s="2">
        <f>R19+預測IC!S19</f>
        <v>-0.22448078018925693</v>
      </c>
      <c r="T19" s="2">
        <f>S19+預測IC!T19</f>
        <v>-0.23283749588335312</v>
      </c>
      <c r="U19" s="2">
        <f>T19+預測IC!U19</f>
        <v>-0.29193025932595817</v>
      </c>
      <c r="V19" s="2">
        <f>U19+預測IC!V19</f>
        <v>-0.29072085941627646</v>
      </c>
      <c r="W19" s="2">
        <f>V19+預測IC!W19</f>
        <v>-0.22862948663801158</v>
      </c>
      <c r="X19" s="2">
        <f>W19+預測IC!X19</f>
        <v>-1.7898677920037492E-2</v>
      </c>
      <c r="Y19" s="2">
        <f>X19+預測IC!Y19</f>
        <v>-7.9599555113673504E-2</v>
      </c>
      <c r="Z19" s="2">
        <f>Y19+預測IC!Z19</f>
        <v>-4.5547990256698076E-2</v>
      </c>
      <c r="AA19" s="2">
        <f>Z19+預測IC!AA19</f>
        <v>-7.3010846830007511E-2</v>
      </c>
      <c r="AB19" s="2">
        <f>AA19+預測IC!AB19</f>
        <v>-0.17698545286204401</v>
      </c>
      <c r="AC19" s="2">
        <f>AB19+預測IC!AC19</f>
        <v>-0.14415474893808919</v>
      </c>
      <c r="AD19" s="2">
        <f>AC19+預測IC!AD19</f>
        <v>-0.20196578563654985</v>
      </c>
      <c r="AE19" s="2">
        <f>AD19+預測IC!AE19</f>
        <v>-0.20132696553571891</v>
      </c>
      <c r="AF19" s="2">
        <f>AE19+預測IC!AF19</f>
        <v>-0.17534733506490219</v>
      </c>
      <c r="AG19" s="2">
        <f>AF19+預測IC!AG19</f>
        <v>-0.24013301538449794</v>
      </c>
      <c r="AH19" s="2">
        <f>AG19+預測IC!AH19</f>
        <v>-0.23931937558501892</v>
      </c>
      <c r="AI19" s="2">
        <f>AH19+預測IC!AI19</f>
        <v>-0.18768588440378842</v>
      </c>
      <c r="AJ19" s="2">
        <f>AI19+預測IC!AJ19</f>
        <v>-0.18320756118185155</v>
      </c>
      <c r="AK19" s="2">
        <f>AJ19+預測IC!AK19</f>
        <v>-0.16485271172676408</v>
      </c>
      <c r="AL19" s="2">
        <f>AK19+預測IC!AL19</f>
        <v>-0.15724629247211866</v>
      </c>
      <c r="AM19" s="2">
        <f>AL19+預測IC!AM19</f>
        <v>-8.5156848626899775E-2</v>
      </c>
      <c r="AN19" s="2">
        <f>AM19+預測IC!AN19</f>
        <v>-0.14934130986533928</v>
      </c>
      <c r="AO19" s="2">
        <f>AN19+預測IC!AO19</f>
        <v>-0.24415944660255487</v>
      </c>
      <c r="AP19" s="2">
        <f>AO19+預測IC!AP19</f>
        <v>-0.20086638960236369</v>
      </c>
      <c r="AQ19" s="2">
        <f>AP19+預測IC!AQ19</f>
        <v>-0.20262964851249801</v>
      </c>
      <c r="AR19" s="2">
        <f>AQ19+預測IC!AR19</f>
        <v>-0.20265441265183534</v>
      </c>
      <c r="AS19" s="2">
        <f>AR19+預測IC!AS19</f>
        <v>-0.22954382089507752</v>
      </c>
      <c r="AT19" s="2">
        <f>AS19+預測IC!AT19</f>
        <v>-0.21436594995023245</v>
      </c>
      <c r="AU19" s="2">
        <f>AT19+預測IC!AU19</f>
        <v>-0.19979445843711549</v>
      </c>
      <c r="AV19" s="2">
        <f>AU19+預測IC!AV19</f>
        <v>-0.23916682199009048</v>
      </c>
      <c r="AW19" s="2">
        <f>AV19+預測IC!AW19</f>
        <v>-0.13473420608068637</v>
      </c>
      <c r="AX19" s="2">
        <f>AW19+預測IC!AX19</f>
        <v>4.285445104226232E-2</v>
      </c>
      <c r="AY19" s="2">
        <f>AX19+預測IC!AY19</f>
        <v>4.8372715553153693E-2</v>
      </c>
      <c r="AZ19" s="2">
        <f>AY19+預測IC!AZ19</f>
        <v>0.10072557752779504</v>
      </c>
      <c r="BA19" s="2">
        <f>AZ19+預測IC!BA19</f>
        <v>0.10880351056937686</v>
      </c>
      <c r="BB19" s="2">
        <f>BA19+預測IC!BB19</f>
        <v>-0.16119877570756702</v>
      </c>
      <c r="BC19" s="2">
        <f>BB19+預測IC!BC19</f>
        <v>-0.11381309882268506</v>
      </c>
      <c r="BD19" s="2">
        <f>BC19+預測IC!BD19</f>
        <v>-0.11419417837257935</v>
      </c>
      <c r="BE19" s="2">
        <f>BD19+預測IC!BE19</f>
        <v>-0.13519618335822051</v>
      </c>
      <c r="BF19" s="2">
        <f>BE19+預測IC!BF19</f>
        <v>-0.18760099949680367</v>
      </c>
      <c r="BG19" s="2">
        <f>BF19+預測IC!BG19</f>
        <v>-0.15867506660709577</v>
      </c>
      <c r="BH19" s="2">
        <f>BG19+預測IC!BH19</f>
        <v>-0.15528816324665551</v>
      </c>
      <c r="BI19" s="2">
        <f>BH19+預測IC!BI19</f>
        <v>-0.20558306664693279</v>
      </c>
      <c r="BJ19" s="2">
        <f>BI19+預測IC!BJ19</f>
        <v>-0.18222668401712305</v>
      </c>
      <c r="BK19" s="2">
        <f>BJ19+預測IC!BK19</f>
        <v>-9.2459824589776904E-2</v>
      </c>
      <c r="BL19" s="2">
        <f>BK19+預測IC!BL19</f>
        <v>-6.1900347474183909E-2</v>
      </c>
      <c r="BM19" s="2">
        <f>BL19+預測IC!BM19</f>
        <v>-3.3894163216156542E-2</v>
      </c>
      <c r="BN19" s="2">
        <f>BM19+預測IC!BN19</f>
        <v>6.3554844523705675E-2</v>
      </c>
      <c r="BO19" s="2">
        <f>BN19+預測IC!BO19</f>
        <v>4.4758057594541246E-2</v>
      </c>
      <c r="BP19" s="2">
        <f>BO19+預測IC!BP19</f>
        <v>7.553161048082517E-2</v>
      </c>
      <c r="BQ19" s="2">
        <f>BP19+預測IC!BQ19</f>
        <v>-2.0464355349534974E-3</v>
      </c>
      <c r="BR19" s="2">
        <f>BQ19+預測IC!BR19</f>
        <v>-0.120644717637084</v>
      </c>
      <c r="BS19" s="2">
        <f>BR19+預測IC!BS19</f>
        <v>-0.12826883167031472</v>
      </c>
      <c r="BT19" s="2">
        <f>BS19+預測IC!BT19</f>
        <v>4.8027685899832473E-2</v>
      </c>
      <c r="BU19" s="2">
        <f>BT19+預測IC!BU19</f>
        <v>-5.268754912842373E-2</v>
      </c>
      <c r="BV19" s="2">
        <f>BU19+預測IC!BV19</f>
        <v>-0.13937761397216025</v>
      </c>
      <c r="BW19" s="2">
        <f>BV19+預測IC!BW19</f>
        <v>6.1151483421361036E-2</v>
      </c>
      <c r="BX19" s="2">
        <f>BW19+預測IC!BX19</f>
        <v>0.15788660585867925</v>
      </c>
      <c r="BY19" s="2">
        <f>BX19+預測IC!BY19</f>
        <v>-3.4533759078967635E-2</v>
      </c>
      <c r="BZ19" s="2">
        <f>BY19+預測IC!BZ19</f>
        <v>-9.3782606026135779E-2</v>
      </c>
      <c r="CA19" s="2">
        <f>BZ19+預測IC!CA19</f>
        <v>-5.5878432335156838E-2</v>
      </c>
      <c r="CB19" s="2">
        <f>CA19+預測IC!CB19</f>
        <v>-9.8947270452684505E-2</v>
      </c>
      <c r="CC19" s="2">
        <f>CB19+預測IC!CC19</f>
        <v>-0.17457595164576806</v>
      </c>
      <c r="CD19" s="2">
        <f>CC19+預測IC!CD19</f>
        <v>-6.2150746617384262E-2</v>
      </c>
      <c r="CE19" s="2">
        <f>CD19+預測IC!CE19</f>
        <v>3.1470877198111591E-2</v>
      </c>
      <c r="CF19" s="2">
        <f>CE19+預測IC!CF19</f>
        <v>7.0779053876380102E-2</v>
      </c>
      <c r="CG19" s="2">
        <f>CF19+預測IC!CG19</f>
        <v>0.26583240561122851</v>
      </c>
      <c r="CH19" s="2">
        <f>CG19+預測IC!CH19</f>
        <v>0.31628752901525059</v>
      </c>
      <c r="CI19" s="2">
        <f>CH19+預測IC!CI19</f>
        <v>0.30693968946056327</v>
      </c>
      <c r="CJ19" s="2">
        <f>CI19+預測IC!CJ19</f>
        <v>0.31417979893274484</v>
      </c>
      <c r="CK19" s="2">
        <f>CJ19+預測IC!CK19</f>
        <v>0.33369480010939251</v>
      </c>
      <c r="CL19" s="2">
        <f>CK19+預測IC!CL19</f>
        <v>0.45313956168826219</v>
      </c>
      <c r="CM19" s="2">
        <f>CL19+預測IC!CM19</f>
        <v>0.4265007781014567</v>
      </c>
      <c r="CN19" s="2">
        <f>CM19+預測IC!CN19</f>
        <v>0.44358591288758925</v>
      </c>
      <c r="CO19" s="2">
        <f>CN19+預測IC!CO19</f>
        <v>8.7741840996718057E-2</v>
      </c>
      <c r="CP19" s="2">
        <f>CO19+預測IC!CP19</f>
        <v>9.441387218102984E-2</v>
      </c>
      <c r="CQ19" s="2">
        <f>CP19+預測IC!CQ19</f>
        <v>0.21501942109992644</v>
      </c>
      <c r="CR19" s="2">
        <f>CQ19+預測IC!CR19</f>
        <v>0.17877166828040411</v>
      </c>
      <c r="CS19" s="2">
        <f>CR19+預測IC!CS19</f>
        <v>0.15183362340820203</v>
      </c>
      <c r="CT19" s="2">
        <f>CS19+預測IC!CT19</f>
        <v>0.1936429907912533</v>
      </c>
      <c r="CU19" s="2">
        <f>CT19+預測IC!CU19</f>
        <v>0.21814765329261709</v>
      </c>
      <c r="CV19" s="2">
        <f>CU19+預測IC!CV19</f>
        <v>0.23728640679401949</v>
      </c>
      <c r="CW19" s="2">
        <f>CV19+預測IC!CW19</f>
        <v>0.29152794212636984</v>
      </c>
      <c r="CX19" s="2">
        <f>CW19+預測IC!CX19</f>
        <v>0.27884699894316461</v>
      </c>
      <c r="CY19" s="2">
        <f>CX19+預測IC!CY19</f>
        <v>0.2351654325672804</v>
      </c>
      <c r="CZ19" s="2">
        <f>CY19+預測IC!CZ19</f>
        <v>0.35130204935722709</v>
      </c>
      <c r="DA19" s="2">
        <f>CZ19+預測IC!DA19</f>
        <v>0.48001699455996988</v>
      </c>
      <c r="DB19" s="2">
        <f>DA19+預測IC!DB19</f>
        <v>0.41315921054038751</v>
      </c>
      <c r="DC19" s="2">
        <f>DB19+預測IC!DC19</f>
        <v>0.42136726542546127</v>
      </c>
      <c r="DD19" s="2">
        <f>DC19+預測IC!DD19</f>
        <v>0.72114630614347308</v>
      </c>
      <c r="DE19" s="2">
        <f>DD19+預測IC!DE19</f>
        <v>0.71181784504957313</v>
      </c>
      <c r="DF19" s="2">
        <f>DE19+預測IC!DF19</f>
        <v>0.94064483063831983</v>
      </c>
      <c r="DG19" s="2">
        <f>DF19+預測IC!DG19</f>
        <v>0.90114548761669111</v>
      </c>
      <c r="DH19" s="2">
        <f>DG19+預測IC!DH19</f>
        <v>0.91911652174674807</v>
      </c>
      <c r="DI19" s="2">
        <f>DH19+預測IC!DI19</f>
        <v>0.87127908392853237</v>
      </c>
      <c r="DJ19" s="2">
        <f>DI19+預測IC!DJ19</f>
        <v>0.9064504129549471</v>
      </c>
      <c r="DK19" s="2">
        <f>DJ19+預測IC!DK19</f>
        <v>0.86213264658214162</v>
      </c>
      <c r="DL19" s="2">
        <f>DK19+預測IC!DL19</f>
        <v>0.91058082215800173</v>
      </c>
      <c r="DM19" s="2">
        <f>DL19+預測IC!DM19</f>
        <v>0.84165350949337303</v>
      </c>
      <c r="DN19" s="2">
        <f>DM19+預測IC!DN19</f>
        <v>0.86515395628669212</v>
      </c>
      <c r="DO19" s="2">
        <f>DN19+預測IC!DO19</f>
        <v>0.79491513240054701</v>
      </c>
      <c r="DP19" s="2">
        <f>DO19+預測IC!DP19</f>
        <v>0.82672350254132143</v>
      </c>
      <c r="DQ19" s="2">
        <f>DP19+預測IC!DQ19</f>
        <v>0.80451604788714992</v>
      </c>
      <c r="DR19" s="2">
        <f>DQ19+預測IC!DR19</f>
        <v>0.75746531788485216</v>
      </c>
      <c r="DS19" s="2">
        <f>DR19+預測IC!DS19</f>
        <v>0.7466435954403281</v>
      </c>
      <c r="DT19" s="2">
        <f>DS19+預測IC!DT19</f>
        <v>0.74845566507767181</v>
      </c>
      <c r="DU19" s="2">
        <f>DT19+預測IC!DU19</f>
        <v>0.62692992006533965</v>
      </c>
      <c r="DV19" s="2">
        <f>DU19+預測IC!DV19</f>
        <v>0.68973425296388469</v>
      </c>
      <c r="DW19" s="2">
        <f>DV19+預測IC!DW19</f>
        <v>0.69719538223394673</v>
      </c>
      <c r="DX19" s="2">
        <f>DW19+預測IC!DX19</f>
        <v>0.75487835193028152</v>
      </c>
      <c r="DY19" s="2">
        <f>DX19+預測IC!DY19</f>
        <v>0.88041938800937847</v>
      </c>
      <c r="DZ19" s="2">
        <f>DY19+預測IC!DZ19</f>
        <v>0.81069280015115619</v>
      </c>
      <c r="EA19" s="2">
        <f>DZ19+預測IC!EA19</f>
        <v>0.72737614267693063</v>
      </c>
      <c r="EB19" s="2">
        <f>EA19+預測IC!EB19</f>
        <v>0.77527107235169956</v>
      </c>
      <c r="EC19" s="2">
        <f>EB19+預測IC!EC19</f>
        <v>0.81777939398354937</v>
      </c>
      <c r="ED19" s="2">
        <f>EC19+預測IC!ED19</f>
        <v>0.67550938225726009</v>
      </c>
      <c r="EE19" s="2">
        <f>ED19+預測IC!EE19</f>
        <v>0.66212721105194727</v>
      </c>
      <c r="EF19" s="2">
        <f>EE19+預測IC!EF19</f>
        <v>0.69175729825199705</v>
      </c>
      <c r="EG19" s="2">
        <f>EF19+預測IC!EG19</f>
        <v>0.66077298890992797</v>
      </c>
      <c r="EH19" s="2">
        <f>EG19+預測IC!EH19</f>
        <v>0.66500060730873889</v>
      </c>
      <c r="EI19" s="2">
        <f>EH19+預測IC!EI19</f>
        <v>0.65373657374261618</v>
      </c>
      <c r="EJ19" s="2">
        <f>EI19+預測IC!EJ19</f>
        <v>0.69925850307441417</v>
      </c>
      <c r="EK19" s="2">
        <f>EJ19+預測IC!EK19</f>
        <v>0.7011247614472611</v>
      </c>
      <c r="EL19" s="2">
        <f>EK19+預測IC!EL19</f>
        <v>0.65313247236696093</v>
      </c>
    </row>
    <row r="20" spans="1:142" x14ac:dyDescent="0.3">
      <c r="A20" s="18">
        <v>200</v>
      </c>
      <c r="B20" s="18">
        <f t="shared" si="10"/>
        <v>5</v>
      </c>
      <c r="C20" s="2">
        <v>-7.7247532291167223E-2</v>
      </c>
      <c r="D20" s="2">
        <f>C20+預測IC!D20</f>
        <v>-4.9081915491997738E-2</v>
      </c>
      <c r="E20" s="2">
        <f>D20+預測IC!E20</f>
        <v>2.7284682328178503E-2</v>
      </c>
      <c r="F20" s="2">
        <f>E20+預測IC!F20</f>
        <v>4.3428643063677871E-2</v>
      </c>
      <c r="G20" s="2">
        <f>F20+預測IC!G20</f>
        <v>-3.4565653916590153E-2</v>
      </c>
      <c r="H20" s="2">
        <f>G20+預測IC!H20</f>
        <v>-4.0583740822334041E-3</v>
      </c>
      <c r="I20" s="2">
        <f>H20+預測IC!I20</f>
        <v>0.17510504013286737</v>
      </c>
      <c r="J20" s="2">
        <f>I20+預測IC!J20</f>
        <v>9.6546675011135119E-2</v>
      </c>
      <c r="K20" s="2">
        <f>J20+預測IC!K20</f>
        <v>0.10968781875866902</v>
      </c>
      <c r="L20" s="2">
        <f>K20+預測IC!L20</f>
        <v>6.3848318961762324E-2</v>
      </c>
      <c r="M20" s="2">
        <f>L20+預測IC!M20</f>
        <v>-6.9613917639099188E-3</v>
      </c>
      <c r="N20" s="2">
        <f>M20+預測IC!N20</f>
        <v>-0.3092990416855641</v>
      </c>
      <c r="O20" s="2">
        <f>N20+預測IC!O20</f>
        <v>-0.22824849294256835</v>
      </c>
      <c r="P20" s="2">
        <f>O20+預測IC!P20</f>
        <v>-0.29194664845159618</v>
      </c>
      <c r="Q20" s="2">
        <f>P20+預測IC!Q20</f>
        <v>-0.28980425077822314</v>
      </c>
      <c r="R20" s="2">
        <f>Q20+預測IC!R20</f>
        <v>-0.35946364710922185</v>
      </c>
      <c r="S20" s="2">
        <f>R20+預測IC!S20</f>
        <v>-0.31835362650894483</v>
      </c>
      <c r="T20" s="2">
        <f>S20+預測IC!T20</f>
        <v>-0.2953986302649782</v>
      </c>
      <c r="U20" s="2">
        <f>T20+預測IC!U20</f>
        <v>-0.32207614993199263</v>
      </c>
      <c r="V20" s="2">
        <f>U20+預測IC!V20</f>
        <v>-0.30553222081000714</v>
      </c>
      <c r="W20" s="2">
        <f>V20+預測IC!W20</f>
        <v>-0.34462251576894831</v>
      </c>
      <c r="X20" s="2">
        <f>W20+預測IC!X20</f>
        <v>-8.7757086997002687E-2</v>
      </c>
      <c r="Y20" s="2">
        <f>X20+預測IC!Y20</f>
        <v>-0.19619430556609238</v>
      </c>
      <c r="Z20" s="2">
        <f>Y20+預測IC!Z20</f>
        <v>-0.17745509792197503</v>
      </c>
      <c r="AA20" s="2">
        <f>Z20+預測IC!AA20</f>
        <v>-0.2509259491774195</v>
      </c>
      <c r="AB20" s="2">
        <f>AA20+預測IC!AB20</f>
        <v>-0.29773760877082972</v>
      </c>
      <c r="AC20" s="2">
        <f>AB20+預測IC!AC20</f>
        <v>-0.2631153795598522</v>
      </c>
      <c r="AD20" s="2">
        <f>AC20+預測IC!AD20</f>
        <v>-0.33604305754716457</v>
      </c>
      <c r="AE20" s="2">
        <f>AD20+預測IC!AE20</f>
        <v>-0.32408033307872791</v>
      </c>
      <c r="AF20" s="2">
        <f>AE20+預測IC!AF20</f>
        <v>-0.30293150304192829</v>
      </c>
      <c r="AG20" s="2">
        <f>AF20+預測IC!AG20</f>
        <v>-0.38759727849413528</v>
      </c>
      <c r="AH20" s="2">
        <f>AG20+預測IC!AH20</f>
        <v>-0.39038000425876812</v>
      </c>
      <c r="AI20" s="2">
        <f>AH20+預測IC!AI20</f>
        <v>-0.33483852770027539</v>
      </c>
      <c r="AJ20" s="2">
        <f>AI20+預測IC!AJ20</f>
        <v>-0.31998300207153446</v>
      </c>
      <c r="AK20" s="2">
        <f>AJ20+預測IC!AK20</f>
        <v>-0.3054390692499559</v>
      </c>
      <c r="AL20" s="2">
        <f>AK20+預測IC!AL20</f>
        <v>-0.29863011478545765</v>
      </c>
      <c r="AM20" s="2">
        <f>AL20+預測IC!AM20</f>
        <v>-0.22165415661257676</v>
      </c>
      <c r="AN20" s="2">
        <f>AM20+預測IC!AN20</f>
        <v>-0.34080304900068498</v>
      </c>
      <c r="AO20" s="2">
        <f>AN20+預測IC!AO20</f>
        <v>-0.44889264674807677</v>
      </c>
      <c r="AP20" s="2">
        <f>AO20+預測IC!AP20</f>
        <v>-0.40195349759345539</v>
      </c>
      <c r="AQ20" s="2">
        <f>AP20+預測IC!AQ20</f>
        <v>-0.40443074533060636</v>
      </c>
      <c r="AR20" s="2">
        <f>AQ20+預測IC!AR20</f>
        <v>-0.39961452711701512</v>
      </c>
      <c r="AS20" s="2">
        <f>AR20+預測IC!AS20</f>
        <v>-0.40375021705234893</v>
      </c>
      <c r="AT20" s="2">
        <f>AS20+預測IC!AT20</f>
        <v>-0.36367841350100377</v>
      </c>
      <c r="AU20" s="2">
        <f>AT20+預測IC!AU20</f>
        <v>-0.32721636941132365</v>
      </c>
      <c r="AV20" s="2">
        <f>AU20+預測IC!AV20</f>
        <v>-0.34041828855224965</v>
      </c>
      <c r="AW20" s="2">
        <f>AV20+預測IC!AW20</f>
        <v>-0.18603718511448614</v>
      </c>
      <c r="AX20" s="2">
        <f>AW20+預測IC!AX20</f>
        <v>3.2769759424900374E-2</v>
      </c>
      <c r="AY20" s="2">
        <f>AX20+預測IC!AY20</f>
        <v>3.6972344785073968E-2</v>
      </c>
      <c r="AZ20" s="2">
        <f>AY20+預測IC!AZ20</f>
        <v>6.6280898532686136E-2</v>
      </c>
      <c r="BA20" s="2">
        <f>AZ20+預測IC!BA20</f>
        <v>6.6386525724760503E-2</v>
      </c>
      <c r="BB20" s="2">
        <f>BA20+預測IC!BB20</f>
        <v>-0.23021593970247328</v>
      </c>
      <c r="BC20" s="2">
        <f>BB20+預測IC!BC20</f>
        <v>-0.17048852455497218</v>
      </c>
      <c r="BD20" s="2">
        <f>BC20+預測IC!BD20</f>
        <v>-0.16249719828686068</v>
      </c>
      <c r="BE20" s="2">
        <f>BD20+預測IC!BE20</f>
        <v>-0.20361978148945906</v>
      </c>
      <c r="BF20" s="2">
        <f>BE20+預測IC!BF20</f>
        <v>-0.26184334508206941</v>
      </c>
      <c r="BG20" s="2">
        <f>BF20+預測IC!BG20</f>
        <v>-0.21062150685831438</v>
      </c>
      <c r="BH20" s="2">
        <f>BG20+預測IC!BH20</f>
        <v>-0.19839935464060446</v>
      </c>
      <c r="BI20" s="2">
        <f>BH20+預測IC!BI20</f>
        <v>-0.24334937452492508</v>
      </c>
      <c r="BJ20" s="2">
        <f>BI20+預測IC!BJ20</f>
        <v>-0.22016429946784905</v>
      </c>
      <c r="BK20" s="2">
        <f>BJ20+預測IC!BK20</f>
        <v>-9.810696758287385E-2</v>
      </c>
      <c r="BL20" s="2">
        <f>BK20+預測IC!BL20</f>
        <v>-7.5076302593475766E-2</v>
      </c>
      <c r="BM20" s="2">
        <f>BL20+預測IC!BM20</f>
        <v>-7.4810829586319821E-2</v>
      </c>
      <c r="BN20" s="2">
        <f>BM20+預測IC!BN20</f>
        <v>-1.05452238223116E-2</v>
      </c>
      <c r="BO20" s="2">
        <f>BN20+預測IC!BO20</f>
        <v>-3.7620782010447537E-2</v>
      </c>
      <c r="BP20" s="2">
        <f>BO20+預測IC!BP20</f>
        <v>4.7630325831176518E-3</v>
      </c>
      <c r="BQ20" s="2">
        <f>BP20+預測IC!BQ20</f>
        <v>5.1726903050038388E-3</v>
      </c>
      <c r="BR20" s="2">
        <f>BQ20+預測IC!BR20</f>
        <v>-0.10614465549518236</v>
      </c>
      <c r="BS20" s="2">
        <f>BR20+預測IC!BS20</f>
        <v>-0.12726624134918277</v>
      </c>
      <c r="BT20" s="2">
        <f>BS20+預測IC!BT20</f>
        <v>5.9765472362455829E-2</v>
      </c>
      <c r="BU20" s="2">
        <f>BT20+預測IC!BU20</f>
        <v>-4.973713341127517E-2</v>
      </c>
      <c r="BV20" s="2">
        <f>BU20+預測IC!BV20</f>
        <v>-0.12006010885957227</v>
      </c>
      <c r="BW20" s="2">
        <f>BV20+預測IC!BW20</f>
        <v>0.13890102730042633</v>
      </c>
      <c r="BX20" s="2">
        <f>BW20+預測IC!BX20</f>
        <v>0.26604531034423534</v>
      </c>
      <c r="BY20" s="2">
        <f>BX20+預測IC!BY20</f>
        <v>5.3588066675172547E-2</v>
      </c>
      <c r="BZ20" s="2">
        <f>BY20+預測IC!BZ20</f>
        <v>-6.7487684964340947E-2</v>
      </c>
      <c r="CA20" s="2">
        <f>BZ20+預測IC!CA20</f>
        <v>-8.340922655599245E-2</v>
      </c>
      <c r="CB20" s="2">
        <f>CA20+預測IC!CB20</f>
        <v>-0.12783238056089974</v>
      </c>
      <c r="CC20" s="2">
        <f>CB20+預測IC!CC20</f>
        <v>-0.21460113585262963</v>
      </c>
      <c r="CD20" s="2">
        <f>CC20+預測IC!CD20</f>
        <v>-0.14562161472237364</v>
      </c>
      <c r="CE20" s="2">
        <f>CD20+預測IC!CE20</f>
        <v>-4.2884370350305748E-2</v>
      </c>
      <c r="CF20" s="2">
        <f>CE20+預測IC!CF20</f>
        <v>2.8619481098436789E-3</v>
      </c>
      <c r="CG20" s="2">
        <f>CF20+預測IC!CG20</f>
        <v>0.15778295615484705</v>
      </c>
      <c r="CH20" s="2">
        <f>CG20+預測IC!CH20</f>
        <v>0.22086738530498992</v>
      </c>
      <c r="CI20" s="2">
        <f>CH20+預測IC!CI20</f>
        <v>0.21302117152135852</v>
      </c>
      <c r="CJ20" s="2">
        <f>CI20+預測IC!CJ20</f>
        <v>0.21588646711218823</v>
      </c>
      <c r="CK20" s="2">
        <f>CJ20+預測IC!CK20</f>
        <v>0.24264314765570977</v>
      </c>
      <c r="CL20" s="2">
        <f>CK20+預測IC!CL20</f>
        <v>0.33653085334191302</v>
      </c>
      <c r="CM20" s="2">
        <f>CL20+預測IC!CM20</f>
        <v>0.33168585782336701</v>
      </c>
      <c r="CN20" s="2">
        <f>CM20+預測IC!CN20</f>
        <v>0.35409807153695405</v>
      </c>
      <c r="CO20" s="2">
        <f>CN20+預測IC!CO20</f>
        <v>-1.5480675876794525E-2</v>
      </c>
      <c r="CP20" s="2">
        <f>CO20+預測IC!CP20</f>
        <v>-4.4186465930543348E-3</v>
      </c>
      <c r="CQ20" s="2">
        <f>CP20+預測IC!CQ20</f>
        <v>0.13000776603042297</v>
      </c>
      <c r="CR20" s="2">
        <f>CQ20+預測IC!CR20</f>
        <v>9.0306952829454196E-2</v>
      </c>
      <c r="CS20" s="2">
        <f>CR20+預測IC!CS20</f>
        <v>5.2795941247425808E-2</v>
      </c>
      <c r="CT20" s="2">
        <f>CS20+預測IC!CT20</f>
        <v>0.11464076030063688</v>
      </c>
      <c r="CU20" s="2">
        <f>CT20+預測IC!CU20</f>
        <v>0.10325432418208655</v>
      </c>
      <c r="CV20" s="2">
        <f>CU20+預測IC!CV20</f>
        <v>0.13185378933057318</v>
      </c>
      <c r="CW20" s="2">
        <f>CV20+預測IC!CW20</f>
        <v>0.16324795602595263</v>
      </c>
      <c r="CX20" s="2">
        <f>CW20+預測IC!CX20</f>
        <v>0.14862832600846601</v>
      </c>
      <c r="CY20" s="2">
        <f>CX20+預測IC!CY20</f>
        <v>9.1653279490243156E-2</v>
      </c>
      <c r="CZ20" s="2">
        <f>CY20+預測IC!CZ20</f>
        <v>0.22199836565044395</v>
      </c>
      <c r="DA20" s="2">
        <f>CZ20+預測IC!DA20</f>
        <v>0.39389020100649386</v>
      </c>
      <c r="DB20" s="2">
        <f>DA20+預測IC!DB20</f>
        <v>0.32059147865687587</v>
      </c>
      <c r="DC20" s="2">
        <f>DB20+預測IC!DC20</f>
        <v>0.35059669586761977</v>
      </c>
      <c r="DD20" s="2">
        <f>DC20+預測IC!DD20</f>
        <v>0.75513624796371381</v>
      </c>
      <c r="DE20" s="2">
        <f>DD20+預測IC!DE20</f>
        <v>0.73063324938178642</v>
      </c>
      <c r="DF20" s="2">
        <f>DE20+預測IC!DF20</f>
        <v>1.0005715961563331</v>
      </c>
      <c r="DG20" s="2">
        <f>DF20+預測IC!DG20</f>
        <v>0.94111352761830924</v>
      </c>
      <c r="DH20" s="2">
        <f>DG20+預測IC!DH20</f>
        <v>0.96158319330889963</v>
      </c>
      <c r="DI20" s="2">
        <f>DH20+預測IC!DI20</f>
        <v>0.9075242202390158</v>
      </c>
      <c r="DJ20" s="2">
        <f>DI20+預測IC!DJ20</f>
        <v>0.95298224133587695</v>
      </c>
      <c r="DK20" s="2">
        <f>DJ20+預測IC!DK20</f>
        <v>0.91762506526758858</v>
      </c>
      <c r="DL20" s="2">
        <f>DK20+預測IC!DL20</f>
        <v>0.97144026853440657</v>
      </c>
      <c r="DM20" s="2">
        <f>DL20+預測IC!DM20</f>
        <v>0.87569311307903974</v>
      </c>
      <c r="DN20" s="2">
        <f>DM20+預測IC!DN20</f>
        <v>0.89077798530307928</v>
      </c>
      <c r="DO20" s="2">
        <f>DN20+預測IC!DO20</f>
        <v>0.82422612306118981</v>
      </c>
      <c r="DP20" s="2">
        <f>DO20+預測IC!DP20</f>
        <v>0.84229714432108194</v>
      </c>
      <c r="DQ20" s="2">
        <f>DP20+預測IC!DQ20</f>
        <v>0.81818145196828884</v>
      </c>
      <c r="DR20" s="2">
        <f>DQ20+預測IC!DR20</f>
        <v>0.7333879314344528</v>
      </c>
      <c r="DS20" s="2">
        <f>DR20+預測IC!DS20</f>
        <v>0.73849023574578465</v>
      </c>
      <c r="DT20" s="2">
        <f>DS20+預測IC!DT20</f>
        <v>0.71566935174514257</v>
      </c>
      <c r="DU20" s="2">
        <f>DT20+預測IC!DU20</f>
        <v>0.57850206114367642</v>
      </c>
      <c r="DV20" s="2">
        <f>DU20+預測IC!DV20</f>
        <v>0.66547075512893206</v>
      </c>
      <c r="DW20" s="2">
        <f>DV20+預測IC!DW20</f>
        <v>0.68446780372557103</v>
      </c>
      <c r="DX20" s="2">
        <f>DW20+預測IC!DX20</f>
        <v>0.7729236144881606</v>
      </c>
      <c r="DY20" s="2">
        <f>DX20+預測IC!DY20</f>
        <v>0.87031277350794023</v>
      </c>
      <c r="DZ20" s="2">
        <f>DY20+預測IC!DZ20</f>
        <v>0.77120087914862956</v>
      </c>
      <c r="EA20" s="2">
        <f>DZ20+預測IC!EA20</f>
        <v>0.71626438348654842</v>
      </c>
      <c r="EB20" s="2">
        <f>EA20+預測IC!EB20</f>
        <v>0.75185793841823423</v>
      </c>
      <c r="EC20" s="2">
        <f>EB20+預測IC!EC20</f>
        <v>0.80649065267491982</v>
      </c>
      <c r="ED20" s="2">
        <f>EC20+預測IC!ED20</f>
        <v>0.68641651827756112</v>
      </c>
      <c r="EE20" s="2">
        <f>ED20+預測IC!EE20</f>
        <v>0.67013117573240644</v>
      </c>
      <c r="EF20" s="2">
        <f>EE20+預測IC!EF20</f>
        <v>0.6769939793212012</v>
      </c>
      <c r="EG20" s="2">
        <f>EF20+預測IC!EG20</f>
        <v>0.59350611382207119</v>
      </c>
      <c r="EH20" s="2">
        <f>EG20+預測IC!EH20</f>
        <v>0.60701230457385913</v>
      </c>
      <c r="EI20" s="2">
        <f>EH20+預測IC!EI20</f>
        <v>0.55751466067662503</v>
      </c>
      <c r="EJ20" s="2">
        <f>EI20+預測IC!EJ20</f>
        <v>0.61954952938048991</v>
      </c>
      <c r="EK20" s="2">
        <f>EJ20+預測IC!EK20</f>
        <v>0.60780335418167353</v>
      </c>
      <c r="EL20" s="2">
        <f>EK20+預測IC!EL20</f>
        <v>0.56789227214050875</v>
      </c>
    </row>
    <row r="21" spans="1:142" x14ac:dyDescent="0.3">
      <c r="A21" s="18">
        <v>256</v>
      </c>
      <c r="B21" s="18">
        <f t="shared" si="10"/>
        <v>4</v>
      </c>
      <c r="C21" s="2">
        <v>1.190207271587417E-2</v>
      </c>
      <c r="D21" s="2">
        <f>C21+預測IC!D21</f>
        <v>3.0669047547499419E-2</v>
      </c>
      <c r="E21" s="2">
        <f>D21+預測IC!E21</f>
        <v>9.2937450546685119E-2</v>
      </c>
      <c r="F21" s="2">
        <f>E21+預測IC!F21</f>
        <v>0.1386584205391187</v>
      </c>
      <c r="G21" s="2">
        <f>F21+預測IC!G21</f>
        <v>5.3968517675892336E-2</v>
      </c>
      <c r="H21" s="2">
        <f>G21+預測IC!H21</f>
        <v>0.12704058678805019</v>
      </c>
      <c r="I21" s="2">
        <f>H21+預測IC!I21</f>
        <v>0.3663636489658042</v>
      </c>
      <c r="J21" s="2">
        <f>I21+預測IC!J21</f>
        <v>0.26296042356319693</v>
      </c>
      <c r="K21" s="2">
        <f>J21+預測IC!K21</f>
        <v>0.26542110572821037</v>
      </c>
      <c r="L21" s="2">
        <f>K21+預測IC!L21</f>
        <v>0.20078866463133904</v>
      </c>
      <c r="M21" s="2">
        <f>L21+預測IC!M21</f>
        <v>0.1328947707699967</v>
      </c>
      <c r="N21" s="2">
        <f>M21+預測IC!N21</f>
        <v>-0.26140074492187182</v>
      </c>
      <c r="O21" s="2">
        <f>N21+預測IC!O21</f>
        <v>-0.15630643665134791</v>
      </c>
      <c r="P21" s="2">
        <f>O21+預測IC!P21</f>
        <v>-0.26009666455184699</v>
      </c>
      <c r="Q21" s="2">
        <f>P21+預測IC!Q21</f>
        <v>-0.22308761974432595</v>
      </c>
      <c r="R21" s="2">
        <f>Q21+預測IC!R21</f>
        <v>-0.30191379749992919</v>
      </c>
      <c r="S21" s="2">
        <f>R21+預測IC!S21</f>
        <v>-0.20622129131398609</v>
      </c>
      <c r="T21" s="2">
        <f>S21+預測IC!T21</f>
        <v>-0.24788537855009712</v>
      </c>
      <c r="U21" s="2">
        <f>T21+預測IC!U21</f>
        <v>-0.30429086471222982</v>
      </c>
      <c r="V21" s="2">
        <f>U21+預測IC!V21</f>
        <v>-0.34836140944653948</v>
      </c>
      <c r="W21" s="2">
        <f>V21+預測IC!W21</f>
        <v>-0.40784100677886703</v>
      </c>
      <c r="X21" s="2">
        <f>W21+預測IC!X21</f>
        <v>-0.21407292557741034</v>
      </c>
      <c r="Y21" s="2">
        <f>X21+預測IC!Y21</f>
        <v>-0.36360682105058034</v>
      </c>
      <c r="Z21" s="2">
        <f>Y21+預測IC!Z21</f>
        <v>-0.36873084899857533</v>
      </c>
      <c r="AA21" s="2">
        <f>Z21+預測IC!AA21</f>
        <v>-0.42089115622567685</v>
      </c>
      <c r="AB21" s="2">
        <f>AA21+預測IC!AB21</f>
        <v>-0.44693354421116499</v>
      </c>
      <c r="AC21" s="2">
        <f>AB21+預測IC!AC21</f>
        <v>-0.40241326785376319</v>
      </c>
      <c r="AD21" s="2">
        <f>AC21+預測IC!AD21</f>
        <v>-0.35822232411344113</v>
      </c>
      <c r="AE21" s="2">
        <f>AD21+預測IC!AE21</f>
        <v>-0.34481240295774607</v>
      </c>
      <c r="AF21" s="2">
        <f>AE21+預測IC!AF21</f>
        <v>-0.30403080393135823</v>
      </c>
      <c r="AG21" s="2">
        <f>AF21+預測IC!AG21</f>
        <v>-0.40293380107866777</v>
      </c>
      <c r="AH21" s="2">
        <f>AG21+預測IC!AH21</f>
        <v>-0.39408494872835903</v>
      </c>
      <c r="AI21" s="2">
        <f>AH21+預測IC!AI21</f>
        <v>-0.39893480787018115</v>
      </c>
      <c r="AJ21" s="2">
        <f>AI21+預測IC!AJ21</f>
        <v>-0.38479977360240503</v>
      </c>
      <c r="AK21" s="2">
        <f>AJ21+預測IC!AK21</f>
        <v>-0.3844935970412291</v>
      </c>
      <c r="AL21" s="2">
        <f>AK21+預測IC!AL21</f>
        <v>-0.36218595899399147</v>
      </c>
      <c r="AM21" s="2">
        <f>AL21+預測IC!AM21</f>
        <v>-0.26483905403467706</v>
      </c>
      <c r="AN21" s="2">
        <f>AM21+預測IC!AN21</f>
        <v>-0.43556292753028192</v>
      </c>
      <c r="AO21" s="2">
        <f>AN21+預測IC!AO21</f>
        <v>-0.51108708245978263</v>
      </c>
      <c r="AP21" s="2">
        <f>AO21+預測IC!AP21</f>
        <v>-0.6347059197784547</v>
      </c>
      <c r="AQ21" s="2">
        <f>AP21+預測IC!AQ21</f>
        <v>-0.63882069604291847</v>
      </c>
      <c r="AR21" s="2">
        <f>AQ21+預測IC!AR21</f>
        <v>-0.59429330259513502</v>
      </c>
      <c r="AS21" s="2">
        <f>AR21+預測IC!AS21</f>
        <v>-0.58813611334927385</v>
      </c>
      <c r="AT21" s="2">
        <f>AS21+預測IC!AT21</f>
        <v>-0.59224511572828176</v>
      </c>
      <c r="AU21" s="2">
        <f>AT21+預測IC!AU21</f>
        <v>-0.53095492614710815</v>
      </c>
      <c r="AV21" s="2">
        <f>AU21+預測IC!AV21</f>
        <v>-0.50231755772781239</v>
      </c>
      <c r="AW21" s="2">
        <f>AV21+預測IC!AW21</f>
        <v>-0.2915622405742162</v>
      </c>
      <c r="AX21" s="2">
        <f>AW21+預測IC!AX21</f>
        <v>-6.6495290232524012E-2</v>
      </c>
      <c r="AY21" s="2">
        <f>AX21+預測IC!AY21</f>
        <v>-8.3999559320877396E-2</v>
      </c>
      <c r="AZ21" s="2">
        <f>AY21+預測IC!AZ21</f>
        <v>-2.8036635204209959E-2</v>
      </c>
      <c r="BA21" s="2">
        <f>AZ21+預測IC!BA21</f>
        <v>-3.9624034563965557E-2</v>
      </c>
      <c r="BB21" s="2">
        <f>BA21+預測IC!BB21</f>
        <v>-0.23653476542384205</v>
      </c>
      <c r="BC21" s="2">
        <f>BB21+預測IC!BC21</f>
        <v>-0.1669581993976571</v>
      </c>
      <c r="BD21" s="2">
        <f>BC21+預測IC!BD21</f>
        <v>-0.12666105751248302</v>
      </c>
      <c r="BE21" s="2">
        <f>BD21+預測IC!BE21</f>
        <v>-0.18125871292421408</v>
      </c>
      <c r="BF21" s="2">
        <f>BE21+預測IC!BF21</f>
        <v>-0.23283861847845128</v>
      </c>
      <c r="BG21" s="2">
        <f>BF21+預測IC!BG21</f>
        <v>-0.16236668786673836</v>
      </c>
      <c r="BH21" s="2">
        <f>BG21+預測IC!BH21</f>
        <v>-0.15920828938150788</v>
      </c>
      <c r="BI21" s="2">
        <f>BH21+預測IC!BI21</f>
        <v>-0.17539854881960987</v>
      </c>
      <c r="BJ21" s="2">
        <f>BI21+預測IC!BJ21</f>
        <v>-0.16472501212660717</v>
      </c>
      <c r="BK21" s="2">
        <f>BJ21+預測IC!BK21</f>
        <v>-1.3357820596583775E-2</v>
      </c>
      <c r="BL21" s="2">
        <f>BK21+預測IC!BL21</f>
        <v>1.1044433227436434E-2</v>
      </c>
      <c r="BM21" s="2">
        <f>BL21+預測IC!BM21</f>
        <v>7.9041409916898592E-3</v>
      </c>
      <c r="BN21" s="2">
        <f>BM21+預測IC!BN21</f>
        <v>2.3581222081618579E-2</v>
      </c>
      <c r="BO21" s="2">
        <f>BN21+預測IC!BO21</f>
        <v>6.7933111660514398E-3</v>
      </c>
      <c r="BP21" s="2">
        <f>BO21+預測IC!BP21</f>
        <v>7.7990224205759351E-2</v>
      </c>
      <c r="BQ21" s="2">
        <f>BP21+預測IC!BQ21</f>
        <v>4.0994898924262134E-2</v>
      </c>
      <c r="BR21" s="2">
        <f>BQ21+預測IC!BR21</f>
        <v>-8.2217161941529865E-2</v>
      </c>
      <c r="BS21" s="2">
        <f>BR21+預測IC!BS21</f>
        <v>-8.3465336250525893E-2</v>
      </c>
      <c r="BT21" s="2">
        <f>BS21+預測IC!BT21</f>
        <v>0.1212566318754756</v>
      </c>
      <c r="BU21" s="2">
        <f>BT21+預測IC!BU21</f>
        <v>4.8346815786337358E-2</v>
      </c>
      <c r="BV21" s="2">
        <f>BU21+預測IC!BV21</f>
        <v>-2.683596478645163E-2</v>
      </c>
      <c r="BW21" s="2">
        <f>BV21+預測IC!BW21</f>
        <v>0.29843891910160009</v>
      </c>
      <c r="BX21" s="2">
        <f>BW21+預測IC!BX21</f>
        <v>0.44022698638680269</v>
      </c>
      <c r="BY21" s="2">
        <f>BX21+預測IC!BY21</f>
        <v>0.28097236565156025</v>
      </c>
      <c r="BZ21" s="2">
        <f>BY21+預測IC!BZ21</f>
        <v>0.10543161824116845</v>
      </c>
      <c r="CA21" s="2">
        <f>BZ21+預測IC!CA21</f>
        <v>0.10032166318837402</v>
      </c>
      <c r="CB21" s="2">
        <f>CA21+預測IC!CB21</f>
        <v>-4.9583200068240851E-3</v>
      </c>
      <c r="CC21" s="2">
        <f>CB21+預測IC!CC21</f>
        <v>-0.13906110529891719</v>
      </c>
      <c r="CD21" s="2">
        <f>CC21+預測IC!CD21</f>
        <v>-5.3854638954069764E-2</v>
      </c>
      <c r="CE21" s="2">
        <f>CD21+預測IC!CE21</f>
        <v>1.3260757913648766E-2</v>
      </c>
      <c r="CF21" s="2">
        <f>CE21+預測IC!CF21</f>
        <v>6.5645044174798758E-2</v>
      </c>
      <c r="CG21" s="2">
        <f>CF21+預測IC!CG21</f>
        <v>0.30374433532941197</v>
      </c>
      <c r="CH21" s="2">
        <f>CG21+預測IC!CH21</f>
        <v>0.3228260214718382</v>
      </c>
      <c r="CI21" s="2">
        <f>CH21+預測IC!CI21</f>
        <v>0.30270477439653515</v>
      </c>
      <c r="CJ21" s="2">
        <f>CI21+預測IC!CJ21</f>
        <v>0.32145147807005214</v>
      </c>
      <c r="CK21" s="2">
        <f>CJ21+預測IC!CK21</f>
        <v>0.37289072637969273</v>
      </c>
      <c r="CL21" s="2">
        <f>CK21+預測IC!CL21</f>
        <v>0.43708392509167704</v>
      </c>
      <c r="CM21" s="2">
        <f>CL21+預測IC!CM21</f>
        <v>0.44514645659699154</v>
      </c>
      <c r="CN21" s="2">
        <f>CM21+預測IC!CN21</f>
        <v>0.47564272019808346</v>
      </c>
      <c r="CO21" s="2">
        <f>CN21+預測IC!CO21</f>
        <v>7.4700924872989571E-2</v>
      </c>
      <c r="CP21" s="2">
        <f>CO21+預測IC!CP21</f>
        <v>1.2885896800440111E-2</v>
      </c>
      <c r="CQ21" s="2">
        <f>CP21+預測IC!CQ21</f>
        <v>0.15264772955574721</v>
      </c>
      <c r="CR21" s="2">
        <f>CQ21+預測IC!CR21</f>
        <v>0.11132784078981517</v>
      </c>
      <c r="CS21" s="2">
        <f>CR21+預測IC!CS21</f>
        <v>7.4915584510939909E-2</v>
      </c>
      <c r="CT21" s="2">
        <f>CS21+預測IC!CT21</f>
        <v>0.1600656103063649</v>
      </c>
      <c r="CU21" s="2">
        <f>CT21+預測IC!CU21</f>
        <v>0.14434607847714986</v>
      </c>
      <c r="CV21" s="2">
        <f>CU21+預測IC!CV21</f>
        <v>0.20260388447291139</v>
      </c>
      <c r="CW21" s="2">
        <f>CV21+預測IC!CW21</f>
        <v>0.19696161438411625</v>
      </c>
      <c r="CX21" s="2">
        <f>CW21+預測IC!CX21</f>
        <v>0.20368785391963593</v>
      </c>
      <c r="CY21" s="2">
        <f>CX21+預測IC!CY21</f>
        <v>0.1699166804873391</v>
      </c>
      <c r="CZ21" s="2">
        <f>CY21+預測IC!CZ21</f>
        <v>0.36081843516387629</v>
      </c>
      <c r="DA21" s="2">
        <f>CZ21+預測IC!DA21</f>
        <v>0.56562817945735533</v>
      </c>
      <c r="DB21" s="2">
        <f>DA21+預測IC!DB21</f>
        <v>0.44718337635926975</v>
      </c>
      <c r="DC21" s="2">
        <f>DB21+預測IC!DC21</f>
        <v>0.4767050206193798</v>
      </c>
      <c r="DD21" s="2">
        <f>DC21+預測IC!DD21</f>
        <v>0.98564867730644601</v>
      </c>
      <c r="DE21" s="2">
        <f>DD21+預測IC!DE21</f>
        <v>0.96543749845629301</v>
      </c>
      <c r="DF21" s="2">
        <f>DE21+預測IC!DF21</f>
        <v>1.3136439358827521</v>
      </c>
      <c r="DG21" s="2">
        <f>DF21+預測IC!DG21</f>
        <v>1.2422319433444198</v>
      </c>
      <c r="DH21" s="2">
        <f>DG21+預測IC!DH21</f>
        <v>1.273325517561549</v>
      </c>
      <c r="DI21" s="2">
        <f>DH21+預測IC!DI21</f>
        <v>1.1954342421514716</v>
      </c>
      <c r="DJ21" s="2">
        <f>DI21+預測IC!DJ21</f>
        <v>1.2674744472943045</v>
      </c>
      <c r="DK21" s="2">
        <f>DJ21+預測IC!DK21</f>
        <v>1.1679256128653051</v>
      </c>
      <c r="DL21" s="2">
        <f>DK21+預測IC!DL21</f>
        <v>1.2027207863292169</v>
      </c>
      <c r="DM21" s="2">
        <f>DL21+預測IC!DM21</f>
        <v>1.0864682862775457</v>
      </c>
      <c r="DN21" s="2">
        <f>DM21+預測IC!DN21</f>
        <v>1.1107009278628359</v>
      </c>
      <c r="DO21" s="2">
        <f>DN21+預測IC!DO21</f>
        <v>1.0628640135729313</v>
      </c>
      <c r="DP21" s="2">
        <f>DO21+預測IC!DP21</f>
        <v>1.1029387288435024</v>
      </c>
      <c r="DQ21" s="2">
        <f>DP21+預測IC!DQ21</f>
        <v>1.0867933115373838</v>
      </c>
      <c r="DR21" s="2">
        <f>DQ21+預測IC!DR21</f>
        <v>0.96070171992836306</v>
      </c>
      <c r="DS21" s="2">
        <f>DR21+預測IC!DS21</f>
        <v>0.98591330164416446</v>
      </c>
      <c r="DT21" s="2">
        <f>DS21+預測IC!DT21</f>
        <v>0.94731757610264333</v>
      </c>
      <c r="DU21" s="2">
        <f>DT21+預測IC!DU21</f>
        <v>0.81740530175045456</v>
      </c>
      <c r="DV21" s="2">
        <f>DU21+預測IC!DV21</f>
        <v>0.85509398925756885</v>
      </c>
      <c r="DW21" s="2">
        <f>DV21+預測IC!DW21</f>
        <v>0.87684164692674926</v>
      </c>
      <c r="DX21" s="2">
        <f>DW21+預測IC!DX21</f>
        <v>0.9732626500909598</v>
      </c>
      <c r="DY21" s="2">
        <f>DX21+預測IC!DY21</f>
        <v>1.0381066952309377</v>
      </c>
      <c r="DZ21" s="2">
        <f>DY21+預測IC!DZ21</f>
        <v>0.88230434853343853</v>
      </c>
      <c r="EA21" s="2">
        <f>DZ21+預測IC!EA21</f>
        <v>0.80368558058641648</v>
      </c>
      <c r="EB21" s="2">
        <f>EA21+預測IC!EB21</f>
        <v>0.84840074789407538</v>
      </c>
      <c r="EC21" s="2">
        <f>EB21+預測IC!EC21</f>
        <v>0.90105157043356598</v>
      </c>
      <c r="ED21" s="2">
        <f>EC21+預測IC!ED21</f>
        <v>0.75266306718164211</v>
      </c>
      <c r="EE21" s="2">
        <f>ED21+預測IC!EE21</f>
        <v>0.7067488011516887</v>
      </c>
      <c r="EF21" s="2">
        <f>EE21+預測IC!EF21</f>
        <v>0.72175215654477398</v>
      </c>
      <c r="EG21" s="2">
        <f>EF21+預測IC!EG21</f>
        <v>0.71117765264794397</v>
      </c>
      <c r="EH21" s="2">
        <f>EG21+預測IC!EH21</f>
        <v>0.75225664295013162</v>
      </c>
      <c r="EI21" s="2">
        <f>EH21+預測IC!EI21</f>
        <v>0.75066805516578605</v>
      </c>
      <c r="EJ21" s="2">
        <f>EI21+預測IC!EJ21</f>
        <v>0.82405320664018722</v>
      </c>
      <c r="EK21" s="2">
        <f>EJ21+預測IC!EK21</f>
        <v>0.86262851414904229</v>
      </c>
      <c r="EL21" s="2">
        <f>EK21+預測IC!EL21</f>
        <v>0.79733495883902716</v>
      </c>
    </row>
    <row r="22" spans="1:142" x14ac:dyDescent="0.3">
      <c r="A22" s="18">
        <v>400</v>
      </c>
      <c r="B22" s="18">
        <f t="shared" si="10"/>
        <v>3</v>
      </c>
      <c r="C22" s="2">
        <v>1.083089340061978E-2</v>
      </c>
      <c r="D22" s="2">
        <f>C22+預測IC!D22</f>
        <v>-4.2813952449215431E-2</v>
      </c>
      <c r="E22" s="2">
        <f>D22+預測IC!E22</f>
        <v>4.28458890560066E-2</v>
      </c>
      <c r="F22" s="2">
        <f>E22+預測IC!F22</f>
        <v>9.7070310320639314E-2</v>
      </c>
      <c r="G22" s="2">
        <f>F22+預測IC!G22</f>
        <v>4.4497215382306221E-2</v>
      </c>
      <c r="H22" s="2">
        <f>G22+預測IC!H22</f>
        <v>0.16567076004986681</v>
      </c>
      <c r="I22" s="2">
        <f>H22+預測IC!I22</f>
        <v>0.42010366296031681</v>
      </c>
      <c r="J22" s="2">
        <f>I22+預測IC!J22</f>
        <v>0.29983177920940313</v>
      </c>
      <c r="K22" s="2">
        <f>J22+預測IC!K22</f>
        <v>0.34363417554589687</v>
      </c>
      <c r="L22" s="2">
        <f>K22+預測IC!L22</f>
        <v>0.26497521563755944</v>
      </c>
      <c r="M22" s="2">
        <f>L22+預測IC!M22</f>
        <v>0.18172413038938939</v>
      </c>
      <c r="N22" s="2">
        <f>M22+預測IC!N22</f>
        <v>-0.38547717205911713</v>
      </c>
      <c r="O22" s="2">
        <f>N22+預測IC!O22</f>
        <v>-0.26466739967605313</v>
      </c>
      <c r="P22" s="2">
        <f>O22+預測IC!P22</f>
        <v>-0.35529827410268744</v>
      </c>
      <c r="Q22" s="2">
        <f>P22+預測IC!Q22</f>
        <v>-0.35205773827870368</v>
      </c>
      <c r="R22" s="2">
        <f>Q22+預測IC!R22</f>
        <v>-0.4585808414969601</v>
      </c>
      <c r="S22" s="2">
        <f>R22+預測IC!S22</f>
        <v>-0.29903928644380451</v>
      </c>
      <c r="T22" s="2">
        <f>S22+預測IC!T22</f>
        <v>-0.36772757245866039</v>
      </c>
      <c r="U22" s="2">
        <f>T22+預測IC!U22</f>
        <v>-0.40027275513302718</v>
      </c>
      <c r="V22" s="2">
        <f>U22+預測IC!V22</f>
        <v>-0.44441424003387808</v>
      </c>
      <c r="W22" s="2">
        <f>V22+預測IC!W22</f>
        <v>-0.56585496271041169</v>
      </c>
      <c r="X22" s="2">
        <f>W22+預測IC!X22</f>
        <v>-0.35039807599810768</v>
      </c>
      <c r="Y22" s="2">
        <f>X22+預測IC!Y22</f>
        <v>-0.37633029562771098</v>
      </c>
      <c r="Z22" s="2">
        <f>Y22+預測IC!Z22</f>
        <v>-0.36287151168012621</v>
      </c>
      <c r="AA22" s="2">
        <f>Z22+預測IC!AA22</f>
        <v>-0.43881698758175935</v>
      </c>
      <c r="AB22" s="2">
        <f>AA22+預測IC!AB22</f>
        <v>-0.42834547858165528</v>
      </c>
      <c r="AC22" s="2">
        <f>AB22+預測IC!AC22</f>
        <v>-0.3502331693080214</v>
      </c>
      <c r="AD22" s="2">
        <f>AC22+預測IC!AD22</f>
        <v>-0.25753741046447254</v>
      </c>
      <c r="AE22" s="2">
        <f>AD22+預測IC!AE22</f>
        <v>-0.26593979449887284</v>
      </c>
      <c r="AF22" s="2">
        <f>AE22+預測IC!AF22</f>
        <v>-0.21541247145399356</v>
      </c>
      <c r="AG22" s="2">
        <f>AF22+預測IC!AG22</f>
        <v>-0.38202012035401955</v>
      </c>
      <c r="AH22" s="2">
        <f>AG22+預測IC!AH22</f>
        <v>-0.41450267538575364</v>
      </c>
      <c r="AI22" s="2">
        <f>AH22+預測IC!AI22</f>
        <v>-0.43745027940071834</v>
      </c>
      <c r="AJ22" s="2">
        <f>AI22+預測IC!AJ22</f>
        <v>-0.42027023718258544</v>
      </c>
      <c r="AK22" s="2">
        <f>AJ22+預測IC!AK22</f>
        <v>-0.39518114399213555</v>
      </c>
      <c r="AL22" s="2">
        <f>AK22+預測IC!AL22</f>
        <v>-0.40939930235602712</v>
      </c>
      <c r="AM22" s="2">
        <f>AL22+預測IC!AM22</f>
        <v>-0.29742767436376882</v>
      </c>
      <c r="AN22" s="2">
        <f>AM22+預測IC!AN22</f>
        <v>-0.48772202376536433</v>
      </c>
      <c r="AO22" s="2">
        <f>AN22+預測IC!AO22</f>
        <v>-0.47454032637385729</v>
      </c>
      <c r="AP22" s="2">
        <f>AO22+預測IC!AP22</f>
        <v>-0.62408692559783474</v>
      </c>
      <c r="AQ22" s="2">
        <f>AP22+預測IC!AQ22</f>
        <v>-0.67113507241677628</v>
      </c>
      <c r="AR22" s="2">
        <f>AQ22+預測IC!AR22</f>
        <v>-0.66740236474831449</v>
      </c>
      <c r="AS22" s="2">
        <f>AR22+預測IC!AS22</f>
        <v>-0.6068084361179924</v>
      </c>
      <c r="AT22" s="2">
        <f>AS22+預測IC!AT22</f>
        <v>-0.60453111895500522</v>
      </c>
      <c r="AU22" s="2">
        <f>AT22+預測IC!AU22</f>
        <v>-0.52901148003116805</v>
      </c>
      <c r="AV22" s="2">
        <f>AU22+預測IC!AV22</f>
        <v>-0.51132400080993345</v>
      </c>
      <c r="AW22" s="2">
        <f>AV22+預測IC!AW22</f>
        <v>-0.28183076756398329</v>
      </c>
      <c r="AX22" s="2">
        <f>AW22+預測IC!AX22</f>
        <v>-3.9971624155469482E-2</v>
      </c>
      <c r="AY22" s="2">
        <f>AX22+預測IC!AY22</f>
        <v>-8.0986806815864981E-2</v>
      </c>
      <c r="AZ22" s="2">
        <f>AY22+預測IC!AZ22</f>
        <v>-2.4371083108805154E-2</v>
      </c>
      <c r="BA22" s="2">
        <f>AZ22+預測IC!BA22</f>
        <v>1.3633497457295918E-2</v>
      </c>
      <c r="BB22" s="2">
        <f>BA22+預測IC!BB22</f>
        <v>-0.25949160532824761</v>
      </c>
      <c r="BC22" s="2">
        <f>BB22+預測IC!BC22</f>
        <v>-0.29616324894426338</v>
      </c>
      <c r="BD22" s="2">
        <f>BC22+預測IC!BD22</f>
        <v>-0.25750101556405025</v>
      </c>
      <c r="BE22" s="2">
        <f>BD22+預測IC!BE22</f>
        <v>-0.26386968166127589</v>
      </c>
      <c r="BF22" s="2">
        <f>BE22+預測IC!BF22</f>
        <v>-0.27191447427837262</v>
      </c>
      <c r="BG22" s="2">
        <f>BF22+預測IC!BG22</f>
        <v>-0.27950038817024914</v>
      </c>
      <c r="BH22" s="2">
        <f>BG22+預測IC!BH22</f>
        <v>-0.24416282187860938</v>
      </c>
      <c r="BI22" s="2">
        <f>BH22+預測IC!BI22</f>
        <v>-0.23256424137018858</v>
      </c>
      <c r="BJ22" s="2">
        <f>BI22+預測IC!BJ22</f>
        <v>-0.21498053056223618</v>
      </c>
      <c r="BK22" s="2">
        <f>BJ22+預測IC!BK22</f>
        <v>-0.14109276889669359</v>
      </c>
      <c r="BL22" s="2">
        <f>BK22+預測IC!BL22</f>
        <v>-9.7990082379864119E-2</v>
      </c>
      <c r="BM22" s="2">
        <f>BL22+預測IC!BM22</f>
        <v>-8.3345267926407396E-2</v>
      </c>
      <c r="BN22" s="2">
        <f>BM22+預測IC!BN22</f>
        <v>-6.9539026072950719E-2</v>
      </c>
      <c r="BO22" s="2">
        <f>BN22+預測IC!BO22</f>
        <v>-6.497962204911123E-2</v>
      </c>
      <c r="BP22" s="2">
        <f>BO22+預測IC!BP22</f>
        <v>-3.9272588733209768E-2</v>
      </c>
      <c r="BQ22" s="2">
        <f>BP22+預測IC!BQ22</f>
        <v>-0.12611070106325639</v>
      </c>
      <c r="BR22" s="2">
        <f>BQ22+預測IC!BR22</f>
        <v>-0.25280390810802655</v>
      </c>
      <c r="BS22" s="2">
        <f>BR22+預測IC!BS22</f>
        <v>-0.25429567468596648</v>
      </c>
      <c r="BT22" s="2">
        <f>BS22+預測IC!BT22</f>
        <v>-0.12912131087061518</v>
      </c>
      <c r="BU22" s="2">
        <f>BT22+預測IC!BU22</f>
        <v>-0.13976757096923312</v>
      </c>
      <c r="BV22" s="2">
        <f>BU22+預測IC!BV22</f>
        <v>-0.22869949052999111</v>
      </c>
      <c r="BW22" s="2">
        <f>BV22+預測IC!BW22</f>
        <v>0.1850889030437276</v>
      </c>
      <c r="BX22" s="2">
        <f>BW22+預測IC!BX22</f>
        <v>0.3584333410314906</v>
      </c>
      <c r="BY22" s="2">
        <f>BX22+預測IC!BY22</f>
        <v>0.2034568067745964</v>
      </c>
      <c r="BZ22" s="2">
        <f>BY22+預測IC!BZ22</f>
        <v>-8.4008752419063887E-2</v>
      </c>
      <c r="CA22" s="2">
        <f>BZ22+預測IC!CA22</f>
        <v>-0.12402072346474172</v>
      </c>
      <c r="CB22" s="2">
        <f>CA22+預測IC!CB22</f>
        <v>-0.23885748476420193</v>
      </c>
      <c r="CC22" s="2">
        <f>CB22+預測IC!CC22</f>
        <v>-0.43396943071053851</v>
      </c>
      <c r="CD22" s="2">
        <f>CC22+預測IC!CD22</f>
        <v>-0.31620901143035141</v>
      </c>
      <c r="CE22" s="2">
        <f>CD22+預測IC!CE22</f>
        <v>-0.27790643165252887</v>
      </c>
      <c r="CF22" s="2">
        <f>CE22+預測IC!CF22</f>
        <v>-0.22129693736505587</v>
      </c>
      <c r="CG22" s="2">
        <f>CF22+預測IC!CG22</f>
        <v>9.2663058590720632E-2</v>
      </c>
      <c r="CH22" s="2">
        <f>CG22+預測IC!CH22</f>
        <v>-4.467298901036218E-2</v>
      </c>
      <c r="CI22" s="2">
        <f>CH22+預測IC!CI22</f>
        <v>-2.7303584524826108E-2</v>
      </c>
      <c r="CJ22" s="2">
        <f>CI22+預測IC!CJ22</f>
        <v>1.2344199095538719E-2</v>
      </c>
      <c r="CK22" s="2">
        <f>CJ22+預測IC!CK22</f>
        <v>4.5842401023976714E-2</v>
      </c>
      <c r="CL22" s="2">
        <f>CK22+預測IC!CL22</f>
        <v>6.1035725863923793E-2</v>
      </c>
      <c r="CM22" s="2">
        <f>CL22+預測IC!CM22</f>
        <v>0.13096451559701544</v>
      </c>
      <c r="CN22" s="2">
        <f>CM22+預測IC!CN22</f>
        <v>0.17726264286122317</v>
      </c>
      <c r="CO22" s="2">
        <f>CN22+預測IC!CO22</f>
        <v>-0.33614488443712742</v>
      </c>
      <c r="CP22" s="2">
        <f>CO22+預測IC!CP22</f>
        <v>-0.38206992498971326</v>
      </c>
      <c r="CQ22" s="2">
        <f>CP22+預測IC!CQ22</f>
        <v>-0.25947827708731686</v>
      </c>
      <c r="CR22" s="2">
        <f>CQ22+預測IC!CR22</f>
        <v>-0.30421787741055517</v>
      </c>
      <c r="CS22" s="2">
        <f>CR22+預測IC!CS22</f>
        <v>-0.36107579699114001</v>
      </c>
      <c r="CT22" s="2">
        <f>CS22+預測IC!CT22</f>
        <v>-0.3767171540302201</v>
      </c>
      <c r="CU22" s="2">
        <f>CT22+預測IC!CU22</f>
        <v>-0.373758702154251</v>
      </c>
      <c r="CV22" s="2">
        <f>CU22+預測IC!CV22</f>
        <v>-0.28853845563114633</v>
      </c>
      <c r="CW22" s="2">
        <f>CV22+預測IC!CW22</f>
        <v>-0.31822128283246048</v>
      </c>
      <c r="CX22" s="2">
        <f>CW22+預測IC!CX22</f>
        <v>-0.29944322071972412</v>
      </c>
      <c r="CY22" s="2">
        <f>CX22+預測IC!CY22</f>
        <v>-0.26395390806851604</v>
      </c>
      <c r="CZ22" s="2">
        <f>CY22+預測IC!CZ22</f>
        <v>7.4793387505844466E-2</v>
      </c>
      <c r="DA22" s="2">
        <f>CZ22+預測IC!DA22</f>
        <v>0.34327527251970458</v>
      </c>
      <c r="DB22" s="2">
        <f>DA22+預測IC!DB22</f>
        <v>0.24289889177801957</v>
      </c>
      <c r="DC22" s="2">
        <f>DB22+預測IC!DC22</f>
        <v>0.2623970517240844</v>
      </c>
      <c r="DD22" s="2">
        <f>DC22+預測IC!DD22</f>
        <v>0.93016190143453303</v>
      </c>
      <c r="DE22" s="2">
        <f>DD22+預測IC!DE22</f>
        <v>0.98247523817618032</v>
      </c>
      <c r="DF22" s="2">
        <f>DE22+預測IC!DF22</f>
        <v>1.3494155430856782</v>
      </c>
      <c r="DG22" s="2">
        <f>DF22+預測IC!DG22</f>
        <v>1.2302193932234888</v>
      </c>
      <c r="DH22" s="2">
        <f>DG22+預測IC!DH22</f>
        <v>1.3142248433294776</v>
      </c>
      <c r="DI22" s="2">
        <f>DH22+預測IC!DI22</f>
        <v>1.2392538567961473</v>
      </c>
      <c r="DJ22" s="2">
        <f>DI22+預測IC!DJ22</f>
        <v>1.2852767739554736</v>
      </c>
      <c r="DK22" s="2">
        <f>DJ22+預測IC!DK22</f>
        <v>1.1461579731005735</v>
      </c>
      <c r="DL22" s="2">
        <f>DK22+預測IC!DL22</f>
        <v>1.1562711288874554</v>
      </c>
      <c r="DM22" s="2">
        <f>DL22+預測IC!DM22</f>
        <v>1.1004025238514703</v>
      </c>
      <c r="DN22" s="2">
        <f>DM22+預測IC!DN22</f>
        <v>1.0850201671859008</v>
      </c>
      <c r="DO22" s="2">
        <f>DN22+預測IC!DO22</f>
        <v>1.039031328776584</v>
      </c>
      <c r="DP22" s="2">
        <f>DO22+預測IC!DP22</f>
        <v>1.0001694073510996</v>
      </c>
      <c r="DQ22" s="2">
        <f>DP22+預測IC!DQ22</f>
        <v>0.92423324646481664</v>
      </c>
      <c r="DR22" s="2">
        <f>DQ22+預測IC!DR22</f>
        <v>0.80837956222599938</v>
      </c>
      <c r="DS22" s="2">
        <f>DR22+預測IC!DS22</f>
        <v>0.89054495804891576</v>
      </c>
      <c r="DT22" s="2">
        <f>DS22+預測IC!DT22</f>
        <v>0.85259701368329543</v>
      </c>
      <c r="DU22" s="2">
        <f>DT22+預測IC!DU22</f>
        <v>0.72988647754514513</v>
      </c>
      <c r="DV22" s="2">
        <f>DU22+預測IC!DV22</f>
        <v>0.75392592961002169</v>
      </c>
      <c r="DW22" s="2">
        <f>DV22+預測IC!DW22</f>
        <v>0.82483272472812641</v>
      </c>
      <c r="DX22" s="2">
        <f>DW22+預測IC!DX22</f>
        <v>0.82154086924081982</v>
      </c>
      <c r="DY22" s="2">
        <f>DX22+預測IC!DY22</f>
        <v>0.75989621736088886</v>
      </c>
      <c r="DZ22" s="2">
        <f>DY22+預測IC!DZ22</f>
        <v>0.547618574760669</v>
      </c>
      <c r="EA22" s="2">
        <f>DZ22+預測IC!EA22</f>
        <v>0.62940659613886174</v>
      </c>
      <c r="EB22" s="2">
        <f>EA22+預測IC!EB22</f>
        <v>0.66091949926166726</v>
      </c>
      <c r="EC22" s="2">
        <f>EB22+預測IC!EC22</f>
        <v>0.74962322951530369</v>
      </c>
      <c r="ED22" s="2">
        <f>EC22+預測IC!ED22</f>
        <v>0.62692707943577541</v>
      </c>
      <c r="EE22" s="2">
        <f>ED22+預測IC!EE22</f>
        <v>0.56693198451207982</v>
      </c>
      <c r="EF22" s="2">
        <f>EE22+預測IC!EF22</f>
        <v>0.60467715452248605</v>
      </c>
      <c r="EG22" s="2">
        <f>EF22+預測IC!EG22</f>
        <v>0.67587700632102576</v>
      </c>
      <c r="EH22" s="2">
        <f>EG22+預測IC!EH22</f>
        <v>0.73554733967893027</v>
      </c>
      <c r="EI22" s="2">
        <f>EH22+預測IC!EI22</f>
        <v>0.74637439730931787</v>
      </c>
      <c r="EJ22" s="2">
        <f>EI22+預測IC!EJ22</f>
        <v>0.81365084198996995</v>
      </c>
      <c r="EK22" s="2">
        <f>EJ22+預測IC!EK22</f>
        <v>0.86835510282105566</v>
      </c>
      <c r="EL22" s="2">
        <f>EK22+預測IC!EL22</f>
        <v>0.73666954421084729</v>
      </c>
    </row>
    <row r="23" spans="1:142" x14ac:dyDescent="0.3">
      <c r="A23" s="18">
        <v>512</v>
      </c>
      <c r="B23" s="18">
        <f t="shared" si="10"/>
        <v>2</v>
      </c>
      <c r="C23" s="2">
        <v>3.1325684581971477E-2</v>
      </c>
      <c r="D23" s="2">
        <f>C23+預測IC!D23</f>
        <v>-1.997157818167155E-2</v>
      </c>
      <c r="E23" s="2">
        <f>D23+預測IC!E23</f>
        <v>0.13608304104940455</v>
      </c>
      <c r="F23" s="2">
        <f>E23+預測IC!F23</f>
        <v>0.15449622111415032</v>
      </c>
      <c r="G23" s="2">
        <f>F23+預測IC!G23</f>
        <v>2.9472512908905429E-2</v>
      </c>
      <c r="H23" s="2">
        <f>G23+預測IC!H23</f>
        <v>7.3171748763540198E-2</v>
      </c>
      <c r="I23" s="2">
        <f>H23+預測IC!I23</f>
        <v>0.32887462082911734</v>
      </c>
      <c r="J23" s="2">
        <f>I23+預測IC!J23</f>
        <v>0.14058226914363103</v>
      </c>
      <c r="K23" s="2">
        <f>J23+預測IC!K23</f>
        <v>0.20148261996470479</v>
      </c>
      <c r="L23" s="2">
        <f>K23+預測IC!L23</f>
        <v>6.9344962040984892E-2</v>
      </c>
      <c r="M23" s="2">
        <f>L23+預測IC!M23</f>
        <v>-0.13293451109734941</v>
      </c>
      <c r="N23" s="2">
        <f>M23+預測IC!N23</f>
        <v>-0.98716113569289665</v>
      </c>
      <c r="O23" s="2">
        <f>N23+預測IC!O23</f>
        <v>-0.92917487143444355</v>
      </c>
      <c r="P23" s="2">
        <f>O23+預測IC!P23</f>
        <v>-1.0211908091565205</v>
      </c>
      <c r="Q23" s="2">
        <f>P23+預測IC!Q23</f>
        <v>-1.0324620721748758</v>
      </c>
      <c r="R23" s="2">
        <f>Q23+預測IC!R23</f>
        <v>-1.0952840501446375</v>
      </c>
      <c r="S23" s="2">
        <f>R23+預測IC!S23</f>
        <v>-0.87279095467400714</v>
      </c>
      <c r="T23" s="2">
        <f>S23+預測IC!T23</f>
        <v>-0.86539549183740228</v>
      </c>
      <c r="U23" s="2">
        <f>T23+預測IC!U23</f>
        <v>-0.81786176408521571</v>
      </c>
      <c r="V23" s="2">
        <f>U23+預測IC!V23</f>
        <v>-0.89753076068756765</v>
      </c>
      <c r="W23" s="2">
        <f>V23+預測IC!W23</f>
        <v>-1.0538454401843549</v>
      </c>
      <c r="X23" s="2">
        <f>W23+預測IC!X23</f>
        <v>-0.93247641981496554</v>
      </c>
      <c r="Y23" s="2">
        <f>X23+預測IC!Y23</f>
        <v>-0.97709732864008769</v>
      </c>
      <c r="Z23" s="2">
        <f>Y23+預測IC!Z23</f>
        <v>-0.95389888645344256</v>
      </c>
      <c r="AA23" s="2">
        <f>Z23+預測IC!AA23</f>
        <v>-1.0598306051782702</v>
      </c>
      <c r="AB23" s="2">
        <f>AA23+預測IC!AB23</f>
        <v>-1.1958193294178727</v>
      </c>
      <c r="AC23" s="2">
        <f>AB23+預測IC!AC23</f>
        <v>-1.1009064623141496</v>
      </c>
      <c r="AD23" s="2">
        <f>AC23+預測IC!AD23</f>
        <v>-0.98860442528873471</v>
      </c>
      <c r="AE23" s="2">
        <f>AD23+預測IC!AE23</f>
        <v>-1.0270180364697312</v>
      </c>
      <c r="AF23" s="2">
        <f>AE23+預測IC!AF23</f>
        <v>-0.93662526909069632</v>
      </c>
      <c r="AG23" s="2">
        <f>AF23+預測IC!AG23</f>
        <v>-1.1775134732902084</v>
      </c>
      <c r="AH23" s="2">
        <f>AG23+預測IC!AH23</f>
        <v>-1.2854149223410001</v>
      </c>
      <c r="AI23" s="2">
        <f>AH23+預測IC!AI23</f>
        <v>-1.3106745140257248</v>
      </c>
      <c r="AJ23" s="2">
        <f>AI23+預測IC!AJ23</f>
        <v>-1.3155797380292173</v>
      </c>
      <c r="AK23" s="2">
        <f>AJ23+預測IC!AK23</f>
        <v>-1.3312808192380938</v>
      </c>
      <c r="AL23" s="2">
        <f>AK23+預測IC!AL23</f>
        <v>-1.3044752449386765</v>
      </c>
      <c r="AM23" s="2">
        <f>AL23+預測IC!AM23</f>
        <v>-1.2466956880972118</v>
      </c>
      <c r="AN23" s="2">
        <f>AM23+預測IC!AN23</f>
        <v>-1.4550618722859761</v>
      </c>
      <c r="AO23" s="2">
        <f>AN23+預測IC!AO23</f>
        <v>-1.4229272740237426</v>
      </c>
      <c r="AP23" s="2">
        <f>AO23+預測IC!AP23</f>
        <v>-1.5573750549698817</v>
      </c>
      <c r="AQ23" s="2">
        <f>AP23+預測IC!AQ23</f>
        <v>-1.6537548683263552</v>
      </c>
      <c r="AR23" s="2">
        <f>AQ23+預測IC!AR23</f>
        <v>-1.6145578814667887</v>
      </c>
      <c r="AS23" s="2">
        <f>AR23+預測IC!AS23</f>
        <v>-1.5343531962169543</v>
      </c>
      <c r="AT23" s="2">
        <f>AS23+預測IC!AT23</f>
        <v>-1.506863124467986</v>
      </c>
      <c r="AU23" s="2">
        <f>AT23+預測IC!AU23</f>
        <v>-1.3951477795807428</v>
      </c>
      <c r="AV23" s="2">
        <f>AU23+預測IC!AV23</f>
        <v>-1.4002882290400258</v>
      </c>
      <c r="AW23" s="2">
        <f>AV23+預測IC!AW23</f>
        <v>-1.0738599563349114</v>
      </c>
      <c r="AX23" s="2">
        <f>AW23+預測IC!AX23</f>
        <v>-1.1617334212576209</v>
      </c>
      <c r="AY23" s="2">
        <f>AX23+預測IC!AY23</f>
        <v>-1.2198730213644109</v>
      </c>
      <c r="AZ23" s="2">
        <f>AY23+預測IC!AZ23</f>
        <v>-1.1418014448432039</v>
      </c>
      <c r="BA23" s="2">
        <f>AZ23+預測IC!BA23</f>
        <v>-1.081174853417324</v>
      </c>
      <c r="BB23" s="2">
        <f>BA23+預測IC!BB23</f>
        <v>-1.3004044130140451</v>
      </c>
      <c r="BC23" s="2">
        <f>BB23+預測IC!BC23</f>
        <v>-1.3952559587399185</v>
      </c>
      <c r="BD23" s="2">
        <f>BC23+預測IC!BD23</f>
        <v>-1.3741227863014529</v>
      </c>
      <c r="BE23" s="2">
        <f>BD23+預測IC!BE23</f>
        <v>-1.4376960429387113</v>
      </c>
      <c r="BF23" s="2">
        <f>BE23+預測IC!BF23</f>
        <v>-1.4050380104720688</v>
      </c>
      <c r="BG23" s="2">
        <f>BF23+預測IC!BG23</f>
        <v>-1.5323240261388016</v>
      </c>
      <c r="BH23" s="2">
        <f>BG23+預測IC!BH23</f>
        <v>-1.6445207896964038</v>
      </c>
      <c r="BI23" s="2">
        <f>BH23+預測IC!BI23</f>
        <v>-1.6157195538926339</v>
      </c>
      <c r="BJ23" s="2">
        <f>BI23+預測IC!BJ23</f>
        <v>-1.6542904898900859</v>
      </c>
      <c r="BK23" s="2">
        <f>BJ23+預測IC!BK23</f>
        <v>-1.5948346025116438</v>
      </c>
      <c r="BL23" s="2">
        <f>BK23+預測IC!BL23</f>
        <v>-1.5648915915482733</v>
      </c>
      <c r="BM23" s="2">
        <f>BL23+預測IC!BM23</f>
        <v>-1.5482861804174006</v>
      </c>
      <c r="BN23" s="2">
        <f>BM23+預測IC!BN23</f>
        <v>-1.5292803967980226</v>
      </c>
      <c r="BO23" s="2">
        <f>BN23+預測IC!BO23</f>
        <v>-1.4313173349449084</v>
      </c>
      <c r="BP23" s="2">
        <f>BO23+預測IC!BP23</f>
        <v>-1.3570928063736571</v>
      </c>
      <c r="BQ23" s="2">
        <f>BP23+預測IC!BQ23</f>
        <v>-1.4362631625040734</v>
      </c>
      <c r="BR23" s="2">
        <f>BQ23+預測IC!BR23</f>
        <v>-1.5288515063537411</v>
      </c>
      <c r="BS23" s="2">
        <f>BR23+預測IC!BS23</f>
        <v>-1.5140440653592571</v>
      </c>
      <c r="BT23" s="2">
        <f>BS23+預測IC!BT23</f>
        <v>-1.327555368463055</v>
      </c>
      <c r="BU23" s="2">
        <f>BT23+預測IC!BU23</f>
        <v>-1.265226548816285</v>
      </c>
      <c r="BV23" s="2">
        <f>BU23+預測IC!BV23</f>
        <v>-1.3526212505917818</v>
      </c>
      <c r="BW23" s="2">
        <f>BV23+預測IC!BW23</f>
        <v>-0.7565145129512304</v>
      </c>
      <c r="BX23" s="2">
        <f>BW23+預測IC!BX23</f>
        <v>-0.57094270063832409</v>
      </c>
      <c r="BY23" s="2">
        <f>BX23+預測IC!BY23</f>
        <v>-0.62547046788771044</v>
      </c>
      <c r="BZ23" s="2">
        <f>BY23+預測IC!BZ23</f>
        <v>-1.1497696577801746</v>
      </c>
      <c r="CA23" s="2">
        <f>BZ23+預測IC!CA23</f>
        <v>-1.2237654899894699</v>
      </c>
      <c r="CB23" s="2">
        <f>CA23+預測IC!CB23</f>
        <v>-1.3832539809360778</v>
      </c>
      <c r="CC23" s="2">
        <f>CB23+預測IC!CC23</f>
        <v>-1.6790214352964092</v>
      </c>
      <c r="CD23" s="2">
        <f>CC23+預測IC!CD23</f>
        <v>-1.5329478639795047</v>
      </c>
      <c r="CE23" s="2">
        <f>CD23+預測IC!CE23</f>
        <v>-1.5147239241408605</v>
      </c>
      <c r="CF23" s="2">
        <f>CE23+預測IC!CF23</f>
        <v>-1.4908718406354551</v>
      </c>
      <c r="CG23" s="2">
        <f>CF23+預測IC!CG23</f>
        <v>-1.3927291311656684</v>
      </c>
      <c r="CH23" s="2">
        <f>CG23+預測IC!CH23</f>
        <v>-1.5586149749241367</v>
      </c>
      <c r="CI23" s="2">
        <f>CH23+預測IC!CI23</f>
        <v>-1.4910995166594432</v>
      </c>
      <c r="CJ23" s="2">
        <f>CI23+預測IC!CJ23</f>
        <v>-1.4534327527281954</v>
      </c>
      <c r="CK23" s="2">
        <f>CJ23+預測IC!CK23</f>
        <v>-1.2583755676490933</v>
      </c>
      <c r="CL23" s="2">
        <f>CK23+預測IC!CL23</f>
        <v>-1.2534678477963597</v>
      </c>
      <c r="CM23" s="2">
        <f>CL23+預測IC!CM23</f>
        <v>-1.1657753765553884</v>
      </c>
      <c r="CN23" s="2">
        <f>CM23+預測IC!CN23</f>
        <v>-1.1336682309628474</v>
      </c>
      <c r="CO23" s="2">
        <f>CN23+預測IC!CO23</f>
        <v>-1.7556503241562789</v>
      </c>
      <c r="CP23" s="2">
        <f>CO23+預測IC!CP23</f>
        <v>-1.8389835186443699</v>
      </c>
      <c r="CQ23" s="2">
        <f>CP23+預測IC!CQ23</f>
        <v>-1.7751570543515123</v>
      </c>
      <c r="CR23" s="2">
        <f>CQ23+預測IC!CR23</f>
        <v>-1.7767859520963116</v>
      </c>
      <c r="CS23" s="2">
        <f>CR23+預測IC!CS23</f>
        <v>-1.8279659749150277</v>
      </c>
      <c r="CT23" s="2">
        <f>CS23+預測IC!CT23</f>
        <v>-1.890020296756743</v>
      </c>
      <c r="CU23" s="2">
        <f>CT23+預測IC!CU23</f>
        <v>-1.9211276671435007</v>
      </c>
      <c r="CV23" s="2">
        <f>CU23+預測IC!CV23</f>
        <v>-1.7966077245268226</v>
      </c>
      <c r="CW23" s="2">
        <f>CV23+預測IC!CW23</f>
        <v>-1.8322151975690129</v>
      </c>
      <c r="CX23" s="2">
        <f>CW23+預測IC!CX23</f>
        <v>-1.9192303638376289</v>
      </c>
      <c r="CY23" s="2">
        <f>CX23+預測IC!CY23</f>
        <v>-1.7806182643788526</v>
      </c>
      <c r="CZ23" s="2">
        <f>CY23+預測IC!CZ23</f>
        <v>-1.3409802485538909</v>
      </c>
      <c r="DA23" s="2">
        <f>CZ23+預測IC!DA23</f>
        <v>-0.99849280030555554</v>
      </c>
      <c r="DB23" s="2">
        <f>DA23+預測IC!DB23</f>
        <v>-1.1306023692110629</v>
      </c>
      <c r="DC23" s="2">
        <f>DB23+預測IC!DC23</f>
        <v>-1.1142483634677027</v>
      </c>
      <c r="DD23" s="2">
        <f>DC23+預測IC!DD23</f>
        <v>-1.2581263713926225</v>
      </c>
      <c r="DE23" s="2">
        <f>DD23+預測IC!DE23</f>
        <v>-1.2912408985036998</v>
      </c>
      <c r="DF23" s="2">
        <f>DE23+預測IC!DF23</f>
        <v>-0.9857188300188291</v>
      </c>
      <c r="DG23" s="2">
        <f>DF23+預測IC!DG23</f>
        <v>-1.0874813103188719</v>
      </c>
      <c r="DH23" s="2">
        <f>DG23+預測IC!DH23</f>
        <v>-0.97715040938885089</v>
      </c>
      <c r="DI23" s="2">
        <f>DH23+預測IC!DI23</f>
        <v>-1.0333556616853188</v>
      </c>
      <c r="DJ23" s="2">
        <f>DI23+預測IC!DJ23</f>
        <v>-1.0088666054169113</v>
      </c>
      <c r="DK23" s="2">
        <f>DJ23+預測IC!DK23</f>
        <v>-1.1211327873090517</v>
      </c>
      <c r="DL23" s="2">
        <f>DK23+預測IC!DL23</f>
        <v>-1.14702645448406</v>
      </c>
      <c r="DM23" s="2">
        <f>DL23+預測IC!DM23</f>
        <v>-1.1572975282974503</v>
      </c>
      <c r="DN23" s="2">
        <f>DM23+預測IC!DN23</f>
        <v>-1.202853268534273</v>
      </c>
      <c r="DO23" s="2">
        <f>DN23+預測IC!DO23</f>
        <v>-1.3086902600128929</v>
      </c>
      <c r="DP23" s="2">
        <f>DO23+預測IC!DP23</f>
        <v>-1.295365364590338</v>
      </c>
      <c r="DQ23" s="2">
        <f>DP23+預測IC!DQ23</f>
        <v>-1.3659128674187369</v>
      </c>
      <c r="DR23" s="2">
        <f>DQ23+預測IC!DR23</f>
        <v>-1.3332678815037278</v>
      </c>
      <c r="DS23" s="2">
        <f>DR23+預測IC!DS23</f>
        <v>-1.28344975334112</v>
      </c>
      <c r="DT23" s="2">
        <f>DS23+預測IC!DT23</f>
        <v>-1.4027630429238871</v>
      </c>
      <c r="DU23" s="2">
        <f>DT23+預測IC!DU23</f>
        <v>-1.4692587133301918</v>
      </c>
      <c r="DV23" s="2">
        <f>DU23+預測IC!DV23</f>
        <v>-1.5671281800559165</v>
      </c>
      <c r="DW23" s="2">
        <f>DV23+預測IC!DW23</f>
        <v>-1.4715101122630472</v>
      </c>
      <c r="DX23" s="2">
        <f>DW23+預測IC!DX23</f>
        <v>-1.3820994070685715</v>
      </c>
      <c r="DY23" s="2">
        <f>DX23+預測IC!DY23</f>
        <v>-1.3395672558115952</v>
      </c>
      <c r="DZ23" s="2">
        <f>DY23+預測IC!DZ23</f>
        <v>-1.6011275215455774</v>
      </c>
      <c r="EA23" s="2">
        <f>DZ23+預測IC!EA23</f>
        <v>-1.532536841359895</v>
      </c>
      <c r="EB23" s="2">
        <f>EA23+預測IC!EB23</f>
        <v>-1.4920437901511909</v>
      </c>
      <c r="EC23" s="2">
        <f>EB23+預測IC!EC23</f>
        <v>-1.4052171653673602</v>
      </c>
      <c r="ED23" s="2">
        <f>EC23+預測IC!ED23</f>
        <v>-1.5465785911508643</v>
      </c>
      <c r="EE23" s="2">
        <f>ED23+預測IC!EE23</f>
        <v>-1.5926240439091539</v>
      </c>
      <c r="EF23" s="2">
        <f>EE23+預測IC!EF23</f>
        <v>-1.5284362331302412</v>
      </c>
      <c r="EG23" s="2">
        <f>EF23+預測IC!EG23</f>
        <v>-1.4198825370490324</v>
      </c>
      <c r="EH23" s="2">
        <f>EG23+預測IC!EH23</f>
        <v>-1.363563595878527</v>
      </c>
      <c r="EI23" s="2">
        <f>EH23+預測IC!EI23</f>
        <v>-1.3676975141333285</v>
      </c>
      <c r="EJ23" s="2">
        <f>EI23+預測IC!EJ23</f>
        <v>-1.2360162156550194</v>
      </c>
      <c r="EK23" s="2">
        <f>EJ23+預測IC!EK23</f>
        <v>-1.2065076645544914</v>
      </c>
      <c r="EL23" s="2">
        <f>EK23+預測IC!EL23</f>
        <v>-1.2835443720555071</v>
      </c>
    </row>
    <row r="24" spans="1:142" x14ac:dyDescent="0.3">
      <c r="A24" s="18">
        <v>1051</v>
      </c>
      <c r="B24" s="18">
        <f t="shared" si="10"/>
        <v>1</v>
      </c>
      <c r="C24" s="2">
        <v>2.776696731044102E-2</v>
      </c>
      <c r="D24" s="2">
        <f>C24+預測IC!D24</f>
        <v>-0.19610060513720848</v>
      </c>
      <c r="E24" s="2">
        <f>D24+預測IC!E24</f>
        <v>-0.17393107874877595</v>
      </c>
      <c r="F24" s="2">
        <f>E24+預測IC!F24</f>
        <v>-0.13809502781813601</v>
      </c>
      <c r="G24" s="2">
        <f>F24+預測IC!G24</f>
        <v>-0.29514302539437332</v>
      </c>
      <c r="H24" s="2">
        <f>G24+預測IC!H24</f>
        <v>-0.25928722873941668</v>
      </c>
      <c r="I24" s="2">
        <f>H24+預測IC!I24</f>
        <v>-1.8900983968500873E-2</v>
      </c>
      <c r="J24" s="2">
        <f>I24+預測IC!J24</f>
        <v>-0.11026424846058792</v>
      </c>
      <c r="K24" s="2">
        <f>J24+預測IC!K24</f>
        <v>2.4278009015854266E-2</v>
      </c>
      <c r="L24" s="2">
        <f>K24+預測IC!L24</f>
        <v>-0.14253404591542584</v>
      </c>
      <c r="M24" s="2">
        <f>L24+預測IC!M24</f>
        <v>-0.32930731915435296</v>
      </c>
      <c r="N24" s="2">
        <f>M24+預測IC!N24</f>
        <v>-2.0158716029721271</v>
      </c>
      <c r="O24" s="2">
        <f>N24+預測IC!O24</f>
        <v>-2.0254793185623021</v>
      </c>
      <c r="P24" s="2">
        <f>O24+預測IC!P24</f>
        <v>-2.0725058880282496</v>
      </c>
      <c r="Q24" s="2">
        <f>P24+預測IC!Q24</f>
        <v>-2.0078528127923803</v>
      </c>
      <c r="R24" s="2">
        <f>Q24+預測IC!R24</f>
        <v>-2.1554203978187587</v>
      </c>
      <c r="S24" s="2">
        <f>R24+預測IC!S24</f>
        <v>-2.1833922256640315</v>
      </c>
      <c r="T24" s="2">
        <f>S24+預測IC!T24</f>
        <v>-2.0951151859310886</v>
      </c>
      <c r="U24" s="2">
        <f>T24+預測IC!U24</f>
        <v>-1.8092588959496878</v>
      </c>
      <c r="V24" s="2">
        <f>U24+預測IC!V24</f>
        <v>-1.680681615162424</v>
      </c>
      <c r="W24" s="2">
        <f>V24+預測IC!W24</f>
        <v>-2.2518730185077471</v>
      </c>
      <c r="X24" s="2">
        <f>W24+預測IC!X24</f>
        <v>-2.0669545486577947</v>
      </c>
      <c r="Y24" s="2">
        <f>X24+預測IC!Y24</f>
        <v>-2.0471119605232313</v>
      </c>
      <c r="Z24" s="2">
        <f>Y24+預測IC!Z24</f>
        <v>-2.0715065092728073</v>
      </c>
      <c r="AA24" s="2">
        <f>Z24+預測IC!AA24</f>
        <v>-2.1658660920866017</v>
      </c>
      <c r="AB24" s="2">
        <f>AA24+預測IC!AB24</f>
        <v>-2.3501175147553801</v>
      </c>
      <c r="AC24" s="2">
        <f>AB24+預測IC!AC24</f>
        <v>-2.3418300487166195</v>
      </c>
      <c r="AD24" s="2">
        <f>AC24+預測IC!AD24</f>
        <v>-2.4421615683854583</v>
      </c>
      <c r="AE24" s="2">
        <f>AD24+預測IC!AE24</f>
        <v>-2.5373998401088245</v>
      </c>
      <c r="AF24" s="2">
        <f>AE24+預測IC!AF24</f>
        <v>-2.3716960604622823</v>
      </c>
      <c r="AG24" s="2">
        <f>AF24+預測IC!AG24</f>
        <v>-2.6125909563021144</v>
      </c>
      <c r="AH24" s="2">
        <f>AG24+預測IC!AH24</f>
        <v>-2.7430770562147515</v>
      </c>
      <c r="AI24" s="2">
        <f>AH24+預測IC!AI24</f>
        <v>-2.7541990523981208</v>
      </c>
      <c r="AJ24" s="2">
        <f>AI24+預測IC!AJ24</f>
        <v>-2.6687638506072568</v>
      </c>
      <c r="AK24" s="2">
        <f>AJ24+預測IC!AK24</f>
        <v>-2.7249188183180375</v>
      </c>
      <c r="AL24" s="2">
        <f>AK24+預測IC!AL24</f>
        <v>-2.621740392596156</v>
      </c>
      <c r="AM24" s="2">
        <f>AL24+預測IC!AM24</f>
        <v>-2.6264937536657516</v>
      </c>
      <c r="AN24" s="2">
        <f>AM24+預測IC!AN24</f>
        <v>-2.9244915468601969</v>
      </c>
      <c r="AO24" s="2">
        <f>AN24+預測IC!AO24</f>
        <v>-3.0071832627053103</v>
      </c>
      <c r="AP24" s="2">
        <f>AO24+預測IC!AP24</f>
        <v>-3.0850374345106388</v>
      </c>
      <c r="AQ24" s="2">
        <f>AP24+預測IC!AQ24</f>
        <v>-3.1146358293353611</v>
      </c>
      <c r="AR24" s="2">
        <f>AQ24+預測IC!AR24</f>
        <v>-3.0254845098000205</v>
      </c>
      <c r="AS24" s="2">
        <f>AR24+預測IC!AS24</f>
        <v>-2.9290809535818996</v>
      </c>
      <c r="AT24" s="2">
        <f>AS24+預測IC!AT24</f>
        <v>-2.8588913914204341</v>
      </c>
      <c r="AU24" s="2">
        <f>AT24+預測IC!AU24</f>
        <v>-2.4424618259944668</v>
      </c>
      <c r="AV24" s="2">
        <f>AU24+預測IC!AV24</f>
        <v>-2.4761933022432641</v>
      </c>
      <c r="AW24" s="2">
        <f>AV24+預測IC!AW24</f>
        <v>-1.9844419214786237</v>
      </c>
      <c r="AX24" s="2">
        <f>AW24+預測IC!AX24</f>
        <v>-2.0782731832153019</v>
      </c>
      <c r="AY24" s="2">
        <f>AX24+預測IC!AY24</f>
        <v>-2.345708927901772</v>
      </c>
      <c r="AZ24" s="2">
        <f>AY24+預測IC!AZ24</f>
        <v>-2.2270852028305956</v>
      </c>
      <c r="BA24" s="2">
        <f>AZ24+預測IC!BA24</f>
        <v>-2.2061543986181875</v>
      </c>
      <c r="BB24" s="2">
        <f>BA24+預測IC!BB24</f>
        <v>-2.3252285900381908</v>
      </c>
      <c r="BC24" s="2">
        <f>BB24+預測IC!BC24</f>
        <v>-2.2295536269787006</v>
      </c>
      <c r="BD24" s="2">
        <f>BC24+預測IC!BD24</f>
        <v>-2.210922592891837</v>
      </c>
      <c r="BE24" s="2">
        <f>BD24+預測IC!BE24</f>
        <v>-2.3369379554141858</v>
      </c>
      <c r="BF24" s="2">
        <f>BE24+預測IC!BF24</f>
        <v>-2.4379745413292726</v>
      </c>
      <c r="BG24" s="2">
        <f>BF24+預測IC!BG24</f>
        <v>-2.4824662647384903</v>
      </c>
      <c r="BH24" s="2">
        <f>BG24+預測IC!BH24</f>
        <v>-2.5263003097287369</v>
      </c>
      <c r="BI24" s="2">
        <f>BH24+預測IC!BI24</f>
        <v>-2.4141500377588017</v>
      </c>
      <c r="BJ24" s="2">
        <f>BI24+預測IC!BJ24</f>
        <v>-2.4783096992593352</v>
      </c>
      <c r="BK24" s="2">
        <f>BJ24+預測IC!BK24</f>
        <v>-2.4202689239320536</v>
      </c>
      <c r="BL24" s="2">
        <f>BK24+預測IC!BL24</f>
        <v>-2.3114586086692928</v>
      </c>
      <c r="BM24" s="2">
        <f>BL24+預測IC!BM24</f>
        <v>-2.1677769597653915</v>
      </c>
      <c r="BN24" s="2">
        <f>BM24+預測IC!BN24</f>
        <v>-2.1098274184085608</v>
      </c>
      <c r="BO24" s="2">
        <f>BN24+預測IC!BO24</f>
        <v>-1.9619821470596162</v>
      </c>
      <c r="BP24" s="2">
        <f>BO24+預測IC!BP24</f>
        <v>-1.9634602543259583</v>
      </c>
      <c r="BQ24" s="2">
        <f>BP24+預測IC!BQ24</f>
        <v>-2.1407382870306377</v>
      </c>
      <c r="BR24" s="2">
        <f>BQ24+預測IC!BR24</f>
        <v>-2.0467154648453563</v>
      </c>
      <c r="BS24" s="2">
        <f>BR24+預測IC!BS24</f>
        <v>-2.0938937683479764</v>
      </c>
      <c r="BT24" s="2">
        <f>BS24+預測IC!BT24</f>
        <v>-1.9021197520803228</v>
      </c>
      <c r="BU24" s="2">
        <f>BT24+預測IC!BU24</f>
        <v>-1.9108682443951683</v>
      </c>
      <c r="BV24" s="2">
        <f>BU24+預測IC!BV24</f>
        <v>-1.8770708648118777</v>
      </c>
      <c r="BW24" s="2">
        <f>BV24+預測IC!BW24</f>
        <v>-0.76805879477451566</v>
      </c>
      <c r="BX24" s="2">
        <f>BW24+預測IC!BX24</f>
        <v>-0.5232537466791265</v>
      </c>
      <c r="BY24" s="2">
        <f>BX24+預測IC!BY24</f>
        <v>-0.54396469558358407</v>
      </c>
      <c r="BZ24" s="2">
        <f>BY24+預測IC!BZ24</f>
        <v>-1.2434817120641461</v>
      </c>
      <c r="CA24" s="2">
        <f>BZ24+預測IC!CA24</f>
        <v>-1.2746830429040261</v>
      </c>
      <c r="CB24" s="2">
        <f>CA24+預測IC!CB24</f>
        <v>-1.438601439722224</v>
      </c>
      <c r="CC24" s="2">
        <f>CB24+預測IC!CC24</f>
        <v>-1.8339558043411779</v>
      </c>
      <c r="CD24" s="2">
        <f>CC24+預測IC!CD24</f>
        <v>-1.7943390241604507</v>
      </c>
      <c r="CE24" s="2">
        <f>CD24+預測IC!CE24</f>
        <v>-1.7883474617902837</v>
      </c>
      <c r="CF24" s="2">
        <f>CE24+預測IC!CF24</f>
        <v>-1.7890248608802704</v>
      </c>
      <c r="CG24" s="2">
        <f>CF24+預測IC!CG24</f>
        <v>-1.8987878487492122</v>
      </c>
      <c r="CH24" s="2">
        <f>CG24+預測IC!CH24</f>
        <v>-1.999690695867439</v>
      </c>
      <c r="CI24" s="2">
        <f>CH24+預測IC!CI24</f>
        <v>-2.0326025524446698</v>
      </c>
      <c r="CJ24" s="2">
        <f>CI24+預測IC!CJ24</f>
        <v>-1.9711744897544425</v>
      </c>
      <c r="CK24" s="2">
        <f>CJ24+預測IC!CK24</f>
        <v>-1.6440900454260607</v>
      </c>
      <c r="CL24" s="2">
        <f>CK24+預測IC!CL24</f>
        <v>-1.6444886755931469</v>
      </c>
      <c r="CM24" s="2">
        <f>CL24+預測IC!CM24</f>
        <v>-1.7313348299935574</v>
      </c>
      <c r="CN24" s="2">
        <f>CM24+預測IC!CN24</f>
        <v>-1.6227724486982362</v>
      </c>
      <c r="CO24" s="2">
        <f>CN24+預測IC!CO24</f>
        <v>-2.3385014574235967</v>
      </c>
      <c r="CP24" s="2">
        <f>CO24+預測IC!CP24</f>
        <v>-2.4099403146388085</v>
      </c>
      <c r="CQ24" s="2">
        <f>CP24+預測IC!CQ24</f>
        <v>-2.3671866640735337</v>
      </c>
      <c r="CR24" s="2">
        <f>CQ24+預測IC!CR24</f>
        <v>-2.3893129438675151</v>
      </c>
      <c r="CS24" s="2">
        <f>CR24+預測IC!CS24</f>
        <v>-2.3502652507669244</v>
      </c>
      <c r="CT24" s="2">
        <f>CS24+預測IC!CT24</f>
        <v>-2.3696706604613769</v>
      </c>
      <c r="CU24" s="2">
        <f>CT24+預測IC!CU24</f>
        <v>-2.5161263040668347</v>
      </c>
      <c r="CV24" s="2">
        <f>CU24+預測IC!CV24</f>
        <v>-2.4130199828263841</v>
      </c>
      <c r="CW24" s="2">
        <f>CV24+預測IC!CW24</f>
        <v>-2.4038739397388338</v>
      </c>
      <c r="CX24" s="2">
        <f>CW24+預測IC!CX24</f>
        <v>-2.4795550852781494</v>
      </c>
      <c r="CY24" s="2">
        <f>CX24+預測IC!CY24</f>
        <v>-2.2408470174228281</v>
      </c>
      <c r="CZ24" s="2">
        <f>CY24+預測IC!CZ24</f>
        <v>-1.8411982946361034</v>
      </c>
      <c r="DA24" s="2">
        <f>CZ24+預測IC!DA24</f>
        <v>-1.8102480485950023</v>
      </c>
      <c r="DB24" s="2">
        <f>DA24+預測IC!DB24</f>
        <v>-1.8721336346056008</v>
      </c>
      <c r="DC24" s="2">
        <f>DB24+預測IC!DC24</f>
        <v>-1.6945432285341016</v>
      </c>
      <c r="DD24" s="2">
        <f>DC24+預測IC!DD24</f>
        <v>-1.6969100935443677</v>
      </c>
      <c r="DE24" s="2">
        <f>DD24+預測IC!DE24</f>
        <v>-1.7449069216944038</v>
      </c>
      <c r="DF24" s="2">
        <f>DE24+預測IC!DF24</f>
        <v>-1.4643912042783023</v>
      </c>
      <c r="DG24" s="2">
        <f>DF24+預測IC!DG24</f>
        <v>-1.5963801092610863</v>
      </c>
      <c r="DH24" s="2">
        <f>DG24+預測IC!DH24</f>
        <v>-1.4797719317778271</v>
      </c>
      <c r="DI24" s="2">
        <f>DH24+預測IC!DI24</f>
        <v>-1.6145348885751272</v>
      </c>
      <c r="DJ24" s="2">
        <f>DI24+預測IC!DJ24</f>
        <v>-1.581937688375566</v>
      </c>
      <c r="DK24" s="2">
        <f>DJ24+預測IC!DK24</f>
        <v>-1.4174791009060956</v>
      </c>
      <c r="DL24" s="2">
        <f>DK24+預測IC!DL24</f>
        <v>-1.442283326867865</v>
      </c>
      <c r="DM24" s="2">
        <f>DL24+預測IC!DM24</f>
        <v>-1.5236928705014359</v>
      </c>
      <c r="DN24" s="2">
        <f>DM24+預測IC!DN24</f>
        <v>-1.541775998708516</v>
      </c>
      <c r="DO24" s="2">
        <f>DN24+預測IC!DO24</f>
        <v>-1.6990638190969942</v>
      </c>
      <c r="DP24" s="2">
        <f>DO24+預測IC!DP24</f>
        <v>-1.8130496595863199</v>
      </c>
      <c r="DQ24" s="2">
        <f>DP24+預測IC!DQ24</f>
        <v>-1.9034640646086451</v>
      </c>
      <c r="DR24" s="2">
        <f>DQ24+預測IC!DR24</f>
        <v>-1.8511729837717672</v>
      </c>
      <c r="DS24" s="2">
        <f>DR24+預測IC!DS24</f>
        <v>-1.9123605625466542</v>
      </c>
      <c r="DT24" s="2">
        <f>DS24+預測IC!DT24</f>
        <v>-2.0113429209394265</v>
      </c>
      <c r="DU24" s="2">
        <f>DT24+預測IC!DU24</f>
        <v>-2.135086612830376</v>
      </c>
      <c r="DV24" s="2">
        <f>DU24+預測IC!DV24</f>
        <v>-2.0370397780277503</v>
      </c>
      <c r="DW24" s="2">
        <f>DV24+預測IC!DW24</f>
        <v>-1.993909234479887</v>
      </c>
      <c r="DX24" s="2">
        <f>DW24+預測IC!DX24</f>
        <v>-2.1382567661926513</v>
      </c>
      <c r="DY24" s="2">
        <f>DX24+預測IC!DY24</f>
        <v>-2.1169152060312753</v>
      </c>
      <c r="DZ24" s="2">
        <f>DY24+預測IC!DZ24</f>
        <v>-2.2449844265988572</v>
      </c>
      <c r="EA24" s="2">
        <f>DZ24+預測IC!EA24</f>
        <v>-2.1678206287936481</v>
      </c>
      <c r="EB24" s="2">
        <f>EA24+預測IC!EB24</f>
        <v>-2.2173721684157606</v>
      </c>
      <c r="EC24" s="2">
        <f>EB24+預測IC!EC24</f>
        <v>-2.181302214558559</v>
      </c>
      <c r="ED24" s="2">
        <f>EC24+預測IC!ED24</f>
        <v>-2.2526433560246848</v>
      </c>
      <c r="EE24" s="2">
        <f>ED24+預測IC!EE24</f>
        <v>-2.3642100380419206</v>
      </c>
      <c r="EF24" s="2">
        <f>EE24+預測IC!EF24</f>
        <v>-2.161553705556694</v>
      </c>
      <c r="EG24" s="2">
        <f>EF24+預測IC!EG24</f>
        <v>-2.00243672052693</v>
      </c>
      <c r="EH24" s="2">
        <f>EG24+預測IC!EH24</f>
        <v>-1.980818413760226</v>
      </c>
      <c r="EI24" s="2">
        <f>EH24+預測IC!EI24</f>
        <v>-2.0141160963678111</v>
      </c>
      <c r="EJ24" s="2">
        <f>EI24+預測IC!EJ24</f>
        <v>-1.8759663330407541</v>
      </c>
      <c r="EK24" s="2">
        <f>EJ24+預測IC!EK24</f>
        <v>-1.8564742525852245</v>
      </c>
      <c r="EL24" s="2">
        <f>EK24+預測IC!EL24</f>
        <v>-2.03407816499745</v>
      </c>
    </row>
    <row r="25" spans="1:142" x14ac:dyDescent="0.3">
      <c r="A25" s="18" t="s">
        <v>154</v>
      </c>
      <c r="B25" s="18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E21" sqref="E21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3" width="16.19921875" style="12" customWidth="1"/>
    <col min="4" max="39" width="16.5" style="12" bestFit="1" customWidth="1"/>
    <col min="40" max="40" width="22" style="12" bestFit="1" customWidth="1"/>
    <col min="41" max="142" width="16.5" style="12" bestFit="1" customWidth="1"/>
    <col min="143" max="146" width="16.19921875" style="12" customWidth="1"/>
    <col min="147" max="16384" width="16.19921875" style="12"/>
  </cols>
  <sheetData>
    <row r="1" spans="1:142" x14ac:dyDescent="0.55000000000000004">
      <c r="A1" s="11" t="s">
        <v>280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3.4946434776605882E-2</v>
      </c>
      <c r="D3" s="13">
        <v>4.9621152558988732E-2</v>
      </c>
      <c r="E3" s="13">
        <v>3.5213354523381528E-2</v>
      </c>
      <c r="F3" s="13">
        <v>3.528654428743689E-2</v>
      </c>
      <c r="G3" s="13">
        <v>2.6716500308212938E-2</v>
      </c>
      <c r="H3" s="13">
        <v>2.0847254063407979E-2</v>
      </c>
      <c r="I3" s="13">
        <v>2.868829063081851E-2</v>
      </c>
      <c r="J3" s="13">
        <v>3.022480975870807E-2</v>
      </c>
      <c r="K3" s="13">
        <v>3.5784184494395042E-2</v>
      </c>
      <c r="L3" s="13">
        <v>2.8873175879389701E-2</v>
      </c>
      <c r="M3" s="13">
        <v>3.676593961113666E-2</v>
      </c>
      <c r="N3" s="13">
        <v>2.597668483152624E-2</v>
      </c>
      <c r="O3" s="13">
        <v>3.9591469971915073E-2</v>
      </c>
      <c r="P3" s="13">
        <v>4.2728306638823203E-2</v>
      </c>
      <c r="Q3" s="13">
        <v>3.2209373169499553E-2</v>
      </c>
      <c r="R3" s="13">
        <v>2.990118621840895E-2</v>
      </c>
      <c r="S3" s="13">
        <v>3.2084464027181132E-2</v>
      </c>
      <c r="T3" s="13">
        <v>3.0145955261974309E-2</v>
      </c>
      <c r="U3" s="13">
        <v>3.1800877141706048E-2</v>
      </c>
      <c r="V3" s="13">
        <v>2.8571187496222571E-2</v>
      </c>
      <c r="W3" s="13">
        <v>2.4833809428850561E-2</v>
      </c>
      <c r="X3" s="13">
        <v>4.422438631770411E-2</v>
      </c>
      <c r="Y3" s="13">
        <v>3.058229410448237E-2</v>
      </c>
      <c r="Z3" s="13">
        <v>3.3248159660972533E-2</v>
      </c>
      <c r="AA3" s="13">
        <v>2.947324788874087E-2</v>
      </c>
      <c r="AB3" s="13">
        <v>3.5559252182618593E-2</v>
      </c>
      <c r="AC3" s="13">
        <v>3.3742425377551163E-2</v>
      </c>
      <c r="AD3" s="13">
        <v>2.9434183518290032E-2</v>
      </c>
      <c r="AE3" s="13">
        <v>3.8312600203871998E-2</v>
      </c>
      <c r="AF3" s="13">
        <v>3.5319598277822807E-2</v>
      </c>
      <c r="AG3" s="13">
        <v>2.7095981515837211E-2</v>
      </c>
      <c r="AH3" s="13">
        <v>2.4588044029715119E-2</v>
      </c>
      <c r="AI3" s="13">
        <v>3.7997597137220201E-2</v>
      </c>
      <c r="AJ3" s="13">
        <v>3.3911508457047913E-2</v>
      </c>
      <c r="AK3" s="13">
        <v>4.3063908641014483E-2</v>
      </c>
      <c r="AL3" s="13">
        <v>3.5336105491399851E-2</v>
      </c>
      <c r="AM3" s="13">
        <v>4.095453549730925E-2</v>
      </c>
      <c r="AN3" s="13">
        <v>3.9629739230367438E-2</v>
      </c>
      <c r="AO3" s="13">
        <v>5.8136437096450902E-2</v>
      </c>
      <c r="AP3" s="13">
        <v>5.3476675537943032E-2</v>
      </c>
      <c r="AQ3" s="13">
        <v>5.6036139285653083E-2</v>
      </c>
      <c r="AR3" s="13">
        <v>4.6184000737761667E-2</v>
      </c>
      <c r="AS3" s="13">
        <v>3.5389481532984962E-2</v>
      </c>
      <c r="AT3" s="13">
        <v>3.3505358739742738E-2</v>
      </c>
      <c r="AU3" s="13">
        <v>2.858092995705622E-2</v>
      </c>
      <c r="AV3" s="13">
        <v>4.5607815952215837E-2</v>
      </c>
      <c r="AW3" s="13">
        <v>4.0858801947929083E-2</v>
      </c>
      <c r="AX3" s="13">
        <v>3.912196816540315E-2</v>
      </c>
      <c r="AY3" s="13">
        <v>2.8330448117809479E-2</v>
      </c>
      <c r="AZ3" s="13">
        <v>3.4740726744102057E-2</v>
      </c>
      <c r="BA3" s="13">
        <v>4.1380134912733423E-2</v>
      </c>
      <c r="BB3" s="13">
        <v>3.8446530073234023E-2</v>
      </c>
      <c r="BC3" s="13">
        <v>3.9139660680907393E-2</v>
      </c>
      <c r="BD3" s="13">
        <v>3.4412713960316949E-2</v>
      </c>
      <c r="BE3" s="13">
        <v>3.1627384875007797E-2</v>
      </c>
      <c r="BF3" s="13">
        <v>3.2881306555447937E-2</v>
      </c>
      <c r="BG3" s="13">
        <v>2.7856516368044079E-2</v>
      </c>
      <c r="BH3" s="13">
        <v>3.9039450639835438E-2</v>
      </c>
      <c r="BI3" s="13">
        <v>3.868573434139564E-2</v>
      </c>
      <c r="BJ3" s="13">
        <v>4.2598863286148932E-2</v>
      </c>
      <c r="BK3" s="13">
        <v>4.3638506422424159E-2</v>
      </c>
      <c r="BL3" s="13">
        <v>4.1807312058529042E-2</v>
      </c>
      <c r="BM3" s="13">
        <v>3.5722916378634957E-2</v>
      </c>
      <c r="BN3" s="13">
        <v>3.5190578568229797E-2</v>
      </c>
      <c r="BO3" s="13">
        <v>3.5416976035990012E-2</v>
      </c>
      <c r="BP3" s="13">
        <v>3.713200657521562E-2</v>
      </c>
      <c r="BQ3" s="13">
        <v>3.7614323710702537E-2</v>
      </c>
      <c r="BR3" s="13">
        <v>3.7508213116778308E-2</v>
      </c>
      <c r="BS3" s="13">
        <v>3.7699116157691358E-2</v>
      </c>
      <c r="BT3" s="13">
        <v>3.6770936163800741E-2</v>
      </c>
      <c r="BU3" s="13">
        <v>3.6910402351608369E-2</v>
      </c>
      <c r="BV3" s="13">
        <v>3.6401345985563889E-2</v>
      </c>
      <c r="BW3" s="13">
        <v>3.5968201888952243E-2</v>
      </c>
      <c r="BX3" s="13">
        <v>4.360917134424671E-2</v>
      </c>
      <c r="BY3" s="13">
        <v>3.7211686504550583E-2</v>
      </c>
      <c r="BZ3" s="13">
        <v>3.6826352112766268E-2</v>
      </c>
      <c r="CA3" s="13">
        <v>3.4591508592700923E-2</v>
      </c>
      <c r="CB3" s="13">
        <v>3.4339760626077138E-2</v>
      </c>
      <c r="CC3" s="13">
        <v>2.0533243096777822E-2</v>
      </c>
      <c r="CD3" s="13">
        <v>2.2943200679351659E-2</v>
      </c>
      <c r="CE3" s="13">
        <v>3.2308526928274857E-2</v>
      </c>
      <c r="CF3" s="13">
        <v>4.7329405862239361E-2</v>
      </c>
      <c r="CG3" s="13">
        <v>3.7836284478803363E-2</v>
      </c>
      <c r="CH3" s="13">
        <v>3.8694495063321753E-2</v>
      </c>
      <c r="CI3" s="13">
        <v>3.3617094541697881E-2</v>
      </c>
      <c r="CJ3" s="13">
        <v>4.2975321891997098E-2</v>
      </c>
      <c r="CK3" s="13">
        <v>4.0264755165575199E-2</v>
      </c>
      <c r="CL3" s="13">
        <v>4.4693934288686933E-2</v>
      </c>
      <c r="CM3" s="13">
        <v>4.4606561803651169E-2</v>
      </c>
      <c r="CN3" s="13">
        <v>6.8577606946104749E-2</v>
      </c>
      <c r="CO3" s="13">
        <v>4.9189277148068387E-2</v>
      </c>
      <c r="CP3" s="13">
        <v>6.5607649619662367E-2</v>
      </c>
      <c r="CQ3" s="13">
        <v>4.3819863603946338E-2</v>
      </c>
      <c r="CR3" s="13">
        <v>5.6851400922781473E-2</v>
      </c>
      <c r="CS3" s="13">
        <v>6.2364412289304838E-2</v>
      </c>
      <c r="CT3" s="13">
        <v>4.9348826700518093E-2</v>
      </c>
      <c r="CU3" s="13">
        <v>5.0002233445896063E-2</v>
      </c>
      <c r="CV3" s="13">
        <v>5.3783352114565232E-2</v>
      </c>
      <c r="CW3" s="13">
        <v>4.673096388557773E-2</v>
      </c>
      <c r="CX3" s="13">
        <v>4.52857567116665E-2</v>
      </c>
      <c r="CY3" s="13">
        <v>3.9604666977184122E-2</v>
      </c>
      <c r="CZ3" s="13">
        <v>4.4391419906749573E-2</v>
      </c>
      <c r="DA3" s="13">
        <v>3.9334184018522997E-2</v>
      </c>
      <c r="DB3" s="13">
        <v>3.9618679725897638E-2</v>
      </c>
      <c r="DC3" s="13">
        <v>4.3580066674140057E-2</v>
      </c>
      <c r="DD3" s="13">
        <v>4.1743760534084302E-2</v>
      </c>
      <c r="DE3" s="13">
        <v>3.7124504209684453E-2</v>
      </c>
      <c r="DF3" s="13">
        <v>3.7667258315214808E-2</v>
      </c>
      <c r="DG3" s="13">
        <v>4.0633271347886857E-2</v>
      </c>
      <c r="DH3" s="13">
        <v>3.8849205925320061E-2</v>
      </c>
      <c r="DI3" s="13">
        <v>3.7289411512649348E-2</v>
      </c>
      <c r="DJ3" s="13">
        <v>3.7848875034311981E-2</v>
      </c>
      <c r="DK3" s="13">
        <v>3.462124141038013E-2</v>
      </c>
      <c r="DL3" s="13">
        <v>3.5944383409832997E-2</v>
      </c>
      <c r="DM3" s="13">
        <v>3.4440509329873713E-2</v>
      </c>
      <c r="DN3" s="13">
        <v>5.080663627630181E-2</v>
      </c>
      <c r="DO3" s="13">
        <v>4.4401319518395037E-2</v>
      </c>
      <c r="DP3" s="13">
        <v>4.0598389653240877E-2</v>
      </c>
      <c r="DQ3" s="13">
        <v>4.0608081786117911E-2</v>
      </c>
      <c r="DR3" s="13">
        <v>4.1794941830527198E-2</v>
      </c>
      <c r="DS3" s="13">
        <v>4.9788977885194548E-2</v>
      </c>
      <c r="DT3" s="13">
        <v>4.4966810815319433E-2</v>
      </c>
      <c r="DU3" s="13">
        <v>3.9216383622322187E-2</v>
      </c>
      <c r="DV3" s="13">
        <v>3.9953462868225757E-2</v>
      </c>
      <c r="DW3" s="13">
        <v>4.7966753162565323E-2</v>
      </c>
      <c r="DX3" s="13">
        <v>4.7135568202097168E-2</v>
      </c>
      <c r="DY3" s="13">
        <v>5.0681252776800433E-2</v>
      </c>
      <c r="DZ3" s="13">
        <v>4.4969453786410638E-2</v>
      </c>
      <c r="EA3" s="13">
        <v>4.4790390035127817E-2</v>
      </c>
      <c r="EB3" s="13">
        <v>4.605973794008926E-2</v>
      </c>
      <c r="EC3" s="13">
        <v>6.9799748019209198E-2</v>
      </c>
      <c r="ED3" s="13">
        <v>4.8948038728249647E-2</v>
      </c>
      <c r="EE3" s="13">
        <v>4.4489528267164347E-2</v>
      </c>
      <c r="EF3" s="13">
        <v>3.4297029215600711E-2</v>
      </c>
      <c r="EG3" s="13">
        <v>3.9822103911537593E-2</v>
      </c>
      <c r="EH3" s="13">
        <v>3.0749140984917121E-2</v>
      </c>
      <c r="EI3" s="13">
        <v>2.9755278459214E-2</v>
      </c>
      <c r="EJ3" s="13">
        <v>3.4738700682679341E-2</v>
      </c>
      <c r="EK3" s="13">
        <v>2.7110665601743609E-2</v>
      </c>
      <c r="EL3" s="13">
        <v>2.7595207896287419E-2</v>
      </c>
    </row>
    <row r="4" spans="1:142" x14ac:dyDescent="0.55000000000000004">
      <c r="B4" s="11" t="s">
        <v>144</v>
      </c>
      <c r="C4" s="13">
        <v>-3.3355064222238093E-2</v>
      </c>
      <c r="D4" s="13">
        <v>-3.6488953372440118E-2</v>
      </c>
      <c r="E4" s="13">
        <v>-6.2951631416598125E-2</v>
      </c>
      <c r="F4" s="13">
        <v>-0.10275806713399049</v>
      </c>
      <c r="G4" s="13">
        <v>-7.9484529512434218E-2</v>
      </c>
      <c r="H4" s="13">
        <v>-7.4637566723446097E-2</v>
      </c>
      <c r="I4" s="13">
        <v>-6.0303175593075208E-2</v>
      </c>
      <c r="J4" s="13">
        <v>-6.1221976553650498E-2</v>
      </c>
      <c r="K4" s="13">
        <v>-6.3454479623673996E-2</v>
      </c>
      <c r="L4" s="13">
        <v>-4.9031802460202369E-2</v>
      </c>
      <c r="M4" s="13">
        <v>-5.5965545208011017E-2</v>
      </c>
      <c r="N4" s="13">
        <v>-3.7127413566765903E-2</v>
      </c>
      <c r="O4" s="13">
        <v>-4.4851103408314323E-2</v>
      </c>
      <c r="P4" s="13">
        <v>-6.06099750017862E-2</v>
      </c>
      <c r="Q4" s="13">
        <v>-6.142030670402978E-2</v>
      </c>
      <c r="R4" s="13">
        <v>-4.2457092293346488E-2</v>
      </c>
      <c r="S4" s="13">
        <v>-4.0181376857841532E-2</v>
      </c>
      <c r="T4" s="13">
        <v>-4.3184261416348402E-2</v>
      </c>
      <c r="U4" s="13">
        <v>-2.5671025875257259E-2</v>
      </c>
      <c r="V4" s="13">
        <v>-2.056117449423971E-2</v>
      </c>
      <c r="W4" s="13">
        <v>-1.7030228493617319E-2</v>
      </c>
      <c r="X4" s="13">
        <v>-1.9491489513123999E-2</v>
      </c>
      <c r="Y4" s="13">
        <v>-4.4162740951198293E-2</v>
      </c>
      <c r="Z4" s="13">
        <v>-4.3992704142522127E-2</v>
      </c>
      <c r="AA4" s="13">
        <v>-3.3240344419281441E-2</v>
      </c>
      <c r="AB4" s="13">
        <v>-2.8357855227329171E-2</v>
      </c>
      <c r="AC4" s="13">
        <v>-1.7753826277809508E-2</v>
      </c>
      <c r="AD4" s="13">
        <v>-1.9392872894991808E-2</v>
      </c>
      <c r="AE4" s="13">
        <v>-3.1862058027578813E-2</v>
      </c>
      <c r="AF4" s="13">
        <v>-3.3734295719027647E-2</v>
      </c>
      <c r="AG4" s="13">
        <v>-5.2378694538196572E-3</v>
      </c>
      <c r="AH4" s="13">
        <v>-1.8241859678385711E-2</v>
      </c>
      <c r="AI4" s="13">
        <v>-2.828195859844675E-2</v>
      </c>
      <c r="AJ4" s="13">
        <v>-2.6355034026264958E-2</v>
      </c>
      <c r="AK4" s="13">
        <v>-2.9560930131039269E-2</v>
      </c>
      <c r="AL4" s="13">
        <v>-3.0371173622282331E-2</v>
      </c>
      <c r="AM4" s="13">
        <v>-2.2596310124050351E-2</v>
      </c>
      <c r="AN4" s="13">
        <v>-3.0254612721411198E-2</v>
      </c>
      <c r="AO4" s="13">
        <v>-2.871524100076818E-2</v>
      </c>
      <c r="AP4" s="13">
        <v>-3.4923895599449153E-2</v>
      </c>
      <c r="AQ4" s="13">
        <v>-3.0630802592385771E-2</v>
      </c>
      <c r="AR4" s="13">
        <v>-2.9429888192270871E-2</v>
      </c>
      <c r="AS4" s="13">
        <v>-2.674265330078859E-2</v>
      </c>
      <c r="AT4" s="13">
        <v>-1.6825419341331849E-2</v>
      </c>
      <c r="AU4" s="13">
        <v>-2.028990455098131E-2</v>
      </c>
      <c r="AV4" s="13">
        <v>-1.5552740324632551E-2</v>
      </c>
      <c r="AW4" s="13">
        <v>-4.2145772018226967E-2</v>
      </c>
      <c r="AX4" s="13">
        <v>-3.2834496930954221E-2</v>
      </c>
      <c r="AY4" s="13">
        <v>-3.0620786675402481E-2</v>
      </c>
      <c r="AZ4" s="13">
        <v>-3.2526573120253401E-2</v>
      </c>
      <c r="BA4" s="13">
        <v>-3.9596641638497188E-2</v>
      </c>
      <c r="BB4" s="13">
        <v>-4.0551604006990392E-2</v>
      </c>
      <c r="BC4" s="13">
        <v>-4.2756597752440471E-2</v>
      </c>
      <c r="BD4" s="13">
        <v>-3.5755727515210577E-2</v>
      </c>
      <c r="BE4" s="13">
        <v>-2.4508874482950669E-2</v>
      </c>
      <c r="BF4" s="13">
        <v>-3.4563199381908237E-2</v>
      </c>
      <c r="BG4" s="13">
        <v>-2.5490924642281039E-2</v>
      </c>
      <c r="BH4" s="13">
        <v>-1.6368300858497931E-2</v>
      </c>
      <c r="BI4" s="13">
        <v>-1.912200225379531E-2</v>
      </c>
      <c r="BJ4" s="13">
        <v>-2.5427524184918511E-2</v>
      </c>
      <c r="BK4" s="13">
        <v>-2.17006435544887E-2</v>
      </c>
      <c r="BL4" s="13">
        <v>-2.4482338097977681E-2</v>
      </c>
      <c r="BM4" s="13">
        <v>-1.190520358379419E-2</v>
      </c>
      <c r="BN4" s="13">
        <v>-1.4200643435024611E-2</v>
      </c>
      <c r="BO4" s="13">
        <v>-1.5729074905210499E-2</v>
      </c>
      <c r="BP4" s="13">
        <v>-6.6634100191326363E-3</v>
      </c>
      <c r="BQ4" s="13">
        <v>-1.4844203425268321E-2</v>
      </c>
      <c r="BR4" s="13">
        <v>-8.2762403872860633E-3</v>
      </c>
      <c r="BS4" s="13">
        <v>-7.2950252230793069E-3</v>
      </c>
      <c r="BT4" s="13">
        <v>-1.5208431311033581E-2</v>
      </c>
      <c r="BU4" s="13">
        <v>-2.3110477045322781E-2</v>
      </c>
      <c r="BV4" s="13">
        <v>-1.216829070540934E-2</v>
      </c>
      <c r="BW4" s="13">
        <v>1.9813464894211609E-3</v>
      </c>
      <c r="BX4" s="13">
        <v>-1.249368848288873E-2</v>
      </c>
      <c r="BY4" s="13">
        <v>-1.6627473803652881E-2</v>
      </c>
      <c r="BZ4" s="13">
        <v>-2.106371981363821E-2</v>
      </c>
      <c r="CA4" s="13">
        <v>-1.4410423139406501E-2</v>
      </c>
      <c r="CB4" s="13">
        <v>-1.373600487425279E-2</v>
      </c>
      <c r="CC4" s="13">
        <v>-2.747847105042156E-2</v>
      </c>
      <c r="CD4" s="13">
        <v>-2.655987022870682E-2</v>
      </c>
      <c r="CE4" s="13">
        <v>-2.6100224897020342E-2</v>
      </c>
      <c r="CF4" s="13">
        <v>-3.2061326258670031E-2</v>
      </c>
      <c r="CG4" s="13">
        <v>-4.4699162974103299E-2</v>
      </c>
      <c r="CH4" s="13">
        <v>-3.5557718292931598E-2</v>
      </c>
      <c r="CI4" s="13">
        <v>-2.2531867995524299E-2</v>
      </c>
      <c r="CJ4" s="13">
        <v>-2.659099589059899E-2</v>
      </c>
      <c r="CK4" s="13">
        <v>-2.437831543315613E-2</v>
      </c>
      <c r="CL4" s="13">
        <v>-2.0383839681311931E-2</v>
      </c>
      <c r="CM4" s="13">
        <v>-2.0543547316843411E-2</v>
      </c>
      <c r="CN4" s="13">
        <v>-2.5366972570714349E-2</v>
      </c>
      <c r="CO4" s="13">
        <v>2.1573222511172298E-2</v>
      </c>
      <c r="CP4" s="13">
        <v>2.9656602127605611E-2</v>
      </c>
      <c r="CQ4" s="13">
        <v>-2.1208981776241909E-3</v>
      </c>
      <c r="CR4" s="13">
        <v>-1.2445462205139609E-2</v>
      </c>
      <c r="CS4" s="13">
        <v>-4.8911607001063021E-2</v>
      </c>
      <c r="CT4" s="13">
        <v>-5.4515957193264943E-2</v>
      </c>
      <c r="CU4" s="13">
        <v>-3.6987684093879661E-2</v>
      </c>
      <c r="CV4" s="13">
        <v>-2.924450214174747E-2</v>
      </c>
      <c r="CW4" s="13">
        <v>-3.5566938337920538E-2</v>
      </c>
      <c r="CX4" s="13">
        <v>-3.611216821620989E-2</v>
      </c>
      <c r="CY4" s="13">
        <v>-3.5196660099825278E-2</v>
      </c>
      <c r="CZ4" s="13">
        <v>-4.1285248368278821E-2</v>
      </c>
      <c r="DA4" s="13">
        <v>-4.4832439126435537E-2</v>
      </c>
      <c r="DB4" s="13">
        <v>-6.2436972757434497E-2</v>
      </c>
      <c r="DC4" s="13">
        <v>-6.2527983186050365E-2</v>
      </c>
      <c r="DD4" s="13">
        <v>-7.5217163321935412E-2</v>
      </c>
      <c r="DE4" s="13">
        <v>-6.4404403928414081E-2</v>
      </c>
      <c r="DF4" s="13">
        <v>-5.549385494260705E-2</v>
      </c>
      <c r="DG4" s="13">
        <v>-6.0437770445375537E-2</v>
      </c>
      <c r="DH4" s="13">
        <v>-6.1846298042840378E-2</v>
      </c>
      <c r="DI4" s="13">
        <v>-1.46626202409976E-2</v>
      </c>
      <c r="DJ4" s="13">
        <v>-4.0786143047909028E-2</v>
      </c>
      <c r="DK4" s="13">
        <v>-5.7443401521016832E-2</v>
      </c>
      <c r="DL4" s="13">
        <v>-5.8112653779270121E-2</v>
      </c>
      <c r="DM4" s="13">
        <v>-3.958925014969409E-2</v>
      </c>
      <c r="DN4" s="13">
        <v>-2.92339481001627E-2</v>
      </c>
      <c r="DO4" s="13">
        <v>-2.8268200941545508E-2</v>
      </c>
      <c r="DP4" s="13">
        <v>-2.9909023795320532E-2</v>
      </c>
      <c r="DQ4" s="13">
        <v>-4.1956447946479403E-2</v>
      </c>
      <c r="DR4" s="13">
        <v>-5.4044080376143652E-2</v>
      </c>
      <c r="DS4" s="13">
        <v>-3.6840842476137732E-2</v>
      </c>
      <c r="DT4" s="13">
        <v>-4.7088988162664012E-2</v>
      </c>
      <c r="DU4" s="13">
        <v>-4.6590530666368382E-2</v>
      </c>
      <c r="DV4" s="13">
        <v>-4.8883186543154288E-2</v>
      </c>
      <c r="DW4" s="13">
        <v>2.4644963240671989E-3</v>
      </c>
      <c r="DX4" s="13">
        <v>-1.047701340170769E-2</v>
      </c>
      <c r="DY4" s="13">
        <v>-3.2988096646797901E-2</v>
      </c>
      <c r="DZ4" s="13">
        <v>-3.5035095730103293E-2</v>
      </c>
      <c r="EA4" s="13">
        <v>-3.4035185243979679E-2</v>
      </c>
      <c r="EB4" s="13">
        <v>-3.1294101648424583E-2</v>
      </c>
      <c r="EC4" s="13">
        <v>-4.2305892800109393E-2</v>
      </c>
      <c r="ED4" s="13">
        <v>-4.7144040894120831E-2</v>
      </c>
      <c r="EE4" s="13">
        <v>-3.9341877783157779E-2</v>
      </c>
      <c r="EF4" s="13">
        <v>-3.4428937404352961E-2</v>
      </c>
      <c r="EG4" s="13">
        <v>-2.5023765356573191E-2</v>
      </c>
      <c r="EH4" s="13">
        <v>-2.3959625271420482E-2</v>
      </c>
      <c r="EI4" s="13">
        <v>-3.1018058895392529E-2</v>
      </c>
      <c r="EJ4" s="13">
        <v>-3.019292868952464E-2</v>
      </c>
      <c r="EK4" s="13">
        <v>-1.9350280734914911E-2</v>
      </c>
      <c r="EL4" s="13">
        <v>1.0475928161918681E-2</v>
      </c>
    </row>
    <row r="5" spans="1:142" x14ac:dyDescent="0.55000000000000004">
      <c r="B5" s="14" t="s">
        <v>145</v>
      </c>
      <c r="C5" s="13">
        <v>1.7572591335771898E-2</v>
      </c>
      <c r="D5" s="13">
        <v>2.7010615886725878E-2</v>
      </c>
      <c r="E5" s="13">
        <v>1.6464920986043539E-2</v>
      </c>
      <c r="F5" s="13">
        <v>2.163583339118199E-2</v>
      </c>
      <c r="G5" s="13">
        <v>2.7978795117450529E-2</v>
      </c>
      <c r="H5" s="13">
        <v>1.82572498185327E-2</v>
      </c>
      <c r="I5" s="13">
        <v>2.262258433052575E-2</v>
      </c>
      <c r="J5" s="13">
        <v>2.4224717545351319E-2</v>
      </c>
      <c r="K5" s="13">
        <v>3.7030631729839399E-2</v>
      </c>
      <c r="L5" s="13">
        <v>2.1715734909504909E-2</v>
      </c>
      <c r="M5" s="13">
        <v>2.3471025446345321E-2</v>
      </c>
      <c r="N5" s="13">
        <v>2.9600842590959759E-2</v>
      </c>
      <c r="O5" s="13">
        <v>3.078080458498781E-2</v>
      </c>
      <c r="P5" s="13">
        <v>1.3958200077604069E-2</v>
      </c>
      <c r="Q5" s="13">
        <v>2.3899925490751529E-2</v>
      </c>
      <c r="R5" s="13">
        <v>2.827365648927253E-2</v>
      </c>
      <c r="S5" s="13">
        <v>2.8277502684533939E-2</v>
      </c>
      <c r="T5" s="13">
        <v>3.0791608587896192E-2</v>
      </c>
      <c r="U5" s="13">
        <v>3.8990634744788283E-2</v>
      </c>
      <c r="V5" s="13">
        <v>4.795564524908115E-2</v>
      </c>
      <c r="W5" s="13">
        <v>5.1885589069397997E-2</v>
      </c>
      <c r="X5" s="13">
        <v>1.8552140443308319E-2</v>
      </c>
      <c r="Y5" s="13">
        <v>1.942137293110377E-2</v>
      </c>
      <c r="Z5" s="13">
        <v>1.0422650426952311E-2</v>
      </c>
      <c r="AA5" s="13">
        <v>4.4481250419906457E-2</v>
      </c>
      <c r="AB5" s="13">
        <v>3.0099617840507689E-4</v>
      </c>
      <c r="AC5" s="13">
        <v>2.9870176157596909E-2</v>
      </c>
      <c r="AD5" s="13">
        <v>4.2866569757687677E-3</v>
      </c>
      <c r="AE5" s="13">
        <v>1.5671647496547189E-2</v>
      </c>
      <c r="AF5" s="13">
        <v>1.2668564364488089E-2</v>
      </c>
      <c r="AG5" s="13">
        <v>2.6776108631906659E-2</v>
      </c>
      <c r="AH5" s="13">
        <v>1.320201957735115E-2</v>
      </c>
      <c r="AI5" s="13">
        <v>1.7989730154352481E-2</v>
      </c>
      <c r="AJ5" s="13">
        <v>1.88525604364338E-2</v>
      </c>
      <c r="AK5" s="13">
        <v>2.0751209643580199E-2</v>
      </c>
      <c r="AL5" s="13">
        <v>1.7139197858594139E-2</v>
      </c>
      <c r="AM5" s="13">
        <v>1.4073911718798781E-2</v>
      </c>
      <c r="AN5" s="13">
        <v>7.2133540700708753E-3</v>
      </c>
      <c r="AO5" s="13">
        <v>1.940927693450302E-2</v>
      </c>
      <c r="AP5" s="13">
        <v>1.8788509035915509E-2</v>
      </c>
      <c r="AQ5" s="13">
        <v>2.576627301502598E-2</v>
      </c>
      <c r="AR5" s="13">
        <v>2.4567308164613721E-2</v>
      </c>
      <c r="AS5" s="13">
        <v>2.0403411209288149E-2</v>
      </c>
      <c r="AT5" s="13">
        <v>1.8350318395403482E-2</v>
      </c>
      <c r="AU5" s="13">
        <v>1.835820201641138E-2</v>
      </c>
      <c r="AV5" s="13">
        <v>3.066534075451257E-2</v>
      </c>
      <c r="AW5" s="13">
        <v>2.4171945032875768E-2</v>
      </c>
      <c r="AX5" s="13">
        <v>2.9301659150937479E-2</v>
      </c>
      <c r="AY5" s="13">
        <v>2.3524836383218169E-2</v>
      </c>
      <c r="AZ5" s="13">
        <v>1.619862131729324E-2</v>
      </c>
      <c r="BA5" s="13">
        <v>2.4361905285368031E-2</v>
      </c>
      <c r="BB5" s="13">
        <v>2.0847801686724499E-2</v>
      </c>
      <c r="BC5" s="13">
        <v>1.87405260419569E-2</v>
      </c>
      <c r="BD5" s="13">
        <v>-8.4357435055720787E-4</v>
      </c>
      <c r="BE5" s="13">
        <v>1.348963928267881E-2</v>
      </c>
      <c r="BF5" s="13">
        <v>1.209566450250129E-2</v>
      </c>
      <c r="BG5" s="13">
        <v>6.2031443455100891E-3</v>
      </c>
      <c r="BH5" s="13">
        <v>-1.9361090801528601E-2</v>
      </c>
      <c r="BI5" s="13">
        <v>-3.9799382821201407E-2</v>
      </c>
      <c r="BJ5" s="13">
        <v>-2.5457167335488549E-2</v>
      </c>
      <c r="BK5" s="13">
        <v>-1.9477643618262701E-2</v>
      </c>
      <c r="BL5" s="13">
        <v>-9.1218955270848633E-3</v>
      </c>
      <c r="BM5" s="13">
        <v>-1.4374787989500121E-2</v>
      </c>
      <c r="BN5" s="13">
        <v>-3.337400836610268E-2</v>
      </c>
      <c r="BO5" s="13">
        <v>-8.1813085035434014E-3</v>
      </c>
      <c r="BP5" s="13">
        <v>6.9701293808654514E-3</v>
      </c>
      <c r="BQ5" s="13">
        <v>9.2463391673495484E-3</v>
      </c>
      <c r="BR5" s="13">
        <v>2.283635783955484E-2</v>
      </c>
      <c r="BS5" s="13">
        <v>2.006030851870538E-2</v>
      </c>
      <c r="BT5" s="13">
        <v>1.4916967327142641E-2</v>
      </c>
      <c r="BU5" s="13">
        <v>1.9043070262766151E-2</v>
      </c>
      <c r="BV5" s="13">
        <v>1.6822997184360571E-2</v>
      </c>
      <c r="BW5" s="13">
        <v>1.6684982593413372E-2</v>
      </c>
      <c r="BX5" s="13">
        <v>1.3546322627577229E-2</v>
      </c>
      <c r="BY5" s="13">
        <v>8.8355555990224949E-3</v>
      </c>
      <c r="BZ5" s="13">
        <v>1.6244439848805359E-2</v>
      </c>
      <c r="CA5" s="13">
        <v>1.5969795684615099E-2</v>
      </c>
      <c r="CB5" s="13">
        <v>2.631438398547604E-3</v>
      </c>
      <c r="CC5" s="13">
        <v>1.882978449558451E-2</v>
      </c>
      <c r="CD5" s="13">
        <v>2.2816767220746569E-2</v>
      </c>
      <c r="CE5" s="13">
        <v>2.6077729361186529E-2</v>
      </c>
      <c r="CF5" s="13">
        <v>1.499489024735514E-2</v>
      </c>
      <c r="CG5" s="13">
        <v>2.6164856394656419E-3</v>
      </c>
      <c r="CH5" s="13">
        <v>1.6072216687681739E-3</v>
      </c>
      <c r="CI5" s="13">
        <v>-5.8853693828171327E-3</v>
      </c>
      <c r="CJ5" s="13">
        <v>-1.1516856996570801E-2</v>
      </c>
      <c r="CK5" s="13">
        <v>-1.071601597092706E-2</v>
      </c>
      <c r="CL5" s="13">
        <v>1.1313839274602489E-2</v>
      </c>
      <c r="CM5" s="13">
        <v>6.5575598939352948E-3</v>
      </c>
      <c r="CN5" s="13">
        <v>1.1422092272016829E-2</v>
      </c>
      <c r="CO5" s="13">
        <v>1.128965325550671E-2</v>
      </c>
      <c r="CP5" s="13">
        <v>5.1481957855028113E-2</v>
      </c>
      <c r="CQ5" s="13">
        <v>3.1199047837396739E-2</v>
      </c>
      <c r="CR5" s="13">
        <v>2.5421195525684968E-2</v>
      </c>
      <c r="CS5" s="13">
        <v>-3.0207556615997611E-3</v>
      </c>
      <c r="CT5" s="13">
        <v>7.5623451229431043E-4</v>
      </c>
      <c r="CU5" s="13">
        <v>7.2781568876731156E-4</v>
      </c>
      <c r="CV5" s="13">
        <v>9.3529038856204165E-3</v>
      </c>
      <c r="CW5" s="13">
        <v>-2.9667861932934879E-2</v>
      </c>
      <c r="CX5" s="13">
        <v>-1.0507272884670189E-2</v>
      </c>
      <c r="CY5" s="13">
        <v>9.7452893907925726E-3</v>
      </c>
      <c r="CZ5" s="13">
        <v>-7.5353985902828378E-3</v>
      </c>
      <c r="DA5" s="13">
        <v>1.3131139356618519E-2</v>
      </c>
      <c r="DB5" s="13">
        <v>4.2211342139132279E-3</v>
      </c>
      <c r="DC5" s="13">
        <v>1.093994226186313E-2</v>
      </c>
      <c r="DD5" s="13">
        <v>2.4409705725089211E-2</v>
      </c>
      <c r="DE5" s="13">
        <v>1.604921204657048E-2</v>
      </c>
      <c r="DF5" s="13">
        <v>1.667716987176554E-2</v>
      </c>
      <c r="DG5" s="13">
        <v>-3.8317962817908898E-3</v>
      </c>
      <c r="DH5" s="13">
        <v>7.3512111038037927E-3</v>
      </c>
      <c r="DI5" s="13">
        <v>-1.030442488724889E-2</v>
      </c>
      <c r="DJ5" s="13">
        <v>5.2456116056685776E-3</v>
      </c>
      <c r="DK5" s="13">
        <v>6.9237939715896509E-3</v>
      </c>
      <c r="DL5" s="13">
        <v>1.614164071279639E-2</v>
      </c>
      <c r="DM5" s="13">
        <v>1.6766743050984158E-2</v>
      </c>
      <c r="DN5" s="13">
        <v>1.4232797538885089E-2</v>
      </c>
      <c r="DO5" s="13">
        <v>1.453166794491163E-2</v>
      </c>
      <c r="DP5" s="13">
        <v>1.476260228029823E-2</v>
      </c>
      <c r="DQ5" s="13">
        <v>9.2205535843162996E-3</v>
      </c>
      <c r="DR5" s="13">
        <v>-2.0837362258463069E-2</v>
      </c>
      <c r="DS5" s="13">
        <v>5.7274386040173687E-3</v>
      </c>
      <c r="DT5" s="13">
        <v>4.0239894875113217E-4</v>
      </c>
      <c r="DU5" s="13">
        <v>1.369607227793021E-2</v>
      </c>
      <c r="DV5" s="13">
        <v>1.81797983000145E-2</v>
      </c>
      <c r="DW5" s="13">
        <v>2.0373538370568042E-2</v>
      </c>
      <c r="DX5" s="13">
        <v>1.6416783684434461E-2</v>
      </c>
      <c r="DY5" s="13">
        <v>1.4901535770104739E-2</v>
      </c>
      <c r="DZ5" s="13">
        <v>1.5353815388371319E-2</v>
      </c>
      <c r="EA5" s="13">
        <v>1.6682695081811649E-2</v>
      </c>
      <c r="EB5" s="13">
        <v>1.820220102928315E-2</v>
      </c>
      <c r="EC5" s="13">
        <v>-4.4638342298786941E-3</v>
      </c>
      <c r="ED5" s="13">
        <v>-4.6981036382316961E-3</v>
      </c>
      <c r="EE5" s="13">
        <v>1.264171640489712E-3</v>
      </c>
      <c r="EF5" s="13">
        <v>8.5178790602471154E-3</v>
      </c>
      <c r="EG5" s="13">
        <v>-2.853172849498869E-3</v>
      </c>
      <c r="EH5" s="13">
        <v>-7.6033835936986848E-3</v>
      </c>
      <c r="EI5" s="13">
        <v>-5.3008409367301841E-3</v>
      </c>
      <c r="EJ5" s="13">
        <v>-4.1330562633494598E-3</v>
      </c>
      <c r="EK5" s="13">
        <v>-2.2310332755631338E-3</v>
      </c>
      <c r="EL5" s="13">
        <v>5.5219188045471258E-3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5.6118451058864587E-2</v>
      </c>
      <c r="D9" s="13">
        <v>7.8115358948707581E-2</v>
      </c>
      <c r="E9" s="13">
        <v>-0.1415126770734787</v>
      </c>
      <c r="F9" s="13">
        <v>-8.4760263562202454E-2</v>
      </c>
      <c r="G9" s="13">
        <v>-1.6393894329667091E-2</v>
      </c>
      <c r="H9" s="13">
        <v>-2.1295100450515751E-2</v>
      </c>
      <c r="I9" s="13">
        <v>-1.096068881452084E-3</v>
      </c>
      <c r="J9" s="13">
        <v>6.4448930323123932E-2</v>
      </c>
      <c r="K9" s="13">
        <v>9.3935757875442505E-2</v>
      </c>
      <c r="L9" s="13">
        <v>7.7676363289356232E-2</v>
      </c>
      <c r="M9" s="13">
        <v>4.422677680850029E-3</v>
      </c>
      <c r="N9" s="13">
        <v>9.7503647208213806E-2</v>
      </c>
      <c r="O9" s="13">
        <v>-2.549671940505505E-2</v>
      </c>
      <c r="P9" s="13">
        <v>-1.3179603032767769E-2</v>
      </c>
      <c r="Q9" s="13">
        <v>5.1645436324179173E-3</v>
      </c>
      <c r="R9" s="13">
        <v>-1.723375171422958E-2</v>
      </c>
      <c r="S9" s="13">
        <v>0.11152903735637661</v>
      </c>
      <c r="T9" s="13">
        <v>3.4847687929868698E-2</v>
      </c>
      <c r="U9" s="13">
        <v>5.9024035930633538E-2</v>
      </c>
      <c r="V9" s="13">
        <v>1.7716789618134499E-2</v>
      </c>
      <c r="W9" s="13">
        <v>-6.4256582409143448E-3</v>
      </c>
      <c r="X9" s="13">
        <v>-2.2693565115332599E-3</v>
      </c>
      <c r="Y9" s="13">
        <v>3.7778280675411217E-2</v>
      </c>
      <c r="Z9" s="13">
        <v>1.1676935479044911E-2</v>
      </c>
      <c r="AA9" s="13">
        <v>-8.7502934038639069E-3</v>
      </c>
      <c r="AB9" s="13">
        <v>-3.5473756492137909E-2</v>
      </c>
      <c r="AC9" s="13">
        <v>3.1332850456237793E-2</v>
      </c>
      <c r="AD9" s="13">
        <v>1.555768307298422E-2</v>
      </c>
      <c r="AE9" s="13">
        <v>0.1190536841750145</v>
      </c>
      <c r="AF9" s="13">
        <v>-1.9357252866029739E-2</v>
      </c>
      <c r="AG9" s="13">
        <v>5.5650390684604638E-2</v>
      </c>
      <c r="AH9" s="13">
        <v>1.4775607734918589E-2</v>
      </c>
      <c r="AI9" s="13">
        <v>7.8147970139980316E-2</v>
      </c>
      <c r="AJ9" s="13">
        <v>-5.1067054271697998E-2</v>
      </c>
      <c r="AK9" s="13">
        <v>2.9277428984642029E-2</v>
      </c>
      <c r="AL9" s="13">
        <v>0.1074956804513931</v>
      </c>
      <c r="AM9" s="13">
        <v>5.5360257625579827E-2</v>
      </c>
      <c r="AN9" s="13">
        <v>-5.8350309729576111E-2</v>
      </c>
      <c r="AO9" s="13">
        <v>3.7394411861896508E-2</v>
      </c>
      <c r="AP9" s="13">
        <v>4.5363374054431922E-2</v>
      </c>
      <c r="AQ9" s="13">
        <v>0.14594569802284241</v>
      </c>
      <c r="AR9" s="13">
        <v>9.9557004868984222E-2</v>
      </c>
      <c r="AS9" s="13">
        <v>1.506671868264675E-2</v>
      </c>
      <c r="AT9" s="13">
        <v>-1.1696591973304751E-3</v>
      </c>
      <c r="AU9" s="13">
        <v>-4.7236192971467972E-2</v>
      </c>
      <c r="AV9" s="13">
        <v>-3.464246541261673E-2</v>
      </c>
      <c r="AW9" s="13">
        <v>4.0531452745199197E-2</v>
      </c>
      <c r="AX9" s="13">
        <v>2.6697341352701191E-2</v>
      </c>
      <c r="AY9" s="13">
        <v>5.6539479643106461E-2</v>
      </c>
      <c r="AZ9" s="13">
        <v>5.4159634746611118E-3</v>
      </c>
      <c r="BA9" s="13">
        <v>-4.3942347168922417E-2</v>
      </c>
      <c r="BB9" s="13">
        <v>9.4006329774856567E-2</v>
      </c>
      <c r="BC9" s="13">
        <v>2.8445800766348839E-2</v>
      </c>
      <c r="BD9" s="13">
        <v>2.4129733443260189E-2</v>
      </c>
      <c r="BE9" s="13">
        <v>-1.6681114211678501E-2</v>
      </c>
      <c r="BF9" s="13">
        <v>-2.0862789824604992E-2</v>
      </c>
      <c r="BG9" s="13">
        <v>5.2014391869306557E-2</v>
      </c>
      <c r="BH9" s="13">
        <v>-3.3232644200325012E-2</v>
      </c>
      <c r="BI9" s="13">
        <v>-1.9028045237064362E-2</v>
      </c>
      <c r="BJ9" s="13">
        <v>-4.3040025979280472E-2</v>
      </c>
      <c r="BK9" s="13">
        <v>3.582623228430748E-2</v>
      </c>
      <c r="BL9" s="13">
        <v>5.2610065788030617E-2</v>
      </c>
      <c r="BM9" s="13">
        <v>0.16467450559139249</v>
      </c>
      <c r="BN9" s="13">
        <v>5.6239485740661621E-2</v>
      </c>
      <c r="BO9" s="13">
        <v>5.7048242539167397E-2</v>
      </c>
      <c r="BP9" s="13">
        <v>3.7904918193817139E-2</v>
      </c>
      <c r="BQ9" s="13">
        <v>5.388949066400528E-2</v>
      </c>
      <c r="BR9" s="13">
        <v>1.972170919179916E-2</v>
      </c>
      <c r="BS9" s="13">
        <v>5.4315824061632163E-2</v>
      </c>
      <c r="BT9" s="13">
        <v>4.7150813043117523E-2</v>
      </c>
      <c r="BU9" s="13">
        <v>-1.264089345932007E-2</v>
      </c>
      <c r="BV9" s="13">
        <v>-4.7596141695976257E-2</v>
      </c>
      <c r="BW9" s="13">
        <v>-1.6428106464445591E-3</v>
      </c>
      <c r="BX9" s="13">
        <v>4.7259576618671417E-2</v>
      </c>
      <c r="BY9" s="13">
        <v>4.9359224736690521E-2</v>
      </c>
      <c r="BZ9" s="13">
        <v>5.029325932264328E-2</v>
      </c>
      <c r="CA9" s="13">
        <v>-3.8853023201227188E-2</v>
      </c>
      <c r="CB9" s="13">
        <v>-2.5492530316114429E-2</v>
      </c>
      <c r="CC9" s="13">
        <v>5.2212677896022797E-2</v>
      </c>
      <c r="CD9" s="13">
        <v>1.63656659424305E-2</v>
      </c>
      <c r="CE9" s="13">
        <v>4.7712299972772598E-2</v>
      </c>
      <c r="CF9" s="13">
        <v>5.1156952977180481E-2</v>
      </c>
      <c r="CG9" s="13">
        <v>6.3695372082293034E-3</v>
      </c>
      <c r="CH9" s="13">
        <v>5.0260737538337708E-2</v>
      </c>
      <c r="CI9" s="13">
        <v>4.8383045941591263E-2</v>
      </c>
      <c r="CJ9" s="13">
        <v>4.9879353493452072E-2</v>
      </c>
      <c r="CK9" s="13">
        <v>-2.0379621535539631E-2</v>
      </c>
      <c r="CL9" s="13">
        <v>5.1040831953287118E-2</v>
      </c>
      <c r="CM9" s="13">
        <v>7.0432275533676147E-2</v>
      </c>
      <c r="CN9" s="13">
        <v>4.9308884888887412E-2</v>
      </c>
      <c r="CO9" s="13">
        <v>4.8468071967363358E-2</v>
      </c>
      <c r="CP9" s="13">
        <v>-3.0516274273395538E-3</v>
      </c>
      <c r="CQ9" s="13">
        <v>4.8940815031528473E-2</v>
      </c>
      <c r="CR9" s="13">
        <v>3.7696417421102519E-3</v>
      </c>
      <c r="CS9" s="13">
        <v>2.9329795390367511E-2</v>
      </c>
      <c r="CT9" s="13">
        <v>2.7245944365859032E-2</v>
      </c>
      <c r="CU9" s="13">
        <v>4.482705146074295E-2</v>
      </c>
      <c r="CV9" s="13">
        <v>2.256998606026173E-2</v>
      </c>
      <c r="CW9" s="13">
        <v>6.3389554619789124E-2</v>
      </c>
      <c r="CX9" s="13">
        <v>-3.9971958845853812E-2</v>
      </c>
      <c r="CY9" s="13">
        <v>5.2212778478860862E-2</v>
      </c>
      <c r="CZ9" s="13">
        <v>1.1289088055491449E-2</v>
      </c>
      <c r="DA9" s="13">
        <v>4.4644389301538467E-2</v>
      </c>
      <c r="DB9" s="13">
        <v>2.5936665013432499E-2</v>
      </c>
      <c r="DC9" s="13">
        <v>9.5405779778957367E-2</v>
      </c>
      <c r="DD9" s="13">
        <v>-4.5570109039545059E-2</v>
      </c>
      <c r="DE9" s="13">
        <v>5.2781801670789719E-2</v>
      </c>
      <c r="DF9" s="13">
        <v>4.5374881476163857E-2</v>
      </c>
      <c r="DG9" s="13">
        <v>4.444977268576622E-2</v>
      </c>
      <c r="DH9" s="13">
        <v>0.22446863353252411</v>
      </c>
      <c r="DI9" s="13">
        <v>3.3412754535675049E-2</v>
      </c>
      <c r="DJ9" s="13">
        <v>5.2645519375801093E-2</v>
      </c>
      <c r="DK9" s="13">
        <v>4.6334173530340188E-2</v>
      </c>
      <c r="DL9" s="13">
        <v>7.6330825686454773E-2</v>
      </c>
      <c r="DM9" s="13">
        <v>-6.475723534822464E-2</v>
      </c>
      <c r="DN9" s="13">
        <v>4.6702113002538681E-2</v>
      </c>
      <c r="DO9" s="13">
        <v>-4.7201156616210938E-2</v>
      </c>
      <c r="DP9" s="13">
        <v>3.1396467238664627E-2</v>
      </c>
      <c r="DQ9" s="13">
        <v>4.92582768201828E-2</v>
      </c>
      <c r="DR9" s="13">
        <v>4.8483997583389282E-2</v>
      </c>
      <c r="DS9" s="13">
        <v>-4.2000178247690201E-2</v>
      </c>
      <c r="DT9" s="13">
        <v>4.7626849263906479E-2</v>
      </c>
      <c r="DU9" s="13">
        <v>4.7286637127399438E-2</v>
      </c>
      <c r="DV9" s="13">
        <v>1.50144137442112E-2</v>
      </c>
      <c r="DW9" s="13">
        <v>-6.3924841582775116E-2</v>
      </c>
      <c r="DX9" s="13">
        <v>4.7122903168201447E-2</v>
      </c>
      <c r="DY9" s="13">
        <v>-1.8260244280099869E-2</v>
      </c>
      <c r="DZ9" s="13">
        <v>8.7747782468795776E-2</v>
      </c>
      <c r="EA9" s="13">
        <v>4.5896410942077637E-2</v>
      </c>
      <c r="EB9" s="13">
        <v>-3.0745090916752819E-2</v>
      </c>
      <c r="EC9" s="13">
        <v>3.641965240240097E-2</v>
      </c>
      <c r="ED9" s="13">
        <v>3.9232797920703888E-2</v>
      </c>
      <c r="EE9" s="13">
        <v>4.7465469688177109E-2</v>
      </c>
      <c r="EF9" s="13">
        <v>2.1230563521385189E-2</v>
      </c>
      <c r="EG9" s="13">
        <v>4.3058428913354867E-2</v>
      </c>
      <c r="EH9" s="13">
        <v>6.2204215675592422E-2</v>
      </c>
      <c r="EI9" s="13">
        <v>5.3044430911540992E-2</v>
      </c>
      <c r="EJ9" s="13">
        <v>4.5776788145303733E-2</v>
      </c>
      <c r="EK9" s="13">
        <v>5.0296429544687271E-2</v>
      </c>
      <c r="EL9" s="13">
        <v>4.6629093587398529E-2</v>
      </c>
    </row>
    <row r="10" spans="1:142" x14ac:dyDescent="0.55000000000000004">
      <c r="B10" s="11" t="s">
        <v>144</v>
      </c>
      <c r="C10" s="13">
        <v>2.637306414544582E-2</v>
      </c>
      <c r="D10" s="13">
        <v>4.597201943397522E-2</v>
      </c>
      <c r="E10" s="13">
        <v>-3.1721506267786033E-2</v>
      </c>
      <c r="F10" s="13">
        <v>-3.1267769634723663E-2</v>
      </c>
      <c r="G10" s="13">
        <v>-9.326620027422905E-3</v>
      </c>
      <c r="H10" s="13">
        <v>-4.1918478906154633E-2</v>
      </c>
      <c r="I10" s="13">
        <v>-3.2251551747322078E-3</v>
      </c>
      <c r="J10" s="13">
        <v>-2.9109448194503781E-2</v>
      </c>
      <c r="K10" s="13">
        <v>-1.5017589554190639E-2</v>
      </c>
      <c r="L10" s="13">
        <v>3.2963566482067108E-2</v>
      </c>
      <c r="M10" s="13">
        <v>-4.2787168174982071E-2</v>
      </c>
      <c r="N10" s="13">
        <v>8.8435836136341095E-2</v>
      </c>
      <c r="O10" s="13">
        <v>-1.9587144255638119E-2</v>
      </c>
      <c r="P10" s="13">
        <v>3.8856223225593567E-2</v>
      </c>
      <c r="Q10" s="13">
        <v>2.292590960860252E-2</v>
      </c>
      <c r="R10" s="13">
        <v>9.1378994286060333E-2</v>
      </c>
      <c r="S10" s="13">
        <v>2.1565936505794529E-2</v>
      </c>
      <c r="T10" s="13">
        <v>-1.9828533753752708E-2</v>
      </c>
      <c r="U10" s="13">
        <v>-0.20099139213562009</v>
      </c>
      <c r="V10" s="13">
        <v>-3.1301669776439667E-2</v>
      </c>
      <c r="W10" s="13">
        <v>-3.096821159124374E-2</v>
      </c>
      <c r="X10" s="13">
        <v>-2.945495210587978E-2</v>
      </c>
      <c r="Y10" s="13">
        <v>3.9161346852779388E-2</v>
      </c>
      <c r="Z10" s="13">
        <v>-6.3054509460926056E-2</v>
      </c>
      <c r="AA10" s="13">
        <v>0.29351425170898438</v>
      </c>
      <c r="AB10" s="13">
        <v>-5.1668956875801093E-2</v>
      </c>
      <c r="AC10" s="13">
        <v>-5.8906577527523041E-2</v>
      </c>
      <c r="AD10" s="13">
        <v>-1.479410566389561E-2</v>
      </c>
      <c r="AE10" s="13">
        <v>-8.5164092481136322E-2</v>
      </c>
      <c r="AF10" s="13">
        <v>6.4832724630832672E-2</v>
      </c>
      <c r="AG10" s="13">
        <v>-2.9173806309700009E-2</v>
      </c>
      <c r="AH10" s="13">
        <v>3.0198957771062851E-2</v>
      </c>
      <c r="AI10" s="13">
        <v>-4.7617070376873023E-2</v>
      </c>
      <c r="AJ10" s="13">
        <v>-8.1800997257232666E-2</v>
      </c>
      <c r="AK10" s="13">
        <v>-2.1800028160214421E-2</v>
      </c>
      <c r="AL10" s="13">
        <v>-0.1100530177354813</v>
      </c>
      <c r="AM10" s="13">
        <v>-3.5073071718215942E-2</v>
      </c>
      <c r="AN10" s="13">
        <v>-4.340009018778801E-2</v>
      </c>
      <c r="AO10" s="13">
        <v>0.48250654339790339</v>
      </c>
      <c r="AP10" s="13">
        <v>-2.2009238600730899E-2</v>
      </c>
      <c r="AQ10" s="13">
        <v>-3.320765495300293E-2</v>
      </c>
      <c r="AR10" s="13">
        <v>-3.8729634135961533E-2</v>
      </c>
      <c r="AS10" s="13">
        <v>-2.8297137469053268E-2</v>
      </c>
      <c r="AT10" s="13">
        <v>0.10524175316095349</v>
      </c>
      <c r="AU10" s="13">
        <v>-3.1704992055892937E-2</v>
      </c>
      <c r="AV10" s="13">
        <v>6.7514353431761256E-3</v>
      </c>
      <c r="AW10" s="13">
        <v>-0.96225237846374512</v>
      </c>
      <c r="AX10" s="13">
        <v>4.101233184337616E-2</v>
      </c>
      <c r="AY10" s="13">
        <v>-5.6369602680206299E-3</v>
      </c>
      <c r="AZ10" s="13">
        <v>-5.1676530390977859E-2</v>
      </c>
      <c r="BA10" s="13">
        <v>1.325516775250435E-2</v>
      </c>
      <c r="BB10" s="13">
        <v>4.476025328040123E-2</v>
      </c>
      <c r="BC10" s="13">
        <v>-1.107941567897797E-2</v>
      </c>
      <c r="BD10" s="13">
        <v>-0.38229072093963617</v>
      </c>
      <c r="BE10" s="13">
        <v>-2.2616449743509289E-2</v>
      </c>
      <c r="BF10" s="13">
        <v>-3.5860244184732437E-2</v>
      </c>
      <c r="BG10" s="13">
        <v>-4.5156531035900123E-2</v>
      </c>
      <c r="BH10" s="13">
        <v>4.3198607861995697E-2</v>
      </c>
      <c r="BI10" s="13">
        <v>-3.2893676310777657E-2</v>
      </c>
      <c r="BJ10" s="13">
        <v>-3.3156313002109528E-2</v>
      </c>
      <c r="BK10" s="13">
        <v>-0.49124959111213679</v>
      </c>
      <c r="BL10" s="13">
        <v>-4.1894607245922089E-2</v>
      </c>
      <c r="BM10" s="13">
        <v>-4.8348039388656623E-2</v>
      </c>
      <c r="BN10" s="13">
        <v>2.9559984803199772E-2</v>
      </c>
      <c r="BO10" s="13">
        <v>4.2817052453756332E-2</v>
      </c>
      <c r="BP10" s="13">
        <v>-2.2469896823167801E-2</v>
      </c>
      <c r="BQ10" s="13">
        <v>5.1819421350955963E-2</v>
      </c>
      <c r="BR10" s="13">
        <v>1.8672076985239979E-2</v>
      </c>
      <c r="BS10" s="13">
        <v>1.160447578877211E-2</v>
      </c>
      <c r="BT10" s="13">
        <v>2.1957747638225559E-2</v>
      </c>
      <c r="BU10" s="13">
        <v>-7.4458800256252289E-2</v>
      </c>
      <c r="BV10" s="13">
        <v>9.906383603811264E-2</v>
      </c>
      <c r="BW10" s="13">
        <v>-9.3610800802707672E-2</v>
      </c>
      <c r="BX10" s="13">
        <v>2.0203854888677601E-2</v>
      </c>
      <c r="BY10" s="13">
        <v>-3.2773036509752267E-2</v>
      </c>
      <c r="BZ10" s="13">
        <v>6.5151117742061615E-2</v>
      </c>
      <c r="CA10" s="13">
        <v>-3.612663596868515E-2</v>
      </c>
      <c r="CB10" s="13">
        <v>3.8924302905797958E-2</v>
      </c>
      <c r="CC10" s="13">
        <v>-3.6194797605276108E-2</v>
      </c>
      <c r="CD10" s="13">
        <v>-4.9464032053947449E-2</v>
      </c>
      <c r="CE10" s="13">
        <v>-4.3242655694484711E-2</v>
      </c>
      <c r="CF10" s="13">
        <v>-3.2065954059362411E-2</v>
      </c>
      <c r="CG10" s="13">
        <v>-3.9963260293006897E-2</v>
      </c>
      <c r="CH10" s="13">
        <v>-4.1623290628194809E-2</v>
      </c>
      <c r="CI10" s="13">
        <v>-3.5185825079679489E-2</v>
      </c>
      <c r="CJ10" s="13">
        <v>-4.3707791715860367E-2</v>
      </c>
      <c r="CK10" s="13">
        <v>-2.7694102376699451E-2</v>
      </c>
      <c r="CL10" s="13">
        <v>-3.4954138100147247E-2</v>
      </c>
      <c r="CM10" s="13">
        <v>-4.8744097352027893E-2</v>
      </c>
      <c r="CN10" s="13">
        <v>-1.2399040162563321E-2</v>
      </c>
      <c r="CO10" s="13">
        <v>3.0090915039181709E-2</v>
      </c>
      <c r="CP10" s="13">
        <v>-2.108084037899971E-2</v>
      </c>
      <c r="CQ10" s="13">
        <v>2.5487802922725682E-3</v>
      </c>
      <c r="CR10" s="13">
        <v>0.1063184291124344</v>
      </c>
      <c r="CS10" s="13">
        <v>2.1471921354532238E-2</v>
      </c>
      <c r="CT10" s="13">
        <v>-5.8815300464630127E-2</v>
      </c>
      <c r="CU10" s="13">
        <v>-0.21441565454006201</v>
      </c>
      <c r="CV10" s="13">
        <v>-0.14599728584289551</v>
      </c>
      <c r="CW10" s="13">
        <v>6.59809410572052E-2</v>
      </c>
      <c r="CX10" s="13">
        <v>-0.33112818002700811</v>
      </c>
      <c r="CY10" s="13">
        <v>3.5050917416810989E-2</v>
      </c>
      <c r="CZ10" s="13">
        <v>-0.23087161779403689</v>
      </c>
      <c r="DA10" s="13">
        <v>-9.6895664930343628E-2</v>
      </c>
      <c r="DB10" s="13">
        <v>2.638174407184124E-2</v>
      </c>
      <c r="DC10" s="13">
        <v>-6.4039438962936401E-2</v>
      </c>
      <c r="DD10" s="13">
        <v>-5.3469959646463387E-2</v>
      </c>
      <c r="DE10" s="13">
        <v>-0.13113583624362951</v>
      </c>
      <c r="DF10" s="13">
        <v>-0.13658058643341059</v>
      </c>
      <c r="DG10" s="13">
        <v>-9.4920694828033447E-2</v>
      </c>
      <c r="DH10" s="13">
        <v>-4.2109377682209008E-2</v>
      </c>
      <c r="DI10" s="13">
        <v>-4.0931046009063721E-2</v>
      </c>
      <c r="DJ10" s="13">
        <v>-3.9754342287778847E-2</v>
      </c>
      <c r="DK10" s="13">
        <v>-1.123789604753256E-2</v>
      </c>
      <c r="DL10" s="13">
        <v>-4.6825721859931953E-2</v>
      </c>
      <c r="DM10" s="13">
        <v>4.8449739813804633E-2</v>
      </c>
      <c r="DN10" s="13">
        <v>-1.890873908996582E-2</v>
      </c>
      <c r="DO10" s="13">
        <v>0.1028218641877174</v>
      </c>
      <c r="DP10" s="13">
        <v>-0.26931414008140558</v>
      </c>
      <c r="DQ10" s="13">
        <v>3.6267664283514023E-2</v>
      </c>
      <c r="DR10" s="13">
        <v>7.612089067697525E-2</v>
      </c>
      <c r="DS10" s="13">
        <v>-2.8944762423634529E-2</v>
      </c>
      <c r="DT10" s="13">
        <v>-2.5797775015234951E-2</v>
      </c>
      <c r="DU10" s="13">
        <v>-4.2362723499536507E-2</v>
      </c>
      <c r="DV10" s="13">
        <v>-0.12697815895080569</v>
      </c>
      <c r="DW10" s="13">
        <v>4.2979337275028229E-2</v>
      </c>
      <c r="DX10" s="13">
        <v>-7.1560792624950409E-2</v>
      </c>
      <c r="DY10" s="13">
        <v>-3.8502730429172523E-2</v>
      </c>
      <c r="DZ10" s="13">
        <v>3.6363851279020309E-2</v>
      </c>
      <c r="EA10" s="13">
        <v>3.0139438807964321E-2</v>
      </c>
      <c r="EB10" s="13">
        <v>-9.7088990733027458E-3</v>
      </c>
      <c r="EC10" s="13">
        <v>-5.1103539764881127E-2</v>
      </c>
      <c r="ED10" s="13">
        <v>-2.5845445692539219E-2</v>
      </c>
      <c r="EE10" s="13">
        <v>-0.1043576747179031</v>
      </c>
      <c r="EF10" s="13">
        <v>-3.8098420482128859E-3</v>
      </c>
      <c r="EG10" s="13">
        <v>2.889686077833176E-2</v>
      </c>
      <c r="EH10" s="13">
        <v>-4.2595401406288147E-2</v>
      </c>
      <c r="EI10" s="13">
        <v>9.3854136765003204E-2</v>
      </c>
      <c r="EJ10" s="13">
        <v>5.9465162456035607E-2</v>
      </c>
      <c r="EK10" s="13">
        <v>-3.2820709049701691E-2</v>
      </c>
      <c r="EL10" s="13">
        <v>5.8637633919715881E-2</v>
      </c>
    </row>
    <row r="11" spans="1:142" x14ac:dyDescent="0.55000000000000004">
      <c r="B11" s="14" t="s">
        <v>145</v>
      </c>
      <c r="C11" s="13">
        <v>4.0603967499919241E-4</v>
      </c>
      <c r="D11" s="13">
        <v>5.033792182803154E-2</v>
      </c>
      <c r="E11" s="13">
        <v>-3.8914486765861511E-2</v>
      </c>
      <c r="F11" s="13">
        <v>-1.194990426301956E-2</v>
      </c>
      <c r="G11" s="13">
        <v>-3.4719966351985931E-3</v>
      </c>
      <c r="H11" s="13">
        <v>-1.7202273011207581E-2</v>
      </c>
      <c r="I11" s="13">
        <v>3.4106865525245673E-2</v>
      </c>
      <c r="J11" s="13">
        <v>3.247595950961113E-2</v>
      </c>
      <c r="K11" s="13">
        <v>3.4649442881345749E-2</v>
      </c>
      <c r="L11" s="13">
        <v>-0.14336225390434271</v>
      </c>
      <c r="M11" s="13">
        <v>-2.938468940556049E-2</v>
      </c>
      <c r="N11" s="13">
        <v>1.8640816211700439E-2</v>
      </c>
      <c r="O11" s="13">
        <v>3.4841738641262048E-2</v>
      </c>
      <c r="P11" s="13">
        <v>-6.0275918804109097E-4</v>
      </c>
      <c r="Q11" s="13">
        <v>-1.1749310418963431E-2</v>
      </c>
      <c r="R11" s="13">
        <v>1.7349295318126678E-2</v>
      </c>
      <c r="S11" s="13">
        <v>4.1421286761760712E-2</v>
      </c>
      <c r="T11" s="13">
        <v>-4.5294873416423798E-2</v>
      </c>
      <c r="U11" s="13">
        <v>-6.3638943247497082E-3</v>
      </c>
      <c r="V11" s="13">
        <v>3.342755138874054E-2</v>
      </c>
      <c r="W11" s="13">
        <v>3.600490465760231E-2</v>
      </c>
      <c r="X11" s="13">
        <v>-6.4424417912960052E-2</v>
      </c>
      <c r="Y11" s="13">
        <v>-5.0558405928313732E-3</v>
      </c>
      <c r="Z11" s="13">
        <v>-2.7877837419509891E-2</v>
      </c>
      <c r="AA11" s="13">
        <v>3.861604630947113E-2</v>
      </c>
      <c r="AB11" s="13">
        <v>-4.1370157152414322E-2</v>
      </c>
      <c r="AC11" s="13">
        <v>-2.444838359951973E-2</v>
      </c>
      <c r="AD11" s="13">
        <v>4.1641086339950562E-2</v>
      </c>
      <c r="AE11" s="13">
        <v>-9.2225760221481323E-2</v>
      </c>
      <c r="AF11" s="13">
        <v>-2.9623918235301971E-2</v>
      </c>
      <c r="AG11" s="13">
        <v>7.2603732347488403E-2</v>
      </c>
      <c r="AH11" s="13">
        <v>-2.5543451309204102E-2</v>
      </c>
      <c r="AI11" s="13">
        <v>2.6856813579797741E-2</v>
      </c>
      <c r="AJ11" s="13">
        <v>-3.6161798983812332E-2</v>
      </c>
      <c r="AK11" s="13">
        <v>-2.3803045973181721E-2</v>
      </c>
      <c r="AL11" s="13">
        <v>-2.6720678433775902E-3</v>
      </c>
      <c r="AM11" s="13">
        <v>-3.301555290818214E-3</v>
      </c>
      <c r="AN11" s="13">
        <v>7.7517644967883825E-5</v>
      </c>
      <c r="AO11" s="13">
        <v>-6.8618282675743103E-2</v>
      </c>
      <c r="AP11" s="13">
        <v>3.7031527608633041E-2</v>
      </c>
      <c r="AQ11" s="13">
        <v>2.3109108209609989E-2</v>
      </c>
      <c r="AR11" s="13">
        <v>-7.1197360754013062E-2</v>
      </c>
      <c r="AS11" s="13">
        <v>-4.7974057495594018E-2</v>
      </c>
      <c r="AT11" s="13">
        <v>-6.1735827475786209E-2</v>
      </c>
      <c r="AU11" s="13">
        <v>1.724289171397686E-2</v>
      </c>
      <c r="AV11" s="13">
        <v>-5.7472378015518188E-2</v>
      </c>
      <c r="AW11" s="13">
        <v>-6.2709540128707886E-2</v>
      </c>
      <c r="AX11" s="13">
        <v>-5.8146975934505463E-2</v>
      </c>
      <c r="AY11" s="13">
        <v>0.1052219867706299</v>
      </c>
      <c r="AZ11" s="13">
        <v>1.116979215294123E-2</v>
      </c>
      <c r="BA11" s="13">
        <v>3.6679205950349569E-3</v>
      </c>
      <c r="BB11" s="13">
        <v>1.8173787742853161E-2</v>
      </c>
      <c r="BC11" s="13">
        <v>5.2103251218795776E-3</v>
      </c>
      <c r="BD11" s="13">
        <v>1.384157687425613E-3</v>
      </c>
      <c r="BE11" s="13">
        <v>6.3530579209327698E-3</v>
      </c>
      <c r="BF11" s="13">
        <v>1.0895224288105959E-2</v>
      </c>
      <c r="BG11" s="13">
        <v>-3.511882852762938E-3</v>
      </c>
      <c r="BH11" s="13">
        <v>5.6244018487632266E-3</v>
      </c>
      <c r="BI11" s="13">
        <v>6.7682020366191864E-2</v>
      </c>
      <c r="BJ11" s="13">
        <v>3.9736120961606503E-3</v>
      </c>
      <c r="BK11" s="13">
        <v>3.06558832526207E-2</v>
      </c>
      <c r="BL11" s="13">
        <v>-1.213217433542013E-2</v>
      </c>
      <c r="BM11" s="13">
        <v>-2.099542878568172E-3</v>
      </c>
      <c r="BN11" s="13">
        <v>1.6873575747013089E-2</v>
      </c>
      <c r="BO11" s="13">
        <v>-1.410196349024773E-2</v>
      </c>
      <c r="BP11" s="13">
        <v>8.5541605949401855E-3</v>
      </c>
      <c r="BQ11" s="13">
        <v>-1.843594387173653E-2</v>
      </c>
      <c r="BR11" s="13">
        <v>-1.3599623925983909E-2</v>
      </c>
      <c r="BS11" s="13">
        <v>-1.4013238251209259E-3</v>
      </c>
      <c r="BT11" s="13">
        <v>3.7923485040664673E-2</v>
      </c>
      <c r="BU11" s="13">
        <v>1.2471701018512251E-2</v>
      </c>
      <c r="BV11" s="13">
        <v>-4.7056503593921661E-2</v>
      </c>
      <c r="BW11" s="13">
        <v>2.1625479683279991E-2</v>
      </c>
      <c r="BX11" s="13">
        <v>3.5244729369878769E-3</v>
      </c>
      <c r="BY11" s="13">
        <v>3.00147756934166E-3</v>
      </c>
      <c r="BZ11" s="13">
        <v>-1.2442688457667829E-2</v>
      </c>
      <c r="CA11" s="13">
        <v>4.5838907361030579E-2</v>
      </c>
      <c r="CB11" s="13">
        <v>-9.8906513303518295E-3</v>
      </c>
      <c r="CC11" s="13">
        <v>-2.804244169965386E-3</v>
      </c>
      <c r="CD11" s="13">
        <v>-8.6774525698274374E-4</v>
      </c>
      <c r="CE11" s="13">
        <v>9.1528939083218575E-3</v>
      </c>
      <c r="CF11" s="13">
        <v>2.271990850567818E-2</v>
      </c>
      <c r="CG11" s="13">
        <v>3.3768331632018089E-3</v>
      </c>
      <c r="CH11" s="13">
        <v>1.89636554569006E-2</v>
      </c>
      <c r="CI11" s="13">
        <v>9.1768182814121246E-2</v>
      </c>
      <c r="CJ11" s="13">
        <v>-6.3939411193132401E-3</v>
      </c>
      <c r="CK11" s="13">
        <v>1.4165259897708889E-2</v>
      </c>
      <c r="CL11" s="13">
        <v>4.0824571624398232E-3</v>
      </c>
      <c r="CM11" s="13">
        <v>1.057987939566374E-2</v>
      </c>
      <c r="CN11" s="13">
        <v>2.165891602635384E-2</v>
      </c>
      <c r="CO11" s="13">
        <v>0.14323921501636511</v>
      </c>
      <c r="CP11" s="13">
        <v>1.87258655205369E-3</v>
      </c>
      <c r="CQ11" s="13">
        <v>-3.9175484329462051E-2</v>
      </c>
      <c r="CR11" s="13">
        <v>-4.6743908897042266E-3</v>
      </c>
      <c r="CS11" s="13">
        <v>-3.9905324578285217E-2</v>
      </c>
      <c r="CT11" s="13">
        <v>5.7113836519420147E-3</v>
      </c>
      <c r="CU11" s="13">
        <v>1.7015844583511349E-2</v>
      </c>
      <c r="CV11" s="13">
        <v>-1.173017732799053E-2</v>
      </c>
      <c r="CW11" s="13">
        <v>-1.8561026081442829E-2</v>
      </c>
      <c r="CX11" s="13">
        <v>2.7230728417634961E-2</v>
      </c>
      <c r="CY11" s="13">
        <v>2.5908022653311491E-3</v>
      </c>
      <c r="CZ11" s="13">
        <v>6.3109919428825378E-2</v>
      </c>
      <c r="DA11" s="13">
        <v>3.5137373954057687E-2</v>
      </c>
      <c r="DB11" s="13">
        <v>7.0190709084272376E-3</v>
      </c>
      <c r="DC11" s="13">
        <v>1.0706442408263679E-3</v>
      </c>
      <c r="DD11" s="13">
        <v>2.7740933001041408E-3</v>
      </c>
      <c r="DE11" s="13">
        <v>-2.5716772302985191E-2</v>
      </c>
      <c r="DF11" s="13">
        <v>1.4139115810394289E-3</v>
      </c>
      <c r="DG11" s="13">
        <v>-9.6192983910441399E-3</v>
      </c>
      <c r="DH11" s="13">
        <v>-1.259769313037395E-3</v>
      </c>
      <c r="DI11" s="13">
        <v>-1.6325067728757858E-2</v>
      </c>
      <c r="DJ11" s="13">
        <v>-2.2702464833855629E-2</v>
      </c>
      <c r="DK11" s="13">
        <v>-3.4234081394970421E-3</v>
      </c>
      <c r="DL11" s="13">
        <v>1.948068151250482E-3</v>
      </c>
      <c r="DM11" s="13">
        <v>-0.25882810354232788</v>
      </c>
      <c r="DN11" s="13">
        <v>-4.3664040276780719E-4</v>
      </c>
      <c r="DO11" s="13">
        <v>1.356407813727856E-2</v>
      </c>
      <c r="DP11" s="13">
        <v>8.5415281355381012E-3</v>
      </c>
      <c r="DQ11" s="13">
        <v>5.5505207274109125E-4</v>
      </c>
      <c r="DR11" s="13">
        <v>2.8228277340531349E-2</v>
      </c>
      <c r="DS11" s="13">
        <v>1.2090692762285471E-3</v>
      </c>
      <c r="DT11" s="13">
        <v>3.7493379786610599E-3</v>
      </c>
      <c r="DU11" s="13">
        <v>1.854668371379375E-3</v>
      </c>
      <c r="DV11" s="13">
        <v>-2.3645691573619839E-2</v>
      </c>
      <c r="DW11" s="13">
        <v>-3.1537488102912898E-3</v>
      </c>
      <c r="DX11" s="13">
        <v>1.5400387346744541E-2</v>
      </c>
      <c r="DY11" s="13">
        <v>1.2764680199325079E-2</v>
      </c>
      <c r="DZ11" s="13">
        <v>3.1485959887504578E-2</v>
      </c>
      <c r="EA11" s="13">
        <v>7.2265844792127609E-3</v>
      </c>
      <c r="EB11" s="13">
        <v>-1.533120521344244E-3</v>
      </c>
      <c r="EC11" s="13">
        <v>2.0921340212225911E-2</v>
      </c>
      <c r="ED11" s="13">
        <v>-3.2300027087330818E-3</v>
      </c>
      <c r="EE11" s="13">
        <v>-0.10347997397184371</v>
      </c>
      <c r="EF11" s="13">
        <v>4.9948068335652351E-3</v>
      </c>
      <c r="EG11" s="13">
        <v>8.221927285194397E-2</v>
      </c>
      <c r="EH11" s="13">
        <v>7.1446478366851807E-2</v>
      </c>
      <c r="EI11" s="13">
        <v>2.0742105320096019E-2</v>
      </c>
      <c r="EJ11" s="13">
        <v>4.8550190404057503E-3</v>
      </c>
      <c r="EK11" s="13">
        <v>1.1217719875276091E-3</v>
      </c>
      <c r="EL11" s="13">
        <v>-7.0758596062660217E-2</v>
      </c>
    </row>
    <row r="13" spans="1:142" x14ac:dyDescent="0.55000000000000004">
      <c r="A13" s="12" t="s">
        <v>281</v>
      </c>
      <c r="B13" s="11" t="s">
        <v>143</v>
      </c>
      <c r="C13" s="12">
        <f t="shared" ref="C13:AH13" si="0">(C3-C9)^2</f>
        <v>4.4825427345622769E-4</v>
      </c>
      <c r="D13" s="12">
        <f t="shared" si="0"/>
        <v>8.1191979777989448E-4</v>
      </c>
      <c r="E13" s="12">
        <f t="shared" si="0"/>
        <v>3.1232090243974442E-2</v>
      </c>
      <c r="F13" s="12">
        <f t="shared" si="0"/>
        <v>1.4411236074888228E-2</v>
      </c>
      <c r="G13" s="12">
        <f t="shared" si="0"/>
        <v>1.8585061258337553E-3</v>
      </c>
      <c r="H13" s="12">
        <f t="shared" si="0"/>
        <v>1.7759780439772278E-3</v>
      </c>
      <c r="I13" s="12">
        <f t="shared" si="0"/>
        <v>8.8710807155618378E-4</v>
      </c>
      <c r="J13" s="12">
        <f t="shared" si="0"/>
        <v>1.1712904284076724E-3</v>
      </c>
      <c r="K13" s="12">
        <f t="shared" si="0"/>
        <v>3.381605486691348E-3</v>
      </c>
      <c r="L13" s="12">
        <f t="shared" si="0"/>
        <v>2.3817511013723156E-3</v>
      </c>
      <c r="M13" s="12">
        <f t="shared" si="0"/>
        <v>1.0460865922911284E-3</v>
      </c>
      <c r="N13" s="12">
        <f t="shared" si="0"/>
        <v>5.1161063468360794E-3</v>
      </c>
      <c r="O13" s="12">
        <f t="shared" si="0"/>
        <v>4.2364723963723271E-3</v>
      </c>
      <c r="P13" s="12">
        <f t="shared" si="0"/>
        <v>3.1256943638467748E-3</v>
      </c>
      <c r="Q13" s="12">
        <f t="shared" si="0"/>
        <v>7.3142280468980331E-4</v>
      </c>
      <c r="R13" s="12">
        <f t="shared" si="0"/>
        <v>2.2217023739136868E-3</v>
      </c>
      <c r="S13" s="12">
        <f t="shared" si="0"/>
        <v>6.311440231457916E-3</v>
      </c>
      <c r="T13" s="12">
        <f t="shared" si="0"/>
        <v>2.2106290080345291E-5</v>
      </c>
      <c r="U13" s="12">
        <f t="shared" si="0"/>
        <v>7.4110037444716009E-4</v>
      </c>
      <c r="V13" s="12">
        <f t="shared" si="0"/>
        <v>1.1781795329584286E-4</v>
      </c>
      <c r="W13" s="12">
        <f t="shared" si="0"/>
        <v>9.7715431899707771E-4</v>
      </c>
      <c r="X13" s="12">
        <f t="shared" si="0"/>
        <v>2.1616681222712615E-3</v>
      </c>
      <c r="Y13" s="12">
        <f t="shared" si="0"/>
        <v>5.1782222728988309E-5</v>
      </c>
      <c r="Z13" s="12">
        <f t="shared" si="0"/>
        <v>4.6531771270697902E-4</v>
      </c>
      <c r="AA13" s="12">
        <f t="shared" si="0"/>
        <v>1.4610391089474623E-3</v>
      </c>
      <c r="AB13" s="12">
        <f t="shared" si="0"/>
        <v>5.0456883213880338E-3</v>
      </c>
      <c r="AC13" s="12">
        <f t="shared" si="0"/>
        <v>5.8060513014223353E-6</v>
      </c>
      <c r="AD13" s="12">
        <f t="shared" si="0"/>
        <v>1.9255726460857238E-4</v>
      </c>
      <c r="AE13" s="12">
        <f t="shared" si="0"/>
        <v>6.5191226408350825E-3</v>
      </c>
      <c r="AF13" s="12">
        <f t="shared" si="0"/>
        <v>2.9895580510070096E-3</v>
      </c>
      <c r="AG13" s="12">
        <f t="shared" si="0"/>
        <v>8.1535428297738926E-4</v>
      </c>
      <c r="AH13" s="12">
        <f t="shared" si="0"/>
        <v>9.6283906039440251E-5</v>
      </c>
      <c r="AI13" s="12">
        <f t="shared" ref="AI13:BN13" si="1">(AI3-AI9)^2</f>
        <v>1.6120524522607682E-3</v>
      </c>
      <c r="AJ13" s="12">
        <f t="shared" si="1"/>
        <v>7.2213561234434022E-3</v>
      </c>
      <c r="AK13" s="12">
        <f t="shared" si="1"/>
        <v>1.9006702131557152E-4</v>
      </c>
      <c r="AL13" s="12">
        <f t="shared" si="1"/>
        <v>5.2070042584068856E-3</v>
      </c>
      <c r="AM13" s="12">
        <f t="shared" si="1"/>
        <v>2.0752483003694459E-4</v>
      </c>
      <c r="AN13" s="12">
        <f t="shared" si="1"/>
        <v>9.6000899941929355E-3</v>
      </c>
      <c r="AO13" s="12">
        <f t="shared" si="1"/>
        <v>4.3023161083089129E-4</v>
      </c>
      <c r="AP13" s="12">
        <f t="shared" si="1"/>
        <v>6.5825660962343574E-5</v>
      </c>
      <c r="AQ13" s="12">
        <f t="shared" si="1"/>
        <v>8.0837287523160967E-3</v>
      </c>
      <c r="AR13" s="12">
        <f t="shared" si="1"/>
        <v>2.8486775699915002E-3</v>
      </c>
      <c r="AS13" s="12">
        <f t="shared" si="1"/>
        <v>4.1301468987108686E-4</v>
      </c>
      <c r="AT13" s="12">
        <f t="shared" si="1"/>
        <v>1.202356868936349E-3</v>
      </c>
      <c r="AU13" s="12">
        <f t="shared" si="1"/>
        <v>5.7482361291589486E-3</v>
      </c>
      <c r="AV13" s="12">
        <f t="shared" si="1"/>
        <v>6.4401076591347924E-3</v>
      </c>
      <c r="AW13" s="12">
        <f t="shared" si="1"/>
        <v>1.0715750052789203E-7</v>
      </c>
      <c r="AX13" s="12">
        <f t="shared" si="1"/>
        <v>1.5437135143491244E-4</v>
      </c>
      <c r="AY13" s="12">
        <f t="shared" si="1"/>
        <v>7.9574945959519892E-4</v>
      </c>
      <c r="AZ13" s="12">
        <f t="shared" si="1"/>
        <v>8.599417408087528E-4</v>
      </c>
      <c r="BA13" s="12">
        <f t="shared" si="1"/>
        <v>7.2799259485744816E-3</v>
      </c>
      <c r="BB13" s="12">
        <f t="shared" si="1"/>
        <v>3.0868913428844166E-3</v>
      </c>
      <c r="BC13" s="12">
        <f t="shared" si="1"/>
        <v>1.1435863987220228E-4</v>
      </c>
      <c r="BD13" s="12">
        <f t="shared" si="1"/>
        <v>1.057396883141689E-4</v>
      </c>
      <c r="BE13" s="12">
        <f t="shared" si="1"/>
        <v>2.333711084008371E-3</v>
      </c>
      <c r="BF13" s="12">
        <f t="shared" si="1"/>
        <v>2.8884278957084179E-3</v>
      </c>
      <c r="BG13" s="12">
        <f t="shared" si="1"/>
        <v>5.8360294873449788E-4</v>
      </c>
      <c r="BH13" s="12">
        <f t="shared" si="1"/>
        <v>5.2232556925851468E-3</v>
      </c>
      <c r="BI13" s="12">
        <f t="shared" si="1"/>
        <v>3.3308803532310668E-3</v>
      </c>
      <c r="BJ13" s="12">
        <f t="shared" si="1"/>
        <v>7.3340193546164783E-3</v>
      </c>
      <c r="BK13" s="12">
        <f t="shared" si="1"/>
        <v>6.1031627209086696E-5</v>
      </c>
      <c r="BL13" s="12">
        <f t="shared" si="1"/>
        <v>1.166994881402602E-4</v>
      </c>
      <c r="BM13" s="12">
        <f t="shared" si="1"/>
        <v>1.6628512360495767E-2</v>
      </c>
      <c r="BN13" s="12">
        <f t="shared" si="1"/>
        <v>4.4305649315365192E-4</v>
      </c>
      <c r="BO13" s="12">
        <f t="shared" ref="BO13:CT13" si="2">(BO3-BO9)^2</f>
        <v>4.6791169053148399E-4</v>
      </c>
      <c r="BP13" s="12">
        <f t="shared" si="2"/>
        <v>5.9739237016921902E-7</v>
      </c>
      <c r="BQ13" s="12">
        <f t="shared" si="2"/>
        <v>2.6488105935787768E-4</v>
      </c>
      <c r="BR13" s="12">
        <f t="shared" si="2"/>
        <v>3.163597218732986E-4</v>
      </c>
      <c r="BS13" s="12">
        <f t="shared" si="2"/>
        <v>2.7611498156488882E-4</v>
      </c>
      <c r="BT13" s="12">
        <f t="shared" si="2"/>
        <v>1.077418440297751E-4</v>
      </c>
      <c r="BU13" s="12">
        <f t="shared" si="2"/>
        <v>2.4553309165421342E-3</v>
      </c>
      <c r="BV13" s="12">
        <f t="shared" si="2"/>
        <v>7.0555779368104872E-3</v>
      </c>
      <c r="BW13" s="12">
        <f t="shared" si="2"/>
        <v>1.4145882639377753E-3</v>
      </c>
      <c r="BX13" s="12">
        <f t="shared" si="2"/>
        <v>1.3325458667547724E-5</v>
      </c>
      <c r="BY13" s="12">
        <f t="shared" si="2"/>
        <v>1.4756268510130152E-4</v>
      </c>
      <c r="BZ13" s="12">
        <f t="shared" si="2"/>
        <v>1.8135758979943744E-4</v>
      </c>
      <c r="CA13" s="12">
        <f t="shared" si="2"/>
        <v>5.3940992504293173E-3</v>
      </c>
      <c r="CB13" s="12">
        <f t="shared" si="2"/>
        <v>3.5799030393910596E-3</v>
      </c>
      <c r="CC13" s="12">
        <f t="shared" si="2"/>
        <v>1.0035865891996135E-3</v>
      </c>
      <c r="CD13" s="12">
        <f t="shared" si="2"/>
        <v>4.32639632154045E-5</v>
      </c>
      <c r="CE13" s="12">
        <f t="shared" si="2"/>
        <v>2.3727622400639522E-4</v>
      </c>
      <c r="CF13" s="12">
        <f t="shared" si="2"/>
        <v>1.4650116917094089E-5</v>
      </c>
      <c r="CG13" s="12">
        <f t="shared" si="2"/>
        <v>9.9015618379017997E-4</v>
      </c>
      <c r="CH13" s="12">
        <f t="shared" si="2"/>
        <v>1.3377796499086319E-4</v>
      </c>
      <c r="CI13" s="12">
        <f t="shared" si="2"/>
        <v>2.1803332074401332E-4</v>
      </c>
      <c r="CJ13" s="12">
        <f t="shared" si="2"/>
        <v>4.7665652353888931E-5</v>
      </c>
      <c r="CK13" s="12">
        <f t="shared" si="2"/>
        <v>3.6777404254667197E-3</v>
      </c>
      <c r="CL13" s="12">
        <f t="shared" si="2"/>
        <v>4.0283109964907277E-5</v>
      </c>
      <c r="CM13" s="12">
        <f t="shared" si="2"/>
        <v>6.6696748966520072E-4</v>
      </c>
      <c r="CN13" s="12">
        <f t="shared" si="2"/>
        <v>3.7128364971829395E-4</v>
      </c>
      <c r="CO13" s="12">
        <f t="shared" si="2"/>
        <v>5.2013691267577482E-7</v>
      </c>
      <c r="CP13" s="12">
        <f t="shared" si="2"/>
        <v>4.7140963246169645E-3</v>
      </c>
      <c r="CQ13" s="12">
        <f t="shared" si="2"/>
        <v>2.6224143523655507E-5</v>
      </c>
      <c r="CR13" s="12">
        <f t="shared" si="2"/>
        <v>2.8176731577147732E-3</v>
      </c>
      <c r="CS13" s="12">
        <f t="shared" si="2"/>
        <v>1.0912859136595558E-3</v>
      </c>
      <c r="CT13" s="12">
        <f t="shared" si="2"/>
        <v>4.8853740749978363E-4</v>
      </c>
      <c r="CU13" s="12">
        <f t="shared" ref="CU13:DZ13" si="3">(CU3-CU9)^2</f>
        <v>2.6782508579453313E-5</v>
      </c>
      <c r="CV13" s="12">
        <f t="shared" si="3"/>
        <v>9.7427422043994615E-4</v>
      </c>
      <c r="CW13" s="12">
        <f t="shared" si="3"/>
        <v>2.7750864524995371E-4</v>
      </c>
      <c r="CX13" s="12">
        <f t="shared" si="3"/>
        <v>7.2688780620870424E-3</v>
      </c>
      <c r="CY13" s="12">
        <f t="shared" si="3"/>
        <v>1.589644756387133E-4</v>
      </c>
      <c r="CZ13" s="12">
        <f t="shared" si="3"/>
        <v>1.0957643739908181E-3</v>
      </c>
      <c r="DA13" s="12">
        <f t="shared" si="3"/>
        <v>2.8198280147765415E-5</v>
      </c>
      <c r="DB13" s="12">
        <f t="shared" si="3"/>
        <v>1.871975265921125E-4</v>
      </c>
      <c r="DC13" s="12">
        <f t="shared" si="3"/>
        <v>2.6859045388228325E-3</v>
      </c>
      <c r="DD13" s="12">
        <f t="shared" si="3"/>
        <v>7.6237118199207581E-3</v>
      </c>
      <c r="DE13" s="12">
        <f t="shared" si="3"/>
        <v>2.4515096378553339E-4</v>
      </c>
      <c r="DF13" s="12">
        <f t="shared" si="3"/>
        <v>5.940745479119822E-5</v>
      </c>
      <c r="DG13" s="12">
        <f t="shared" si="3"/>
        <v>1.4565682462034969E-5</v>
      </c>
      <c r="DH13" s="12">
        <f t="shared" si="3"/>
        <v>3.4454571905226064E-2</v>
      </c>
      <c r="DI13" s="12">
        <f t="shared" si="3"/>
        <v>1.5028469317123512E-5</v>
      </c>
      <c r="DJ13" s="12">
        <f t="shared" si="3"/>
        <v>2.1894068376852177E-4</v>
      </c>
      <c r="DK13" s="12">
        <f t="shared" si="3"/>
        <v>1.3719277884679203E-4</v>
      </c>
      <c r="DL13" s="12">
        <f t="shared" si="3"/>
        <v>1.6310647197629027E-3</v>
      </c>
      <c r="DM13" s="12">
        <f t="shared" si="3"/>
        <v>9.8401925492211922E-3</v>
      </c>
      <c r="DN13" s="12">
        <f t="shared" si="3"/>
        <v>1.6847111304863194E-5</v>
      </c>
      <c r="DO13" s="12">
        <f t="shared" si="3"/>
        <v>8.3910136339910586E-3</v>
      </c>
      <c r="DP13" s="12">
        <f t="shared" si="3"/>
        <v>8.4675376123880791E-5</v>
      </c>
      <c r="DQ13" s="12">
        <f t="shared" si="3"/>
        <v>7.482587412736087E-5</v>
      </c>
      <c r="DR13" s="12">
        <f t="shared" si="3"/>
        <v>4.474346686489735E-5</v>
      </c>
      <c r="DS13" s="12">
        <f t="shared" si="3"/>
        <v>8.4252491835870927E-3</v>
      </c>
      <c r="DT13" s="12">
        <f t="shared" si="3"/>
        <v>7.0758045479613788E-6</v>
      </c>
      <c r="DU13" s="12">
        <f t="shared" si="3"/>
        <v>6.5128991636211639E-5</v>
      </c>
      <c r="DV13" s="12">
        <f t="shared" si="3"/>
        <v>6.2195617121001124E-4</v>
      </c>
      <c r="DW13" s="12">
        <f t="shared" si="3"/>
        <v>1.2519728974655496E-2</v>
      </c>
      <c r="DX13" s="12">
        <f t="shared" si="3"/>
        <v>1.6040308357977566E-10</v>
      </c>
      <c r="DY13" s="12">
        <f t="shared" si="3"/>
        <v>4.7529300164465939E-3</v>
      </c>
      <c r="DZ13" s="12">
        <f t="shared" si="3"/>
        <v>1.8299854048581751E-3</v>
      </c>
      <c r="EA13" s="12">
        <f t="shared" ref="EA13:EL13" si="4">(EA3-EA9)^2</f>
        <v>1.2232822466101023E-6</v>
      </c>
      <c r="EB13" s="12">
        <f t="shared" si="4"/>
        <v>5.898981735728801E-3</v>
      </c>
      <c r="EC13" s="12">
        <f t="shared" si="4"/>
        <v>1.1142307833872599E-3</v>
      </c>
      <c r="ED13" s="12">
        <f t="shared" si="4"/>
        <v>9.4385903948602384E-5</v>
      </c>
      <c r="EE13" s="12">
        <f t="shared" si="4"/>
        <v>8.8562273412994583E-6</v>
      </c>
      <c r="EF13" s="12">
        <f t="shared" si="4"/>
        <v>1.707325257381111E-4</v>
      </c>
      <c r="EG13" s="12">
        <f t="shared" si="4"/>
        <v>1.0473799517387577E-5</v>
      </c>
      <c r="EH13" s="12">
        <f t="shared" si="4"/>
        <v>9.8942172379596184E-4</v>
      </c>
      <c r="EI13" s="12">
        <f t="shared" si="4"/>
        <v>5.4238462194772837E-4</v>
      </c>
      <c r="EJ13" s="12">
        <f t="shared" si="4"/>
        <v>1.2183937483254579E-4</v>
      </c>
      <c r="EK13" s="12">
        <f t="shared" si="4"/>
        <v>5.3757964961790639E-4</v>
      </c>
      <c r="EL13" s="12">
        <f t="shared" si="4"/>
        <v>3.6228880450228423E-4</v>
      </c>
    </row>
    <row r="14" spans="1:142" x14ac:dyDescent="0.55000000000000004">
      <c r="B14" s="11" t="s">
        <v>144</v>
      </c>
      <c r="C14" s="12">
        <f t="shared" ref="C14:AH14" si="5">(C4-C10)^2</f>
        <v>3.5674493183065282E-3</v>
      </c>
      <c r="D14" s="12">
        <f t="shared" si="5"/>
        <v>6.7998120361803709E-3</v>
      </c>
      <c r="E14" s="12">
        <f t="shared" si="5"/>
        <v>9.7532071681046548E-4</v>
      </c>
      <c r="F14" s="12">
        <f t="shared" si="5"/>
        <v>5.1108626365336772E-3</v>
      </c>
      <c r="G14" s="12">
        <f t="shared" si="5"/>
        <v>4.9221322633070403E-3</v>
      </c>
      <c r="H14" s="12">
        <f t="shared" si="5"/>
        <v>1.0705387075956307E-3</v>
      </c>
      <c r="I14" s="12">
        <f t="shared" si="5"/>
        <v>3.2579004148767803E-3</v>
      </c>
      <c r="J14" s="12">
        <f t="shared" si="5"/>
        <v>1.0312144776170019E-3</v>
      </c>
      <c r="K14" s="12">
        <f t="shared" si="5"/>
        <v>2.3461323196032158E-3</v>
      </c>
      <c r="L14" s="12">
        <f t="shared" si="5"/>
        <v>6.723240527978889E-3</v>
      </c>
      <c r="M14" s="12">
        <f t="shared" si="5"/>
        <v>1.736696212246648E-4</v>
      </c>
      <c r="N14" s="12">
        <f t="shared" si="5"/>
        <v>1.5766129676004801E-2</v>
      </c>
      <c r="O14" s="12">
        <f t="shared" si="5"/>
        <v>6.3826763206809175E-4</v>
      </c>
      <c r="P14" s="12">
        <f t="shared" si="5"/>
        <v>9.8935245898084043E-3</v>
      </c>
      <c r="Q14" s="12">
        <f t="shared" si="5"/>
        <v>7.1142842062573586E-3</v>
      </c>
      <c r="R14" s="12">
        <f t="shared" si="5"/>
        <v>1.7912098070890479E-2</v>
      </c>
      <c r="S14" s="12">
        <f t="shared" si="5"/>
        <v>3.8127307076270688E-3</v>
      </c>
      <c r="T14" s="12">
        <f t="shared" si="5"/>
        <v>5.4549001464933766E-4</v>
      </c>
      <c r="U14" s="12">
        <f t="shared" si="5"/>
        <v>3.0737230825667764E-2</v>
      </c>
      <c r="V14" s="12">
        <f t="shared" si="5"/>
        <v>1.1535823890695954E-4</v>
      </c>
      <c r="W14" s="12">
        <f t="shared" si="5"/>
        <v>1.9426737282971982E-4</v>
      </c>
      <c r="X14" s="12">
        <f t="shared" si="5"/>
        <v>9.927058683724376E-5</v>
      </c>
      <c r="Y14" s="12">
        <f t="shared" si="5"/>
        <v>6.9429036083649819E-3</v>
      </c>
      <c r="Z14" s="12">
        <f t="shared" si="5"/>
        <v>3.6335242199673232E-4</v>
      </c>
      <c r="AA14" s="12">
        <f t="shared" si="5"/>
        <v>0.10676856609094609</v>
      </c>
      <c r="AB14" s="12">
        <f t="shared" si="5"/>
        <v>5.4340746006539039E-4</v>
      </c>
      <c r="AC14" s="12">
        <f t="shared" si="5"/>
        <v>1.6935489354207983E-3</v>
      </c>
      <c r="AD14" s="12">
        <f t="shared" si="5"/>
        <v>2.1148660045804191E-5</v>
      </c>
      <c r="AE14" s="12">
        <f t="shared" si="5"/>
        <v>2.8411068768882317E-3</v>
      </c>
      <c r="AF14" s="12">
        <f t="shared" si="5"/>
        <v>9.7154575006497771E-3</v>
      </c>
      <c r="AG14" s="12">
        <f t="shared" si="5"/>
        <v>5.7292907316869128E-4</v>
      </c>
      <c r="AH14" s="12">
        <f t="shared" si="5"/>
        <v>2.3465127951708001E-3</v>
      </c>
      <c r="AI14" s="12">
        <f t="shared" ref="AI14:BN14" si="6">(AI4-AI10)^2</f>
        <v>3.7384654748423839E-4</v>
      </c>
      <c r="AJ14" s="12">
        <f t="shared" si="6"/>
        <v>3.0742548386098224E-3</v>
      </c>
      <c r="AK14" s="12">
        <f t="shared" si="6"/>
        <v>6.023159940075301E-5</v>
      </c>
      <c r="AL14" s="12">
        <f t="shared" si="6"/>
        <v>6.3491962812801429E-3</v>
      </c>
      <c r="AM14" s="12">
        <f t="shared" si="6"/>
        <v>1.5566957987764551E-4</v>
      </c>
      <c r="AN14" s="12">
        <f t="shared" si="6"/>
        <v>1.7280357781902051E-4</v>
      </c>
      <c r="AO14" s="12">
        <f t="shared" si="6"/>
        <v>0.2613477128437619</v>
      </c>
      <c r="AP14" s="12">
        <f t="shared" si="6"/>
        <v>1.6678836539454238E-4</v>
      </c>
      <c r="AQ14" s="12">
        <f t="shared" si="6"/>
        <v>6.6401680884182232E-6</v>
      </c>
      <c r="AR14" s="12">
        <f t="shared" si="6"/>
        <v>8.6485274617190922E-5</v>
      </c>
      <c r="AS14" s="12">
        <f t="shared" si="6"/>
        <v>2.4164210293855285E-6</v>
      </c>
      <c r="AT14" s="12">
        <f t="shared" si="6"/>
        <v>1.4900394602702685E-2</v>
      </c>
      <c r="AU14" s="12">
        <f t="shared" si="6"/>
        <v>1.3030422274478955E-4</v>
      </c>
      <c r="AV14" s="12">
        <f t="shared" si="6"/>
        <v>4.9747625222046853E-4</v>
      </c>
      <c r="AW14" s="12">
        <f t="shared" si="6"/>
        <v>0.84659616722468756</v>
      </c>
      <c r="AX14" s="12">
        <f t="shared" si="6"/>
        <v>5.4533541200252698E-3</v>
      </c>
      <c r="AY14" s="12">
        <f t="shared" si="6"/>
        <v>6.2419158195419074E-4</v>
      </c>
      <c r="AZ14" s="12">
        <f t="shared" si="6"/>
        <v>3.6672086347057256E-4</v>
      </c>
      <c r="BA14" s="12">
        <f t="shared" si="6"/>
        <v>2.7933137559027583E-3</v>
      </c>
      <c r="BB14" s="12">
        <f t="shared" si="6"/>
        <v>7.2781129938242761E-3</v>
      </c>
      <c r="BC14" s="12">
        <f t="shared" si="6"/>
        <v>1.0034438641152938E-3</v>
      </c>
      <c r="BD14" s="12">
        <f t="shared" si="6"/>
        <v>0.12008650166766671</v>
      </c>
      <c r="BE14" s="12">
        <f t="shared" si="6"/>
        <v>3.5812713944497742E-6</v>
      </c>
      <c r="BF14" s="12">
        <f t="shared" si="6"/>
        <v>1.6823252205332682E-6</v>
      </c>
      <c r="BG14" s="12">
        <f t="shared" si="6"/>
        <v>3.867360748287518E-4</v>
      </c>
      <c r="BH14" s="12">
        <f t="shared" si="6"/>
        <v>3.5482166145156193E-3</v>
      </c>
      <c r="BI14" s="12">
        <f t="shared" si="6"/>
        <v>1.8965900633176062E-4</v>
      </c>
      <c r="BJ14" s="12">
        <f t="shared" si="6"/>
        <v>5.9734176580736911E-5</v>
      </c>
      <c r="BK14" s="12">
        <f t="shared" si="6"/>
        <v>0.22047621415249496</v>
      </c>
      <c r="BL14" s="12">
        <f t="shared" si="6"/>
        <v>3.0318711688045666E-4</v>
      </c>
      <c r="BM14" s="12">
        <f t="shared" si="6"/>
        <v>1.3280802815001634E-3</v>
      </c>
      <c r="BN14" s="12">
        <f t="shared" si="6"/>
        <v>1.9149925838040809E-3</v>
      </c>
      <c r="BO14" s="12">
        <f t="shared" ref="BO14:CT14" si="7">(BO4-BO10)^2</f>
        <v>3.4276490287323646E-3</v>
      </c>
      <c r="BP14" s="12">
        <f t="shared" si="7"/>
        <v>2.4984502508613787E-4</v>
      </c>
      <c r="BQ14" s="12">
        <f t="shared" si="7"/>
        <v>4.4440388683052246E-3</v>
      </c>
      <c r="BR14" s="12">
        <f t="shared" si="7"/>
        <v>7.2621180921038895E-4</v>
      </c>
      <c r="BS14" s="12">
        <f t="shared" si="7"/>
        <v>3.5719113849697265E-4</v>
      </c>
      <c r="BT14" s="12">
        <f t="shared" si="7"/>
        <v>1.381324857688353E-3</v>
      </c>
      <c r="BU14" s="12">
        <f t="shared" si="7"/>
        <v>2.6366502965740825E-3</v>
      </c>
      <c r="BV14" s="12">
        <f t="shared" si="7"/>
        <v>1.2372586019886937E-2</v>
      </c>
      <c r="BW14" s="12">
        <f t="shared" si="7"/>
        <v>9.1378586239200549E-3</v>
      </c>
      <c r="BX14" s="12">
        <f t="shared" si="7"/>
        <v>1.0691293425354612E-3</v>
      </c>
      <c r="BY14" s="12">
        <f t="shared" si="7"/>
        <v>2.6067919509658731E-4</v>
      </c>
      <c r="BZ14" s="12">
        <f t="shared" si="7"/>
        <v>7.4329982147557086E-3</v>
      </c>
      <c r="CA14" s="12">
        <f t="shared" si="7"/>
        <v>4.7159389964652668E-4</v>
      </c>
      <c r="CB14" s="12">
        <f t="shared" si="7"/>
        <v>2.7731080154896736E-3</v>
      </c>
      <c r="CC14" s="12">
        <f t="shared" si="7"/>
        <v>7.597434861086255E-5</v>
      </c>
      <c r="CD14" s="12">
        <f t="shared" si="7"/>
        <v>5.2460062891681008E-4</v>
      </c>
      <c r="CE14" s="12">
        <f t="shared" si="7"/>
        <v>2.938629336458549E-4</v>
      </c>
      <c r="CF14" s="12">
        <f t="shared" si="7"/>
        <v>2.1416539248397964E-11</v>
      </c>
      <c r="CG14" s="12">
        <f t="shared" si="7"/>
        <v>2.2428774204816087E-5</v>
      </c>
      <c r="CH14" s="12">
        <f t="shared" si="7"/>
        <v>3.679116775431041E-5</v>
      </c>
      <c r="CI14" s="12">
        <f t="shared" si="7"/>
        <v>1.6012262988764132E-4</v>
      </c>
      <c r="CJ14" s="12">
        <f t="shared" si="7"/>
        <v>2.9298469932368532E-4</v>
      </c>
      <c r="CK14" s="12">
        <f t="shared" si="7"/>
        <v>1.0994443054972359E-5</v>
      </c>
      <c r="CL14" s="12">
        <f t="shared" si="7"/>
        <v>2.1229359601391491E-4</v>
      </c>
      <c r="CM14" s="12">
        <f t="shared" si="7"/>
        <v>7.9527102228694351E-4</v>
      </c>
      <c r="CN14" s="12">
        <f t="shared" si="7"/>
        <v>1.6816727094237373E-4</v>
      </c>
      <c r="CO14" s="12">
        <f t="shared" si="7"/>
        <v>7.2551086001707346E-5</v>
      </c>
      <c r="CP14" s="12">
        <f t="shared" si="7"/>
        <v>2.5742880721110802E-3</v>
      </c>
      <c r="CQ14" s="12">
        <f t="shared" si="7"/>
        <v>2.1805897012217335E-5</v>
      </c>
      <c r="CR14" s="12">
        <f t="shared" si="7"/>
        <v>1.4104861880892531E-2</v>
      </c>
      <c r="CS14" s="12">
        <f t="shared" si="7"/>
        <v>4.9538410637828822E-3</v>
      </c>
      <c r="CT14" s="12">
        <f t="shared" si="7"/>
        <v>1.8484352565033084E-5</v>
      </c>
      <c r="CU14" s="12">
        <f t="shared" ref="CU14:DZ14" si="8">(CU4-CU10)^2</f>
        <v>3.1480684696651363E-2</v>
      </c>
      <c r="CV14" s="12">
        <f t="shared" si="8"/>
        <v>1.363121250196706E-2</v>
      </c>
      <c r="CW14" s="12">
        <f t="shared" si="8"/>
        <v>1.0311971809647004E-2</v>
      </c>
      <c r="CX14" s="12">
        <f t="shared" si="8"/>
        <v>8.703444722474904E-2</v>
      </c>
      <c r="CY14" s="12">
        <f t="shared" si="8"/>
        <v>4.9347221469558215E-3</v>
      </c>
      <c r="CZ14" s="12">
        <f t="shared" si="8"/>
        <v>3.5942991472040012E-2</v>
      </c>
      <c r="DA14" s="12">
        <f t="shared" si="8"/>
        <v>2.7105794811087213E-3</v>
      </c>
      <c r="DB14" s="12">
        <f t="shared" si="8"/>
        <v>7.8887644591990689E-3</v>
      </c>
      <c r="DC14" s="12">
        <f t="shared" si="8"/>
        <v>2.2844985654821723E-6</v>
      </c>
      <c r="DD14" s="12">
        <f t="shared" si="8"/>
        <v>4.7294086770246395E-4</v>
      </c>
      <c r="DE14" s="12">
        <f t="shared" si="8"/>
        <v>4.4530840588401779E-3</v>
      </c>
      <c r="DF14" s="12">
        <f t="shared" si="8"/>
        <v>6.5750580238616695E-3</v>
      </c>
      <c r="DG14" s="12">
        <f t="shared" si="8"/>
        <v>1.1890720739801035E-3</v>
      </c>
      <c r="DH14" s="12">
        <f t="shared" si="8"/>
        <v>3.8954602532190511E-4</v>
      </c>
      <c r="DI14" s="12">
        <f t="shared" si="8"/>
        <v>6.9003019233240023E-4</v>
      </c>
      <c r="DJ14" s="12">
        <f t="shared" si="8"/>
        <v>1.064612808605218E-6</v>
      </c>
      <c r="DK14" s="12">
        <f t="shared" si="8"/>
        <v>2.1349487360601853E-3</v>
      </c>
      <c r="DL14" s="12">
        <f t="shared" si="8"/>
        <v>1.2739483215177478E-4</v>
      </c>
      <c r="DM14" s="12">
        <f t="shared" si="8"/>
        <v>7.7508637537930291E-3</v>
      </c>
      <c r="DN14" s="12">
        <f t="shared" si="8"/>
        <v>1.0660994110425084E-4</v>
      </c>
      <c r="DO14" s="12">
        <f t="shared" si="8"/>
        <v>1.7184605175594392E-2</v>
      </c>
      <c r="DP14" s="12">
        <f t="shared" si="8"/>
        <v>5.7314809703953903E-2</v>
      </c>
      <c r="DQ14" s="12">
        <f t="shared" si="8"/>
        <v>6.1190117341706068E-3</v>
      </c>
      <c r="DR14" s="12">
        <f t="shared" si="8"/>
        <v>1.6942919689259286E-2</v>
      </c>
      <c r="DS14" s="12">
        <f t="shared" si="8"/>
        <v>6.2348080195538978E-5</v>
      </c>
      <c r="DT14" s="12">
        <f t="shared" si="8"/>
        <v>4.5331575728925613E-4</v>
      </c>
      <c r="DU14" s="12">
        <f t="shared" si="8"/>
        <v>1.7874353439914965E-5</v>
      </c>
      <c r="DV14" s="12">
        <f t="shared" si="8"/>
        <v>6.0988247153518334E-3</v>
      </c>
      <c r="DW14" s="12">
        <f t="shared" si="8"/>
        <v>1.6414523372816688E-3</v>
      </c>
      <c r="DX14" s="12">
        <f t="shared" si="8"/>
        <v>3.731228084193859E-3</v>
      </c>
      <c r="DY14" s="12">
        <f t="shared" si="8"/>
        <v>3.0411185753707423E-5</v>
      </c>
      <c r="DZ14" s="12">
        <f t="shared" si="8"/>
        <v>5.097809634011641E-3</v>
      </c>
      <c r="EA14" s="12">
        <f t="shared" ref="EA14:EL14" si="9">(EA4-EA10)^2</f>
        <v>4.1183823722083495E-3</v>
      </c>
      <c r="EB14" s="12">
        <f t="shared" si="9"/>
        <v>4.6592097020904639E-4</v>
      </c>
      <c r="EC14" s="12">
        <f t="shared" si="9"/>
        <v>7.7398592116757298E-5</v>
      </c>
      <c r="ED14" s="12">
        <f t="shared" si="9"/>
        <v>4.5363015756083532E-4</v>
      </c>
      <c r="EE14" s="12">
        <f t="shared" si="9"/>
        <v>4.227053851060039E-3</v>
      </c>
      <c r="EF14" s="12">
        <f t="shared" si="9"/>
        <v>9.3752900042839873E-4</v>
      </c>
      <c r="EG14" s="12">
        <f t="shared" si="9"/>
        <v>2.9074339227801943E-3</v>
      </c>
      <c r="EH14" s="12">
        <f t="shared" si="9"/>
        <v>3.472921521489032E-4</v>
      </c>
      <c r="EI14" s="12">
        <f t="shared" si="9"/>
        <v>1.5593065249048153E-2</v>
      </c>
      <c r="EJ14" s="12">
        <f t="shared" si="9"/>
        <v>8.0385733078655892E-3</v>
      </c>
      <c r="EK14" s="12">
        <f t="shared" si="9"/>
        <v>1.814524389838094E-4</v>
      </c>
      <c r="EL14" s="12">
        <f t="shared" si="9"/>
        <v>2.319549901500636E-3</v>
      </c>
    </row>
    <row r="15" spans="1:142" x14ac:dyDescent="0.55000000000000004">
      <c r="B15" s="14" t="s">
        <v>145</v>
      </c>
      <c r="C15" s="12">
        <f t="shared" ref="C15:AH15" si="10">(C5-C11)^2</f>
        <v>2.9469049592197814E-4</v>
      </c>
      <c r="D15" s="12">
        <f t="shared" si="10"/>
        <v>5.4416320247927441E-4</v>
      </c>
      <c r="E15" s="12">
        <f t="shared" si="10"/>
        <v>3.0668788029517614E-3</v>
      </c>
      <c r="F15" s="12">
        <f t="shared" si="10"/>
        <v>1.1280017737768518E-3</v>
      </c>
      <c r="G15" s="12">
        <f t="shared" si="10"/>
        <v>9.8915230186850207E-4</v>
      </c>
      <c r="H15" s="12">
        <f t="shared" si="10"/>
        <v>1.2573777593128724E-3</v>
      </c>
      <c r="I15" s="12">
        <f t="shared" si="10"/>
        <v>1.3188871455939766E-4</v>
      </c>
      <c r="J15" s="12">
        <f t="shared" si="10"/>
        <v>6.80829939527621E-5</v>
      </c>
      <c r="K15" s="12">
        <f t="shared" si="10"/>
        <v>5.6700603321905136E-6</v>
      </c>
      <c r="L15" s="12">
        <f t="shared" si="10"/>
        <v>2.7250742390824798E-2</v>
      </c>
      <c r="M15" s="12">
        <f t="shared" si="10"/>
        <v>2.793726592505976E-3</v>
      </c>
      <c r="N15" s="12">
        <f t="shared" si="10"/>
        <v>1.2012217823406015E-4</v>
      </c>
      <c r="O15" s="12">
        <f t="shared" si="10"/>
        <v>1.6491185409407932E-5</v>
      </c>
      <c r="P15" s="12">
        <f t="shared" si="10"/>
        <v>2.1202153473577764E-4</v>
      </c>
      <c r="Q15" s="12">
        <f t="shared" si="10"/>
        <v>1.2708680209465105E-3</v>
      </c>
      <c r="R15" s="12">
        <f t="shared" si="10"/>
        <v>1.1934166699763916E-4</v>
      </c>
      <c r="S15" s="12">
        <f t="shared" si="10"/>
        <v>1.7275905986876005E-4</v>
      </c>
      <c r="T15" s="12">
        <f t="shared" si="10"/>
        <v>5.7891527437937094E-3</v>
      </c>
      <c r="U15" s="12">
        <f t="shared" si="10"/>
        <v>2.0570333071195665E-3</v>
      </c>
      <c r="V15" s="12">
        <f t="shared" si="10"/>
        <v>2.1106551121486653E-4</v>
      </c>
      <c r="W15" s="12">
        <f t="shared" si="10"/>
        <v>2.5219613738705052E-4</v>
      </c>
      <c r="X15" s="12">
        <f t="shared" si="10"/>
        <v>6.8851092366512103E-3</v>
      </c>
      <c r="Y15" s="12">
        <f t="shared" si="10"/>
        <v>5.9913398189631345E-4</v>
      </c>
      <c r="Z15" s="12">
        <f t="shared" si="10"/>
        <v>1.4669273692769988E-3</v>
      </c>
      <c r="AA15" s="12">
        <f t="shared" si="10"/>
        <v>3.4400619257067448E-5</v>
      </c>
      <c r="AB15" s="12">
        <f t="shared" si="10"/>
        <v>1.7364850199206609E-3</v>
      </c>
      <c r="AC15" s="12">
        <f t="shared" si="10"/>
        <v>2.950505934087451E-3</v>
      </c>
      <c r="AD15" s="12">
        <f t="shared" si="10"/>
        <v>1.3953533931236467E-3</v>
      </c>
      <c r="AE15" s="12">
        <f t="shared" si="10"/>
        <v>1.164185059227048E-2</v>
      </c>
      <c r="AF15" s="12">
        <f t="shared" si="10"/>
        <v>1.7886540844535448E-3</v>
      </c>
      <c r="AG15" s="12">
        <f t="shared" si="10"/>
        <v>2.1001710954169505E-3</v>
      </c>
      <c r="AH15" s="12">
        <f t="shared" si="10"/>
        <v>1.5012115142209004E-3</v>
      </c>
      <c r="AI15" s="12">
        <f t="shared" ref="AI15:BN15" si="11">(AI5-AI11)^2</f>
        <v>7.8625168473806046E-5</v>
      </c>
      <c r="AJ15" s="12">
        <f t="shared" si="11"/>
        <v>3.0265797424200241E-3</v>
      </c>
      <c r="AK15" s="12">
        <f t="shared" si="11"/>
        <v>1.9850816935637612E-3</v>
      </c>
      <c r="AL15" s="12">
        <f t="shared" si="11"/>
        <v>3.924862487141214E-4</v>
      </c>
      <c r="AM15" s="12">
        <f t="shared" si="11"/>
        <v>3.0190685380228848E-4</v>
      </c>
      <c r="AN15" s="12">
        <f t="shared" si="11"/>
        <v>5.0920161485826644E-5</v>
      </c>
      <c r="AO15" s="12">
        <f t="shared" si="11"/>
        <v>7.7488512509354349E-3</v>
      </c>
      <c r="AP15" s="12">
        <f t="shared" si="11"/>
        <v>3.3280772664451687E-4</v>
      </c>
      <c r="AQ15" s="12">
        <f t="shared" si="11"/>
        <v>7.060524803141401E-6</v>
      </c>
      <c r="AR15" s="12">
        <f t="shared" si="11"/>
        <v>9.1708718130942019E-3</v>
      </c>
      <c r="AS15" s="12">
        <f t="shared" si="11"/>
        <v>4.6754782264871392E-3</v>
      </c>
      <c r="AT15" s="12">
        <f t="shared" si="11"/>
        <v>6.4137907605014734E-3</v>
      </c>
      <c r="AU15" s="12">
        <f t="shared" si="11"/>
        <v>1.2439170707165799E-6</v>
      </c>
      <c r="AV15" s="12">
        <f t="shared" si="11"/>
        <v>7.7682574699850333E-3</v>
      </c>
      <c r="AW15" s="12">
        <f t="shared" si="11"/>
        <v>7.5483924638824812E-3</v>
      </c>
      <c r="AX15" s="12">
        <f t="shared" si="11"/>
        <v>7.6472637783069619E-3</v>
      </c>
      <c r="AY15" s="12">
        <f t="shared" si="11"/>
        <v>6.6744243814233677E-3</v>
      </c>
      <c r="AZ15" s="12">
        <f t="shared" si="11"/>
        <v>2.5289122764237332E-5</v>
      </c>
      <c r="BA15" s="12">
        <f t="shared" si="11"/>
        <v>4.2824100236373968E-4</v>
      </c>
      <c r="BB15" s="12">
        <f t="shared" si="11"/>
        <v>7.1503505720183476E-6</v>
      </c>
      <c r="BC15" s="12">
        <f t="shared" si="11"/>
        <v>1.8306633693766121E-4</v>
      </c>
      <c r="BD15" s="12">
        <f t="shared" si="11"/>
        <v>4.9627900330550926E-6</v>
      </c>
      <c r="BE15" s="12">
        <f t="shared" si="11"/>
        <v>5.0930793532820971E-5</v>
      </c>
      <c r="BF15" s="12">
        <f t="shared" si="11"/>
        <v>1.4410567083375061E-6</v>
      </c>
      <c r="BG15" s="12">
        <f t="shared" si="11"/>
        <v>9.4381753463184669E-5</v>
      </c>
      <c r="BH15" s="12">
        <f t="shared" si="11"/>
        <v>6.2427484297778704E-4</v>
      </c>
      <c r="BI15" s="12">
        <f t="shared" si="11"/>
        <v>1.1552252031130993E-2</v>
      </c>
      <c r="BJ15" s="12">
        <f t="shared" si="11"/>
        <v>8.6617077795438557E-4</v>
      </c>
      <c r="BK15" s="12">
        <f t="shared" si="11"/>
        <v>2.5133705165135884E-3</v>
      </c>
      <c r="BL15" s="12">
        <f t="shared" si="11"/>
        <v>9.0617785039123941E-6</v>
      </c>
      <c r="BM15" s="12">
        <f t="shared" si="11"/>
        <v>1.5068164253345871E-4</v>
      </c>
      <c r="BN15" s="12">
        <f t="shared" si="11"/>
        <v>2.524819709204644E-3</v>
      </c>
      <c r="BO15" s="12">
        <f t="shared" ref="BO15:CT15" si="12">(BO5-BO11)^2</f>
        <v>3.5054155471586831E-5</v>
      </c>
      <c r="BP15" s="12">
        <f t="shared" si="12"/>
        <v>2.5091548871630763E-6</v>
      </c>
      <c r="BQ15" s="12">
        <f t="shared" si="12"/>
        <v>7.6630879425607264E-4</v>
      </c>
      <c r="BR15" s="12">
        <f t="shared" si="12"/>
        <v>1.3275807672186724E-3</v>
      </c>
      <c r="BS15" s="12">
        <f t="shared" si="12"/>
        <v>4.6060166286157139E-4</v>
      </c>
      <c r="BT15" s="12">
        <f t="shared" si="12"/>
        <v>5.2929985730260293E-4</v>
      </c>
      <c r="BU15" s="12">
        <f t="shared" si="12"/>
        <v>4.3182893744326079E-5</v>
      </c>
      <c r="BV15" s="12">
        <f t="shared" si="12"/>
        <v>4.0805906196825607E-3</v>
      </c>
      <c r="BW15" s="12">
        <f t="shared" si="12"/>
        <v>2.4408511494980537E-5</v>
      </c>
      <c r="BX15" s="12">
        <f t="shared" si="12"/>
        <v>1.004374712207659E-4</v>
      </c>
      <c r="BY15" s="12">
        <f t="shared" si="12"/>
        <v>3.403646645640462E-5</v>
      </c>
      <c r="BZ15" s="12">
        <f t="shared" si="12"/>
        <v>8.2295133047205515E-4</v>
      </c>
      <c r="CA15" s="12">
        <f t="shared" si="12"/>
        <v>8.9216383233817957E-4</v>
      </c>
      <c r="CB15" s="12">
        <f t="shared" si="12"/>
        <v>1.568027311786087E-4</v>
      </c>
      <c r="CC15" s="12">
        <f t="shared" si="12"/>
        <v>4.6803119630183464E-4</v>
      </c>
      <c r="CD15" s="12">
        <f t="shared" si="12"/>
        <v>5.609561313077155E-4</v>
      </c>
      <c r="CE15" s="12">
        <f t="shared" si="12"/>
        <v>2.8645005510654492E-4</v>
      </c>
      <c r="CF15" s="12">
        <f t="shared" si="12"/>
        <v>5.967590709142434E-5</v>
      </c>
      <c r="CG15" s="12">
        <f t="shared" si="12"/>
        <v>5.7812835685172114E-7</v>
      </c>
      <c r="CH15" s="12">
        <f t="shared" si="12"/>
        <v>3.0124579384182486E-4</v>
      </c>
      <c r="CI15" s="12">
        <f t="shared" si="12"/>
        <v>9.5362162566801668E-3</v>
      </c>
      <c r="CJ15" s="12">
        <f t="shared" si="12"/>
        <v>2.62442670854576E-5</v>
      </c>
      <c r="CK15" s="12">
        <f t="shared" si="12"/>
        <v>6.1907788885116563E-4</v>
      </c>
      <c r="CL15" s="12">
        <f t="shared" si="12"/>
        <v>5.2292887252106184E-5</v>
      </c>
      <c r="CM15" s="12">
        <f t="shared" si="12"/>
        <v>1.6179054173984968E-5</v>
      </c>
      <c r="CN15" s="12">
        <f t="shared" si="12"/>
        <v>1.0479256057735848E-4</v>
      </c>
      <c r="CO15" s="12">
        <f t="shared" si="12"/>
        <v>1.7410686848882584E-2</v>
      </c>
      <c r="CP15" s="12">
        <f t="shared" si="12"/>
        <v>2.4610897210763823E-3</v>
      </c>
      <c r="CQ15" s="12">
        <f t="shared" si="12"/>
        <v>4.9525747777042434E-3</v>
      </c>
      <c r="CR15" s="12">
        <f t="shared" si="12"/>
        <v>9.0574432168615872E-4</v>
      </c>
      <c r="CS15" s="12">
        <f t="shared" si="12"/>
        <v>1.3604714241697189E-3</v>
      </c>
      <c r="CT15" s="12">
        <f t="shared" si="12"/>
        <v>2.455350299615138E-5</v>
      </c>
      <c r="CU15" s="12">
        <f t="shared" ref="CU15:DZ15" si="13">(CU5-CU11)^2</f>
        <v>2.652998852760167E-4</v>
      </c>
      <c r="CV15" s="12">
        <f t="shared" si="13"/>
        <v>4.4449631345971474E-4</v>
      </c>
      <c r="CW15" s="12">
        <f t="shared" si="13"/>
        <v>1.2336180263198911E-4</v>
      </c>
      <c r="CX15" s="12">
        <f t="shared" si="13"/>
        <v>1.424156742292785E-3</v>
      </c>
      <c r="CY15" s="12">
        <f t="shared" si="13"/>
        <v>5.118668602839326E-5</v>
      </c>
      <c r="CZ15" s="12">
        <f t="shared" si="13"/>
        <v>4.9907609580209355E-3</v>
      </c>
      <c r="DA15" s="12">
        <f t="shared" si="13"/>
        <v>4.8427436115752856E-4</v>
      </c>
      <c r="DB15" s="12">
        <f t="shared" si="13"/>
        <v>7.8284497465079819E-6</v>
      </c>
      <c r="DC15" s="12">
        <f t="shared" si="13"/>
        <v>9.7403043428040124E-5</v>
      </c>
      <c r="DD15" s="12">
        <f t="shared" si="13"/>
        <v>4.6809972500416833E-4</v>
      </c>
      <c r="DE15" s="12">
        <f t="shared" si="13"/>
        <v>1.744397448687329E-3</v>
      </c>
      <c r="DF15" s="12">
        <f t="shared" si="13"/>
        <v>2.3296705364941937E-4</v>
      </c>
      <c r="DG15" s="12">
        <f t="shared" si="13"/>
        <v>3.3495180664610825E-5</v>
      </c>
      <c r="DH15" s="12">
        <f t="shared" si="13"/>
        <v>7.4148983739222429E-5</v>
      </c>
      <c r="DI15" s="12">
        <f t="shared" si="13"/>
        <v>3.6248140225013183E-5</v>
      </c>
      <c r="DJ15" s="12">
        <f t="shared" si="13"/>
        <v>7.810949766694881E-4</v>
      </c>
      <c r="DK15" s="12">
        <f t="shared" si="13"/>
        <v>1.0706459152767693E-4</v>
      </c>
      <c r="DL15" s="12">
        <f t="shared" si="13"/>
        <v>2.0145750205986888E-4</v>
      </c>
      <c r="DM15" s="12">
        <f t="shared" si="13"/>
        <v>7.5952519468791183E-2</v>
      </c>
      <c r="DN15" s="12">
        <f t="shared" si="13"/>
        <v>2.1519240952400556E-4</v>
      </c>
      <c r="DO15" s="12">
        <f t="shared" si="13"/>
        <v>9.3623003583540025E-7</v>
      </c>
      <c r="DP15" s="12">
        <f t="shared" si="13"/>
        <v>3.8701763514602976E-5</v>
      </c>
      <c r="DQ15" s="12">
        <f t="shared" si="13"/>
        <v>7.5090916447112223E-5</v>
      </c>
      <c r="DR15" s="12">
        <f t="shared" si="13"/>
        <v>2.4074369892584089E-3</v>
      </c>
      <c r="DS15" s="12">
        <f t="shared" si="13"/>
        <v>2.0415661382302807E-5</v>
      </c>
      <c r="DT15" s="12">
        <f t="shared" si="13"/>
        <v>1.1202000869934406E-5</v>
      </c>
      <c r="DU15" s="12">
        <f t="shared" si="13"/>
        <v>1.4021884647807736E-4</v>
      </c>
      <c r="DV15" s="12">
        <f t="shared" si="13"/>
        <v>1.7493716031694885E-3</v>
      </c>
      <c r="DW15" s="12">
        <f t="shared" si="13"/>
        <v>5.5353324209062786E-4</v>
      </c>
      <c r="DX15" s="12">
        <f t="shared" si="13"/>
        <v>1.0330615152694828E-6</v>
      </c>
      <c r="DY15" s="12">
        <f t="shared" si="13"/>
        <v>4.5661517303720648E-6</v>
      </c>
      <c r="DZ15" s="12">
        <f t="shared" si="13"/>
        <v>2.6024608614091537E-4</v>
      </c>
      <c r="EA15" s="12">
        <f t="shared" ref="EA15:EL15" si="14">(EA5-EA11)^2</f>
        <v>8.9418027728583105E-5</v>
      </c>
      <c r="EB15" s="12">
        <f t="shared" si="14"/>
        <v>3.8948291670665809E-4</v>
      </c>
      <c r="EC15" s="12">
        <f t="shared" si="14"/>
        <v>6.4440708145608087E-4</v>
      </c>
      <c r="ED15" s="12">
        <f t="shared" si="14"/>
        <v>2.1553203391946953E-6</v>
      </c>
      <c r="EE15" s="12">
        <f t="shared" si="14"/>
        <v>1.0971336040057705E-2</v>
      </c>
      <c r="EF15" s="12">
        <f t="shared" si="14"/>
        <v>1.2412037914417222E-5</v>
      </c>
      <c r="EG15" s="12">
        <f t="shared" si="14"/>
        <v>7.2373210176249411E-3</v>
      </c>
      <c r="EH15" s="12">
        <f t="shared" si="14"/>
        <v>6.2488806759820863E-3</v>
      </c>
      <c r="EI15" s="12">
        <f t="shared" si="14"/>
        <v>6.7823504973593793E-4</v>
      </c>
      <c r="EJ15" s="12">
        <f t="shared" si="14"/>
        <v>8.0785497665974314E-5</v>
      </c>
      <c r="EK15" s="12">
        <f t="shared" si="14"/>
        <v>1.1241303132208987E-5</v>
      </c>
      <c r="EL15" s="12">
        <f t="shared" si="14"/>
        <v>5.8187169484062405E-3</v>
      </c>
    </row>
    <row r="17" spans="1:142" x14ac:dyDescent="0.55000000000000004">
      <c r="A17" s="12" t="s">
        <v>282</v>
      </c>
      <c r="B17" s="11" t="s">
        <v>143</v>
      </c>
      <c r="C17" s="12">
        <f t="shared" ref="C17:AH17" si="15">C9^2</f>
        <v>3.1492805492461797E-3</v>
      </c>
      <c r="D17" s="12">
        <f t="shared" si="15"/>
        <v>6.1020093036854295E-3</v>
      </c>
      <c r="E17" s="12">
        <f t="shared" si="15"/>
        <v>2.0025837772502664E-2</v>
      </c>
      <c r="F17" s="12">
        <f t="shared" si="15"/>
        <v>7.184302279134025E-3</v>
      </c>
      <c r="G17" s="12">
        <f t="shared" si="15"/>
        <v>2.6875977129229081E-4</v>
      </c>
      <c r="H17" s="12">
        <f t="shared" si="15"/>
        <v>4.5348130319755614E-4</v>
      </c>
      <c r="I17" s="12">
        <f t="shared" si="15"/>
        <v>1.2013669928876225E-6</v>
      </c>
      <c r="J17" s="12">
        <f t="shared" si="15"/>
        <v>4.1536646197948834E-3</v>
      </c>
      <c r="K17" s="12">
        <f t="shared" si="15"/>
        <v>8.8239266076337586E-3</v>
      </c>
      <c r="L17" s="12">
        <f t="shared" si="15"/>
        <v>6.0336174138600485E-3</v>
      </c>
      <c r="M17" s="12">
        <f t="shared" si="15"/>
        <v>1.9560077868688991E-5</v>
      </c>
      <c r="N17" s="12">
        <f t="shared" si="15"/>
        <v>9.50696121890382E-3</v>
      </c>
      <c r="O17" s="12">
        <f t="shared" si="15"/>
        <v>6.5008270042011076E-4</v>
      </c>
      <c r="P17" s="12">
        <f t="shared" si="15"/>
        <v>1.7370193610134139E-4</v>
      </c>
      <c r="Q17" s="12">
        <f t="shared" si="15"/>
        <v>2.6672510931148455E-5</v>
      </c>
      <c r="R17" s="12">
        <f t="shared" si="15"/>
        <v>2.9700219814771101E-4</v>
      </c>
      <c r="S17" s="12">
        <f t="shared" si="15"/>
        <v>1.2438726173640049E-2</v>
      </c>
      <c r="T17" s="12">
        <f t="shared" si="15"/>
        <v>1.2143613540575166E-3</v>
      </c>
      <c r="U17" s="12">
        <f t="shared" si="15"/>
        <v>3.4838368175407189E-3</v>
      </c>
      <c r="V17" s="12">
        <f t="shared" si="15"/>
        <v>3.1388463437323835E-4</v>
      </c>
      <c r="W17" s="12">
        <f t="shared" si="15"/>
        <v>4.1289083829030432E-5</v>
      </c>
      <c r="X17" s="12">
        <f t="shared" si="15"/>
        <v>5.1499789764384071E-6</v>
      </c>
      <c r="Y17" s="12">
        <f t="shared" si="15"/>
        <v>1.4271984907901487E-3</v>
      </c>
      <c r="Z17" s="12">
        <f t="shared" si="15"/>
        <v>1.363508221817778E-4</v>
      </c>
      <c r="AA17" s="12">
        <f t="shared" si="15"/>
        <v>7.6567634653704197E-5</v>
      </c>
      <c r="AB17" s="12">
        <f t="shared" si="15"/>
        <v>1.2583873996634964E-3</v>
      </c>
      <c r="AC17" s="12">
        <f t="shared" si="15"/>
        <v>9.8174751771296087E-4</v>
      </c>
      <c r="AD17" s="12">
        <f t="shared" si="15"/>
        <v>2.4204150259941973E-4</v>
      </c>
      <c r="AE17" s="12">
        <f t="shared" si="15"/>
        <v>1.4173779715644097E-2</v>
      </c>
      <c r="AF17" s="12">
        <f t="shared" si="15"/>
        <v>3.7470323851941656E-4</v>
      </c>
      <c r="AG17" s="12">
        <f t="shared" si="15"/>
        <v>3.0969659833491306E-3</v>
      </c>
      <c r="AH17" s="12">
        <f t="shared" si="15"/>
        <v>2.1831858393618603E-4</v>
      </c>
      <c r="AI17" s="12">
        <f t="shared" ref="AI17:BN17" si="16">AI9^2</f>
        <v>6.1071052369992551E-3</v>
      </c>
      <c r="AJ17" s="12">
        <f t="shared" si="16"/>
        <v>2.6078440319885487E-3</v>
      </c>
      <c r="AK17" s="12">
        <f t="shared" si="16"/>
        <v>8.5716784795075718E-4</v>
      </c>
      <c r="AL17" s="12">
        <f t="shared" si="16"/>
        <v>1.1555321315708017E-2</v>
      </c>
      <c r="AM17" s="12">
        <f t="shared" si="16"/>
        <v>3.0647581243705693E-3</v>
      </c>
      <c r="AN17" s="12">
        <f t="shared" si="16"/>
        <v>3.4047586455374645E-3</v>
      </c>
      <c r="AO17" s="12">
        <f t="shared" si="16"/>
        <v>1.3983420384971463E-3</v>
      </c>
      <c r="AP17" s="12">
        <f t="shared" si="16"/>
        <v>2.0578357056023071E-3</v>
      </c>
      <c r="AQ17" s="12">
        <f t="shared" si="16"/>
        <v>2.1300146771374706E-2</v>
      </c>
      <c r="AR17" s="12">
        <f t="shared" si="16"/>
        <v>9.9115972184829482E-3</v>
      </c>
      <c r="AS17" s="12">
        <f t="shared" si="16"/>
        <v>2.2700601186201661E-4</v>
      </c>
      <c r="AT17" s="12">
        <f t="shared" si="16"/>
        <v>1.3681026378997711E-6</v>
      </c>
      <c r="AU17" s="12">
        <f t="shared" si="16"/>
        <v>2.2312579264377602E-3</v>
      </c>
      <c r="AV17" s="12">
        <f t="shared" si="16"/>
        <v>1.2001004098643464E-3</v>
      </c>
      <c r="AW17" s="12">
        <f t="shared" si="16"/>
        <v>1.6427986616363154E-3</v>
      </c>
      <c r="AX17" s="12">
        <f t="shared" si="16"/>
        <v>7.1274803530264907E-4</v>
      </c>
      <c r="AY17" s="12">
        <f t="shared" si="16"/>
        <v>3.1967127583132499E-3</v>
      </c>
      <c r="AZ17" s="12">
        <f t="shared" si="16"/>
        <v>2.9332660358863264E-5</v>
      </c>
      <c r="BA17" s="12">
        <f t="shared" si="16"/>
        <v>1.9309298747141039E-3</v>
      </c>
      <c r="BB17" s="12">
        <f t="shared" si="16"/>
        <v>8.8371900377390844E-3</v>
      </c>
      <c r="BC17" s="12">
        <f t="shared" si="16"/>
        <v>8.0916358123881219E-4</v>
      </c>
      <c r="BD17" s="12">
        <f t="shared" si="16"/>
        <v>5.8224403604278919E-4</v>
      </c>
      <c r="BE17" s="12">
        <f t="shared" si="16"/>
        <v>2.7825957134306248E-4</v>
      </c>
      <c r="BF17" s="12">
        <f t="shared" si="16"/>
        <v>4.3525599926564159E-4</v>
      </c>
      <c r="BG17" s="12">
        <f t="shared" si="16"/>
        <v>2.705496961533784E-3</v>
      </c>
      <c r="BH17" s="12">
        <f t="shared" si="16"/>
        <v>1.1044086405453957E-3</v>
      </c>
      <c r="BI17" s="12">
        <f t="shared" si="16"/>
        <v>3.6206650554376774E-4</v>
      </c>
      <c r="BJ17" s="12">
        <f t="shared" si="16"/>
        <v>1.8524438362971379E-3</v>
      </c>
      <c r="BK17" s="12">
        <f t="shared" si="16"/>
        <v>1.2835189196891555E-3</v>
      </c>
      <c r="BL17" s="12">
        <f t="shared" si="16"/>
        <v>2.7678190222209095E-3</v>
      </c>
      <c r="BM17" s="12">
        <f t="shared" si="16"/>
        <v>2.7117692791769555E-2</v>
      </c>
      <c r="BN17" s="12">
        <f t="shared" si="16"/>
        <v>3.1628797563740818E-3</v>
      </c>
      <c r="BO17" s="12">
        <f t="shared" ref="BO17:CT17" si="17">BO9^2</f>
        <v>3.2545019768076685E-3</v>
      </c>
      <c r="BP17" s="12">
        <f t="shared" si="17"/>
        <v>1.4367828232799695E-3</v>
      </c>
      <c r="BQ17" s="12">
        <f t="shared" si="17"/>
        <v>2.9040772040259122E-3</v>
      </c>
      <c r="BR17" s="12">
        <f t="shared" si="17"/>
        <v>3.8894581344589546E-4</v>
      </c>
      <c r="BS17" s="12">
        <f t="shared" si="17"/>
        <v>2.9502087434941796E-3</v>
      </c>
      <c r="BT17" s="12">
        <f t="shared" si="17"/>
        <v>2.2231991706270215E-3</v>
      </c>
      <c r="BU17" s="12">
        <f t="shared" si="17"/>
        <v>1.5979218744988094E-4</v>
      </c>
      <c r="BV17" s="12">
        <f t="shared" si="17"/>
        <v>2.2653927043434496E-3</v>
      </c>
      <c r="BW17" s="12">
        <f t="shared" si="17"/>
        <v>2.6988268200715902E-6</v>
      </c>
      <c r="BX17" s="12">
        <f t="shared" si="17"/>
        <v>2.2334675821760741E-3</v>
      </c>
      <c r="BY17" s="12">
        <f t="shared" si="17"/>
        <v>2.4363330666071215E-3</v>
      </c>
      <c r="BZ17" s="12">
        <f t="shared" si="17"/>
        <v>2.5294119332946452E-3</v>
      </c>
      <c r="CA17" s="12">
        <f t="shared" si="17"/>
        <v>1.5095574118750982E-3</v>
      </c>
      <c r="CB17" s="12">
        <f t="shared" si="17"/>
        <v>6.4986910191801328E-4</v>
      </c>
      <c r="CC17" s="12">
        <f t="shared" si="17"/>
        <v>2.7261637330738275E-3</v>
      </c>
      <c r="CD17" s="12">
        <f t="shared" si="17"/>
        <v>2.6783502173922957E-4</v>
      </c>
      <c r="CE17" s="12">
        <f t="shared" si="17"/>
        <v>2.2764635686918361E-3</v>
      </c>
      <c r="CF17" s="12">
        <f t="shared" si="17"/>
        <v>2.6170338379094549E-3</v>
      </c>
      <c r="CG17" s="12">
        <f t="shared" si="17"/>
        <v>4.0571004247017548E-5</v>
      </c>
      <c r="CH17" s="12">
        <f t="shared" si="17"/>
        <v>2.5261417378976692E-3</v>
      </c>
      <c r="CI17" s="12">
        <f t="shared" si="17"/>
        <v>2.3409191345861308E-3</v>
      </c>
      <c r="CJ17" s="12">
        <f t="shared" si="17"/>
        <v>2.4879499049247494E-3</v>
      </c>
      <c r="CK17" s="12">
        <f t="shared" si="17"/>
        <v>4.1532897393183071E-4</v>
      </c>
      <c r="CL17" s="12">
        <f t="shared" si="17"/>
        <v>2.6051665264836951E-3</v>
      </c>
      <c r="CM17" s="12">
        <f t="shared" si="17"/>
        <v>4.9607054368516756E-3</v>
      </c>
      <c r="CN17" s="12">
        <f t="shared" si="17"/>
        <v>2.4313661289855496E-3</v>
      </c>
      <c r="CO17" s="12">
        <f t="shared" si="17"/>
        <v>2.3491540002335137E-3</v>
      </c>
      <c r="CP17" s="12">
        <f t="shared" si="17"/>
        <v>9.3124299552910239E-6</v>
      </c>
      <c r="CQ17" s="12">
        <f t="shared" si="17"/>
        <v>2.3952033759502833E-3</v>
      </c>
      <c r="CR17" s="12">
        <f t="shared" si="17"/>
        <v>1.4210198863860015E-5</v>
      </c>
      <c r="CS17" s="12">
        <f t="shared" si="17"/>
        <v>8.6023689764082333E-4</v>
      </c>
      <c r="CT17" s="12">
        <f t="shared" si="17"/>
        <v>7.4234148438748551E-4</v>
      </c>
      <c r="CU17" s="12">
        <f t="shared" ref="CU17:DZ17" si="18">CU9^2</f>
        <v>2.0094645426640967E-3</v>
      </c>
      <c r="CV17" s="12">
        <f t="shared" si="18"/>
        <v>5.0940427076040875E-4</v>
      </c>
      <c r="CW17" s="12">
        <f t="shared" si="18"/>
        <v>4.0182356348952286E-3</v>
      </c>
      <c r="CX17" s="12">
        <f t="shared" si="18"/>
        <v>1.5977574939746309E-3</v>
      </c>
      <c r="CY17" s="12">
        <f t="shared" si="18"/>
        <v>2.7261742364825961E-3</v>
      </c>
      <c r="CZ17" s="12">
        <f t="shared" si="18"/>
        <v>1.274435091246397E-4</v>
      </c>
      <c r="DA17" s="12">
        <f t="shared" si="18"/>
        <v>1.9931214961073224E-3</v>
      </c>
      <c r="DB17" s="12">
        <f t="shared" si="18"/>
        <v>6.7271059201901343E-4</v>
      </c>
      <c r="DC17" s="12">
        <f t="shared" si="18"/>
        <v>9.1022628152309104E-3</v>
      </c>
      <c r="DD17" s="12">
        <f t="shared" si="18"/>
        <v>2.0766348378760263E-3</v>
      </c>
      <c r="DE17" s="12">
        <f t="shared" si="18"/>
        <v>2.7859185876145803E-3</v>
      </c>
      <c r="DF17" s="12">
        <f t="shared" si="18"/>
        <v>2.0588798689759181E-3</v>
      </c>
      <c r="DG17" s="12">
        <f t="shared" si="18"/>
        <v>1.9757822918162887E-3</v>
      </c>
      <c r="DH17" s="12">
        <f t="shared" si="18"/>
        <v>5.0386167439958607E-2</v>
      </c>
      <c r="DI17" s="12">
        <f t="shared" si="18"/>
        <v>1.1164121656612735E-3</v>
      </c>
      <c r="DJ17" s="12">
        <f t="shared" si="18"/>
        <v>2.7715507103478485E-3</v>
      </c>
      <c r="DK17" s="12">
        <f t="shared" si="18"/>
        <v>2.1468556367396775E-3</v>
      </c>
      <c r="DL17" s="12">
        <f t="shared" si="18"/>
        <v>5.8263949499759438E-3</v>
      </c>
      <c r="DM17" s="12">
        <f t="shared" si="18"/>
        <v>4.1934995299453548E-3</v>
      </c>
      <c r="DN17" s="12">
        <f t="shared" si="18"/>
        <v>2.1810873589018925E-3</v>
      </c>
      <c r="DO17" s="12">
        <f t="shared" si="18"/>
        <v>2.2279491859080736E-3</v>
      </c>
      <c r="DP17" s="12">
        <f t="shared" si="18"/>
        <v>9.8573815506854123E-4</v>
      </c>
      <c r="DQ17" s="12">
        <f t="shared" si="18"/>
        <v>2.4263778352937582E-3</v>
      </c>
      <c r="DR17" s="12">
        <f t="shared" si="18"/>
        <v>2.3506980216660978E-3</v>
      </c>
      <c r="DS17" s="12">
        <f t="shared" si="18"/>
        <v>1.7640149728377491E-3</v>
      </c>
      <c r="DT17" s="12">
        <f t="shared" si="18"/>
        <v>2.2683167708068691E-3</v>
      </c>
      <c r="DU17" s="12">
        <f t="shared" si="18"/>
        <v>2.2360260508183507E-3</v>
      </c>
      <c r="DV17" s="12">
        <f t="shared" si="18"/>
        <v>2.254326200823582E-4</v>
      </c>
      <c r="DW17" s="12">
        <f t="shared" si="18"/>
        <v>4.0863853713828946E-3</v>
      </c>
      <c r="DX17" s="12">
        <f t="shared" si="18"/>
        <v>2.2205680029996899E-3</v>
      </c>
      <c r="DY17" s="12">
        <f t="shared" si="18"/>
        <v>3.3343652116891997E-4</v>
      </c>
      <c r="DZ17" s="12">
        <f t="shared" si="18"/>
        <v>7.6996733281911034E-3</v>
      </c>
      <c r="EA17" s="12">
        <f t="shared" ref="EA17:EL17" si="19">EA9^2</f>
        <v>2.1064805373640638E-3</v>
      </c>
      <c r="EB17" s="12">
        <f t="shared" si="19"/>
        <v>9.4526061547939668E-4</v>
      </c>
      <c r="EC17" s="12">
        <f t="shared" si="19"/>
        <v>1.3263910811117108E-3</v>
      </c>
      <c r="ED17" s="12">
        <f t="shared" si="19"/>
        <v>1.5392124326867873E-3</v>
      </c>
      <c r="EE17" s="12">
        <f t="shared" si="19"/>
        <v>2.2529708127192599E-3</v>
      </c>
      <c r="EF17" s="12">
        <f t="shared" si="19"/>
        <v>4.5073682743557148E-4</v>
      </c>
      <c r="EG17" s="12">
        <f t="shared" si="19"/>
        <v>1.8540283004864343E-3</v>
      </c>
      <c r="EH17" s="12">
        <f t="shared" si="19"/>
        <v>3.8693644478156181E-3</v>
      </c>
      <c r="EI17" s="12">
        <f t="shared" si="19"/>
        <v>2.8137116507292457E-3</v>
      </c>
      <c r="EJ17" s="12">
        <f t="shared" si="19"/>
        <v>2.0955143329000202E-3</v>
      </c>
      <c r="EK17" s="12">
        <f t="shared" si="19"/>
        <v>2.5297308249436906E-3</v>
      </c>
      <c r="EL17" s="12">
        <f t="shared" si="19"/>
        <v>2.1742723687823706E-3</v>
      </c>
    </row>
    <row r="18" spans="1:142" x14ac:dyDescent="0.55000000000000004">
      <c r="B18" s="11" t="s">
        <v>144</v>
      </c>
      <c r="C18" s="12">
        <f t="shared" ref="C18:AH18" si="20">C10^2</f>
        <v>6.9553851241979984E-4</v>
      </c>
      <c r="D18" s="12">
        <f t="shared" si="20"/>
        <v>2.1134265708377953E-3</v>
      </c>
      <c r="E18" s="12">
        <f t="shared" si="20"/>
        <v>1.0062539598971886E-3</v>
      </c>
      <c r="F18" s="12">
        <f t="shared" si="20"/>
        <v>9.7767341793014717E-4</v>
      </c>
      <c r="G18" s="12">
        <f t="shared" si="20"/>
        <v>8.6985841135926029E-5</v>
      </c>
      <c r="H18" s="12">
        <f t="shared" si="20"/>
        <v>1.7571588738057309E-3</v>
      </c>
      <c r="I18" s="12">
        <f t="shared" si="20"/>
        <v>1.0401625901101937E-5</v>
      </c>
      <c r="J18" s="12">
        <f t="shared" si="20"/>
        <v>8.473599741884994E-4</v>
      </c>
      <c r="K18" s="12">
        <f t="shared" si="20"/>
        <v>2.255279960181358E-4</v>
      </c>
      <c r="L18" s="12">
        <f t="shared" si="20"/>
        <v>1.0865967152176581E-3</v>
      </c>
      <c r="M18" s="12">
        <f t="shared" si="20"/>
        <v>1.8307417604341986E-3</v>
      </c>
      <c r="N18" s="12">
        <f t="shared" si="20"/>
        <v>7.8208971131337734E-3</v>
      </c>
      <c r="O18" s="12">
        <f t="shared" si="20"/>
        <v>3.8365622009117734E-4</v>
      </c>
      <c r="P18" s="12">
        <f t="shared" si="20"/>
        <v>1.5098060833571569E-3</v>
      </c>
      <c r="Q18" s="12">
        <f t="shared" si="20"/>
        <v>5.2559733138181342E-4</v>
      </c>
      <c r="R18" s="12">
        <f t="shared" si="20"/>
        <v>8.350120596731847E-3</v>
      </c>
      <c r="S18" s="12">
        <f t="shared" si="20"/>
        <v>4.6508961737196114E-4</v>
      </c>
      <c r="T18" s="12">
        <f t="shared" si="20"/>
        <v>3.9317075082371047E-4</v>
      </c>
      <c r="U18" s="12">
        <f t="shared" si="20"/>
        <v>4.0397539712614602E-2</v>
      </c>
      <c r="V18" s="12">
        <f t="shared" si="20"/>
        <v>9.797945307932765E-4</v>
      </c>
      <c r="W18" s="12">
        <f t="shared" si="20"/>
        <v>9.5903012916004316E-4</v>
      </c>
      <c r="X18" s="12">
        <f t="shared" si="20"/>
        <v>8.6759420355967168E-4</v>
      </c>
      <c r="Y18" s="12">
        <f t="shared" si="20"/>
        <v>1.5336110873236941E-3</v>
      </c>
      <c r="Z18" s="12">
        <f t="shared" si="20"/>
        <v>3.9758711633580135E-3</v>
      </c>
      <c r="AA18" s="12">
        <f t="shared" si="20"/>
        <v>8.6150615956285037E-2</v>
      </c>
      <c r="AB18" s="12">
        <f t="shared" si="20"/>
        <v>2.6696811046333932E-3</v>
      </c>
      <c r="AC18" s="12">
        <f t="shared" si="20"/>
        <v>3.4699848760060825E-3</v>
      </c>
      <c r="AD18" s="12">
        <f t="shared" si="20"/>
        <v>2.1886556239450819E-4</v>
      </c>
      <c r="AE18" s="12">
        <f t="shared" si="20"/>
        <v>7.2529226481355402E-3</v>
      </c>
      <c r="AF18" s="12">
        <f t="shared" si="20"/>
        <v>4.2032821830573774E-3</v>
      </c>
      <c r="AG18" s="12">
        <f t="shared" si="20"/>
        <v>8.5111097459589203E-4</v>
      </c>
      <c r="AH18" s="12">
        <f t="shared" si="20"/>
        <v>9.1197705045843735E-4</v>
      </c>
      <c r="AI18" s="12">
        <f t="shared" ref="AI18:BN18" si="21">AI10^2</f>
        <v>2.2673853912760786E-3</v>
      </c>
      <c r="AJ18" s="12">
        <f t="shared" si="21"/>
        <v>6.6914031522777861E-3</v>
      </c>
      <c r="AK18" s="12">
        <f t="shared" si="21"/>
        <v>4.7524122778614173E-4</v>
      </c>
      <c r="AL18" s="12">
        <f t="shared" si="21"/>
        <v>1.2111666712686162E-2</v>
      </c>
      <c r="AM18" s="12">
        <f t="shared" si="21"/>
        <v>1.230120359751119E-3</v>
      </c>
      <c r="AN18" s="12">
        <f t="shared" si="21"/>
        <v>1.8835678283081331E-3</v>
      </c>
      <c r="AO18" s="12">
        <f t="shared" si="21"/>
        <v>0.23281256442179282</v>
      </c>
      <c r="AP18" s="12">
        <f t="shared" si="21"/>
        <v>4.8440658378390305E-4</v>
      </c>
      <c r="AQ18" s="12">
        <f t="shared" si="21"/>
        <v>1.1027483474777E-3</v>
      </c>
      <c r="AR18" s="12">
        <f t="shared" si="21"/>
        <v>1.4999845603054368E-3</v>
      </c>
      <c r="AS18" s="12">
        <f t="shared" si="21"/>
        <v>8.0072798894249841E-4</v>
      </c>
      <c r="AT18" s="12">
        <f t="shared" si="21"/>
        <v>1.1075826608391065E-2</v>
      </c>
      <c r="AU18" s="12">
        <f t="shared" si="21"/>
        <v>1.0052065212642343E-3</v>
      </c>
      <c r="AV18" s="12">
        <f t="shared" si="21"/>
        <v>4.5581879193087727E-5</v>
      </c>
      <c r="AW18" s="12">
        <f t="shared" si="21"/>
        <v>0.92592963985913457</v>
      </c>
      <c r="AX18" s="12">
        <f t="shared" si="21"/>
        <v>1.6820113632312061E-3</v>
      </c>
      <c r="AY18" s="12">
        <f t="shared" si="21"/>
        <v>3.1775321063243211E-5</v>
      </c>
      <c r="AZ18" s="12">
        <f t="shared" si="21"/>
        <v>2.6704637932496583E-3</v>
      </c>
      <c r="BA18" s="12">
        <f t="shared" si="21"/>
        <v>1.7569947214703124E-4</v>
      </c>
      <c r="BB18" s="12">
        <f t="shared" si="21"/>
        <v>2.0034802737256691E-3</v>
      </c>
      <c r="BC18" s="12">
        <f t="shared" si="21"/>
        <v>1.2275345178758287E-4</v>
      </c>
      <c r="BD18" s="12">
        <f t="shared" si="21"/>
        <v>0.14614619531654677</v>
      </c>
      <c r="BE18" s="12">
        <f t="shared" si="21"/>
        <v>5.1150379900068144E-4</v>
      </c>
      <c r="BF18" s="12">
        <f t="shared" si="21"/>
        <v>1.2859571129886366E-3</v>
      </c>
      <c r="BG18" s="12">
        <f t="shared" si="21"/>
        <v>2.0391122951962108E-3</v>
      </c>
      <c r="BH18" s="12">
        <f t="shared" si="21"/>
        <v>1.8661197212144764E-3</v>
      </c>
      <c r="BI18" s="12">
        <f t="shared" si="21"/>
        <v>1.0819939412382153E-3</v>
      </c>
      <c r="BJ18" s="12">
        <f t="shared" si="21"/>
        <v>1.0993410918938573E-3</v>
      </c>
      <c r="BK18" s="12">
        <f t="shared" si="21"/>
        <v>0.24132616076784158</v>
      </c>
      <c r="BL18" s="12">
        <f t="shared" si="21"/>
        <v>1.7551581162900676E-3</v>
      </c>
      <c r="BM18" s="12">
        <f t="shared" si="21"/>
        <v>2.3375329127270925E-3</v>
      </c>
      <c r="BN18" s="12">
        <f t="shared" si="21"/>
        <v>8.7379270156540145E-4</v>
      </c>
      <c r="BO18" s="12">
        <f t="shared" ref="BO18:CT18" si="22">BO10^2</f>
        <v>1.8332999808277212E-3</v>
      </c>
      <c r="BP18" s="12">
        <f t="shared" si="22"/>
        <v>5.0489626324380643E-4</v>
      </c>
      <c r="BQ18" s="12">
        <f t="shared" si="22"/>
        <v>2.6852524291479107E-3</v>
      </c>
      <c r="BR18" s="12">
        <f t="shared" si="22"/>
        <v>3.4864645894272853E-4</v>
      </c>
      <c r="BS18" s="12">
        <f t="shared" si="22"/>
        <v>1.3466385833219808E-4</v>
      </c>
      <c r="BT18" s="12">
        <f t="shared" si="22"/>
        <v>4.8214268134400012E-4</v>
      </c>
      <c r="BU18" s="12">
        <f t="shared" si="22"/>
        <v>5.5441129356004759E-3</v>
      </c>
      <c r="BV18" s="12">
        <f t="shared" si="22"/>
        <v>9.8136436105860647E-3</v>
      </c>
      <c r="BW18" s="12">
        <f t="shared" si="22"/>
        <v>8.7629820269242154E-3</v>
      </c>
      <c r="BX18" s="12">
        <f t="shared" si="22"/>
        <v>4.081957523627418E-4</v>
      </c>
      <c r="BY18" s="12">
        <f t="shared" si="22"/>
        <v>1.0740719220695551E-3</v>
      </c>
      <c r="BZ18" s="12">
        <f t="shared" si="22"/>
        <v>4.2446681430399757E-3</v>
      </c>
      <c r="CA18" s="12">
        <f t="shared" si="22"/>
        <v>1.3051338264138956E-3</v>
      </c>
      <c r="CB18" s="12">
        <f t="shared" si="22"/>
        <v>1.5151013567023114E-3</v>
      </c>
      <c r="CC18" s="12">
        <f t="shared" si="22"/>
        <v>1.3100633736869011E-3</v>
      </c>
      <c r="CD18" s="12">
        <f t="shared" si="22"/>
        <v>2.4466904670339407E-3</v>
      </c>
      <c r="CE18" s="12">
        <f t="shared" si="22"/>
        <v>1.869927271511751E-3</v>
      </c>
      <c r="CF18" s="12">
        <f t="shared" si="22"/>
        <v>1.0282254097371407E-3</v>
      </c>
      <c r="CG18" s="12">
        <f t="shared" si="22"/>
        <v>1.5970621732466217E-3</v>
      </c>
      <c r="CH18" s="12">
        <f t="shared" si="22"/>
        <v>1.7324983227191698E-3</v>
      </c>
      <c r="CI18" s="12">
        <f t="shared" si="22"/>
        <v>1.2380422865378021E-3</v>
      </c>
      <c r="CJ18" s="12">
        <f t="shared" si="22"/>
        <v>1.9103710566770321E-3</v>
      </c>
      <c r="CK18" s="12">
        <f t="shared" si="22"/>
        <v>7.6696330645111021E-4</v>
      </c>
      <c r="CL18" s="12">
        <f t="shared" si="22"/>
        <v>1.2217917703241654E-3</v>
      </c>
      <c r="CM18" s="12">
        <f t="shared" si="22"/>
        <v>2.3759870266639727E-3</v>
      </c>
      <c r="CN18" s="12">
        <f t="shared" si="22"/>
        <v>1.5373619695285826E-4</v>
      </c>
      <c r="CO18" s="12">
        <f t="shared" si="22"/>
        <v>9.0546316789525197E-4</v>
      </c>
      <c r="CP18" s="12">
        <f t="shared" si="22"/>
        <v>4.4440183108486464E-4</v>
      </c>
      <c r="CQ18" s="12">
        <f t="shared" si="22"/>
        <v>6.4962809782770384E-6</v>
      </c>
      <c r="CR18" s="12">
        <f t="shared" si="22"/>
        <v>1.1303608368935739E-2</v>
      </c>
      <c r="CS18" s="12">
        <f t="shared" si="22"/>
        <v>4.6104340665521754E-4</v>
      </c>
      <c r="CT18" s="12">
        <f t="shared" si="22"/>
        <v>3.4592395687447208E-3</v>
      </c>
      <c r="CU18" s="12">
        <f t="shared" ref="CU18:DZ18" si="23">CU10^2</f>
        <v>4.597407291184321E-2</v>
      </c>
      <c r="CV18" s="12">
        <f t="shared" si="23"/>
        <v>2.1315207473492137E-2</v>
      </c>
      <c r="CW18" s="12">
        <f t="shared" si="23"/>
        <v>4.3534845827943869E-3</v>
      </c>
      <c r="CX18" s="12">
        <f t="shared" si="23"/>
        <v>0.1096458716079987</v>
      </c>
      <c r="CY18" s="12">
        <f t="shared" si="23"/>
        <v>1.228566811760104E-3</v>
      </c>
      <c r="CZ18" s="12">
        <f t="shared" si="23"/>
        <v>5.3301703902835854E-2</v>
      </c>
      <c r="DA18" s="12">
        <f t="shared" si="23"/>
        <v>9.388769882293424E-3</v>
      </c>
      <c r="DB18" s="12">
        <f t="shared" si="23"/>
        <v>6.9599642027213041E-4</v>
      </c>
      <c r="DC18" s="12">
        <f t="shared" si="23"/>
        <v>4.1010497426876569E-3</v>
      </c>
      <c r="DD18" s="12">
        <f t="shared" si="23"/>
        <v>2.8590365845944229E-3</v>
      </c>
      <c r="DE18" s="12">
        <f t="shared" si="23"/>
        <v>1.7196607547316015E-2</v>
      </c>
      <c r="DF18" s="12">
        <f t="shared" si="23"/>
        <v>1.8654256590494342E-2</v>
      </c>
      <c r="DG18" s="12">
        <f t="shared" si="23"/>
        <v>9.0099383066366556E-3</v>
      </c>
      <c r="DH18" s="12">
        <f t="shared" si="23"/>
        <v>1.773199688782922E-3</v>
      </c>
      <c r="DI18" s="12">
        <f t="shared" si="23"/>
        <v>1.6753505273960911E-3</v>
      </c>
      <c r="DJ18" s="12">
        <f t="shared" si="23"/>
        <v>1.5804077307338814E-3</v>
      </c>
      <c r="DK18" s="12">
        <f t="shared" si="23"/>
        <v>1.2629030757514793E-4</v>
      </c>
      <c r="DL18" s="12">
        <f t="shared" si="23"/>
        <v>2.1926482277037089E-3</v>
      </c>
      <c r="DM18" s="12">
        <f t="shared" si="23"/>
        <v>2.347377288025366E-3</v>
      </c>
      <c r="DN18" s="12">
        <f t="shared" si="23"/>
        <v>3.5754041397240144E-4</v>
      </c>
      <c r="DO18" s="12">
        <f t="shared" si="23"/>
        <v>1.0572335755037401E-2</v>
      </c>
      <c r="DP18" s="12">
        <f t="shared" si="23"/>
        <v>7.2530106047786952E-2</v>
      </c>
      <c r="DQ18" s="12">
        <f t="shared" si="23"/>
        <v>1.3153434725816787E-3</v>
      </c>
      <c r="DR18" s="12">
        <f t="shared" si="23"/>
        <v>5.7943899974560176E-3</v>
      </c>
      <c r="DS18" s="12">
        <f t="shared" si="23"/>
        <v>8.3779927176064542E-4</v>
      </c>
      <c r="DT18" s="12">
        <f t="shared" si="23"/>
        <v>6.655251957366807E-4</v>
      </c>
      <c r="DU18" s="12">
        <f t="shared" si="23"/>
        <v>1.7946003422981826E-3</v>
      </c>
      <c r="DV18" s="12">
        <f t="shared" si="23"/>
        <v>1.6123452850536076E-2</v>
      </c>
      <c r="DW18" s="12">
        <f t="shared" si="23"/>
        <v>1.8472234326006309E-3</v>
      </c>
      <c r="DX18" s="12">
        <f t="shared" si="23"/>
        <v>5.1209470411111568E-3</v>
      </c>
      <c r="DY18" s="12">
        <f t="shared" si="23"/>
        <v>1.4824602505015276E-3</v>
      </c>
      <c r="DZ18" s="12">
        <f t="shared" si="23"/>
        <v>1.322329679842707E-3</v>
      </c>
      <c r="EA18" s="12">
        <f t="shared" ref="EA18:EL18" si="24">EA10^2</f>
        <v>9.0838577165902579E-4</v>
      </c>
      <c r="EB18" s="12">
        <f t="shared" si="24"/>
        <v>9.4262721215578917E-5</v>
      </c>
      <c r="EC18" s="12">
        <f t="shared" si="24"/>
        <v>2.6115717765007864E-3</v>
      </c>
      <c r="ED18" s="12">
        <f t="shared" si="24"/>
        <v>6.6798706304599408E-4</v>
      </c>
      <c r="EE18" s="12">
        <f t="shared" si="24"/>
        <v>1.0890524272527671E-2</v>
      </c>
      <c r="EF18" s="12">
        <f t="shared" si="24"/>
        <v>1.4514896432330957E-5</v>
      </c>
      <c r="EG18" s="12">
        <f t="shared" si="24"/>
        <v>8.3502856284228843E-4</v>
      </c>
      <c r="EH18" s="12">
        <f t="shared" si="24"/>
        <v>1.8143682209628142E-3</v>
      </c>
      <c r="EI18" s="12">
        <f t="shared" si="24"/>
        <v>8.8085989879039261E-3</v>
      </c>
      <c r="EJ18" s="12">
        <f t="shared" si="24"/>
        <v>3.5361055459227067E-3</v>
      </c>
      <c r="EK18" s="12">
        <f t="shared" si="24"/>
        <v>1.0771989425251705E-3</v>
      </c>
      <c r="EL18" s="12">
        <f t="shared" si="24"/>
        <v>3.4383721117026145E-3</v>
      </c>
    </row>
    <row r="19" spans="1:142" x14ac:dyDescent="0.55000000000000004">
      <c r="B19" s="14" t="s">
        <v>145</v>
      </c>
      <c r="C19" s="12">
        <f t="shared" ref="C19:AH19" si="25">C11^2</f>
        <v>1.6486821767344981E-7</v>
      </c>
      <c r="D19" s="12">
        <f t="shared" si="25"/>
        <v>2.5339063739650142E-3</v>
      </c>
      <c r="E19" s="12">
        <f t="shared" si="25"/>
        <v>1.5143372802504107E-3</v>
      </c>
      <c r="F19" s="12">
        <f t="shared" si="25"/>
        <v>1.4280021189533304E-4</v>
      </c>
      <c r="G19" s="12">
        <f t="shared" si="25"/>
        <v>1.2054760634830353E-5</v>
      </c>
      <c r="H19" s="12">
        <f t="shared" si="25"/>
        <v>2.9591819675212072E-4</v>
      </c>
      <c r="I19" s="12">
        <f t="shared" si="25"/>
        <v>1.1632782759571918E-3</v>
      </c>
      <c r="J19" s="12">
        <f t="shared" si="25"/>
        <v>1.0546879460699016E-3</v>
      </c>
      <c r="K19" s="12">
        <f t="shared" si="25"/>
        <v>1.2005838919876416E-3</v>
      </c>
      <c r="L19" s="12">
        <f t="shared" si="25"/>
        <v>2.0552735844533227E-2</v>
      </c>
      <c r="M19" s="12">
        <f t="shared" si="25"/>
        <v>8.6345997146125889E-4</v>
      </c>
      <c r="N19" s="12">
        <f t="shared" si="25"/>
        <v>3.4748002903839392E-4</v>
      </c>
      <c r="O19" s="12">
        <f t="shared" si="25"/>
        <v>1.213946751546013E-3</v>
      </c>
      <c r="P19" s="12">
        <f t="shared" si="25"/>
        <v>3.6331863876795526E-7</v>
      </c>
      <c r="Q19" s="12">
        <f t="shared" si="25"/>
        <v>1.3804629532116261E-4</v>
      </c>
      <c r="R19" s="12">
        <f t="shared" si="25"/>
        <v>3.0099804803557229E-4</v>
      </c>
      <c r="S19" s="12">
        <f t="shared" si="25"/>
        <v>1.7157229970000132E-3</v>
      </c>
      <c r="T19" s="12">
        <f t="shared" si="25"/>
        <v>2.0516255578098552E-3</v>
      </c>
      <c r="U19" s="12">
        <f t="shared" si="25"/>
        <v>4.0499150976581544E-5</v>
      </c>
      <c r="V19" s="12">
        <f t="shared" si="25"/>
        <v>1.1174011918468896E-3</v>
      </c>
      <c r="W19" s="12">
        <f t="shared" si="25"/>
        <v>1.2963531594030325E-3</v>
      </c>
      <c r="X19" s="12">
        <f t="shared" si="25"/>
        <v>4.1505056234237281E-3</v>
      </c>
      <c r="Y19" s="12">
        <f t="shared" si="25"/>
        <v>2.5561524100121491E-5</v>
      </c>
      <c r="Z19" s="12">
        <f t="shared" si="25"/>
        <v>7.7717381918862593E-4</v>
      </c>
      <c r="AA19" s="12">
        <f t="shared" si="25"/>
        <v>1.4911990325752189E-3</v>
      </c>
      <c r="AB19" s="12">
        <f t="shared" si="25"/>
        <v>1.7114899028154579E-3</v>
      </c>
      <c r="AC19" s="12">
        <f t="shared" si="25"/>
        <v>5.9772346062926529E-4</v>
      </c>
      <c r="AD19" s="12">
        <f t="shared" si="25"/>
        <v>1.7339800715712173E-3</v>
      </c>
      <c r="AE19" s="12">
        <f t="shared" si="25"/>
        <v>8.5055908484301668E-3</v>
      </c>
      <c r="AF19" s="12">
        <f t="shared" si="25"/>
        <v>8.7757653161185667E-4</v>
      </c>
      <c r="AG19" s="12">
        <f t="shared" si="25"/>
        <v>5.2713019507857339E-3</v>
      </c>
      <c r="AH19" s="12">
        <f t="shared" si="25"/>
        <v>6.5246790478568073E-4</v>
      </c>
      <c r="AI19" s="12">
        <f t="shared" ref="AI19:BN19" si="26">AI11^2</f>
        <v>7.2128843566000834E-4</v>
      </c>
      <c r="AJ19" s="12">
        <f t="shared" si="26"/>
        <v>1.3076757057456506E-3</v>
      </c>
      <c r="AK19" s="12">
        <f t="shared" si="26"/>
        <v>5.665849976014025E-4</v>
      </c>
      <c r="AL19" s="12">
        <f t="shared" si="26"/>
        <v>7.1399465596125658E-6</v>
      </c>
      <c r="AM19" s="12">
        <f t="shared" si="26"/>
        <v>1.0900267338329741E-5</v>
      </c>
      <c r="AN19" s="12">
        <f t="shared" si="26"/>
        <v>6.0089852813668845E-9</v>
      </c>
      <c r="AO19" s="12">
        <f t="shared" si="26"/>
        <v>4.7084687173681861E-3</v>
      </c>
      <c r="AP19" s="12">
        <f t="shared" si="26"/>
        <v>1.3713340370289512E-3</v>
      </c>
      <c r="AQ19" s="12">
        <f t="shared" si="26"/>
        <v>5.3403088224346373E-4</v>
      </c>
      <c r="AR19" s="12">
        <f t="shared" si="26"/>
        <v>5.0690641783370793E-3</v>
      </c>
      <c r="AS19" s="12">
        <f t="shared" si="26"/>
        <v>2.3015101925905604E-3</v>
      </c>
      <c r="AT19" s="12">
        <f t="shared" si="26"/>
        <v>3.8113123941200394E-3</v>
      </c>
      <c r="AU19" s="12">
        <f t="shared" si="26"/>
        <v>2.9731731465993186E-4</v>
      </c>
      <c r="AV19" s="12">
        <f t="shared" si="26"/>
        <v>3.3030742347586184E-3</v>
      </c>
      <c r="AW19" s="12">
        <f t="shared" si="26"/>
        <v>3.9324864231540246E-3</v>
      </c>
      <c r="AX19" s="12">
        <f t="shared" si="26"/>
        <v>3.3810708103279574E-3</v>
      </c>
      <c r="AY19" s="12">
        <f t="shared" si="26"/>
        <v>1.1071666499958614E-2</v>
      </c>
      <c r="AZ19" s="12">
        <f t="shared" si="26"/>
        <v>1.2476425673990749E-4</v>
      </c>
      <c r="BA19" s="12">
        <f t="shared" si="26"/>
        <v>1.3453641491481593E-5</v>
      </c>
      <c r="BB19" s="12">
        <f t="shared" si="26"/>
        <v>3.3028656092227982E-4</v>
      </c>
      <c r="BC19" s="12">
        <f t="shared" si="26"/>
        <v>2.7147487875689436E-5</v>
      </c>
      <c r="BD19" s="12">
        <f t="shared" si="26"/>
        <v>1.9158925036594208E-6</v>
      </c>
      <c r="BE19" s="12">
        <f t="shared" si="26"/>
        <v>4.0361344946726607E-5</v>
      </c>
      <c r="BF19" s="12">
        <f t="shared" si="26"/>
        <v>1.1870591228813402E-4</v>
      </c>
      <c r="BG19" s="12">
        <f t="shared" si="26"/>
        <v>1.2333321171530352E-5</v>
      </c>
      <c r="BH19" s="12">
        <f t="shared" si="26"/>
        <v>3.1633896156371204E-5</v>
      </c>
      <c r="BI19" s="12">
        <f t="shared" si="26"/>
        <v>4.5808558808496103E-3</v>
      </c>
      <c r="BJ19" s="12">
        <f t="shared" si="26"/>
        <v>1.5789593090754237E-5</v>
      </c>
      <c r="BK19" s="12">
        <f t="shared" si="26"/>
        <v>9.3978317799831034E-4</v>
      </c>
      <c r="BL19" s="12">
        <f t="shared" si="26"/>
        <v>1.4718965410502686E-4</v>
      </c>
      <c r="BM19" s="12">
        <f t="shared" si="26"/>
        <v>4.4080802989463261E-6</v>
      </c>
      <c r="BN19" s="12">
        <f t="shared" si="26"/>
        <v>2.8471755849018832E-4</v>
      </c>
      <c r="BO19" s="12">
        <f t="shared" ref="BO19:CT19" si="27">BO11^2</f>
        <v>1.9886537428027995E-4</v>
      </c>
      <c r="BP19" s="12">
        <f t="shared" si="27"/>
        <v>7.3173663484027429E-5</v>
      </c>
      <c r="BQ19" s="12">
        <f t="shared" si="27"/>
        <v>3.398840264418197E-4</v>
      </c>
      <c r="BR19" s="12">
        <f t="shared" si="27"/>
        <v>1.8494977092819398E-4</v>
      </c>
      <c r="BS19" s="12">
        <f t="shared" si="27"/>
        <v>1.9637084628515433E-6</v>
      </c>
      <c r="BT19" s="12">
        <f t="shared" si="27"/>
        <v>1.4381907176295172E-3</v>
      </c>
      <c r="BU19" s="12">
        <f t="shared" si="27"/>
        <v>1.5554332629515952E-4</v>
      </c>
      <c r="BV19" s="12">
        <f t="shared" si="27"/>
        <v>2.2143145304847622E-3</v>
      </c>
      <c r="BW19" s="12">
        <f t="shared" si="27"/>
        <v>4.6766137153195567E-4</v>
      </c>
      <c r="BX19" s="12">
        <f t="shared" si="27"/>
        <v>1.2421909483559951E-5</v>
      </c>
      <c r="BY19" s="12">
        <f t="shared" si="27"/>
        <v>9.0088675992611201E-6</v>
      </c>
      <c r="BZ19" s="12">
        <f t="shared" si="27"/>
        <v>1.5482049605458024E-4</v>
      </c>
      <c r="CA19" s="12">
        <f t="shared" si="27"/>
        <v>2.1012054280531434E-3</v>
      </c>
      <c r="CB19" s="12">
        <f t="shared" si="27"/>
        <v>9.7824983738590415E-5</v>
      </c>
      <c r="CC19" s="12">
        <f t="shared" si="27"/>
        <v>7.8637853647848572E-6</v>
      </c>
      <c r="CD19" s="12">
        <f t="shared" si="27"/>
        <v>7.5298183101604797E-7</v>
      </c>
      <c r="CE19" s="12">
        <f t="shared" si="27"/>
        <v>8.3775466896995367E-5</v>
      </c>
      <c r="CF19" s="12">
        <f t="shared" si="27"/>
        <v>5.1619424250638768E-4</v>
      </c>
      <c r="CG19" s="12">
        <f t="shared" si="27"/>
        <v>1.1403002212099535E-5</v>
      </c>
      <c r="CH19" s="12">
        <f t="shared" si="27"/>
        <v>3.5962022828803588E-4</v>
      </c>
      <c r="CI19" s="12">
        <f t="shared" si="27"/>
        <v>8.4213993770059781E-3</v>
      </c>
      <c r="CJ19" s="12">
        <f t="shared" si="27"/>
        <v>4.0882483037244649E-5</v>
      </c>
      <c r="CK19" s="12">
        <f t="shared" si="27"/>
        <v>2.0065458796963964E-4</v>
      </c>
      <c r="CL19" s="12">
        <f t="shared" si="27"/>
        <v>1.6666456483156213E-5</v>
      </c>
      <c r="CM19" s="12">
        <f t="shared" si="27"/>
        <v>1.1193384802679015E-4</v>
      </c>
      <c r="CN19" s="12">
        <f t="shared" si="27"/>
        <v>4.6910864343664721E-4</v>
      </c>
      <c r="CO19" s="12">
        <f t="shared" si="27"/>
        <v>2.0517472718504477E-2</v>
      </c>
      <c r="CP19" s="12">
        <f t="shared" si="27"/>
        <v>3.5065803949323269E-6</v>
      </c>
      <c r="CQ19" s="12">
        <f t="shared" si="27"/>
        <v>1.5347185724479268E-3</v>
      </c>
      <c r="CR19" s="12">
        <f t="shared" si="27"/>
        <v>2.1849930189749872E-5</v>
      </c>
      <c r="CS19" s="12">
        <f t="shared" si="27"/>
        <v>1.5924349296982943E-3</v>
      </c>
      <c r="CT19" s="12">
        <f t="shared" si="27"/>
        <v>3.2619903219670504E-5</v>
      </c>
      <c r="CU19" s="12">
        <f t="shared" ref="CU19:DZ19" si="28">CU11^2</f>
        <v>2.8953896689021253E-4</v>
      </c>
      <c r="CV19" s="12">
        <f t="shared" si="28"/>
        <v>1.3759706014610304E-4</v>
      </c>
      <c r="CW19" s="12">
        <f t="shared" si="28"/>
        <v>3.4451168919600098E-4</v>
      </c>
      <c r="CX19" s="12">
        <f t="shared" si="28"/>
        <v>7.4151257015499217E-4</v>
      </c>
      <c r="CY19" s="12">
        <f t="shared" si="28"/>
        <v>6.7122563780450139E-6</v>
      </c>
      <c r="CZ19" s="12">
        <f t="shared" si="28"/>
        <v>3.982861930312831E-3</v>
      </c>
      <c r="DA19" s="12">
        <f t="shared" si="28"/>
        <v>1.2346350483872916E-3</v>
      </c>
      <c r="DB19" s="12">
        <f t="shared" si="28"/>
        <v>4.9267356417529565E-5</v>
      </c>
      <c r="DC19" s="12">
        <f t="shared" si="28"/>
        <v>1.1462790904146697E-6</v>
      </c>
      <c r="DD19" s="12">
        <f t="shared" si="28"/>
        <v>7.6955936376826833E-6</v>
      </c>
      <c r="DE19" s="12">
        <f t="shared" si="28"/>
        <v>6.6135237768358626E-4</v>
      </c>
      <c r="DF19" s="12">
        <f t="shared" si="28"/>
        <v>1.9991459589974174E-6</v>
      </c>
      <c r="DG19" s="12">
        <f t="shared" si="28"/>
        <v>9.2530901535944378E-5</v>
      </c>
      <c r="DH19" s="12">
        <f t="shared" si="28"/>
        <v>1.5870187220707103E-6</v>
      </c>
      <c r="DI19" s="12">
        <f t="shared" si="28"/>
        <v>2.6650783634853126E-4</v>
      </c>
      <c r="DJ19" s="12">
        <f t="shared" si="28"/>
        <v>5.1540190953245149E-4</v>
      </c>
      <c r="DK19" s="12">
        <f t="shared" si="28"/>
        <v>1.17197232895746E-5</v>
      </c>
      <c r="DL19" s="12">
        <f t="shared" si="28"/>
        <v>3.794969521916471E-6</v>
      </c>
      <c r="DM19" s="12">
        <f t="shared" si="28"/>
        <v>6.6991987183318003E-2</v>
      </c>
      <c r="DN19" s="12">
        <f t="shared" si="28"/>
        <v>1.9065484132923288E-7</v>
      </c>
      <c r="DO19" s="12">
        <f t="shared" si="28"/>
        <v>1.8398421571419821E-4</v>
      </c>
      <c r="DP19" s="12">
        <f t="shared" si="28"/>
        <v>7.2957702890188991E-5</v>
      </c>
      <c r="DQ19" s="12">
        <f t="shared" si="28"/>
        <v>3.0808280345418165E-7</v>
      </c>
      <c r="DR19" s="12">
        <f t="shared" si="28"/>
        <v>7.9683564161395562E-4</v>
      </c>
      <c r="DS19" s="12">
        <f t="shared" si="28"/>
        <v>1.4618485147198227E-6</v>
      </c>
      <c r="DT19" s="12">
        <f t="shared" si="28"/>
        <v>1.4057535278230202E-5</v>
      </c>
      <c r="DU19" s="12">
        <f t="shared" si="28"/>
        <v>3.4397947677950233E-6</v>
      </c>
      <c r="DV19" s="12">
        <f t="shared" si="28"/>
        <v>5.5911872999475621E-4</v>
      </c>
      <c r="DW19" s="12">
        <f t="shared" si="28"/>
        <v>9.9461315584137255E-6</v>
      </c>
      <c r="DX19" s="12">
        <f t="shared" si="28"/>
        <v>2.3717193042976936E-4</v>
      </c>
      <c r="DY19" s="12">
        <f t="shared" si="28"/>
        <v>1.6293706059104175E-4</v>
      </c>
      <c r="DZ19" s="12">
        <f t="shared" si="28"/>
        <v>9.9136567003754728E-4</v>
      </c>
      <c r="EA19" s="12">
        <f t="shared" ref="EA19:EL19" si="29">EA11^2</f>
        <v>5.2223523235198771E-5</v>
      </c>
      <c r="EB19" s="12">
        <f t="shared" si="29"/>
        <v>2.3504585329668467E-6</v>
      </c>
      <c r="EC19" s="12">
        <f t="shared" si="29"/>
        <v>4.3770247627570089E-4</v>
      </c>
      <c r="ED19" s="12">
        <f t="shared" si="29"/>
        <v>1.0432917498423046E-5</v>
      </c>
      <c r="EE19" s="12">
        <f t="shared" si="29"/>
        <v>1.070810501321345E-2</v>
      </c>
      <c r="EF19" s="12">
        <f t="shared" si="29"/>
        <v>2.4948095304629971E-5</v>
      </c>
      <c r="EG19" s="12">
        <f t="shared" si="29"/>
        <v>6.7600088283024107E-3</v>
      </c>
      <c r="EH19" s="12">
        <f t="shared" si="29"/>
        <v>5.1045992710250232E-3</v>
      </c>
      <c r="EI19" s="12">
        <f t="shared" si="29"/>
        <v>4.3023493310995561E-4</v>
      </c>
      <c r="EJ19" s="12">
        <f t="shared" si="29"/>
        <v>2.3571209882702372E-5</v>
      </c>
      <c r="EK19" s="12">
        <f t="shared" si="29"/>
        <v>1.2583723920016423E-6</v>
      </c>
      <c r="EL19" s="12">
        <f t="shared" si="29"/>
        <v>5.006778916758714E-3</v>
      </c>
    </row>
    <row r="21" spans="1:142" x14ac:dyDescent="0.55000000000000004">
      <c r="A21" s="12" t="s">
        <v>283</v>
      </c>
      <c r="B21" s="12">
        <f>1-SUM(C13:EL15)/SUM(C17:EL19)</f>
        <v>4.5705367837414856E-2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/>
      <c r="B12" s="18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8"/>
      <c r="B13" s="18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8"/>
      <c r="B14" s="18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8"/>
      <c r="B15" s="18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8"/>
      <c r="B16" s="18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8"/>
      <c r="B17" s="18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8"/>
      <c r="B18" s="18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8"/>
      <c r="B19" s="18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8"/>
      <c r="B20" s="18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8"/>
      <c r="B21" s="18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8"/>
      <c r="B22" s="18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8"/>
      <c r="B23" s="18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8"/>
      <c r="B24" s="18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8"/>
      <c r="B25" s="18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workbookViewId="0">
      <selection activeCell="C21" sqref="C21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0" width="22.59765625" bestFit="1" customWidth="1"/>
    <col min="11" max="11" width="21.3984375" bestFit="1" customWidth="1"/>
    <col min="12" max="92" width="22.59765625" bestFit="1" customWidth="1"/>
    <col min="93" max="93" width="21.3984375" bestFit="1" customWidth="1"/>
    <col min="94" max="102" width="22.59765625" bestFit="1" customWidth="1"/>
    <col min="103" max="103" width="21.3984375" bestFit="1" customWidth="1"/>
    <col min="104" max="142" width="22.59765625" bestFit="1" customWidth="1"/>
  </cols>
  <sheetData>
    <row r="1" spans="1:142" ht="25" customHeight="1" x14ac:dyDescent="0.55000000000000004">
      <c r="A1" s="11" t="s">
        <v>284</v>
      </c>
    </row>
    <row r="2" spans="1:142" ht="25" customHeight="1" x14ac:dyDescent="0.55000000000000004">
      <c r="A2" s="11" t="s">
        <v>285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3.4946434776605882E-2</v>
      </c>
      <c r="D3" s="13">
        <v>4.9621152558988732E-2</v>
      </c>
      <c r="E3" s="13">
        <v>3.5213354523381528E-2</v>
      </c>
      <c r="F3" s="13">
        <v>3.528654428743689E-2</v>
      </c>
      <c r="G3" s="13">
        <v>2.6716500308212938E-2</v>
      </c>
      <c r="H3" s="13">
        <v>2.0847254063407979E-2</v>
      </c>
      <c r="I3" s="13">
        <v>2.868829063081851E-2</v>
      </c>
      <c r="J3" s="13">
        <v>3.022480975870807E-2</v>
      </c>
      <c r="K3" s="13">
        <v>3.5784184494395042E-2</v>
      </c>
      <c r="L3" s="13">
        <v>2.8873175879389701E-2</v>
      </c>
      <c r="M3" s="13">
        <v>3.676593961113666E-2</v>
      </c>
      <c r="N3" s="13">
        <v>2.597668483152624E-2</v>
      </c>
      <c r="O3" s="13">
        <v>3.9591469971915073E-2</v>
      </c>
      <c r="P3" s="13">
        <v>4.2728306638823203E-2</v>
      </c>
      <c r="Q3" s="13">
        <v>3.2209373169499553E-2</v>
      </c>
      <c r="R3" s="13">
        <v>2.990118621840895E-2</v>
      </c>
      <c r="S3" s="13">
        <v>3.2084464027181132E-2</v>
      </c>
      <c r="T3" s="13">
        <v>3.0145955261974309E-2</v>
      </c>
      <c r="U3" s="13">
        <v>3.1800877141706048E-2</v>
      </c>
      <c r="V3" s="13">
        <v>2.8571187496222571E-2</v>
      </c>
      <c r="W3" s="13">
        <v>2.4833809428850561E-2</v>
      </c>
      <c r="X3" s="13">
        <v>4.422438631770411E-2</v>
      </c>
      <c r="Y3" s="13">
        <v>3.058229410448237E-2</v>
      </c>
      <c r="Z3" s="13">
        <v>3.3248159660972533E-2</v>
      </c>
      <c r="AA3" s="13">
        <v>2.947324788874087E-2</v>
      </c>
      <c r="AB3" s="13">
        <v>3.5559252182618593E-2</v>
      </c>
      <c r="AC3" s="13">
        <v>3.3742425377551163E-2</v>
      </c>
      <c r="AD3" s="13">
        <v>2.9434183518290032E-2</v>
      </c>
      <c r="AE3" s="13">
        <v>3.8312600203871998E-2</v>
      </c>
      <c r="AF3" s="13">
        <v>3.5319598277822807E-2</v>
      </c>
      <c r="AG3" s="13">
        <v>2.7095981515837211E-2</v>
      </c>
      <c r="AH3" s="13">
        <v>2.4588044029715119E-2</v>
      </c>
      <c r="AI3" s="13">
        <v>3.7997597137220201E-2</v>
      </c>
      <c r="AJ3" s="13">
        <v>3.3911508457047913E-2</v>
      </c>
      <c r="AK3" s="13">
        <v>4.3063908641014483E-2</v>
      </c>
      <c r="AL3" s="13">
        <v>3.5336105491399851E-2</v>
      </c>
      <c r="AM3" s="13">
        <v>4.095453549730925E-2</v>
      </c>
      <c r="AN3" s="13">
        <v>3.9629739230367438E-2</v>
      </c>
      <c r="AO3" s="13">
        <v>5.8136437096450902E-2</v>
      </c>
      <c r="AP3" s="13">
        <v>5.3476675537943032E-2</v>
      </c>
      <c r="AQ3" s="13">
        <v>5.6036139285653083E-2</v>
      </c>
      <c r="AR3" s="13">
        <v>4.6184000737761667E-2</v>
      </c>
      <c r="AS3" s="13">
        <v>3.5389481532984962E-2</v>
      </c>
      <c r="AT3" s="13">
        <v>3.3505358739742738E-2</v>
      </c>
      <c r="AU3" s="13">
        <v>2.858092995705622E-2</v>
      </c>
      <c r="AV3" s="13">
        <v>4.5607815952215837E-2</v>
      </c>
      <c r="AW3" s="13">
        <v>4.0858801947929083E-2</v>
      </c>
      <c r="AX3" s="13">
        <v>3.912196816540315E-2</v>
      </c>
      <c r="AY3" s="13">
        <v>2.8330448117809479E-2</v>
      </c>
      <c r="AZ3" s="13">
        <v>3.4740726744102057E-2</v>
      </c>
      <c r="BA3" s="13">
        <v>4.1380134912733423E-2</v>
      </c>
      <c r="BB3" s="13">
        <v>3.8446530073234023E-2</v>
      </c>
      <c r="BC3" s="13">
        <v>3.9139660680907393E-2</v>
      </c>
      <c r="BD3" s="13">
        <v>3.4412713960316949E-2</v>
      </c>
      <c r="BE3" s="13">
        <v>3.1627384875007797E-2</v>
      </c>
      <c r="BF3" s="13">
        <v>3.2881306555447937E-2</v>
      </c>
      <c r="BG3" s="13">
        <v>2.7856516368044079E-2</v>
      </c>
      <c r="BH3" s="13">
        <v>3.9039450639835438E-2</v>
      </c>
      <c r="BI3" s="13">
        <v>3.868573434139564E-2</v>
      </c>
      <c r="BJ3" s="13">
        <v>4.2598863286148932E-2</v>
      </c>
      <c r="BK3" s="13">
        <v>4.3638506422424159E-2</v>
      </c>
      <c r="BL3" s="13">
        <v>4.1807312058529042E-2</v>
      </c>
      <c r="BM3" s="13">
        <v>3.5722916378634957E-2</v>
      </c>
      <c r="BN3" s="13">
        <v>3.5190578568229797E-2</v>
      </c>
      <c r="BO3" s="13">
        <v>3.5416976035990012E-2</v>
      </c>
      <c r="BP3" s="13">
        <v>3.713200657521562E-2</v>
      </c>
      <c r="BQ3" s="13">
        <v>3.7614323710702537E-2</v>
      </c>
      <c r="BR3" s="13">
        <v>3.7508213116778308E-2</v>
      </c>
      <c r="BS3" s="13">
        <v>3.7699116157691358E-2</v>
      </c>
      <c r="BT3" s="13">
        <v>3.6770936163800741E-2</v>
      </c>
      <c r="BU3" s="13">
        <v>3.6910402351608369E-2</v>
      </c>
      <c r="BV3" s="13">
        <v>3.6401345985563889E-2</v>
      </c>
      <c r="BW3" s="13">
        <v>3.5968201888952243E-2</v>
      </c>
      <c r="BX3" s="13">
        <v>4.360917134424671E-2</v>
      </c>
      <c r="BY3" s="13">
        <v>3.7211686504550583E-2</v>
      </c>
      <c r="BZ3" s="13">
        <v>3.6826352112766268E-2</v>
      </c>
      <c r="CA3" s="13">
        <v>3.4591508592700923E-2</v>
      </c>
      <c r="CB3" s="13">
        <v>3.4339760626077138E-2</v>
      </c>
      <c r="CC3" s="13">
        <v>2.0533243096777822E-2</v>
      </c>
      <c r="CD3" s="13">
        <v>2.2943200679351659E-2</v>
      </c>
      <c r="CE3" s="13">
        <v>3.2308526928274857E-2</v>
      </c>
      <c r="CF3" s="13">
        <v>4.7329405862239361E-2</v>
      </c>
      <c r="CG3" s="13">
        <v>3.7836284478803363E-2</v>
      </c>
      <c r="CH3" s="13">
        <v>3.8694495063321753E-2</v>
      </c>
      <c r="CI3" s="13">
        <v>3.3617094541697881E-2</v>
      </c>
      <c r="CJ3" s="13">
        <v>4.2975321891997098E-2</v>
      </c>
      <c r="CK3" s="13">
        <v>4.0264755165575199E-2</v>
      </c>
      <c r="CL3" s="13">
        <v>4.4693934288686933E-2</v>
      </c>
      <c r="CM3" s="13">
        <v>4.4606561803651169E-2</v>
      </c>
      <c r="CN3" s="13">
        <v>6.8577606946104749E-2</v>
      </c>
      <c r="CO3" s="13">
        <v>4.9189277148068387E-2</v>
      </c>
      <c r="CP3" s="13">
        <v>6.5607649619662367E-2</v>
      </c>
      <c r="CQ3" s="13">
        <v>4.3819863603946338E-2</v>
      </c>
      <c r="CR3" s="13">
        <v>5.6851400922781473E-2</v>
      </c>
      <c r="CS3" s="13">
        <v>6.2364412289304838E-2</v>
      </c>
      <c r="CT3" s="13">
        <v>4.9348826700518093E-2</v>
      </c>
      <c r="CU3" s="13">
        <v>5.0002233445896063E-2</v>
      </c>
      <c r="CV3" s="13">
        <v>5.3783352114565232E-2</v>
      </c>
      <c r="CW3" s="13">
        <v>4.673096388557773E-2</v>
      </c>
      <c r="CX3" s="13">
        <v>4.52857567116665E-2</v>
      </c>
      <c r="CY3" s="13">
        <v>3.9604666977184122E-2</v>
      </c>
      <c r="CZ3" s="13">
        <v>4.4391419906749573E-2</v>
      </c>
      <c r="DA3" s="13">
        <v>3.9334184018522997E-2</v>
      </c>
      <c r="DB3" s="13">
        <v>3.9618679725897638E-2</v>
      </c>
      <c r="DC3" s="13">
        <v>4.3580066674140057E-2</v>
      </c>
      <c r="DD3" s="13">
        <v>4.1743760534084302E-2</v>
      </c>
      <c r="DE3" s="13">
        <v>3.7124504209684453E-2</v>
      </c>
      <c r="DF3" s="13">
        <v>3.7667258315214808E-2</v>
      </c>
      <c r="DG3" s="13">
        <v>4.0633271347886857E-2</v>
      </c>
      <c r="DH3" s="13">
        <v>3.8849205925320061E-2</v>
      </c>
      <c r="DI3" s="13">
        <v>3.7289411512649348E-2</v>
      </c>
      <c r="DJ3" s="13">
        <v>3.7848875034311981E-2</v>
      </c>
      <c r="DK3" s="13">
        <v>3.462124141038013E-2</v>
      </c>
      <c r="DL3" s="13">
        <v>3.5944383409832997E-2</v>
      </c>
      <c r="DM3" s="13">
        <v>3.4440509329873713E-2</v>
      </c>
      <c r="DN3" s="13">
        <v>5.080663627630181E-2</v>
      </c>
      <c r="DO3" s="13">
        <v>4.4401319518395037E-2</v>
      </c>
      <c r="DP3" s="13">
        <v>4.0598389653240877E-2</v>
      </c>
      <c r="DQ3" s="13">
        <v>4.0608081786117911E-2</v>
      </c>
      <c r="DR3" s="13">
        <v>4.1794941830527198E-2</v>
      </c>
      <c r="DS3" s="13">
        <v>4.9788977885194548E-2</v>
      </c>
      <c r="DT3" s="13">
        <v>4.4966810815319433E-2</v>
      </c>
      <c r="DU3" s="13">
        <v>3.9216383622322187E-2</v>
      </c>
      <c r="DV3" s="13">
        <v>3.9953462868225757E-2</v>
      </c>
      <c r="DW3" s="13">
        <v>4.7966753162565323E-2</v>
      </c>
      <c r="DX3" s="13">
        <v>4.7135568202097168E-2</v>
      </c>
      <c r="DY3" s="13">
        <v>5.0681252776800433E-2</v>
      </c>
      <c r="DZ3" s="13">
        <v>4.4969453786410638E-2</v>
      </c>
      <c r="EA3" s="13">
        <v>4.4790390035127817E-2</v>
      </c>
      <c r="EB3" s="13">
        <v>4.605973794008926E-2</v>
      </c>
      <c r="EC3" s="13">
        <v>6.9799748019209198E-2</v>
      </c>
      <c r="ED3" s="13">
        <v>4.8948038728249647E-2</v>
      </c>
      <c r="EE3" s="13">
        <v>4.4489528267164347E-2</v>
      </c>
      <c r="EF3" s="13">
        <v>3.4297029215600711E-2</v>
      </c>
      <c r="EG3" s="13">
        <v>3.9822103911537593E-2</v>
      </c>
      <c r="EH3" s="13">
        <v>3.0749140984917121E-2</v>
      </c>
      <c r="EI3" s="13">
        <v>2.9755278459214E-2</v>
      </c>
      <c r="EJ3" s="13">
        <v>3.4738700682679341E-2</v>
      </c>
      <c r="EK3" s="13">
        <v>2.7110665601743609E-2</v>
      </c>
      <c r="EL3" s="13">
        <v>2.7595207896287419E-2</v>
      </c>
    </row>
    <row r="4" spans="1:142" ht="25" customHeight="1" x14ac:dyDescent="0.55000000000000004">
      <c r="B4" s="11" t="s">
        <v>144</v>
      </c>
      <c r="C4" s="13">
        <v>-3.3355064222238093E-2</v>
      </c>
      <c r="D4" s="13">
        <v>-3.6488953372440118E-2</v>
      </c>
      <c r="E4" s="13">
        <v>-6.2951631416598125E-2</v>
      </c>
      <c r="F4" s="13">
        <v>-0.10275806713399049</v>
      </c>
      <c r="G4" s="13">
        <v>-7.9484529512434218E-2</v>
      </c>
      <c r="H4" s="13">
        <v>-7.4637566723446097E-2</v>
      </c>
      <c r="I4" s="13">
        <v>-6.0303175593075208E-2</v>
      </c>
      <c r="J4" s="13">
        <v>-6.1221976553650498E-2</v>
      </c>
      <c r="K4" s="13">
        <v>-6.3454479623673996E-2</v>
      </c>
      <c r="L4" s="13">
        <v>-4.9031802460202369E-2</v>
      </c>
      <c r="M4" s="13">
        <v>-5.5965545208011017E-2</v>
      </c>
      <c r="N4" s="13">
        <v>-3.7127413566765903E-2</v>
      </c>
      <c r="O4" s="13">
        <v>-4.4851103408314323E-2</v>
      </c>
      <c r="P4" s="13">
        <v>-6.06099750017862E-2</v>
      </c>
      <c r="Q4" s="13">
        <v>-6.142030670402978E-2</v>
      </c>
      <c r="R4" s="13">
        <v>-4.2457092293346488E-2</v>
      </c>
      <c r="S4" s="13">
        <v>-4.0181376857841532E-2</v>
      </c>
      <c r="T4" s="13">
        <v>-4.3184261416348402E-2</v>
      </c>
      <c r="U4" s="13">
        <v>-2.5671025875257259E-2</v>
      </c>
      <c r="V4" s="13">
        <v>-2.056117449423971E-2</v>
      </c>
      <c r="W4" s="13">
        <v>-1.7030228493617319E-2</v>
      </c>
      <c r="X4" s="13">
        <v>-1.9491489513123999E-2</v>
      </c>
      <c r="Y4" s="13">
        <v>-4.4162740951198293E-2</v>
      </c>
      <c r="Z4" s="13">
        <v>-4.3992704142522127E-2</v>
      </c>
      <c r="AA4" s="13">
        <v>-3.3240344419281441E-2</v>
      </c>
      <c r="AB4" s="13">
        <v>-2.8357855227329171E-2</v>
      </c>
      <c r="AC4" s="13">
        <v>-1.7753826277809508E-2</v>
      </c>
      <c r="AD4" s="13">
        <v>-1.9392872894991808E-2</v>
      </c>
      <c r="AE4" s="13">
        <v>-3.1862058027578813E-2</v>
      </c>
      <c r="AF4" s="13">
        <v>-3.3734295719027647E-2</v>
      </c>
      <c r="AG4" s="13">
        <v>-5.2378694538196572E-3</v>
      </c>
      <c r="AH4" s="13">
        <v>-1.8241859678385711E-2</v>
      </c>
      <c r="AI4" s="13">
        <v>-2.828195859844675E-2</v>
      </c>
      <c r="AJ4" s="13">
        <v>-2.6355034026264958E-2</v>
      </c>
      <c r="AK4" s="13">
        <v>-2.9560930131039269E-2</v>
      </c>
      <c r="AL4" s="13">
        <v>-3.0371173622282331E-2</v>
      </c>
      <c r="AM4" s="13">
        <v>-2.2596310124050351E-2</v>
      </c>
      <c r="AN4" s="13">
        <v>-3.0254612721411198E-2</v>
      </c>
      <c r="AO4" s="13">
        <v>-2.871524100076818E-2</v>
      </c>
      <c r="AP4" s="13">
        <v>-3.4923895599449153E-2</v>
      </c>
      <c r="AQ4" s="13">
        <v>-3.0630802592385771E-2</v>
      </c>
      <c r="AR4" s="13">
        <v>-2.9429888192270871E-2</v>
      </c>
      <c r="AS4" s="13">
        <v>-2.674265330078859E-2</v>
      </c>
      <c r="AT4" s="13">
        <v>-1.6825419341331849E-2</v>
      </c>
      <c r="AU4" s="13">
        <v>-2.028990455098131E-2</v>
      </c>
      <c r="AV4" s="13">
        <v>-1.5552740324632551E-2</v>
      </c>
      <c r="AW4" s="13">
        <v>-4.2145772018226967E-2</v>
      </c>
      <c r="AX4" s="13">
        <v>-3.2834496930954221E-2</v>
      </c>
      <c r="AY4" s="13">
        <v>-3.0620786675402481E-2</v>
      </c>
      <c r="AZ4" s="13">
        <v>-3.2526573120253401E-2</v>
      </c>
      <c r="BA4" s="13">
        <v>-3.9596641638497188E-2</v>
      </c>
      <c r="BB4" s="13">
        <v>-4.0551604006990392E-2</v>
      </c>
      <c r="BC4" s="13">
        <v>-4.2756597752440471E-2</v>
      </c>
      <c r="BD4" s="13">
        <v>-3.5755727515210577E-2</v>
      </c>
      <c r="BE4" s="13">
        <v>-2.4508874482950669E-2</v>
      </c>
      <c r="BF4" s="13">
        <v>-3.4563199381908237E-2</v>
      </c>
      <c r="BG4" s="13">
        <v>-2.5490924642281039E-2</v>
      </c>
      <c r="BH4" s="13">
        <v>-1.6368300858497931E-2</v>
      </c>
      <c r="BI4" s="13">
        <v>-1.912200225379531E-2</v>
      </c>
      <c r="BJ4" s="13">
        <v>-2.5427524184918511E-2</v>
      </c>
      <c r="BK4" s="13">
        <v>-2.17006435544887E-2</v>
      </c>
      <c r="BL4" s="13">
        <v>-2.4482338097977681E-2</v>
      </c>
      <c r="BM4" s="13">
        <v>-1.190520358379419E-2</v>
      </c>
      <c r="BN4" s="13">
        <v>-1.4200643435024611E-2</v>
      </c>
      <c r="BO4" s="13">
        <v>-1.5729074905210499E-2</v>
      </c>
      <c r="BP4" s="13">
        <v>-6.6634100191326363E-3</v>
      </c>
      <c r="BQ4" s="13">
        <v>-1.4844203425268321E-2</v>
      </c>
      <c r="BR4" s="13">
        <v>-8.2762403872860633E-3</v>
      </c>
      <c r="BS4" s="13">
        <v>-7.2950252230793069E-3</v>
      </c>
      <c r="BT4" s="13">
        <v>-1.5208431311033581E-2</v>
      </c>
      <c r="BU4" s="13">
        <v>-2.3110477045322781E-2</v>
      </c>
      <c r="BV4" s="13">
        <v>-1.216829070540934E-2</v>
      </c>
      <c r="BW4" s="13">
        <v>1.9813464894211609E-3</v>
      </c>
      <c r="BX4" s="13">
        <v>-1.249368848288873E-2</v>
      </c>
      <c r="BY4" s="13">
        <v>-1.6627473803652881E-2</v>
      </c>
      <c r="BZ4" s="13">
        <v>-2.106371981363821E-2</v>
      </c>
      <c r="CA4" s="13">
        <v>-1.4410423139406501E-2</v>
      </c>
      <c r="CB4" s="13">
        <v>-1.373600487425279E-2</v>
      </c>
      <c r="CC4" s="13">
        <v>-2.747847105042156E-2</v>
      </c>
      <c r="CD4" s="13">
        <v>-2.655987022870682E-2</v>
      </c>
      <c r="CE4" s="13">
        <v>-2.6100224897020342E-2</v>
      </c>
      <c r="CF4" s="13">
        <v>-3.2061326258670031E-2</v>
      </c>
      <c r="CG4" s="13">
        <v>-4.4699162974103299E-2</v>
      </c>
      <c r="CH4" s="13">
        <v>-3.5557718292931598E-2</v>
      </c>
      <c r="CI4" s="13">
        <v>-2.2531867995524299E-2</v>
      </c>
      <c r="CJ4" s="13">
        <v>-2.659099589059899E-2</v>
      </c>
      <c r="CK4" s="13">
        <v>-2.437831543315613E-2</v>
      </c>
      <c r="CL4" s="13">
        <v>-2.0383839681311931E-2</v>
      </c>
      <c r="CM4" s="13">
        <v>-2.0543547316843411E-2</v>
      </c>
      <c r="CN4" s="13">
        <v>-2.5366972570714349E-2</v>
      </c>
      <c r="CO4" s="13">
        <v>2.1573222511172298E-2</v>
      </c>
      <c r="CP4" s="13">
        <v>2.9656602127605611E-2</v>
      </c>
      <c r="CQ4" s="13">
        <v>-2.1208981776241909E-3</v>
      </c>
      <c r="CR4" s="13">
        <v>-1.2445462205139609E-2</v>
      </c>
      <c r="CS4" s="13">
        <v>-4.8911607001063021E-2</v>
      </c>
      <c r="CT4" s="13">
        <v>-5.4515957193264943E-2</v>
      </c>
      <c r="CU4" s="13">
        <v>-3.6987684093879661E-2</v>
      </c>
      <c r="CV4" s="13">
        <v>-2.924450214174747E-2</v>
      </c>
      <c r="CW4" s="13">
        <v>-3.5566938337920538E-2</v>
      </c>
      <c r="CX4" s="13">
        <v>-3.611216821620989E-2</v>
      </c>
      <c r="CY4" s="13">
        <v>-3.5196660099825278E-2</v>
      </c>
      <c r="CZ4" s="13">
        <v>-4.1285248368278821E-2</v>
      </c>
      <c r="DA4" s="13">
        <v>-4.4832439126435537E-2</v>
      </c>
      <c r="DB4" s="13">
        <v>-6.2436972757434497E-2</v>
      </c>
      <c r="DC4" s="13">
        <v>-6.2527983186050365E-2</v>
      </c>
      <c r="DD4" s="13">
        <v>-7.5217163321935412E-2</v>
      </c>
      <c r="DE4" s="13">
        <v>-6.4404403928414081E-2</v>
      </c>
      <c r="DF4" s="13">
        <v>-5.549385494260705E-2</v>
      </c>
      <c r="DG4" s="13">
        <v>-6.0437770445375537E-2</v>
      </c>
      <c r="DH4" s="13">
        <v>-6.1846298042840378E-2</v>
      </c>
      <c r="DI4" s="13">
        <v>-1.46626202409976E-2</v>
      </c>
      <c r="DJ4" s="13">
        <v>-4.0786143047909028E-2</v>
      </c>
      <c r="DK4" s="13">
        <v>-5.7443401521016832E-2</v>
      </c>
      <c r="DL4" s="13">
        <v>-5.8112653779270121E-2</v>
      </c>
      <c r="DM4" s="13">
        <v>-3.958925014969409E-2</v>
      </c>
      <c r="DN4" s="13">
        <v>-2.92339481001627E-2</v>
      </c>
      <c r="DO4" s="13">
        <v>-2.8268200941545508E-2</v>
      </c>
      <c r="DP4" s="13">
        <v>-2.9909023795320532E-2</v>
      </c>
      <c r="DQ4" s="13">
        <v>-4.1956447946479403E-2</v>
      </c>
      <c r="DR4" s="13">
        <v>-5.4044080376143652E-2</v>
      </c>
      <c r="DS4" s="13">
        <v>-3.6840842476137732E-2</v>
      </c>
      <c r="DT4" s="13">
        <v>-4.7088988162664012E-2</v>
      </c>
      <c r="DU4" s="13">
        <v>-4.6590530666368382E-2</v>
      </c>
      <c r="DV4" s="13">
        <v>-4.8883186543154288E-2</v>
      </c>
      <c r="DW4" s="13">
        <v>2.4644963240671989E-3</v>
      </c>
      <c r="DX4" s="13">
        <v>-1.047701340170769E-2</v>
      </c>
      <c r="DY4" s="13">
        <v>-3.2988096646797901E-2</v>
      </c>
      <c r="DZ4" s="13">
        <v>-3.5035095730103293E-2</v>
      </c>
      <c r="EA4" s="13">
        <v>-3.4035185243979679E-2</v>
      </c>
      <c r="EB4" s="13">
        <v>-3.1294101648424583E-2</v>
      </c>
      <c r="EC4" s="13">
        <v>-4.2305892800109393E-2</v>
      </c>
      <c r="ED4" s="13">
        <v>-4.7144040894120831E-2</v>
      </c>
      <c r="EE4" s="13">
        <v>-3.9341877783157779E-2</v>
      </c>
      <c r="EF4" s="13">
        <v>-3.4428937404352961E-2</v>
      </c>
      <c r="EG4" s="13">
        <v>-2.5023765356573191E-2</v>
      </c>
      <c r="EH4" s="13">
        <v>-2.3959625271420482E-2</v>
      </c>
      <c r="EI4" s="13">
        <v>-3.1018058895392529E-2</v>
      </c>
      <c r="EJ4" s="13">
        <v>-3.019292868952464E-2</v>
      </c>
      <c r="EK4" s="13">
        <v>-1.9350280734914911E-2</v>
      </c>
      <c r="EL4" s="13">
        <v>1.0475928161918681E-2</v>
      </c>
    </row>
    <row r="5" spans="1:142" ht="25" customHeight="1" x14ac:dyDescent="0.55000000000000004">
      <c r="B5" s="14" t="s">
        <v>145</v>
      </c>
      <c r="C5" s="13">
        <v>1.7572591335771898E-2</v>
      </c>
      <c r="D5" s="13">
        <v>2.7010615886725878E-2</v>
      </c>
      <c r="E5" s="13">
        <v>1.6464920986043539E-2</v>
      </c>
      <c r="F5" s="13">
        <v>2.163583339118199E-2</v>
      </c>
      <c r="G5" s="13">
        <v>2.7978795117450529E-2</v>
      </c>
      <c r="H5" s="13">
        <v>1.82572498185327E-2</v>
      </c>
      <c r="I5" s="13">
        <v>2.262258433052575E-2</v>
      </c>
      <c r="J5" s="13">
        <v>2.4224717545351319E-2</v>
      </c>
      <c r="K5" s="13">
        <v>3.7030631729839399E-2</v>
      </c>
      <c r="L5" s="13">
        <v>2.1715734909504909E-2</v>
      </c>
      <c r="M5" s="13">
        <v>2.3471025446345321E-2</v>
      </c>
      <c r="N5" s="13">
        <v>2.9600842590959759E-2</v>
      </c>
      <c r="O5" s="13">
        <v>3.078080458498781E-2</v>
      </c>
      <c r="P5" s="13">
        <v>1.3958200077604069E-2</v>
      </c>
      <c r="Q5" s="13">
        <v>2.3899925490751529E-2</v>
      </c>
      <c r="R5" s="13">
        <v>2.827365648927253E-2</v>
      </c>
      <c r="S5" s="13">
        <v>2.8277502684533939E-2</v>
      </c>
      <c r="T5" s="13">
        <v>3.0791608587896192E-2</v>
      </c>
      <c r="U5" s="13">
        <v>3.8990634744788283E-2</v>
      </c>
      <c r="V5" s="13">
        <v>4.795564524908115E-2</v>
      </c>
      <c r="W5" s="13">
        <v>5.1885589069397997E-2</v>
      </c>
      <c r="X5" s="13">
        <v>1.8552140443308319E-2</v>
      </c>
      <c r="Y5" s="13">
        <v>1.942137293110377E-2</v>
      </c>
      <c r="Z5" s="13">
        <v>1.0422650426952311E-2</v>
      </c>
      <c r="AA5" s="13">
        <v>4.4481250419906457E-2</v>
      </c>
      <c r="AB5" s="13">
        <v>3.0099617840507689E-4</v>
      </c>
      <c r="AC5" s="13">
        <v>2.9870176157596909E-2</v>
      </c>
      <c r="AD5" s="13">
        <v>4.2866569757687677E-3</v>
      </c>
      <c r="AE5" s="13">
        <v>1.5671647496547189E-2</v>
      </c>
      <c r="AF5" s="13">
        <v>1.2668564364488089E-2</v>
      </c>
      <c r="AG5" s="13">
        <v>2.6776108631906659E-2</v>
      </c>
      <c r="AH5" s="13">
        <v>1.320201957735115E-2</v>
      </c>
      <c r="AI5" s="13">
        <v>1.7989730154352481E-2</v>
      </c>
      <c r="AJ5" s="13">
        <v>1.88525604364338E-2</v>
      </c>
      <c r="AK5" s="13">
        <v>2.0751209643580199E-2</v>
      </c>
      <c r="AL5" s="13">
        <v>1.7139197858594139E-2</v>
      </c>
      <c r="AM5" s="13">
        <v>1.4073911718798781E-2</v>
      </c>
      <c r="AN5" s="13">
        <v>7.2133540700708753E-3</v>
      </c>
      <c r="AO5" s="13">
        <v>1.940927693450302E-2</v>
      </c>
      <c r="AP5" s="13">
        <v>1.8788509035915509E-2</v>
      </c>
      <c r="AQ5" s="13">
        <v>2.576627301502598E-2</v>
      </c>
      <c r="AR5" s="13">
        <v>2.4567308164613721E-2</v>
      </c>
      <c r="AS5" s="13">
        <v>2.0403411209288149E-2</v>
      </c>
      <c r="AT5" s="13">
        <v>1.8350318395403482E-2</v>
      </c>
      <c r="AU5" s="13">
        <v>1.835820201641138E-2</v>
      </c>
      <c r="AV5" s="13">
        <v>3.066534075451257E-2</v>
      </c>
      <c r="AW5" s="13">
        <v>2.4171945032875768E-2</v>
      </c>
      <c r="AX5" s="13">
        <v>2.9301659150937479E-2</v>
      </c>
      <c r="AY5" s="13">
        <v>2.3524836383218169E-2</v>
      </c>
      <c r="AZ5" s="13">
        <v>1.619862131729324E-2</v>
      </c>
      <c r="BA5" s="13">
        <v>2.4361905285368031E-2</v>
      </c>
      <c r="BB5" s="13">
        <v>2.0847801686724499E-2</v>
      </c>
      <c r="BC5" s="13">
        <v>1.87405260419569E-2</v>
      </c>
      <c r="BD5" s="13">
        <v>-8.4357435055720787E-4</v>
      </c>
      <c r="BE5" s="13">
        <v>1.348963928267881E-2</v>
      </c>
      <c r="BF5" s="13">
        <v>1.209566450250129E-2</v>
      </c>
      <c r="BG5" s="13">
        <v>6.2031443455100891E-3</v>
      </c>
      <c r="BH5" s="13">
        <v>-1.9361090801528601E-2</v>
      </c>
      <c r="BI5" s="13">
        <v>-3.9799382821201407E-2</v>
      </c>
      <c r="BJ5" s="13">
        <v>-2.5457167335488549E-2</v>
      </c>
      <c r="BK5" s="13">
        <v>-1.9477643618262701E-2</v>
      </c>
      <c r="BL5" s="13">
        <v>-9.1218955270848633E-3</v>
      </c>
      <c r="BM5" s="13">
        <v>-1.4374787989500121E-2</v>
      </c>
      <c r="BN5" s="13">
        <v>-3.337400836610268E-2</v>
      </c>
      <c r="BO5" s="13">
        <v>-8.1813085035434014E-3</v>
      </c>
      <c r="BP5" s="13">
        <v>6.9701293808654514E-3</v>
      </c>
      <c r="BQ5" s="13">
        <v>9.2463391673495484E-3</v>
      </c>
      <c r="BR5" s="13">
        <v>2.283635783955484E-2</v>
      </c>
      <c r="BS5" s="13">
        <v>2.006030851870538E-2</v>
      </c>
      <c r="BT5" s="13">
        <v>1.4916967327142641E-2</v>
      </c>
      <c r="BU5" s="13">
        <v>1.9043070262766151E-2</v>
      </c>
      <c r="BV5" s="13">
        <v>1.6822997184360571E-2</v>
      </c>
      <c r="BW5" s="13">
        <v>1.6684982593413372E-2</v>
      </c>
      <c r="BX5" s="13">
        <v>1.3546322627577229E-2</v>
      </c>
      <c r="BY5" s="13">
        <v>8.8355555990224949E-3</v>
      </c>
      <c r="BZ5" s="13">
        <v>1.6244439848805359E-2</v>
      </c>
      <c r="CA5" s="13">
        <v>1.5969795684615099E-2</v>
      </c>
      <c r="CB5" s="13">
        <v>2.631438398547604E-3</v>
      </c>
      <c r="CC5" s="13">
        <v>1.882978449558451E-2</v>
      </c>
      <c r="CD5" s="13">
        <v>2.2816767220746569E-2</v>
      </c>
      <c r="CE5" s="13">
        <v>2.6077729361186529E-2</v>
      </c>
      <c r="CF5" s="13">
        <v>1.499489024735514E-2</v>
      </c>
      <c r="CG5" s="13">
        <v>2.6164856394656419E-3</v>
      </c>
      <c r="CH5" s="13">
        <v>1.6072216687681739E-3</v>
      </c>
      <c r="CI5" s="13">
        <v>-5.8853693828171327E-3</v>
      </c>
      <c r="CJ5" s="13">
        <v>-1.1516856996570801E-2</v>
      </c>
      <c r="CK5" s="13">
        <v>-1.071601597092706E-2</v>
      </c>
      <c r="CL5" s="13">
        <v>1.1313839274602489E-2</v>
      </c>
      <c r="CM5" s="13">
        <v>6.5575598939352948E-3</v>
      </c>
      <c r="CN5" s="13">
        <v>1.1422092272016829E-2</v>
      </c>
      <c r="CO5" s="13">
        <v>1.128965325550671E-2</v>
      </c>
      <c r="CP5" s="13">
        <v>5.1481957855028113E-2</v>
      </c>
      <c r="CQ5" s="13">
        <v>3.1199047837396739E-2</v>
      </c>
      <c r="CR5" s="13">
        <v>2.5421195525684968E-2</v>
      </c>
      <c r="CS5" s="13">
        <v>-3.0207556615997611E-3</v>
      </c>
      <c r="CT5" s="13">
        <v>7.5623451229431043E-4</v>
      </c>
      <c r="CU5" s="13">
        <v>7.2781568876731156E-4</v>
      </c>
      <c r="CV5" s="13">
        <v>9.3529038856204165E-3</v>
      </c>
      <c r="CW5" s="13">
        <v>-2.9667861932934879E-2</v>
      </c>
      <c r="CX5" s="13">
        <v>-1.0507272884670189E-2</v>
      </c>
      <c r="CY5" s="13">
        <v>9.7452893907925726E-3</v>
      </c>
      <c r="CZ5" s="13">
        <v>-7.5353985902828378E-3</v>
      </c>
      <c r="DA5" s="13">
        <v>1.3131139356618519E-2</v>
      </c>
      <c r="DB5" s="13">
        <v>4.2211342139132279E-3</v>
      </c>
      <c r="DC5" s="13">
        <v>1.093994226186313E-2</v>
      </c>
      <c r="DD5" s="13">
        <v>2.4409705725089211E-2</v>
      </c>
      <c r="DE5" s="13">
        <v>1.604921204657048E-2</v>
      </c>
      <c r="DF5" s="13">
        <v>1.667716987176554E-2</v>
      </c>
      <c r="DG5" s="13">
        <v>-3.8317962817908898E-3</v>
      </c>
      <c r="DH5" s="13">
        <v>7.3512111038037927E-3</v>
      </c>
      <c r="DI5" s="13">
        <v>-1.030442488724889E-2</v>
      </c>
      <c r="DJ5" s="13">
        <v>5.2456116056685776E-3</v>
      </c>
      <c r="DK5" s="13">
        <v>6.9237939715896509E-3</v>
      </c>
      <c r="DL5" s="13">
        <v>1.614164071279639E-2</v>
      </c>
      <c r="DM5" s="13">
        <v>1.6766743050984158E-2</v>
      </c>
      <c r="DN5" s="13">
        <v>1.4232797538885089E-2</v>
      </c>
      <c r="DO5" s="13">
        <v>1.453166794491163E-2</v>
      </c>
      <c r="DP5" s="13">
        <v>1.476260228029823E-2</v>
      </c>
      <c r="DQ5" s="13">
        <v>9.2205535843162996E-3</v>
      </c>
      <c r="DR5" s="13">
        <v>-2.0837362258463069E-2</v>
      </c>
      <c r="DS5" s="13">
        <v>5.7274386040173687E-3</v>
      </c>
      <c r="DT5" s="13">
        <v>4.0239894875113217E-4</v>
      </c>
      <c r="DU5" s="13">
        <v>1.369607227793021E-2</v>
      </c>
      <c r="DV5" s="13">
        <v>1.81797983000145E-2</v>
      </c>
      <c r="DW5" s="13">
        <v>2.0373538370568042E-2</v>
      </c>
      <c r="DX5" s="13">
        <v>1.6416783684434461E-2</v>
      </c>
      <c r="DY5" s="13">
        <v>1.4901535770104739E-2</v>
      </c>
      <c r="DZ5" s="13">
        <v>1.5353815388371319E-2</v>
      </c>
      <c r="EA5" s="13">
        <v>1.6682695081811649E-2</v>
      </c>
      <c r="EB5" s="13">
        <v>1.820220102928315E-2</v>
      </c>
      <c r="EC5" s="13">
        <v>-4.4638342298786941E-3</v>
      </c>
      <c r="ED5" s="13">
        <v>-4.6981036382316961E-3</v>
      </c>
      <c r="EE5" s="13">
        <v>1.264171640489712E-3</v>
      </c>
      <c r="EF5" s="13">
        <v>8.5178790602471154E-3</v>
      </c>
      <c r="EG5" s="13">
        <v>-2.853172849498869E-3</v>
      </c>
      <c r="EH5" s="13">
        <v>-7.6033835936986848E-3</v>
      </c>
      <c r="EI5" s="13">
        <v>-5.3008409367301841E-3</v>
      </c>
      <c r="EJ5" s="13">
        <v>-4.1330562633494598E-3</v>
      </c>
      <c r="EK5" s="13">
        <v>-2.2310332755631338E-3</v>
      </c>
      <c r="EL5" s="13">
        <v>5.5219188045471258E-3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286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5.6118451058864587E-2</v>
      </c>
      <c r="D9" s="13">
        <v>7.8115358948707581E-2</v>
      </c>
      <c r="E9" s="13">
        <v>-0.1415126770734787</v>
      </c>
      <c r="F9" s="13">
        <v>-8.4760263562202454E-2</v>
      </c>
      <c r="G9" s="13">
        <v>-1.6393894329667091E-2</v>
      </c>
      <c r="H9" s="13">
        <v>-2.1295100450515751E-2</v>
      </c>
      <c r="I9" s="13">
        <v>-1.096068881452084E-3</v>
      </c>
      <c r="J9" s="13">
        <v>6.4448930323123932E-2</v>
      </c>
      <c r="K9" s="13">
        <v>9.3935757875442505E-2</v>
      </c>
      <c r="L9" s="13">
        <v>7.7676363289356232E-2</v>
      </c>
      <c r="M9" s="13">
        <v>4.422677680850029E-3</v>
      </c>
      <c r="N9" s="13">
        <v>9.7503647208213806E-2</v>
      </c>
      <c r="O9" s="13">
        <v>-2.549671940505505E-2</v>
      </c>
      <c r="P9" s="13">
        <v>-1.3179603032767769E-2</v>
      </c>
      <c r="Q9" s="13">
        <v>5.1645436324179173E-3</v>
      </c>
      <c r="R9" s="13">
        <v>-1.723375171422958E-2</v>
      </c>
      <c r="S9" s="13">
        <v>0.11152903735637661</v>
      </c>
      <c r="T9" s="13">
        <v>3.4847687929868698E-2</v>
      </c>
      <c r="U9" s="13">
        <v>5.9024035930633538E-2</v>
      </c>
      <c r="V9" s="13">
        <v>1.7716789618134499E-2</v>
      </c>
      <c r="W9" s="13">
        <v>-6.4256582409143448E-3</v>
      </c>
      <c r="X9" s="13">
        <v>-2.2693565115332599E-3</v>
      </c>
      <c r="Y9" s="13">
        <v>3.7778280675411217E-2</v>
      </c>
      <c r="Z9" s="13">
        <v>1.1676935479044911E-2</v>
      </c>
      <c r="AA9" s="13">
        <v>-8.7502934038639069E-3</v>
      </c>
      <c r="AB9" s="13">
        <v>-3.5473756492137909E-2</v>
      </c>
      <c r="AC9" s="13">
        <v>3.1332850456237793E-2</v>
      </c>
      <c r="AD9" s="13">
        <v>1.555768307298422E-2</v>
      </c>
      <c r="AE9" s="13">
        <v>0.1190536841750145</v>
      </c>
      <c r="AF9" s="13">
        <v>-1.9357252866029739E-2</v>
      </c>
      <c r="AG9" s="13">
        <v>5.5650390684604638E-2</v>
      </c>
      <c r="AH9" s="13">
        <v>1.4775607734918589E-2</v>
      </c>
      <c r="AI9" s="13">
        <v>7.8147970139980316E-2</v>
      </c>
      <c r="AJ9" s="13">
        <v>-5.1067054271697998E-2</v>
      </c>
      <c r="AK9" s="13">
        <v>2.9277428984642029E-2</v>
      </c>
      <c r="AL9" s="13">
        <v>0.1074956804513931</v>
      </c>
      <c r="AM9" s="13">
        <v>5.5360257625579827E-2</v>
      </c>
      <c r="AN9" s="13">
        <v>-5.8350309729576111E-2</v>
      </c>
      <c r="AO9" s="13">
        <v>3.7394411861896508E-2</v>
      </c>
      <c r="AP9" s="13">
        <v>4.5363374054431922E-2</v>
      </c>
      <c r="AQ9" s="13">
        <v>0.14594569802284241</v>
      </c>
      <c r="AR9" s="13">
        <v>9.9557004868984222E-2</v>
      </c>
      <c r="AS9" s="13">
        <v>1.506671868264675E-2</v>
      </c>
      <c r="AT9" s="13">
        <v>-1.1696591973304751E-3</v>
      </c>
      <c r="AU9" s="13">
        <v>-4.7236192971467972E-2</v>
      </c>
      <c r="AV9" s="13">
        <v>-3.464246541261673E-2</v>
      </c>
      <c r="AW9" s="13">
        <v>4.0531452745199197E-2</v>
      </c>
      <c r="AX9" s="13">
        <v>2.6697341352701191E-2</v>
      </c>
      <c r="AY9" s="13">
        <v>5.6539479643106461E-2</v>
      </c>
      <c r="AZ9" s="13">
        <v>5.4159634746611118E-3</v>
      </c>
      <c r="BA9" s="13">
        <v>-4.3942347168922417E-2</v>
      </c>
      <c r="BB9" s="13">
        <v>9.4006329774856567E-2</v>
      </c>
      <c r="BC9" s="13">
        <v>2.8445800766348839E-2</v>
      </c>
      <c r="BD9" s="13">
        <v>2.4129733443260189E-2</v>
      </c>
      <c r="BE9" s="13">
        <v>-1.6681114211678501E-2</v>
      </c>
      <c r="BF9" s="13">
        <v>-2.0862789824604992E-2</v>
      </c>
      <c r="BG9" s="13">
        <v>5.2014391869306557E-2</v>
      </c>
      <c r="BH9" s="13">
        <v>-3.3232644200325012E-2</v>
      </c>
      <c r="BI9" s="13">
        <v>-1.9028045237064362E-2</v>
      </c>
      <c r="BJ9" s="13">
        <v>-4.3040025979280472E-2</v>
      </c>
      <c r="BK9" s="13">
        <v>3.582623228430748E-2</v>
      </c>
      <c r="BL9" s="13">
        <v>5.2610065788030617E-2</v>
      </c>
      <c r="BM9" s="13">
        <v>0.16467450559139249</v>
      </c>
      <c r="BN9" s="13">
        <v>5.6239485740661621E-2</v>
      </c>
      <c r="BO9" s="13">
        <v>5.7048242539167397E-2</v>
      </c>
      <c r="BP9" s="13">
        <v>3.7904918193817139E-2</v>
      </c>
      <c r="BQ9" s="13">
        <v>5.388949066400528E-2</v>
      </c>
      <c r="BR9" s="13">
        <v>1.972170919179916E-2</v>
      </c>
      <c r="BS9" s="13">
        <v>5.4315824061632163E-2</v>
      </c>
      <c r="BT9" s="13">
        <v>4.7150813043117523E-2</v>
      </c>
      <c r="BU9" s="13">
        <v>-1.264089345932007E-2</v>
      </c>
      <c r="BV9" s="13">
        <v>-4.7596141695976257E-2</v>
      </c>
      <c r="BW9" s="13">
        <v>-1.6428106464445591E-3</v>
      </c>
      <c r="BX9" s="13">
        <v>4.7259576618671417E-2</v>
      </c>
      <c r="BY9" s="13">
        <v>4.9359224736690521E-2</v>
      </c>
      <c r="BZ9" s="13">
        <v>5.029325932264328E-2</v>
      </c>
      <c r="CA9" s="13">
        <v>-3.8853023201227188E-2</v>
      </c>
      <c r="CB9" s="13">
        <v>-2.5492530316114429E-2</v>
      </c>
      <c r="CC9" s="13">
        <v>5.2212677896022797E-2</v>
      </c>
      <c r="CD9" s="13">
        <v>1.63656659424305E-2</v>
      </c>
      <c r="CE9" s="13">
        <v>4.7712299972772598E-2</v>
      </c>
      <c r="CF9" s="13">
        <v>5.1156952977180481E-2</v>
      </c>
      <c r="CG9" s="13">
        <v>6.3695372082293034E-3</v>
      </c>
      <c r="CH9" s="13">
        <v>5.0260737538337708E-2</v>
      </c>
      <c r="CI9" s="13">
        <v>4.8383045941591263E-2</v>
      </c>
      <c r="CJ9" s="13">
        <v>4.9879353493452072E-2</v>
      </c>
      <c r="CK9" s="13">
        <v>-2.0379621535539631E-2</v>
      </c>
      <c r="CL9" s="13">
        <v>5.1040831953287118E-2</v>
      </c>
      <c r="CM9" s="13">
        <v>7.0432275533676147E-2</v>
      </c>
      <c r="CN9" s="13">
        <v>4.9308884888887412E-2</v>
      </c>
      <c r="CO9" s="13">
        <v>4.8468071967363358E-2</v>
      </c>
      <c r="CP9" s="13">
        <v>-3.0516274273395538E-3</v>
      </c>
      <c r="CQ9" s="13">
        <v>4.8940815031528473E-2</v>
      </c>
      <c r="CR9" s="13">
        <v>3.7696417421102519E-3</v>
      </c>
      <c r="CS9" s="13">
        <v>2.9329795390367511E-2</v>
      </c>
      <c r="CT9" s="13">
        <v>2.7245944365859032E-2</v>
      </c>
      <c r="CU9" s="13">
        <v>4.482705146074295E-2</v>
      </c>
      <c r="CV9" s="13">
        <v>2.256998606026173E-2</v>
      </c>
      <c r="CW9" s="13">
        <v>6.3389554619789124E-2</v>
      </c>
      <c r="CX9" s="13">
        <v>-3.9971958845853812E-2</v>
      </c>
      <c r="CY9" s="13">
        <v>5.2212778478860862E-2</v>
      </c>
      <c r="CZ9" s="13">
        <v>1.1289088055491449E-2</v>
      </c>
      <c r="DA9" s="13">
        <v>4.4644389301538467E-2</v>
      </c>
      <c r="DB9" s="13">
        <v>2.5936665013432499E-2</v>
      </c>
      <c r="DC9" s="13">
        <v>9.5405779778957367E-2</v>
      </c>
      <c r="DD9" s="13">
        <v>-4.5570109039545059E-2</v>
      </c>
      <c r="DE9" s="13">
        <v>5.2781801670789719E-2</v>
      </c>
      <c r="DF9" s="13">
        <v>4.5374881476163857E-2</v>
      </c>
      <c r="DG9" s="13">
        <v>4.444977268576622E-2</v>
      </c>
      <c r="DH9" s="13">
        <v>0.22446863353252411</v>
      </c>
      <c r="DI9" s="13">
        <v>3.3412754535675049E-2</v>
      </c>
      <c r="DJ9" s="13">
        <v>5.2645519375801093E-2</v>
      </c>
      <c r="DK9" s="13">
        <v>4.6334173530340188E-2</v>
      </c>
      <c r="DL9" s="13">
        <v>7.6330825686454773E-2</v>
      </c>
      <c r="DM9" s="13">
        <v>-6.475723534822464E-2</v>
      </c>
      <c r="DN9" s="13">
        <v>4.6702113002538681E-2</v>
      </c>
      <c r="DO9" s="13">
        <v>-4.7201156616210938E-2</v>
      </c>
      <c r="DP9" s="13">
        <v>3.1396467238664627E-2</v>
      </c>
      <c r="DQ9" s="13">
        <v>4.92582768201828E-2</v>
      </c>
      <c r="DR9" s="13">
        <v>4.8483997583389282E-2</v>
      </c>
      <c r="DS9" s="13">
        <v>-4.2000178247690201E-2</v>
      </c>
      <c r="DT9" s="13">
        <v>4.7626849263906479E-2</v>
      </c>
      <c r="DU9" s="13">
        <v>4.7286637127399438E-2</v>
      </c>
      <c r="DV9" s="13">
        <v>1.50144137442112E-2</v>
      </c>
      <c r="DW9" s="13">
        <v>-6.3924841582775116E-2</v>
      </c>
      <c r="DX9" s="13">
        <v>4.7122903168201447E-2</v>
      </c>
      <c r="DY9" s="13">
        <v>-1.8260244280099869E-2</v>
      </c>
      <c r="DZ9" s="13">
        <v>8.7747782468795776E-2</v>
      </c>
      <c r="EA9" s="13">
        <v>4.5896410942077637E-2</v>
      </c>
      <c r="EB9" s="13">
        <v>-3.0745090916752819E-2</v>
      </c>
      <c r="EC9" s="13">
        <v>3.641965240240097E-2</v>
      </c>
      <c r="ED9" s="13">
        <v>3.9232797920703888E-2</v>
      </c>
      <c r="EE9" s="13">
        <v>4.7465469688177109E-2</v>
      </c>
      <c r="EF9" s="13">
        <v>2.1230563521385189E-2</v>
      </c>
      <c r="EG9" s="13">
        <v>4.3058428913354867E-2</v>
      </c>
      <c r="EH9" s="13">
        <v>6.2204215675592422E-2</v>
      </c>
      <c r="EI9" s="13">
        <v>5.3044430911540992E-2</v>
      </c>
      <c r="EJ9" s="13">
        <v>4.5776788145303733E-2</v>
      </c>
      <c r="EK9" s="13">
        <v>5.0296429544687271E-2</v>
      </c>
      <c r="EL9" s="13">
        <v>4.6629093587398529E-2</v>
      </c>
    </row>
    <row r="10" spans="1:142" ht="25" customHeight="1" x14ac:dyDescent="0.55000000000000004">
      <c r="B10" s="11" t="s">
        <v>144</v>
      </c>
      <c r="C10" s="13">
        <v>2.637306414544582E-2</v>
      </c>
      <c r="D10" s="13">
        <v>4.597201943397522E-2</v>
      </c>
      <c r="E10" s="13">
        <v>-3.1721506267786033E-2</v>
      </c>
      <c r="F10" s="13">
        <v>-3.1267769634723663E-2</v>
      </c>
      <c r="G10" s="13">
        <v>-9.326620027422905E-3</v>
      </c>
      <c r="H10" s="13">
        <v>-4.1918478906154633E-2</v>
      </c>
      <c r="I10" s="13">
        <v>-3.2251551747322078E-3</v>
      </c>
      <c r="J10" s="13">
        <v>-2.9109448194503781E-2</v>
      </c>
      <c r="K10" s="13">
        <v>-1.5017589554190639E-2</v>
      </c>
      <c r="L10" s="13">
        <v>3.2963566482067108E-2</v>
      </c>
      <c r="M10" s="13">
        <v>-4.2787168174982071E-2</v>
      </c>
      <c r="N10" s="13">
        <v>8.8435836136341095E-2</v>
      </c>
      <c r="O10" s="13">
        <v>-1.9587144255638119E-2</v>
      </c>
      <c r="P10" s="13">
        <v>3.8856223225593567E-2</v>
      </c>
      <c r="Q10" s="13">
        <v>2.292590960860252E-2</v>
      </c>
      <c r="R10" s="13">
        <v>9.1378994286060333E-2</v>
      </c>
      <c r="S10" s="13">
        <v>2.1565936505794529E-2</v>
      </c>
      <c r="T10" s="13">
        <v>-1.9828533753752708E-2</v>
      </c>
      <c r="U10" s="13">
        <v>-0.20099139213562009</v>
      </c>
      <c r="V10" s="13">
        <v>-3.1301669776439667E-2</v>
      </c>
      <c r="W10" s="13">
        <v>-3.096821159124374E-2</v>
      </c>
      <c r="X10" s="13">
        <v>-2.945495210587978E-2</v>
      </c>
      <c r="Y10" s="13">
        <v>3.9161346852779388E-2</v>
      </c>
      <c r="Z10" s="13">
        <v>-6.3054509460926056E-2</v>
      </c>
      <c r="AA10" s="13">
        <v>0.29351425170898438</v>
      </c>
      <c r="AB10" s="13">
        <v>-5.1668956875801093E-2</v>
      </c>
      <c r="AC10" s="13">
        <v>-5.8906577527523041E-2</v>
      </c>
      <c r="AD10" s="13">
        <v>-1.479410566389561E-2</v>
      </c>
      <c r="AE10" s="13">
        <v>-8.5164092481136322E-2</v>
      </c>
      <c r="AF10" s="13">
        <v>6.4832724630832672E-2</v>
      </c>
      <c r="AG10" s="13">
        <v>-2.9173806309700009E-2</v>
      </c>
      <c r="AH10" s="13">
        <v>3.0198957771062851E-2</v>
      </c>
      <c r="AI10" s="13">
        <v>-4.7617070376873023E-2</v>
      </c>
      <c r="AJ10" s="13">
        <v>-8.1800997257232666E-2</v>
      </c>
      <c r="AK10" s="13">
        <v>-2.1800028160214421E-2</v>
      </c>
      <c r="AL10" s="13">
        <v>-0.1100530177354813</v>
      </c>
      <c r="AM10" s="13">
        <v>-3.5073071718215942E-2</v>
      </c>
      <c r="AN10" s="13">
        <v>-4.340009018778801E-2</v>
      </c>
      <c r="AO10" s="13">
        <v>0.48250654339790339</v>
      </c>
      <c r="AP10" s="13">
        <v>-2.2009238600730899E-2</v>
      </c>
      <c r="AQ10" s="13">
        <v>-3.320765495300293E-2</v>
      </c>
      <c r="AR10" s="13">
        <v>-3.8729634135961533E-2</v>
      </c>
      <c r="AS10" s="13">
        <v>-2.8297137469053268E-2</v>
      </c>
      <c r="AT10" s="13">
        <v>0.10524175316095349</v>
      </c>
      <c r="AU10" s="13">
        <v>-3.1704992055892937E-2</v>
      </c>
      <c r="AV10" s="13">
        <v>6.7514353431761256E-3</v>
      </c>
      <c r="AW10" s="13">
        <v>-0.96225237846374512</v>
      </c>
      <c r="AX10" s="13">
        <v>4.101233184337616E-2</v>
      </c>
      <c r="AY10" s="13">
        <v>-5.6369602680206299E-3</v>
      </c>
      <c r="AZ10" s="13">
        <v>-5.1676530390977859E-2</v>
      </c>
      <c r="BA10" s="13">
        <v>1.325516775250435E-2</v>
      </c>
      <c r="BB10" s="13">
        <v>4.476025328040123E-2</v>
      </c>
      <c r="BC10" s="13">
        <v>-1.107941567897797E-2</v>
      </c>
      <c r="BD10" s="13">
        <v>-0.38229072093963617</v>
      </c>
      <c r="BE10" s="13">
        <v>-2.2616449743509289E-2</v>
      </c>
      <c r="BF10" s="13">
        <v>-3.5860244184732437E-2</v>
      </c>
      <c r="BG10" s="13">
        <v>-4.5156531035900123E-2</v>
      </c>
      <c r="BH10" s="13">
        <v>4.3198607861995697E-2</v>
      </c>
      <c r="BI10" s="13">
        <v>-3.2893676310777657E-2</v>
      </c>
      <c r="BJ10" s="13">
        <v>-3.3156313002109528E-2</v>
      </c>
      <c r="BK10" s="13">
        <v>-0.49124959111213679</v>
      </c>
      <c r="BL10" s="13">
        <v>-4.1894607245922089E-2</v>
      </c>
      <c r="BM10" s="13">
        <v>-4.8348039388656623E-2</v>
      </c>
      <c r="BN10" s="13">
        <v>2.9559984803199772E-2</v>
      </c>
      <c r="BO10" s="13">
        <v>4.2817052453756332E-2</v>
      </c>
      <c r="BP10" s="13">
        <v>-2.2469896823167801E-2</v>
      </c>
      <c r="BQ10" s="13">
        <v>5.1819421350955963E-2</v>
      </c>
      <c r="BR10" s="13">
        <v>1.8672076985239979E-2</v>
      </c>
      <c r="BS10" s="13">
        <v>1.160447578877211E-2</v>
      </c>
      <c r="BT10" s="13">
        <v>2.1957747638225559E-2</v>
      </c>
      <c r="BU10" s="13">
        <v>-7.4458800256252289E-2</v>
      </c>
      <c r="BV10" s="13">
        <v>9.906383603811264E-2</v>
      </c>
      <c r="BW10" s="13">
        <v>-9.3610800802707672E-2</v>
      </c>
      <c r="BX10" s="13">
        <v>2.0203854888677601E-2</v>
      </c>
      <c r="BY10" s="13">
        <v>-3.2773036509752267E-2</v>
      </c>
      <c r="BZ10" s="13">
        <v>6.5151117742061615E-2</v>
      </c>
      <c r="CA10" s="13">
        <v>-3.612663596868515E-2</v>
      </c>
      <c r="CB10" s="13">
        <v>3.8924302905797958E-2</v>
      </c>
      <c r="CC10" s="13">
        <v>-3.6194797605276108E-2</v>
      </c>
      <c r="CD10" s="13">
        <v>-4.9464032053947449E-2</v>
      </c>
      <c r="CE10" s="13">
        <v>-4.3242655694484711E-2</v>
      </c>
      <c r="CF10" s="13">
        <v>-3.2065954059362411E-2</v>
      </c>
      <c r="CG10" s="13">
        <v>-3.9963260293006897E-2</v>
      </c>
      <c r="CH10" s="13">
        <v>-4.1623290628194809E-2</v>
      </c>
      <c r="CI10" s="13">
        <v>-3.5185825079679489E-2</v>
      </c>
      <c r="CJ10" s="13">
        <v>-4.3707791715860367E-2</v>
      </c>
      <c r="CK10" s="13">
        <v>-2.7694102376699451E-2</v>
      </c>
      <c r="CL10" s="13">
        <v>-3.4954138100147247E-2</v>
      </c>
      <c r="CM10" s="13">
        <v>-4.8744097352027893E-2</v>
      </c>
      <c r="CN10" s="13">
        <v>-1.2399040162563321E-2</v>
      </c>
      <c r="CO10" s="13">
        <v>3.0090915039181709E-2</v>
      </c>
      <c r="CP10" s="13">
        <v>-2.108084037899971E-2</v>
      </c>
      <c r="CQ10" s="13">
        <v>2.5487802922725682E-3</v>
      </c>
      <c r="CR10" s="13">
        <v>0.1063184291124344</v>
      </c>
      <c r="CS10" s="13">
        <v>2.1471921354532238E-2</v>
      </c>
      <c r="CT10" s="13">
        <v>-5.8815300464630127E-2</v>
      </c>
      <c r="CU10" s="13">
        <v>-0.21441565454006201</v>
      </c>
      <c r="CV10" s="13">
        <v>-0.14599728584289551</v>
      </c>
      <c r="CW10" s="13">
        <v>6.59809410572052E-2</v>
      </c>
      <c r="CX10" s="13">
        <v>-0.33112818002700811</v>
      </c>
      <c r="CY10" s="13">
        <v>3.5050917416810989E-2</v>
      </c>
      <c r="CZ10" s="13">
        <v>-0.23087161779403689</v>
      </c>
      <c r="DA10" s="13">
        <v>-9.6895664930343628E-2</v>
      </c>
      <c r="DB10" s="13">
        <v>2.638174407184124E-2</v>
      </c>
      <c r="DC10" s="13">
        <v>-6.4039438962936401E-2</v>
      </c>
      <c r="DD10" s="13">
        <v>-5.3469959646463387E-2</v>
      </c>
      <c r="DE10" s="13">
        <v>-0.13113583624362951</v>
      </c>
      <c r="DF10" s="13">
        <v>-0.13658058643341059</v>
      </c>
      <c r="DG10" s="13">
        <v>-9.4920694828033447E-2</v>
      </c>
      <c r="DH10" s="13">
        <v>-4.2109377682209008E-2</v>
      </c>
      <c r="DI10" s="13">
        <v>-4.0931046009063721E-2</v>
      </c>
      <c r="DJ10" s="13">
        <v>-3.9754342287778847E-2</v>
      </c>
      <c r="DK10" s="13">
        <v>-1.123789604753256E-2</v>
      </c>
      <c r="DL10" s="13">
        <v>-4.6825721859931953E-2</v>
      </c>
      <c r="DM10" s="13">
        <v>4.8449739813804633E-2</v>
      </c>
      <c r="DN10" s="13">
        <v>-1.890873908996582E-2</v>
      </c>
      <c r="DO10" s="13">
        <v>0.1028218641877174</v>
      </c>
      <c r="DP10" s="13">
        <v>-0.26931414008140558</v>
      </c>
      <c r="DQ10" s="13">
        <v>3.6267664283514023E-2</v>
      </c>
      <c r="DR10" s="13">
        <v>7.612089067697525E-2</v>
      </c>
      <c r="DS10" s="13">
        <v>-2.8944762423634529E-2</v>
      </c>
      <c r="DT10" s="13">
        <v>-2.5797775015234951E-2</v>
      </c>
      <c r="DU10" s="13">
        <v>-4.2362723499536507E-2</v>
      </c>
      <c r="DV10" s="13">
        <v>-0.12697815895080569</v>
      </c>
      <c r="DW10" s="13">
        <v>4.2979337275028229E-2</v>
      </c>
      <c r="DX10" s="13">
        <v>-7.1560792624950409E-2</v>
      </c>
      <c r="DY10" s="13">
        <v>-3.8502730429172523E-2</v>
      </c>
      <c r="DZ10" s="13">
        <v>3.6363851279020309E-2</v>
      </c>
      <c r="EA10" s="13">
        <v>3.0139438807964321E-2</v>
      </c>
      <c r="EB10" s="13">
        <v>-9.7088990733027458E-3</v>
      </c>
      <c r="EC10" s="13">
        <v>-5.1103539764881127E-2</v>
      </c>
      <c r="ED10" s="13">
        <v>-2.5845445692539219E-2</v>
      </c>
      <c r="EE10" s="13">
        <v>-0.1043576747179031</v>
      </c>
      <c r="EF10" s="13">
        <v>-3.8098420482128859E-3</v>
      </c>
      <c r="EG10" s="13">
        <v>2.889686077833176E-2</v>
      </c>
      <c r="EH10" s="13">
        <v>-4.2595401406288147E-2</v>
      </c>
      <c r="EI10" s="13">
        <v>9.3854136765003204E-2</v>
      </c>
      <c r="EJ10" s="13">
        <v>5.9465162456035607E-2</v>
      </c>
      <c r="EK10" s="13">
        <v>-3.2820709049701691E-2</v>
      </c>
      <c r="EL10" s="13">
        <v>5.8637633919715881E-2</v>
      </c>
    </row>
    <row r="11" spans="1:142" ht="25" customHeight="1" x14ac:dyDescent="0.55000000000000004">
      <c r="B11" s="14" t="s">
        <v>145</v>
      </c>
      <c r="C11" s="13">
        <v>4.0603967499919241E-4</v>
      </c>
      <c r="D11" s="13">
        <v>5.033792182803154E-2</v>
      </c>
      <c r="E11" s="13">
        <v>-3.8914486765861511E-2</v>
      </c>
      <c r="F11" s="13">
        <v>-1.194990426301956E-2</v>
      </c>
      <c r="G11" s="13">
        <v>-3.4719966351985931E-3</v>
      </c>
      <c r="H11" s="13">
        <v>-1.7202273011207581E-2</v>
      </c>
      <c r="I11" s="13">
        <v>3.4106865525245673E-2</v>
      </c>
      <c r="J11" s="13">
        <v>3.247595950961113E-2</v>
      </c>
      <c r="K11" s="13">
        <v>3.4649442881345749E-2</v>
      </c>
      <c r="L11" s="13">
        <v>-0.14336225390434271</v>
      </c>
      <c r="M11" s="13">
        <v>-2.938468940556049E-2</v>
      </c>
      <c r="N11" s="13">
        <v>1.8640816211700439E-2</v>
      </c>
      <c r="O11" s="13">
        <v>3.4841738641262048E-2</v>
      </c>
      <c r="P11" s="13">
        <v>-6.0275918804109097E-4</v>
      </c>
      <c r="Q11" s="13">
        <v>-1.1749310418963431E-2</v>
      </c>
      <c r="R11" s="13">
        <v>1.7349295318126678E-2</v>
      </c>
      <c r="S11" s="13">
        <v>4.1421286761760712E-2</v>
      </c>
      <c r="T11" s="13">
        <v>-4.5294873416423798E-2</v>
      </c>
      <c r="U11" s="13">
        <v>-6.3638943247497082E-3</v>
      </c>
      <c r="V11" s="13">
        <v>3.342755138874054E-2</v>
      </c>
      <c r="W11" s="13">
        <v>3.600490465760231E-2</v>
      </c>
      <c r="X11" s="13">
        <v>-6.4424417912960052E-2</v>
      </c>
      <c r="Y11" s="13">
        <v>-5.0558405928313732E-3</v>
      </c>
      <c r="Z11" s="13">
        <v>-2.7877837419509891E-2</v>
      </c>
      <c r="AA11" s="13">
        <v>3.861604630947113E-2</v>
      </c>
      <c r="AB11" s="13">
        <v>-4.1370157152414322E-2</v>
      </c>
      <c r="AC11" s="13">
        <v>-2.444838359951973E-2</v>
      </c>
      <c r="AD11" s="13">
        <v>4.1641086339950562E-2</v>
      </c>
      <c r="AE11" s="13">
        <v>-9.2225760221481323E-2</v>
      </c>
      <c r="AF11" s="13">
        <v>-2.9623918235301971E-2</v>
      </c>
      <c r="AG11" s="13">
        <v>7.2603732347488403E-2</v>
      </c>
      <c r="AH11" s="13">
        <v>-2.5543451309204102E-2</v>
      </c>
      <c r="AI11" s="13">
        <v>2.6856813579797741E-2</v>
      </c>
      <c r="AJ11" s="13">
        <v>-3.6161798983812332E-2</v>
      </c>
      <c r="AK11" s="13">
        <v>-2.3803045973181721E-2</v>
      </c>
      <c r="AL11" s="13">
        <v>-2.6720678433775902E-3</v>
      </c>
      <c r="AM11" s="13">
        <v>-3.301555290818214E-3</v>
      </c>
      <c r="AN11" s="13">
        <v>7.7517644967883825E-5</v>
      </c>
      <c r="AO11" s="13">
        <v>-6.8618282675743103E-2</v>
      </c>
      <c r="AP11" s="13">
        <v>3.7031527608633041E-2</v>
      </c>
      <c r="AQ11" s="13">
        <v>2.3109108209609989E-2</v>
      </c>
      <c r="AR11" s="13">
        <v>-7.1197360754013062E-2</v>
      </c>
      <c r="AS11" s="13">
        <v>-4.7974057495594018E-2</v>
      </c>
      <c r="AT11" s="13">
        <v>-6.1735827475786209E-2</v>
      </c>
      <c r="AU11" s="13">
        <v>1.724289171397686E-2</v>
      </c>
      <c r="AV11" s="13">
        <v>-5.7472378015518188E-2</v>
      </c>
      <c r="AW11" s="13">
        <v>-6.2709540128707886E-2</v>
      </c>
      <c r="AX11" s="13">
        <v>-5.8146975934505463E-2</v>
      </c>
      <c r="AY11" s="13">
        <v>0.1052219867706299</v>
      </c>
      <c r="AZ11" s="13">
        <v>1.116979215294123E-2</v>
      </c>
      <c r="BA11" s="13">
        <v>3.6679205950349569E-3</v>
      </c>
      <c r="BB11" s="13">
        <v>1.8173787742853161E-2</v>
      </c>
      <c r="BC11" s="13">
        <v>5.2103251218795776E-3</v>
      </c>
      <c r="BD11" s="13">
        <v>1.384157687425613E-3</v>
      </c>
      <c r="BE11" s="13">
        <v>6.3530579209327698E-3</v>
      </c>
      <c r="BF11" s="13">
        <v>1.0895224288105959E-2</v>
      </c>
      <c r="BG11" s="13">
        <v>-3.511882852762938E-3</v>
      </c>
      <c r="BH11" s="13">
        <v>5.6244018487632266E-3</v>
      </c>
      <c r="BI11" s="13">
        <v>6.7682020366191864E-2</v>
      </c>
      <c r="BJ11" s="13">
        <v>3.9736120961606503E-3</v>
      </c>
      <c r="BK11" s="13">
        <v>3.06558832526207E-2</v>
      </c>
      <c r="BL11" s="13">
        <v>-1.213217433542013E-2</v>
      </c>
      <c r="BM11" s="13">
        <v>-2.099542878568172E-3</v>
      </c>
      <c r="BN11" s="13">
        <v>1.6873575747013089E-2</v>
      </c>
      <c r="BO11" s="13">
        <v>-1.410196349024773E-2</v>
      </c>
      <c r="BP11" s="13">
        <v>8.5541605949401855E-3</v>
      </c>
      <c r="BQ11" s="13">
        <v>-1.843594387173653E-2</v>
      </c>
      <c r="BR11" s="13">
        <v>-1.3599623925983909E-2</v>
      </c>
      <c r="BS11" s="13">
        <v>-1.4013238251209259E-3</v>
      </c>
      <c r="BT11" s="13">
        <v>3.7923485040664673E-2</v>
      </c>
      <c r="BU11" s="13">
        <v>1.2471701018512251E-2</v>
      </c>
      <c r="BV11" s="13">
        <v>-4.7056503593921661E-2</v>
      </c>
      <c r="BW11" s="13">
        <v>2.1625479683279991E-2</v>
      </c>
      <c r="BX11" s="13">
        <v>3.5244729369878769E-3</v>
      </c>
      <c r="BY11" s="13">
        <v>3.00147756934166E-3</v>
      </c>
      <c r="BZ11" s="13">
        <v>-1.2442688457667829E-2</v>
      </c>
      <c r="CA11" s="13">
        <v>4.5838907361030579E-2</v>
      </c>
      <c r="CB11" s="13">
        <v>-9.8906513303518295E-3</v>
      </c>
      <c r="CC11" s="13">
        <v>-2.804244169965386E-3</v>
      </c>
      <c r="CD11" s="13">
        <v>-8.6774525698274374E-4</v>
      </c>
      <c r="CE11" s="13">
        <v>9.1528939083218575E-3</v>
      </c>
      <c r="CF11" s="13">
        <v>2.271990850567818E-2</v>
      </c>
      <c r="CG11" s="13">
        <v>3.3768331632018089E-3</v>
      </c>
      <c r="CH11" s="13">
        <v>1.89636554569006E-2</v>
      </c>
      <c r="CI11" s="13">
        <v>9.1768182814121246E-2</v>
      </c>
      <c r="CJ11" s="13">
        <v>-6.3939411193132401E-3</v>
      </c>
      <c r="CK11" s="13">
        <v>1.4165259897708889E-2</v>
      </c>
      <c r="CL11" s="13">
        <v>4.0824571624398232E-3</v>
      </c>
      <c r="CM11" s="13">
        <v>1.057987939566374E-2</v>
      </c>
      <c r="CN11" s="13">
        <v>2.165891602635384E-2</v>
      </c>
      <c r="CO11" s="13">
        <v>0.14323921501636511</v>
      </c>
      <c r="CP11" s="13">
        <v>1.87258655205369E-3</v>
      </c>
      <c r="CQ11" s="13">
        <v>-3.9175484329462051E-2</v>
      </c>
      <c r="CR11" s="13">
        <v>-4.6743908897042266E-3</v>
      </c>
      <c r="CS11" s="13">
        <v>-3.9905324578285217E-2</v>
      </c>
      <c r="CT11" s="13">
        <v>5.7113836519420147E-3</v>
      </c>
      <c r="CU11" s="13">
        <v>1.7015844583511349E-2</v>
      </c>
      <c r="CV11" s="13">
        <v>-1.173017732799053E-2</v>
      </c>
      <c r="CW11" s="13">
        <v>-1.8561026081442829E-2</v>
      </c>
      <c r="CX11" s="13">
        <v>2.7230728417634961E-2</v>
      </c>
      <c r="CY11" s="13">
        <v>2.5908022653311491E-3</v>
      </c>
      <c r="CZ11" s="13">
        <v>6.3109919428825378E-2</v>
      </c>
      <c r="DA11" s="13">
        <v>3.5137373954057687E-2</v>
      </c>
      <c r="DB11" s="13">
        <v>7.0190709084272376E-3</v>
      </c>
      <c r="DC11" s="13">
        <v>1.0706442408263679E-3</v>
      </c>
      <c r="DD11" s="13">
        <v>2.7740933001041408E-3</v>
      </c>
      <c r="DE11" s="13">
        <v>-2.5716772302985191E-2</v>
      </c>
      <c r="DF11" s="13">
        <v>1.4139115810394289E-3</v>
      </c>
      <c r="DG11" s="13">
        <v>-9.6192983910441399E-3</v>
      </c>
      <c r="DH11" s="13">
        <v>-1.259769313037395E-3</v>
      </c>
      <c r="DI11" s="13">
        <v>-1.6325067728757858E-2</v>
      </c>
      <c r="DJ11" s="13">
        <v>-2.2702464833855629E-2</v>
      </c>
      <c r="DK11" s="13">
        <v>-3.4234081394970421E-3</v>
      </c>
      <c r="DL11" s="13">
        <v>1.948068151250482E-3</v>
      </c>
      <c r="DM11" s="13">
        <v>-0.25882810354232788</v>
      </c>
      <c r="DN11" s="13">
        <v>-4.3664040276780719E-4</v>
      </c>
      <c r="DO11" s="13">
        <v>1.356407813727856E-2</v>
      </c>
      <c r="DP11" s="13">
        <v>8.5415281355381012E-3</v>
      </c>
      <c r="DQ11" s="13">
        <v>5.5505207274109125E-4</v>
      </c>
      <c r="DR11" s="13">
        <v>2.8228277340531349E-2</v>
      </c>
      <c r="DS11" s="13">
        <v>1.2090692762285471E-3</v>
      </c>
      <c r="DT11" s="13">
        <v>3.7493379786610599E-3</v>
      </c>
      <c r="DU11" s="13">
        <v>1.854668371379375E-3</v>
      </c>
      <c r="DV11" s="13">
        <v>-2.3645691573619839E-2</v>
      </c>
      <c r="DW11" s="13">
        <v>-3.1537488102912898E-3</v>
      </c>
      <c r="DX11" s="13">
        <v>1.5400387346744541E-2</v>
      </c>
      <c r="DY11" s="13">
        <v>1.2764680199325079E-2</v>
      </c>
      <c r="DZ11" s="13">
        <v>3.1485959887504578E-2</v>
      </c>
      <c r="EA11" s="13">
        <v>7.2265844792127609E-3</v>
      </c>
      <c r="EB11" s="13">
        <v>-1.533120521344244E-3</v>
      </c>
      <c r="EC11" s="13">
        <v>2.0921340212225911E-2</v>
      </c>
      <c r="ED11" s="13">
        <v>-3.2300027087330818E-3</v>
      </c>
      <c r="EE11" s="13">
        <v>-0.10347997397184371</v>
      </c>
      <c r="EF11" s="13">
        <v>4.9948068335652351E-3</v>
      </c>
      <c r="EG11" s="13">
        <v>8.221927285194397E-2</v>
      </c>
      <c r="EH11" s="13">
        <v>7.1446478366851807E-2</v>
      </c>
      <c r="EI11" s="13">
        <v>2.0742105320096019E-2</v>
      </c>
      <c r="EJ11" s="13">
        <v>4.8550190404057503E-3</v>
      </c>
      <c r="EK11" s="13">
        <v>1.1217719875276091E-3</v>
      </c>
      <c r="EL11" s="13">
        <v>-7.0758596062660217E-2</v>
      </c>
    </row>
    <row r="13" spans="1:142" ht="25" customHeight="1" x14ac:dyDescent="0.55000000000000004">
      <c r="A13" s="12" t="s">
        <v>287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0</v>
      </c>
      <c r="I13" s="12">
        <f t="shared" si="0"/>
        <v>0</v>
      </c>
      <c r="J13" s="12">
        <f t="shared" si="0"/>
        <v>1</v>
      </c>
      <c r="K13" s="12">
        <f t="shared" si="0"/>
        <v>1</v>
      </c>
      <c r="L13" s="12">
        <f t="shared" si="0"/>
        <v>1</v>
      </c>
      <c r="M13" s="12">
        <f t="shared" si="0"/>
        <v>1</v>
      </c>
      <c r="N13" s="12">
        <f t="shared" si="0"/>
        <v>1</v>
      </c>
      <c r="O13" s="12">
        <f t="shared" si="0"/>
        <v>0</v>
      </c>
      <c r="P13" s="12">
        <f t="shared" si="0"/>
        <v>0</v>
      </c>
      <c r="Q13" s="12">
        <f t="shared" si="0"/>
        <v>1</v>
      </c>
      <c r="R13" s="12">
        <f t="shared" si="0"/>
        <v>0</v>
      </c>
      <c r="S13" s="12">
        <f t="shared" si="0"/>
        <v>1</v>
      </c>
      <c r="T13" s="12">
        <f t="shared" si="0"/>
        <v>1</v>
      </c>
      <c r="U13" s="12">
        <f t="shared" si="0"/>
        <v>1</v>
      </c>
      <c r="V13" s="12">
        <f t="shared" si="0"/>
        <v>1</v>
      </c>
      <c r="W13" s="12">
        <f t="shared" si="0"/>
        <v>0</v>
      </c>
      <c r="X13" s="12">
        <f t="shared" si="0"/>
        <v>0</v>
      </c>
      <c r="Y13" s="12">
        <f t="shared" si="0"/>
        <v>1</v>
      </c>
      <c r="Z13" s="12">
        <f t="shared" si="0"/>
        <v>1</v>
      </c>
      <c r="AA13" s="12">
        <f t="shared" si="0"/>
        <v>0</v>
      </c>
      <c r="AB13" s="12">
        <f t="shared" si="0"/>
        <v>0</v>
      </c>
      <c r="AC13" s="12">
        <f t="shared" si="0"/>
        <v>1</v>
      </c>
      <c r="AD13" s="12">
        <f t="shared" si="0"/>
        <v>1</v>
      </c>
      <c r="AE13" s="12">
        <f t="shared" si="0"/>
        <v>1</v>
      </c>
      <c r="AF13" s="12">
        <f t="shared" si="0"/>
        <v>0</v>
      </c>
      <c r="AG13" s="12">
        <f t="shared" si="0"/>
        <v>1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0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0</v>
      </c>
      <c r="AO13" s="12">
        <f t="shared" si="1"/>
        <v>1</v>
      </c>
      <c r="AP13" s="12">
        <f t="shared" si="1"/>
        <v>1</v>
      </c>
      <c r="AQ13" s="12">
        <f t="shared" si="1"/>
        <v>1</v>
      </c>
      <c r="AR13" s="12">
        <f t="shared" si="1"/>
        <v>1</v>
      </c>
      <c r="AS13" s="12">
        <f t="shared" si="1"/>
        <v>1</v>
      </c>
      <c r="AT13" s="12">
        <f t="shared" si="1"/>
        <v>0</v>
      </c>
      <c r="AU13" s="12">
        <f t="shared" si="1"/>
        <v>0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0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0</v>
      </c>
      <c r="BF13" s="12">
        <f t="shared" si="1"/>
        <v>0</v>
      </c>
      <c r="BG13" s="12">
        <f t="shared" si="1"/>
        <v>1</v>
      </c>
      <c r="BH13" s="12">
        <f t="shared" si="1"/>
        <v>0</v>
      </c>
      <c r="BI13" s="12">
        <f t="shared" si="1"/>
        <v>0</v>
      </c>
      <c r="BJ13" s="12">
        <f t="shared" si="1"/>
        <v>0</v>
      </c>
      <c r="BK13" s="12">
        <f t="shared" si="1"/>
        <v>1</v>
      </c>
      <c r="BL13" s="12">
        <f t="shared" si="1"/>
        <v>1</v>
      </c>
      <c r="BM13" s="12">
        <f t="shared" si="1"/>
        <v>1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1</v>
      </c>
      <c r="BQ13" s="12">
        <f t="shared" si="2"/>
        <v>1</v>
      </c>
      <c r="BR13" s="12">
        <f t="shared" si="2"/>
        <v>1</v>
      </c>
      <c r="BS13" s="12">
        <f t="shared" si="2"/>
        <v>1</v>
      </c>
      <c r="BT13" s="12">
        <f t="shared" si="2"/>
        <v>1</v>
      </c>
      <c r="BU13" s="12">
        <f t="shared" si="2"/>
        <v>0</v>
      </c>
      <c r="BV13" s="12">
        <f t="shared" si="2"/>
        <v>0</v>
      </c>
      <c r="BW13" s="12">
        <f t="shared" si="2"/>
        <v>0</v>
      </c>
      <c r="BX13" s="12">
        <f t="shared" si="2"/>
        <v>1</v>
      </c>
      <c r="BY13" s="12">
        <f t="shared" si="2"/>
        <v>1</v>
      </c>
      <c r="BZ13" s="12">
        <f t="shared" si="2"/>
        <v>1</v>
      </c>
      <c r="CA13" s="12">
        <f t="shared" si="2"/>
        <v>0</v>
      </c>
      <c r="CB13" s="12">
        <f t="shared" si="2"/>
        <v>0</v>
      </c>
      <c r="CC13" s="12">
        <f t="shared" si="2"/>
        <v>1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1</v>
      </c>
      <c r="CJ13" s="12">
        <f t="shared" si="2"/>
        <v>1</v>
      </c>
      <c r="CK13" s="12">
        <f t="shared" si="2"/>
        <v>0</v>
      </c>
      <c r="CL13" s="12">
        <f t="shared" si="2"/>
        <v>1</v>
      </c>
      <c r="CM13" s="12">
        <f t="shared" si="2"/>
        <v>1</v>
      </c>
      <c r="CN13" s="12">
        <f t="shared" si="2"/>
        <v>1</v>
      </c>
      <c r="CO13" s="12">
        <f t="shared" si="2"/>
        <v>1</v>
      </c>
      <c r="CP13" s="12">
        <f t="shared" si="2"/>
        <v>0</v>
      </c>
      <c r="CQ13" s="12">
        <f t="shared" si="2"/>
        <v>1</v>
      </c>
      <c r="CR13" s="12">
        <f t="shared" si="2"/>
        <v>1</v>
      </c>
      <c r="CS13" s="12">
        <f t="shared" si="2"/>
        <v>1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0</v>
      </c>
      <c r="CY13" s="12">
        <f t="shared" si="3"/>
        <v>1</v>
      </c>
      <c r="CZ13" s="12">
        <f t="shared" si="3"/>
        <v>1</v>
      </c>
      <c r="DA13" s="12">
        <f t="shared" si="3"/>
        <v>1</v>
      </c>
      <c r="DB13" s="12">
        <f t="shared" si="3"/>
        <v>1</v>
      </c>
      <c r="DC13" s="12">
        <f t="shared" si="3"/>
        <v>1</v>
      </c>
      <c r="DD13" s="12">
        <f t="shared" si="3"/>
        <v>0</v>
      </c>
      <c r="DE13" s="12">
        <f t="shared" si="3"/>
        <v>1</v>
      </c>
      <c r="DF13" s="12">
        <f t="shared" si="3"/>
        <v>1</v>
      </c>
      <c r="DG13" s="12">
        <f t="shared" si="3"/>
        <v>1</v>
      </c>
      <c r="DH13" s="12">
        <f t="shared" si="3"/>
        <v>1</v>
      </c>
      <c r="DI13" s="12">
        <f t="shared" si="3"/>
        <v>1</v>
      </c>
      <c r="DJ13" s="12">
        <f t="shared" si="3"/>
        <v>1</v>
      </c>
      <c r="DK13" s="12">
        <f t="shared" si="3"/>
        <v>1</v>
      </c>
      <c r="DL13" s="12">
        <f t="shared" si="3"/>
        <v>1</v>
      </c>
      <c r="DM13" s="12">
        <f t="shared" si="3"/>
        <v>0</v>
      </c>
      <c r="DN13" s="12">
        <f t="shared" si="3"/>
        <v>1</v>
      </c>
      <c r="DO13" s="12">
        <f t="shared" si="3"/>
        <v>0</v>
      </c>
      <c r="DP13" s="12">
        <f t="shared" si="3"/>
        <v>1</v>
      </c>
      <c r="DQ13" s="12">
        <f t="shared" si="3"/>
        <v>1</v>
      </c>
      <c r="DR13" s="12">
        <f t="shared" si="3"/>
        <v>1</v>
      </c>
      <c r="DS13" s="12">
        <f t="shared" si="3"/>
        <v>0</v>
      </c>
      <c r="DT13" s="12">
        <f t="shared" si="3"/>
        <v>1</v>
      </c>
      <c r="DU13" s="12">
        <f t="shared" si="3"/>
        <v>1</v>
      </c>
      <c r="DV13" s="12">
        <f t="shared" si="3"/>
        <v>1</v>
      </c>
      <c r="DW13" s="12">
        <f t="shared" si="3"/>
        <v>0</v>
      </c>
      <c r="DX13" s="12">
        <f t="shared" si="3"/>
        <v>1</v>
      </c>
      <c r="DY13" s="12">
        <f t="shared" si="3"/>
        <v>0</v>
      </c>
      <c r="DZ13" s="12">
        <f t="shared" si="3"/>
        <v>1</v>
      </c>
      <c r="EA13" s="12">
        <f t="shared" ref="EA13:EL13" si="4">IF(AND(EA3&gt;0,EA9&gt;0),1,0)</f>
        <v>1</v>
      </c>
      <c r="EB13" s="12">
        <f t="shared" si="4"/>
        <v>0</v>
      </c>
      <c r="EC13" s="12">
        <f t="shared" si="4"/>
        <v>1</v>
      </c>
      <c r="ED13" s="12">
        <f t="shared" si="4"/>
        <v>1</v>
      </c>
      <c r="EE13" s="12">
        <f t="shared" si="4"/>
        <v>1</v>
      </c>
      <c r="EF13" s="12">
        <f t="shared" si="4"/>
        <v>1</v>
      </c>
      <c r="EG13" s="12">
        <f t="shared" si="4"/>
        <v>1</v>
      </c>
      <c r="EH13" s="12">
        <f t="shared" si="4"/>
        <v>1</v>
      </c>
      <c r="EI13" s="12">
        <f t="shared" si="4"/>
        <v>1</v>
      </c>
      <c r="EJ13" s="12">
        <f t="shared" si="4"/>
        <v>1</v>
      </c>
      <c r="EK13" s="12">
        <f t="shared" si="4"/>
        <v>1</v>
      </c>
      <c r="EL13" s="12">
        <f t="shared" si="4"/>
        <v>1</v>
      </c>
    </row>
    <row r="14" spans="1:142" ht="25" customHeight="1" x14ac:dyDescent="0.55000000000000004">
      <c r="A14" s="12" t="s">
        <v>288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0</v>
      </c>
      <c r="U14" s="12">
        <f t="shared" si="5"/>
        <v>0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0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0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0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0</v>
      </c>
      <c r="CO14" s="12">
        <f t="shared" si="7"/>
        <v>1</v>
      </c>
      <c r="CP14" s="12">
        <f t="shared" si="7"/>
        <v>0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1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1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1</v>
      </c>
      <c r="D15" s="12">
        <f t="shared" si="10"/>
        <v>1</v>
      </c>
      <c r="E15" s="12">
        <f t="shared" si="10"/>
        <v>0</v>
      </c>
      <c r="F15" s="12">
        <f t="shared" si="10"/>
        <v>0</v>
      </c>
      <c r="G15" s="12">
        <f t="shared" si="10"/>
        <v>0</v>
      </c>
      <c r="H15" s="12">
        <f t="shared" si="10"/>
        <v>0</v>
      </c>
      <c r="I15" s="12">
        <f t="shared" si="10"/>
        <v>1</v>
      </c>
      <c r="J15" s="12">
        <f t="shared" si="10"/>
        <v>1</v>
      </c>
      <c r="K15" s="12">
        <f t="shared" si="10"/>
        <v>1</v>
      </c>
      <c r="L15" s="12">
        <f t="shared" si="10"/>
        <v>0</v>
      </c>
      <c r="M15" s="12">
        <f t="shared" si="10"/>
        <v>0</v>
      </c>
      <c r="N15" s="12">
        <f t="shared" si="10"/>
        <v>1</v>
      </c>
      <c r="O15" s="12">
        <f t="shared" si="10"/>
        <v>1</v>
      </c>
      <c r="P15" s="12">
        <f t="shared" si="10"/>
        <v>0</v>
      </c>
      <c r="Q15" s="12">
        <f t="shared" si="10"/>
        <v>0</v>
      </c>
      <c r="R15" s="12">
        <f t="shared" si="10"/>
        <v>1</v>
      </c>
      <c r="S15" s="12">
        <f t="shared" si="10"/>
        <v>1</v>
      </c>
      <c r="T15" s="12">
        <f t="shared" si="10"/>
        <v>0</v>
      </c>
      <c r="U15" s="12">
        <f t="shared" si="10"/>
        <v>0</v>
      </c>
      <c r="V15" s="12">
        <f t="shared" si="10"/>
        <v>1</v>
      </c>
      <c r="W15" s="12">
        <f t="shared" si="10"/>
        <v>1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1</v>
      </c>
      <c r="AE15" s="12">
        <f t="shared" si="10"/>
        <v>0</v>
      </c>
      <c r="AF15" s="12">
        <f t="shared" si="10"/>
        <v>0</v>
      </c>
      <c r="AG15" s="12">
        <f t="shared" si="10"/>
        <v>1</v>
      </c>
      <c r="AH15" s="12">
        <f t="shared" si="10"/>
        <v>0</v>
      </c>
      <c r="AI15" s="12">
        <f t="shared" ref="AI15:BN15" si="11">IF(AND(AI5&gt;0,AI11&gt;0),1,0)</f>
        <v>1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0</v>
      </c>
      <c r="AN15" s="12">
        <f t="shared" si="11"/>
        <v>1</v>
      </c>
      <c r="AO15" s="12">
        <f t="shared" si="11"/>
        <v>0</v>
      </c>
      <c r="AP15" s="12">
        <f t="shared" si="11"/>
        <v>1</v>
      </c>
      <c r="AQ15" s="12">
        <f t="shared" si="11"/>
        <v>1</v>
      </c>
      <c r="AR15" s="12">
        <f t="shared" si="11"/>
        <v>0</v>
      </c>
      <c r="AS15" s="12">
        <f t="shared" si="11"/>
        <v>0</v>
      </c>
      <c r="AT15" s="12">
        <f t="shared" si="11"/>
        <v>0</v>
      </c>
      <c r="AU15" s="12">
        <f t="shared" si="11"/>
        <v>1</v>
      </c>
      <c r="AV15" s="12">
        <f t="shared" si="11"/>
        <v>0</v>
      </c>
      <c r="AW15" s="12">
        <f t="shared" si="11"/>
        <v>0</v>
      </c>
      <c r="AX15" s="12">
        <f t="shared" si="11"/>
        <v>0</v>
      </c>
      <c r="AY15" s="12">
        <f t="shared" si="11"/>
        <v>1</v>
      </c>
      <c r="AZ15" s="12">
        <f t="shared" si="11"/>
        <v>1</v>
      </c>
      <c r="BA15" s="12">
        <f t="shared" si="11"/>
        <v>1</v>
      </c>
      <c r="BB15" s="12">
        <f t="shared" si="11"/>
        <v>1</v>
      </c>
      <c r="BC15" s="12">
        <f t="shared" si="11"/>
        <v>1</v>
      </c>
      <c r="BD15" s="12">
        <f t="shared" si="11"/>
        <v>0</v>
      </c>
      <c r="BE15" s="12">
        <f t="shared" si="11"/>
        <v>1</v>
      </c>
      <c r="BF15" s="12">
        <f t="shared" si="11"/>
        <v>1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0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1</v>
      </c>
      <c r="BX15" s="12">
        <f t="shared" si="12"/>
        <v>1</v>
      </c>
      <c r="BY15" s="12">
        <f t="shared" si="12"/>
        <v>1</v>
      </c>
      <c r="BZ15" s="12">
        <f t="shared" si="12"/>
        <v>0</v>
      </c>
      <c r="CA15" s="12">
        <f t="shared" si="12"/>
        <v>1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1</v>
      </c>
      <c r="CF15" s="12">
        <f t="shared" si="12"/>
        <v>1</v>
      </c>
      <c r="CG15" s="12">
        <f t="shared" si="12"/>
        <v>1</v>
      </c>
      <c r="CH15" s="12">
        <f t="shared" si="12"/>
        <v>1</v>
      </c>
      <c r="CI15" s="12">
        <f t="shared" si="12"/>
        <v>0</v>
      </c>
      <c r="CJ15" s="12">
        <f t="shared" si="12"/>
        <v>0</v>
      </c>
      <c r="CK15" s="12">
        <f t="shared" si="12"/>
        <v>0</v>
      </c>
      <c r="CL15" s="12">
        <f t="shared" si="12"/>
        <v>1</v>
      </c>
      <c r="CM15" s="12">
        <f t="shared" si="12"/>
        <v>1</v>
      </c>
      <c r="CN15" s="12">
        <f t="shared" si="12"/>
        <v>1</v>
      </c>
      <c r="CO15" s="12">
        <f t="shared" si="12"/>
        <v>1</v>
      </c>
      <c r="CP15" s="12">
        <f t="shared" si="12"/>
        <v>1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1</v>
      </c>
      <c r="CU15" s="12">
        <f t="shared" ref="CU15:DZ15" si="13">IF(AND(CU5&gt;0,CU11&gt;0),1,0)</f>
        <v>1</v>
      </c>
      <c r="CV15" s="12">
        <f t="shared" si="13"/>
        <v>0</v>
      </c>
      <c r="CW15" s="12">
        <f t="shared" si="13"/>
        <v>0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1</v>
      </c>
      <c r="DC15" s="12">
        <f t="shared" si="13"/>
        <v>1</v>
      </c>
      <c r="DD15" s="12">
        <f t="shared" si="13"/>
        <v>1</v>
      </c>
      <c r="DE15" s="12">
        <f t="shared" si="13"/>
        <v>0</v>
      </c>
      <c r="DF15" s="12">
        <f t="shared" si="13"/>
        <v>1</v>
      </c>
      <c r="DG15" s="12">
        <f t="shared" si="13"/>
        <v>0</v>
      </c>
      <c r="DH15" s="12">
        <f t="shared" si="13"/>
        <v>0</v>
      </c>
      <c r="DI15" s="12">
        <f t="shared" si="13"/>
        <v>0</v>
      </c>
      <c r="DJ15" s="12">
        <f t="shared" si="13"/>
        <v>0</v>
      </c>
      <c r="DK15" s="12">
        <f t="shared" si="13"/>
        <v>0</v>
      </c>
      <c r="DL15" s="12">
        <f t="shared" si="13"/>
        <v>1</v>
      </c>
      <c r="DM15" s="12">
        <f t="shared" si="13"/>
        <v>0</v>
      </c>
      <c r="DN15" s="12">
        <f t="shared" si="13"/>
        <v>0</v>
      </c>
      <c r="DO15" s="12">
        <f t="shared" si="13"/>
        <v>1</v>
      </c>
      <c r="DP15" s="12">
        <f t="shared" si="13"/>
        <v>1</v>
      </c>
      <c r="DQ15" s="12">
        <f t="shared" si="13"/>
        <v>1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1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1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0</v>
      </c>
      <c r="EK15" s="12">
        <f t="shared" si="14"/>
        <v>0</v>
      </c>
      <c r="EL15" s="12">
        <f t="shared" si="14"/>
        <v>0</v>
      </c>
    </row>
    <row r="16" spans="1:142" ht="25" customHeight="1" x14ac:dyDescent="0.55000000000000004">
      <c r="B16" s="16" t="s">
        <v>287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166</v>
      </c>
    </row>
    <row r="17" spans="1:142" ht="25" customHeight="1" x14ac:dyDescent="0.55000000000000004">
      <c r="A17" s="12" t="s">
        <v>289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1</v>
      </c>
      <c r="I17" s="12">
        <f t="shared" si="15"/>
        <v>1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0</v>
      </c>
      <c r="N17" s="12">
        <f t="shared" si="15"/>
        <v>0</v>
      </c>
      <c r="O17" s="12">
        <f t="shared" si="15"/>
        <v>1</v>
      </c>
      <c r="P17" s="12">
        <f t="shared" si="15"/>
        <v>1</v>
      </c>
      <c r="Q17" s="12">
        <f t="shared" si="15"/>
        <v>0</v>
      </c>
      <c r="R17" s="12">
        <f t="shared" si="15"/>
        <v>1</v>
      </c>
      <c r="S17" s="12">
        <f t="shared" si="15"/>
        <v>0</v>
      </c>
      <c r="T17" s="12">
        <f t="shared" si="15"/>
        <v>0</v>
      </c>
      <c r="U17" s="12">
        <f t="shared" si="15"/>
        <v>0</v>
      </c>
      <c r="V17" s="12">
        <f t="shared" si="15"/>
        <v>0</v>
      </c>
      <c r="W17" s="12">
        <f t="shared" si="15"/>
        <v>1</v>
      </c>
      <c r="X17" s="12">
        <f t="shared" si="15"/>
        <v>1</v>
      </c>
      <c r="Y17" s="12">
        <f t="shared" si="15"/>
        <v>0</v>
      </c>
      <c r="Z17" s="12">
        <f t="shared" si="15"/>
        <v>0</v>
      </c>
      <c r="AA17" s="12">
        <f t="shared" si="15"/>
        <v>1</v>
      </c>
      <c r="AB17" s="12">
        <f t="shared" si="15"/>
        <v>1</v>
      </c>
      <c r="AC17" s="12">
        <f t="shared" si="15"/>
        <v>0</v>
      </c>
      <c r="AD17" s="12">
        <f t="shared" si="15"/>
        <v>0</v>
      </c>
      <c r="AE17" s="12">
        <f t="shared" si="15"/>
        <v>0</v>
      </c>
      <c r="AF17" s="12">
        <f t="shared" si="15"/>
        <v>1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1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1</v>
      </c>
      <c r="AO17" s="12">
        <f t="shared" si="16"/>
        <v>0</v>
      </c>
      <c r="AP17" s="12">
        <f t="shared" si="16"/>
        <v>0</v>
      </c>
      <c r="AQ17" s="12">
        <f t="shared" si="16"/>
        <v>0</v>
      </c>
      <c r="AR17" s="12">
        <f t="shared" si="16"/>
        <v>0</v>
      </c>
      <c r="AS17" s="12">
        <f t="shared" si="16"/>
        <v>0</v>
      </c>
      <c r="AT17" s="12">
        <f t="shared" si="16"/>
        <v>1</v>
      </c>
      <c r="AU17" s="12">
        <f t="shared" si="16"/>
        <v>1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1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1</v>
      </c>
      <c r="BF17" s="12">
        <f t="shared" si="16"/>
        <v>1</v>
      </c>
      <c r="BG17" s="12">
        <f t="shared" si="16"/>
        <v>0</v>
      </c>
      <c r="BH17" s="12">
        <f t="shared" si="16"/>
        <v>1</v>
      </c>
      <c r="BI17" s="12">
        <f t="shared" si="16"/>
        <v>1</v>
      </c>
      <c r="BJ17" s="12">
        <f t="shared" si="16"/>
        <v>1</v>
      </c>
      <c r="BK17" s="12">
        <f t="shared" si="16"/>
        <v>0</v>
      </c>
      <c r="BL17" s="12">
        <f t="shared" si="16"/>
        <v>0</v>
      </c>
      <c r="BM17" s="12">
        <f t="shared" si="16"/>
        <v>0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0</v>
      </c>
      <c r="BQ17" s="12">
        <f t="shared" si="17"/>
        <v>0</v>
      </c>
      <c r="BR17" s="12">
        <f t="shared" si="17"/>
        <v>0</v>
      </c>
      <c r="BS17" s="12">
        <f t="shared" si="17"/>
        <v>0</v>
      </c>
      <c r="BT17" s="12">
        <f t="shared" si="17"/>
        <v>0</v>
      </c>
      <c r="BU17" s="12">
        <f t="shared" si="17"/>
        <v>1</v>
      </c>
      <c r="BV17" s="12">
        <f t="shared" si="17"/>
        <v>1</v>
      </c>
      <c r="BW17" s="12">
        <f t="shared" si="17"/>
        <v>1</v>
      </c>
      <c r="BX17" s="12">
        <f t="shared" si="17"/>
        <v>0</v>
      </c>
      <c r="BY17" s="12">
        <f t="shared" si="17"/>
        <v>0</v>
      </c>
      <c r="BZ17" s="12">
        <f t="shared" si="17"/>
        <v>0</v>
      </c>
      <c r="CA17" s="12">
        <f t="shared" si="17"/>
        <v>1</v>
      </c>
      <c r="CB17" s="12">
        <f t="shared" si="17"/>
        <v>1</v>
      </c>
      <c r="CC17" s="12">
        <f t="shared" si="17"/>
        <v>0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0</v>
      </c>
      <c r="CJ17" s="12">
        <f t="shared" si="17"/>
        <v>0</v>
      </c>
      <c r="CK17" s="12">
        <f t="shared" si="17"/>
        <v>1</v>
      </c>
      <c r="CL17" s="12">
        <f t="shared" si="17"/>
        <v>0</v>
      </c>
      <c r="CM17" s="12">
        <f t="shared" si="17"/>
        <v>0</v>
      </c>
      <c r="CN17" s="12">
        <f t="shared" si="17"/>
        <v>0</v>
      </c>
      <c r="CO17" s="12">
        <f t="shared" si="17"/>
        <v>0</v>
      </c>
      <c r="CP17" s="12">
        <f t="shared" si="17"/>
        <v>1</v>
      </c>
      <c r="CQ17" s="12">
        <f t="shared" si="17"/>
        <v>0</v>
      </c>
      <c r="CR17" s="12">
        <f t="shared" si="17"/>
        <v>0</v>
      </c>
      <c r="CS17" s="12">
        <f t="shared" si="17"/>
        <v>0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1</v>
      </c>
      <c r="CY17" s="12">
        <f t="shared" si="18"/>
        <v>0</v>
      </c>
      <c r="CZ17" s="12">
        <f t="shared" si="18"/>
        <v>0</v>
      </c>
      <c r="DA17" s="12">
        <f t="shared" si="18"/>
        <v>0</v>
      </c>
      <c r="DB17" s="12">
        <f t="shared" si="18"/>
        <v>0</v>
      </c>
      <c r="DC17" s="12">
        <f t="shared" si="18"/>
        <v>0</v>
      </c>
      <c r="DD17" s="12">
        <f t="shared" si="18"/>
        <v>1</v>
      </c>
      <c r="DE17" s="12">
        <f t="shared" si="18"/>
        <v>0</v>
      </c>
      <c r="DF17" s="12">
        <f t="shared" si="18"/>
        <v>0</v>
      </c>
      <c r="DG17" s="12">
        <f t="shared" si="18"/>
        <v>0</v>
      </c>
      <c r="DH17" s="12">
        <f t="shared" si="18"/>
        <v>0</v>
      </c>
      <c r="DI17" s="12">
        <f t="shared" si="18"/>
        <v>0</v>
      </c>
      <c r="DJ17" s="12">
        <f t="shared" si="18"/>
        <v>0</v>
      </c>
      <c r="DK17" s="12">
        <f t="shared" si="18"/>
        <v>0</v>
      </c>
      <c r="DL17" s="12">
        <f t="shared" si="18"/>
        <v>0</v>
      </c>
      <c r="DM17" s="12">
        <f t="shared" si="18"/>
        <v>1</v>
      </c>
      <c r="DN17" s="12">
        <f t="shared" si="18"/>
        <v>0</v>
      </c>
      <c r="DO17" s="12">
        <f t="shared" si="18"/>
        <v>1</v>
      </c>
      <c r="DP17" s="12">
        <f t="shared" si="18"/>
        <v>0</v>
      </c>
      <c r="DQ17" s="12">
        <f t="shared" si="18"/>
        <v>0</v>
      </c>
      <c r="DR17" s="12">
        <f t="shared" si="18"/>
        <v>0</v>
      </c>
      <c r="DS17" s="12">
        <f t="shared" si="18"/>
        <v>1</v>
      </c>
      <c r="DT17" s="12">
        <f t="shared" si="18"/>
        <v>0</v>
      </c>
      <c r="DU17" s="12">
        <f t="shared" si="18"/>
        <v>0</v>
      </c>
      <c r="DV17" s="12">
        <f t="shared" si="18"/>
        <v>0</v>
      </c>
      <c r="DW17" s="12">
        <f t="shared" si="18"/>
        <v>1</v>
      </c>
      <c r="DX17" s="12">
        <f t="shared" si="18"/>
        <v>0</v>
      </c>
      <c r="DY17" s="12">
        <f t="shared" si="18"/>
        <v>1</v>
      </c>
      <c r="DZ17" s="12">
        <f t="shared" si="18"/>
        <v>0</v>
      </c>
      <c r="EA17" s="12">
        <f t="shared" ref="EA17:EL17" si="19">IF(AND(EA3&gt;0,EA9&lt;0),1,0)</f>
        <v>0</v>
      </c>
      <c r="EB17" s="12">
        <f t="shared" si="19"/>
        <v>1</v>
      </c>
      <c r="EC17" s="12">
        <f t="shared" si="19"/>
        <v>0</v>
      </c>
      <c r="ED17" s="12">
        <f t="shared" si="19"/>
        <v>0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0</v>
      </c>
      <c r="EI17" s="12">
        <f t="shared" si="19"/>
        <v>0</v>
      </c>
      <c r="EJ17" s="12">
        <f t="shared" si="19"/>
        <v>0</v>
      </c>
      <c r="EK17" s="12">
        <f t="shared" si="19"/>
        <v>0</v>
      </c>
      <c r="EL17" s="12">
        <f t="shared" si="19"/>
        <v>0</v>
      </c>
    </row>
    <row r="18" spans="1:142" ht="25" customHeight="1" x14ac:dyDescent="0.55000000000000004">
      <c r="A18" s="12" t="s">
        <v>290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0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0</v>
      </c>
      <c r="O18" s="12">
        <f t="shared" si="20"/>
        <v>0</v>
      </c>
      <c r="P18" s="12">
        <f t="shared" si="20"/>
        <v>0</v>
      </c>
      <c r="Q18" s="12">
        <f t="shared" si="20"/>
        <v>0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0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0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0</v>
      </c>
      <c r="AK18" s="12">
        <f t="shared" si="21"/>
        <v>0</v>
      </c>
      <c r="AL18" s="12">
        <f t="shared" si="21"/>
        <v>0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0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0</v>
      </c>
      <c r="BR18" s="12">
        <f t="shared" si="22"/>
        <v>0</v>
      </c>
      <c r="BS18" s="12">
        <f t="shared" si="22"/>
        <v>0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0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0</v>
      </c>
      <c r="CP18" s="12">
        <f t="shared" si="22"/>
        <v>1</v>
      </c>
      <c r="CQ18" s="12">
        <f t="shared" si="22"/>
        <v>0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0</v>
      </c>
      <c r="CW18" s="12">
        <f t="shared" si="23"/>
        <v>0</v>
      </c>
      <c r="CX18" s="12">
        <f t="shared" si="23"/>
        <v>0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0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0</v>
      </c>
      <c r="DS18" s="12">
        <f t="shared" si="23"/>
        <v>0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0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0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0</v>
      </c>
      <c r="D19" s="12">
        <f t="shared" si="25"/>
        <v>0</v>
      </c>
      <c r="E19" s="12">
        <f t="shared" si="25"/>
        <v>1</v>
      </c>
      <c r="F19" s="12">
        <f t="shared" si="25"/>
        <v>1</v>
      </c>
      <c r="G19" s="12">
        <f t="shared" si="25"/>
        <v>1</v>
      </c>
      <c r="H19" s="12">
        <f t="shared" si="25"/>
        <v>1</v>
      </c>
      <c r="I19" s="12">
        <f t="shared" si="25"/>
        <v>0</v>
      </c>
      <c r="J19" s="12">
        <f t="shared" si="25"/>
        <v>0</v>
      </c>
      <c r="K19" s="12">
        <f t="shared" si="25"/>
        <v>0</v>
      </c>
      <c r="L19" s="12">
        <f t="shared" si="25"/>
        <v>1</v>
      </c>
      <c r="M19" s="12">
        <f t="shared" si="25"/>
        <v>1</v>
      </c>
      <c r="N19" s="12">
        <f t="shared" si="25"/>
        <v>0</v>
      </c>
      <c r="O19" s="12">
        <f t="shared" si="25"/>
        <v>0</v>
      </c>
      <c r="P19" s="12">
        <f t="shared" si="25"/>
        <v>1</v>
      </c>
      <c r="Q19" s="12">
        <f t="shared" si="25"/>
        <v>1</v>
      </c>
      <c r="R19" s="12">
        <f t="shared" si="25"/>
        <v>0</v>
      </c>
      <c r="S19" s="12">
        <f t="shared" si="25"/>
        <v>0</v>
      </c>
      <c r="T19" s="12">
        <f t="shared" si="25"/>
        <v>1</v>
      </c>
      <c r="U19" s="12">
        <f t="shared" si="25"/>
        <v>1</v>
      </c>
      <c r="V19" s="12">
        <f t="shared" si="25"/>
        <v>0</v>
      </c>
      <c r="W19" s="12">
        <f t="shared" si="25"/>
        <v>0</v>
      </c>
      <c r="X19" s="12">
        <f t="shared" si="25"/>
        <v>1</v>
      </c>
      <c r="Y19" s="12">
        <f t="shared" si="25"/>
        <v>1</v>
      </c>
      <c r="Z19" s="12">
        <f t="shared" si="25"/>
        <v>1</v>
      </c>
      <c r="AA19" s="12">
        <f t="shared" si="25"/>
        <v>0</v>
      </c>
      <c r="AB19" s="12">
        <f t="shared" si="25"/>
        <v>1</v>
      </c>
      <c r="AC19" s="12">
        <f t="shared" si="25"/>
        <v>1</v>
      </c>
      <c r="AD19" s="12">
        <f t="shared" si="25"/>
        <v>0</v>
      </c>
      <c r="AE19" s="12">
        <f t="shared" si="25"/>
        <v>1</v>
      </c>
      <c r="AF19" s="12">
        <f t="shared" si="25"/>
        <v>1</v>
      </c>
      <c r="AG19" s="12">
        <f t="shared" si="25"/>
        <v>0</v>
      </c>
      <c r="AH19" s="12">
        <f t="shared" si="25"/>
        <v>1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1</v>
      </c>
      <c r="AL19" s="12">
        <f t="shared" si="26"/>
        <v>1</v>
      </c>
      <c r="AM19" s="12">
        <f t="shared" si="26"/>
        <v>1</v>
      </c>
      <c r="AN19" s="12">
        <f t="shared" si="26"/>
        <v>0</v>
      </c>
      <c r="AO19" s="12">
        <f t="shared" si="26"/>
        <v>1</v>
      </c>
      <c r="AP19" s="12">
        <f t="shared" si="26"/>
        <v>0</v>
      </c>
      <c r="AQ19" s="12">
        <f t="shared" si="26"/>
        <v>0</v>
      </c>
      <c r="AR19" s="12">
        <f t="shared" si="26"/>
        <v>1</v>
      </c>
      <c r="AS19" s="12">
        <f t="shared" si="26"/>
        <v>1</v>
      </c>
      <c r="AT19" s="12">
        <f t="shared" si="26"/>
        <v>1</v>
      </c>
      <c r="AU19" s="12">
        <f t="shared" si="26"/>
        <v>0</v>
      </c>
      <c r="AV19" s="12">
        <f t="shared" si="26"/>
        <v>1</v>
      </c>
      <c r="AW19" s="12">
        <f t="shared" si="26"/>
        <v>1</v>
      </c>
      <c r="AX19" s="12">
        <f t="shared" si="26"/>
        <v>1</v>
      </c>
      <c r="AY19" s="12">
        <f t="shared" si="26"/>
        <v>0</v>
      </c>
      <c r="AZ19" s="12">
        <f t="shared" si="26"/>
        <v>0</v>
      </c>
      <c r="BA19" s="12">
        <f t="shared" si="26"/>
        <v>0</v>
      </c>
      <c r="BB19" s="12">
        <f t="shared" si="26"/>
        <v>0</v>
      </c>
      <c r="BC19" s="12">
        <f t="shared" si="26"/>
        <v>0</v>
      </c>
      <c r="BD19" s="12">
        <f t="shared" si="26"/>
        <v>0</v>
      </c>
      <c r="BE19" s="12">
        <f t="shared" si="26"/>
        <v>0</v>
      </c>
      <c r="BF19" s="12">
        <f t="shared" si="26"/>
        <v>0</v>
      </c>
      <c r="BG19" s="12">
        <f t="shared" si="26"/>
        <v>1</v>
      </c>
      <c r="BH19" s="12">
        <f t="shared" si="26"/>
        <v>0</v>
      </c>
      <c r="BI19" s="12">
        <f t="shared" si="26"/>
        <v>0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1</v>
      </c>
      <c r="BR19" s="12">
        <f t="shared" si="27"/>
        <v>1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1</v>
      </c>
      <c r="BW19" s="12">
        <f t="shared" si="27"/>
        <v>0</v>
      </c>
      <c r="BX19" s="12">
        <f t="shared" si="27"/>
        <v>0</v>
      </c>
      <c r="BY19" s="12">
        <f t="shared" si="27"/>
        <v>0</v>
      </c>
      <c r="BZ19" s="12">
        <f t="shared" si="27"/>
        <v>1</v>
      </c>
      <c r="CA19" s="12">
        <f t="shared" si="27"/>
        <v>0</v>
      </c>
      <c r="CB19" s="12">
        <f t="shared" si="27"/>
        <v>1</v>
      </c>
      <c r="CC19" s="12">
        <f t="shared" si="27"/>
        <v>1</v>
      </c>
      <c r="CD19" s="12">
        <f t="shared" si="27"/>
        <v>1</v>
      </c>
      <c r="CE19" s="12">
        <f t="shared" si="27"/>
        <v>0</v>
      </c>
      <c r="CF19" s="12">
        <f t="shared" si="27"/>
        <v>0</v>
      </c>
      <c r="CG19" s="12">
        <f t="shared" si="27"/>
        <v>0</v>
      </c>
      <c r="CH19" s="12">
        <f t="shared" si="27"/>
        <v>0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0</v>
      </c>
      <c r="CN19" s="12">
        <f t="shared" si="27"/>
        <v>0</v>
      </c>
      <c r="CO19" s="12">
        <f t="shared" si="27"/>
        <v>0</v>
      </c>
      <c r="CP19" s="12">
        <f t="shared" si="27"/>
        <v>0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0</v>
      </c>
      <c r="CU19" s="12">
        <f t="shared" ref="CU19:DZ19" si="28">IF(AND(CU5&gt;0,CU11&lt;0),1,0)</f>
        <v>0</v>
      </c>
      <c r="CV19" s="12">
        <f t="shared" si="28"/>
        <v>1</v>
      </c>
      <c r="CW19" s="12">
        <f t="shared" si="28"/>
        <v>0</v>
      </c>
      <c r="CX19" s="12">
        <f t="shared" si="28"/>
        <v>0</v>
      </c>
      <c r="CY19" s="12">
        <f t="shared" si="28"/>
        <v>0</v>
      </c>
      <c r="CZ19" s="12">
        <f t="shared" si="28"/>
        <v>0</v>
      </c>
      <c r="DA19" s="12">
        <f t="shared" si="28"/>
        <v>0</v>
      </c>
      <c r="DB19" s="12">
        <f t="shared" si="28"/>
        <v>0</v>
      </c>
      <c r="DC19" s="12">
        <f t="shared" si="28"/>
        <v>0</v>
      </c>
      <c r="DD19" s="12">
        <f t="shared" si="28"/>
        <v>0</v>
      </c>
      <c r="DE19" s="12">
        <f t="shared" si="28"/>
        <v>1</v>
      </c>
      <c r="DF19" s="12">
        <f t="shared" si="28"/>
        <v>0</v>
      </c>
      <c r="DG19" s="12">
        <f t="shared" si="28"/>
        <v>0</v>
      </c>
      <c r="DH19" s="12">
        <f t="shared" si="28"/>
        <v>1</v>
      </c>
      <c r="DI19" s="12">
        <f t="shared" si="28"/>
        <v>0</v>
      </c>
      <c r="DJ19" s="12">
        <f t="shared" si="28"/>
        <v>1</v>
      </c>
      <c r="DK19" s="12">
        <f t="shared" si="28"/>
        <v>1</v>
      </c>
      <c r="DL19" s="12">
        <f t="shared" si="28"/>
        <v>0</v>
      </c>
      <c r="DM19" s="12">
        <f t="shared" si="28"/>
        <v>1</v>
      </c>
      <c r="DN19" s="12">
        <f t="shared" si="28"/>
        <v>1</v>
      </c>
      <c r="DO19" s="12">
        <f t="shared" si="28"/>
        <v>0</v>
      </c>
      <c r="DP19" s="12">
        <f t="shared" si="28"/>
        <v>0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0</v>
      </c>
      <c r="EB19" s="12">
        <f t="shared" si="29"/>
        <v>1</v>
      </c>
      <c r="EC19" s="12">
        <f t="shared" si="29"/>
        <v>0</v>
      </c>
      <c r="ED19" s="12">
        <f t="shared" si="29"/>
        <v>0</v>
      </c>
      <c r="EE19" s="12">
        <f t="shared" si="29"/>
        <v>1</v>
      </c>
      <c r="EF19" s="12">
        <f t="shared" si="29"/>
        <v>0</v>
      </c>
      <c r="EG19" s="12">
        <f t="shared" si="29"/>
        <v>0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1</v>
      </c>
    </row>
    <row r="20" spans="1:142" ht="25" customHeight="1" x14ac:dyDescent="0.55000000000000004">
      <c r="B20" s="16" t="s">
        <v>289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93</v>
      </c>
    </row>
    <row r="21" spans="1:142" ht="25" customHeight="1" x14ac:dyDescent="0.55000000000000004">
      <c r="A21" s="12" t="s">
        <v>291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0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0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0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0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292</v>
      </c>
      <c r="B22" s="11" t="s">
        <v>144</v>
      </c>
      <c r="C22" s="12">
        <f t="shared" ref="C22:AH22" si="35">IF(AND(C4&lt;0,C10&gt;0),1,0)</f>
        <v>1</v>
      </c>
      <c r="D22" s="12">
        <f t="shared" si="35"/>
        <v>1</v>
      </c>
      <c r="E22" s="12">
        <f t="shared" si="35"/>
        <v>0</v>
      </c>
      <c r="F22" s="12">
        <f t="shared" si="35"/>
        <v>0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0</v>
      </c>
      <c r="K22" s="12">
        <f t="shared" si="35"/>
        <v>0</v>
      </c>
      <c r="L22" s="12">
        <f t="shared" si="35"/>
        <v>1</v>
      </c>
      <c r="M22" s="12">
        <f t="shared" si="35"/>
        <v>0</v>
      </c>
      <c r="N22" s="12">
        <f t="shared" si="35"/>
        <v>1</v>
      </c>
      <c r="O22" s="12">
        <f t="shared" si="35"/>
        <v>0</v>
      </c>
      <c r="P22" s="12">
        <f t="shared" si="35"/>
        <v>1</v>
      </c>
      <c r="Q22" s="12">
        <f t="shared" si="35"/>
        <v>1</v>
      </c>
      <c r="R22" s="12">
        <f t="shared" si="35"/>
        <v>1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0</v>
      </c>
      <c r="W22" s="12">
        <f t="shared" si="35"/>
        <v>0</v>
      </c>
      <c r="X22" s="12">
        <f t="shared" si="35"/>
        <v>0</v>
      </c>
      <c r="Y22" s="12">
        <f t="shared" si="35"/>
        <v>1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1</v>
      </c>
      <c r="AG22" s="12">
        <f t="shared" si="35"/>
        <v>0</v>
      </c>
      <c r="AH22" s="12">
        <f t="shared" si="35"/>
        <v>1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0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1</v>
      </c>
      <c r="AP22" s="12">
        <f t="shared" si="36"/>
        <v>0</v>
      </c>
      <c r="AQ22" s="12">
        <f t="shared" si="36"/>
        <v>0</v>
      </c>
      <c r="AR22" s="12">
        <f t="shared" si="36"/>
        <v>0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1</v>
      </c>
      <c r="AY22" s="12">
        <f t="shared" si="36"/>
        <v>0</v>
      </c>
      <c r="AZ22" s="12">
        <f t="shared" si="36"/>
        <v>0</v>
      </c>
      <c r="BA22" s="12">
        <f t="shared" si="36"/>
        <v>1</v>
      </c>
      <c r="BB22" s="12">
        <f t="shared" si="36"/>
        <v>1</v>
      </c>
      <c r="BC22" s="12">
        <f t="shared" si="36"/>
        <v>0</v>
      </c>
      <c r="BD22" s="12">
        <f t="shared" si="36"/>
        <v>0</v>
      </c>
      <c r="BE22" s="12">
        <f t="shared" si="36"/>
        <v>0</v>
      </c>
      <c r="BF22" s="12">
        <f t="shared" si="36"/>
        <v>0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0</v>
      </c>
      <c r="BL22" s="12">
        <f t="shared" si="36"/>
        <v>0</v>
      </c>
      <c r="BM22" s="12">
        <f t="shared" si="36"/>
        <v>0</v>
      </c>
      <c r="BN22" s="12">
        <f t="shared" si="36"/>
        <v>1</v>
      </c>
      <c r="BO22" s="12">
        <f t="shared" ref="BO22:CT22" si="37">IF(AND(BO4&lt;0,BO10&gt;0),1,0)</f>
        <v>1</v>
      </c>
      <c r="BP22" s="12">
        <f t="shared" si="37"/>
        <v>0</v>
      </c>
      <c r="BQ22" s="12">
        <f t="shared" si="37"/>
        <v>1</v>
      </c>
      <c r="BR22" s="12">
        <f t="shared" si="37"/>
        <v>1</v>
      </c>
      <c r="BS22" s="12">
        <f t="shared" si="37"/>
        <v>1</v>
      </c>
      <c r="BT22" s="12">
        <f t="shared" si="37"/>
        <v>1</v>
      </c>
      <c r="BU22" s="12">
        <f t="shared" si="37"/>
        <v>0</v>
      </c>
      <c r="BV22" s="12">
        <f t="shared" si="37"/>
        <v>1</v>
      </c>
      <c r="BW22" s="12">
        <f t="shared" si="37"/>
        <v>0</v>
      </c>
      <c r="BX22" s="12">
        <f t="shared" si="37"/>
        <v>1</v>
      </c>
      <c r="BY22" s="12">
        <f t="shared" si="37"/>
        <v>0</v>
      </c>
      <c r="BZ22" s="12">
        <f t="shared" si="37"/>
        <v>1</v>
      </c>
      <c r="CA22" s="12">
        <f t="shared" si="37"/>
        <v>0</v>
      </c>
      <c r="CB22" s="12">
        <f t="shared" si="37"/>
        <v>1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0</v>
      </c>
      <c r="CG22" s="12">
        <f t="shared" si="37"/>
        <v>0</v>
      </c>
      <c r="CH22" s="12">
        <f t="shared" si="37"/>
        <v>0</v>
      </c>
      <c r="CI22" s="12">
        <f t="shared" si="37"/>
        <v>0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0</v>
      </c>
      <c r="CN22" s="12">
        <f t="shared" si="37"/>
        <v>0</v>
      </c>
      <c r="CO22" s="12">
        <f t="shared" si="37"/>
        <v>0</v>
      </c>
      <c r="CP22" s="12">
        <f t="shared" si="37"/>
        <v>0</v>
      </c>
      <c r="CQ22" s="12">
        <f t="shared" si="37"/>
        <v>1</v>
      </c>
      <c r="CR22" s="12">
        <f t="shared" si="37"/>
        <v>1</v>
      </c>
      <c r="CS22" s="12">
        <f t="shared" si="37"/>
        <v>1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1</v>
      </c>
      <c r="CX22" s="12">
        <f t="shared" si="38"/>
        <v>0</v>
      </c>
      <c r="CY22" s="12">
        <f t="shared" si="38"/>
        <v>1</v>
      </c>
      <c r="CZ22" s="12">
        <f t="shared" si="38"/>
        <v>0</v>
      </c>
      <c r="DA22" s="12">
        <f t="shared" si="38"/>
        <v>0</v>
      </c>
      <c r="DB22" s="12">
        <f t="shared" si="38"/>
        <v>1</v>
      </c>
      <c r="DC22" s="12">
        <f t="shared" si="38"/>
        <v>0</v>
      </c>
      <c r="DD22" s="12">
        <f t="shared" si="38"/>
        <v>0</v>
      </c>
      <c r="DE22" s="12">
        <f t="shared" si="38"/>
        <v>0</v>
      </c>
      <c r="DF22" s="12">
        <f t="shared" si="38"/>
        <v>0</v>
      </c>
      <c r="DG22" s="12">
        <f t="shared" si="38"/>
        <v>0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0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1</v>
      </c>
      <c r="DP22" s="12">
        <f t="shared" si="38"/>
        <v>0</v>
      </c>
      <c r="DQ22" s="12">
        <f t="shared" si="38"/>
        <v>1</v>
      </c>
      <c r="DR22" s="12">
        <f t="shared" si="38"/>
        <v>1</v>
      </c>
      <c r="DS22" s="12">
        <f t="shared" si="38"/>
        <v>0</v>
      </c>
      <c r="DT22" s="12">
        <f t="shared" si="38"/>
        <v>0</v>
      </c>
      <c r="DU22" s="12">
        <f t="shared" si="38"/>
        <v>0</v>
      </c>
      <c r="DV22" s="12">
        <f t="shared" si="38"/>
        <v>0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1</v>
      </c>
      <c r="EA22" s="12">
        <f t="shared" ref="EA22:EL22" si="39">IF(AND(EA4&lt;0,EA10&gt;0),1,0)</f>
        <v>1</v>
      </c>
      <c r="EB22" s="12">
        <f t="shared" si="39"/>
        <v>0</v>
      </c>
      <c r="EC22" s="12">
        <f t="shared" si="39"/>
        <v>0</v>
      </c>
      <c r="ED22" s="12">
        <f t="shared" si="39"/>
        <v>0</v>
      </c>
      <c r="EE22" s="12">
        <f t="shared" si="39"/>
        <v>0</v>
      </c>
      <c r="EF22" s="12">
        <f t="shared" si="39"/>
        <v>0</v>
      </c>
      <c r="EG22" s="12">
        <f t="shared" si="39"/>
        <v>1</v>
      </c>
      <c r="EH22" s="12">
        <f t="shared" si="39"/>
        <v>0</v>
      </c>
      <c r="EI22" s="12">
        <f t="shared" si="39"/>
        <v>1</v>
      </c>
      <c r="EJ22" s="12">
        <f t="shared" si="39"/>
        <v>1</v>
      </c>
      <c r="EK22" s="12">
        <f t="shared" si="39"/>
        <v>0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0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0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0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0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0</v>
      </c>
      <c r="AI23" s="12">
        <f t="shared" ref="AI23:BN23" si="41">IF(AND(AI5&lt;0,AI11&gt;0),1,0)</f>
        <v>0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0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1</v>
      </c>
      <c r="BI23" s="12">
        <f t="shared" si="41"/>
        <v>1</v>
      </c>
      <c r="BJ23" s="12">
        <f t="shared" si="41"/>
        <v>1</v>
      </c>
      <c r="BK23" s="12">
        <f t="shared" si="41"/>
        <v>1</v>
      </c>
      <c r="BL23" s="12">
        <f t="shared" si="41"/>
        <v>0</v>
      </c>
      <c r="BM23" s="12">
        <f t="shared" si="41"/>
        <v>0</v>
      </c>
      <c r="BN23" s="12">
        <f t="shared" si="41"/>
        <v>1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0</v>
      </c>
      <c r="CB23" s="12">
        <f t="shared" si="42"/>
        <v>0</v>
      </c>
      <c r="CC23" s="12">
        <f t="shared" si="42"/>
        <v>0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1</v>
      </c>
      <c r="CJ23" s="12">
        <f t="shared" si="42"/>
        <v>0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0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0</v>
      </c>
      <c r="CW23" s="12">
        <f t="shared" si="43"/>
        <v>0</v>
      </c>
      <c r="CX23" s="12">
        <f t="shared" si="43"/>
        <v>1</v>
      </c>
      <c r="CY23" s="12">
        <f t="shared" si="43"/>
        <v>0</v>
      </c>
      <c r="CZ23" s="12">
        <f t="shared" si="43"/>
        <v>1</v>
      </c>
      <c r="DA23" s="12">
        <f t="shared" si="43"/>
        <v>0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0</v>
      </c>
      <c r="DG23" s="12">
        <f t="shared" si="43"/>
        <v>0</v>
      </c>
      <c r="DH23" s="12">
        <f t="shared" si="43"/>
        <v>0</v>
      </c>
      <c r="DI23" s="12">
        <f t="shared" si="43"/>
        <v>0</v>
      </c>
      <c r="DJ23" s="12">
        <f t="shared" si="43"/>
        <v>0</v>
      </c>
      <c r="DK23" s="12">
        <f t="shared" si="43"/>
        <v>0</v>
      </c>
      <c r="DL23" s="12">
        <f t="shared" si="43"/>
        <v>0</v>
      </c>
      <c r="DM23" s="12">
        <f t="shared" si="43"/>
        <v>0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0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1</v>
      </c>
      <c r="ED23" s="12">
        <f t="shared" si="44"/>
        <v>0</v>
      </c>
      <c r="EE23" s="12">
        <f t="shared" si="44"/>
        <v>0</v>
      </c>
      <c r="EF23" s="12">
        <f t="shared" si="44"/>
        <v>0</v>
      </c>
      <c r="EG23" s="12">
        <f t="shared" si="44"/>
        <v>1</v>
      </c>
      <c r="EH23" s="12">
        <f t="shared" si="44"/>
        <v>1</v>
      </c>
      <c r="EI23" s="12">
        <f t="shared" si="44"/>
        <v>1</v>
      </c>
      <c r="EJ23" s="12">
        <f t="shared" si="44"/>
        <v>1</v>
      </c>
      <c r="EK23" s="12">
        <f t="shared" si="44"/>
        <v>1</v>
      </c>
      <c r="EL23" s="12">
        <f t="shared" si="44"/>
        <v>0</v>
      </c>
    </row>
    <row r="24" spans="1:142" ht="25" customHeight="1" x14ac:dyDescent="0.55000000000000004">
      <c r="B24" s="16" t="s">
        <v>291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61</v>
      </c>
    </row>
    <row r="25" spans="1:142" ht="25" customHeight="1" x14ac:dyDescent="0.55000000000000004">
      <c r="A25" s="12" t="s">
        <v>293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294</v>
      </c>
      <c r="B26" s="11" t="s">
        <v>144</v>
      </c>
      <c r="C26" s="12">
        <f t="shared" ref="C26:AH26" si="50">IF(AND(C4&lt;0,C10&lt;0),1,0)</f>
        <v>0</v>
      </c>
      <c r="D26" s="12">
        <f t="shared" si="50"/>
        <v>0</v>
      </c>
      <c r="E26" s="12">
        <f t="shared" si="50"/>
        <v>1</v>
      </c>
      <c r="F26" s="12">
        <f t="shared" si="50"/>
        <v>1</v>
      </c>
      <c r="G26" s="12">
        <f t="shared" si="50"/>
        <v>1</v>
      </c>
      <c r="H26" s="12">
        <f t="shared" si="50"/>
        <v>1</v>
      </c>
      <c r="I26" s="12">
        <f t="shared" si="50"/>
        <v>1</v>
      </c>
      <c r="J26" s="12">
        <f t="shared" si="50"/>
        <v>1</v>
      </c>
      <c r="K26" s="12">
        <f t="shared" si="50"/>
        <v>1</v>
      </c>
      <c r="L26" s="12">
        <f t="shared" si="50"/>
        <v>0</v>
      </c>
      <c r="M26" s="12">
        <f t="shared" si="50"/>
        <v>1</v>
      </c>
      <c r="N26" s="12">
        <f t="shared" si="50"/>
        <v>0</v>
      </c>
      <c r="O26" s="12">
        <f t="shared" si="50"/>
        <v>1</v>
      </c>
      <c r="P26" s="12">
        <f t="shared" si="50"/>
        <v>0</v>
      </c>
      <c r="Q26" s="12">
        <f t="shared" si="50"/>
        <v>0</v>
      </c>
      <c r="R26" s="12">
        <f t="shared" si="50"/>
        <v>0</v>
      </c>
      <c r="S26" s="12">
        <f t="shared" si="50"/>
        <v>0</v>
      </c>
      <c r="T26" s="12">
        <f t="shared" si="50"/>
        <v>1</v>
      </c>
      <c r="U26" s="12">
        <f t="shared" si="50"/>
        <v>1</v>
      </c>
      <c r="V26" s="12">
        <f t="shared" si="50"/>
        <v>1</v>
      </c>
      <c r="W26" s="12">
        <f t="shared" si="50"/>
        <v>1</v>
      </c>
      <c r="X26" s="12">
        <f t="shared" si="50"/>
        <v>1</v>
      </c>
      <c r="Y26" s="12">
        <f t="shared" si="50"/>
        <v>0</v>
      </c>
      <c r="Z26" s="12">
        <f t="shared" si="50"/>
        <v>1</v>
      </c>
      <c r="AA26" s="12">
        <f t="shared" si="50"/>
        <v>0</v>
      </c>
      <c r="AB26" s="12">
        <f t="shared" si="50"/>
        <v>1</v>
      </c>
      <c r="AC26" s="12">
        <f t="shared" si="50"/>
        <v>1</v>
      </c>
      <c r="AD26" s="12">
        <f t="shared" si="50"/>
        <v>1</v>
      </c>
      <c r="AE26" s="12">
        <f t="shared" si="50"/>
        <v>1</v>
      </c>
      <c r="AF26" s="12">
        <f t="shared" si="50"/>
        <v>0</v>
      </c>
      <c r="AG26" s="12">
        <f t="shared" si="50"/>
        <v>1</v>
      </c>
      <c r="AH26" s="12">
        <f t="shared" si="50"/>
        <v>0</v>
      </c>
      <c r="AI26" s="12">
        <f t="shared" ref="AI26:BN26" si="51">IF(AND(AI4&lt;0,AI10&lt;0),1,0)</f>
        <v>1</v>
      </c>
      <c r="AJ26" s="12">
        <f t="shared" si="51"/>
        <v>1</v>
      </c>
      <c r="AK26" s="12">
        <f t="shared" si="51"/>
        <v>1</v>
      </c>
      <c r="AL26" s="12">
        <f t="shared" si="51"/>
        <v>1</v>
      </c>
      <c r="AM26" s="12">
        <f t="shared" si="51"/>
        <v>1</v>
      </c>
      <c r="AN26" s="12">
        <f t="shared" si="51"/>
        <v>1</v>
      </c>
      <c r="AO26" s="12">
        <f t="shared" si="51"/>
        <v>0</v>
      </c>
      <c r="AP26" s="12">
        <f t="shared" si="51"/>
        <v>1</v>
      </c>
      <c r="AQ26" s="12">
        <f t="shared" si="51"/>
        <v>1</v>
      </c>
      <c r="AR26" s="12">
        <f t="shared" si="51"/>
        <v>1</v>
      </c>
      <c r="AS26" s="12">
        <f t="shared" si="51"/>
        <v>1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0</v>
      </c>
      <c r="AY26" s="12">
        <f t="shared" si="51"/>
        <v>1</v>
      </c>
      <c r="AZ26" s="12">
        <f t="shared" si="51"/>
        <v>1</v>
      </c>
      <c r="BA26" s="12">
        <f t="shared" si="51"/>
        <v>0</v>
      </c>
      <c r="BB26" s="12">
        <f t="shared" si="51"/>
        <v>0</v>
      </c>
      <c r="BC26" s="12">
        <f t="shared" si="51"/>
        <v>1</v>
      </c>
      <c r="BD26" s="12">
        <f t="shared" si="51"/>
        <v>1</v>
      </c>
      <c r="BE26" s="12">
        <f t="shared" si="51"/>
        <v>1</v>
      </c>
      <c r="BF26" s="12">
        <f t="shared" si="51"/>
        <v>1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1</v>
      </c>
      <c r="BL26" s="12">
        <f t="shared" si="51"/>
        <v>1</v>
      </c>
      <c r="BM26" s="12">
        <f t="shared" si="51"/>
        <v>1</v>
      </c>
      <c r="BN26" s="12">
        <f t="shared" si="51"/>
        <v>0</v>
      </c>
      <c r="BO26" s="12">
        <f t="shared" ref="BO26:CT26" si="52">IF(AND(BO4&lt;0,BO10&lt;0),1,0)</f>
        <v>0</v>
      </c>
      <c r="BP26" s="12">
        <f t="shared" si="52"/>
        <v>1</v>
      </c>
      <c r="BQ26" s="12">
        <f t="shared" si="52"/>
        <v>0</v>
      </c>
      <c r="BR26" s="12">
        <f t="shared" si="52"/>
        <v>0</v>
      </c>
      <c r="BS26" s="12">
        <f t="shared" si="52"/>
        <v>0</v>
      </c>
      <c r="BT26" s="12">
        <f t="shared" si="52"/>
        <v>0</v>
      </c>
      <c r="BU26" s="12">
        <f t="shared" si="52"/>
        <v>1</v>
      </c>
      <c r="BV26" s="12">
        <f t="shared" si="52"/>
        <v>0</v>
      </c>
      <c r="BW26" s="12">
        <f t="shared" si="52"/>
        <v>0</v>
      </c>
      <c r="BX26" s="12">
        <f t="shared" si="52"/>
        <v>0</v>
      </c>
      <c r="BY26" s="12">
        <f t="shared" si="52"/>
        <v>1</v>
      </c>
      <c r="BZ26" s="12">
        <f t="shared" si="52"/>
        <v>0</v>
      </c>
      <c r="CA26" s="12">
        <f t="shared" si="52"/>
        <v>1</v>
      </c>
      <c r="CB26" s="12">
        <f t="shared" si="52"/>
        <v>0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1</v>
      </c>
      <c r="CG26" s="12">
        <f t="shared" si="52"/>
        <v>1</v>
      </c>
      <c r="CH26" s="12">
        <f t="shared" si="52"/>
        <v>1</v>
      </c>
      <c r="CI26" s="12">
        <f t="shared" si="52"/>
        <v>1</v>
      </c>
      <c r="CJ26" s="12">
        <f t="shared" si="52"/>
        <v>1</v>
      </c>
      <c r="CK26" s="12">
        <f t="shared" si="52"/>
        <v>1</v>
      </c>
      <c r="CL26" s="12">
        <f t="shared" si="52"/>
        <v>1</v>
      </c>
      <c r="CM26" s="12">
        <f t="shared" si="52"/>
        <v>1</v>
      </c>
      <c r="CN26" s="12">
        <f t="shared" si="52"/>
        <v>1</v>
      </c>
      <c r="CO26" s="12">
        <f t="shared" si="52"/>
        <v>0</v>
      </c>
      <c r="CP26" s="12">
        <f t="shared" si="52"/>
        <v>0</v>
      </c>
      <c r="CQ26" s="12">
        <f t="shared" si="52"/>
        <v>0</v>
      </c>
      <c r="CR26" s="12">
        <f t="shared" si="52"/>
        <v>0</v>
      </c>
      <c r="CS26" s="12">
        <f t="shared" si="52"/>
        <v>0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1</v>
      </c>
      <c r="CW26" s="12">
        <f t="shared" si="53"/>
        <v>0</v>
      </c>
      <c r="CX26" s="12">
        <f t="shared" si="53"/>
        <v>1</v>
      </c>
      <c r="CY26" s="12">
        <f t="shared" si="53"/>
        <v>0</v>
      </c>
      <c r="CZ26" s="12">
        <f t="shared" si="53"/>
        <v>1</v>
      </c>
      <c r="DA26" s="12">
        <f t="shared" si="53"/>
        <v>1</v>
      </c>
      <c r="DB26" s="12">
        <f t="shared" si="53"/>
        <v>0</v>
      </c>
      <c r="DC26" s="12">
        <f t="shared" si="53"/>
        <v>1</v>
      </c>
      <c r="DD26" s="12">
        <f t="shared" si="53"/>
        <v>1</v>
      </c>
      <c r="DE26" s="12">
        <f t="shared" si="53"/>
        <v>1</v>
      </c>
      <c r="DF26" s="12">
        <f t="shared" si="53"/>
        <v>1</v>
      </c>
      <c r="DG26" s="12">
        <f t="shared" si="53"/>
        <v>1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1</v>
      </c>
      <c r="DL26" s="12">
        <f t="shared" si="53"/>
        <v>1</v>
      </c>
      <c r="DM26" s="12">
        <f t="shared" si="53"/>
        <v>0</v>
      </c>
      <c r="DN26" s="12">
        <f t="shared" si="53"/>
        <v>1</v>
      </c>
      <c r="DO26" s="12">
        <f t="shared" si="53"/>
        <v>0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1</v>
      </c>
      <c r="DT26" s="12">
        <f t="shared" si="53"/>
        <v>1</v>
      </c>
      <c r="DU26" s="12">
        <f t="shared" si="53"/>
        <v>1</v>
      </c>
      <c r="DV26" s="12">
        <f t="shared" si="53"/>
        <v>1</v>
      </c>
      <c r="DW26" s="12">
        <f t="shared" si="53"/>
        <v>0</v>
      </c>
      <c r="DX26" s="12">
        <f t="shared" si="53"/>
        <v>1</v>
      </c>
      <c r="DY26" s="12">
        <f t="shared" si="53"/>
        <v>1</v>
      </c>
      <c r="DZ26" s="12">
        <f t="shared" si="53"/>
        <v>0</v>
      </c>
      <c r="EA26" s="12">
        <f t="shared" ref="EA26:EL26" si="54">IF(AND(EA4&lt;0,EA10&lt;0),1,0)</f>
        <v>0</v>
      </c>
      <c r="EB26" s="12">
        <f t="shared" si="54"/>
        <v>1</v>
      </c>
      <c r="EC26" s="12">
        <f t="shared" si="54"/>
        <v>1</v>
      </c>
      <c r="ED26" s="12">
        <f t="shared" si="54"/>
        <v>1</v>
      </c>
      <c r="EE26" s="12">
        <f t="shared" si="54"/>
        <v>1</v>
      </c>
      <c r="EF26" s="12">
        <f t="shared" si="54"/>
        <v>1</v>
      </c>
      <c r="EG26" s="12">
        <f t="shared" si="54"/>
        <v>0</v>
      </c>
      <c r="EH26" s="12">
        <f t="shared" si="54"/>
        <v>1</v>
      </c>
      <c r="EI26" s="12">
        <f t="shared" si="54"/>
        <v>0</v>
      </c>
      <c r="EJ26" s="12">
        <f t="shared" si="54"/>
        <v>0</v>
      </c>
      <c r="EK26" s="12">
        <f t="shared" si="54"/>
        <v>1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0</v>
      </c>
      <c r="K27" s="12">
        <f t="shared" si="55"/>
        <v>0</v>
      </c>
      <c r="L27" s="12">
        <f t="shared" si="55"/>
        <v>0</v>
      </c>
      <c r="M27" s="12">
        <f t="shared" si="55"/>
        <v>0</v>
      </c>
      <c r="N27" s="12">
        <f t="shared" si="55"/>
        <v>0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0</v>
      </c>
      <c r="AA27" s="12">
        <f t="shared" si="55"/>
        <v>0</v>
      </c>
      <c r="AB27" s="12">
        <f t="shared" si="55"/>
        <v>0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0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0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0</v>
      </c>
      <c r="BA27" s="12">
        <f t="shared" si="56"/>
        <v>0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0</v>
      </c>
      <c r="BG27" s="12">
        <f t="shared" si="56"/>
        <v>0</v>
      </c>
      <c r="BH27" s="12">
        <f t="shared" si="56"/>
        <v>0</v>
      </c>
      <c r="BI27" s="12">
        <f t="shared" si="56"/>
        <v>0</v>
      </c>
      <c r="BJ27" s="12">
        <f t="shared" si="56"/>
        <v>0</v>
      </c>
      <c r="BK27" s="12">
        <f t="shared" si="56"/>
        <v>0</v>
      </c>
      <c r="BL27" s="12">
        <f t="shared" si="56"/>
        <v>1</v>
      </c>
      <c r="BM27" s="12">
        <f t="shared" si="56"/>
        <v>1</v>
      </c>
      <c r="BN27" s="12">
        <f t="shared" si="56"/>
        <v>0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0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0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0</v>
      </c>
      <c r="CF27" s="12">
        <f t="shared" si="57"/>
        <v>0</v>
      </c>
      <c r="CG27" s="12">
        <f t="shared" si="57"/>
        <v>0</v>
      </c>
      <c r="CH27" s="12">
        <f t="shared" si="57"/>
        <v>0</v>
      </c>
      <c r="CI27" s="12">
        <f t="shared" si="57"/>
        <v>0</v>
      </c>
      <c r="CJ27" s="12">
        <f t="shared" si="57"/>
        <v>1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1</v>
      </c>
      <c r="CT27" s="12">
        <f t="shared" si="57"/>
        <v>0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1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1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0</v>
      </c>
      <c r="ED27" s="12">
        <f t="shared" si="59"/>
        <v>1</v>
      </c>
      <c r="EE27" s="12">
        <f t="shared" si="59"/>
        <v>0</v>
      </c>
      <c r="EF27" s="12">
        <f t="shared" si="59"/>
        <v>0</v>
      </c>
      <c r="EG27" s="12">
        <f t="shared" si="59"/>
        <v>0</v>
      </c>
      <c r="EH27" s="12">
        <f t="shared" si="59"/>
        <v>0</v>
      </c>
      <c r="EI27" s="12">
        <f t="shared" si="59"/>
        <v>0</v>
      </c>
      <c r="EJ27" s="12">
        <f t="shared" si="59"/>
        <v>0</v>
      </c>
      <c r="EK27" s="12">
        <f t="shared" si="59"/>
        <v>0</v>
      </c>
      <c r="EL27" s="12">
        <f t="shared" si="59"/>
        <v>0</v>
      </c>
    </row>
    <row r="28" spans="1:142" ht="25" customHeight="1" x14ac:dyDescent="0.55000000000000004">
      <c r="B28" s="16" t="s">
        <v>293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100</v>
      </c>
    </row>
    <row r="30" spans="1:142" ht="25" customHeight="1" x14ac:dyDescent="0.55000000000000004">
      <c r="A30" s="12" t="s">
        <v>295</v>
      </c>
      <c r="B30" s="12" t="s">
        <v>296</v>
      </c>
      <c r="C30" s="15">
        <f>(C16+C28)/(C16+C28+C20+C24)</f>
        <v>0.6333333333333333</v>
      </c>
    </row>
    <row r="31" spans="1:142" ht="25" customHeight="1" x14ac:dyDescent="0.55000000000000004">
      <c r="A31" s="12" t="s">
        <v>297</v>
      </c>
      <c r="B31" s="12" t="s">
        <v>298</v>
      </c>
      <c r="C31" s="15">
        <f>C16/(C16+C20)</f>
        <v>0.64092664092664098</v>
      </c>
    </row>
    <row r="32" spans="1:142" ht="25" customHeight="1" x14ac:dyDescent="0.55000000000000004">
      <c r="A32" s="12" t="s">
        <v>299</v>
      </c>
      <c r="B32" s="12" t="s">
        <v>300</v>
      </c>
      <c r="C32" s="15">
        <f>C16/(C16+C24)</f>
        <v>0.7312775330396476</v>
      </c>
    </row>
    <row r="33" spans="1:3" ht="25" customHeight="1" x14ac:dyDescent="0.55000000000000004">
      <c r="A33" s="12" t="s">
        <v>301</v>
      </c>
      <c r="B33" s="12" t="s">
        <v>302</v>
      </c>
      <c r="C33" s="15">
        <f>2*(C31*C32)/(C31+C32)</f>
        <v>0.68312757201646102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2026-01-03T05:59:20Z</dcterms:modified>
</cp:coreProperties>
</file>