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真實IC" sheetId="1" state="visible" r:id="rId1"/>
    <sheet name="勝率" sheetId="2" state="visible" r:id="rId2"/>
    <sheet name="累積報酬" sheetId="3" state="visible" r:id="rId3"/>
    <sheet name="畫圖0" sheetId="4" state="hidden" r:id="rId4"/>
    <sheet name="畫圖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6">
    <xf numFmtId="0" fontId="0" fillId="0" borderId="0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pivotButton="0" quotePrefix="0" xfId="0"/>
    <xf numFmtId="0" fontId="0" fillId="3" borderId="0" pivotButton="0" quotePrefix="0" xfId="0"/>
    <xf numFmtId="0" fontId="0" fillId="3" borderId="1" applyAlignment="1" pivotButton="0" quotePrefix="0" xfId="0">
      <alignment vertical="center"/>
    </xf>
    <xf numFmtId="0" fontId="0" fillId="3" borderId="1" pivotButton="0" quotePrefix="0" xfId="0"/>
    <xf numFmtId="0" fontId="0" fillId="2" borderId="1" applyAlignment="1" pivotButton="0" quotePrefix="0" xfId="0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164" fontId="0" fillId="0" borderId="1" pivotButton="0" quotePrefix="0" xfId="1"/>
  </cellXfs>
  <cellStyles count="2">
    <cellStyle name="一般" xfId="0" builtinId="0"/>
    <cellStyle name="百分比" xfId="1" builtinId="5"/>
  </cellStyles>
  <dxfs count="5"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chartsheet" Target="/xl/chartsheets/sheet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 lang="zh-TW" altLang="en-US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05090481769501"/>
          <y val="0.08846471126819648"/>
          <w val="0.9347778005902054"/>
          <h val="0.7817441223756914"/>
        </manualLayout>
      </layout>
      <lineChart>
        <grouping val="standard"/>
        <varyColors val="0"/>
        <ser>
          <idx val="0"/>
          <order val="0"/>
          <tx>
            <strRef>
              <f>畫圖0!$B$12</f>
              <strCache>
                <ptCount val="1"/>
                <pt idx="0">
                  <v>10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畫圖0!$C$12:$EL$12</f>
              <numCache>
                <formatCode>General</formatCode>
                <ptCount val="140"/>
                <pt idx="0">
                  <v>0.09819950192441131</v>
                </pt>
                <pt idx="1">
                  <v>0.1263874452100658</v>
                </pt>
                <pt idx="2">
                  <v>0.1330671791605036</v>
                </pt>
                <pt idx="3">
                  <v>0.1465040410015473</v>
                </pt>
                <pt idx="4">
                  <v>0.1517545984893184</v>
                </pt>
                <pt idx="5">
                  <v>0.1611155091778467</v>
                </pt>
                <pt idx="6">
                  <v>0.1145035450875938</v>
                </pt>
                <pt idx="7">
                  <v>0.05782188549806604</v>
                </pt>
                <pt idx="8">
                  <v>0.05167011968130676</v>
                </pt>
                <pt idx="9">
                  <v>0.0363354742358081</v>
                </pt>
                <pt idx="10">
                  <v>0.01363219734300931</v>
                </pt>
                <pt idx="11">
                  <v>-0.03100519733199436</v>
                </pt>
                <pt idx="12">
                  <v>-0.001556208834805919</v>
                </pt>
                <pt idx="13">
                  <v>-0.01785617316825971</v>
                </pt>
                <pt idx="14">
                  <v>-0.04009541117293951</v>
                </pt>
                <pt idx="15">
                  <v>-0.04182053851379344</v>
                </pt>
                <pt idx="16">
                  <v>-0.1061580450257797</v>
                </pt>
                <pt idx="17">
                  <v>-0.1462630841215889</v>
                </pt>
                <pt idx="18">
                  <v>-0.1566150578318278</v>
                </pt>
                <pt idx="19">
                  <v>-0.111633412391174</v>
                </pt>
                <pt idx="20">
                  <v>-0.1209422765009331</v>
                </pt>
                <pt idx="21">
                  <v>-0.1671525170112178</v>
                </pt>
                <pt idx="22">
                  <v>-0.1996308975974755</v>
                </pt>
                <pt idx="23">
                  <v>-0.2571609936755894</v>
                </pt>
                <pt idx="24">
                  <v>-0.2900692313818219</v>
                </pt>
                <pt idx="25">
                  <v>-0.3211710255342081</v>
                </pt>
                <pt idx="26">
                  <v>-0.358423451478444</v>
                </pt>
                <pt idx="27">
                  <v>-0.3429290903927238</v>
                </pt>
                <pt idx="28">
                  <v>-0.3809326994951076</v>
                </pt>
                <pt idx="29">
                  <v>-0.4153378106044411</v>
                </pt>
                <pt idx="30">
                  <v>-0.4529949632302757</v>
                </pt>
                <pt idx="31">
                  <v>-0.4358447678303289</v>
                </pt>
                <pt idx="32">
                  <v>-0.4196856450570978</v>
                </pt>
                <pt idx="33">
                  <v>-0.4385881324037757</v>
                </pt>
                <pt idx="34">
                  <v>-0.4797028256565646</v>
                </pt>
                <pt idx="35">
                  <v>-0.4893268155313428</v>
                </pt>
                <pt idx="36">
                  <v>-0.4638908201118093</v>
                </pt>
                <pt idx="37">
                  <v>-0.4040386289085594</v>
                </pt>
                <pt idx="38">
                  <v>-0.4056707723103117</v>
                </pt>
                <pt idx="39">
                  <v>-0.4272103205722269</v>
                </pt>
                <pt idx="40">
                  <v>-0.4199496076034928</v>
                </pt>
                <pt idx="41">
                  <v>-0.3986729058702688</v>
                </pt>
                <pt idx="42">
                  <v>-0.3820677573044632</v>
                </pt>
                <pt idx="43">
                  <v>-0.3718915491603746</v>
                </pt>
                <pt idx="44">
                  <v>-0.4035352791961939</v>
                </pt>
                <pt idx="45">
                  <v>-0.4283663067551097</v>
                </pt>
                <pt idx="46">
                  <v>-0.4337758997084616</v>
                </pt>
                <pt idx="47">
                  <v>-0.4842018644517538</v>
                </pt>
                <pt idx="48">
                  <v>-0.4634964748174416</v>
                </pt>
                <pt idx="49">
                  <v>-0.4668549360095187</v>
                </pt>
                <pt idx="50">
                  <v>-0.4717591983675778</v>
                </pt>
                <pt idx="51">
                  <v>-0.4953628282723653</v>
                </pt>
                <pt idx="52">
                  <v>-0.4915795078818186</v>
                </pt>
                <pt idx="53">
                  <v>-0.476731558825345</v>
                </pt>
                <pt idx="54">
                  <v>-0.4926279946306594</v>
                </pt>
                <pt idx="55">
                  <v>-0.5443873454237289</v>
                </pt>
                <pt idx="56">
                  <v>-0.5791445877054996</v>
                </pt>
                <pt idx="57">
                  <v>-0.595771458078645</v>
                </pt>
                <pt idx="58">
                  <v>-0.6454749830029608</v>
                </pt>
                <pt idx="59">
                  <v>-0.6554117714950738</v>
                </pt>
                <pt idx="60">
                  <v>-0.630330457284548</v>
                </pt>
                <pt idx="61">
                  <v>-0.6463645280622035</v>
                </pt>
                <pt idx="62">
                  <v>-0.6485805183800177</v>
                </pt>
                <pt idx="63">
                  <v>-0.6603739418750193</v>
                </pt>
                <pt idx="64">
                  <v>-0.6849617670998629</v>
                </pt>
                <pt idx="65">
                  <v>-0.6974442600105264</v>
                </pt>
                <pt idx="66">
                  <v>-0.703099085970346</v>
                </pt>
                <pt idx="67">
                  <v>-0.7089052541100219</v>
                </pt>
                <pt idx="68">
                  <v>-0.7104805281992344</v>
                </pt>
                <pt idx="69">
                  <v>-0.697194012608968</v>
                </pt>
                <pt idx="70">
                  <v>-0.69171031123742</v>
                </pt>
                <pt idx="71">
                  <v>-0.7143129825579965</v>
                </pt>
                <pt idx="72">
                  <v>-0.7043740553650838</v>
                </pt>
                <pt idx="73">
                  <v>-0.7115706477420968</v>
                </pt>
                <pt idx="74">
                  <v>-0.7310799249719014</v>
                </pt>
                <pt idx="75">
                  <v>-0.690205596758861</v>
                </pt>
                <pt idx="76">
                  <v>-0.7232190077976811</v>
                </pt>
                <pt idx="77">
                  <v>-0.7317560563586505</v>
                </pt>
                <pt idx="78">
                  <v>-0.7450926378459358</v>
                </pt>
                <pt idx="79">
                  <v>-0.8464041571155286</v>
                </pt>
                <pt idx="80">
                  <v>-0.8608416958920191</v>
                </pt>
                <pt idx="81">
                  <v>-0.8930234843476558</v>
                </pt>
                <pt idx="82">
                  <v>-0.9394155198801432</v>
                </pt>
                <pt idx="83">
                  <v>-1.007248192020663</v>
                </pt>
                <pt idx="84">
                  <v>-0.9766599426971015</v>
                </pt>
                <pt idx="85">
                  <v>-0.9661794320317304</v>
                </pt>
                <pt idx="86">
                  <v>-0.9522943349762129</v>
                </pt>
                <pt idx="87">
                  <v>-0.7985772719550296</v>
                </pt>
                <pt idx="88">
                  <v>-0.7665304940622935</v>
                </pt>
                <pt idx="89">
                  <v>-0.7990151390547091</v>
                </pt>
                <pt idx="90">
                  <v>-0.7925961877165775</v>
                </pt>
                <pt idx="91">
                  <v>-0.83864742762787</v>
                </pt>
                <pt idx="92">
                  <v>-0.8815370259487889</v>
                </pt>
                <pt idx="93">
                  <v>-0.8607697798121055</v>
                </pt>
                <pt idx="94">
                  <v>-0.8804671101582052</v>
                </pt>
                <pt idx="95">
                  <v>-0.8894071318699697</v>
                </pt>
                <pt idx="96">
                  <v>-0.9343424201872901</v>
                </pt>
                <pt idx="97">
                  <v>-0.9155980086163331</v>
                </pt>
                <pt idx="98">
                  <v>-0.9055591459353054</v>
                </pt>
                <pt idx="99">
                  <v>-0.9758313022031511</v>
                </pt>
                <pt idx="100">
                  <v>-0.9836829983694877</v>
                </pt>
                <pt idx="101">
                  <v>-1.072044065421474</v>
                </pt>
                <pt idx="102">
                  <v>-1.055846064183135</v>
                </pt>
                <pt idx="103">
                  <v>-1.072035233527017</v>
                </pt>
                <pt idx="104">
                  <v>-1.102537920898486</v>
                </pt>
                <pt idx="105">
                  <v>-1.126359636241706</v>
                </pt>
                <pt idx="106">
                  <v>-1.106695091976192</v>
                </pt>
                <pt idx="107">
                  <v>-1.094765347133401</v>
                </pt>
                <pt idx="108">
                  <v>-1.086547815408905</v>
                </pt>
                <pt idx="109">
                  <v>-1.087303048918371</v>
                </pt>
                <pt idx="110">
                  <v>-1.133072414327247</v>
                </pt>
                <pt idx="111">
                  <v>-1.107794978353584</v>
                </pt>
                <pt idx="112">
                  <v>-1.131483476158668</v>
                </pt>
                <pt idx="113">
                  <v>-1.126711244519282</v>
                </pt>
                <pt idx="114">
                  <v>-1.128306499348498</v>
                </pt>
                <pt idx="115">
                  <v>-1.09804734819102</v>
                </pt>
                <pt idx="116">
                  <v>-1.122389463732037</v>
                </pt>
                <pt idx="117">
                  <v>-1.158305104681734</v>
                </pt>
                <pt idx="118">
                  <v>-1.191943222794327</v>
                </pt>
                <pt idx="119">
                  <v>-1.170332531090241</v>
                </pt>
                <pt idx="120">
                  <v>-1.212853473551131</v>
                </pt>
                <pt idx="121">
                  <v>-1.26126209426332</v>
                </pt>
                <pt idx="122">
                  <v>-1.253660312946843</v>
                </pt>
                <pt idx="123">
                  <v>-1.306107290326639</v>
                </pt>
                <pt idx="124">
                  <v>-1.338361949502509</v>
                </pt>
                <pt idx="125">
                  <v>-1.38403636370857</v>
                </pt>
                <pt idx="126">
                  <v>-1.335747248644059</v>
                </pt>
                <pt idx="127">
                  <v>-1.349346780918059</v>
                </pt>
                <pt idx="128">
                  <v>-1.42309716592036</v>
                </pt>
                <pt idx="129">
                  <v>-1.425071459592294</v>
                </pt>
                <pt idx="130">
                  <v>-1.451266402071081</v>
                </pt>
                <pt idx="131">
                  <v>-1.512693656492418</v>
                </pt>
                <pt idx="132">
                  <v>-1.527873512134747</v>
                </pt>
                <pt idx="133">
                  <v>-1.559794593146339</v>
                </pt>
                <pt idx="134">
                  <v>-1.65762427101974</v>
                </pt>
                <pt idx="135">
                  <v>-1.635365588480966</v>
                </pt>
                <pt idx="136">
                  <v>-1.618192643310701</v>
                </pt>
                <pt idx="137">
                  <v>-1.686203657124603</v>
                </pt>
                <pt idx="138">
                  <v>-1.696176778776475</v>
                </pt>
                <pt idx="139">
                  <v>-1.745194659970052</v>
                </pt>
              </numCache>
            </numRef>
          </val>
          <smooth val="0"/>
        </ser>
        <ser>
          <idx val="1"/>
          <order val="1"/>
          <tx>
            <strRef>
              <f>畫圖0!$B$13</f>
              <strCache>
                <ptCount val="1"/>
                <pt idx="0">
                  <v>20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畫圖0!$C$13:$EL$13</f>
              <numCache>
                <formatCode>General</formatCode>
                <ptCount val="140"/>
                <pt idx="0">
                  <v>0.1210777616647176</v>
                </pt>
                <pt idx="1">
                  <v>0.1668872395893564</v>
                </pt>
                <pt idx="2">
                  <v>0.1989512995717249</v>
                </pt>
                <pt idx="3">
                  <v>0.2426432212527925</v>
                </pt>
                <pt idx="4">
                  <v>0.2289291859845207</v>
                </pt>
                <pt idx="5">
                  <v>0.2462919508648774</v>
                </pt>
                <pt idx="6">
                  <v>0.1968558491833951</v>
                </pt>
                <pt idx="7">
                  <v>0.1368661332692297</v>
                </pt>
                <pt idx="8">
                  <v>0.1048848516972824</v>
                </pt>
                <pt idx="9">
                  <v>0.104161748137822</v>
                </pt>
                <pt idx="10">
                  <v>0.1117483236711128</v>
                </pt>
                <pt idx="11">
                  <v>0.07556635481637319</v>
                </pt>
                <pt idx="12">
                  <v>0.1103392090357991</v>
                </pt>
                <pt idx="13">
                  <v>0.08994334674399038</v>
                </pt>
                <pt idx="14">
                  <v>0.05740281166766069</v>
                </pt>
                <pt idx="15">
                  <v>0.06073321197473808</v>
                </pt>
                <pt idx="16">
                  <v>-0.01211468929563911</v>
                </pt>
                <pt idx="17">
                  <v>-0.07138169347358331</v>
                </pt>
                <pt idx="18">
                  <v>-0.122056278800774</v>
                </pt>
                <pt idx="19">
                  <v>-0.0861310506060803</v>
                </pt>
                <pt idx="20">
                  <v>-0.09596469697962876</v>
                </pt>
                <pt idx="21">
                  <v>-0.1581788681063343</v>
                </pt>
                <pt idx="22">
                  <v>-0.1995567834537586</v>
                </pt>
                <pt idx="23">
                  <v>-0.2701369310864261</v>
                </pt>
                <pt idx="24">
                  <v>-0.2979939361996445</v>
                </pt>
                <pt idx="25">
                  <v>-0.343766348704253</v>
                </pt>
                <pt idx="26">
                  <v>-0.3708265284034384</v>
                </pt>
                <pt idx="27">
                  <v>-0.3608815909267867</v>
                </pt>
                <pt idx="28">
                  <v>-0.4033415525011968</v>
                </pt>
                <pt idx="29">
                  <v>-0.4519955587679835</v>
                </pt>
                <pt idx="30">
                  <v>-0.4957152402489329</v>
                </pt>
                <pt idx="31">
                  <v>-0.4936012913127957</v>
                </pt>
                <pt idx="32">
                  <v>-0.4810883313190993</v>
                </pt>
                <pt idx="33">
                  <v>-0.4710967711664056</v>
                </pt>
                <pt idx="34">
                  <v>-0.5347898957168868</v>
                </pt>
                <pt idx="35">
                  <v>-0.5400150326871727</v>
                </pt>
                <pt idx="36">
                  <v>-0.5113428170473554</v>
                </pt>
                <pt idx="37">
                  <v>-0.4144029751225561</v>
                </pt>
                <pt idx="38">
                  <v>-0.414011860622106</v>
                </pt>
                <pt idx="39">
                  <v>-0.4594103297126467</v>
                </pt>
                <pt idx="40">
                  <v>-0.456420484901071</v>
                </pt>
                <pt idx="41">
                  <v>-0.4248685639713677</v>
                </pt>
                <pt idx="42">
                  <v>-0.3955221240894128</v>
                </pt>
                <pt idx="43">
                  <v>-0.3718364620677432</v>
                </pt>
                <pt idx="44">
                  <v>-0.4200138199815567</v>
                </pt>
                <pt idx="45">
                  <v>-0.4078616780373267</v>
                </pt>
                <pt idx="46">
                  <v>-0.4105493328944461</v>
                </pt>
                <pt idx="47">
                  <v>-0.4845091343017709</v>
                </pt>
                <pt idx="48">
                  <v>-0.475531052083734</v>
                </pt>
                <pt idx="49">
                  <v>-0.4818643262396296</v>
                </pt>
                <pt idx="50">
                  <v>-0.4927407736096097</v>
                </pt>
                <pt idx="51">
                  <v>-0.5415032172366298</v>
                </pt>
                <pt idx="52">
                  <v>-0.5353328159441862</v>
                </pt>
                <pt idx="53">
                  <v>-0.5206300603719145</v>
                </pt>
                <pt idx="54">
                  <v>-0.5345122086121052</v>
                </pt>
                <pt idx="55">
                  <v>-0.5985377593507244</v>
                </pt>
                <pt idx="56">
                  <v>-0.6393315081259837</v>
                </pt>
                <pt idx="57">
                  <v>-0.6561407175470894</v>
                </pt>
                <pt idx="58">
                  <v>-0.7068198747177885</v>
                </pt>
                <pt idx="59">
                  <v>-0.6879560668720429</v>
                </pt>
                <pt idx="60">
                  <v>-0.665519292842455</v>
                </pt>
                <pt idx="61">
                  <v>-0.6956689198013291</v>
                </pt>
                <pt idx="62">
                  <v>-0.6840533882689496</v>
                </pt>
                <pt idx="63">
                  <v>-0.6884409354162235</v>
                </pt>
                <pt idx="64">
                  <v>-0.7295312701900671</v>
                </pt>
                <pt idx="65">
                  <v>-0.7348514850101272</v>
                </pt>
                <pt idx="66">
                  <v>-0.7555231784583504</v>
                </pt>
                <pt idx="67">
                  <v>-0.7614607308341234</v>
                </pt>
                <pt idx="68">
                  <v>-0.7545209456791013</v>
                </pt>
                <pt idx="69">
                  <v>-0.7372107418800167</v>
                </pt>
                <pt idx="70">
                  <v>-0.7316348305227079</v>
                </pt>
                <pt idx="71">
                  <v>-0.7541066665686696</v>
                </pt>
                <pt idx="72">
                  <v>-0.7546712500376614</v>
                </pt>
                <pt idx="73">
                  <v>-0.7704265836037333</v>
                </pt>
                <pt idx="74">
                  <v>-0.779490268358233</v>
                </pt>
                <pt idx="75">
                  <v>-0.7122941371602939</v>
                </pt>
                <pt idx="76">
                  <v>-0.7385977153461171</v>
                </pt>
                <pt idx="77">
                  <v>-0.7665542764931159</v>
                </pt>
                <pt idx="78">
                  <v>-0.7639445861270072</v>
                </pt>
                <pt idx="79">
                  <v>-0.8661973635810531</v>
                </pt>
                <pt idx="80">
                  <v>-0.881932577472425</v>
                </pt>
                <pt idx="81">
                  <v>-0.9294160624478286</v>
                </pt>
                <pt idx="82">
                  <v>-0.9637093689198083</v>
                </pt>
                <pt idx="83">
                  <v>-1.013264111990739</v>
                </pt>
                <pt idx="84">
                  <v>-0.9631708655931636</v>
                </pt>
                <pt idx="85">
                  <v>-0.9652614581243046</v>
                </pt>
                <pt idx="86">
                  <v>-0.9383293007190198</v>
                </pt>
                <pt idx="87">
                  <v>-0.7775332057611651</v>
                </pt>
                <pt idx="88">
                  <v>-0.7425438116514496</v>
                </pt>
                <pt idx="89">
                  <v>-0.7800226581714811</v>
                </pt>
                <pt idx="90">
                  <v>-0.7960870705459206</v>
                </pt>
                <pt idx="91">
                  <v>-0.8628808066063783</v>
                </pt>
                <pt idx="92">
                  <v>-0.9057747133046381</v>
                </pt>
                <pt idx="93">
                  <v>-0.8771729038741585</v>
                </pt>
                <pt idx="94">
                  <v>-0.8868303045179454</v>
                </pt>
                <pt idx="95">
                  <v>-0.9102909067457592</v>
                </pt>
                <pt idx="96">
                  <v>-0.9684005141320262</v>
                </pt>
                <pt idx="97">
                  <v>-0.9513324095246287</v>
                </pt>
                <pt idx="98">
                  <v>-0.9519197624533859</v>
                </pt>
                <pt idx="99">
                  <v>-1.031605204843577</v>
                </pt>
                <pt idx="100">
                  <v>-1.050590103134828</v>
                </pt>
                <pt idx="101">
                  <v>-1.130938992507713</v>
                </pt>
                <pt idx="102">
                  <v>-1.114421022609386</v>
                </pt>
                <pt idx="103">
                  <v>-1.151946857239201</v>
                </pt>
                <pt idx="104">
                  <v>-1.177112249971389</v>
                </pt>
                <pt idx="105">
                  <v>-1.175965925917356</v>
                </pt>
                <pt idx="106">
                  <v>-1.16172581115877</v>
                </pt>
                <pt idx="107">
                  <v>-1.18886390671052</v>
                </pt>
                <pt idx="108">
                  <v>-1.177582885037469</v>
                </pt>
                <pt idx="109">
                  <v>-1.177128249237351</v>
                </pt>
                <pt idx="110">
                  <v>-1.197440222029483</v>
                </pt>
                <pt idx="111">
                  <v>-1.176075845191161</v>
                </pt>
                <pt idx="112">
                  <v>-1.182417960683269</v>
                </pt>
                <pt idx="113">
                  <v>-1.207310659567626</v>
                </pt>
                <pt idx="114">
                  <v>-1.208902824379046</v>
                </pt>
                <pt idx="115">
                  <v>-1.209318161144413</v>
                </pt>
                <pt idx="116">
                  <v>-1.245297205854838</v>
                </pt>
                <pt idx="117">
                  <v>-1.298808693697628</v>
                </pt>
                <pt idx="118">
                  <v>-1.336841448501135</v>
                </pt>
                <pt idx="119">
                  <v>-1.316608131992291</v>
                </pt>
                <pt idx="120">
                  <v>-1.370875561275245</v>
                </pt>
                <pt idx="121">
                  <v>-1.42090147499967</v>
                </pt>
                <pt idx="122">
                  <v>-1.404457358003916</v>
                </pt>
                <pt idx="123">
                  <v>-1.476855073027202</v>
                </pt>
                <pt idx="124">
                  <v>-1.508045298770833</v>
                </pt>
                <pt idx="125">
                  <v>-1.568398281390508</v>
                </pt>
                <pt idx="126">
                  <v>-1.481123127912735</v>
                </pt>
                <pt idx="127">
                  <v>-1.498651794695936</v>
                </pt>
                <pt idx="128">
                  <v>-1.564783929298136</v>
                </pt>
                <pt idx="129">
                  <v>-1.575427674609398</v>
                </pt>
                <pt idx="130">
                  <v>-1.61636795625157</v>
                </pt>
                <pt idx="131">
                  <v>-1.682306409238074</v>
                </pt>
                <pt idx="132">
                  <v>-1.699128916134995</v>
                </pt>
                <pt idx="133">
                  <v>-1.75471627117828</v>
                </pt>
                <pt idx="134">
                  <v>-1.906265457301312</v>
                </pt>
                <pt idx="135">
                  <v>-1.909668532588744</v>
                </pt>
                <pt idx="136">
                  <v>-1.87229729861366</v>
                </pt>
                <pt idx="137">
                  <v>-1.963532258222074</v>
                </pt>
                <pt idx="138">
                  <v>-1.967627241100647</v>
                </pt>
                <pt idx="139">
                  <v>-2.033735959798429</v>
                </pt>
              </numCache>
            </numRef>
          </val>
          <smooth val="0"/>
        </ser>
        <ser>
          <idx val="2"/>
          <order val="2"/>
          <tx>
            <strRef>
              <f>畫圖0!$B$14</f>
              <strCache>
                <ptCount val="1"/>
                <pt idx="0">
                  <v>50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畫圖0!$C$14:$EL$14</f>
              <numCache>
                <formatCode>General</formatCode>
                <ptCount val="140"/>
                <pt idx="0">
                  <v>0.1322051333097304</v>
                </pt>
                <pt idx="1">
                  <v>0.1738397166827028</v>
                </pt>
                <pt idx="2">
                  <v>0.207233465973262</v>
                </pt>
                <pt idx="3">
                  <v>0.2837576352145307</v>
                </pt>
                <pt idx="4">
                  <v>0.2446003346290122</v>
                </pt>
                <pt idx="5">
                  <v>0.2549350284927341</v>
                </pt>
                <pt idx="6">
                  <v>0.1726214377702038</v>
                </pt>
                <pt idx="7">
                  <v>0.1085302897240036</v>
                </pt>
                <pt idx="8">
                  <v>0.003751054592395012</v>
                </pt>
                <pt idx="9">
                  <v>-0.0002183140442239412</v>
                </pt>
                <pt idx="10">
                  <v>-0.01263015916255649</v>
                </pt>
                <pt idx="11">
                  <v>-0.0904252944166278</v>
                </pt>
                <pt idx="12">
                  <v>-0.06686549294123634</v>
                </pt>
                <pt idx="13">
                  <v>-0.1225805279637033</v>
                </pt>
                <pt idx="14">
                  <v>-0.1949669204148982</v>
                </pt>
                <pt idx="15">
                  <v>-0.191675723970545</v>
                </pt>
                <pt idx="16">
                  <v>-0.2742867585806379</v>
                </pt>
                <pt idx="17">
                  <v>-0.322827141219089</v>
                </pt>
                <pt idx="18">
                  <v>-0.4335115753201844</v>
                </pt>
                <pt idx="19">
                  <v>-0.4141548874097899</v>
                </pt>
                <pt idx="20">
                  <v>-0.4506364941825718</v>
                </pt>
                <pt idx="21">
                  <v>-0.5538398016691186</v>
                </pt>
                <pt idx="22">
                  <v>-0.5983842030378823</v>
                </pt>
                <pt idx="23">
                  <v>-0.648921915021011</v>
                </pt>
                <pt idx="24">
                  <v>-0.6933070498381254</v>
                </pt>
                <pt idx="25">
                  <v>-0.7625347641508877</v>
                </pt>
                <pt idx="26">
                  <v>-0.7602839780552518</v>
                </pt>
                <pt idx="27">
                  <v>-0.7799114208018533</v>
                </pt>
                <pt idx="28">
                  <v>-0.8692091101297696</v>
                </pt>
                <pt idx="29">
                  <v>-0.9272210639189695</v>
                </pt>
                <pt idx="30">
                  <v>-0.9558770502507711</v>
                </pt>
                <pt idx="31">
                  <v>-0.9659963802679785</v>
                </pt>
                <pt idx="32">
                  <v>-0.8971994804880477</v>
                </pt>
                <pt idx="33">
                  <v>-0.9049619054134438</v>
                </pt>
                <pt idx="34">
                  <v>-0.9634130280521627</v>
                </pt>
                <pt idx="35">
                  <v>-0.9893578177339588</v>
                </pt>
                <pt idx="36">
                  <v>-0.9386020750130997</v>
                </pt>
                <pt idx="37">
                  <v>-0.8341865017852573</v>
                </pt>
                <pt idx="38">
                  <v>-0.8100713169007117</v>
                </pt>
                <pt idx="39">
                  <v>-0.8645730483354859</v>
                </pt>
                <pt idx="40">
                  <v>-0.8447629646342473</v>
                </pt>
                <pt idx="41">
                  <v>-0.7786027447761446</v>
                </pt>
                <pt idx="42">
                  <v>-0.7300360265968637</v>
                </pt>
                <pt idx="43">
                  <v>-0.7594348274298134</v>
                </pt>
                <pt idx="44">
                  <v>-0.8178134741652696</v>
                </pt>
                <pt idx="45">
                  <v>-0.8086087907551757</v>
                </pt>
                <pt idx="46">
                  <v>-0.8358753720569679</v>
                </pt>
                <pt idx="47">
                  <v>-0.938547151452789</v>
                </pt>
                <pt idx="48">
                  <v>-0.9213541073473509</v>
                </pt>
                <pt idx="49">
                  <v>-0.9098307744496822</v>
                </pt>
                <pt idx="50">
                  <v>-0.9465923905571146</v>
                </pt>
                <pt idx="51">
                  <v>-1.005535480344348</v>
                </pt>
                <pt idx="52">
                  <v>-0.9850122762882427</v>
                </pt>
                <pt idx="53">
                  <v>-0.941503891409665</v>
                </pt>
                <pt idx="54">
                  <v>-0.9757697905803956</v>
                </pt>
                <pt idx="55">
                  <v>-1.033105179084542</v>
                </pt>
                <pt idx="56">
                  <v>-1.115434747152726</v>
                </pt>
                <pt idx="57">
                  <v>-1.148719230058455</v>
                </pt>
                <pt idx="58">
                  <v>-1.206809865054391</v>
                </pt>
                <pt idx="59">
                  <v>-1.176730283779877</v>
                </pt>
                <pt idx="60">
                  <v>-1.17127354867721</v>
                </pt>
                <pt idx="61">
                  <v>-1.220753466242269</v>
                </pt>
                <pt idx="62">
                  <v>-1.186163371602839</v>
                </pt>
                <pt idx="63">
                  <v>-1.212747506982254</v>
                </pt>
                <pt idx="64">
                  <v>-1.236963322932951</v>
                </pt>
                <pt idx="65">
                  <v>-1.22365974136941</v>
                </pt>
                <pt idx="66">
                  <v>-1.231125220360641</v>
                </pt>
                <pt idx="67">
                  <v>-1.274291765116838</v>
                </pt>
                <pt idx="68">
                  <v>-1.231437582711131</v>
                </pt>
                <pt idx="69">
                  <v>-1.19660381016835</v>
                </pt>
                <pt idx="70">
                  <v>-1.215471713922788</v>
                </pt>
                <pt idx="71">
                  <v>-1.243215731006881</v>
                </pt>
                <pt idx="72">
                  <v>-1.235723093829854</v>
                </pt>
                <pt idx="73">
                  <v>-1.293083140364333</v>
                </pt>
                <pt idx="74">
                  <v>-1.342577150941684</v>
                </pt>
                <pt idx="75">
                  <v>-1.261142016781112</v>
                </pt>
                <pt idx="76">
                  <v>-1.245841202382282</v>
                </pt>
                <pt idx="77">
                  <v>-1.239934346063211</v>
                </pt>
                <pt idx="78">
                  <v>-1.219964554112314</v>
                </pt>
                <pt idx="79">
                  <v>-1.307955833672699</v>
                </pt>
                <pt idx="80">
                  <v>-1.278871940869868</v>
                </pt>
                <pt idx="81">
                  <v>-1.356233586407133</v>
                </pt>
                <pt idx="82">
                  <v>-1.39059800054485</v>
                </pt>
                <pt idx="83">
                  <v>-1.449211307416425</v>
                </pt>
                <pt idx="84">
                  <v>-1.335367092944449</v>
                </pt>
                <pt idx="85">
                  <v>-1.341987894482611</v>
                </pt>
                <pt idx="86">
                  <v>-1.35837964731357</v>
                </pt>
                <pt idx="87">
                  <v>-1.151935944302415</v>
                </pt>
                <pt idx="88">
                  <v>-1.115415359741815</v>
                </pt>
                <pt idx="89">
                  <v>-1.161208461850258</v>
                </pt>
                <pt idx="90">
                  <v>-1.185611611149707</v>
                </pt>
                <pt idx="91">
                  <v>-1.246858801707953</v>
                </pt>
                <pt idx="92">
                  <v>-1.277582955885954</v>
                </pt>
                <pt idx="93">
                  <v>-1.264382811090466</v>
                </pt>
                <pt idx="94">
                  <v>-1.259412941187577</v>
                </pt>
                <pt idx="95">
                  <v>-1.310157674385117</v>
                </pt>
                <pt idx="96">
                  <v>-1.315851744374421</v>
                </pt>
                <pt idx="97">
                  <v>-1.282235377300117</v>
                </pt>
                <pt idx="98">
                  <v>-1.266741579122485</v>
                </pt>
                <pt idx="99">
                  <v>-1.345622205742863</v>
                </pt>
                <pt idx="100">
                  <v>-1.37990628617793</v>
                </pt>
                <pt idx="101">
                  <v>-1.446934769762549</v>
                </pt>
                <pt idx="102">
                  <v>-1.445100855338706</v>
                </pt>
                <pt idx="103">
                  <v>-1.456005828356464</v>
                </pt>
                <pt idx="104">
                  <v>-1.468426794750578</v>
                </pt>
                <pt idx="105">
                  <v>-1.446259109330354</v>
                </pt>
                <pt idx="106">
                  <v>-1.418814888235998</v>
                </pt>
                <pt idx="107">
                  <v>-1.461232706938497</v>
                </pt>
                <pt idx="108">
                  <v>-1.447459571516633</v>
                </pt>
                <pt idx="109">
                  <v>-1.4490239904708</v>
                </pt>
                <pt idx="110">
                  <v>-1.460939196982551</v>
                </pt>
                <pt idx="111">
                  <v>-1.430388345501838</v>
                </pt>
                <pt idx="112">
                  <v>-1.437663527239776</v>
                </pt>
                <pt idx="113">
                  <v>-1.449081674915631</v>
                </pt>
                <pt idx="114">
                  <v>-1.414288938575399</v>
                </pt>
                <pt idx="115">
                  <v>-1.372069683463201</v>
                </pt>
                <pt idx="116">
                  <v>-1.40810655891587</v>
                </pt>
                <pt idx="117">
                  <v>-1.443190787900639</v>
                </pt>
                <pt idx="118">
                  <v>-1.539291925764581</v>
                </pt>
                <pt idx="119">
                  <v>-1.485678156915376</v>
                </pt>
                <pt idx="120">
                  <v>-1.540209405807377</v>
                </pt>
                <pt idx="121">
                  <v>-1.610021217676616</v>
                </pt>
                <pt idx="122">
                  <v>-1.661048428154746</v>
                </pt>
                <pt idx="123">
                  <v>-1.766001748788587</v>
                </pt>
                <pt idx="124">
                  <v>-1.827007598985603</v>
                </pt>
                <pt idx="125">
                  <v>-1.898563253226238</v>
                </pt>
                <pt idx="126">
                  <v>-1.750460118889512</v>
                </pt>
                <pt idx="127">
                  <v>-1.76369657380248</v>
                </pt>
                <pt idx="128">
                  <v>-1.818780450057897</v>
                </pt>
                <pt idx="129">
                  <v>-1.852628790172898</v>
                </pt>
                <pt idx="130">
                  <v>-1.870102725668241</v>
                </pt>
                <pt idx="131">
                  <v>-1.96904005166205</v>
                </pt>
                <pt idx="132">
                  <v>-1.987561743783089</v>
                </pt>
                <pt idx="133">
                  <v>-2.038228064330929</v>
                </pt>
                <pt idx="134">
                  <v>-2.254224933648814</v>
                </pt>
                <pt idx="135">
                  <v>-2.248517720840731</v>
                </pt>
                <pt idx="136">
                  <v>-2.21619945875345</v>
                </pt>
                <pt idx="137">
                  <v>-2.291460361809105</v>
                </pt>
                <pt idx="138">
                  <v>-2.289864281970901</v>
                </pt>
                <pt idx="139">
                  <v>-2.390089788552191</v>
                </pt>
              </numCache>
            </numRef>
          </val>
          <smooth val="0"/>
        </ser>
        <ser>
          <idx val="3"/>
          <order val="3"/>
          <tx>
            <strRef>
              <f>畫圖0!$B$15</f>
              <strCache>
                <ptCount val="1"/>
                <pt idx="0">
                  <v>110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畫圖0!$C$15:$EL$15</f>
              <numCache>
                <formatCode>General</formatCode>
                <ptCount val="140"/>
                <pt idx="0">
                  <v>0.2415584226424828</v>
                </pt>
                <pt idx="1">
                  <v>0.2735895022136436</v>
                </pt>
                <pt idx="2">
                  <v>0.216963041338615</v>
                </pt>
                <pt idx="3">
                  <v>0.3931598827390002</v>
                </pt>
                <pt idx="4">
                  <v>0.3294284534681791</v>
                </pt>
                <pt idx="5">
                  <v>0.3819925187808418</v>
                </pt>
                <pt idx="6">
                  <v>0.2536961339684322</v>
                </pt>
                <pt idx="7">
                  <v>0.1183374715252889</v>
                </pt>
                <pt idx="8">
                  <v>-0.13141305005318</v>
                </pt>
                <pt idx="9">
                  <v>-0.1311953302378671</v>
                </pt>
                <pt idx="10">
                  <v>-0.1074045571537763</v>
                </pt>
                <pt idx="11">
                  <v>-0.2090802156106905</v>
                </pt>
                <pt idx="12">
                  <v>-0.1565549501188389</v>
                </pt>
                <pt idx="13">
                  <v>-0.2260493632234197</v>
                </pt>
                <pt idx="14">
                  <v>-0.3431068985472846</v>
                </pt>
                <pt idx="15">
                  <v>-0.2900272210613942</v>
                </pt>
                <pt idx="16">
                  <v>-0.3935429343969373</v>
                </pt>
                <pt idx="17">
                  <v>-0.4181474874926288</v>
                </pt>
                <pt idx="18">
                  <v>-0.5561105438335447</v>
                </pt>
                <pt idx="19">
                  <v>-0.573204206431885</v>
                </pt>
                <pt idx="20">
                  <v>-0.5972457343376461</v>
                </pt>
                <pt idx="21">
                  <v>-0.7016847133793431</v>
                </pt>
                <pt idx="22">
                  <v>-0.7234019814997481</v>
                </pt>
                <pt idx="23">
                  <v>-0.763023331409153</v>
                </pt>
                <pt idx="24">
                  <v>-0.8176027847813133</v>
                </pt>
                <pt idx="25">
                  <v>-0.8919745992399393</v>
                </pt>
                <pt idx="26">
                  <v>-0.9399827454582281</v>
                </pt>
                <pt idx="27">
                  <v>-0.9246013700272445</v>
                </pt>
                <pt idx="28">
                  <v>-1.012147199393255</v>
                </pt>
                <pt idx="29">
                  <v>-1.098288275238944</v>
                </pt>
                <pt idx="30">
                  <v>-1.122336281144929</v>
                </pt>
                <pt idx="31">
                  <v>-1.159440457529243</v>
                </pt>
                <pt idx="32">
                  <v>-1.102414917194475</v>
                </pt>
                <pt idx="33">
                  <v>-1.11218774939735</v>
                </pt>
                <pt idx="34">
                  <v>-1.170151690546778</v>
                </pt>
                <pt idx="35">
                  <v>-1.224860157719433</v>
                </pt>
                <pt idx="36">
                  <v>-1.190326866153069</v>
                </pt>
                <pt idx="37">
                  <v>-1.071622899840621</v>
                </pt>
                <pt idx="38">
                  <v>-1.073195432869811</v>
                </pt>
                <pt idx="39">
                  <v>-1.111029772214624</v>
                </pt>
                <pt idx="40">
                  <v>-1.067279902811273</v>
                </pt>
                <pt idx="41">
                  <v>-0.9580897756932507</v>
                </pt>
                <pt idx="42">
                  <v>-0.9116171221461588</v>
                </pt>
                <pt idx="43">
                  <v>-0.8848911050424517</v>
                </pt>
                <pt idx="44">
                  <v>-0.9376347650079667</v>
                </pt>
                <pt idx="45">
                  <v>-0.9067014458351437</v>
                </pt>
                <pt idx="46">
                  <v>-0.8821410855205918</v>
                </pt>
                <pt idx="47">
                  <v>-0.9386142198812133</v>
                </pt>
                <pt idx="48">
                  <v>-0.908479111402514</v>
                </pt>
                <pt idx="49">
                  <v>-0.8586725186090258</v>
                </pt>
                <pt idx="50">
                  <v>-0.8751304571024905</v>
                </pt>
                <pt idx="51">
                  <v>-1.012663896768768</v>
                </pt>
                <pt idx="52">
                  <v>-0.9451230129685259</v>
                </pt>
                <pt idx="53">
                  <v>-0.860966092239034</v>
                </pt>
                <pt idx="54">
                  <v>-0.8877919460677328</v>
                </pt>
                <pt idx="55">
                  <v>-0.9548263889394216</v>
                </pt>
                <pt idx="56">
                  <v>-0.9979067699826731</v>
                </pt>
                <pt idx="57">
                  <v>-1.048471025176613</v>
                </pt>
                <pt idx="58">
                  <v>-1.11589658385065</v>
                </pt>
                <pt idx="59">
                  <v>-1.077741006748613</v>
                </pt>
                <pt idx="60">
                  <v>-1.072622602123989</v>
                </pt>
                <pt idx="61">
                  <v>-1.138259061747832</v>
                </pt>
                <pt idx="62">
                  <v>-1.088193674951059</v>
                </pt>
                <pt idx="63">
                  <v>-1.134774844851536</v>
                </pt>
                <pt idx="64">
                  <v>-1.16617021832615</v>
                </pt>
                <pt idx="65">
                  <v>-1.141831788949527</v>
                </pt>
                <pt idx="66">
                  <v>-1.157526942096673</v>
                </pt>
                <pt idx="67">
                  <v>-1.232583937909221</v>
                </pt>
                <pt idx="68">
                  <v>-1.212730660094585</v>
                </pt>
                <pt idx="69">
                  <v>-1.139020234640534</v>
                </pt>
                <pt idx="70">
                  <v>-1.141466434244128</v>
                </pt>
                <pt idx="71">
                  <v>-1.232009956062521</v>
                </pt>
                <pt idx="72">
                  <v>-1.202049523510347</v>
                </pt>
                <pt idx="73">
                  <v>-1.194139983012134</v>
                </pt>
                <pt idx="74">
                  <v>-1.29804758091871</v>
                </pt>
                <pt idx="75">
                  <v>-1.221091861249004</v>
                </pt>
                <pt idx="76">
                  <v>-1.227177010817188</v>
                </pt>
                <pt idx="77">
                  <v>-1.174565029169613</v>
                </pt>
                <pt idx="78">
                  <v>-1.20509504571235</v>
                </pt>
                <pt idx="79">
                  <v>-1.324617750134738</v>
                </pt>
                <pt idx="80">
                  <v>-1.219606793644231</v>
                </pt>
                <pt idx="81">
                  <v>-1.298527255339006</v>
                </pt>
                <pt idx="82">
                  <v>-1.367032625783436</v>
                </pt>
                <pt idx="83">
                  <v>-1.434552404931374</v>
                </pt>
                <pt idx="84">
                  <v>-1.397407459611019</v>
                </pt>
                <pt idx="85">
                  <v>-1.441379563514528</v>
                </pt>
                <pt idx="86">
                  <v>-1.411373814110775</v>
                </pt>
                <pt idx="87">
                  <v>-1.120772722126271</v>
                </pt>
                <pt idx="88">
                  <v>-1.094611981616301</v>
                </pt>
                <pt idx="89">
                  <v>-1.180484114464016</v>
                </pt>
                <pt idx="90">
                  <v>-1.117094021647828</v>
                </pt>
                <pt idx="91">
                  <v>-1.220096849680451</v>
                </pt>
                <pt idx="92">
                  <v>-1.222986895791401</v>
                </pt>
                <pt idx="93">
                  <v>-1.200840228080251</v>
                </pt>
                <pt idx="94">
                  <v>-1.201178704238988</v>
                </pt>
                <pt idx="95">
                  <v>-1.278829974996719</v>
                </pt>
                <pt idx="96">
                  <v>-1.254137054110543</v>
                </pt>
                <pt idx="97">
                  <v>-1.225913842617332</v>
                </pt>
                <pt idx="98">
                  <v>-1.231966269261424</v>
                </pt>
                <pt idx="99">
                  <v>-1.294567369655816</v>
                </pt>
                <pt idx="100">
                  <v>-1.337233814655506</v>
                </pt>
                <pt idx="101">
                  <v>-1.428157607449488</v>
                </pt>
                <pt idx="102">
                  <v>-1.450975961492081</v>
                </pt>
                <pt idx="103">
                  <v>-1.479213338928325</v>
                </pt>
                <pt idx="104">
                  <v>-1.49681171534233</v>
                </pt>
                <pt idx="105">
                  <v>-1.648999494027496</v>
                </pt>
                <pt idx="106">
                  <v>-1.623878052615561</v>
                </pt>
                <pt idx="107">
                  <v>-1.633431332098355</v>
                </pt>
                <pt idx="108">
                  <v>-1.600293845503098</v>
                </pt>
                <pt idx="109">
                  <v>-1.666217657782316</v>
                </pt>
                <pt idx="110">
                  <v>-1.66656196963323</v>
                </pt>
                <pt idx="111">
                  <v>-1.648416859048513</v>
                </pt>
                <pt idx="112">
                  <v>-1.552188373402972</v>
                </pt>
                <pt idx="113">
                  <v>-1.518113726265293</v>
                </pt>
                <pt idx="114">
                  <v>-1.527935359058438</v>
                </pt>
                <pt idx="115">
                  <v>-1.515948534844808</v>
                </pt>
                <pt idx="116">
                  <v>-1.537050944575904</v>
                </pt>
                <pt idx="117">
                  <v>-1.524455165992676</v>
                </pt>
                <pt idx="118">
                  <v>-1.658387312827669</v>
                </pt>
                <pt idx="119">
                  <v>-1.632689137772849</v>
                </pt>
                <pt idx="120">
                  <v>-1.729356099386747</v>
                </pt>
                <pt idx="121">
                  <v>-1.829314437710426</v>
                </pt>
                <pt idx="122">
                  <v>-1.869808755156869</v>
                </pt>
                <pt idx="123">
                  <v>-2.018431516423555</v>
                </pt>
                <pt idx="124">
                  <v>-2.058416364136901</v>
                </pt>
                <pt idx="125">
                  <v>-2.143216541224365</v>
                </pt>
                <pt idx="126">
                  <v>-1.904461226012035</v>
                </pt>
                <pt idx="127">
                  <v>-1.938543506847112</v>
                </pt>
                <pt idx="128">
                  <v>-1.932631970456527</v>
                </pt>
                <pt idx="129">
                  <v>-1.963283505745985</v>
                </pt>
                <pt idx="130">
                  <v>-2.046242589830214</v>
                </pt>
                <pt idx="131">
                  <v>-2.188403984135202</v>
                </pt>
                <pt idx="132">
                  <v>-2.179218578796545</v>
                </pt>
                <pt idx="133">
                  <v>-2.214734312399077</v>
                </pt>
                <pt idx="134">
                  <v>-2.559449115765383</v>
                </pt>
                <pt idx="135">
                  <v>-2.574404180960069</v>
                </pt>
                <pt idx="136">
                  <v>-2.479009318138865</v>
                </pt>
                <pt idx="137">
                  <v>-2.562074000642782</v>
                </pt>
                <pt idx="138">
                  <v>-2.664072736699502</v>
                </pt>
                <pt idx="139">
                  <v>-2.76183641751633</v>
                </pt>
              </numCache>
            </numRef>
          </val>
          <smooth val="0"/>
        </ser>
        <ser>
          <idx val="4"/>
          <order val="4"/>
          <tx>
            <strRef>
              <f>畫圖0!$B$16</f>
              <strCache>
                <ptCount val="1"/>
                <pt idx="0">
                  <v>120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畫圖0!$C$16:$EL$16</f>
              <numCache>
                <formatCode>General</formatCode>
                <ptCount val="140"/>
                <pt idx="0">
                  <v>0.2607277098356321</v>
                </pt>
                <pt idx="1">
                  <v>0.2690714414022675</v>
                </pt>
                <pt idx="2">
                  <v>0.1946111969471546</v>
                </pt>
                <pt idx="3">
                  <v>0.3616027467702384</v>
                </pt>
                <pt idx="4">
                  <v>0.2908632192071259</v>
                </pt>
                <pt idx="5">
                  <v>0.3377118792761301</v>
                </pt>
                <pt idx="6">
                  <v>0.1990835312448387</v>
                </pt>
                <pt idx="7">
                  <v>0.0492227543717208</v>
                </pt>
                <pt idx="8">
                  <v>-0.2386548059578015</v>
                </pt>
                <pt idx="9">
                  <v>-0.25442995501323</v>
                </pt>
                <pt idx="10">
                  <v>-0.224927410805021</v>
                </pt>
                <pt idx="11">
                  <v>-0.3338108937559674</v>
                </pt>
                <pt idx="12">
                  <v>-0.258812900671026</v>
                </pt>
                <pt idx="13">
                  <v>-0.33052960876478</v>
                </pt>
                <pt idx="14">
                  <v>-0.4549429803634741</v>
                </pt>
                <pt idx="15">
                  <v>-0.3926490778006678</v>
                </pt>
                <pt idx="16">
                  <v>-0.5012376071530741</v>
                </pt>
                <pt idx="17">
                  <v>-0.5364897363826908</v>
                </pt>
                <pt idx="18">
                  <v>-0.6801503574689596</v>
                </pt>
                <pt idx="19">
                  <v>-0.6806724412009982</v>
                </pt>
                <pt idx="20">
                  <v>-0.7733591886282374</v>
                </pt>
                <pt idx="21">
                  <v>-0.8751994583858265</v>
                </pt>
                <pt idx="22">
                  <v>-0.9020713616175517</v>
                </pt>
                <pt idx="23">
                  <v>-0.9283169141095018</v>
                </pt>
                <pt idx="24">
                  <v>-0.9744498475996324</v>
                </pt>
                <pt idx="25">
                  <v>-1.058129191133094</v>
                </pt>
                <pt idx="26">
                  <v>-1.118045353098105</v>
                </pt>
                <pt idx="27">
                  <v>-1.086542967061966</v>
                </pt>
                <pt idx="28">
                  <v>-1.198250764706539</v>
                </pt>
                <pt idx="29">
                  <v>-1.284637961837104</v>
                </pt>
                <pt idx="30">
                  <v>-1.315622724743863</v>
                </pt>
                <pt idx="31">
                  <v>-1.347388125193304</v>
                </pt>
                <pt idx="32">
                  <v>-1.293455321621307</v>
                </pt>
                <pt idx="33">
                  <v>-1.262966912680577</v>
                </pt>
                <pt idx="34">
                  <v>-1.327388313512949</v>
                </pt>
                <pt idx="35">
                  <v>-1.361096138635958</v>
                </pt>
                <pt idx="36">
                  <v>-1.332504912153688</v>
                </pt>
                <pt idx="37">
                  <v>-1.195101998246205</v>
                </pt>
                <pt idx="38">
                  <v>-1.173739590106953</v>
                </pt>
                <pt idx="39">
                  <v>-1.236695066109895</v>
                </pt>
                <pt idx="40">
                  <v>-1.191299471242001</v>
                </pt>
                <pt idx="41">
                  <v>-1.080646437153927</v>
                </pt>
                <pt idx="42">
                  <v>-1.07190608909474</v>
                </pt>
                <pt idx="43">
                  <v>-1.035412893596238</v>
                </pt>
                <pt idx="44">
                  <v>-1.100170317585204</v>
                </pt>
                <pt idx="45">
                  <v>-1.075577147530732</v>
                </pt>
                <pt idx="46">
                  <v>-1.076040459233439</v>
                </pt>
                <pt idx="47">
                  <v>-1.123505776175756</v>
                </pt>
                <pt idx="48">
                  <v>-1.083198275040534</v>
                </pt>
                <pt idx="49">
                  <v>-1.02435300587789</v>
                </pt>
                <pt idx="50">
                  <v>-1.036449991686032</v>
                </pt>
                <pt idx="51">
                  <v>-1.16942864844574</v>
                </pt>
                <pt idx="52">
                  <v>-1.10403631790944</v>
                </pt>
                <pt idx="53">
                  <v>-1.013248926589764</v>
                </pt>
                <pt idx="54">
                  <v>-1.040058517624985</v>
                </pt>
                <pt idx="55">
                  <v>-1.116404661535259</v>
                </pt>
                <pt idx="56">
                  <v>-1.173334463893288</v>
                </pt>
                <pt idx="57">
                  <v>-1.206244218713235</v>
                </pt>
                <pt idx="58">
                  <v>-1.257289867406664</v>
                </pt>
                <pt idx="59">
                  <v>-1.228277148262036</v>
                </pt>
                <pt idx="60">
                  <v>-1.197737882106373</v>
                </pt>
                <pt idx="61">
                  <v>-1.269821655915905</v>
                </pt>
                <pt idx="62">
                  <v>-1.226334138970905</v>
                </pt>
                <pt idx="63">
                  <v>-1.271175468416272</v>
                </pt>
                <pt idx="64">
                  <v>-1.296876547302528</v>
                </pt>
                <pt idx="65">
                  <v>-1.261956534480386</v>
                </pt>
                <pt idx="66">
                  <v>-1.278482568066111</v>
                </pt>
                <pt idx="67">
                  <v>-1.339071866145186</v>
                </pt>
                <pt idx="68">
                  <v>-1.329798512726992</v>
                </pt>
                <pt idx="69">
                  <v>-1.26998573192943</v>
                </pt>
                <pt idx="70">
                  <v>-1.236579087743948</v>
                </pt>
                <pt idx="71">
                  <v>-1.339575535458552</v>
                </pt>
                <pt idx="72">
                  <v>-1.300828249747136</v>
                </pt>
                <pt idx="73">
                  <v>-1.308927493351605</v>
                </pt>
                <pt idx="74">
                  <v>-1.410129710725015</v>
                </pt>
                <pt idx="75">
                  <v>-1.305126034328093</v>
                </pt>
                <pt idx="76">
                  <v>-1.327268733919502</v>
                </pt>
                <pt idx="77">
                  <v>-1.267802763753557</v>
                </pt>
                <pt idx="78">
                  <v>-1.328952155847335</v>
                </pt>
                <pt idx="79">
                  <v>-1.444661370585715</v>
                </pt>
                <pt idx="80">
                  <v>-1.323779118682636</v>
                </pt>
                <pt idx="81">
                  <v>-1.406719454879387</v>
                </pt>
                <pt idx="82">
                  <v>-1.474546719859012</v>
                </pt>
                <pt idx="83">
                  <v>-1.522601224404721</v>
                </pt>
                <pt idx="84">
                  <v>-1.473511483154688</v>
                </pt>
                <pt idx="85">
                  <v>-1.530254663275821</v>
                </pt>
                <pt idx="86">
                  <v>-1.493975009055318</v>
                </pt>
                <pt idx="87">
                  <v>-1.182432213780883</v>
                </pt>
                <pt idx="88">
                  <v>-1.161168323978277</v>
                </pt>
                <pt idx="89">
                  <v>-1.222548198915602</v>
                </pt>
                <pt idx="90">
                  <v>-1.13371862107844</v>
                </pt>
                <pt idx="91">
                  <v>-1.246458252764164</v>
                </pt>
                <pt idx="92">
                  <v>-1.242931751782433</v>
                </pt>
                <pt idx="93">
                  <v>-1.211324205234634</v>
                </pt>
                <pt idx="94">
                  <v>-1.222747454294336</v>
                </pt>
                <pt idx="95">
                  <v>-1.317067861945374</v>
                </pt>
                <pt idx="96">
                  <v>-1.296395139840395</v>
                </pt>
                <pt idx="97">
                  <v>-1.270914932892308</v>
                </pt>
                <pt idx="98">
                  <v>-1.281381731832881</v>
                </pt>
                <pt idx="99">
                  <v>-1.339465459963629</v>
                </pt>
                <pt idx="100">
                  <v>-1.389103099368459</v>
                </pt>
                <pt idx="101">
                  <v>-1.507814477182092</v>
                </pt>
                <pt idx="102">
                  <v>-1.542233969969458</v>
                </pt>
                <pt idx="103">
                  <v>-1.577675755979993</v>
                </pt>
                <pt idx="104">
                  <v>-1.593270932257426</v>
                </pt>
                <pt idx="105">
                  <v>-1.757273267062212</v>
                </pt>
                <pt idx="106">
                  <v>-1.73105952182529</v>
                </pt>
                <pt idx="107">
                  <v>-1.719586716067558</v>
                </pt>
                <pt idx="108">
                  <v>-1.67829651199285</v>
                </pt>
                <pt idx="109">
                  <v>-1.726360642073447</v>
                </pt>
                <pt idx="110">
                  <v>-1.714686751699498</v>
                </pt>
                <pt idx="111">
                  <v>-1.695874690020982</v>
                </pt>
                <pt idx="112">
                  <v>-1.591316817528573</v>
                </pt>
                <pt idx="113">
                  <v>-1.554722335679027</v>
                </pt>
                <pt idx="114">
                  <v>-1.572395494678919</v>
                </pt>
                <pt idx="115">
                  <v>-1.550161527898744</v>
                </pt>
                <pt idx="116">
                  <v>-1.582745467689483</v>
                </pt>
                <pt idx="117">
                  <v>-1.60066835659079</v>
                </pt>
                <pt idx="118">
                  <v>-1.736910446840795</v>
                </pt>
                <pt idx="119">
                  <v>-1.699078949908181</v>
                </pt>
                <pt idx="120">
                  <v>-1.815525518455825</v>
                </pt>
                <pt idx="121">
                  <v>-1.928233289089937</v>
                </pt>
                <pt idx="122">
                  <v>-1.943608616544922</v>
                </pt>
                <pt idx="123">
                  <v>-2.094996746268638</v>
                </pt>
                <pt idx="124">
                  <v>-2.115707776732263</v>
                </pt>
                <pt idx="125">
                  <v>-2.179992777350866</v>
                </pt>
                <pt idx="126">
                  <v>-1.934893613442386</v>
                </pt>
                <pt idx="127">
                  <v>-1.981072554277344</v>
                </pt>
                <pt idx="128">
                  <v>-1.982215124007285</v>
                </pt>
                <pt idx="129">
                  <v>-2.012904233405088</v>
                </pt>
                <pt idx="130">
                  <v>-2.095188775635527</v>
                </pt>
                <pt idx="131">
                  <v>-2.242610343545199</v>
                </pt>
                <pt idx="132">
                  <v>-2.244858899989653</v>
                </pt>
                <pt idx="133">
                  <v>-2.273768786449109</v>
                </pt>
                <pt idx="134">
                  <v>-2.669555744821594</v>
                </pt>
                <pt idx="135">
                  <v>-2.692831134730357</v>
                </pt>
                <pt idx="136">
                  <v>-2.592343494778012</v>
                </pt>
                <pt idx="137">
                  <v>-2.669954629839919</v>
                </pt>
                <pt idx="138">
                  <v>-2.809136771548031</v>
                </pt>
                <pt idx="139">
                  <v>-2.903664155960599</v>
                </pt>
              </numCache>
            </numRef>
          </val>
          <smooth val="0"/>
        </ser>
        <ser>
          <idx val="5"/>
          <order val="5"/>
          <tx>
            <strRef>
              <f>畫圖0!$B$17</f>
              <strCache>
                <ptCount val="1"/>
                <pt idx="0">
                  <v>130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畫圖0!$C$17:$EL$17</f>
              <numCache>
                <formatCode>General</formatCode>
                <ptCount val="140"/>
                <pt idx="0">
                  <v>0.2378970514581851</v>
                </pt>
                <pt idx="1">
                  <v>0.2383065009371679</v>
                </pt>
                <pt idx="2">
                  <v>0.1807550942427325</v>
                </pt>
                <pt idx="3">
                  <v>0.3696527984485745</v>
                </pt>
                <pt idx="4">
                  <v>0.3302529037468596</v>
                </pt>
                <pt idx="5">
                  <v>0.4185882741532224</v>
                </pt>
                <pt idx="6">
                  <v>0.2648198594310007</v>
                </pt>
                <pt idx="7">
                  <v>0.1051788484475701</v>
                </pt>
                <pt idx="8">
                  <v>-0.176486433612529</v>
                </pt>
                <pt idx="9">
                  <v>-0.1688480327695881</v>
                </pt>
                <pt idx="10">
                  <v>-0.1188692846475438</v>
                </pt>
                <pt idx="11">
                  <v>-0.2359321812845496</v>
                </pt>
                <pt idx="12">
                  <v>-0.1735660518602124</v>
                </pt>
                <pt idx="13">
                  <v>-0.2513974840950849</v>
                </pt>
                <pt idx="14">
                  <v>-0.3796601690410835</v>
                </pt>
                <pt idx="15">
                  <v>-0.3111883928025745</v>
                </pt>
                <pt idx="16">
                  <v>-0.4444146031661743</v>
                </pt>
                <pt idx="17">
                  <v>-0.4869114889598164</v>
                </pt>
                <pt idx="18">
                  <v>-0.6483167475754096</v>
                </pt>
                <pt idx="19">
                  <v>-0.6381179884446682</v>
                </pt>
                <pt idx="20">
                  <v>-0.7361889174948845</v>
                </pt>
                <pt idx="21">
                  <v>-0.8702802220777374</v>
                </pt>
                <pt idx="22">
                  <v>-0.9035530858612726</v>
                </pt>
                <pt idx="23">
                  <v>-0.9384028715837954</v>
                </pt>
                <pt idx="24">
                  <v>-0.9895318992540622</v>
                </pt>
                <pt idx="25">
                  <v>-1.075417130293334</v>
                </pt>
                <pt idx="26">
                  <v>-1.131918391724086</v>
                </pt>
                <pt idx="27">
                  <v>-1.091790401322752</v>
                </pt>
                <pt idx="28">
                  <v>-1.215891337476111</v>
                </pt>
                <pt idx="29">
                  <v>-1.279536865016605</v>
                </pt>
                <pt idx="30">
                  <v>-1.345971964059753</v>
                </pt>
                <pt idx="31">
                  <v>-1.395409506340294</v>
                </pt>
                <pt idx="32">
                  <v>-1.358165776546025</v>
                </pt>
                <pt idx="33">
                  <v>-1.315915749559794</v>
                </pt>
                <pt idx="34">
                  <v>-1.347728235559614</v>
                </pt>
                <pt idx="35">
                  <v>-1.379569706261102</v>
                </pt>
                <pt idx="36">
                  <v>-1.335042062326093</v>
                </pt>
                <pt idx="37">
                  <v>-1.220010354794513</v>
                </pt>
                <pt idx="38">
                  <v>-1.201244034937896</v>
                </pt>
                <pt idx="39">
                  <v>-1.286446805559917</v>
                </pt>
                <pt idx="40">
                  <v>-1.250606417571433</v>
                </pt>
                <pt idx="41">
                  <v>-1.124495971937026</v>
                </pt>
                <pt idx="42">
                  <v>-1.103617727376774</v>
                </pt>
                <pt idx="43">
                  <v>-1.045063022617182</v>
                </pt>
                <pt idx="44">
                  <v>-1.089417485824755</v>
                </pt>
                <pt idx="45">
                  <v>-1.065716928127707</v>
                </pt>
                <pt idx="46">
                  <v>-1.053189261874121</v>
                </pt>
                <pt idx="47">
                  <v>-1.101052604670004</v>
                </pt>
                <pt idx="48">
                  <v>-1.06242675437512</v>
                </pt>
                <pt idx="49">
                  <v>-0.9915254817370494</v>
                </pt>
                <pt idx="50">
                  <v>-1.001221884925758</v>
                </pt>
                <pt idx="51">
                  <v>-1.143539260264932</v>
                </pt>
                <pt idx="52">
                  <v>-1.061621342604935</v>
                </pt>
                <pt idx="53">
                  <v>-0.9834489219772293</v>
                </pt>
                <pt idx="54">
                  <v>-1.019359491094082</v>
                </pt>
                <pt idx="55">
                  <v>-1.091952293555187</v>
                </pt>
                <pt idx="56">
                  <v>-1.105446642815981</v>
                </pt>
                <pt idx="57">
                  <v>-1.171487144134632</v>
                </pt>
                <pt idx="58">
                  <v>-1.245056577933098</v>
                </pt>
                <pt idx="59">
                  <v>-1.205238262759658</v>
                </pt>
                <pt idx="60">
                  <v>-1.149603944602053</v>
                </pt>
                <pt idx="61">
                  <v>-1.227891290096656</v>
                </pt>
                <pt idx="62">
                  <v>-1.157980868388341</v>
                </pt>
                <pt idx="63">
                  <v>-1.214362920136226</v>
                </pt>
                <pt idx="64">
                  <v>-1.224631549915623</v>
                </pt>
                <pt idx="65">
                  <v>-1.188786708460489</v>
                </pt>
                <pt idx="66">
                  <v>-1.228300234321817</v>
                </pt>
                <pt idx="67">
                  <v>-1.260768909795648</v>
                </pt>
                <pt idx="68">
                  <v>-1.250140408817921</v>
                </pt>
                <pt idx="69">
                  <v>-1.198858367699987</v>
                </pt>
                <pt idx="70">
                  <v>-1.16295031764022</v>
                </pt>
                <pt idx="71">
                  <v>-1.275182391387826</v>
                </pt>
                <pt idx="72">
                  <v>-1.196750512315024</v>
                </pt>
                <pt idx="73">
                  <v>-1.199180983778453</v>
                </pt>
                <pt idx="74">
                  <v>-1.30402733168775</v>
                </pt>
                <pt idx="75">
                  <v>-1.185850415910091</v>
                </pt>
                <pt idx="76">
                  <v>-1.205267096833906</v>
                </pt>
                <pt idx="77">
                  <v>-1.14895665304808</v>
                </pt>
                <pt idx="78">
                  <v>-1.213571730461963</v>
                </pt>
                <pt idx="79">
                  <v>-1.359802984567731</v>
                </pt>
                <pt idx="80">
                  <v>-1.201524185320608</v>
                </pt>
                <pt idx="81">
                  <v>-1.276916869404941</v>
                </pt>
                <pt idx="82">
                  <v>-1.30835310202477</v>
                </pt>
                <pt idx="83">
                  <v>-1.391225481824439</v>
                </pt>
                <pt idx="84">
                  <v>-1.335312193018411</v>
                </pt>
                <pt idx="85">
                  <v>-1.416937291891671</v>
                </pt>
                <pt idx="86">
                  <v>-1.372740922282253</v>
                </pt>
                <pt idx="87">
                  <v>-1.032452726960655</v>
                </pt>
                <pt idx="88">
                  <v>-1.00219733855852</v>
                </pt>
                <pt idx="89">
                  <v>-1.073799072428145</v>
                </pt>
                <pt idx="90">
                  <v>-0.9414670102405267</v>
                </pt>
                <pt idx="91">
                  <v>-1.061642822052347</v>
                </pt>
                <pt idx="92">
                  <v>-1.055449018388682</v>
                </pt>
                <pt idx="93">
                  <v>-1.017475650447203</v>
                </pt>
                <pt idx="94">
                  <v>-1.00836422919813</v>
                </pt>
                <pt idx="95">
                  <v>-1.114603753382322</v>
                </pt>
                <pt idx="96">
                  <v>-1.075966009364379</v>
                </pt>
                <pt idx="97">
                  <v>-1.058468437507581</v>
                </pt>
                <pt idx="98">
                  <v>-1.067995781042259</v>
                </pt>
                <pt idx="99">
                  <v>-1.117060786721217</v>
                </pt>
                <pt idx="100">
                  <v>-1.175071469960652</v>
                </pt>
                <pt idx="101">
                  <v>-1.341310249770934</v>
                </pt>
                <pt idx="102">
                  <v>-1.390137878342284</v>
                </pt>
                <pt idx="103">
                  <v>-1.411582946880025</v>
                </pt>
                <pt idx="104">
                  <v>-1.437385279182521</v>
                </pt>
                <pt idx="105">
                  <v>-1.598612052475154</v>
                </pt>
                <pt idx="106">
                  <v>-1.573560400148086</v>
                </pt>
                <pt idx="107">
                  <v>-1.576701942283784</v>
                </pt>
                <pt idx="108">
                  <v>-1.530387277661407</v>
                </pt>
                <pt idx="109">
                  <v>-1.595206238212182</v>
                </pt>
                <pt idx="110">
                  <v>-1.596247197460875</v>
                </pt>
                <pt idx="111">
                  <v>-1.595650129976352</v>
                </pt>
                <pt idx="112">
                  <v>-1.479556284996369</v>
                </pt>
                <pt idx="113">
                  <v>-1.405921236692665</v>
                </pt>
                <pt idx="114">
                  <v>-1.357896040821535</v>
                </pt>
                <pt idx="115">
                  <v>-1.303354832762762</v>
                </pt>
                <pt idx="116">
                  <v>-1.345230238754272</v>
                </pt>
                <pt idx="117">
                  <v>-1.376950363090584</v>
                </pt>
                <pt idx="118">
                  <v>-1.521582555352102</v>
                </pt>
                <pt idx="119">
                  <v>-1.467854434961291</v>
                </pt>
                <pt idx="120">
                  <v>-1.617701911268727</v>
                </pt>
                <pt idx="121">
                  <v>-1.72519837576197</v>
                </pt>
                <pt idx="122">
                  <v>-1.771206266289279</v>
                </pt>
                <pt idx="123">
                  <v>-1.939004311454043</v>
                </pt>
                <pt idx="124">
                  <v>-1.936318813281535</v>
                </pt>
                <pt idx="125">
                  <v>-2.008679334610826</v>
                </pt>
                <pt idx="126">
                  <v>-1.757998774387086</v>
                </pt>
                <pt idx="127">
                  <v>-1.791848507907406</v>
                </pt>
                <pt idx="128">
                  <v>-1.82499620773715</v>
                </pt>
                <pt idx="129">
                  <v>-1.876165522433114</v>
                </pt>
                <pt idx="130">
                  <v>-1.932868971293666</v>
                </pt>
                <pt idx="131">
                  <v>-2.097198838184674</v>
                </pt>
                <pt idx="132">
                  <v>-2.123612980122441</v>
                </pt>
                <pt idx="133">
                  <v>-2.138087996498673</v>
                </pt>
                <pt idx="134">
                  <v>-2.580254709607476</v>
                </pt>
                <pt idx="135">
                  <v>-2.600493516190583</v>
                </pt>
                <pt idx="136">
                  <v>-2.510949748517834</v>
                </pt>
                <pt idx="137">
                  <v>-2.587822153956248</v>
                </pt>
                <pt idx="138">
                  <v>-2.716056471166366</v>
                </pt>
                <pt idx="139">
                  <v>-2.809582673746593</v>
                </pt>
              </numCache>
            </numRef>
          </val>
          <smooth val="0"/>
        </ser>
        <ser>
          <idx val="6"/>
          <order val="6"/>
          <tx>
            <strRef>
              <f>畫圖0!$B$18</f>
              <strCache>
                <ptCount val="1"/>
                <pt idx="0">
                  <v>150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畫圖0!$C$18:$EL$18</f>
              <numCache>
                <formatCode>General</formatCode>
                <ptCount val="140"/>
                <pt idx="0">
                  <v>0.2436872854011519</v>
                </pt>
                <pt idx="1">
                  <v>0.2645057811738382</v>
                </pt>
                <pt idx="2">
                  <v>0.1882297185538305</v>
                </pt>
                <pt idx="3">
                  <v>0.4013533965581721</v>
                </pt>
                <pt idx="4">
                  <v>0.3529324999901595</v>
                </pt>
                <pt idx="5">
                  <v>0.4549310910083144</v>
                </pt>
                <pt idx="6">
                  <v>0.3067195205969518</v>
                </pt>
                <pt idx="7">
                  <v>0.113519893470463</v>
                </pt>
                <pt idx="8">
                  <v>-0.2012029185212438</v>
                </pt>
                <pt idx="9">
                  <v>-0.1932486797349177</v>
                </pt>
                <pt idx="10">
                  <v>-0.1217246661873188</v>
                </pt>
                <pt idx="11">
                  <v>-0.2431336244254849</v>
                </pt>
                <pt idx="12">
                  <v>-0.1536046591327398</v>
                </pt>
                <pt idx="13">
                  <v>-0.2185897798266638</v>
                </pt>
                <pt idx="14">
                  <v>-0.3688599047482213</v>
                </pt>
                <pt idx="15">
                  <v>-0.2923224244950937</v>
                </pt>
                <pt idx="16">
                  <v>-0.4507537407109917</v>
                </pt>
                <pt idx="17">
                  <v>-0.4801543518983041</v>
                </pt>
                <pt idx="18">
                  <v>-0.6311989447224551</v>
                </pt>
                <pt idx="19">
                  <v>-0.6140480370262084</v>
                </pt>
                <pt idx="20">
                  <v>-0.7300548572826842</v>
                </pt>
                <pt idx="21">
                  <v>-0.8568851382559515</v>
                </pt>
                <pt idx="22">
                  <v>-0.8981488645931228</v>
                </pt>
                <pt idx="23">
                  <v>-0.977242339256569</v>
                </pt>
                <pt idx="24">
                  <v>-1.0290429695334</v>
                </pt>
                <pt idx="25">
                  <v>-1.12386439091625</v>
                </pt>
                <pt idx="26">
                  <v>-1.192456435105913</v>
                </pt>
                <pt idx="27">
                  <v>-1.143115240522368</v>
                </pt>
                <pt idx="28">
                  <v>-1.286998838128026</v>
                </pt>
                <pt idx="29">
                  <v>-1.364697399799137</v>
                </pt>
                <pt idx="30">
                  <v>-1.419939957158729</v>
                </pt>
                <pt idx="31">
                  <v>-1.460137418127244</v>
                </pt>
                <pt idx="32">
                  <v>-1.414591048311857</v>
                </pt>
                <pt idx="33">
                  <v>-1.371917885515941</v>
                </pt>
                <pt idx="34">
                  <v>-1.369730404547267</v>
                </pt>
                <pt idx="35">
                  <v>-1.395976223114227</v>
                </pt>
                <pt idx="36">
                  <v>-1.36361158523719</v>
                </pt>
                <pt idx="37">
                  <v>-1.236323088935981</v>
                </pt>
                <pt idx="38">
                  <v>-1.203965104961927</v>
                </pt>
                <pt idx="39">
                  <v>-1.290858226294807</v>
                </pt>
                <pt idx="40">
                  <v>-1.248028045262278</v>
                </pt>
                <pt idx="41">
                  <v>-1.136840740701746</v>
                </pt>
                <pt idx="42">
                  <v>-1.108196904007748</v>
                </pt>
                <pt idx="43">
                  <v>-1.057955590285817</v>
                </pt>
                <pt idx="44">
                  <v>-1.109581089055156</v>
                </pt>
                <pt idx="45">
                  <v>-1.095265782868682</v>
                </pt>
                <pt idx="46">
                  <v>-1.085649328717262</v>
                </pt>
                <pt idx="47">
                  <v>-1.11717614556035</v>
                </pt>
                <pt idx="48">
                  <v>-1.02984610420941</v>
                </pt>
                <pt idx="49">
                  <v>-0.9385022086723417</v>
                </pt>
                <pt idx="50">
                  <v>-0.9206411802549676</v>
                </pt>
                <pt idx="51">
                  <v>-1.070925167201945</v>
                </pt>
                <pt idx="52">
                  <v>-0.9886363419044103</v>
                </pt>
                <pt idx="53">
                  <v>-0.9367692700360613</v>
                </pt>
                <pt idx="54">
                  <v>-1.007808147503308</v>
                </pt>
                <pt idx="55">
                  <v>-1.049209739042907</v>
                </pt>
                <pt idx="56">
                  <v>-1.066602719168814</v>
                </pt>
                <pt idx="57">
                  <v>-1.085916038473056</v>
                </pt>
                <pt idx="58">
                  <v>-1.19294725817646</v>
                </pt>
                <pt idx="59">
                  <v>-1.161040402620483</v>
                </pt>
                <pt idx="60">
                  <v>-1.113965871242729</v>
                </pt>
                <pt idx="61">
                  <v>-1.201187357955399</v>
                </pt>
                <pt idx="62">
                  <v>-1.143497827544653</v>
                </pt>
                <pt idx="63">
                  <v>-1.200889381284314</v>
                </pt>
                <pt idx="64">
                  <v>-1.22140584883568</v>
                </pt>
                <pt idx="65">
                  <v>-1.196236595704257</v>
                </pt>
                <pt idx="66">
                  <v>-1.212465979116427</v>
                </pt>
                <pt idx="67">
                  <v>-1.212264920330938</v>
                </pt>
                <pt idx="68">
                  <v>-1.191683520588013</v>
                </pt>
                <pt idx="69">
                  <v>-1.100985125159724</v>
                </pt>
                <pt idx="70">
                  <v>-1.085390026502125</v>
                </pt>
                <pt idx="71">
                  <v>-1.222067932845121</v>
                </pt>
                <pt idx="72">
                  <v>-1.142249523798835</v>
                </pt>
                <pt idx="73">
                  <v>-1.173258424851395</v>
                </pt>
                <pt idx="74">
                  <v>-1.262940244289257</v>
                </pt>
                <pt idx="75">
                  <v>-1.112143150479486</v>
                </pt>
                <pt idx="76">
                  <v>-1.13536713439771</v>
                </pt>
                <pt idx="77">
                  <v>-1.081150806504336</v>
                </pt>
                <pt idx="78">
                  <v>-1.154793566488381</v>
                </pt>
                <pt idx="79">
                  <v>-1.320467760284373</v>
                </pt>
                <pt idx="80">
                  <v>-1.186535153374791</v>
                </pt>
                <pt idx="81">
                  <v>-1.278849576536949</v>
                </pt>
                <pt idx="82">
                  <v>-1.321426148314339</v>
                </pt>
                <pt idx="83">
                  <v>-1.429539559589555</v>
                </pt>
                <pt idx="84">
                  <v>-1.399285149932496</v>
                </pt>
                <pt idx="85">
                  <v>-1.498224656273504</v>
                </pt>
                <pt idx="86">
                  <v>-1.424456127781258</v>
                </pt>
                <pt idx="87">
                  <v>-1.056706011235981</v>
                </pt>
                <pt idx="88">
                  <v>-1.041850384680753</v>
                </pt>
                <pt idx="89">
                  <v>-1.125080349488371</v>
                </pt>
                <pt idx="90">
                  <v>-0.9813366918178271</v>
                </pt>
                <pt idx="91">
                  <v>-1.112194706610953</v>
                </pt>
                <pt idx="92">
                  <v>-1.116612194118217</v>
                </pt>
                <pt idx="93">
                  <v>-1.065068195905053</v>
                </pt>
                <pt idx="94">
                  <v>-1.059931705676094</v>
                </pt>
                <pt idx="95">
                  <v>-1.177099865091316</v>
                </pt>
                <pt idx="96">
                  <v>-1.146331817960848</v>
                </pt>
                <pt idx="97">
                  <v>-1.100363647232235</v>
                </pt>
                <pt idx="98">
                  <v>-1.106095417678543</v>
                </pt>
                <pt idx="99">
                  <v>-1.158743508940686</v>
                </pt>
                <pt idx="100">
                  <v>-1.218328996597053</v>
                </pt>
                <pt idx="101">
                  <v>-1.4183577978342</v>
                </pt>
                <pt idx="102">
                  <v>-1.471671921550204</v>
                </pt>
                <pt idx="103">
                  <v>-1.493665427996069</v>
                </pt>
                <pt idx="104">
                  <v>-1.510004339005858</v>
                </pt>
                <pt idx="105">
                  <v>-1.709097078512486</v>
                </pt>
                <pt idx="106">
                  <v>-1.67523078809895</v>
                </pt>
                <pt idx="107">
                  <v>-1.712120273631856</v>
                </pt>
                <pt idx="108">
                  <v>-1.667872626302848</v>
                </pt>
                <pt idx="109">
                  <v>-1.730417335045161</v>
                </pt>
                <pt idx="110">
                  <v>-1.703836327101978</v>
                </pt>
                <pt idx="111">
                  <v>-1.703929604906463</v>
                </pt>
                <pt idx="112">
                  <v>-1.577681003673348</v>
                </pt>
                <pt idx="113">
                  <v>-1.514780913271182</v>
                </pt>
                <pt idx="114">
                  <v>-1.484394303002654</v>
                </pt>
                <pt idx="115">
                  <v>-1.461724798344482</v>
                </pt>
                <pt idx="116">
                  <v>-1.507949820729869</v>
                </pt>
                <pt idx="117">
                  <v>-1.525817952344197</v>
                </pt>
                <pt idx="118">
                  <v>-1.699997058910204</v>
                </pt>
                <pt idx="119">
                  <v>-1.647898730947758</v>
                </pt>
                <pt idx="120">
                  <v>-1.824799376831063</v>
                </pt>
                <pt idx="121">
                  <v>-1.957225355294145</v>
                </pt>
                <pt idx="122">
                  <v>-2.028731229248506</v>
                </pt>
                <pt idx="123">
                  <v>-2.221394905029767</v>
                </pt>
                <pt idx="124">
                  <v>-2.21018982379557</v>
                </pt>
                <pt idx="125">
                  <v>-2.272784901913634</v>
                </pt>
                <pt idx="126">
                  <v>-1.994186308674541</v>
                </pt>
                <pt idx="127">
                  <v>-1.995357783955474</v>
                </pt>
                <pt idx="128">
                  <v>-2.030600511368277</v>
                </pt>
                <pt idx="129">
                  <v>-2.061691627071566</v>
                </pt>
                <pt idx="130">
                  <v>-2.113556867460209</v>
                </pt>
                <pt idx="131">
                  <v>-2.274783354550373</v>
                </pt>
                <pt idx="132">
                  <v>-2.29274548564706</v>
                </pt>
                <pt idx="133">
                  <v>-2.313544566581207</v>
                </pt>
                <pt idx="134">
                  <v>-2.8052865876558</v>
                </pt>
                <pt idx="135">
                  <v>-2.828761348361116</v>
                </pt>
                <pt idx="136">
                  <v>-2.74726220885003</v>
                </pt>
                <pt idx="137">
                  <v>-2.799879677652242</v>
                </pt>
                <pt idx="138">
                  <v>-2.933549630940573</v>
                </pt>
                <pt idx="139">
                  <v>-2.978272272244241</v>
                </pt>
              </numCache>
            </numRef>
          </val>
          <smooth val="0"/>
        </ser>
        <ser>
          <idx val="7"/>
          <order val="7"/>
          <tx>
            <strRef>
              <f>畫圖0!$B$19</f>
              <strCache>
                <ptCount val="1"/>
                <pt idx="0">
                  <v>180</v>
                </pt>
              </strCache>
            </strRef>
          </tx>
          <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畫圖0!$C$19:$EL$19</f>
              <numCache>
                <formatCode>General</formatCode>
                <ptCount val="140"/>
                <pt idx="0">
                  <v>0.2582503737473393</v>
                </pt>
                <pt idx="1">
                  <v>0.2853542149709731</v>
                </pt>
                <pt idx="2">
                  <v>0.2348708478876176</v>
                </pt>
                <pt idx="3">
                  <v>0.5096995049578537</v>
                </pt>
                <pt idx="4">
                  <v>0.4554043624882663</v>
                </pt>
                <pt idx="5">
                  <v>0.5883405240151083</v>
                </pt>
                <pt idx="6">
                  <v>0.4052075372660443</v>
                </pt>
                <pt idx="7">
                  <v>0.1991522322722937</v>
                </pt>
                <pt idx="8">
                  <v>-0.1896041404365978</v>
                </pt>
                <pt idx="9">
                  <v>-0.1825225771631519</v>
                </pt>
                <pt idx="10">
                  <v>-0.104213253848342</v>
                </pt>
                <pt idx="11">
                  <v>-0.174380425650617</v>
                </pt>
                <pt idx="12">
                  <v>-0.09054594464896962</v>
                </pt>
                <pt idx="13">
                  <v>-0.1714459747497041</v>
                </pt>
                <pt idx="14">
                  <v>-0.3234528869516362</v>
                </pt>
                <pt idx="15">
                  <v>-0.2331537963207799</v>
                </pt>
                <pt idx="16">
                  <v>-0.3997243637498146</v>
                </pt>
                <pt idx="17">
                  <v>-0.4233517614089524</v>
                </pt>
                <pt idx="18">
                  <v>-0.5511427520778305</v>
                </pt>
                <pt idx="19">
                  <v>-0.5456707736006562</v>
                </pt>
                <pt idx="20">
                  <v>-0.6757766138774612</v>
                </pt>
                <pt idx="21">
                  <v>-0.7730242163697191</v>
                </pt>
                <pt idx="22">
                  <v>-0.81413571830056</v>
                </pt>
                <pt idx="23">
                  <v>-0.8939237919699941</v>
                </pt>
                <pt idx="24">
                  <v>-0.9472719257846083</v>
                </pt>
                <pt idx="25">
                  <v>-1.026276512119134</v>
                </pt>
                <pt idx="26">
                  <v>-1.075238496453228</v>
                </pt>
                <pt idx="27">
                  <v>-1.034728277046794</v>
                </pt>
                <pt idx="28">
                  <v>-1.191980189251836</v>
                </pt>
                <pt idx="29">
                  <v>-1.280206952440577</v>
                </pt>
                <pt idx="30">
                  <v>-1.328884186318461</v>
                </pt>
                <pt idx="31">
                  <v>-1.385441901540164</v>
                </pt>
                <pt idx="32">
                  <v>-1.308258054360422</v>
                </pt>
                <pt idx="33">
                  <v>-1.261421967933444</v>
                </pt>
                <pt idx="34">
                  <v>-1.268974010439397</v>
                </pt>
                <pt idx="35">
                  <v>-1.29357151437932</v>
                </pt>
                <pt idx="36">
                  <v>-1.26098649762205</v>
                </pt>
                <pt idx="37">
                  <v>-1.143664159237789</v>
                </pt>
                <pt idx="38">
                  <v>-1.12567758225925</v>
                </pt>
                <pt idx="39">
                  <v>-1.221398232907089</v>
                </pt>
                <pt idx="40">
                  <v>-1.142810187778279</v>
                </pt>
                <pt idx="41">
                  <v>-1.01612082118864</v>
                </pt>
                <pt idx="42">
                  <v>-0.9867533875774201</v>
                </pt>
                <pt idx="43">
                  <v>-0.9408759548486221</v>
                </pt>
                <pt idx="44">
                  <v>-0.9836057058197868</v>
                </pt>
                <pt idx="45">
                  <v>-0.9639628418471189</v>
                </pt>
                <pt idx="46">
                  <v>-0.9720970614661962</v>
                </pt>
                <pt idx="47">
                  <v>-1.00772494064237</v>
                </pt>
                <pt idx="48">
                  <v>-0.916891413754233</v>
                </pt>
                <pt idx="49">
                  <v>-0.7965878469131946</v>
                </pt>
                <pt idx="50">
                  <v>-0.7669886522873367</v>
                </pt>
                <pt idx="51">
                  <v>-0.9467589033334455</v>
                </pt>
                <pt idx="52">
                  <v>-0.8640332821185104</v>
                </pt>
                <pt idx="53">
                  <v>-0.8530069811710737</v>
                </pt>
                <pt idx="54">
                  <v>-0.9388987885287792</v>
                </pt>
                <pt idx="55">
                  <v>-0.9801768982587791</v>
                </pt>
                <pt idx="56">
                  <v>-1.0037323315034</v>
                </pt>
                <pt idx="57">
                  <v>-1.044732760525708</v>
                </pt>
                <pt idx="58">
                  <v>-1.134314730613962</v>
                </pt>
                <pt idx="59">
                  <v>-1.123587223553361</v>
                </pt>
                <pt idx="60">
                  <v>-1.06112660959376</v>
                </pt>
                <pt idx="61">
                  <v>-1.157774215253351</v>
                </pt>
                <pt idx="62">
                  <v>-1.068212355950813</v>
                </pt>
                <pt idx="63">
                  <v>-1.134839307978065</v>
                </pt>
                <pt idx="64">
                  <v>-1.155859157966914</v>
                </pt>
                <pt idx="65">
                  <v>-1.112826449768127</v>
                </pt>
                <pt idx="66">
                  <v>-1.146284064737974</v>
                </pt>
                <pt idx="67">
                  <v>-1.153977805557624</v>
                </pt>
                <pt idx="68">
                  <v>-1.14599261803331</v>
                </pt>
                <pt idx="69">
                  <v>-1.061949816297318</v>
                </pt>
                <pt idx="70">
                  <v>-1.039064046560911</v>
                </pt>
                <pt idx="71">
                  <v>-1.171826702741491</v>
                </pt>
                <pt idx="72">
                  <v>-1.089715600136823</v>
                </pt>
                <pt idx="73">
                  <v>-1.126956514431308</v>
                </pt>
                <pt idx="74">
                  <v>-1.263466220050365</v>
                </pt>
                <pt idx="75">
                  <v>-1.202594202608116</v>
                </pt>
                <pt idx="76">
                  <v>-1.224977111523002</v>
                </pt>
                <pt idx="77">
                  <v>-1.13692297479155</v>
                </pt>
                <pt idx="78">
                  <v>-1.219011523899598</v>
                </pt>
                <pt idx="79">
                  <v>-1.382434921291297</v>
                </pt>
                <pt idx="80">
                  <v>-1.203180673459173</v>
                </pt>
                <pt idx="81">
                  <v>-1.260229946566089</v>
                </pt>
                <pt idx="82">
                  <v>-1.287819116975737</v>
                </pt>
                <pt idx="83">
                  <v>-1.417489929282675</v>
                </pt>
                <pt idx="84">
                  <v>-1.39112679699793</v>
                </pt>
                <pt idx="85">
                  <v>-1.485604564865186</v>
                </pt>
                <pt idx="86">
                  <v>-1.396437439054871</v>
                </pt>
                <pt idx="87">
                  <v>-1.004699895473874</v>
                </pt>
                <pt idx="88">
                  <v>-1.039044752630163</v>
                </pt>
                <pt idx="89">
                  <v>-1.115700055019389</v>
                </pt>
                <pt idx="90">
                  <v>-0.945714241416248</v>
                </pt>
                <pt idx="91">
                  <v>-1.108543484001544</v>
                </pt>
                <pt idx="92">
                  <v>-1.13114130290565</v>
                </pt>
                <pt idx="93">
                  <v>-1.055995487527736</v>
                </pt>
                <pt idx="94">
                  <v>-1.07253615721482</v>
                </pt>
                <pt idx="95">
                  <v>-1.194709671312571</v>
                </pt>
                <pt idx="96">
                  <v>-1.162789732109326</v>
                </pt>
                <pt idx="97">
                  <v>-1.114740472244903</v>
                </pt>
                <pt idx="98">
                  <v>-1.13346391238888</v>
                </pt>
                <pt idx="99">
                  <v>-1.252343709635524</v>
                </pt>
                <pt idx="100">
                  <v>-1.315932696350411</v>
                </pt>
                <pt idx="101">
                  <v>-1.538617854515656</v>
                </pt>
                <pt idx="102">
                  <v>-1.603763779449089</v>
                </pt>
                <pt idx="103">
                  <v>-1.634944589332188</v>
                </pt>
                <pt idx="104">
                  <v>-1.57635034053009</v>
                </pt>
                <pt idx="105">
                  <v>-1.820337908576672</v>
                </pt>
                <pt idx="106">
                  <v>-1.839949682577391</v>
                </pt>
                <pt idx="107">
                  <v>-1.801590483878077</v>
                </pt>
                <pt idx="108">
                  <v>-1.757744478425624</v>
                </pt>
                <pt idx="109">
                  <v>-1.812790263401373</v>
                </pt>
                <pt idx="110">
                  <v>-1.782793369200109</v>
                </pt>
                <pt idx="111">
                  <v>-1.761288889753253</v>
                </pt>
                <pt idx="112">
                  <v>-1.688729756286777</v>
                </pt>
                <pt idx="113">
                  <v>-1.618859481365536</v>
                </pt>
                <pt idx="114">
                  <v>-1.583403297649371</v>
                </pt>
                <pt idx="115">
                  <v>-1.550479579370385</v>
                </pt>
                <pt idx="116">
                  <v>-1.602481600735244</v>
                </pt>
                <pt idx="117">
                  <v>-1.630192831884428</v>
                </pt>
                <pt idx="118">
                  <v>-1.863715301184669</v>
                </pt>
                <pt idx="119">
                  <v>-1.813469055196621</v>
                </pt>
                <pt idx="120">
                  <v>-2.025506357487425</v>
                </pt>
                <pt idx="121">
                  <v>-2.17777821118423</v>
                </pt>
                <pt idx="122">
                  <v>-2.286311821874409</v>
                </pt>
                <pt idx="123">
                  <v>-2.464023795068203</v>
                </pt>
                <pt idx="124">
                  <v>-2.478583822136418</v>
                </pt>
                <pt idx="125">
                  <v>-2.545952482800433</v>
                </pt>
                <pt idx="126">
                  <v>-2.277658626586534</v>
                </pt>
                <pt idx="127">
                  <v>-2.304890861607468</v>
                </pt>
                <pt idx="128">
                  <v>-2.313354056304551</v>
                </pt>
                <pt idx="129">
                  <v>-2.321879799448388</v>
                </pt>
                <pt idx="130">
                  <v>-2.357813791377951</v>
                </pt>
                <pt idx="131">
                  <v>-2.556756338984234</v>
                </pt>
                <pt idx="132">
                  <v>-2.572664811142579</v>
                </pt>
                <pt idx="133">
                  <v>-2.550710619814461</v>
                </pt>
                <pt idx="134">
                  <v>-3.13291923582857</v>
                </pt>
                <pt idx="135">
                  <v>-3.204258499466345</v>
                </pt>
                <pt idx="136">
                  <v>-3.102364076346441</v>
                </pt>
                <pt idx="137">
                  <v>-3.159907851399449</v>
                </pt>
                <pt idx="138">
                  <v>-3.265450789173159</v>
                </pt>
                <pt idx="139">
                  <v>-3.309484130928204</v>
                </pt>
              </numCache>
            </numRef>
          </val>
          <smooth val="0"/>
        </ser>
        <ser>
          <idx val="8"/>
          <order val="8"/>
          <tx>
            <strRef>
              <f>畫圖0!$B$20</f>
              <strCache>
                <ptCount val="1"/>
                <pt idx="0">
                  <v>200</v>
                </pt>
              </strCache>
            </strRef>
          </tx>
          <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畫圖0!$C$20:$EL$20</f>
              <numCache>
                <formatCode>General</formatCode>
                <ptCount val="140"/>
                <pt idx="0">
                  <v>0.241035745977561</v>
                </pt>
                <pt idx="1">
                  <v>0.2841012661955314</v>
                </pt>
                <pt idx="2">
                  <v>0.2274627572011351</v>
                </pt>
                <pt idx="3">
                  <v>0.4775960157521238</v>
                </pt>
                <pt idx="4">
                  <v>0.4315750452786709</v>
                </pt>
                <pt idx="5">
                  <v>0.5959470434073408</v>
                </pt>
                <pt idx="6">
                  <v>0.3817185463442098</v>
                </pt>
                <pt idx="7">
                  <v>0.1527128009797781</v>
                </pt>
                <pt idx="8">
                  <v>-0.3116148552305895</v>
                </pt>
                <pt idx="9">
                  <v>-0.3486210316928205</v>
                </pt>
                <pt idx="10">
                  <v>-0.2489262618684187</v>
                </pt>
                <pt idx="11">
                  <v>-0.3206343342488115</v>
                </pt>
                <pt idx="12">
                  <v>-0.2211453710868989</v>
                </pt>
                <pt idx="13">
                  <v>-0.3159631197028235</v>
                </pt>
                <pt idx="14">
                  <v>-0.4785014474306967</v>
                </pt>
                <pt idx="15">
                  <v>-0.3692483917932279</v>
                </pt>
                <pt idx="16">
                  <v>-0.5244310101209706</v>
                </pt>
                <pt idx="17">
                  <v>-0.5087680996017112</v>
                </pt>
                <pt idx="18">
                  <v>-0.6131416155583624</v>
                </pt>
                <pt idx="19">
                  <v>-0.5801380595927788</v>
                </pt>
                <pt idx="20">
                  <v>-0.7253170613298113</v>
                </pt>
                <pt idx="21">
                  <v>-0.8507445312607422</v>
                </pt>
                <pt idx="22">
                  <v>-0.8933715266945946</v>
                </pt>
                <pt idx="23">
                  <v>-0.9847912428903465</v>
                </pt>
                <pt idx="24">
                  <v>-1.011621615248511</v>
                </pt>
                <pt idx="25">
                  <v>-1.12684246113358</v>
                </pt>
                <pt idx="26">
                  <v>-1.192195125415507</v>
                </pt>
                <pt idx="27">
                  <v>-1.135453785537773</v>
                </pt>
                <pt idx="28">
                  <v>-1.317228104239275</v>
                </pt>
                <pt idx="29">
                  <v>-1.420865559946139</v>
                </pt>
                <pt idx="30">
                  <v>-1.448524778486031</v>
                </pt>
                <pt idx="31">
                  <v>-1.538702979200814</v>
                </pt>
                <pt idx="32">
                  <v>-1.448204015658207</v>
                </pt>
                <pt idx="33">
                  <v>-1.38621398111066</v>
                </pt>
                <pt idx="34">
                  <v>-1.372618865614657</v>
                </pt>
                <pt idx="35">
                  <v>-1.436354406569135</v>
                </pt>
                <pt idx="36">
                  <v>-1.401003169467367</v>
                </pt>
                <pt idx="37">
                  <v>-1.280161702994168</v>
                </pt>
                <pt idx="38">
                  <v>-1.224762544611135</v>
                </pt>
                <pt idx="39">
                  <v>-1.311507782704031</v>
                </pt>
                <pt idx="40">
                  <v>-1.219320459862761</v>
                </pt>
                <pt idx="41">
                  <v>-1.06379996385025</v>
                </pt>
                <pt idx="42">
                  <v>-0.995077561036365</v>
                </pt>
                <pt idx="43">
                  <v>-0.9675498001124221</v>
                </pt>
                <pt idx="44">
                  <v>-1.012223317067746</v>
                </pt>
                <pt idx="45">
                  <v>-0.9993703536916022</v>
                </pt>
                <pt idx="46">
                  <v>-0.9985142238280668</v>
                </pt>
                <pt idx="47">
                  <v>-1.0128349726399</v>
                </pt>
                <pt idx="48">
                  <v>-0.9005948064032823</v>
                </pt>
                <pt idx="49">
                  <v>-0.7666836368187566</v>
                </pt>
                <pt idx="50">
                  <v>-0.718356130002308</v>
                </pt>
                <pt idx="51">
                  <v>-0.9100404157472899</v>
                </pt>
                <pt idx="52">
                  <v>-0.8705180156226445</v>
                </pt>
                <pt idx="53">
                  <v>-0.8349074794306492</v>
                </pt>
                <pt idx="54">
                  <v>-0.9075306106188623</v>
                </pt>
                <pt idx="55">
                  <v>-0.9276254185919676</v>
                </pt>
                <pt idx="56">
                  <v>-0.9148263395052783</v>
                </pt>
                <pt idx="57">
                  <v>-0.9441722227696416</v>
                </pt>
                <pt idx="58">
                  <v>-1.073000408860418</v>
                </pt>
                <pt idx="59">
                  <v>-1.064174106137472</v>
                </pt>
                <pt idx="60">
                  <v>-0.999311555611158</v>
                </pt>
                <pt idx="61">
                  <v>-1.097625528830185</v>
                </pt>
                <pt idx="62">
                  <v>-1.000853028756644</v>
                </pt>
                <pt idx="63">
                  <v>-1.096279714428538</v>
                </pt>
                <pt idx="64">
                  <v>-1.119892277302363</v>
                </pt>
                <pt idx="65">
                  <v>-1.068585529618541</v>
                </pt>
                <pt idx="66">
                  <v>-1.111490476204041</v>
                </pt>
                <pt idx="67">
                  <v>-1.116879634047154</v>
                </pt>
                <pt idx="68">
                  <v>-1.091938771919661</v>
                </pt>
                <pt idx="69">
                  <v>-0.9896625220152273</v>
                </pt>
                <pt idx="70">
                  <v>-0.9810384407418535</v>
                </pt>
                <pt idx="71">
                  <v>-1.143885670337606</v>
                </pt>
                <pt idx="72">
                  <v>-1.022199308679486</v>
                </pt>
                <pt idx="73">
                  <v>-1.044456723801105</v>
                </pt>
                <pt idx="74">
                  <v>-1.1843226530465</v>
                </pt>
                <pt idx="75">
                  <v>-1.097583300376174</v>
                </pt>
                <pt idx="76">
                  <v>-1.114925288307238</v>
                </pt>
                <pt idx="77">
                  <v>-1.066700769428183</v>
                </pt>
                <pt idx="78">
                  <v>-1.161582158821913</v>
                </pt>
                <pt idx="79">
                  <v>-1.33994278632885</v>
                </pt>
                <pt idx="80">
                  <v>-1.137009097385523</v>
                </pt>
                <pt idx="81">
                  <v>-1.202939963440379</v>
                </pt>
                <pt idx="82">
                  <v>-1.18597914252825</v>
                </pt>
                <pt idx="83">
                  <v>-1.3251305432752</v>
                </pt>
                <pt idx="84">
                  <v>-1.329308016581341</v>
                </pt>
                <pt idx="85">
                  <v>-1.47143446161712</v>
                </pt>
                <pt idx="86">
                  <v>-1.380167611900001</v>
                </pt>
                <pt idx="87">
                  <v>-0.989414425100179</v>
                </pt>
                <pt idx="88">
                  <v>-1.018734020091332</v>
                </pt>
                <pt idx="89">
                  <v>-1.097427216056504</v>
                </pt>
                <pt idx="90">
                  <v>-0.8044181901179308</v>
                </pt>
                <pt idx="91">
                  <v>-0.9567874340412135</v>
                </pt>
                <pt idx="92">
                  <v>-0.9932920644406763</v>
                </pt>
                <pt idx="93">
                  <v>-0.9170281312448686</v>
                </pt>
                <pt idx="94">
                  <v>-0.9213536789353546</v>
                </pt>
                <pt idx="95">
                  <v>-0.9908417754292733</v>
                </pt>
                <pt idx="96">
                  <v>-0.9005655157219573</v>
                </pt>
                <pt idx="97">
                  <v>-0.858198637103545</v>
                </pt>
                <pt idx="98">
                  <v>-0.8444315330167569</v>
                </pt>
                <pt idx="99">
                  <v>-0.9651261786691886</v>
                </pt>
                <pt idx="100">
                  <v>-1.054638826919601</v>
                </pt>
                <pt idx="101">
                  <v>-1.256438690066026</v>
                </pt>
                <pt idx="102">
                  <v>-1.312217041097439</v>
                </pt>
                <pt idx="103">
                  <v>-1.325127484951384</v>
                </pt>
                <pt idx="104">
                  <v>-1.290566354291149</v>
                </pt>
                <pt idx="105">
                  <v>-1.560676972887679</v>
                </pt>
                <pt idx="106">
                  <v>-1.517250787178941</v>
                </pt>
                <pt idx="107">
                  <v>-1.483878279593361</v>
                </pt>
                <pt idx="108">
                  <v>-1.461151159545542</v>
                </pt>
                <pt idx="109">
                  <v>-1.536682262555317</v>
                </pt>
                <pt idx="110">
                  <v>-1.513195500792565</v>
                </pt>
                <pt idx="111">
                  <v>-1.488136859366749</v>
                </pt>
                <pt idx="112">
                  <v>-1.45516228694774</v>
                </pt>
                <pt idx="113">
                  <v>-1.362442445047365</v>
                </pt>
                <pt idx="114">
                  <v>-1.324745331458284</v>
                </pt>
                <pt idx="115">
                  <v>-1.279692006715982</v>
                </pt>
                <pt idx="116">
                  <v>-1.347640205711804</v>
                </pt>
                <pt idx="117">
                  <v>-1.384213284406062</v>
                </pt>
                <pt idx="118">
                  <v>-1.640856135379093</v>
                </pt>
                <pt idx="119">
                  <v>-1.582251572419953</v>
                </pt>
                <pt idx="120">
                  <v>-1.829182776402509</v>
                </pt>
                <pt idx="121">
                  <v>-1.985590784717594</v>
                </pt>
                <pt idx="122">
                  <v>-1.973904206612015</v>
                </pt>
                <pt idx="123">
                  <v>-2.17570469288639</v>
                </pt>
                <pt idx="124">
                  <v>-2.211587230482339</v>
                </pt>
                <pt idx="125">
                  <v>-2.280257791799658</v>
                </pt>
                <pt idx="126">
                  <v>-1.948194720730395</v>
                </pt>
                <pt idx="127">
                  <v>-1.977257032808077</v>
                </pt>
                <pt idx="128">
                  <v>-1.964976095099704</v>
                </pt>
                <pt idx="129">
                  <v>-1.935052237873856</v>
                </pt>
                <pt idx="130">
                  <v>-1.986613362140714</v>
                </pt>
                <pt idx="131">
                  <v>-2.193619956344644</v>
                </pt>
                <pt idx="132">
                  <v>-2.218880382637189</v>
                </pt>
                <pt idx="133">
                  <v>-2.191952167793036</v>
                </pt>
                <pt idx="134">
                  <v>-2.834818669167233</v>
                </pt>
                <pt idx="135">
                  <v>-2.920980878866971</v>
                </pt>
                <pt idx="136">
                  <v>-2.822762870647681</v>
                </pt>
                <pt idx="137">
                  <v>-2.860152727300546</v>
                </pt>
                <pt idx="138">
                  <v>-2.981738159402594</v>
                </pt>
                <pt idx="139">
                  <v>-2.965295575457587</v>
                </pt>
              </numCache>
            </numRef>
          </val>
          <smooth val="0"/>
        </ser>
        <ser>
          <idx val="9"/>
          <order val="9"/>
          <tx>
            <strRef>
              <f>畫圖0!$B$21</f>
              <strCache>
                <ptCount val="1"/>
                <pt idx="0">
                  <v>256</v>
                </pt>
              </strCache>
            </strRef>
          </tx>
          <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畫圖0!$C$21:$EL$21</f>
              <numCache>
                <formatCode>General</formatCode>
                <ptCount val="140"/>
                <pt idx="0">
                  <v>0.2490064650579937</v>
                </pt>
                <pt idx="1">
                  <v>0.2864441192540707</v>
                </pt>
                <pt idx="2">
                  <v>0.2288061314262108</v>
                </pt>
                <pt idx="3">
                  <v>0.3577184791437459</v>
                </pt>
                <pt idx="4">
                  <v>0.4061157419079754</v>
                </pt>
                <pt idx="5">
                  <v>0.6047838028877413</v>
                </pt>
                <pt idx="6">
                  <v>0.3874295266827315</v>
                </pt>
                <pt idx="7">
                  <v>0.1023941243613254</v>
                </pt>
                <pt idx="8">
                  <v>0.0512843702963157</v>
                </pt>
                <pt idx="9">
                  <v>-0.03614946023236666</v>
                </pt>
                <pt idx="10">
                  <v>-0.1572032546157267</v>
                </pt>
                <pt idx="11">
                  <v>-0.2431931672737934</v>
                </pt>
                <pt idx="12">
                  <v>-0.1414885111203504</v>
                </pt>
                <pt idx="13">
                  <v>-0.2518834146135857</v>
                </pt>
                <pt idx="14">
                  <v>-0.4262912980045569</v>
                </pt>
                <pt idx="15">
                  <v>-0.3307159868979267</v>
                </pt>
                <pt idx="16">
                  <v>-0.4593062723478837</v>
                </pt>
                <pt idx="17">
                  <v>-0.4733466366880886</v>
                </pt>
                <pt idx="18">
                  <v>-0.5860781238332364</v>
                </pt>
                <pt idx="19">
                  <v>-0.5669726872458</v>
                </pt>
                <pt idx="20">
                  <v>-0.7386906389681567</v>
                </pt>
                <pt idx="21">
                  <v>-0.8725206756992689</v>
                </pt>
                <pt idx="22">
                  <v>-0.9665326715094444</v>
                </pt>
                <pt idx="23">
                  <v>-1.062990103372285</v>
                </pt>
                <pt idx="24">
                  <v>-1.054456706768099</v>
                </pt>
                <pt idx="25">
                  <v>-1.171166678684538</v>
                </pt>
                <pt idx="26">
                  <v>-1.237281538202908</v>
                </pt>
                <pt idx="27">
                  <v>-1.201491350527583</v>
                </pt>
                <pt idx="28">
                  <v>-1.385163567874833</v>
                </pt>
                <pt idx="29">
                  <v>-1.488813973862053</v>
                </pt>
                <pt idx="30">
                  <v>-1.533116751651848</v>
                </pt>
                <pt idx="31">
                  <v>-1.640698114216646</v>
                </pt>
                <pt idx="32">
                  <v>-1.561103904883355</v>
                </pt>
                <pt idx="33">
                  <v>-1.490698562936886</v>
                </pt>
                <pt idx="34">
                  <v>-1.460055129199455</v>
                </pt>
                <pt idx="35">
                  <v>-1.525434951932565</v>
                </pt>
                <pt idx="36">
                  <v>-1.474133012816663</v>
                </pt>
                <pt idx="37">
                  <v>-1.367701874846862</v>
                </pt>
                <pt idx="38">
                  <v>-1.292966945693518</v>
                </pt>
                <pt idx="39">
                  <v>-1.397775118595114</v>
                </pt>
                <pt idx="40">
                  <v>-1.323331273015583</v>
                </pt>
                <pt idx="41">
                  <v>-1.11660894566581</v>
                </pt>
                <pt idx="42">
                  <v>-1.037310679215574</v>
                </pt>
                <pt idx="43">
                  <v>-1.002405437759648</v>
                </pt>
                <pt idx="44">
                  <v>-1.014932192786611</v>
                </pt>
                <pt idx="45">
                  <v>-1.063122573540052</v>
                </pt>
                <pt idx="46">
                  <v>-1.088025671730372</v>
                </pt>
                <pt idx="47">
                  <v>-1.110658610216544</v>
                </pt>
                <pt idx="48">
                  <v>-0.9716804844963698</v>
                </pt>
                <pt idx="49">
                  <v>-0.8166332915899372</v>
                </pt>
                <pt idx="50">
                  <v>-0.7685657331882967</v>
                </pt>
                <pt idx="51">
                  <v>-1.023947946187151</v>
                </pt>
                <pt idx="52">
                  <v>-0.9640517453927522</v>
                </pt>
                <pt idx="53">
                  <v>-0.9768814075152735</v>
                </pt>
                <pt idx="54">
                  <v>-0.983231940912675</v>
                </pt>
                <pt idx="55">
                  <v>-0.9868090410931096</v>
                </pt>
                <pt idx="56">
                  <v>-1.000053352567801</v>
                </pt>
                <pt idx="57">
                  <v>-0.9519996529499941</v>
                </pt>
                <pt idx="58">
                  <v>-1.066728960177394</v>
                </pt>
                <pt idx="59">
                  <v>-1.044397750715166</v>
                </pt>
                <pt idx="60">
                  <v>-0.9672574368161635</v>
                </pt>
                <pt idx="61">
                  <v>-1.081255809335383</v>
                </pt>
                <pt idx="62">
                  <v>-0.9605190079709514</v>
                </pt>
                <pt idx="63">
                  <v>-1.084347944831617</v>
                </pt>
                <pt idx="64">
                  <v>-0.9777309042897333</v>
                </pt>
                <pt idx="65">
                  <v>-0.8951787840943655</v>
                </pt>
                <pt idx="66">
                  <v>-0.9531891290263332</v>
                </pt>
                <pt idx="67">
                  <v>-0.937806098221057</v>
                </pt>
                <pt idx="68">
                  <v>-0.8724696723136377</v>
                </pt>
                <pt idx="69">
                  <v>-0.7595951422316828</v>
                </pt>
                <pt idx="70">
                  <v>-0.7178615799652919</v>
                </pt>
                <pt idx="71">
                  <v>-0.9186657026915956</v>
                </pt>
                <pt idx="72">
                  <v>-0.7739520049548674</v>
                </pt>
                <pt idx="73">
                  <v>-0.8221899086789084</v>
                </pt>
                <pt idx="74">
                  <v>-0.9158597134921387</v>
                </pt>
                <pt idx="75">
                  <v>-0.822118067539688</v>
                </pt>
                <pt idx="76">
                  <v>-0.8864562218553749</v>
                </pt>
                <pt idx="77">
                  <v>-0.8600678392853371</v>
                </pt>
                <pt idx="78">
                  <v>-0.9896479183255894</v>
                </pt>
                <pt idx="79">
                  <v>-1.233724743610759</v>
                </pt>
                <pt idx="80">
                  <v>-0.8935743697299352</v>
                </pt>
                <pt idx="81">
                  <v>-0.9477568150786855</v>
                </pt>
                <pt idx="82">
                  <v>-0.9442809254728568</v>
                </pt>
                <pt idx="83">
                  <v>-0.9445770035412983</v>
                </pt>
                <pt idx="84">
                  <v>-0.9475808068735669</v>
                </pt>
                <pt idx="85">
                  <v>-1.186628513078426</v>
                </pt>
                <pt idx="86">
                  <v>-1.15295435418518</v>
                </pt>
                <pt idx="87">
                  <v>-0.6861727324427184</v>
                </pt>
                <pt idx="88">
                  <v>-0.6949244598295433</v>
                </pt>
                <pt idx="89">
                  <v>-0.8014196802660121</v>
                </pt>
                <pt idx="90">
                  <v>-0.4327581327740115</v>
                </pt>
                <pt idx="91">
                  <v>-0.615827758999746</v>
                </pt>
                <pt idx="92">
                  <v>-0.6571074413128375</v>
                </pt>
                <pt idx="93">
                  <v>-0.5612064971654446</v>
                </pt>
                <pt idx="94">
                  <v>-0.6074223818971072</v>
                </pt>
                <pt idx="95">
                  <v>-0.6540457193939088</v>
                </pt>
                <pt idx="96">
                  <v>-0.5362288681900704</v>
                </pt>
                <pt idx="97">
                  <v>-0.5006834825149508</v>
                </pt>
                <pt idx="98">
                  <v>-0.458233955889327</v>
                </pt>
                <pt idx="99">
                  <v>-0.5983512500275681</v>
                </pt>
                <pt idx="100">
                  <v>-0.637694159036192</v>
                </pt>
                <pt idx="101">
                  <v>-0.9331989419424565</v>
                </pt>
                <pt idx="102">
                  <v>-0.942389757831019</v>
                </pt>
                <pt idx="103">
                  <v>-0.9760748513070444</v>
                </pt>
                <pt idx="104">
                  <v>-0.9236262012904466</v>
                </pt>
                <pt idx="105">
                  <v>-1.221803040730991</v>
                </pt>
                <pt idx="106">
                  <v>-1.168706349450562</v>
                </pt>
                <pt idx="107">
                  <v>-1.106503736186238</v>
                </pt>
                <pt idx="108">
                  <v>-1.091631942096712</v>
                </pt>
                <pt idx="109">
                  <v>-1.107173796280724</v>
                </pt>
                <pt idx="110">
                  <v>-1.092795217634238</v>
                </pt>
                <pt idx="111">
                  <v>-1.077410722193103</v>
                </pt>
                <pt idx="112">
                  <v>-1.043451012546331</v>
                </pt>
                <pt idx="113">
                  <v>-0.9322099132072016</v>
                </pt>
                <pt idx="114">
                  <v>-0.9206310110644771</v>
                </pt>
                <pt idx="115">
                  <v>-0.8912026404303828</v>
                </pt>
                <pt idx="116">
                  <v>-0.9959856727449866</v>
                </pt>
                <pt idx="117">
                  <v>-0.958338909712511</v>
                </pt>
                <pt idx="118">
                  <v>-1.067892061397087</v>
                </pt>
                <pt idx="119">
                  <v>-1.049376631196731</v>
                </pt>
                <pt idx="120">
                  <v>-1.30134324584508</v>
                </pt>
                <pt idx="121">
                  <v>-1.342369406199918</v>
                </pt>
                <pt idx="122">
                  <v>-1.346607344006824</v>
                </pt>
                <pt idx="123">
                  <v>-1.610926194606987</v>
                </pt>
                <pt idx="124">
                  <v>-1.671988251686905</v>
                </pt>
                <pt idx="125">
                  <v>-1.751459755356843</v>
                </pt>
                <pt idx="126">
                  <v>-1.414974392010797</v>
                </pt>
                <pt idx="127">
                  <v>-1.42972256573466</v>
                </pt>
                <pt idx="128">
                  <v>-1.448846991767132</v>
                </pt>
                <pt idx="129">
                  <v>-1.369274393117566</v>
                </pt>
                <pt idx="130">
                  <v>-1.423820600157484</v>
                </pt>
                <pt idx="131">
                  <v>-1.515929122926814</v>
                </pt>
                <pt idx="132">
                  <v>-1.554766482780006</v>
                </pt>
                <pt idx="133">
                  <v>-1.503005132301718</v>
                </pt>
                <pt idx="134">
                  <v>-2.268503386580917</v>
                </pt>
                <pt idx="135">
                  <v>-2.322293180836168</v>
                </pt>
                <pt idx="136">
                  <v>-2.242882898538512</v>
                </pt>
                <pt idx="137">
                  <v>-2.267244793675655</v>
                </pt>
                <pt idx="138">
                  <v>-2.314378553469949</v>
                </pt>
                <pt idx="139">
                  <v>-2.340385085222934</v>
                </pt>
              </numCache>
            </numRef>
          </val>
          <smooth val="0"/>
        </ser>
        <ser>
          <idx val="10"/>
          <order val="10"/>
          <tx>
            <strRef>
              <f>畫圖0!$B$22</f>
              <strCache>
                <ptCount val="1"/>
                <pt idx="0">
                  <v>400</v>
                </pt>
              </strCache>
            </strRef>
          </tx>
          <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畫圖0!$C$22:$EL$22</f>
              <numCache>
                <formatCode>General</formatCode>
                <ptCount val="140"/>
                <pt idx="0">
                  <v>0.2888661911680884</v>
                </pt>
                <pt idx="1">
                  <v>0.2760778246225363</v>
                </pt>
                <pt idx="2">
                  <v>0.2404906605660678</v>
                </pt>
                <pt idx="3">
                  <v>0.3379246561450543</v>
                </pt>
                <pt idx="4">
                  <v>0.3792276996180304</v>
                </pt>
                <pt idx="5">
                  <v>0.5579771631056533</v>
                </pt>
                <pt idx="6">
                  <v>0.3410191029975344</v>
                </pt>
                <pt idx="7">
                  <v>-0.03507436834518557</v>
                </pt>
                <pt idx="8">
                  <v>-0.08400152890343363</v>
                </pt>
                <pt idx="9">
                  <v>-0.1524484679810457</v>
                </pt>
                <pt idx="10">
                  <v>-0.2778514608235578</v>
                </pt>
                <pt idx="11">
                  <v>-0.3930018805603046</v>
                </pt>
                <pt idx="12">
                  <v>-0.2495215345560322</v>
                </pt>
                <pt idx="13">
                  <v>-0.2764674888229163</v>
                </pt>
                <pt idx="14">
                  <v>-0.5532443826559681</v>
                </pt>
                <pt idx="15">
                  <v>-0.5166159483843801</v>
                </pt>
                <pt idx="16">
                  <v>-0.6862625039423207</v>
                </pt>
                <pt idx="17">
                  <v>-0.757914404331962</v>
                </pt>
                <pt idx="18">
                  <v>-0.847265958375239</v>
                </pt>
                <pt idx="19">
                  <v>-0.7954688662290522</v>
                </pt>
                <pt idx="20">
                  <v>-0.9497707158369701</v>
                </pt>
                <pt idx="21">
                  <v>-1.079994574429822</v>
                </pt>
                <pt idx="22">
                  <v>-1.229503021088206</v>
                </pt>
                <pt idx="23">
                  <v>-1.304104592677164</v>
                </pt>
                <pt idx="24">
                  <v>-1.321993464711643</v>
                </pt>
                <pt idx="25">
                  <v>-1.439495040473209</v>
                </pt>
                <pt idx="26">
                  <v>-1.532891419856929</v>
                </pt>
                <pt idx="27">
                  <v>-1.46321060139515</v>
                </pt>
                <pt idx="28">
                  <v>-1.701048611993459</v>
                </pt>
                <pt idx="29">
                  <v>-1.836671010544896</v>
                </pt>
                <pt idx="30">
                  <v>-1.88951255072063</v>
                </pt>
                <pt idx="31">
                  <v>-1.995378510141103</v>
                </pt>
                <pt idx="32">
                  <v>-1.901237249483717</v>
                </pt>
                <pt idx="33">
                  <v>-1.869537400157309</v>
                </pt>
                <pt idx="34">
                  <v>-1.970825960897704</v>
                </pt>
                <pt idx="35">
                  <v>-2.011166927704605</v>
                </pt>
                <pt idx="36">
                  <v>-1.927078024236901</v>
                </pt>
                <pt idx="37">
                  <v>-1.749870820502648</v>
                </pt>
                <pt idx="38">
                  <v>-1.659357239694228</v>
                </pt>
                <pt idx="39">
                  <v>-1.843917829048055</v>
                </pt>
                <pt idx="40">
                  <v>-1.926595715756599</v>
                </pt>
                <pt idx="41">
                  <v>-1.679055993710961</v>
                </pt>
                <pt idx="42">
                  <v>-1.597632405142745</v>
                </pt>
                <pt idx="43">
                  <v>-1.610059979363785</v>
                </pt>
                <pt idx="44">
                  <v>-1.616158935754838</v>
                </pt>
                <pt idx="45">
                  <v>-1.666198246685794</v>
                </pt>
                <pt idx="46">
                  <v>-1.683601631308026</v>
                </pt>
                <pt idx="47">
                  <v>-1.709596906418189</v>
                </pt>
                <pt idx="48">
                  <v>-1.515254408094444</v>
                </pt>
                <pt idx="49">
                  <v>-1.493502732427563</v>
                </pt>
                <pt idx="50">
                  <v>-1.416248187963364</v>
                </pt>
                <pt idx="51">
                  <v>-1.718178132503787</v>
                </pt>
                <pt idx="52">
                  <v>-1.833719858316474</v>
                </pt>
                <pt idx="53">
                  <v>-1.777326240447183</v>
                </pt>
                <pt idx="54">
                  <v>-1.799542423841663</v>
                </pt>
                <pt idx="55">
                  <v>-1.813181241179983</v>
                </pt>
                <pt idx="56">
                  <v>-1.859460753348369</v>
                </pt>
                <pt idx="57">
                  <v>-1.731500211010237</v>
                </pt>
                <pt idx="58">
                  <v>-1.872565379371003</v>
                </pt>
                <pt idx="59">
                  <v>-1.83168766449219</v>
                </pt>
                <pt idx="60">
                  <v>-1.721791587034914</v>
                </pt>
                <pt idx="61">
                  <v>-1.917470349525793</v>
                </pt>
                <pt idx="62">
                  <v>-1.809390113160924</v>
                </pt>
                <pt idx="63">
                  <v>-1.907290442398934</v>
                </pt>
                <pt idx="64">
                  <v>-1.8150127287988</v>
                </pt>
                <pt idx="65">
                  <v>-1.734944944396521</v>
                </pt>
                <pt idx="66">
                  <v>-1.812296922668267</v>
                </pt>
                <pt idx="67">
                  <v>-1.791469902682912</v>
                </pt>
                <pt idx="68">
                  <v>-1.759863700403673</v>
                </pt>
                <pt idx="69">
                  <v>-1.652436926339179</v>
                </pt>
                <pt idx="70">
                  <v>-1.600289173129917</v>
                </pt>
                <pt idx="71">
                  <v>-1.837047975581993</v>
                </pt>
                <pt idx="72">
                  <v>-1.672724252545726</v>
                </pt>
                <pt idx="73">
                  <v>-1.744702270850793</v>
                </pt>
                <pt idx="74">
                  <v>-1.807168995380346</v>
                </pt>
                <pt idx="75">
                  <v>-1.765798012167384</v>
                </pt>
                <pt idx="76">
                  <v>-1.811813874560858</v>
                </pt>
                <pt idx="77">
                  <v>-1.699346953544214</v>
                </pt>
                <pt idx="78">
                  <v>-1.886942686497971</v>
                </pt>
                <pt idx="79">
                  <v>-2.242615783178673</v>
                </pt>
                <pt idx="80">
                  <v>-1.78823586261845</v>
                </pt>
                <pt idx="81">
                  <v>-1.890743965967413</v>
                </pt>
                <pt idx="82">
                  <v>-2.036006674220306</v>
                </pt>
                <pt idx="83">
                  <v>-2.009579511716476</v>
                </pt>
                <pt idx="84">
                  <v>-2.025439929800014</v>
                </pt>
                <pt idx="85">
                  <v>-2.234109220868969</v>
                </pt>
                <pt idx="86">
                  <v>-2.171440274621305</v>
                </pt>
                <pt idx="87">
                  <v>-1.676026389788287</v>
                </pt>
                <pt idx="88">
                  <v>-1.640555230022633</v>
                </pt>
                <pt idx="89">
                  <v>-1.609774646639857</v>
                </pt>
                <pt idx="90">
                  <v>-1.154756446531491</v>
                </pt>
                <pt idx="91">
                  <v>-1.361324423964656</v>
                </pt>
                <pt idx="92">
                  <v>-1.399646098756326</v>
                </pt>
                <pt idx="93">
                  <v>-1.312529557221621</v>
                </pt>
                <pt idx="94">
                  <v>-1.372473961613313</v>
                </pt>
                <pt idx="95">
                  <v>-1.420240060837902</v>
                </pt>
                <pt idx="96">
                  <v>-1.34695703582691</v>
                </pt>
                <pt idx="97">
                  <v>-1.312140098473214</v>
                </pt>
                <pt idx="98">
                  <v>-1.190515252075571</v>
                </pt>
                <pt idx="99">
                  <v>-1.317300778766179</v>
                </pt>
                <pt idx="100">
                  <v>-1.360267658202402</v>
                </pt>
                <pt idx="101">
                  <v>-1.712419228171295</v>
                </pt>
                <pt idx="102">
                  <v>-1.700506380068273</v>
                </pt>
                <pt idx="103">
                  <v>-1.719414566675956</v>
                </pt>
                <pt idx="104">
                  <v>-1.695331106785952</v>
                </pt>
                <pt idx="105">
                  <v>-2.079030743454616</v>
                </pt>
                <pt idx="106">
                  <v>-2.114664262932636</v>
                </pt>
                <pt idx="107">
                  <v>-2.080637302748128</v>
                </pt>
                <pt idx="108">
                  <v>-2.118019883646821</v>
                </pt>
                <pt idx="109">
                  <v>-2.010586273521475</v>
                </pt>
                <pt idx="110">
                  <v>-1.962253866503413</v>
                </pt>
                <pt idx="111">
                  <v>-2.000871237246509</v>
                </pt>
                <pt idx="112">
                  <v>-1.961078181677572</v>
                </pt>
                <pt idx="113">
                  <v>-1.836134574659911</v>
                </pt>
                <pt idx="114">
                  <v>-1.816326774964999</v>
                </pt>
                <pt idx="115">
                  <v>-1.806209174322738</v>
                </pt>
                <pt idx="116">
                  <v>-1.935905306793309</v>
                </pt>
                <pt idx="117">
                  <v>-1.933160562907727</v>
                </pt>
                <pt idx="118">
                  <v>-2.088422434706151</v>
                </pt>
                <pt idx="119">
                  <v>-2.145719467367098</v>
                </pt>
                <pt idx="120">
                  <v>-2.410853899603126</v>
                </pt>
                <pt idx="121">
                  <v>-2.521815905970841</v>
                </pt>
                <pt idx="122">
                  <v>-2.591129501616745</v>
                </pt>
                <pt idx="123">
                  <v>-2.88222511760197</v>
                </pt>
                <pt idx="124">
                  <v>-2.871033759196696</v>
                </pt>
                <pt idx="125">
                  <v>-2.954217999222949</v>
                </pt>
                <pt idx="126">
                  <v>-2.710775165221689</v>
                </pt>
                <pt idx="127">
                  <v>-2.708595443605569</v>
                </pt>
                <pt idx="128">
                  <v>-2.818258971417031</v>
                </pt>
                <pt idx="129">
                  <v>-2.729840525164258</v>
                </pt>
                <pt idx="130">
                  <v>-2.774894303062259</v>
                </pt>
                <pt idx="131">
                  <v>-2.902454092014733</v>
                </pt>
                <pt idx="132">
                  <v>-2.94601414200918</v>
                </pt>
                <pt idx="133">
                  <v>-2.88682832351768</v>
                </pt>
                <pt idx="134">
                  <v>-3.826917762079601</v>
                </pt>
                <pt idx="135">
                  <v>-3.917114089399713</v>
                </pt>
                <pt idx="136">
                  <v>-3.844433097628969</v>
                </pt>
                <pt idx="137">
                  <v>-3.907166969321898</v>
                </pt>
                <pt idx="138">
                  <v>-3.84990503087636</v>
                </pt>
                <pt idx="139">
                  <v>-3.897619977040756</v>
                </pt>
              </numCache>
            </numRef>
          </val>
          <smooth val="0"/>
        </ser>
        <ser>
          <idx val="11"/>
          <order val="11"/>
          <tx>
            <strRef>
              <f>畫圖0!$B$23</f>
              <strCache>
                <ptCount val="1"/>
                <pt idx="0">
                  <v>512</v>
                </pt>
              </strCache>
            </strRef>
          </tx>
          <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畫圖0!$C$23:$EL$23</f>
              <numCache>
                <formatCode>General</formatCode>
                <ptCount val="140"/>
                <pt idx="0">
                  <v>0.2829892656963289</v>
                </pt>
                <pt idx="1">
                  <v>0.3349321688210395</v>
                </pt>
                <pt idx="2">
                  <v>0.311159069468851</v>
                </pt>
                <pt idx="3">
                  <v>0.455042485254635</v>
                </pt>
                <pt idx="4">
                  <v>0.5469560709694278</v>
                </pt>
                <pt idx="5">
                  <v>0.7506743788484029</v>
                </pt>
                <pt idx="6">
                  <v>0.602522350248109</v>
                </pt>
                <pt idx="7">
                  <v>0.4904869992773492</v>
                </pt>
                <pt idx="8">
                  <v>0.3213697830390055</v>
                </pt>
                <pt idx="9">
                  <v>0.1571577589206745</v>
                </pt>
                <pt idx="10">
                  <v>0.03942460724229999</v>
                </pt>
                <pt idx="11">
                  <v>-0.1079183988813311</v>
                </pt>
                <pt idx="12">
                  <v>0.09664597909167097</v>
                </pt>
                <pt idx="13">
                  <v>0.09325705956444429</v>
                </pt>
                <pt idx="14">
                  <v>0.1528250764649648</v>
                </pt>
                <pt idx="15">
                  <v>0.2090362197782198</v>
                </pt>
                <pt idx="16">
                  <v>0.09531168695095775</v>
                </pt>
                <pt idx="17">
                  <v>0.094938317742479</v>
                </pt>
                <pt idx="18">
                  <v>-0.001414500177434497</v>
                </pt>
                <pt idx="19">
                  <v>0.05327796231045567</v>
                </pt>
                <pt idx="20">
                  <v>-0.1831208473224594</v>
                </pt>
                <pt idx="21">
                  <v>-0.3201922585806876</v>
                </pt>
                <pt idx="22">
                  <v>-0.554376222635545</v>
                </pt>
                <pt idx="23">
                  <v>-0.6861672282145106</v>
                </pt>
                <pt idx="24">
                  <v>-0.7410705042863188</v>
                </pt>
                <pt idx="25">
                  <v>-0.8913120522536684</v>
                </pt>
                <pt idx="26">
                  <v>-0.9886111474566064</v>
                </pt>
                <pt idx="27">
                  <v>-0.9049983175476998</v>
                </pt>
                <pt idx="28">
                  <v>-1.200040145455779</v>
                </pt>
                <pt idx="29">
                  <v>-1.26694640554553</v>
                </pt>
                <pt idx="30">
                  <v>-1.35882006319189</v>
                </pt>
                <pt idx="31">
                  <v>-1.442991647715073</v>
                </pt>
                <pt idx="32">
                  <v>-1.419763381092591</v>
                </pt>
                <pt idx="33">
                  <v>-1.46795898128272</v>
                </pt>
                <pt idx="34">
                  <v>-1.582070080629911</v>
                </pt>
                <pt idx="35">
                  <v>-1.713501793822447</v>
                </pt>
                <pt idx="36">
                  <v>-1.705732304817582</v>
                </pt>
                <pt idx="37">
                  <v>-1.463417605460281</v>
                </pt>
                <pt idx="38">
                  <v>-1.343036960684055</v>
                </pt>
                <pt idx="39">
                  <v>-1.435954727201409</v>
                </pt>
                <pt idx="40">
                  <v>-1.525379719461019</v>
                </pt>
                <pt idx="41">
                  <v>-1.188635675615952</v>
                </pt>
                <pt idx="42">
                  <v>-1.196654658223162</v>
                </pt>
                <pt idx="43">
                  <v>-1.200439611476882</v>
                </pt>
                <pt idx="44">
                  <v>-1.163019384641398</v>
                </pt>
                <pt idx="45">
                  <v>-1.175997580221386</v>
                </pt>
                <pt idx="46">
                  <v>-1.228024490059789</v>
                </pt>
                <pt idx="47">
                  <v>-1.297862643886833</v>
                </pt>
                <pt idx="48">
                  <v>-1.127628663046251</v>
                </pt>
                <pt idx="49">
                  <v>-1.06387504564519</v>
                </pt>
                <pt idx="50">
                  <v>-1.073521825725291</v>
                </pt>
                <pt idx="51">
                  <v>-1.022472341622406</v>
                </pt>
                <pt idx="52">
                  <v>-1.323300590795472</v>
                </pt>
                <pt idx="53">
                  <v>-1.228469709449022</v>
                </pt>
                <pt idx="54">
                  <v>-1.157038947051725</v>
                </pt>
                <pt idx="55">
                  <v>-1.134191956447039</v>
                </pt>
                <pt idx="56">
                  <v>-1.208953427643791</v>
                </pt>
                <pt idx="57">
                  <v>-1.005469446288504</v>
                </pt>
                <pt idx="58">
                  <v>-1.098720466100459</v>
                </pt>
                <pt idx="59">
                  <v>-1.035448121768521</v>
                </pt>
                <pt idx="60">
                  <v>-0.9726663329786887</v>
                </pt>
                <pt idx="61">
                  <v>-1.183626364342349</v>
                </pt>
                <pt idx="62">
                  <v>-1.208663826134067</v>
                </pt>
                <pt idx="63">
                  <v>-1.213372194809478</v>
                </pt>
                <pt idx="64">
                  <v>-1.020565763846532</v>
                </pt>
                <pt idx="65">
                  <v>-0.8772762242926838</v>
                </pt>
                <pt idx="66">
                  <v>-0.9815356849764071</v>
                </pt>
                <pt idx="67">
                  <v>-0.9571417226526066</v>
                </pt>
                <pt idx="68">
                  <v>-0.9079339992661224</v>
                </pt>
                <pt idx="69">
                  <v>-0.7928813110814138</v>
                </pt>
                <pt idx="70">
                  <v>-0.6585741889373444</v>
                </pt>
                <pt idx="71">
                  <v>-0.8893640023792337</v>
                </pt>
                <pt idx="72">
                  <v>-0.6742340648048833</v>
                </pt>
                <pt idx="73">
                  <v>-0.5944314742130596</v>
                </pt>
                <pt idx="74">
                  <v>-0.6881427435626036</v>
                </pt>
                <pt idx="75">
                  <v>-0.7604732418006336</v>
                </pt>
                <pt idx="76">
                  <v>-0.8763212152555019</v>
                </pt>
                <pt idx="77">
                  <v>-0.8184523746550109</v>
                </pt>
                <pt idx="78">
                  <v>-1.070596166557737</v>
                </pt>
                <pt idx="79">
                  <v>-1.528810737922928</v>
                </pt>
                <pt idx="80">
                  <v>-0.968741158947211</v>
                </pt>
                <pt idx="81">
                  <v>-1.136355540257537</v>
                </pt>
                <pt idx="82">
                  <v>-1.272691956783834</v>
                </pt>
                <pt idx="83">
                  <v>-1.199645858853459</v>
                </pt>
                <pt idx="84">
                  <v>-1.193967366618621</v>
                </pt>
                <pt idx="85">
                  <v>-1.442576480272906</v>
                </pt>
                <pt idx="86">
                  <v>-1.397939590157021</v>
                </pt>
                <pt idx="87">
                  <v>-1.057408156821848</v>
                </pt>
                <pt idx="88">
                  <v>-1.005835827230847</v>
                </pt>
                <pt idx="89">
                  <v>-1.003233398219098</v>
                </pt>
                <pt idx="90">
                  <v>-0.386717513064662</v>
                </pt>
                <pt idx="91">
                  <v>-0.6188173869230622</v>
                </pt>
                <pt idx="92">
                  <v>-0.6856168235992577</v>
                </pt>
                <pt idx="93">
                  <v>-0.6775107818486972</v>
                </pt>
                <pt idx="94">
                  <v>-0.7868764657518049</v>
                </pt>
                <pt idx="95">
                  <v>-0.829527685591216</v>
                </pt>
                <pt idx="96">
                  <v>-0.6464585624965956</v>
                </pt>
                <pt idx="97">
                  <v>-0.6193333425348442</v>
                </pt>
                <pt idx="98">
                  <v>-0.5282220695901729</v>
                </pt>
                <pt idx="99">
                  <v>-0.4853696881855883</v>
                </pt>
                <pt idx="100">
                  <v>-0.5448394131923576</v>
                </pt>
                <pt idx="101">
                  <v>-0.9925447533928951</v>
                </pt>
                <pt idx="102">
                  <v>-0.9996699866413857</v>
                </pt>
                <pt idx="103">
                  <v>-0.998592385340479</v>
                </pt>
                <pt idx="104">
                  <v>-1.112744858242124</v>
                </pt>
                <pt idx="105">
                  <v>-1.551573959207677</v>
                </pt>
                <pt idx="106">
                  <v>-1.542178733256032</v>
                </pt>
                <pt idx="107">
                  <v>-1.480236606211126</v>
                </pt>
                <pt idx="108">
                  <v>-1.515922891844335</v>
                </pt>
                <pt idx="109">
                  <v>-1.460509444535592</v>
                </pt>
                <pt idx="110">
                  <v>-1.373609838556646</v>
                </pt>
                <pt idx="111">
                  <v>-1.384528155284677</v>
                </pt>
                <pt idx="112">
                  <v>-1.106694938725834</v>
                </pt>
                <pt idx="113">
                  <v>-1.04368456932837</v>
                </pt>
                <pt idx="114">
                  <v>-0.8885163035585852</v>
                </pt>
                <pt idx="115">
                  <v>-0.7125904903881326</v>
                </pt>
                <pt idx="116">
                  <v>-0.8754561286562901</v>
                </pt>
                <pt idx="117">
                  <v>-0.9470846023467978</v>
                </pt>
                <pt idx="118">
                  <v>-1.075529042543683</v>
                </pt>
                <pt idx="119">
                  <v>-1.136025199632417</v>
                </pt>
                <pt idx="120">
                  <v>-1.353761041583835</v>
                </pt>
                <pt idx="121">
                  <v>-1.510824163620776</v>
                </pt>
                <pt idx="122">
                  <v>-1.494264285579376</v>
                </pt>
                <pt idx="123">
                  <v>-2.018621641369386</v>
                </pt>
                <pt idx="124">
                  <v>-2.025478250783818</v>
                </pt>
                <pt idx="125">
                  <v>-2.130083904529722</v>
                </pt>
                <pt idx="126">
                  <v>-1.770452919463534</v>
                </pt>
                <pt idx="127">
                  <v>-1.831008294536075</v>
                </pt>
                <pt idx="128">
                  <v>-1.940339669812511</v>
                </pt>
                <pt idx="129">
                  <v>-1.846556289660602</v>
                </pt>
                <pt idx="130">
                  <v>-1.863402226425174</v>
                </pt>
                <pt idx="131">
                  <v>-1.979674593780815</v>
                </pt>
                <pt idx="132">
                  <v>-2.049435564063216</v>
                </pt>
                <pt idx="133">
                  <v>-2.020392711236325</v>
                </pt>
                <pt idx="134">
                  <v>-3.307343730487393</v>
                </pt>
                <pt idx="135">
                  <v>-3.489294681149224</v>
                </pt>
                <pt idx="136">
                  <v>-3.440704142417478</v>
                </pt>
                <pt idx="137">
                  <v>-3.371252991172609</v>
                </pt>
                <pt idx="138">
                  <v>-3.175940324839249</v>
                </pt>
                <pt idx="139">
                  <v>-3.213807801676717</v>
                </pt>
              </numCache>
            </numRef>
          </val>
          <smooth val="0"/>
        </ser>
        <ser>
          <idx val="12"/>
          <order val="12"/>
          <tx>
            <strRef>
              <f>畫圖0!$B$24</f>
              <strCache>
                <ptCount val="1"/>
                <pt idx="0">
                  <v>1051</v>
                </pt>
              </strCache>
            </strRef>
          </tx>
          <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畫圖0!$C$24:$EL$24</f>
              <numCache>
                <formatCode>General</formatCode>
                <ptCount val="140"/>
                <pt idx="0">
                  <v>0.09911336420688274</v>
                </pt>
                <pt idx="1">
                  <v>0.2153081964605765</v>
                </pt>
                <pt idx="2">
                  <v>0.1439078662912796</v>
                </pt>
                <pt idx="3">
                  <v>0.3710674129280284</v>
                </pt>
                <pt idx="4">
                  <v>0.9399247540514719</v>
                </pt>
                <pt idx="5">
                  <v>1.186611482542042</v>
                </pt>
                <pt idx="6">
                  <v>1.188723415745185</v>
                </pt>
                <pt idx="7">
                  <v>1.243025571822133</v>
                </pt>
                <pt idx="8">
                  <v>0.8833699997452631</v>
                </pt>
                <pt idx="9">
                  <v>0.8550715636228354</v>
                </pt>
                <pt idx="10">
                  <v>0.7031752851665735</v>
                </pt>
                <pt idx="11">
                  <v>0.6425971652450989</v>
                </pt>
                <pt idx="12">
                  <v>0.8779063586505219</v>
                </pt>
                <pt idx="13">
                  <v>0.7736579442415225</v>
                </pt>
                <pt idx="14">
                  <v>0.8346229058882287</v>
                </pt>
                <pt idx="15">
                  <v>1.080320276667488</v>
                </pt>
                <pt idx="16">
                  <v>0.727805815607324</v>
                </pt>
                <pt idx="17">
                  <v>0.8514968596991133</v>
                </pt>
                <pt idx="18">
                  <v>0.8311551246132468</v>
                </pt>
                <pt idx="19">
                  <v>0.6713288323838591</v>
                </pt>
                <pt idx="20">
                  <v>0.2090705854321683</v>
                </pt>
                <pt idx="21">
                  <v>0.09104815292616437</v>
                </pt>
                <pt idx="22">
                  <v>0.1005251678525815</v>
                </pt>
                <pt idx="23">
                  <v>-0.01087101510902273</v>
                </pt>
                <pt idx="24">
                  <v>0.002676753128554537</v>
                </pt>
                <pt idx="25">
                  <v>-0.1926628695466893</v>
                </pt>
                <pt idx="26">
                  <v>-0.1922351813806237</v>
                </pt>
                <pt idx="27">
                  <v>-0.07978350539733373</v>
                </pt>
                <pt idx="28">
                  <v>-0.02816343513854161</v>
                </pt>
                <pt idx="29">
                  <v>-0.05068544517333211</v>
                </pt>
                <pt idx="30">
                  <v>-0.1838196957169308</v>
                </pt>
                <pt idx="31">
                  <v>-0.2405170557847204</v>
                </pt>
                <pt idx="32">
                  <v>-0.2493253868831477</v>
                </pt>
                <pt idx="33">
                  <v>-0.1684341428837723</v>
                </pt>
                <pt idx="34">
                  <v>-0.2533180959519646</v>
                </pt>
                <pt idx="35">
                  <v>-0.1986411604613292</v>
                </pt>
                <pt idx="36">
                  <v>-0.2175604418818559</v>
                </pt>
                <pt idx="37">
                  <v>0.003629023263575393</v>
                </pt>
                <pt idx="38">
                  <v>0.06971913509256542</v>
                </pt>
                <pt idx="39">
                  <v>0.04686741960346902</v>
                </pt>
                <pt idx="40">
                  <v>-0.000209553230776649</v>
                </pt>
                <pt idx="41">
                  <v>0.009429703376830335</v>
                </pt>
                <pt idx="42">
                  <v>-0.01852637388975973</v>
                </pt>
                <pt idx="43">
                  <v>0.01193283359494892</v>
                </pt>
                <pt idx="44">
                  <v>-0.03216248627027542</v>
                </pt>
                <pt idx="45">
                  <v>-0.1193144384571713</v>
                </pt>
                <pt idx="46">
                  <v>-0.1143268969461321</v>
                </pt>
                <pt idx="47">
                  <v>-0.1426330835345566</v>
                </pt>
                <pt idx="48">
                  <v>0.02549421035033275</v>
                </pt>
                <pt idx="49">
                  <v>-0.01237286324933243</v>
                </pt>
                <pt idx="50">
                  <v>0.04142186883530072</v>
                </pt>
                <pt idx="51">
                  <v>0.1275809022306355</v>
                </pt>
                <pt idx="52">
                  <v>-0.6756351108137419</v>
                </pt>
                <pt idx="53">
                  <v>-0.4900398915673068</v>
                </pt>
                <pt idx="54">
                  <v>-0.4439755375356199</v>
                </pt>
                <pt idx="55">
                  <v>-0.5316268735897123</v>
                </pt>
                <pt idx="56">
                  <v>-0.5584628394560232</v>
                </pt>
                <pt idx="57">
                  <v>-0.1722075025424882</v>
                </pt>
                <pt idx="58">
                  <v>-0.3958366086125353</v>
                </pt>
                <pt idx="59">
                  <v>-0.3991849243674199</v>
                </pt>
                <pt idx="60">
                  <v>-0.4032084712617061</v>
                </pt>
                <pt idx="61">
                  <v>-0.7203727651864227</v>
                </pt>
                <pt idx="62">
                  <v>-0.7088997460686856</v>
                </pt>
                <pt idx="63">
                  <v>-0.7157490879142603</v>
                </pt>
                <pt idx="64">
                  <v>-0.5546393968186184</v>
                </pt>
                <pt idx="65">
                  <v>-0.4312882156892965</v>
                </pt>
                <pt idx="66">
                  <v>-0.3671185823591814</v>
                </pt>
                <pt idx="67">
                  <v>-0.3247623590557637</v>
                </pt>
                <pt idx="68">
                  <v>-0.3234776415713068</v>
                </pt>
                <pt idx="69">
                  <v>-0.2072069455171195</v>
                </pt>
                <pt idx="70">
                  <v>0.1028413028200633</v>
                </pt>
                <pt idx="71">
                  <v>-0.004887151067919551</v>
                </pt>
                <pt idx="72">
                  <v>0.203328146435874</v>
                </pt>
                <pt idx="73">
                  <v>0.2707628678198644</v>
                </pt>
                <pt idx="74">
                  <v>0.3892889638575526</v>
                </pt>
                <pt idx="75">
                  <v>0.186708176795727</v>
                </pt>
                <pt idx="76">
                  <v>0.07795508804873871</v>
                </pt>
                <pt idx="77">
                  <v>0.1354322066751438</v>
                </pt>
                <pt idx="78">
                  <v>0.1260189881755202</v>
                </pt>
                <pt idx="79">
                  <v>-0.1130276111118551</v>
                </pt>
                <pt idx="80">
                  <v>-0.03935170913988004</v>
                </pt>
                <pt idx="81">
                  <v>-0.1561671037724729</v>
                </pt>
                <pt idx="82">
                  <v>-0.3495384967530125</v>
                </pt>
                <pt idx="83">
                  <v>-0.2482635689737019</v>
                </pt>
                <pt idx="84">
                  <v>-0.1270859796323683</v>
                </pt>
                <pt idx="85">
                  <v>-0.5358443602594443</v>
                </pt>
                <pt idx="86">
                  <v>-0.840983518904828</v>
                </pt>
                <pt idx="87">
                  <v>-0.1847822082050879</v>
                </pt>
                <pt idx="88">
                  <v>0.05017733165953994</v>
                </pt>
                <pt idx="89">
                  <v>-0.04037132531564337</v>
                </pt>
                <pt idx="90">
                  <v>0.1514670885982197</v>
                </pt>
                <pt idx="91">
                  <v>0.02217305597829633</v>
                </pt>
                <pt idx="92">
                  <v>-0.2444804802370033</v>
                </pt>
                <pt idx="93">
                  <v>-0.01190245946219476</v>
                </pt>
                <pt idx="94">
                  <v>-0.2425806220326588</v>
                </pt>
                <pt idx="95">
                  <v>-0.3329769864363691</v>
                </pt>
                <pt idx="96">
                  <v>-0.2620978500590849</v>
                </pt>
                <pt idx="97">
                  <v>-0.1482930876185955</v>
                </pt>
                <pt idx="98">
                  <v>0.007243960737917221</v>
                </pt>
                <pt idx="99">
                  <v>-0.1396924583546533</v>
                </pt>
                <pt idx="100">
                  <v>-0.101176327292422</v>
                </pt>
                <pt idx="101">
                  <v>-0.4474895414496126</v>
                </pt>
                <pt idx="102">
                  <v>-0.4229783372868577</v>
                </pt>
                <pt idx="103">
                  <v>-0.2233795681788196</v>
                </pt>
                <pt idx="104">
                  <v>-0.4178331664700375</v>
                </pt>
                <pt idx="105">
                  <v>-0.5712145472091434</v>
                </pt>
                <pt idx="106">
                  <v>-0.3951517896996084</v>
                </pt>
                <pt idx="107">
                  <v>-0.4998167657201697</v>
                </pt>
                <pt idx="108">
                  <v>-0.5589225998445138</v>
                </pt>
                <pt idx="109">
                  <v>-0.4595556193445745</v>
                </pt>
                <pt idx="110">
                  <v>-0.317680160406305</v>
                </pt>
                <pt idx="111">
                  <v>-0.4501687709155447</v>
                </pt>
                <pt idx="112">
                  <v>-0.1106595602851009</v>
                </pt>
                <pt idx="113">
                  <v>0.1024448660007803</v>
                </pt>
                <pt idx="114">
                  <v>0.1903552810802741</v>
                </pt>
                <pt idx="115">
                  <v>0.3273157357173528</v>
                </pt>
                <pt idx="116">
                  <v>0.1745885226771459</v>
                </pt>
                <pt idx="117">
                  <v>0.3006982867904545</v>
                </pt>
                <pt idx="118">
                  <v>0.1708758544557126</v>
                </pt>
                <pt idx="119">
                  <v>0.1242385436473818</v>
                </pt>
                <pt idx="120">
                  <v>-0.3955901362102273</v>
                </pt>
                <pt idx="121">
                  <v>-0.5001688000618408</v>
                </pt>
                <pt idx="122">
                  <v>-0.5832620017627934</v>
                </pt>
                <pt idx="123">
                  <v>-1.237658195327749</v>
                </pt>
                <pt idx="124">
                  <v>-1.479934891622364</v>
                </pt>
                <pt idx="125">
                  <v>-1.373752914148743</v>
                </pt>
                <pt idx="126">
                  <v>-1.029948627350534</v>
                </pt>
                <pt idx="127">
                  <v>-1.080417809753651</v>
                </pt>
                <pt idx="128">
                  <v>-1.157768731980987</v>
                </pt>
                <pt idx="129">
                  <v>-1.128186555615693</v>
                </pt>
                <pt idx="130">
                  <v>-1.141870730509695</v>
                </pt>
                <pt idx="131">
                  <v>-1.256619832012297</v>
                </pt>
                <pt idx="132">
                  <v>-1.370049271203516</v>
                </pt>
                <pt idx="133">
                  <v>-1.437325948247484</v>
                </pt>
                <pt idx="134">
                  <v>-3.752687228616169</v>
                </pt>
                <pt idx="135">
                  <v>-4.136917545560318</v>
                </pt>
                <pt idx="136">
                  <v>-4.228471381173917</v>
                </pt>
                <pt idx="137">
                  <v>-4.142529645292619</v>
                </pt>
                <pt idx="138">
                  <v>-4.103296094439046</v>
                </pt>
                <pt idx="139">
                  <v>-4.168373123843154</v>
                </pt>
              </numCache>
            </numRef>
          </val>
          <smooth val="0"/>
        </ser>
        <ser>
          <idx val="13"/>
          <order val="13"/>
          <tx>
            <strRef>
              <f>畫圖0!$B$25</f>
              <strCache>
                <ptCount val="1"/>
                <pt idx="0">
                  <v>大盤</v>
                </pt>
              </strCache>
            </strRef>
          </tx>
          <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畫圖0!$C$25:$EL$25</f>
              <numCache>
                <formatCode>General</formatCode>
                <ptCount val="140"/>
                <pt idx="0">
                  <v>-0.01744677053939034</v>
                </pt>
                <pt idx="1">
                  <v>0.003254289992425292</v>
                </pt>
                <pt idx="2">
                  <v>0.027236419247192</v>
                </pt>
                <pt idx="3">
                  <v>0.02067884027436892</v>
                </pt>
                <pt idx="4">
                  <v>0.05252397007488861</v>
                </pt>
                <pt idx="5">
                  <v>0.08687250281187914</v>
                </pt>
                <pt idx="6">
                  <v>0.0786175700305539</v>
                </pt>
                <pt idx="7">
                  <v>0.09146109442460666</v>
                </pt>
                <pt idx="8">
                  <v>0.04044256979781584</v>
                </pt>
                <pt idx="9">
                  <v>0.04131651253885243</v>
                </pt>
                <pt idx="10">
                  <v>0.06470608804434835</v>
                </pt>
                <pt idx="11">
                  <v>0.0776950602446812</v>
                </pt>
                <pt idx="12">
                  <v>0.08354964897031608</v>
                </pt>
                <pt idx="13">
                  <v>0.1109628555421066</v>
                </pt>
                <pt idx="14">
                  <v>0.1072499194244138</v>
                </pt>
                <pt idx="15">
                  <v>0.1313265334722371</v>
                </pt>
                <pt idx="16">
                  <v>0.1191365081731972</v>
                </pt>
                <pt idx="17">
                  <v>0.07938693001360755</v>
                </pt>
                <pt idx="18">
                  <v>0.006231480181958002</v>
                </pt>
                <pt idx="19">
                  <v>-0.05202874972815666</v>
                </pt>
                <pt idx="20">
                  <v>-0.05125595216264828</v>
                </pt>
                <pt idx="21">
                  <v>-0.006664431027429314</v>
                </pt>
                <pt idx="22">
                  <v>-0.03436411107764241</v>
                </pt>
                <pt idx="23">
                  <v>-0.03226910512789876</v>
                </pt>
                <pt idx="24">
                  <v>-0.05566965612046287</v>
                </pt>
                <pt idx="25">
                  <v>-0.02354028502314068</v>
                </pt>
                <pt idx="26">
                  <v>0.01536298807092575</v>
                </pt>
                <pt idx="27">
                  <v>-0.02750239410017852</v>
                </pt>
                <pt idx="28">
                  <v>-0.008855199550026366</v>
                </pt>
                <pt idx="29">
                  <v>0.006374568772502583</v>
                </pt>
                <pt idx="30">
                  <v>0.042391172551395</v>
                </pt>
                <pt idx="31">
                  <v>0.05174578393671117</v>
                </pt>
                <pt idx="32">
                  <v>0.06249403527354931</v>
                </pt>
                <pt idx="33">
                  <v>0.07585178932663028</v>
                </pt>
                <pt idx="34">
                  <v>0.07051904199753489</v>
                </pt>
                <pt idx="35">
                  <v>0.07190217780479657</v>
                </pt>
                <pt idx="36">
                  <v>0.09269810622487104</v>
                </pt>
                <pt idx="37">
                  <v>0.1242158084452617</v>
                </pt>
                <pt idx="38">
                  <v>0.1304575249785911</v>
                </pt>
                <pt idx="39">
                  <v>0.1366027866321625</v>
                </pt>
                <pt idx="40">
                  <v>0.153549144308859</v>
                </pt>
                <pt idx="41">
                  <v>0.1882319747631672</v>
                </pt>
                <pt idx="42">
                  <v>0.1913305633803642</v>
                </pt>
                <pt idx="43">
                  <v>0.2064119105238503</v>
                </pt>
                <pt idx="44">
                  <v>0.1871607012939863</v>
                </pt>
                <pt idx="45">
                  <v>0.2258722146816178</v>
                </pt>
                <pt idx="46">
                  <v>0.2040152635458811</v>
                </pt>
                <pt idx="47">
                  <v>0.2117895642556708</v>
                </pt>
                <pt idx="48">
                  <v>0.2541868109509968</v>
                </pt>
                <pt idx="49">
                  <v>0.227877836089837</v>
                </pt>
                <pt idx="50">
                  <v>0.2374495853985533</v>
                </pt>
                <pt idx="51">
                  <v>0.2131998441322784</v>
                </pt>
                <pt idx="52">
                  <v>0.2333632182761943</v>
                </pt>
                <pt idx="53">
                  <v>0.2298582194940783</v>
                </pt>
                <pt idx="54">
                  <v>0.2500101545926205</v>
                </pt>
                <pt idx="55">
                  <v>0.2505914908233908</v>
                </pt>
                <pt idx="56">
                  <v>0.2453717898701382</v>
                </pt>
                <pt idx="57">
                  <v>0.1295000284680082</v>
                </pt>
                <pt idx="58">
                  <v>0.1382252541604456</v>
                </pt>
                <pt idx="59">
                  <v>0.1218479931826234</v>
                </pt>
                <pt idx="60">
                  <v>0.1426883647828839</v>
                </pt>
                <pt idx="61">
                  <v>0.1876642368849986</v>
                </pt>
                <pt idx="62">
                  <v>0.2116185429668624</v>
                </pt>
                <pt idx="63">
                  <v>0.241857644358305</v>
                </pt>
                <pt idx="64">
                  <v>0.1981317567672175</v>
                </pt>
                <pt idx="65">
                  <v>0.2200212263354162</v>
                </pt>
                <pt idx="66">
                  <v>0.2286486565989246</v>
                </pt>
                <pt idx="67">
                  <v>0.2094557026042658</v>
                </pt>
                <pt idx="68">
                  <v>0.2291908324923988</v>
                </pt>
                <pt idx="69">
                  <v>0.2768851699760982</v>
                </pt>
                <pt idx="70">
                  <v>0.2883399867826816</v>
                </pt>
                <pt idx="71">
                  <v>0.3315686075178949</v>
                </pt>
                <pt idx="72">
                  <v>0.288821177080972</v>
                </pt>
                <pt idx="73">
                  <v>0.2710098846531775</v>
                </pt>
                <pt idx="74">
                  <v>0.1198567877841019</v>
                </pt>
                <pt idx="75">
                  <v>0.2440807914036772</v>
                </pt>
                <pt idx="76">
                  <v>0.2395235375591475</v>
                </pt>
                <pt idx="77">
                  <v>0.2997347777640587</v>
                </pt>
                <pt idx="78">
                  <v>0.385726811246561</v>
                </pt>
                <pt idx="79">
                  <v>0.3799183316641949</v>
                </pt>
                <pt idx="80">
                  <v>0.3738769846752268</v>
                </pt>
                <pt idx="81">
                  <v>0.3763293090474789</v>
                </pt>
                <pt idx="82">
                  <v>0.4659655609845018</v>
                </pt>
                <pt idx="83">
                  <v>0.5369582935112597</v>
                </pt>
                <pt idx="84">
                  <v>0.5641289364130431</v>
                </pt>
                <pt idx="85">
                  <v>0.6165973648383731</v>
                </pt>
                <pt idx="86">
                  <v>0.6460780257814226</v>
                </pt>
                <pt idx="87">
                  <v>0.7129031068416238</v>
                </pt>
                <pt idx="88">
                  <v>0.6841308778218068</v>
                </pt>
                <pt idx="89">
                  <v>0.7235933937234447</v>
                </pt>
                <pt idx="90">
                  <v>0.6945623067460848</v>
                </pt>
                <pt idx="91">
                  <v>0.7085461892655527</v>
                </pt>
                <pt idx="92">
                  <v>0.6762692243062188</v>
                </pt>
                <pt idx="93">
                  <v>0.6793728009191129</v>
                </pt>
                <pt idx="94">
                  <v>0.704964656686196</v>
                </pt>
                <pt idx="95">
                  <v>0.7493565429733893</v>
                </pt>
                <pt idx="96">
                  <v>0.7190175844238118</v>
                </pt>
                <pt idx="97">
                  <v>0.7177596079692401</v>
                </pt>
                <pt idx="98">
                  <v>0.720095964425098</v>
                </pt>
                <pt idx="99">
                  <v>0.655831819499192</v>
                </pt>
                <pt idx="100">
                  <v>0.6687415989581844</v>
                </pt>
                <pt idx="101">
                  <v>0.5432645042873256</v>
                </pt>
                <pt idx="102">
                  <v>0.5549551872271182</v>
                </pt>
                <pt idx="103">
                  <v>0.56129303092786</v>
                </pt>
                <pt idx="104">
                  <v>0.4439876744584745</v>
                </pt>
                <pt idx="105">
                  <v>0.4079768024090279</v>
                </pt>
                <pt idx="106">
                  <v>0.5468881064812958</v>
                </pt>
                <pt idx="107">
                  <v>0.4957446002551901</v>
                </pt>
                <pt idx="108">
                  <v>0.5724760474371591</v>
                </pt>
                <pt idx="109">
                  <v>0.5879848296341672</v>
                </pt>
                <pt idx="110">
                  <v>0.611208603308923</v>
                </pt>
                <pt idx="111">
                  <v>0.5928357269476952</v>
                </pt>
                <pt idx="112">
                  <v>0.6550347410327946</v>
                </pt>
                <pt idx="113">
                  <v>0.6751330455197517</v>
                </pt>
                <pt idx="114">
                  <v>0.6886319852678198</v>
                </pt>
                <pt idx="115">
                  <v>0.6583797725393989</v>
                </pt>
                <pt idx="116">
                  <v>0.6413569368313451</v>
                </pt>
                <pt idx="117">
                  <v>0.6195684135588831</v>
                </pt>
                <pt idx="118">
                  <v>0.7053140381440204</v>
                </pt>
                <pt idx="119">
                  <v>0.7334207817489942</v>
                </pt>
                <pt idx="120">
                  <v>0.7311176219416348</v>
                </pt>
                <pt idx="121">
                  <v>0.7895888200731223</v>
                </pt>
                <pt idx="122">
                  <v>0.8572477691217699</v>
                </pt>
                <pt idx="123">
                  <v>0.8622685397622022</v>
                </pt>
                <pt idx="124">
                  <v>0.8996847234374092</v>
                </pt>
                <pt idx="125">
                  <v>0.9837957271834513</v>
                </pt>
                <pt idx="126">
                  <v>0.9469633286394384</v>
                </pt>
                <pt idx="127">
                  <v>0.9500550314563755</v>
                </pt>
                <pt idx="128">
                  <v>0.9480974032420809</v>
                </pt>
                <pt idx="129">
                  <v>0.9745565068456007</v>
                </pt>
                <pt idx="130">
                  <v>0.9498039680849104</v>
                </pt>
                <pt idx="131">
                  <v>0.9839194590674704</v>
                </pt>
                <pt idx="132">
                  <v>1.004981433056503</v>
                </pt>
                <pt idx="133">
                  <v>0.9847040403504975</v>
                </pt>
                <pt idx="134">
                  <v>0.8768359324896196</v>
                </pt>
                <pt idx="135">
                  <v>0.8543155803755489</v>
                </pt>
                <pt idx="136">
                  <v>0.9078255874463217</v>
                </pt>
                <pt idx="137">
                  <v>0.9495128532838898</v>
                </pt>
                <pt idx="138">
                  <v>1.005708467398301</v>
                </pt>
                <pt idx="139">
                  <v>1.03461978668341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35116656"/>
        <axId val="435117072"/>
      </lineChart>
      <catAx>
        <axId val="435116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435117072"/>
        <crosses val="autoZero"/>
        <auto val="1"/>
        <lblAlgn val="ctr"/>
        <lblOffset val="100"/>
        <noMultiLvlLbl val="0"/>
      </catAx>
      <valAx>
        <axId val="4351170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TW"/>
          </a:p>
        </txPr>
        <crossAx val="4351166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64"/>
  <sheetViews>
    <sheetView topLeftCell="DU1" zoomScale="130" zoomScaleNormal="130" workbookViewId="0">
      <selection activeCell="EH27" sqref="EH27"/>
    </sheetView>
  </sheetViews>
  <sheetFormatPr baseColWidth="8" defaultRowHeight="14.5"/>
  <cols>
    <col width="10.19921875" bestFit="1" customWidth="1" min="2" max="2"/>
    <col width="9.5" bestFit="1" customWidth="1" min="143" max="143"/>
    <col width="10.19921875" bestFit="1" customWidth="1" min="145" max="145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  <c r="EM2" s="7" t="inlineStr">
        <is>
          <t>2025/08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  <c r="EM3" s="2" t="e">
        <v>#NUM!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  <c r="EM4" s="2" t="e">
        <v>#NUM!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  <c r="EM5" s="2" t="e">
        <v>#NUM!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  <c r="EM6" s="2">
        <f t="array" ref="EM6">MATCH(MAX(ABS(EM3:EM5)), ABS(EM3:EM5),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  <c r="EM7" s="2">
        <f>IF(EM6=1,"bm",IF(EM6=2,"size",IF(EM6=3,"mom")))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  <c r="EM8" s="2">
        <f>IF(EM6=1,EM3,IF(EM6=2,EM4,IF(EM6=3,EM5)))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  <c r="EM11" s="7" t="inlineStr">
        <is>
          <t>平均值</t>
        </is>
      </c>
      <c r="EN11" s="7" t="inlineStr">
        <is>
          <t>標準差</t>
        </is>
      </c>
      <c r="EO11" s="7" t="inlineStr">
        <is>
          <t>夏普比率</t>
        </is>
      </c>
    </row>
    <row r="12">
      <c r="A12" s="13" t="n">
        <v>10</v>
      </c>
      <c r="B12" s="13">
        <f>ROUND($D$10/A12,0)</f>
        <v/>
      </c>
      <c r="C12" s="3" t="n">
        <v>0.09819950192441125</v>
      </c>
      <c r="D12" s="3" t="n">
        <v>0.1028237995655711</v>
      </c>
      <c r="E12" s="3" t="n">
        <v>0.03826178142885137</v>
      </c>
      <c r="F12" s="3" t="n">
        <v>0.007345109440104965</v>
      </c>
      <c r="G12" s="3" t="n">
        <v>0.01515693589598945</v>
      </c>
      <c r="H12" s="3" t="n">
        <v>0.04306301214517731</v>
      </c>
      <c r="I12" s="3" t="n">
        <v>0.02499793116685334</v>
      </c>
      <c r="J12" s="3" t="n">
        <v>0.01811418347536301</v>
      </c>
      <c r="K12" s="3" t="n">
        <v>0.02802543262904819</v>
      </c>
      <c r="L12" s="3" t="n">
        <v>0.03453357734706466</v>
      </c>
      <c r="M12" s="3" t="n">
        <v>0.003687395401599071</v>
      </c>
      <c r="N12" s="3" t="n">
        <v>0.06246860478463969</v>
      </c>
      <c r="O12" s="3" t="n">
        <v>0.01902809540760239</v>
      </c>
      <c r="P12" s="3" t="n">
        <v>0.001749765970928789</v>
      </c>
      <c r="Q12" s="3" t="n">
        <v>0.02457856848083766</v>
      </c>
      <c r="R12" s="3" t="n">
        <v>0.01687341177110449</v>
      </c>
      <c r="S12" s="3" t="n">
        <v>0.0260550056225519</v>
      </c>
      <c r="T12" s="3" t="n">
        <v>0.00349748508942891</v>
      </c>
      <c r="U12" s="3" t="n">
        <v>0.02080296649077759</v>
      </c>
      <c r="V12" s="3" t="n">
        <v>-0.01054623994088079</v>
      </c>
      <c r="W12" s="3" t="n">
        <v>0.0585993989697868</v>
      </c>
      <c r="X12" s="3" t="n">
        <v>0.03125318651271746</v>
      </c>
      <c r="Y12" s="3" t="n">
        <v>0.01559717168503774</v>
      </c>
      <c r="Z12" s="3" t="n">
        <v>0.00341224834818352</v>
      </c>
      <c r="AA12" s="3" t="n">
        <v>0.01564385905873005</v>
      </c>
      <c r="AB12" s="3" t="n">
        <v>-0.003234337393700826</v>
      </c>
      <c r="AC12" s="3" t="n">
        <v>0.01071831749993747</v>
      </c>
      <c r="AD12" s="3" t="n">
        <v>0.00913250102160661</v>
      </c>
      <c r="AE12" s="3" t="n">
        <v>0.04658556977175831</v>
      </c>
      <c r="AF12" s="3" t="n">
        <v>0.03466906396959874</v>
      </c>
      <c r="AG12" s="3" t="n">
        <v>0.009163546733003312</v>
      </c>
      <c r="AH12" s="3" t="n">
        <v>0.02440438464684921</v>
      </c>
      <c r="AI12" s="3" t="n">
        <v>0.01273019170513294</v>
      </c>
      <c r="AJ12" s="3" t="n">
        <v>0.02582474078637606</v>
      </c>
      <c r="AK12" s="3" t="n">
        <v>-0.006270428929020803</v>
      </c>
      <c r="AL12" s="3" t="n">
        <v>0.0361039967125634</v>
      </c>
      <c r="AM12" s="3" t="n">
        <v>0.01309831777304155</v>
      </c>
      <c r="AN12" s="3" t="n">
        <v>0.0476174475690562</v>
      </c>
      <c r="AO12" s="3" t="n">
        <v>0.0209094763899941</v>
      </c>
      <c r="AP12" s="3" t="n">
        <v>0.0104669754699301</v>
      </c>
      <c r="AQ12" s="3" t="n">
        <v>-0.001675275713047298</v>
      </c>
      <c r="AR12" s="3" t="n">
        <v>0.03077464687958086</v>
      </c>
      <c r="AS12" s="3" t="n">
        <v>-0.0001147007049627736</v>
      </c>
      <c r="AT12" s="3" t="n">
        <v>0.02508247220795093</v>
      </c>
      <c r="AU12" s="3" t="n">
        <v>0.06350953004174031</v>
      </c>
      <c r="AV12" s="3" t="n">
        <v>0.02656041148211618</v>
      </c>
      <c r="AW12" s="3" t="n">
        <v>0.01177437316019162</v>
      </c>
      <c r="AX12" s="3" t="n">
        <v>0.008158067246893358</v>
      </c>
      <c r="AY12" s="3" t="n">
        <v>-0.003432570797651139</v>
      </c>
      <c r="AZ12" s="3" t="n">
        <v>0.05633848510791429</v>
      </c>
      <c r="BA12" s="3" t="n">
        <v>0.0706233120913386</v>
      </c>
      <c r="BB12" s="3" t="n">
        <v>-0.001042470915910938</v>
      </c>
      <c r="BC12" s="3" t="n">
        <v>-0.002264460689229593</v>
      </c>
      <c r="BD12" s="3" t="n">
        <v>0.05068041266858643</v>
      </c>
      <c r="BE12" s="3" t="n">
        <v>0.04613774146674713</v>
      </c>
      <c r="BF12" s="3" t="n">
        <v>0.009645786991582261</v>
      </c>
      <c r="BG12" s="3" t="n">
        <v>0.01077459977165789</v>
      </c>
      <c r="BH12" s="3" t="n">
        <v>0.02341301817775435</v>
      </c>
      <c r="BI12" s="3" t="n">
        <v>0.03013292685339815</v>
      </c>
      <c r="BJ12" s="3" t="n">
        <v>0.03618000748439431</v>
      </c>
      <c r="BK12" s="3" t="n">
        <v>0.0174343054857577</v>
      </c>
      <c r="BL12" s="3" t="n">
        <v>0.01052582439158388</v>
      </c>
      <c r="BM12" s="3" t="n">
        <v>0.0168015673594324</v>
      </c>
      <c r="BN12" s="3" t="n">
        <v>0.0300379227791948</v>
      </c>
      <c r="BO12" s="3" t="n">
        <v>0.01733070400699006</v>
      </c>
      <c r="BP12" s="3" t="n">
        <v>0.02481016845621885</v>
      </c>
      <c r="BQ12" s="3" t="n">
        <v>0.01881852576296256</v>
      </c>
      <c r="BR12" s="3" t="n">
        <v>0.02504649872679059</v>
      </c>
      <c r="BS12" s="3" t="n">
        <v>0.02763753470260725</v>
      </c>
      <c r="BT12" s="3" t="n">
        <v>0.02130585956747253</v>
      </c>
      <c r="BU12" s="3" t="n">
        <v>0.03541304082529174</v>
      </c>
      <c r="BV12" s="3" t="n">
        <v>0.02545701683264212</v>
      </c>
      <c r="BW12" s="3" t="n">
        <v>0.05239189802504956</v>
      </c>
      <c r="BX12" s="3" t="n">
        <v>0.01819898621954286</v>
      </c>
      <c r="BY12" s="3" t="n">
        <v>0.05110952283920794</v>
      </c>
      <c r="BZ12" s="3" t="n">
        <v>0.007050016728966629</v>
      </c>
      <c r="CA12" s="3" t="n">
        <v>0.008772381973683973</v>
      </c>
      <c r="CB12" s="3" t="n">
        <v>0.05627132694250818</v>
      </c>
      <c r="CC12" s="3" t="n">
        <v>0.05487242320493713</v>
      </c>
      <c r="CD12" s="3" t="n">
        <v>0.04101650672356562</v>
      </c>
      <c r="CE12" s="3" t="n">
        <v>0.1414165493333424</v>
      </c>
      <c r="CF12" s="3" t="n">
        <v>-0.006818147054656711</v>
      </c>
      <c r="CG12" s="3" t="n">
        <v>0.002868192293094318</v>
      </c>
      <c r="CH12" s="3" t="n">
        <v>0.01462222710714572</v>
      </c>
      <c r="CI12" s="3" t="n">
        <v>0.02671504915864511</v>
      </c>
      <c r="CJ12" s="3" t="n">
        <v>0.01102275172936161</v>
      </c>
      <c r="CK12" s="3" t="n">
        <v>0.02644069167783986</v>
      </c>
      <c r="CL12" s="3" t="n">
        <v>0.03333375784360719</v>
      </c>
      <c r="CM12" s="3" t="n">
        <v>0.06443082972769065</v>
      </c>
      <c r="CN12" s="3" t="n">
        <v>0.02006261091077964</v>
      </c>
      <c r="CO12" s="3" t="n">
        <v>0.06832087101801862</v>
      </c>
      <c r="CP12" s="3" t="n">
        <v>0.00530857471660108</v>
      </c>
      <c r="CQ12" s="3" t="n">
        <v>0.05901747170422512</v>
      </c>
      <c r="CR12" s="3" t="n">
        <v>0.04794598956814718</v>
      </c>
      <c r="CS12" s="3" t="n">
        <v>0.005726043271603594</v>
      </c>
      <c r="CT12" s="3" t="n">
        <v>0.03193608466300762</v>
      </c>
      <c r="CU12" s="3" t="n">
        <v>0.0238028429767882</v>
      </c>
      <c r="CV12" s="3" t="n">
        <v>-0.001818006923517062</v>
      </c>
      <c r="CW12" s="3" t="n">
        <v>0.02677303132395189</v>
      </c>
      <c r="CX12" s="3" t="n">
        <v>0.03288149170270708</v>
      </c>
      <c r="CY12" s="3" t="n">
        <v>0.03146897570102306</v>
      </c>
      <c r="CZ12" s="3" t="n">
        <v>0.08752158243039392</v>
      </c>
      <c r="DA12" s="3" t="n">
        <v>0.03037258772306802</v>
      </c>
      <c r="DB12" s="3" t="n">
        <v>0.07690520186788483</v>
      </c>
      <c r="DC12" s="3" t="n">
        <v>0.0259229319446725</v>
      </c>
      <c r="DD12" s="3" t="n">
        <v>0.01587114509452295</v>
      </c>
      <c r="DE12" s="3" t="n">
        <v>0.0337463555100193</v>
      </c>
      <c r="DF12" s="3" t="n">
        <v>0.0489042761722863</v>
      </c>
      <c r="DG12" s="3" t="n">
        <v>0.04368697584122243</v>
      </c>
      <c r="DH12" s="3" t="n">
        <v>0.03246343221598438</v>
      </c>
      <c r="DI12" s="3" t="n">
        <v>0.05372532526711943</v>
      </c>
      <c r="DJ12" s="3" t="n">
        <v>0.0211081848904817</v>
      </c>
      <c r="DK12" s="3" t="n">
        <v>0.03414090050727133</v>
      </c>
      <c r="DL12" s="3" t="n">
        <v>0.0005434070351055809</v>
      </c>
      <c r="DM12" s="3" t="n">
        <v>0.02198477787665593</v>
      </c>
      <c r="DN12" s="3" t="n">
        <v>0.02855113904637185</v>
      </c>
      <c r="DO12" s="3" t="n">
        <v>0.03026499115088821</v>
      </c>
      <c r="DP12" s="3" t="n">
        <v>0.05835200377969409</v>
      </c>
      <c r="DQ12" s="3" t="n">
        <v>0.04118557386059252</v>
      </c>
      <c r="DR12" s="3" t="n">
        <v>0.01031772592439068</v>
      </c>
      <c r="DS12" s="3" t="n">
        <v>0.08044606514750555</v>
      </c>
      <c r="DT12" s="3" t="n">
        <v>0.03111511122560481</v>
      </c>
      <c r="DU12" s="3" t="n">
        <v>0.05006319580706035</v>
      </c>
      <c r="DV12" s="3" t="n">
        <v>-0.02047210989406823</v>
      </c>
      <c r="DW12" s="3" t="n">
        <v>0.05789722424207259</v>
      </c>
      <c r="DX12" s="3" t="n">
        <v>0.03762604464267954</v>
      </c>
      <c r="DY12" s="3" t="n">
        <v>0.04863863907739926</v>
      </c>
      <c r="DZ12" s="3" t="n">
        <v>0.002357963533409671</v>
      </c>
      <c r="EA12" s="3" t="n">
        <v>0.05199813829126254</v>
      </c>
      <c r="EB12" s="3" t="n">
        <v>0.0035778632231433</v>
      </c>
      <c r="EC12" s="3" t="n">
        <v>0.01394849305952618</v>
      </c>
      <c r="ED12" s="3" t="n">
        <v>0.009500273300947017</v>
      </c>
      <c r="EE12" s="3" t="n">
        <v>0.02816672724179795</v>
      </c>
      <c r="EF12" s="3" t="n">
        <v>0.02183248243388223</v>
      </c>
      <c r="EG12" s="3" t="n">
        <v>0.01383440611672382</v>
      </c>
      <c r="EH12" s="3" t="n">
        <v>0.008768303804916534</v>
      </c>
      <c r="EI12" s="3" t="n">
        <v>0.008961256673374947</v>
      </c>
      <c r="EJ12" s="3" t="n">
        <v>0.03614039119329969</v>
      </c>
      <c r="EK12" s="3" t="n">
        <v>0.05011801320941245</v>
      </c>
      <c r="EL12" s="3" t="n">
        <v>0.01677271736884987</v>
      </c>
      <c r="EM12">
        <f>AVERAGE(C12:EL12)</f>
        <v/>
      </c>
      <c r="EN12">
        <f>STDEV(C12:EL12)</f>
        <v/>
      </c>
      <c r="EO12">
        <f>EM12/EN12</f>
        <v/>
      </c>
    </row>
    <row r="13">
      <c r="A13" s="13" t="n">
        <v>20</v>
      </c>
      <c r="B13" s="13">
        <f>ROUND($D$10/A13,0)</f>
        <v/>
      </c>
      <c r="C13" s="3" t="n">
        <v>0.1210777616647176</v>
      </c>
      <c r="D13" s="3" t="n">
        <v>0.08350528194426073</v>
      </c>
      <c r="E13" s="3" t="n">
        <v>0.04921910851542209</v>
      </c>
      <c r="F13" s="3" t="n">
        <v>0.03798715542819646</v>
      </c>
      <c r="G13" s="3" t="n">
        <v>0.01520470294694851</v>
      </c>
      <c r="H13" s="3" t="n">
        <v>0.02925126379166074</v>
      </c>
      <c r="I13" s="3" t="n">
        <v>0.02380770991910188</v>
      </c>
      <c r="J13" s="3" t="n">
        <v>0.02640411526217303</v>
      </c>
      <c r="K13" s="3" t="n">
        <v>0.01778994886386523</v>
      </c>
      <c r="L13" s="3" t="n">
        <v>0.01867357124524685</v>
      </c>
      <c r="M13" s="3" t="n">
        <v>-0.01991520640035812</v>
      </c>
      <c r="N13" s="3" t="n">
        <v>0.08300365698631219</v>
      </c>
      <c r="O13" s="3" t="n">
        <v>0.02268122983648835</v>
      </c>
      <c r="P13" s="3" t="n">
        <v>-0.01595572080617095</v>
      </c>
      <c r="Q13" s="3" t="n">
        <v>0.05509799057483435</v>
      </c>
      <c r="R13" s="3" t="n">
        <v>0.02747009288815547</v>
      </c>
      <c r="S13" s="3" t="n">
        <v>0.04113539937271223</v>
      </c>
      <c r="T13" s="3" t="n">
        <v>0.01334845466353553</v>
      </c>
      <c r="U13" s="3" t="n">
        <v>0.01461799562874341</v>
      </c>
      <c r="V13" s="3" t="n">
        <v>-0.007505168333707075</v>
      </c>
      <c r="W13" s="3" t="n">
        <v>0.07969101747119366</v>
      </c>
      <c r="X13" s="3" t="n">
        <v>0.03981211432765452</v>
      </c>
      <c r="Y13" s="3" t="n">
        <v>0.009237391267324445</v>
      </c>
      <c r="Z13" s="3" t="n">
        <v>0.01507364960633519</v>
      </c>
      <c r="AA13" s="3" t="n">
        <v>0.02072923669658868</v>
      </c>
      <c r="AB13" s="3" t="n">
        <v>-0.01685203809309758</v>
      </c>
      <c r="AC13" s="3" t="n">
        <v>0.007353021193380833</v>
      </c>
      <c r="AD13" s="3" t="n">
        <v>-0.003008360945891631</v>
      </c>
      <c r="AE13" s="3" t="n">
        <v>0.04469527342279518</v>
      </c>
      <c r="AF13" s="3" t="n">
        <v>0.03281753563412747</v>
      </c>
      <c r="AG13" s="3" t="n">
        <v>0.007957407717592527</v>
      </c>
      <c r="AH13" s="3" t="n">
        <v>0.02626743959163889</v>
      </c>
      <c r="AI13" s="3" t="n">
        <v>0.01195526983332722</v>
      </c>
      <c r="AJ13" s="3" t="n">
        <v>0.00237198626285221</v>
      </c>
      <c r="AK13" s="3" t="n">
        <v>-0.009990019761423542</v>
      </c>
      <c r="AL13" s="3" t="n">
        <v>0.03467636124624539</v>
      </c>
      <c r="AM13" s="3" t="n">
        <v>-0.005386394556343165</v>
      </c>
      <c r="AN13" s="3" t="n">
        <v>0.06343299904394931</v>
      </c>
      <c r="AO13" s="3" t="n">
        <v>0.01616864637289762</v>
      </c>
      <c r="AP13" s="3" t="n">
        <v>0.01567537582663856</v>
      </c>
      <c r="AQ13" s="3" t="n">
        <v>-0.00448246501339963</v>
      </c>
      <c r="AR13" s="3" t="n">
        <v>0.03359856223158029</v>
      </c>
      <c r="AS13" s="3" t="n">
        <v>0.01716863989576846</v>
      </c>
      <c r="AT13" s="3" t="n">
        <v>-0.008764642856201594</v>
      </c>
      <c r="AU13" s="3" t="n">
        <v>0.07301812978313876</v>
      </c>
      <c r="AV13" s="3" t="n">
        <v>0.03197916417141183</v>
      </c>
      <c r="AW13" s="3" t="n">
        <v>0.03517678396849493</v>
      </c>
      <c r="AX13" s="3" t="n">
        <v>-0.002666672700746355</v>
      </c>
      <c r="AY13" s="3" t="n">
        <v>0.007178154773017517</v>
      </c>
      <c r="AZ13" s="3" t="n">
        <v>0.06566986332483846</v>
      </c>
      <c r="BA13" s="3" t="n">
        <v>0.07317970234592767</v>
      </c>
      <c r="BB13" s="3" t="n">
        <v>-0.008633787046519173</v>
      </c>
      <c r="BC13" s="3" t="n">
        <v>0.008606928693106641</v>
      </c>
      <c r="BD13" s="3" t="n">
        <v>0.0372738855011372</v>
      </c>
      <c r="BE13" s="3" t="n">
        <v>0.05052146263184523</v>
      </c>
      <c r="BF13" s="3" t="n">
        <v>0.01235613097131359</v>
      </c>
      <c r="BG13" s="3" t="n">
        <v>-0.002500180263547539</v>
      </c>
      <c r="BH13" s="3" t="n">
        <v>0.02529991477032829</v>
      </c>
      <c r="BI13" s="3" t="n">
        <v>0.04462663722698621</v>
      </c>
      <c r="BJ13" s="3" t="n">
        <v>0.04615192582728526</v>
      </c>
      <c r="BK13" s="3" t="n">
        <v>0.03288761930684014</v>
      </c>
      <c r="BL13" s="3" t="n">
        <v>0.01396548097632338</v>
      </c>
      <c r="BM13" s="3" t="n">
        <v>0.01898829056144968</v>
      </c>
      <c r="BN13" s="3" t="n">
        <v>0.02746636287121628</v>
      </c>
      <c r="BO13" s="3" t="n">
        <v>0.009450894295552546</v>
      </c>
      <c r="BP13" s="3" t="n">
        <v>0.02022167930850018</v>
      </c>
      <c r="BQ13" s="3" t="n">
        <v>0.04223955943794837</v>
      </c>
      <c r="BR13" s="3" t="n">
        <v>0.02642499088667362</v>
      </c>
      <c r="BS13" s="3" t="n">
        <v>0.03152454602271537</v>
      </c>
      <c r="BT13" s="3" t="n">
        <v>0.01218276154449158</v>
      </c>
      <c r="BU13" s="3" t="n">
        <v>0.06063337858925304</v>
      </c>
      <c r="BV13" s="3" t="n">
        <v>0.01712532458356286</v>
      </c>
      <c r="BW13" s="3" t="n">
        <v>0.1048900416669711</v>
      </c>
      <c r="BX13" s="3" t="n">
        <v>0.02451782199962142</v>
      </c>
      <c r="BY13" s="3" t="n">
        <v>0.04884620008826585</v>
      </c>
      <c r="BZ13" s="3" t="n">
        <v>0.002445956710237951</v>
      </c>
      <c r="CA13" s="3" t="n">
        <v>0.02105720238833482</v>
      </c>
      <c r="CB13" s="3" t="n">
        <v>0.1109042348135552</v>
      </c>
      <c r="CC13" s="3" t="n">
        <v>0.09628970171675583</v>
      </c>
      <c r="CD13" s="3" t="n">
        <v>0.048839900488751</v>
      </c>
      <c r="CE13" s="3" t="n">
        <v>0.1842023178297207</v>
      </c>
      <c r="CF13" s="3" t="n">
        <v>-0.02055479437880657</v>
      </c>
      <c r="CG13" s="3" t="n">
        <v>0.004295845038215937</v>
      </c>
      <c r="CH13" s="3" t="n">
        <v>0.02125516410574591</v>
      </c>
      <c r="CI13" s="3" t="n">
        <v>0.002170208832818328</v>
      </c>
      <c r="CJ13" s="3" t="n">
        <v>0.02500043840815858</v>
      </c>
      <c r="CK13" s="3" t="n">
        <v>0.01663571767897962</v>
      </c>
      <c r="CL13" s="3" t="n">
        <v>0.0337054329124173</v>
      </c>
      <c r="CM13" s="3" t="n">
        <v>0.08279176949088821</v>
      </c>
      <c r="CN13" s="3" t="n">
        <v>0.04025052747193318</v>
      </c>
      <c r="CO13" s="3" t="n">
        <v>0.07911549903243002</v>
      </c>
      <c r="CP13" s="3" t="n">
        <v>0.005908710222587317</v>
      </c>
      <c r="CQ13" s="3" t="n">
        <v>0.05249877283295807</v>
      </c>
      <c r="CR13" s="3" t="n">
        <v>0.07151921941267152</v>
      </c>
      <c r="CS13" s="3" t="n">
        <v>0.003231006454866073</v>
      </c>
      <c r="CT13" s="3" t="n">
        <v>0.02897168250597796</v>
      </c>
      <c r="CU13" s="3" t="n">
        <v>0.03521549794616455</v>
      </c>
      <c r="CV13" s="3" t="n">
        <v>0.0002104681439461138</v>
      </c>
      <c r="CW13" s="3" t="n">
        <v>0.02272005943024356</v>
      </c>
      <c r="CX13" s="3" t="n">
        <v>-0.004939791559536902</v>
      </c>
      <c r="CY13" s="3" t="n">
        <v>0.04828992179654838</v>
      </c>
      <c r="CZ13" s="3" t="n">
        <v>0.112977446937128</v>
      </c>
      <c r="DA13" s="3" t="n">
        <v>0.01482978302679655</v>
      </c>
      <c r="DB13" s="3" t="n">
        <v>0.07808255440133617</v>
      </c>
      <c r="DC13" s="3" t="n">
        <v>0.03878467412784209</v>
      </c>
      <c r="DD13" s="3" t="n">
        <v>0.0164423081227802</v>
      </c>
      <c r="DE13" s="3" t="n">
        <v>0.02903587806632348</v>
      </c>
      <c r="DF13" s="3" t="n">
        <v>0.06393416570234556</v>
      </c>
      <c r="DG13" s="3" t="n">
        <v>0.03752926063776438</v>
      </c>
      <c r="DH13" s="3" t="n">
        <v>0.03909040732914316</v>
      </c>
      <c r="DI13" s="3" t="n">
        <v>0.07100966764976156</v>
      </c>
      <c r="DJ13" s="3" t="n">
        <v>0.006036866656538623</v>
      </c>
      <c r="DK13" s="3" t="n">
        <v>0.02080499258712024</v>
      </c>
      <c r="DL13" s="3" t="n">
        <v>0.02901487522441729</v>
      </c>
      <c r="DM13" s="3" t="n">
        <v>0.008099021338456499</v>
      </c>
      <c r="DN13" s="3" t="n">
        <v>0.03273213134827206</v>
      </c>
      <c r="DO13" s="3" t="n">
        <v>0.0360386902791961</v>
      </c>
      <c r="DP13" s="3" t="n">
        <v>0.06265072136084975</v>
      </c>
      <c r="DQ13" s="3" t="n">
        <v>0.04535256548536206</v>
      </c>
      <c r="DR13" s="3" t="n">
        <v>0.01660687722743902</v>
      </c>
      <c r="DS13" s="3" t="n">
        <v>0.07130596464068821</v>
      </c>
      <c r="DT13" s="3" t="n">
        <v>0.05644308286791834</v>
      </c>
      <c r="DU13" s="3" t="n">
        <v>0.01231375026893985</v>
      </c>
      <c r="DV13" s="3" t="n">
        <v>-0.03557613854450194</v>
      </c>
      <c r="DW13" s="3" t="n">
        <v>0.05889283709288169</v>
      </c>
      <c r="DX13" s="3" t="n">
        <v>0.0558755076892398</v>
      </c>
      <c r="DY13" s="3" t="n">
        <v>0.06349586820188044</v>
      </c>
      <c r="DZ13" s="3" t="n">
        <v>0.008536200178212598</v>
      </c>
      <c r="EA13" s="3" t="n">
        <v>0.04646098185574318</v>
      </c>
      <c r="EB13" s="3" t="n">
        <v>0.001947234332816421</v>
      </c>
      <c r="EC13" s="3" t="n">
        <v>0.0166164065419913</v>
      </c>
      <c r="ED13" s="3" t="n">
        <v>0.0008041326360279382</v>
      </c>
      <c r="EE13" s="3" t="n">
        <v>0.03715751171781294</v>
      </c>
      <c r="EF13" s="3" t="n">
        <v>0.0359819281254123</v>
      </c>
      <c r="EG13" s="3" t="n">
        <v>0.005638668945687195</v>
      </c>
      <c r="EH13" s="3" t="n">
        <v>0.01017848569441531</v>
      </c>
      <c r="EI13" s="3" t="n">
        <v>0.01362226048758707</v>
      </c>
      <c r="EJ13" s="3" t="n">
        <v>0.03197133625826935</v>
      </c>
      <c r="EK13" s="3" t="n">
        <v>0.04358613742090926</v>
      </c>
      <c r="EL13" s="3" t="n">
        <v>0.05420036150984179</v>
      </c>
      <c r="EM13">
        <f>AVERAGE(C13:EL13)</f>
        <v/>
      </c>
      <c r="EN13">
        <f>STDEV(C13:EL13)</f>
        <v/>
      </c>
      <c r="EO13">
        <f>EM13/EN13</f>
        <v/>
      </c>
    </row>
    <row r="14">
      <c r="A14" s="13" t="n">
        <v>50</v>
      </c>
      <c r="B14" s="13">
        <f>ROUND($D$10/A14,0)</f>
        <v/>
      </c>
      <c r="C14" s="3" t="n">
        <v>0.1322051333097304</v>
      </c>
      <c r="D14" s="3" t="n">
        <v>0.1158127989469112</v>
      </c>
      <c r="E14" s="3" t="n">
        <v>0.08363942614228201</v>
      </c>
      <c r="F14" s="3" t="n">
        <v>0.04744158388553468</v>
      </c>
      <c r="G14" s="3" t="n">
        <v>0.09744969400383943</v>
      </c>
      <c r="H14" s="3" t="n">
        <v>0.07621100306483651</v>
      </c>
      <c r="I14" s="3" t="n">
        <v>0.04857536210798145</v>
      </c>
      <c r="J14" s="3" t="n">
        <v>0.06043553334017838</v>
      </c>
      <c r="K14" s="3" t="n">
        <v>0.03811563906676352</v>
      </c>
      <c r="L14" s="3" t="n">
        <v>0.03688266697443887</v>
      </c>
      <c r="M14" s="3" t="n">
        <v>0.008309335497244986</v>
      </c>
      <c r="N14" s="3" t="n">
        <v>0.1459039045068206</v>
      </c>
      <c r="O14" s="3" t="n">
        <v>0.02504276763753443</v>
      </c>
      <c r="P14" s="3" t="n">
        <v>-0.05467997826907876</v>
      </c>
      <c r="Q14" s="3" t="n">
        <v>0.08760922597337209</v>
      </c>
      <c r="R14" s="3" t="n">
        <v>0.05774430675523178</v>
      </c>
      <c r="S14" s="3" t="n">
        <v>0.02293430464006915</v>
      </c>
      <c r="T14" s="3" t="n">
        <v>0.006499499008508172</v>
      </c>
      <c r="U14" s="3" t="n">
        <v>-0.0186722513339208</v>
      </c>
      <c r="V14" s="3" t="n">
        <v>0.0001971899588318199</v>
      </c>
      <c r="W14" s="3" t="n">
        <v>0.1010800071578183</v>
      </c>
      <c r="X14" s="3" t="n">
        <v>0.04506490324942845</v>
      </c>
      <c r="Y14" s="3" t="n">
        <v>-0.04063812985271519</v>
      </c>
      <c r="Z14" s="3" t="n">
        <v>0.04055891331539788</v>
      </c>
      <c r="AA14" s="3" t="n">
        <v>-0.01464695365552721</v>
      </c>
      <c r="AB14" s="3" t="n">
        <v>-0.06331169166918499</v>
      </c>
      <c r="AC14" s="3" t="n">
        <v>-0.01594831251681155</v>
      </c>
      <c r="AD14" s="3" t="n">
        <v>0.0069530090273623</v>
      </c>
      <c r="AE14" s="3" t="n">
        <v>-0.00127688118694428</v>
      </c>
      <c r="AF14" s="3" t="n">
        <v>0.07237589833725706</v>
      </c>
      <c r="AG14" s="3" t="n">
        <v>0.01869997954615067</v>
      </c>
      <c r="AH14" s="3" t="n">
        <v>0.05653654894586271</v>
      </c>
      <c r="AI14" s="3" t="n">
        <v>-0.004244084228039738</v>
      </c>
      <c r="AJ14" s="3" t="n">
        <v>0.03430596176844813</v>
      </c>
      <c r="AK14" s="3" t="n">
        <v>0.002712628319785527</v>
      </c>
      <c r="AL14" s="3" t="n">
        <v>0.04201534837750555</v>
      </c>
      <c r="AM14" s="3" t="n">
        <v>0.003645882094606562</v>
      </c>
      <c r="AN14" s="3" t="n">
        <v>0.1000589375370867</v>
      </c>
      <c r="AO14" s="3" t="n">
        <v>-0.01645598882344486</v>
      </c>
      <c r="AP14" s="3" t="n">
        <v>0.02429407414485248</v>
      </c>
      <c r="AQ14" s="3" t="n">
        <v>0.01266559118617777</v>
      </c>
      <c r="AR14" s="3" t="n">
        <v>0.06237945648906067</v>
      </c>
      <c r="AS14" s="3" t="n">
        <v>0.05470745263182406</v>
      </c>
      <c r="AT14" s="3" t="n">
        <v>0.01422090842877069</v>
      </c>
      <c r="AU14" s="3" t="n">
        <v>0.1097066907587975</v>
      </c>
      <c r="AV14" s="3" t="n">
        <v>0.03371082575251988</v>
      </c>
      <c r="AW14" s="3" t="n">
        <v>0.03780396715107948</v>
      </c>
      <c r="AX14" s="3" t="n">
        <v>0.0336945226997667</v>
      </c>
      <c r="AY14" s="3" t="n">
        <v>0.04589894769879152</v>
      </c>
      <c r="AZ14" s="3" t="n">
        <v>0.005341077504378582</v>
      </c>
      <c r="BA14" s="3" t="n">
        <v>0.09131150461264105</v>
      </c>
      <c r="BB14" s="3" t="n">
        <v>-0.07773635586658105</v>
      </c>
      <c r="BC14" s="3" t="n">
        <v>-0.01933963229315565</v>
      </c>
      <c r="BD14" s="3" t="n">
        <v>0.02735092549941475</v>
      </c>
      <c r="BE14" s="3" t="n">
        <v>0.03340194393024567</v>
      </c>
      <c r="BF14" s="3" t="n">
        <v>-0.005626566579179143</v>
      </c>
      <c r="BG14" s="3" t="n">
        <v>0.01368941835587061</v>
      </c>
      <c r="BH14" s="3" t="n">
        <v>0.07914477122701169</v>
      </c>
      <c r="BI14" s="3" t="n">
        <v>0.05472662708481356</v>
      </c>
      <c r="BJ14" s="3" t="n">
        <v>0.02489558311833404</v>
      </c>
      <c r="BK14" s="3" t="n">
        <v>-0.02104432704364215</v>
      </c>
      <c r="BL14" s="3" t="n">
        <v>0.007722592710413936</v>
      </c>
      <c r="BM14" s="3" t="n">
        <v>0.007047796925201622</v>
      </c>
      <c r="BN14" s="3" t="n">
        <v>0.01120590310238251</v>
      </c>
      <c r="BO14" s="3" t="n">
        <v>0.01728247731215679</v>
      </c>
      <c r="BP14" s="3" t="n">
        <v>-0.04822829546690287</v>
      </c>
      <c r="BQ14" s="3" t="n">
        <v>0.0362746056137417</v>
      </c>
      <c r="BR14" s="3" t="n">
        <v>-0.0004085516489356136</v>
      </c>
      <c r="BS14" s="3" t="n">
        <v>0.05199788271017804</v>
      </c>
      <c r="BT14" s="3" t="n">
        <v>-0.01690293713036895</v>
      </c>
      <c r="BU14" s="3" t="n">
        <v>0.1073950379134682</v>
      </c>
      <c r="BV14" s="3" t="n">
        <v>0.01366274116239047</v>
      </c>
      <c r="BW14" s="3" t="n">
        <v>0.145179513349457</v>
      </c>
      <c r="BX14" s="3" t="n">
        <v>-0.00398733860036255</v>
      </c>
      <c r="BY14" s="3" t="n">
        <v>0.09820376562587518</v>
      </c>
      <c r="BZ14" s="3" t="n">
        <v>0.04977217360777234</v>
      </c>
      <c r="CA14" s="3" t="n">
        <v>0.01638376158710096</v>
      </c>
      <c r="CB14" s="3" t="n">
        <v>0.1117942463201053</v>
      </c>
      <c r="CC14" s="3" t="n">
        <v>0.08744382554486203</v>
      </c>
      <c r="CD14" s="3" t="n">
        <v>0.05613682516188524</v>
      </c>
      <c r="CE14" s="3" t="n">
        <v>0.2066680238243029</v>
      </c>
      <c r="CF14" s="3" t="n">
        <v>0.03450360235704475</v>
      </c>
      <c r="CG14" s="3" t="n">
        <v>-0.08712427674091509</v>
      </c>
      <c r="CH14" s="3" t="n">
        <v>0.02527145835188127</v>
      </c>
      <c r="CI14" s="3" t="n">
        <v>0.03452072702866792</v>
      </c>
      <c r="CJ14" s="3" t="n">
        <v>0.05733949600342059</v>
      </c>
      <c r="CK14" s="3" t="n">
        <v>0.03140943293818259</v>
      </c>
      <c r="CL14" s="3" t="n">
        <v>0.06451237294910718</v>
      </c>
      <c r="CM14" s="3" t="n">
        <v>0.09007073006534988</v>
      </c>
      <c r="CN14" s="3" t="n">
        <v>0.06340370749196339</v>
      </c>
      <c r="CO14" s="3" t="n">
        <v>0.1779031170194212</v>
      </c>
      <c r="CP14" s="3" t="n">
        <v>0.07496472517859687</v>
      </c>
      <c r="CQ14" s="3" t="n">
        <v>0.05995859464475446</v>
      </c>
      <c r="CR14" s="3" t="n">
        <v>0.0496206098003322</v>
      </c>
      <c r="CS14" s="3" t="n">
        <v>0.02342735130032902</v>
      </c>
      <c r="CT14" s="3" t="n">
        <v>0.07420393205576603</v>
      </c>
      <c r="CU14" s="3" t="n">
        <v>0.08608736562637061</v>
      </c>
      <c r="CV14" s="3" t="n">
        <v>0.0176729452524602</v>
      </c>
      <c r="CW14" s="3" t="n">
        <v>0.009465914683042195</v>
      </c>
      <c r="CX14" s="3" t="n">
        <v>-0.02974226554449372</v>
      </c>
      <c r="CY14" s="3" t="n">
        <v>0.05253817868477469</v>
      </c>
      <c r="CZ14" s="3" t="n">
        <v>0.1016529014146528</v>
      </c>
      <c r="DA14" s="3" t="n">
        <v>0.04739985423222157</v>
      </c>
      <c r="DB14" s="3" t="n">
        <v>0.08363887939681891</v>
      </c>
      <c r="DC14" s="3" t="n">
        <v>0.05379158931746503</v>
      </c>
      <c r="DD14" s="3" t="n">
        <v>-0.03582050294192536</v>
      </c>
      <c r="DE14" s="3" t="n">
        <v>0.01215680059974857</v>
      </c>
      <c r="DF14" s="3" t="n">
        <v>0.1632527341834666</v>
      </c>
      <c r="DG14" s="3" t="n">
        <v>0.04374127411448603</v>
      </c>
      <c r="DH14" s="3" t="n">
        <v>0.06292602588741882</v>
      </c>
      <c r="DI14" s="3" t="n">
        <v>0.1289200992298529</v>
      </c>
      <c r="DJ14" s="3" t="n">
        <v>0.01377716786830015</v>
      </c>
      <c r="DK14" s="3" t="n">
        <v>0.03552543853304293</v>
      </c>
      <c r="DL14" s="3" t="n">
        <v>0.01105822005604967</v>
      </c>
      <c r="DM14" s="3" t="n">
        <v>0.01911646502345786</v>
      </c>
      <c r="DN14" s="3" t="n">
        <v>0.05485033260090846</v>
      </c>
      <c r="DO14" s="3" t="n">
        <v>0.079032555473244</v>
      </c>
      <c r="DP14" s="3" t="n">
        <v>0.06064911416182188</v>
      </c>
      <c r="DQ14" s="3" t="n">
        <v>0.01791362150318265</v>
      </c>
      <c r="DR14" s="3" t="n">
        <v>0.02214155712028464</v>
      </c>
      <c r="DS14" s="3" t="n">
        <v>0.05389264862568204</v>
      </c>
      <c r="DT14" s="3" t="n">
        <v>0.1043046091230625</v>
      </c>
      <c r="DU14" s="3" t="n">
        <v>0.05484965018872222</v>
      </c>
      <c r="DV14" s="3" t="n">
        <v>-0.004684707134696079</v>
      </c>
      <c r="DW14" s="3" t="n">
        <v>0.07629507975343611</v>
      </c>
      <c r="DX14" s="3" t="n">
        <v>0.09613786916377481</v>
      </c>
      <c r="DY14" s="3" t="n">
        <v>0.06057073789225923</v>
      </c>
      <c r="DZ14" s="3" t="n">
        <v>0.007844014404504062</v>
      </c>
      <c r="EA14" s="3" t="n">
        <v>0.06294311825617988</v>
      </c>
      <c r="EB14" s="3" t="n">
        <v>-0.03071333659011679</v>
      </c>
      <c r="EC14" s="3" t="n">
        <v>-0.003785710559923511</v>
      </c>
      <c r="ED14" s="3" t="n">
        <v>0.0393375406225705</v>
      </c>
      <c r="EE14" s="3" t="n">
        <v>0.01253499266974247</v>
      </c>
      <c r="EF14" s="3" t="n">
        <v>0.05907557298668644</v>
      </c>
      <c r="EG14" s="3" t="n">
        <v>-0.0003452203822211994</v>
      </c>
      <c r="EH14" s="3" t="n">
        <v>0.05202965852976648</v>
      </c>
      <c r="EI14" s="3" t="n">
        <v>0.00569536739345574</v>
      </c>
      <c r="EJ14" s="3" t="n">
        <v>0.02653232647605696</v>
      </c>
      <c r="EK14" s="3" t="n">
        <v>0.03570062568379818</v>
      </c>
      <c r="EL14" s="3" t="n">
        <v>0.04777119241828238</v>
      </c>
      <c r="EM14">
        <f>AVERAGE(C14:EL14)</f>
        <v/>
      </c>
      <c r="EN14">
        <f>STDEV(C14:EL14)</f>
        <v/>
      </c>
      <c r="EO14">
        <f>EM14/EN14</f>
        <v/>
      </c>
    </row>
    <row r="15">
      <c r="A15" s="13" t="n">
        <v>110</v>
      </c>
      <c r="B15" s="13">
        <f>ROUND($D$10/A15,0)</f>
        <v/>
      </c>
      <c r="C15" s="3" t="n">
        <v>0.2415584226424828</v>
      </c>
      <c r="D15" s="3" t="n">
        <v>0.1737889128662859</v>
      </c>
      <c r="E15" s="3" t="n">
        <v>0.07456966303706092</v>
      </c>
      <c r="F15" s="3" t="n">
        <v>0.08178202657616056</v>
      </c>
      <c r="G15" s="3" t="n">
        <v>0.137937882648581</v>
      </c>
      <c r="H15" s="3" t="n">
        <v>0.08181564992367424</v>
      </c>
      <c r="I15" s="3" t="n">
        <v>0.09957277343282039</v>
      </c>
      <c r="J15" s="3" t="n">
        <v>0.06157440215660528</v>
      </c>
      <c r="K15" s="3" t="n">
        <v>0.03150809826758925</v>
      </c>
      <c r="L15" s="3" t="n">
        <v>-0.02275336258570668</v>
      </c>
      <c r="M15" s="3" t="n">
        <v>0.1471022633142363</v>
      </c>
      <c r="N15" s="3" t="n">
        <v>0.2473880455020983</v>
      </c>
      <c r="O15" s="3" t="n">
        <v>0.0465604504588459</v>
      </c>
      <c r="P15" s="3" t="n">
        <v>-0.06735796055519684</v>
      </c>
      <c r="Q15" s="3" t="n">
        <v>0.04237261661783781</v>
      </c>
      <c r="R15" s="3" t="n">
        <v>0.001416396649466981</v>
      </c>
      <c r="S15" s="3" t="n">
        <v>0.07807305917577148</v>
      </c>
      <c r="T15" s="3" t="n">
        <v>0.03160051412053408</v>
      </c>
      <c r="U15" s="3" t="n">
        <v>-0.08411638352634185</v>
      </c>
      <c r="V15" s="3" t="n">
        <v>-0.02404888368052335</v>
      </c>
      <c r="W15" s="3" t="n">
        <v>0.0626698259206481</v>
      </c>
      <c r="X15" s="3" t="n">
        <v>0.05901794674764835</v>
      </c>
      <c r="Y15" s="3" t="n">
        <v>-0.006415071336790076</v>
      </c>
      <c r="Z15" s="3" t="n">
        <v>0.07997101833818336</v>
      </c>
      <c r="AA15" s="3" t="n">
        <v>-0.02379684960320519</v>
      </c>
      <c r="AB15" s="3" t="n">
        <v>-0.1096631027298412</v>
      </c>
      <c r="AC15" s="3" t="n">
        <v>-0.02805451160802456</v>
      </c>
      <c r="AD15" s="3" t="n">
        <v>0.01359029303050245</v>
      </c>
      <c r="AE15" s="3" t="n">
        <v>-0.08468581892218209</v>
      </c>
      <c r="AF15" s="3" t="n">
        <v>0.04074855485981552</v>
      </c>
      <c r="AG15" s="3" t="n">
        <v>-0.01484009207903272</v>
      </c>
      <c r="AH15" s="3" t="n">
        <v>-0.006628623566935004</v>
      </c>
      <c r="AI15" s="3" t="n">
        <v>0.01956105284963594</v>
      </c>
      <c r="AJ15" s="3" t="n">
        <v>-0.01209732243592821</v>
      </c>
      <c r="AK15" s="3" t="n">
        <v>0.01151008679385103</v>
      </c>
      <c r="AL15" s="3" t="n">
        <v>0.02844360945019084</v>
      </c>
      <c r="AM15" s="3" t="n">
        <v>0.00487334595316721</v>
      </c>
      <c r="AN15" s="3" t="n">
        <v>0.1821664154483388</v>
      </c>
      <c r="AO15" s="3" t="n">
        <v>0.04704688153233438</v>
      </c>
      <c r="AP15" s="3" t="n">
        <v>0.01003937425156576</v>
      </c>
      <c r="AQ15" s="3" t="n">
        <v>-0.01685039889917601</v>
      </c>
      <c r="AR15" s="3" t="n">
        <v>0.04832011990019409</v>
      </c>
      <c r="AS15" s="3" t="n">
        <v>0.04517460955127376</v>
      </c>
      <c r="AT15" s="3" t="n">
        <v>-0.00556912962068698</v>
      </c>
      <c r="AU15" s="3" t="n">
        <v>0.1349456159553304</v>
      </c>
      <c r="AV15" s="3" t="n">
        <v>0.04657491299100235</v>
      </c>
      <c r="AW15" s="3" t="n">
        <v>0.09015808225964997</v>
      </c>
      <c r="AX15" s="3" t="n">
        <v>0.06515292379638883</v>
      </c>
      <c r="AY15" s="3" t="n">
        <v>0.007696898309524209</v>
      </c>
      <c r="AZ15" s="3" t="n">
        <v>0.03201430178096427</v>
      </c>
      <c r="BA15" s="3" t="n">
        <v>0.1614509927993819</v>
      </c>
      <c r="BB15" s="3" t="n">
        <v>-0.09103593072988933</v>
      </c>
      <c r="BC15" s="3" t="n">
        <v>0.03414474193058742</v>
      </c>
      <c r="BD15" s="3" t="n">
        <v>-0.02083401333698475</v>
      </c>
      <c r="BE15" s="3" t="n">
        <v>0.05472250066289393</v>
      </c>
      <c r="BF15" s="3" t="n">
        <v>0.05779273379555468</v>
      </c>
      <c r="BG15" s="3" t="n">
        <v>0.01302155209581895</v>
      </c>
      <c r="BH15" s="3" t="n">
        <v>0.06866001319833569</v>
      </c>
      <c r="BI15" s="3" t="n">
        <v>0.06186340422082277</v>
      </c>
      <c r="BJ15" s="3" t="n">
        <v>0.1065767689112363</v>
      </c>
      <c r="BK15" s="3" t="n">
        <v>-0.02258460654430241</v>
      </c>
      <c r="BL15" s="3" t="n">
        <v>-0.008089592278773899</v>
      </c>
      <c r="BM15" s="3" t="n">
        <v>0.03551852309159833</v>
      </c>
      <c r="BN15" s="3" t="n">
        <v>-0.03567061974620648</v>
      </c>
      <c r="BO15" s="3" t="n">
        <v>0.05843794287839503</v>
      </c>
      <c r="BP15" s="3" t="n">
        <v>-0.09844345540678412</v>
      </c>
      <c r="BQ15" s="3" t="n">
        <v>0.03976613818315171</v>
      </c>
      <c r="BR15" s="3" t="n">
        <v>0.05273550017752303</v>
      </c>
      <c r="BS15" s="3" t="n">
        <v>0.06796375487313944</v>
      </c>
      <c r="BT15" s="3" t="n">
        <v>0.01205967638078743</v>
      </c>
      <c r="BU15" s="3" t="n">
        <v>0.05335135097126976</v>
      </c>
      <c r="BV15" s="3" t="n">
        <v>0.03363878854371027</v>
      </c>
      <c r="BW15" s="3" t="n">
        <v>0.1942694960397857</v>
      </c>
      <c r="BX15" s="3" t="n">
        <v>0.04315548378404702</v>
      </c>
      <c r="BY15" s="3" t="n">
        <v>0.1170215036470855</v>
      </c>
      <c r="BZ15" s="3" t="n">
        <v>0.08677276045773927</v>
      </c>
      <c r="CA15" s="3" t="n">
        <v>0.03142267560336312</v>
      </c>
      <c r="CB15" s="3" t="n">
        <v>0.06445176728868915</v>
      </c>
      <c r="CC15" s="3" t="n">
        <v>0.1213925150892261</v>
      </c>
      <c r="CD15" s="3" t="n">
        <v>0.09515637676031169</v>
      </c>
      <c r="CE15" s="3" t="n">
        <v>0.1205633706551868</v>
      </c>
      <c r="CF15" s="3" t="n">
        <v>0.03356183330976356</v>
      </c>
      <c r="CG15" s="3" t="n">
        <v>-0.2591490006215676</v>
      </c>
      <c r="CH15" s="3" t="n">
        <v>-0.02295577397573451</v>
      </c>
      <c r="CI15" s="3" t="n">
        <v>0.0229120166355164</v>
      </c>
      <c r="CJ15" s="3" t="n">
        <v>-0.006681998407991344</v>
      </c>
      <c r="CK15" s="3" t="n">
        <v>0.06843795286562837</v>
      </c>
      <c r="CL15" s="3" t="n">
        <v>0.09513781759860454</v>
      </c>
      <c r="CM15" s="3" t="n">
        <v>0.05328116485157609</v>
      </c>
      <c r="CN15" s="3" t="n">
        <v>0.01228056213409084</v>
      </c>
      <c r="CO15" s="3" t="n">
        <v>0.1646968048922553</v>
      </c>
      <c r="CP15" s="3" t="n">
        <v>0.007839120137452398</v>
      </c>
      <c r="CQ15" s="3" t="n">
        <v>0.06237447106856528</v>
      </c>
      <c r="CR15" s="3" t="n">
        <v>0.03438828363999664</v>
      </c>
      <c r="CS15" s="3" t="n">
        <v>0.02464867066066159</v>
      </c>
      <c r="CT15" s="3" t="n">
        <v>0.01987805414315829</v>
      </c>
      <c r="CU15" s="3" t="n">
        <v>0.1708291206499528</v>
      </c>
      <c r="CV15" s="3" t="n">
        <v>0.02914642832205092</v>
      </c>
      <c r="CW15" s="3" t="n">
        <v>-0.01127937966769206</v>
      </c>
      <c r="CX15" s="3" t="n">
        <v>-0.04002938360406737</v>
      </c>
      <c r="CY15" s="3" t="n">
        <v>0.0246940721850211</v>
      </c>
      <c r="CZ15" s="3" t="n">
        <v>0.14391984190004</v>
      </c>
      <c r="DA15" s="3" t="n">
        <v>0.06859806773465063</v>
      </c>
      <c r="DB15" s="3" t="n">
        <v>0.03993239294844111</v>
      </c>
      <c r="DC15" s="3" t="n">
        <v>0.06881050406906158</v>
      </c>
      <c r="DD15" s="3" t="n">
        <v>-0.1869214014260513</v>
      </c>
      <c r="DE15" s="3" t="n">
        <v>0.05783785592019958</v>
      </c>
      <c r="DF15" s="3" t="n">
        <v>0.2994356289672073</v>
      </c>
      <c r="DG15" s="3" t="n">
        <v>0.04017163325563592</v>
      </c>
      <c r="DH15" s="3" t="n">
        <v>0.1321875539497034</v>
      </c>
      <c r="DI15" s="3" t="n">
        <v>0.02019092442696225</v>
      </c>
      <c r="DJ15" s="3" t="n">
        <v>0.02886359519681039</v>
      </c>
      <c r="DK15" s="3" t="n">
        <v>0.08367780112321577</v>
      </c>
      <c r="DL15" s="3" t="n">
        <v>-0.001603336018653569</v>
      </c>
      <c r="DM15" s="3" t="n">
        <v>0.01298329715564042</v>
      </c>
      <c r="DN15" s="3" t="n">
        <v>-0.01448623433169471</v>
      </c>
      <c r="DO15" s="3" t="n">
        <v>0.1384470244562185</v>
      </c>
      <c r="DP15" s="3" t="n">
        <v>-0.01341142597407786</v>
      </c>
      <c r="DQ15" s="3" t="n">
        <v>0.04356513363361937</v>
      </c>
      <c r="DR15" s="3" t="n">
        <v>0.01678338788040943</v>
      </c>
      <c r="DS15" s="3" t="n">
        <v>0.05219290289727515</v>
      </c>
      <c r="DT15" s="3" t="n">
        <v>0.0265931886941258</v>
      </c>
      <c r="DU15" s="3" t="n">
        <v>0.08373445630426646</v>
      </c>
      <c r="DV15" s="3" t="n">
        <v>-0.01898470711409661</v>
      </c>
      <c r="DW15" s="3" t="n">
        <v>0.008226334212406178</v>
      </c>
      <c r="DX15" s="3" t="n">
        <v>0.03800440562168661</v>
      </c>
      <c r="DY15" s="3" t="n">
        <v>0.1174914303101642</v>
      </c>
      <c r="DZ15" s="3" t="n">
        <v>0.004517447298677982</v>
      </c>
      <c r="EA15" s="3" t="n">
        <v>0.06474027869781232</v>
      </c>
      <c r="EB15" s="3" t="n">
        <v>-0.07659086011143612</v>
      </c>
      <c r="EC15" s="3" t="n">
        <v>0.004987212557123782</v>
      </c>
      <c r="ED15" s="3" t="n">
        <v>0.05211177829194058</v>
      </c>
      <c r="EE15" s="3" t="n">
        <v>0.009617559296918831</v>
      </c>
      <c r="EF15" s="3" t="n">
        <v>0.04491294917872188</v>
      </c>
      <c r="EG15" s="3" t="n">
        <v>-0.006048602555131857</v>
      </c>
      <c r="EH15" s="3" t="n">
        <v>0.05625105836034749</v>
      </c>
      <c r="EI15" s="3" t="n">
        <v>0.02845549879776164</v>
      </c>
      <c r="EJ15" s="3" t="n">
        <v>0.05763224405938105</v>
      </c>
      <c r="EK15" s="3" t="n">
        <v>0.03490671049860025</v>
      </c>
      <c r="EL15" s="3" t="n">
        <v>-0.04155768050123704</v>
      </c>
      <c r="EM15">
        <f>AVERAGE(C15:EL15)</f>
        <v/>
      </c>
      <c r="EN15">
        <f>STDEV(C15:EL15)</f>
        <v/>
      </c>
      <c r="EO15">
        <f>EM15/EN15</f>
        <v/>
      </c>
    </row>
    <row r="16">
      <c r="A16" s="13" t="n">
        <v>120</v>
      </c>
      <c r="B16" s="13">
        <f>ROUND($D$10/A16,0)</f>
        <v/>
      </c>
      <c r="C16" s="3" t="n">
        <v>0.2607277098356321</v>
      </c>
      <c r="D16" s="3" t="n">
        <v>0.18425850840958</v>
      </c>
      <c r="E16" s="3" t="n">
        <v>0.07448566136227849</v>
      </c>
      <c r="F16" s="3" t="n">
        <v>0.05305719703340647</v>
      </c>
      <c r="G16" s="3" t="n">
        <v>0.1549372816949042</v>
      </c>
      <c r="H16" s="3" t="n">
        <v>0.08258128892399053</v>
      </c>
      <c r="I16" s="3" t="n">
        <v>0.08177672084516388</v>
      </c>
      <c r="J16" s="3" t="n">
        <v>0.04729717627434155</v>
      </c>
      <c r="K16" s="3" t="n">
        <v>0.02983891150349439</v>
      </c>
      <c r="L16" s="3" t="n">
        <v>-0.02463717526858252</v>
      </c>
      <c r="M16" s="3" t="n">
        <v>0.1588595631525128</v>
      </c>
      <c r="N16" s="3" t="n">
        <v>0.2829158103387982</v>
      </c>
      <c r="O16" s="3" t="n">
        <v>0.05586144906008934</v>
      </c>
      <c r="P16" s="3" t="n">
        <v>-0.0796495621131231</v>
      </c>
      <c r="Q16" s="3" t="n">
        <v>0.04802033055303033</v>
      </c>
      <c r="R16" s="3" t="n">
        <v>-0.008577142130160295</v>
      </c>
      <c r="S16" s="3" t="n">
        <v>0.06812775189274774</v>
      </c>
      <c r="T16" s="3" t="n">
        <v>0.02822406196678249</v>
      </c>
      <c r="U16" s="3" t="n">
        <v>-0.07198723088757321</v>
      </c>
      <c r="V16" s="3" t="n">
        <v>-0.0161752645654584</v>
      </c>
      <c r="W16" s="3" t="n">
        <v>0.04822774579145105</v>
      </c>
      <c r="X16" s="3" t="n">
        <v>0.06710475158263386</v>
      </c>
      <c r="Y16" s="3" t="n">
        <v>-0.01695610344561755</v>
      </c>
      <c r="Z16" s="3" t="n">
        <v>0.08073518224933957</v>
      </c>
      <c r="AA16" s="3" t="n">
        <v>-0.03919047548384608</v>
      </c>
      <c r="AB16" s="3" t="n">
        <v>-0.1209893013996107</v>
      </c>
      <c r="AC16" s="3" t="n">
        <v>-0.0291674014857523</v>
      </c>
      <c r="AD16" s="3" t="n">
        <v>0.01888382425089655</v>
      </c>
      <c r="AE16" s="3" t="n">
        <v>-0.08988495736406689</v>
      </c>
      <c r="AF16" s="3" t="n">
        <v>0.047054931987802</v>
      </c>
      <c r="AG16" s="3" t="n">
        <v>0.01049366559136538</v>
      </c>
      <c r="AH16" s="3" t="n">
        <v>0.01240062885375806</v>
      </c>
      <c r="AI16" s="3" t="n">
        <v>0.0293811475292057</v>
      </c>
      <c r="AJ16" s="3" t="n">
        <v>-0.03572008290999221</v>
      </c>
      <c r="AK16" s="3" t="n">
        <v>-0.02033419333994072</v>
      </c>
      <c r="AL16" s="3" t="n">
        <v>0.02477789799546024</v>
      </c>
      <c r="AM16" s="3" t="n">
        <v>-0.001825143833757844</v>
      </c>
      <c r="AN16" s="3" t="n">
        <v>0.1126576229844562</v>
      </c>
      <c r="AO16" s="3" t="n">
        <v>0.04441967234132774</v>
      </c>
      <c r="AP16" s="3" t="n">
        <v>0.02243839813816207</v>
      </c>
      <c r="AQ16" s="3" t="n">
        <v>-0.01072743307512129</v>
      </c>
      <c r="AR16" s="3" t="n">
        <v>0.1027702416988721</v>
      </c>
      <c r="AS16" s="3" t="n">
        <v>0.04361813172733716</v>
      </c>
      <c r="AT16" s="3" t="n">
        <v>-0.004959234717924418</v>
      </c>
      <c r="AU16" s="3" t="n">
        <v>0.1387006490225984</v>
      </c>
      <c r="AV16" s="3" t="n">
        <v>0.06505802944014219</v>
      </c>
      <c r="AW16" s="3" t="n">
        <v>0.09483436961405695</v>
      </c>
      <c r="AX16" s="3" t="n">
        <v>0.06342066066382238</v>
      </c>
      <c r="AY16" s="3" t="n">
        <v>-0.004711398418479215</v>
      </c>
      <c r="AZ16" s="3" t="n">
        <v>0.02661999907660949</v>
      </c>
      <c r="BA16" s="3" t="n">
        <v>0.1583102282499911</v>
      </c>
      <c r="BB16" s="3" t="n">
        <v>-0.1164875051166427</v>
      </c>
      <c r="BC16" s="3" t="n">
        <v>0.03480739682824024</v>
      </c>
      <c r="BD16" s="3" t="n">
        <v>-0.02504773701921712</v>
      </c>
      <c r="BE16" s="3" t="n">
        <v>0.04726160961851961</v>
      </c>
      <c r="BF16" s="3" t="n">
        <v>0.05904785673082347</v>
      </c>
      <c r="BG16" s="3" t="n">
        <v>0.02135494547088707</v>
      </c>
      <c r="BH16" s="3" t="n">
        <v>0.05921497891082218</v>
      </c>
      <c r="BI16" s="3" t="n">
        <v>0.07125038813563721</v>
      </c>
      <c r="BJ16" s="3" t="n">
        <v>0.1163424196621526</v>
      </c>
      <c r="BK16" s="3" t="n">
        <v>-0.03648835120159297</v>
      </c>
      <c r="BL16" s="3" t="n">
        <v>-0.01089851819344082</v>
      </c>
      <c r="BM16" s="3" t="n">
        <v>0.03399613859894203</v>
      </c>
      <c r="BN16" s="3" t="n">
        <v>-0.02165383744690823</v>
      </c>
      <c r="BO16" s="3" t="n">
        <v>0.04123522158541917</v>
      </c>
      <c r="BP16" s="3" t="n">
        <v>-0.04413539513059413</v>
      </c>
      <c r="BQ16" s="3" t="n">
        <v>0.04669597225292799</v>
      </c>
      <c r="BR16" s="3" t="n">
        <v>0.06207829018013316</v>
      </c>
      <c r="BS16" s="3" t="n">
        <v>0.07871129683939657</v>
      </c>
      <c r="BT16" s="3" t="n">
        <v>0.01279770120612397</v>
      </c>
      <c r="BU16" s="3" t="n">
        <v>0.04248523971776647</v>
      </c>
      <c r="BV16" s="3" t="n">
        <v>0.02612617077936384</v>
      </c>
      <c r="BW16" s="3" t="n">
        <v>0.2128306411757052</v>
      </c>
      <c r="BX16" s="3" t="n">
        <v>0.04667790944991827</v>
      </c>
      <c r="BY16" s="3" t="n">
        <v>0.1316260129171286</v>
      </c>
      <c r="BZ16" s="3" t="n">
        <v>0.07993457190324199</v>
      </c>
      <c r="CA16" s="3" t="n">
        <v>0.02905291007201136</v>
      </c>
      <c r="CB16" s="3" t="n">
        <v>0.06526469649403153</v>
      </c>
      <c r="CC16" s="3" t="n">
        <v>0.06904288792029309</v>
      </c>
      <c r="CD16" s="3" t="n">
        <v>0.1064543418042266</v>
      </c>
      <c r="CE16" s="3" t="n">
        <v>0.06976324123141392</v>
      </c>
      <c r="CF16" s="3" t="n">
        <v>0.04433936869901185</v>
      </c>
      <c r="CG16" s="3" t="n">
        <v>-0.2440479115327541</v>
      </c>
      <c r="CH16" s="3" t="n">
        <v>-0.0106305581440055</v>
      </c>
      <c r="CI16" s="3" t="n">
        <v>0.02090624112036837</v>
      </c>
      <c r="CJ16" s="3" t="n">
        <v>0.01217305798364034</v>
      </c>
      <c r="CK16" s="3" t="n">
        <v>0.1086849264973081</v>
      </c>
      <c r="CL16" s="3" t="n">
        <v>0.1132569677786987</v>
      </c>
      <c r="CM16" s="3" t="n">
        <v>0.05212407076765614</v>
      </c>
      <c r="CN16" s="3" t="n">
        <v>0.01506849060731926</v>
      </c>
      <c r="CO16" s="3" t="n">
        <v>0.1830039730950465</v>
      </c>
      <c r="CP16" s="3" t="n">
        <v>0.01352303246132825</v>
      </c>
      <c r="CQ16" s="3" t="n">
        <v>0.06443923638261063</v>
      </c>
      <c r="CR16" s="3" t="n">
        <v>0.03072419164462748</v>
      </c>
      <c r="CS16" s="3" t="n">
        <v>0.01541304512112728</v>
      </c>
      <c r="CT16" s="3" t="n">
        <v>0.02890928602134134</v>
      </c>
      <c r="CU16" s="3" t="n">
        <v>0.1728962212160351</v>
      </c>
      <c r="CV16" s="3" t="n">
        <v>0.02030129458228891</v>
      </c>
      <c r="CW16" s="3" t="n">
        <v>-0.006558908378256241</v>
      </c>
      <c r="CX16" s="3" t="n">
        <v>-0.02692330345138896</v>
      </c>
      <c r="CY16" s="3" t="n">
        <v>0.02949410902843114</v>
      </c>
      <c r="CZ16" s="3" t="n">
        <v>0.1598582386869865</v>
      </c>
      <c r="DA16" s="3" t="n">
        <v>0.09588854854085699</v>
      </c>
      <c r="DB16" s="3" t="n">
        <v>0.0573604445556072</v>
      </c>
      <c r="DC16" s="3" t="n">
        <v>0.07641112096675751</v>
      </c>
      <c r="DD16" s="3" t="n">
        <v>-0.2096615572825862</v>
      </c>
      <c r="DE16" s="3" t="n">
        <v>0.04723995228612902</v>
      </c>
      <c r="DF16" s="3" t="n">
        <v>0.3219297501665138</v>
      </c>
      <c r="DG16" s="3" t="n">
        <v>0.04444939294232931</v>
      </c>
      <c r="DH16" s="3" t="n">
        <v>0.1527063246018319</v>
      </c>
      <c r="DI16" s="3" t="n">
        <v>0.04330313126788761</v>
      </c>
      <c r="DJ16" s="3" t="n">
        <v>0.03830046343628624</v>
      </c>
      <c r="DK16" s="3" t="n">
        <v>0.0832605938990571</v>
      </c>
      <c r="DL16" s="3" t="n">
        <v>-0.008676913236973182</v>
      </c>
      <c r="DM16" s="3" t="n">
        <v>-0.03675974711898165</v>
      </c>
      <c r="DN16" s="3" t="n">
        <v>0.001666128502625877</v>
      </c>
      <c r="DO16" s="3" t="n">
        <v>0.1754897693517009</v>
      </c>
      <c r="DP16" s="3" t="n">
        <v>0.005193157530215133</v>
      </c>
      <c r="DQ16" s="3" t="n">
        <v>0.03892242622384665</v>
      </c>
      <c r="DR16" s="3" t="n">
        <v>0.0319536688789914</v>
      </c>
      <c r="DS16" s="3" t="n">
        <v>0.0521135827973097</v>
      </c>
      <c r="DT16" s="3" t="n">
        <v>0.01640590613539835</v>
      </c>
      <c r="DU16" s="3" t="n">
        <v>0.0853412151570118</v>
      </c>
      <c r="DV16" s="3" t="n">
        <v>-0.01917334026721049</v>
      </c>
      <c r="DW16" s="3" t="n">
        <v>0.03774299745556067</v>
      </c>
      <c r="DX16" s="3" t="n">
        <v>0.04421867500205302</v>
      </c>
      <c r="DY16" s="3" t="n">
        <v>0.1144703023210586</v>
      </c>
      <c r="DZ16" s="3" t="n">
        <v>0.0131116688137165</v>
      </c>
      <c r="EA16" s="3" t="n">
        <v>0.08423452247962714</v>
      </c>
      <c r="EB16" s="3" t="n">
        <v>-0.07331902714423708</v>
      </c>
      <c r="EC16" s="3" t="n">
        <v>0.01475124553607315</v>
      </c>
      <c r="ED16" s="3" t="n">
        <v>0.05918006131702468</v>
      </c>
      <c r="EE16" s="3" t="n">
        <v>0.01153760730163971</v>
      </c>
      <c r="EF16" s="3" t="n">
        <v>0.06024263997292982</v>
      </c>
      <c r="EG16" s="3" t="n">
        <v>-0.001621279071256879</v>
      </c>
      <c r="EH16" s="3" t="n">
        <v>0.06801897301058597</v>
      </c>
      <c r="EI16" s="3" t="n">
        <v>0.02581173010579759</v>
      </c>
      <c r="EJ16" s="3" t="n">
        <v>0.05542896593757208</v>
      </c>
      <c r="EK16" s="3" t="n">
        <v>0.03627353008714944</v>
      </c>
      <c r="EL16" s="3" t="n">
        <v>-0.02035781005289762</v>
      </c>
      <c r="EM16">
        <f>AVERAGE(C16:EL16)</f>
        <v/>
      </c>
      <c r="EN16">
        <f>STDEV(C16:EL16)</f>
        <v/>
      </c>
      <c r="EO16">
        <f>EM16/EN16</f>
        <v/>
      </c>
    </row>
    <row r="17">
      <c r="A17" s="13" t="n">
        <v>130</v>
      </c>
      <c r="B17" s="13">
        <f>ROUND($D$10/A17,0)</f>
        <v/>
      </c>
      <c r="C17" s="3" t="n">
        <v>0.2378970514581851</v>
      </c>
      <c r="D17" s="3" t="n">
        <v>0.181331292593183</v>
      </c>
      <c r="E17" s="3" t="n">
        <v>0.07670262642368821</v>
      </c>
      <c r="F17" s="3" t="n">
        <v>0.05649102683146431</v>
      </c>
      <c r="G17" s="3" t="n">
        <v>0.1687968453180338</v>
      </c>
      <c r="H17" s="3" t="n">
        <v>0.03995329522451764</v>
      </c>
      <c r="I17" s="3" t="n">
        <v>0.08130362583298466</v>
      </c>
      <c r="J17" s="3" t="n">
        <v>0.0528863257128936</v>
      </c>
      <c r="K17" s="3" t="n">
        <v>0.01662460772771368</v>
      </c>
      <c r="L17" s="3" t="n">
        <v>-0.007451506432932613</v>
      </c>
      <c r="M17" s="3" t="n">
        <v>0.1805564014126458</v>
      </c>
      <c r="N17" s="3" t="n">
        <v>0.3192789603853328</v>
      </c>
      <c r="O17" s="3" t="n">
        <v>0.02657438064041803</v>
      </c>
      <c r="P17" s="3" t="n">
        <v>-0.08719654904083718</v>
      </c>
      <c r="Q17" s="3" t="n">
        <v>0.05021907689325067</v>
      </c>
      <c r="R17" s="3" t="n">
        <v>0.0002080901850849762</v>
      </c>
      <c r="S17" s="3" t="n">
        <v>0.06895465943005973</v>
      </c>
      <c r="T17" s="3" t="n">
        <v>0.0322326235483239</v>
      </c>
      <c r="U17" s="3" t="n">
        <v>-0.07360568202313324</v>
      </c>
      <c r="V17" s="3" t="n">
        <v>-0.0269732162250591</v>
      </c>
      <c r="W17" s="3" t="n">
        <v>0.04537948788024179</v>
      </c>
      <c r="X17" s="3" t="n">
        <v>0.06028051387961114</v>
      </c>
      <c r="Y17" s="3" t="n">
        <v>-0.02744149955929833</v>
      </c>
      <c r="Z17" s="3" t="n">
        <v>0.08583002649492498</v>
      </c>
      <c r="AA17" s="3" t="n">
        <v>-0.0458548509947807</v>
      </c>
      <c r="AB17" s="3" t="n">
        <v>-0.1208022917806303</v>
      </c>
      <c r="AC17" s="3" t="n">
        <v>-0.03948826116062895</v>
      </c>
      <c r="AD17" s="3" t="n">
        <v>-0.02959849803389721</v>
      </c>
      <c r="AE17" s="3" t="n">
        <v>-0.09671757390871608</v>
      </c>
      <c r="AF17" s="3" t="n">
        <v>0.03258222676355532</v>
      </c>
      <c r="AG17" s="3" t="n">
        <v>0.02251119400406303</v>
      </c>
      <c r="AH17" s="3" t="n">
        <v>0.002060342264877934</v>
      </c>
      <c r="AI17" s="3" t="n">
        <v>0.02811473803979769</v>
      </c>
      <c r="AJ17" s="3" t="n">
        <v>-0.04255965586007313</v>
      </c>
      <c r="AK17" s="3" t="n">
        <v>-0.01853581845123508</v>
      </c>
      <c r="AL17" s="3" t="n">
        <v>0.03417297736703494</v>
      </c>
      <c r="AM17" s="3" t="n">
        <v>0.001164532483032311</v>
      </c>
      <c r="AN17" s="3" t="n">
        <v>0.1246124859337698</v>
      </c>
      <c r="AO17" s="3" t="n">
        <v>0.02875092374725144</v>
      </c>
      <c r="AP17" s="3" t="n">
        <v>0.03260724453576005</v>
      </c>
      <c r="AQ17" s="3" t="n">
        <v>-0.03302666146703425</v>
      </c>
      <c r="AR17" s="3" t="n">
        <v>0.05495116196765491</v>
      </c>
      <c r="AS17" s="3" t="n">
        <v>0.05100153237028848</v>
      </c>
      <c r="AT17" s="3" t="n">
        <v>-0.02845948872753217</v>
      </c>
      <c r="AU17" s="3" t="n">
        <v>0.1377732058858404</v>
      </c>
      <c r="AV17" s="3" t="n">
        <v>0.07218721493644871</v>
      </c>
      <c r="AW17" s="3" t="n">
        <v>0.1140002593049446</v>
      </c>
      <c r="AX17" s="3" t="n">
        <v>0.07513274831273956</v>
      </c>
      <c r="AY17" s="3" t="n">
        <v>-0.004833032956963232</v>
      </c>
      <c r="AZ17" s="3" t="n">
        <v>0.02611275262213147</v>
      </c>
      <c r="BA17" s="3" t="n">
        <v>0.1683477015138004</v>
      </c>
      <c r="BB17" s="3" t="n">
        <v>-0.1419361340314627</v>
      </c>
      <c r="BC17" s="3" t="n">
        <v>0.05233159612064906</v>
      </c>
      <c r="BD17" s="3" t="n">
        <v>-0.01583428973173629</v>
      </c>
      <c r="BE17" s="3" t="n">
        <v>0.03659839258407578</v>
      </c>
      <c r="BF17" s="3" t="n">
        <v>0.0233579098793569</v>
      </c>
      <c r="BG17" s="3" t="n">
        <v>-0.01087660497418948</v>
      </c>
      <c r="BH17" s="3" t="n">
        <v>0.06409765551705399</v>
      </c>
      <c r="BI17" s="3" t="n">
        <v>0.05720780748125098</v>
      </c>
      <c r="BJ17" s="3" t="n">
        <v>0.1252742600576429</v>
      </c>
      <c r="BK17" s="3" t="n">
        <v>-0.04077055427713529</v>
      </c>
      <c r="BL17" s="3" t="n">
        <v>0.005582672998559898</v>
      </c>
      <c r="BM17" s="3" t="n">
        <v>0.04086488388047297</v>
      </c>
      <c r="BN17" s="3" t="n">
        <v>-0.01778529238490061</v>
      </c>
      <c r="BO17" s="3" t="n">
        <v>0.02580624180216486</v>
      </c>
      <c r="BP17" s="3" t="n">
        <v>-0.05168706117564467</v>
      </c>
      <c r="BQ17" s="3" t="n">
        <v>0.05461995369603621</v>
      </c>
      <c r="BR17" s="3" t="n">
        <v>0.0910501237308053</v>
      </c>
      <c r="BS17" s="3" t="n">
        <v>0.08982317434911945</v>
      </c>
      <c r="BT17" s="3" t="n">
        <v>0.001226699138646418</v>
      </c>
      <c r="BU17" s="3" t="n">
        <v>0.07189094146468328</v>
      </c>
      <c r="BV17" s="3" t="n">
        <v>0.02377692012719324</v>
      </c>
      <c r="BW17" s="3" t="n">
        <v>0.2342506605115159</v>
      </c>
      <c r="BX17" s="3" t="n">
        <v>0.05184499323946141</v>
      </c>
      <c r="BY17" s="3" t="n">
        <v>0.09546081973655117</v>
      </c>
      <c r="BZ17" s="3" t="n">
        <v>0.08760317315594748</v>
      </c>
      <c r="CA17" s="3" t="n">
        <v>0.02902011735077178</v>
      </c>
      <c r="CB17" s="3" t="n">
        <v>0.06633361332367425</v>
      </c>
      <c r="CC17" s="3" t="n">
        <v>0.06440657413059245</v>
      </c>
      <c r="CD17" s="3" t="n">
        <v>0.117653824838826</v>
      </c>
      <c r="CE17" s="3" t="n">
        <v>0.0888835143672124</v>
      </c>
      <c r="CF17" s="3" t="n">
        <v>0.06111414644603418</v>
      </c>
      <c r="CG17" s="3" t="n">
        <v>-0.1574612738297644</v>
      </c>
      <c r="CH17" s="3" t="n">
        <v>0.008367718939970736</v>
      </c>
      <c r="CI17" s="3" t="n">
        <v>0.006795376275138702</v>
      </c>
      <c r="CJ17" s="3" t="n">
        <v>0.02074115548546952</v>
      </c>
      <c r="CK17" s="3" t="n">
        <v>0.1184401385349646</v>
      </c>
      <c r="CL17" s="3" t="n">
        <v>0.1082463176603676</v>
      </c>
      <c r="CM17" s="3" t="n">
        <v>0.03868609128114252</v>
      </c>
      <c r="CN17" s="3" t="n">
        <v>0.03768579592097786</v>
      </c>
      <c r="CO17" s="3" t="n">
        <v>0.1371192271595108</v>
      </c>
      <c r="CP17" s="3" t="n">
        <v>-0.001167911230219244</v>
      </c>
      <c r="CQ17" s="3" t="n">
        <v>0.07458826583105069</v>
      </c>
      <c r="CR17" s="3" t="n">
        <v>0.02928368071741586</v>
      </c>
      <c r="CS17" s="3" t="n">
        <v>0.01474801416262659</v>
      </c>
      <c r="CT17" s="3" t="n">
        <v>0.03981893314497747</v>
      </c>
      <c r="CU17" s="3" t="n">
        <v>0.1423385733270735</v>
      </c>
      <c r="CV17" s="3" t="n">
        <v>0.01201214067051529</v>
      </c>
      <c r="CW17" s="3" t="n">
        <v>-0.009230220912064754</v>
      </c>
      <c r="CX17" s="3" t="n">
        <v>-0.01403207535178785</v>
      </c>
      <c r="CY17" s="3" t="n">
        <v>0.02419971260152583</v>
      </c>
      <c r="CZ17" s="3" t="n">
        <v>0.163570007510248</v>
      </c>
      <c r="DA17" s="3" t="n">
        <v>0.08447367769673195</v>
      </c>
      <c r="DB17" s="3" t="n">
        <v>0.05853268278162011</v>
      </c>
      <c r="DC17" s="3" t="n">
        <v>0.0681425922149341</v>
      </c>
      <c r="DD17" s="3" t="n">
        <v>0.04853446691119249</v>
      </c>
      <c r="DE17" s="3" t="n">
        <v>0.06393877002340008</v>
      </c>
      <c r="DF17" s="3" t="n">
        <v>0.3481195284270034</v>
      </c>
      <c r="DG17" s="3" t="n">
        <v>0.05092787760921773</v>
      </c>
      <c r="DH17" s="3" t="n">
        <v>0.1770091726222508</v>
      </c>
      <c r="DI17" s="3" t="n">
        <v>0.05902995998828237</v>
      </c>
      <c r="DJ17" s="3" t="n">
        <v>0.04038611782139535</v>
      </c>
      <c r="DK17" s="3" t="n">
        <v>0.09577678531494677</v>
      </c>
      <c r="DL17" s="3" t="n">
        <v>-0.01499076796394215</v>
      </c>
      <c r="DM17" s="3" t="n">
        <v>-0.04344259702270679</v>
      </c>
      <c r="DN17" s="3" t="n">
        <v>0.006688526250113059</v>
      </c>
      <c r="DO17" s="3" t="n">
        <v>0.1863991019328087</v>
      </c>
      <c r="DP17" s="3" t="n">
        <v>0.008551028513389795</v>
      </c>
      <c r="DQ17" s="3" t="n">
        <v>0.03933615051642507</v>
      </c>
      <c r="DR17" s="3" t="n">
        <v>-0.01565850057944341</v>
      </c>
      <c r="DS17" s="3" t="n">
        <v>0.04024797734625217</v>
      </c>
      <c r="DT17" s="3" t="n">
        <v>0.00560142471378753</v>
      </c>
      <c r="DU17" s="3" t="n">
        <v>0.09494271120458112</v>
      </c>
      <c r="DV17" s="3" t="n">
        <v>-0.02901284339860346</v>
      </c>
      <c r="DW17" s="3" t="n">
        <v>0.02500220119160872</v>
      </c>
      <c r="DX17" s="3" t="n">
        <v>0.0569552720772694</v>
      </c>
      <c r="DY17" s="3" t="n">
        <v>0.1409302756899735</v>
      </c>
      <c r="DZ17" s="3" t="n">
        <v>0.003183445410941981</v>
      </c>
      <c r="EA17" s="3" t="n">
        <v>0.1051514099583504</v>
      </c>
      <c r="EB17" s="3" t="n">
        <v>-0.07653000100292462</v>
      </c>
      <c r="EC17" s="3" t="n">
        <v>-0.0121767748425154</v>
      </c>
      <c r="ED17" s="3" t="n">
        <v>0.05159944100652827</v>
      </c>
      <c r="EE17" s="3" t="n">
        <v>0.02611293959404028</v>
      </c>
      <c r="EF17" s="3" t="n">
        <v>0.0717201196883194</v>
      </c>
      <c r="EG17" s="3" t="n">
        <v>0.02815643804851918</v>
      </c>
      <c r="EH17" s="3" t="n">
        <v>0.0590732249040309</v>
      </c>
      <c r="EI17" s="3" t="n">
        <v>0.02282926836822334</v>
      </c>
      <c r="EJ17" s="3" t="n">
        <v>0.0447883838575532</v>
      </c>
      <c r="EK17" s="3" t="n">
        <v>0.04432499473295688</v>
      </c>
      <c r="EL17" s="3" t="n">
        <v>-0.01933964693029142</v>
      </c>
      <c r="EM17">
        <f>AVERAGE(C17:EL17)</f>
        <v/>
      </c>
      <c r="EN17">
        <f>STDEV(C17:EL17)</f>
        <v/>
      </c>
      <c r="EO17">
        <f>EM17/EN17</f>
        <v/>
      </c>
    </row>
    <row r="18">
      <c r="A18" s="13" t="n">
        <v>150</v>
      </c>
      <c r="B18" s="13">
        <f>ROUND($D$10/A18,0)</f>
        <v/>
      </c>
      <c r="C18" s="3" t="n">
        <v>0.2436872854011519</v>
      </c>
      <c r="D18" s="3" t="n">
        <v>0.1992827528418877</v>
      </c>
      <c r="E18" s="3" t="n">
        <v>0.1001849868838494</v>
      </c>
      <c r="F18" s="3" t="n">
        <v>0.02966595721454336</v>
      </c>
      <c r="G18" s="3" t="n">
        <v>0.1921041888886384</v>
      </c>
      <c r="H18" s="3" t="n">
        <v>0.0620526840495431</v>
      </c>
      <c r="I18" s="3" t="n">
        <v>0.05226361512023513</v>
      </c>
      <c r="J18" s="3" t="n">
        <v>0.05769417768218018</v>
      </c>
      <c r="K18" s="3" t="n">
        <v>0.04557688567402799</v>
      </c>
      <c r="L18" s="3" t="n">
        <v>-0.04739790022681722</v>
      </c>
      <c r="M18" s="3" t="n">
        <v>0.1872515498287286</v>
      </c>
      <c r="N18" s="3" t="n">
        <v>0.3638038690996347</v>
      </c>
      <c r="O18" s="3" t="n">
        <v>0.02923917309027145</v>
      </c>
      <c r="P18" s="3" t="n">
        <v>-0.1070047671871618</v>
      </c>
      <c r="Q18" s="3" t="n">
        <v>0.05606627512866274</v>
      </c>
      <c r="R18" s="3" t="n">
        <v>0.02213484026032828</v>
      </c>
      <c r="S18" s="3" t="n">
        <v>0.04587734898794341</v>
      </c>
      <c r="T18" s="3" t="n">
        <v>0.03406167083575835</v>
      </c>
      <c r="U18" s="3" t="n">
        <v>-0.06371502030106914</v>
      </c>
      <c r="V18" s="3" t="n">
        <v>-0.01739233828832035</v>
      </c>
      <c r="W18" s="3" t="n">
        <v>0.05061189125304266</v>
      </c>
      <c r="X18" s="3" t="n">
        <v>0.04932547731970645</v>
      </c>
      <c r="Y18" s="3" t="n">
        <v>-0.05579328190693268</v>
      </c>
      <c r="Z18" s="3" t="n">
        <v>0.08600395351103821</v>
      </c>
      <c r="AA18" s="3" t="n">
        <v>-0.0398818849665742</v>
      </c>
      <c r="AB18" s="3" t="n">
        <v>-0.1377084501088026</v>
      </c>
      <c r="AC18" s="3" t="n">
        <v>-0.01202065715123182</v>
      </c>
      <c r="AD18" s="3" t="n">
        <v>-0.02686636649243445</v>
      </c>
      <c r="AE18" s="3" t="n">
        <v>-0.1296019775241713</v>
      </c>
      <c r="AF18" s="3" t="n">
        <v>0.02607031597541444</v>
      </c>
      <c r="AG18" s="3" t="n">
        <v>-0.001339026855860893</v>
      </c>
      <c r="AH18" s="3" t="n">
        <v>0.00762077143402033</v>
      </c>
      <c r="AI18" s="3" t="n">
        <v>0.06300245992596092</v>
      </c>
      <c r="AJ18" s="3" t="n">
        <v>-0.03058709684384857</v>
      </c>
      <c r="AK18" s="3" t="n">
        <v>-0.06370310581544172</v>
      </c>
      <c r="AL18" s="3" t="n">
        <v>0.05137143518521396</v>
      </c>
      <c r="AM18" s="3" t="n">
        <v>0.004532187889988366</v>
      </c>
      <c r="AN18" s="3" t="n">
        <v>0.09178821816322318</v>
      </c>
      <c r="AO18" s="3" t="n">
        <v>0.03652696943397605</v>
      </c>
      <c r="AP18" s="3" t="n">
        <v>0.05073619316163346</v>
      </c>
      <c r="AQ18" s="3" t="n">
        <v>0.008792885765628318</v>
      </c>
      <c r="AR18" s="3" t="n">
        <v>0.06006760930407738</v>
      </c>
      <c r="AS18" s="3" t="n">
        <v>0.05560068305601218</v>
      </c>
      <c r="AT18" s="3" t="n">
        <v>-0.02811371462812978</v>
      </c>
      <c r="AU18" s="3" t="n">
        <v>0.1382537360729763</v>
      </c>
      <c r="AV18" s="3" t="n">
        <v>0.0787646297027222</v>
      </c>
      <c r="AW18" s="3" t="n">
        <v>0.1159983480527748</v>
      </c>
      <c r="AX18" s="3" t="n">
        <v>0.1073647648706371</v>
      </c>
      <c r="AY18" s="3" t="n">
        <v>-0.005227005481262405</v>
      </c>
      <c r="AZ18" s="3" t="n">
        <v>0.04134964009508857</v>
      </c>
      <c r="BA18" s="3" t="n">
        <v>0.1783405796011181</v>
      </c>
      <c r="BB18" s="3" t="n">
        <v>-0.1685757989092906</v>
      </c>
      <c r="BC18" s="3" t="n">
        <v>0.05280645569407112</v>
      </c>
      <c r="BD18" s="3" t="n">
        <v>-0.01023203207894959</v>
      </c>
      <c r="BE18" s="3" t="n">
        <v>0.04477787889900404</v>
      </c>
      <c r="BF18" s="3" t="n">
        <v>0.04388115704892641</v>
      </c>
      <c r="BG18" s="3" t="n">
        <v>0.0002937126094464046</v>
      </c>
      <c r="BH18" s="3" t="n">
        <v>0.05517764721703704</v>
      </c>
      <c r="BI18" s="3" t="n">
        <v>0.0505287644639409</v>
      </c>
      <c r="BJ18" s="3" t="n">
        <v>0.02276530031487562</v>
      </c>
      <c r="BK18" s="3" t="n">
        <v>-0.04017717209822925</v>
      </c>
      <c r="BL18" s="3" t="n">
        <v>-0.002099462356949446</v>
      </c>
      <c r="BM18" s="3" t="n">
        <v>0.03291568288466336</v>
      </c>
      <c r="BN18" s="3" t="n">
        <v>-0.02044898919003606</v>
      </c>
      <c r="BO18" s="3" t="n">
        <v>0.05857277729769708</v>
      </c>
      <c r="BP18" s="3" t="n">
        <v>-0.05843902104120931</v>
      </c>
      <c r="BQ18" s="3" t="n">
        <v>0.06075194140072834</v>
      </c>
      <c r="BR18" s="3" t="n">
        <v>0.0903396205693285</v>
      </c>
      <c r="BS18" s="3" t="n">
        <v>0.1156164721962844</v>
      </c>
      <c r="BT18" s="3" t="n">
        <v>-0.003530884623036745</v>
      </c>
      <c r="BU18" s="3" t="n">
        <v>0.08938380530120305</v>
      </c>
      <c r="BV18" s="3" t="n">
        <v>0.02781976929219137</v>
      </c>
      <c r="BW18" s="3" t="n">
        <v>0.2397913125340442</v>
      </c>
      <c r="BX18" s="3" t="n">
        <v>0.03520983943596296</v>
      </c>
      <c r="BY18" s="3" t="n">
        <v>0.08791854693777999</v>
      </c>
      <c r="BZ18" s="3" t="n">
        <v>0.1098145711266066</v>
      </c>
      <c r="CA18" s="3" t="n">
        <v>0.03536997401236577</v>
      </c>
      <c r="CB18" s="3" t="n">
        <v>0.07872429044706812</v>
      </c>
      <c r="CC18" s="3" t="n">
        <v>0.06981572073779338</v>
      </c>
      <c r="CD18" s="3" t="n">
        <v>0.1229806870316699</v>
      </c>
      <c r="CE18" s="3" t="n">
        <v>0.06946089854189968</v>
      </c>
      <c r="CF18" s="3" t="n">
        <v>0.06299095554194284</v>
      </c>
      <c r="CG18" s="3" t="n">
        <v>-0.170995340573634</v>
      </c>
      <c r="CH18" s="3" t="n">
        <v>0.02754059192066086</v>
      </c>
      <c r="CI18" s="3" t="n">
        <v>-0.0043287817929758</v>
      </c>
      <c r="CJ18" s="3" t="n">
        <v>0.03279610925116784</v>
      </c>
      <c r="CK18" s="3" t="n">
        <v>0.08229529540270845</v>
      </c>
      <c r="CL18" s="3" t="n">
        <v>0.1122118714270389</v>
      </c>
      <c r="CM18" s="3" t="n">
        <v>0.02379210310860118</v>
      </c>
      <c r="CN18" s="3" t="n">
        <v>0.03553822345470743</v>
      </c>
      <c r="CO18" s="3" t="n">
        <v>0.167496357845025</v>
      </c>
      <c r="CP18" s="3" t="n">
        <v>-0.0153182364535154</v>
      </c>
      <c r="CQ18" s="3" t="n">
        <v>0.08982008074671884</v>
      </c>
      <c r="CR18" s="3" t="n">
        <v>0.03817405563070583</v>
      </c>
      <c r="CS18" s="3" t="n">
        <v>0.03855823153077814</v>
      </c>
      <c r="CT18" s="3" t="n">
        <v>0.03078831195913091</v>
      </c>
      <c r="CU18" s="3" t="n">
        <v>0.1425898475912969</v>
      </c>
      <c r="CV18" s="3" t="n">
        <v>0.01323266270408196</v>
      </c>
      <c r="CW18" s="3" t="n">
        <v>-0.0332945412185726</v>
      </c>
      <c r="CX18" s="3" t="n">
        <v>-0.01650822417605723</v>
      </c>
      <c r="CY18" s="3" t="n">
        <v>0.0118901979225224</v>
      </c>
      <c r="CZ18" s="3" t="n">
        <v>0.1746967762532984</v>
      </c>
      <c r="DA18" s="3" t="n">
        <v>0.07604741704989132</v>
      </c>
      <c r="DB18" s="3" t="n">
        <v>0.05554653045713014</v>
      </c>
      <c r="DC18" s="3" t="n">
        <v>0.06549946201388579</v>
      </c>
      <c r="DD18" s="3" t="n">
        <v>0.07153287427634129</v>
      </c>
      <c r="DE18" s="3" t="n">
        <v>0.05333279728230817</v>
      </c>
      <c r="DF18" s="3" t="n">
        <v>0.3619994086489077</v>
      </c>
      <c r="DG18" s="3" t="n">
        <v>0.0610646626022753</v>
      </c>
      <c r="DH18" s="3" t="n">
        <v>0.2058658826236627</v>
      </c>
      <c r="DI18" s="3" t="n">
        <v>0.05743741403854047</v>
      </c>
      <c r="DJ18" s="3" t="n">
        <v>0.04766626676356799</v>
      </c>
      <c r="DK18" s="3" t="n">
        <v>0.06776873259909769</v>
      </c>
      <c r="DL18" s="3" t="n">
        <v>-0.01866997140077302</v>
      </c>
      <c r="DM18" s="3" t="n">
        <v>-0.03802746201477354</v>
      </c>
      <c r="DN18" s="3" t="n">
        <v>0.01509759681235196</v>
      </c>
      <c r="DO18" s="3" t="n">
        <v>0.2153504766191786</v>
      </c>
      <c r="DP18" s="3" t="n">
        <v>0.0265876982315919</v>
      </c>
      <c r="DQ18" s="3" t="n">
        <v>0.02645984968468421</v>
      </c>
      <c r="DR18" s="3" t="n">
        <v>4.866740746092141e-05</v>
      </c>
      <c r="DS18" s="3" t="n">
        <v>0.01458528350271125</v>
      </c>
      <c r="DT18" s="3" t="n">
        <v>-0.001511542555197469</v>
      </c>
      <c r="DU18" s="3" t="n">
        <v>0.1191714207457888</v>
      </c>
      <c r="DV18" s="3" t="n">
        <v>-0.04616120768714128</v>
      </c>
      <c r="DW18" s="3" t="n">
        <v>0.05781256013627946</v>
      </c>
      <c r="DX18" s="3" t="n">
        <v>0.07851228443218224</v>
      </c>
      <c r="DY18" s="3" t="n">
        <v>0.1708308389731072</v>
      </c>
      <c r="DZ18" s="3" t="n">
        <v>0.01018436411643642</v>
      </c>
      <c r="EA18" s="3" t="n">
        <v>0.1395519845972895</v>
      </c>
      <c r="EB18" s="3" t="n">
        <v>-0.1001844395825895</v>
      </c>
      <c r="EC18" s="3" t="n">
        <v>-0.01462681628731199</v>
      </c>
      <c r="ED18" s="3" t="n">
        <v>0.04454784595957269</v>
      </c>
      <c r="EE18" s="3" t="n">
        <v>0.02040738560932034</v>
      </c>
      <c r="EF18" s="3" t="n">
        <v>0.08203899171378931</v>
      </c>
      <c r="EG18" s="3" t="n">
        <v>0.04155319715294767</v>
      </c>
      <c r="EH18" s="3" t="n">
        <v>0.04635882346874245</v>
      </c>
      <c r="EI18" s="3" t="n">
        <v>0.01495156726749093</v>
      </c>
      <c r="EJ18" s="3" t="n">
        <v>0.06267668512380201</v>
      </c>
      <c r="EK18" s="3" t="n">
        <v>0.04556728494254914</v>
      </c>
      <c r="EL18" s="3" t="n">
        <v>0.008521998627937677</v>
      </c>
      <c r="EM18">
        <f>AVERAGE(C18:EL18)</f>
        <v/>
      </c>
      <c r="EN18">
        <f>STDEV(C18:EL18)</f>
        <v/>
      </c>
      <c r="EO18">
        <f>EM18/EN18</f>
        <v/>
      </c>
    </row>
    <row r="19">
      <c r="A19" s="13" t="n">
        <v>180</v>
      </c>
      <c r="B19" s="13">
        <f>ROUND($D$10/A19,0)</f>
        <v/>
      </c>
      <c r="C19" s="3" t="n">
        <v>0.2582503737473393</v>
      </c>
      <c r="D19" s="3" t="n">
        <v>0.2081677224721948</v>
      </c>
      <c r="E19" s="3" t="n">
        <v>0.07381885403129258</v>
      </c>
      <c r="F19" s="3" t="n">
        <v>0.01853926939390997</v>
      </c>
      <c r="G19" s="3" t="n">
        <v>0.2217514953841713</v>
      </c>
      <c r="H19" s="3" t="n">
        <v>0.08653379041217676</v>
      </c>
      <c r="I19" s="3" t="n">
        <v>0.05703960583927592</v>
      </c>
      <c r="J19" s="3" t="n">
        <v>0.117483265903343</v>
      </c>
      <c r="K19" s="3" t="n">
        <v>0.04288124049508805</v>
      </c>
      <c r="L19" s="3" t="n">
        <v>-0.05317977505310097</v>
      </c>
      <c r="M19" s="3" t="n">
        <v>0.2329070217552789</v>
      </c>
      <c r="N19" s="3" t="n">
        <v>0.4127688805127308</v>
      </c>
      <c r="O19" s="3" t="n">
        <v>0.02579924843082618</v>
      </c>
      <c r="P19" s="3" t="n">
        <v>-0.0919396314570832</v>
      </c>
      <c r="Q19" s="3" t="n">
        <v>0.06756247574722883</v>
      </c>
      <c r="R19" s="3" t="n">
        <v>0.02026474637911474</v>
      </c>
      <c r="S19" s="3" t="n">
        <v>0.03065040927091226</v>
      </c>
      <c r="T19" s="3" t="n">
        <v>0.002203397488641175</v>
      </c>
      <c r="U19" s="3" t="n">
        <v>-0.06475812749775389</v>
      </c>
      <c r="V19" s="3" t="n">
        <v>0.03456072126784149</v>
      </c>
      <c r="W19" s="3" t="n">
        <v>0.01518709126481181</v>
      </c>
      <c r="X19" s="3" t="n">
        <v>0.04401343516226038</v>
      </c>
      <c r="Y19" s="3" t="n">
        <v>-0.08043513482605393</v>
      </c>
      <c r="Z19" s="3" t="n">
        <v>0.0445204397161742</v>
      </c>
      <c r="AA19" s="3" t="n">
        <v>-0.05272418219337156</v>
      </c>
      <c r="AB19" s="3" t="n">
        <v>-0.09817858192421615</v>
      </c>
      <c r="AC19" s="3" t="n">
        <v>-0.01092529449700118</v>
      </c>
      <c r="AD19" s="3" t="n">
        <v>-0.04138057090668263</v>
      </c>
      <c r="AE19" s="3" t="n">
        <v>-0.1492889787159983</v>
      </c>
      <c r="AF19" s="3" t="n">
        <v>-0.03901288172585546</v>
      </c>
      <c r="AG19" s="3" t="n">
        <v>-0.01842890619665896</v>
      </c>
      <c r="AH19" s="3" t="n">
        <v>-0.02954776804540805</v>
      </c>
      <c r="AI19" s="3" t="n">
        <v>0.0841739536806175</v>
      </c>
      <c r="AJ19" s="3" t="n">
        <v>-0.01496907020445508</v>
      </c>
      <c r="AK19" s="3" t="n">
        <v>-0.0915408262386892</v>
      </c>
      <c r="AL19" s="3" t="n">
        <v>0.05939900118905077</v>
      </c>
      <c r="AM19" s="3" t="n">
        <v>0.02814640311476763</v>
      </c>
      <c r="AN19" s="3" t="n">
        <v>0.09022895237843402</v>
      </c>
      <c r="AO19" s="3" t="n">
        <v>0.03787132572524965</v>
      </c>
      <c r="AP19" s="3" t="n">
        <v>0.05514091645259293</v>
      </c>
      <c r="AQ19" s="3" t="n">
        <v>0.04323710638972982</v>
      </c>
      <c r="AR19" s="3" t="n">
        <v>0.06134098909999979</v>
      </c>
      <c r="AS19" s="3" t="n">
        <v>0.07677568536072707</v>
      </c>
      <c r="AT19" s="3" t="n">
        <v>-0.05996112914639293</v>
      </c>
      <c r="AU19" s="3" t="n">
        <v>0.1521136817002103</v>
      </c>
      <c r="AV19" s="3" t="n">
        <v>0.09011540776736116</v>
      </c>
      <c r="AW19" s="3" t="n">
        <v>0.1288215000888062</v>
      </c>
      <c r="AX19" s="3" t="n">
        <v>0.1244052839957342</v>
      </c>
      <c r="AY19" s="3" t="n">
        <v>-0.01381210687588093</v>
      </c>
      <c r="AZ19" s="3" t="n">
        <v>0.05487556402425098</v>
      </c>
      <c r="BA19" s="3" t="n">
        <v>0.1845010616416142</v>
      </c>
      <c r="BB19" s="3" t="n">
        <v>-0.1859153452045772</v>
      </c>
      <c r="BC19" s="3" t="n">
        <v>0.04971639652435063</v>
      </c>
      <c r="BD19" s="3" t="n">
        <v>-0.02037236273749906</v>
      </c>
      <c r="BE19" s="3" t="n">
        <v>0.05698350264302169</v>
      </c>
      <c r="BF19" s="3" t="n">
        <v>0.05613085750639801</v>
      </c>
      <c r="BG19" s="3" t="n">
        <v>0.003998827857118359</v>
      </c>
      <c r="BH19" s="3" t="n">
        <v>0.04227823291963688</v>
      </c>
      <c r="BI19" s="3" t="n">
        <v>0.0524437903150989</v>
      </c>
      <c r="BJ19" s="3" t="n">
        <v>0.02401811791234579</v>
      </c>
      <c r="BK19" s="3" t="n">
        <v>-0.08976685942734615</v>
      </c>
      <c r="BL19" s="3" t="n">
        <v>-0.002215698101291557</v>
      </c>
      <c r="BM19" s="3" t="n">
        <v>0.0320773893767665</v>
      </c>
      <c r="BN19" s="3" t="n">
        <v>-0.01339126501759146</v>
      </c>
      <c r="BO19" s="3" t="n">
        <v>0.0005255640688959576</v>
      </c>
      <c r="BP19" s="3" t="n">
        <v>-0.06839103698921056</v>
      </c>
      <c r="BQ19" s="3" t="n">
        <v>0.06929655821439423</v>
      </c>
      <c r="BR19" s="3" t="n">
        <v>0.05689734975926768</v>
      </c>
      <c r="BS19" s="3" t="n">
        <v>0.104512852500673</v>
      </c>
      <c r="BT19" s="3" t="n">
        <v>-0.03556323912672545</v>
      </c>
      <c r="BU19" s="3" t="n">
        <v>0.09834371967210284</v>
      </c>
      <c r="BV19" s="3" t="n">
        <v>0.04950451339467959</v>
      </c>
      <c r="BW19" s="3" t="n">
        <v>0.2775307918516717</v>
      </c>
      <c r="BX19" s="3" t="n">
        <v>0.01270172593208719</v>
      </c>
      <c r="BY19" s="3" t="n">
        <v>0.09464521935979436</v>
      </c>
      <c r="BZ19" s="3" t="n">
        <v>0.144742021828442</v>
      </c>
      <c r="CA19" s="3" t="n">
        <v>0.03804090591987477</v>
      </c>
      <c r="CB19" s="3" t="n">
        <v>0.01378967080087373</v>
      </c>
      <c r="CC19" s="3" t="n">
        <v>0.04924360391926687</v>
      </c>
      <c r="CD19" s="3" t="n">
        <v>0.08853519745044441</v>
      </c>
      <c r="CE19" s="3" t="n">
        <v>0.03720912343563142</v>
      </c>
      <c r="CF19" s="3" t="n">
        <v>0.06635288414212379</v>
      </c>
      <c r="CG19" s="3" t="n">
        <v>-0.2124362151299675</v>
      </c>
      <c r="CH19" s="3" t="n">
        <v>0.04591115278426681</v>
      </c>
      <c r="CI19" s="3" t="n">
        <v>0.01918610126566898</v>
      </c>
      <c r="CJ19" s="3" t="n">
        <v>0.05043767806506837</v>
      </c>
      <c r="CK19" s="3" t="n">
        <v>0.06700450367431098</v>
      </c>
      <c r="CL19" s="3" t="n">
        <v>0.1414922470467804</v>
      </c>
      <c r="CM19" s="3" t="n">
        <v>0.02423729539903103</v>
      </c>
      <c r="CN19" s="3" t="n">
        <v>0.03166587532716002</v>
      </c>
      <c r="CO19" s="3" t="n">
        <v>0.1861299785988655</v>
      </c>
      <c r="CP19" s="3" t="n">
        <v>-0.004113011897036611</v>
      </c>
      <c r="CQ19" s="3" t="n">
        <v>0.1164717653799217</v>
      </c>
      <c r="CR19" s="3" t="n">
        <v>0.03624775281952233</v>
      </c>
      <c r="CS19" s="3" t="n">
        <v>0.04096926893639658</v>
      </c>
      <c r="CT19" s="3" t="n">
        <v>0.0364417958766387</v>
      </c>
      <c r="CU19" s="3" t="n">
        <v>0.04420900826906082</v>
      </c>
      <c r="CV19" s="3" t="n">
        <v>0.0191387535014024</v>
      </c>
      <c r="CW19" s="3" t="n">
        <v>-0.02505812855588805</v>
      </c>
      <c r="CX19" s="3" t="n">
        <v>-0.01312610095563277</v>
      </c>
      <c r="CY19" s="3" t="n">
        <v>0.003935804467225017</v>
      </c>
      <c r="CZ19" s="3" t="n">
        <v>0.1272546999821748</v>
      </c>
      <c r="DA19" s="3" t="n">
        <v>0.04489831917626025</v>
      </c>
      <c r="DB19" s="3" t="n">
        <v>0.0586526181309785</v>
      </c>
      <c r="DC19" s="3" t="n">
        <v>0.04928215086622216</v>
      </c>
      <c r="DD19" s="3" t="n">
        <v>0.06408596758274357</v>
      </c>
      <c r="DE19" s="3" t="n">
        <v>0.02236905285801305</v>
      </c>
      <c r="DF19" s="3" t="n">
        <v>0.2000270444683382</v>
      </c>
      <c r="DG19" s="3" t="n">
        <v>0.06679145336412273</v>
      </c>
      <c r="DH19" s="3" t="n">
        <v>0.2463345479018174</v>
      </c>
      <c r="DI19" s="3" t="n">
        <v>0.07602301428288308</v>
      </c>
      <c r="DJ19" s="3" t="n">
        <v>0.05061265825496794</v>
      </c>
      <c r="DK19" s="3" t="n">
        <v>0.06250616710931503</v>
      </c>
      <c r="DL19" s="3" t="n">
        <v>0.01373577108007836</v>
      </c>
      <c r="DM19" s="3" t="n">
        <v>-0.06556481397557382</v>
      </c>
      <c r="DN19" s="3" t="n">
        <v>-0.01531506940177736</v>
      </c>
      <c r="DO19" s="3" t="n">
        <v>0.2198953183339663</v>
      </c>
      <c r="DP19" s="3" t="n">
        <v>0.03180837014077439</v>
      </c>
      <c r="DQ19" s="3" t="n">
        <v>0.0146604596819652</v>
      </c>
      <c r="DR19" s="3" t="n">
        <v>-0.005294897011001182</v>
      </c>
      <c r="DS19" s="3" t="n">
        <v>0.0004411262334808597</v>
      </c>
      <c r="DT19" s="3" t="n">
        <v>0.002988282552872396</v>
      </c>
      <c r="DU19" s="3" t="n">
        <v>0.1159787300554177</v>
      </c>
      <c r="DV19" s="3" t="n">
        <v>-0.0539118972435554</v>
      </c>
      <c r="DW19" s="3" t="n">
        <v>0.07589994578500964</v>
      </c>
      <c r="DX19" s="3" t="n">
        <v>0.0930944389846536</v>
      </c>
      <c r="DY19" s="3" t="n">
        <v>0.2037108128405747</v>
      </c>
      <c r="DZ19" s="3" t="n">
        <v>0.006624998672911794</v>
      </c>
      <c r="EA19" s="3" t="n">
        <v>0.1697956824463512</v>
      </c>
      <c r="EB19" s="3" t="n">
        <v>-0.1099112330724737</v>
      </c>
      <c r="EC19" s="3" t="n">
        <v>-0.06937978069558767</v>
      </c>
      <c r="ED19" s="3" t="n">
        <v>0.05269937541600637</v>
      </c>
      <c r="EE19" s="3" t="n">
        <v>0.03040835466854266</v>
      </c>
      <c r="EF19" s="3" t="n">
        <v>0.07290263151931596</v>
      </c>
      <c r="EG19" s="3" t="n">
        <v>0.09010099716709523</v>
      </c>
      <c r="EH19" s="3" t="n">
        <v>0.03697044917880933</v>
      </c>
      <c r="EI19" s="3" t="n">
        <v>-0.0206936820202043</v>
      </c>
      <c r="EJ19" s="3" t="n">
        <v>0.04887015477431245</v>
      </c>
      <c r="EK19" s="3" t="n">
        <v>0.04162358759798177</v>
      </c>
      <c r="EL19" s="3" t="n">
        <v>-0.0237681856516841</v>
      </c>
      <c r="EM19">
        <f>AVERAGE(C19:EL19)</f>
        <v/>
      </c>
      <c r="EN19">
        <f>STDEV(C19:EL19)</f>
        <v/>
      </c>
      <c r="EO19">
        <f>EM19/EN19</f>
        <v/>
      </c>
    </row>
    <row r="20">
      <c r="A20" s="13" t="n">
        <v>200</v>
      </c>
      <c r="B20" s="13">
        <f>ROUND($D$10/A20,0)</f>
        <v/>
      </c>
      <c r="C20" s="3" t="n">
        <v>0.241035745977561</v>
      </c>
      <c r="D20" s="3" t="n">
        <v>0.2239527574374</v>
      </c>
      <c r="E20" s="3" t="n">
        <v>0.04881506636359917</v>
      </c>
      <c r="F20" s="3" t="n">
        <v>-0.02741184851762797</v>
      </c>
      <c r="G20" s="3" t="n">
        <v>0.2406919477687223</v>
      </c>
      <c r="H20" s="3" t="n">
        <v>0.1273328572810173</v>
      </c>
      <c r="I20" s="3" t="n">
        <v>0.02793554164440293</v>
      </c>
      <c r="J20" s="3" t="n">
        <v>0.1332072930770272</v>
      </c>
      <c r="K20" s="3" t="n">
        <v>0.0806985736974149</v>
      </c>
      <c r="L20" s="3" t="n">
        <v>-0.05774539865201879</v>
      </c>
      <c r="M20" s="3" t="n">
        <v>0.2776541665208442</v>
      </c>
      <c r="N20" s="3" t="n">
        <v>0.4793614003337602</v>
      </c>
      <c r="O20" s="3" t="n">
        <v>-0.02692337605557943</v>
      </c>
      <c r="P20" s="3" t="n">
        <v>-0.0496656951098441</v>
      </c>
      <c r="Q20" s="3" t="n">
        <v>0.086440521610682</v>
      </c>
      <c r="R20" s="3" t="n">
        <v>0.04593079058395361</v>
      </c>
      <c r="S20" s="3" t="n">
        <v>0.03488411451680382</v>
      </c>
      <c r="T20" s="3" t="n">
        <v>-0.01244150455773609</v>
      </c>
      <c r="U20" s="3" t="n">
        <v>-0.04486099903958238</v>
      </c>
      <c r="V20" s="3" t="n">
        <v>0.05066457129885645</v>
      </c>
      <c r="W20" s="3" t="n">
        <v>-0.005183015086057409</v>
      </c>
      <c r="X20" s="3" t="n">
        <v>0.06405850132318879</v>
      </c>
      <c r="Y20" s="3" t="n">
        <v>-0.04675032117999125</v>
      </c>
      <c r="Z20" s="3" t="n">
        <v>0.02738602938760746</v>
      </c>
      <c r="AA20" s="3" t="n">
        <v>-0.07185105909331174</v>
      </c>
      <c r="AB20" s="3" t="n">
        <v>-0.08910646343283499</v>
      </c>
      <c r="AC20" s="3" t="n">
        <v>-0.01020830358507997</v>
      </c>
      <c r="AD20" s="3" t="n">
        <v>0.007448270542451715</v>
      </c>
      <c r="AE20" s="3" t="n">
        <v>-0.1810854003003299</v>
      </c>
      <c r="AF20" s="3" t="n">
        <v>-0.05980416000074254</v>
      </c>
      <c r="AG20" s="3" t="n">
        <v>-0.02613247331734748</v>
      </c>
      <c r="AH20" s="3" t="n">
        <v>-0.04437737564410968</v>
      </c>
      <c r="AI20" s="3" t="n">
        <v>0.1085771611471271</v>
      </c>
      <c r="AJ20" s="3" t="n">
        <v>-0.01532179842042147</v>
      </c>
      <c r="AK20" s="3" t="n">
        <v>-0.1179448110684033</v>
      </c>
      <c r="AL20" s="3" t="n">
        <v>0.06732843971952997</v>
      </c>
      <c r="AM20" s="3" t="n">
        <v>0.02848310708508735</v>
      </c>
      <c r="AN20" s="3" t="n">
        <v>0.09467796034561575</v>
      </c>
      <c r="AO20" s="3" t="n">
        <v>0.03019779664337703</v>
      </c>
      <c r="AP20" s="3" t="n">
        <v>0.07674730073156685</v>
      </c>
      <c r="AQ20" s="3" t="n">
        <v>0.05372212608978289</v>
      </c>
      <c r="AR20" s="3" t="n">
        <v>0.06290568533361343</v>
      </c>
      <c r="AS20" s="3" t="n">
        <v>0.07679028535626972</v>
      </c>
      <c r="AT20" s="3" t="n">
        <v>-0.05373344601807745</v>
      </c>
      <c r="AU20" s="3" t="n">
        <v>0.1739743488425739</v>
      </c>
      <c r="AV20" s="3" t="n">
        <v>0.09772367955460254</v>
      </c>
      <c r="AW20" s="3" t="n">
        <v>0.1543811034377635</v>
      </c>
      <c r="AX20" s="3" t="n">
        <v>0.1582979837055385</v>
      </c>
      <c r="AY20" s="3" t="n">
        <v>-0.007366649902089989</v>
      </c>
      <c r="AZ20" s="3" t="n">
        <v>0.05057608107218634</v>
      </c>
      <c r="BA20" s="3" t="n">
        <v>0.2145465460988713</v>
      </c>
      <c r="BB20" s="3" t="n">
        <v>-0.2348731780291089</v>
      </c>
      <c r="BC20" s="3" t="n">
        <v>0.05893236703700969</v>
      </c>
      <c r="BD20" s="3" t="n">
        <v>-0.01599821355701421</v>
      </c>
      <c r="BE20" s="3" t="n">
        <v>0.07424378698117116</v>
      </c>
      <c r="BF20" s="3" t="n">
        <v>0.06325010851933607</v>
      </c>
      <c r="BG20" s="3" t="n">
        <v>-0.04808446401960623</v>
      </c>
      <c r="BH20" s="3" t="n">
        <v>0.05587239169401015</v>
      </c>
      <c r="BI20" s="3" t="n">
        <v>0.08486068770159048</v>
      </c>
      <c r="BJ20" s="3" t="n">
        <v>0.01941823648192215</v>
      </c>
      <c r="BK20" s="3" t="n">
        <v>-0.04470785893660037</v>
      </c>
      <c r="BL20" s="3" t="n">
        <v>-0.01181036533972865</v>
      </c>
      <c r="BM20" s="3" t="n">
        <v>0.03976324407723411</v>
      </c>
      <c r="BN20" s="3" t="n">
        <v>-0.03652091104660252</v>
      </c>
      <c r="BO20" s="3" t="n">
        <v>0.002137048657472329</v>
      </c>
      <c r="BP20" s="3" t="n">
        <v>-0.0007058622721653127</v>
      </c>
      <c r="BQ20" s="3" t="n">
        <v>-0.02697850673157993</v>
      </c>
      <c r="BR20" s="3" t="n">
        <v>0.04978381868134154</v>
      </c>
      <c r="BS20" s="3" t="n">
        <v>0.1138438965322367</v>
      </c>
      <c r="BT20" s="3" t="n">
        <v>-0.05792985750132307</v>
      </c>
      <c r="BU20" s="3" t="n">
        <v>0.106656787346347</v>
      </c>
      <c r="BV20" s="3" t="n">
        <v>0.0521586673275598</v>
      </c>
      <c r="BW20" s="3" t="n">
        <v>0.328051796417822</v>
      </c>
      <c r="BX20" s="3" t="n">
        <v>-0.01607379671897233</v>
      </c>
      <c r="BY20" s="3" t="n">
        <v>0.09275567048448741</v>
      </c>
      <c r="BZ20" s="3" t="n">
        <v>0.1847250874893522</v>
      </c>
      <c r="CA20" s="3" t="n">
        <v>0.05313415884764522</v>
      </c>
      <c r="CB20" s="3" t="n">
        <v>0.02236442456894888</v>
      </c>
      <c r="CC20" s="3" t="n">
        <v>0.03430544553088338</v>
      </c>
      <c r="CD20" s="3" t="n">
        <v>0.09999640647107322</v>
      </c>
      <c r="CE20" s="3" t="n">
        <v>0.03285762443204224</v>
      </c>
      <c r="CF20" s="3" t="n">
        <v>0.09498835557382034</v>
      </c>
      <c r="CG20" s="3" t="n">
        <v>-0.2495940034346915</v>
      </c>
      <c r="CH20" s="3" t="n">
        <v>0.0440342282805995</v>
      </c>
      <c r="CI20" s="3" t="n">
        <v>0.05334712809989853</v>
      </c>
      <c r="CJ20" s="3" t="n">
        <v>0.01515929964024827</v>
      </c>
      <c r="CK20" s="3" t="n">
        <v>0.05994843653855747</v>
      </c>
      <c r="CL20" s="3" t="n">
        <v>0.1440636655274105</v>
      </c>
      <c r="CM20" s="3" t="n">
        <v>0.00833825787759742</v>
      </c>
      <c r="CN20" s="3" t="n">
        <v>0.01676992289875768</v>
      </c>
      <c r="CO20" s="3" t="n">
        <v>0.217840665501071</v>
      </c>
      <c r="CP20" s="3" t="n">
        <v>-0.0286631811402606</v>
      </c>
      <c r="CQ20" s="3" t="n">
        <v>0.150868022685839</v>
      </c>
      <c r="CR20" s="3" t="n">
        <v>0.04510373772287965</v>
      </c>
      <c r="CS20" s="3" t="n">
        <v>0.05857401291252723</v>
      </c>
      <c r="CT20" s="3" t="n">
        <v>0.05790691337178073</v>
      </c>
      <c r="CU20" s="3" t="n">
        <v>0.001289664306134527</v>
      </c>
      <c r="CV20" s="3" t="n">
        <v>0.02807266250261608</v>
      </c>
      <c r="CW20" s="3" t="n">
        <v>-0.01725559677316372</v>
      </c>
      <c r="CX20" s="3" t="n">
        <v>0.005801788826517724</v>
      </c>
      <c r="CY20" s="3" t="n">
        <v>0.02657955413521448</v>
      </c>
      <c r="CZ20" s="3" t="n">
        <v>0.1437124706883472</v>
      </c>
      <c r="DA20" s="3" t="n">
        <v>0.02204197736506024</v>
      </c>
      <c r="DB20" s="3" t="n">
        <v>0.07696806977078402</v>
      </c>
      <c r="DC20" s="3" t="n">
        <v>0.05170799312828603</v>
      </c>
      <c r="DD20" s="3" t="n">
        <v>0.06880921643007362</v>
      </c>
      <c r="DE20" s="3" t="n">
        <v>-0.004705540160787863</v>
      </c>
      <c r="DF20" s="3" t="n">
        <v>0.229827812981803</v>
      </c>
      <c r="DG20" s="3" t="n">
        <v>0.07437157218191581</v>
      </c>
      <c r="DH20" s="3" t="n">
        <v>0.3043925737877377</v>
      </c>
      <c r="DI20" s="3" t="n">
        <v>0.1241607238732243</v>
      </c>
      <c r="DJ20" s="3" t="n">
        <v>0.1177196504705845</v>
      </c>
      <c r="DK20" s="3" t="n">
        <v>0.07330977993376071</v>
      </c>
      <c r="DL20" s="3" t="n">
        <v>0.01065068690617408</v>
      </c>
      <c r="DM20" s="3" t="n">
        <v>-0.007526604274995962</v>
      </c>
      <c r="DN20" s="3" t="n">
        <v>-0.003615651697552775</v>
      </c>
      <c r="DO20" s="3" t="n">
        <v>0.2586668608025461</v>
      </c>
      <c r="DP20" s="3" t="n">
        <v>0.0180710212598921</v>
      </c>
      <c r="DQ20" s="3" t="n">
        <v>0.0101091142058063</v>
      </c>
      <c r="DR20" s="3" t="n">
        <v>-0.0408581095089629</v>
      </c>
      <c r="DS20" s="3" t="n">
        <v>-0.02869863688586331</v>
      </c>
      <c r="DT20" s="3" t="n">
        <v>-0.02219910337847816</v>
      </c>
      <c r="DU20" s="3" t="n">
        <v>0.1160415979072815</v>
      </c>
      <c r="DV20" s="3" t="n">
        <v>-0.009347483583419691</v>
      </c>
      <c r="DW20" s="3" t="n">
        <v>0.07490176191214461</v>
      </c>
      <c r="DX20" s="3" t="n">
        <v>0.1333542627895185</v>
      </c>
      <c r="DY20" s="3" t="n">
        <v>0.1578568070312059</v>
      </c>
      <c r="DZ20" s="3" t="n">
        <v>-0.001132937268125333</v>
      </c>
      <c r="EA20" s="3" t="n">
        <v>0.1994733538056174</v>
      </c>
      <c r="EB20" s="3" t="n">
        <v>-0.1107107169067219</v>
      </c>
      <c r="EC20" s="3" t="n">
        <v>-0.0489326418246586</v>
      </c>
      <c r="ED20" s="3" t="n">
        <v>0.03758641534750354</v>
      </c>
      <c r="EE20" s="3" t="n">
        <v>0.03430781872368226</v>
      </c>
      <c r="EF20" s="3" t="n">
        <v>0.08445871538842256</v>
      </c>
      <c r="EG20" s="3" t="n">
        <v>0.111625866127331</v>
      </c>
      <c r="EH20" s="3" t="n">
        <v>0.05657331942800123</v>
      </c>
      <c r="EI20" s="3" t="n">
        <v>-0.01632278486099659</v>
      </c>
      <c r="EJ20" s="3" t="n">
        <v>0.06201869796940034</v>
      </c>
      <c r="EK20" s="3" t="n">
        <v>0.04917662168531042</v>
      </c>
      <c r="EL20" s="3" t="n">
        <v>-0.04459785271127816</v>
      </c>
      <c r="EM20">
        <f>AVERAGE(C20:EL20)</f>
        <v/>
      </c>
      <c r="EN20">
        <f>STDEV(C20:EL20)</f>
        <v/>
      </c>
      <c r="EO20">
        <f>EM20/EN20</f>
        <v/>
      </c>
    </row>
    <row r="21">
      <c r="A21" s="13" t="n">
        <v>256</v>
      </c>
      <c r="B21" s="13">
        <f>ROUND($D$10/A21,0)</f>
        <v/>
      </c>
      <c r="C21" s="3" t="n">
        <v>0.2490064650579937</v>
      </c>
      <c r="D21" s="3" t="n">
        <v>0.1872483238738703</v>
      </c>
      <c r="E21" s="3" t="n">
        <v>0.07028227389444675</v>
      </c>
      <c r="F21" s="3" t="n">
        <v>0.0694092770909565</v>
      </c>
      <c r="G21" s="3" t="n">
        <v>0.2134653927559718</v>
      </c>
      <c r="H21" s="3" t="n">
        <v>0.0835091992031097</v>
      </c>
      <c r="I21" s="3" t="n">
        <v>0.01411127848098196</v>
      </c>
      <c r="J21" s="3" t="n">
        <v>0.1367429153398566</v>
      </c>
      <c r="K21" s="3" t="n">
        <v>0.06433498066950441</v>
      </c>
      <c r="L21" s="3" t="n">
        <v>-0.04172273971633225</v>
      </c>
      <c r="M21" s="3" t="n">
        <v>0.2969045879781068</v>
      </c>
      <c r="N21" s="3" t="n">
        <v>0.5848912646207253</v>
      </c>
      <c r="O21" s="3" t="n">
        <v>-0.1392774934469892</v>
      </c>
      <c r="P21" s="3" t="n">
        <v>-0.07149421362629983</v>
      </c>
      <c r="Q21" s="3" t="n">
        <v>0.1210463862333558</v>
      </c>
      <c r="R21" s="3" t="n">
        <v>0.08159711359197905</v>
      </c>
      <c r="S21" s="3" t="n">
        <v>0.05553861517920018</v>
      </c>
      <c r="T21" s="3" t="n">
        <v>-0.04986175065671537</v>
      </c>
      <c r="U21" s="3" t="n">
        <v>-0.01579201186270891</v>
      </c>
      <c r="V21" s="3" t="n">
        <v>0.06025049208530336</v>
      </c>
      <c r="W21" s="3" t="n">
        <v>-0.03196001496751089</v>
      </c>
      <c r="X21" s="3" t="n">
        <v>0.07220878225668288</v>
      </c>
      <c r="Y21" s="3" t="n">
        <v>-0.01710623939993289</v>
      </c>
      <c r="Z21" s="3" t="n">
        <v>0.02306661396228206</v>
      </c>
      <c r="AA21" s="3" t="n">
        <v>-0.02413960012994622</v>
      </c>
      <c r="AB21" s="3" t="n">
        <v>-0.106655108069916</v>
      </c>
      <c r="AC21" s="3" t="n">
        <v>-0.06488475771816807</v>
      </c>
      <c r="AD21" s="3" t="n">
        <v>0.01697951979408892</v>
      </c>
      <c r="AE21" s="3" t="n">
        <v>-0.07505476569510475</v>
      </c>
      <c r="AF21" s="3" t="n">
        <v>-0.07144630448672595</v>
      </c>
      <c r="AG21" s="3" t="n">
        <v>0.00496397705737843</v>
      </c>
      <c r="AH21" s="3" t="n">
        <v>-0.015982702070234</v>
      </c>
      <c r="AI21" s="3" t="n">
        <v>0.1454209438191545</v>
      </c>
      <c r="AJ21" s="3" t="n">
        <v>-0.007782032031008947</v>
      </c>
      <c r="AK21" s="3" t="n">
        <v>-0.168711672559491</v>
      </c>
      <c r="AL21" s="3" t="n">
        <v>0.1109621461614401</v>
      </c>
      <c r="AM21" s="3" t="n">
        <v>-0.007833108576203262</v>
      </c>
      <c r="AN21" s="3" t="n">
        <v>0.1199976214398576</v>
      </c>
      <c r="AO21" s="3" t="n">
        <v>0.07552415492950069</v>
      </c>
      <c r="AP21" s="3" t="n">
        <v>0.09223542453922398</v>
      </c>
      <c r="AQ21" s="3" t="n">
        <v>0.0776447373570557</v>
      </c>
      <c r="AR21" s="3" t="n">
        <v>0.08778159721277518</v>
      </c>
      <c r="AS21" s="3" t="n">
        <v>0.1344636633285383</v>
      </c>
      <c r="AT21" s="3" t="n">
        <v>-0.04550469091182295</v>
      </c>
      <c r="AU21" s="3" t="n">
        <v>0.1963968992369145</v>
      </c>
      <c r="AV21" s="3" t="n">
        <v>0.08965912089759347</v>
      </c>
      <c r="AW21" s="3" t="n">
        <v>0.1830343565897241</v>
      </c>
      <c r="AX21" s="3" t="n">
        <v>0.1565208128648939</v>
      </c>
      <c r="AY21" s="3" t="n">
        <v>-0.0158475638115578</v>
      </c>
      <c r="AZ21" s="3" t="n">
        <v>0.06146847674976254</v>
      </c>
      <c r="BA21" s="3" t="n">
        <v>0.1663084685469169</v>
      </c>
      <c r="BB21" s="3" t="n">
        <v>-0.2763875612664479</v>
      </c>
      <c r="BC21" s="3" t="n">
        <v>0.06635580605353027</v>
      </c>
      <c r="BD21" s="3" t="n">
        <v>0.007771163613496349</v>
      </c>
      <c r="BE21" s="3" t="n">
        <v>0.08530952567348002</v>
      </c>
      <c r="BF21" s="3" t="n">
        <v>0.07233145980652191</v>
      </c>
      <c r="BG21" s="3" t="n">
        <v>-0.04718548847595714</v>
      </c>
      <c r="BH21" s="3" t="n">
        <v>0.04016271212527829</v>
      </c>
      <c r="BI21" s="3" t="n">
        <v>0.04627376863169</v>
      </c>
      <c r="BJ21" s="3" t="n">
        <v>0.02152247519425015</v>
      </c>
      <c r="BK21" s="3" t="n">
        <v>-0.072723114748714</v>
      </c>
      <c r="BL21" s="3" t="n">
        <v>-0.003895347258447125</v>
      </c>
      <c r="BM21" s="3" t="n">
        <v>0.07647952217931672</v>
      </c>
      <c r="BN21" s="3" t="n">
        <v>-0.03909717827552989</v>
      </c>
      <c r="BO21" s="3" t="n">
        <v>0.02564060215197526</v>
      </c>
      <c r="BP21" s="3" t="n">
        <v>0.007255703115458098</v>
      </c>
      <c r="BQ21" s="3" t="n">
        <v>-0.0638883635519247</v>
      </c>
      <c r="BR21" s="3" t="n">
        <v>0.01362550866920441</v>
      </c>
      <c r="BS21" s="3" t="n">
        <v>0.1534755600320143</v>
      </c>
      <c r="BT21" s="3" t="n">
        <v>-0.09000349163272162</v>
      </c>
      <c r="BU21" s="3" t="n">
        <v>0.1274659543143147</v>
      </c>
      <c r="BV21" s="3" t="n">
        <v>-0.00406649330646313</v>
      </c>
      <c r="BW21" s="3" t="n">
        <v>0.3701757523432075</v>
      </c>
      <c r="BX21" s="3" t="n">
        <v>-0.03315972627170521</v>
      </c>
      <c r="BY21" s="3" t="n">
        <v>0.07688161366340093</v>
      </c>
      <c r="BZ21" s="3" t="n">
        <v>0.2514017778825863</v>
      </c>
      <c r="CA21" s="3" t="n">
        <v>0.09870609979327359</v>
      </c>
      <c r="CB21" s="3" t="n">
        <v>0.03672578260761748</v>
      </c>
      <c r="CC21" s="3" t="n">
        <v>-0.008018954270966314</v>
      </c>
      <c r="CD21" s="3" t="n">
        <v>0.1135346301105227</v>
      </c>
      <c r="CE21" s="3" t="n">
        <v>0.03112996179109813</v>
      </c>
      <c r="CF21" s="3" t="n">
        <v>0.1183134375661729</v>
      </c>
      <c r="CG21" s="3" t="n">
        <v>-0.3411274132936114</v>
      </c>
      <c r="CH21" s="3" t="n">
        <v>0.08945483960969972</v>
      </c>
      <c r="CI21" s="3" t="n">
        <v>0.08512270418549694</v>
      </c>
      <c r="CJ21" s="3" t="n">
        <v>-0.04952306302955096</v>
      </c>
      <c r="CK21" s="3" t="n">
        <v>0.08237094983797281</v>
      </c>
      <c r="CL21" s="3" t="n">
        <v>0.08533088476417897</v>
      </c>
      <c r="CM21" s="3" t="n">
        <v>-0.0382927913659569</v>
      </c>
      <c r="CN21" s="3" t="n">
        <v>0.02597627472122865</v>
      </c>
      <c r="CO21" s="3" t="n">
        <v>0.2413940974455843</v>
      </c>
      <c r="CP21" s="3" t="n">
        <v>-0.05076508621854998</v>
      </c>
      <c r="CQ21" s="3" t="n">
        <v>0.1361054327243697</v>
      </c>
      <c r="CR21" s="3" t="n">
        <v>0.04131988876593204</v>
      </c>
      <c r="CS21" s="3" t="n">
        <v>0.03034633104330612</v>
      </c>
      <c r="CT21" s="3" t="n">
        <v>0.06740680657206813</v>
      </c>
      <c r="CU21" s="3" t="n">
        <v>0.008096781205250052</v>
      </c>
      <c r="CV21" s="3" t="n">
        <v>0.05825780599576154</v>
      </c>
      <c r="CW21" s="3" t="n">
        <v>-0.03807004337718072</v>
      </c>
      <c r="CX21" s="3" t="n">
        <v>0.01759730354015445</v>
      </c>
      <c r="CY21" s="3" t="n">
        <v>0.008356659580946654</v>
      </c>
      <c r="CZ21" s="3" t="n">
        <v>0.1124876054706085</v>
      </c>
      <c r="DA21" s="3" t="n">
        <v>0.0183356518444442</v>
      </c>
      <c r="DB21" s="3" t="n">
        <v>0.07146121377399811</v>
      </c>
      <c r="DC21" s="3" t="n">
        <v>0.06314226526073952</v>
      </c>
      <c r="DD21" s="3" t="n">
        <v>0.07751267841800716</v>
      </c>
      <c r="DE21" s="3" t="n">
        <v>0.05827113044638663</v>
      </c>
      <c r="DF21" s="3" t="n">
        <v>0.2861308633229431</v>
      </c>
      <c r="DG21" s="3" t="n">
        <v>0.05004212421981238</v>
      </c>
      <c r="DH21" s="3" t="n">
        <v>0.3582116692542075</v>
      </c>
      <c r="DI21" s="3" t="n">
        <v>0.1518665688094586</v>
      </c>
      <c r="DJ21" s="3" t="n">
        <v>0.1188560793905528</v>
      </c>
      <c r="DK21" s="3" t="n">
        <v>0.07684638549023422</v>
      </c>
      <c r="DL21" s="3" t="n">
        <v>0.03815577070537642</v>
      </c>
      <c r="DM21" s="3" t="n">
        <v>-0.02420130252777496</v>
      </c>
      <c r="DN21" s="3" t="n">
        <v>0.008930494645262761</v>
      </c>
      <c r="DO21" s="3" t="n">
        <v>0.3324586765580643</v>
      </c>
      <c r="DP21" s="3" t="n">
        <v>0.0125692206830125</v>
      </c>
      <c r="DQ21" s="3" t="n">
        <v>0.0134635892570906</v>
      </c>
      <c r="DR21" s="3" t="n">
        <v>-0.05355698980669425</v>
      </c>
      <c r="DS21" s="3" t="n">
        <v>-0.01168244327049894</v>
      </c>
      <c r="DT21" s="3" t="n">
        <v>-0.0288909226081277</v>
      </c>
      <c r="DU21" s="3" t="n">
        <v>0.0870361618597614</v>
      </c>
      <c r="DV21" s="3" t="n">
        <v>-0.03768868750711427</v>
      </c>
      <c r="DW21" s="3" t="n">
        <v>0.1089833190053549</v>
      </c>
      <c r="DX21" s="3" t="n">
        <v>0.0997246107005352</v>
      </c>
      <c r="DY21" s="3" t="n">
        <v>0.2347984194528153</v>
      </c>
      <c r="DZ21" s="3" t="n">
        <v>0.006480967026260939</v>
      </c>
      <c r="EA21" s="3" t="n">
        <v>0.1482860445811536</v>
      </c>
      <c r="EB21" s="3" t="n">
        <v>-0.1087936215945512</v>
      </c>
      <c r="EC21" s="3" t="n">
        <v>-0.05963421875532401</v>
      </c>
      <c r="ED21" s="3" t="n">
        <v>0.04502301552201628</v>
      </c>
      <c r="EE21" s="3" t="n">
        <v>0.03190753689536298</v>
      </c>
      <c r="EF21" s="3" t="n">
        <v>0.08441723994086618</v>
      </c>
      <c r="EG21" s="3" t="n">
        <v>0.09568342923531697</v>
      </c>
      <c r="EH21" s="3" t="n">
        <v>0.03727527138569731</v>
      </c>
      <c r="EI21" s="3" t="n">
        <v>-0.002271870059180095</v>
      </c>
      <c r="EJ21" s="3" t="n">
        <v>0.0513599730941929</v>
      </c>
      <c r="EK21" s="3" t="n">
        <v>0.06849610046268058</v>
      </c>
      <c r="EL21" s="3" t="n">
        <v>-0.04419455250799</v>
      </c>
      <c r="EM21">
        <f>AVERAGE(C21:EL21)</f>
        <v/>
      </c>
      <c r="EN21">
        <f>STDEV(C21:EL21)</f>
        <v/>
      </c>
      <c r="EO21">
        <f>EM21/EN21</f>
        <v/>
      </c>
    </row>
    <row r="22">
      <c r="A22" s="13" t="n">
        <v>400</v>
      </c>
      <c r="B22" s="13">
        <f>ROUND($D$10/A22,0)</f>
        <v/>
      </c>
      <c r="C22" s="3" t="n">
        <v>0.2888661911680884</v>
      </c>
      <c r="D22" s="3" t="n">
        <v>0.03657372240832911</v>
      </c>
      <c r="E22" s="3" t="n">
        <v>-0.01735509891645898</v>
      </c>
      <c r="F22" s="3" t="n">
        <v>0.139867450309387</v>
      </c>
      <c r="G22" s="3" t="n">
        <v>0.2329454245953227</v>
      </c>
      <c r="H22" s="3" t="n">
        <v>0.06851069354049927</v>
      </c>
      <c r="I22" s="3" t="n">
        <v>0.01743734320629017</v>
      </c>
      <c r="J22" s="3" t="n">
        <v>0.1042535027366295</v>
      </c>
      <c r="K22" s="3" t="n">
        <v>0.028656780116394</v>
      </c>
      <c r="L22" s="3" t="n">
        <v>0.00395367140803889</v>
      </c>
      <c r="M22" s="3" t="n">
        <v>0.1846627873429501</v>
      </c>
      <c r="N22" s="3" t="n">
        <v>0.7561434431173389</v>
      </c>
      <c r="O22" s="3" t="n">
        <v>-0.06644233216495418</v>
      </c>
      <c r="P22" s="3" t="n">
        <v>-0.0906308744266343</v>
      </c>
      <c r="Q22" s="3" t="n">
        <v>0.1167411321085003</v>
      </c>
      <c r="R22" s="3" t="n">
        <v>0.08867436594641423</v>
      </c>
      <c r="S22" s="3" t="n">
        <v>0.1033510497369882</v>
      </c>
      <c r="T22" s="3" t="n">
        <v>0.1134869931086034</v>
      </c>
      <c r="U22" s="3" t="n">
        <v>-0.04468353200967855</v>
      </c>
      <c r="V22" s="3" t="n">
        <v>0.06736261096522664</v>
      </c>
      <c r="W22" s="3" t="n">
        <v>-0.03284517854731077</v>
      </c>
      <c r="X22" s="3" t="n">
        <v>0.02081127638574393</v>
      </c>
      <c r="Y22" s="3" t="n">
        <v>-0.006274230797480355</v>
      </c>
      <c r="Z22" s="3" t="n">
        <v>0.03689525135970538</v>
      </c>
      <c r="AA22" s="3" t="n">
        <v>-0.06422274621772067</v>
      </c>
      <c r="AB22" s="3" t="n">
        <v>-0.1086951034771748</v>
      </c>
      <c r="AC22" s="3" t="n">
        <v>-0.05963299967272595</v>
      </c>
      <c r="AD22" s="3" t="n">
        <v>0.008939160449357365</v>
      </c>
      <c r="AE22" s="3" t="n">
        <v>-0.09345466982347969</v>
      </c>
      <c r="AF22" s="3" t="n">
        <v>-0.1057411594900898</v>
      </c>
      <c r="AG22" s="3" t="n">
        <v>-0.02674427116640471</v>
      </c>
      <c r="AH22" s="3" t="n">
        <v>-0.02771388151553791</v>
      </c>
      <c r="AI22" s="3" t="n">
        <v>0.1411560812786994</v>
      </c>
      <c r="AJ22" s="3" t="n">
        <v>-0.03583370230286993</v>
      </c>
      <c r="AK22" s="3" t="n">
        <v>-0.2128192041222939</v>
      </c>
      <c r="AL22" s="3" t="n">
        <v>0.03684080628671546</v>
      </c>
      <c r="AM22" s="3" t="n">
        <v>0.02097556027782203</v>
      </c>
      <c r="AN22" s="3" t="n">
        <v>0.1574810933746826</v>
      </c>
      <c r="AO22" s="3" t="n">
        <v>0.09883947688775364</v>
      </c>
      <c r="AP22" s="3" t="n">
        <v>0.1122445580010762</v>
      </c>
      <c r="AQ22" s="3" t="n">
        <v>0.1240580739707325</v>
      </c>
      <c r="AR22" s="3" t="n">
        <v>0.08254672488598863</v>
      </c>
      <c r="AS22" s="3" t="n">
        <v>0.1645894403471858</v>
      </c>
      <c r="AT22" s="3" t="n">
        <v>0.02832485824864397</v>
      </c>
      <c r="AU22" s="3" t="n">
        <v>0.2798361458271257</v>
      </c>
      <c r="AV22" s="3" t="n">
        <v>0.1277627783183822</v>
      </c>
      <c r="AW22" s="3" t="n">
        <v>0.2294932332459502</v>
      </c>
      <c r="AX22" s="3" t="n">
        <v>0.01292571175531548</v>
      </c>
      <c r="AY22" s="3" t="n">
        <v>-0.01590734683650193</v>
      </c>
      <c r="AZ22" s="3" t="n">
        <v>0.06395646055118663</v>
      </c>
      <c r="BA22" s="3" t="n">
        <v>0.178588925610272</v>
      </c>
      <c r="BB22" s="3" t="n">
        <v>-0.3638218350613509</v>
      </c>
      <c r="BC22" s="3" t="n">
        <v>0.06907860601060838</v>
      </c>
      <c r="BD22" s="3" t="n">
        <v>0.0386622333802131</v>
      </c>
      <c r="BE22" s="3" t="n">
        <v>0.1281112944276584</v>
      </c>
      <c r="BF22" s="3" t="n">
        <v>0.06827469432991781</v>
      </c>
      <c r="BG22" s="3" t="n">
        <v>-0.04574129663472771</v>
      </c>
      <c r="BH22" s="3" t="n">
        <v>0.009656466339931835</v>
      </c>
      <c r="BI22" s="3" t="n">
        <v>0.08234546747267422</v>
      </c>
      <c r="BJ22" s="3" t="n">
        <v>-0.0185015998211928</v>
      </c>
      <c r="BK22" s="3" t="n">
        <v>-0.04831524105166432</v>
      </c>
      <c r="BL22" s="3" t="n">
        <v>-0.07129453927203103</v>
      </c>
      <c r="BM22" s="3" t="n">
        <v>0.09628519157559515</v>
      </c>
      <c r="BN22" s="3" t="n">
        <v>-0.04581570453046768</v>
      </c>
      <c r="BO22" s="3" t="n">
        <v>0.03540975133155905</v>
      </c>
      <c r="BP22" s="3" t="n">
        <v>0.002337690190819672</v>
      </c>
      <c r="BQ22" s="3" t="n">
        <v>-0.09375841325839247</v>
      </c>
      <c r="BR22" s="3" t="n">
        <v>0.03293666986433728</v>
      </c>
      <c r="BS22" s="3" t="n">
        <v>0.09599613249312502</v>
      </c>
      <c r="BT22" s="3" t="n">
        <v>-0.1052009159110476</v>
      </c>
      <c r="BU22" s="3" t="n">
        <v>0.1526674050479728</v>
      </c>
      <c r="BV22" s="3" t="n">
        <v>-0.0005109563671534326</v>
      </c>
      <c r="BW22" s="3" t="n">
        <v>0.5175335828508038</v>
      </c>
      <c r="BX22" s="3" t="n">
        <v>-0.03191144938379004</v>
      </c>
      <c r="BY22" s="3" t="n">
        <v>0.05026743747491925</v>
      </c>
      <c r="BZ22" s="3" t="n">
        <v>0.2796293388471546</v>
      </c>
      <c r="CA22" s="3" t="n">
        <v>0.1104070254280696</v>
      </c>
      <c r="CB22" s="3" t="n">
        <v>0.04380417411190367</v>
      </c>
      <c r="CC22" s="3" t="n">
        <v>-0.1251039953200329</v>
      </c>
      <c r="CD22" s="3" t="n">
        <v>0.09873962763523308</v>
      </c>
      <c r="CE22" s="3" t="n">
        <v>0.01350344893247271</v>
      </c>
      <c r="CF22" s="3" t="n">
        <v>0.1027459801894432</v>
      </c>
      <c r="CG22" s="3" t="n">
        <v>-0.3028091208157727</v>
      </c>
      <c r="CH22" s="3" t="n">
        <v>-0.02676111752273312</v>
      </c>
      <c r="CI22" s="3" t="n">
        <v>0.06387946080804488</v>
      </c>
      <c r="CJ22" s="3" t="n">
        <v>-0.043655547255446</v>
      </c>
      <c r="CK22" s="3" t="n">
        <v>0.000577109853055785</v>
      </c>
      <c r="CL22" s="3" t="n">
        <v>0.1149115839190942</v>
      </c>
      <c r="CM22" s="3" t="n">
        <v>-0.04737236758116206</v>
      </c>
      <c r="CN22" s="3" t="n">
        <v>-0.002095433332825117</v>
      </c>
      <c r="CO22" s="3" t="n">
        <v>0.1715296956142044</v>
      </c>
      <c r="CP22" s="3" t="n">
        <v>0.06250522437243364</v>
      </c>
      <c r="CQ22" s="3" t="n">
        <v>0.003723738771916237</v>
      </c>
      <c r="CR22" s="3" t="n">
        <v>0.04473960032323829</v>
      </c>
      <c r="CS22" s="3" t="n">
        <v>0.03109205585055468</v>
      </c>
      <c r="CT22" s="3" t="n">
        <v>0.09512086910727982</v>
      </c>
      <c r="CU22" s="3" t="n">
        <v>-0.005733850545488937</v>
      </c>
      <c r="CV22" s="3" t="n">
        <v>0.07806315192208275</v>
      </c>
      <c r="CW22" s="3" t="n">
        <v>-0.02996110930943523</v>
      </c>
      <c r="CX22" s="3" t="n">
        <v>0.04529520899144912</v>
      </c>
      <c r="CY22" s="3" t="n">
        <v>0.005928143936513447</v>
      </c>
      <c r="CZ22" s="3" t="n">
        <v>0.186978852329367</v>
      </c>
      <c r="DA22" s="3" t="n">
        <v>0.02247309816624189</v>
      </c>
      <c r="DB22" s="3" t="n">
        <v>0.05404162171052205</v>
      </c>
      <c r="DC22" s="3" t="n">
        <v>0.08416856504550335</v>
      </c>
      <c r="DD22" s="3" t="n">
        <v>0.05672115160485717</v>
      </c>
      <c r="DE22" s="3" t="n">
        <v>0.09881659044608015</v>
      </c>
      <c r="DF22" s="3" t="n">
        <v>0.3896676336941235</v>
      </c>
      <c r="DG22" s="3" t="n">
        <v>0.07479103178270635</v>
      </c>
      <c r="DH22" s="3" t="n">
        <v>0.1264043501678112</v>
      </c>
      <c r="DI22" s="3" t="n">
        <v>0.2246894666142702</v>
      </c>
      <c r="DJ22" s="3" t="n">
        <v>0.1035146393093154</v>
      </c>
      <c r="DK22" s="3" t="n">
        <v>0.07269613117056245</v>
      </c>
      <c r="DL22" s="3" t="n">
        <v>0.04953228805488176</v>
      </c>
      <c r="DM22" s="3" t="n">
        <v>-0.02314433577013247</v>
      </c>
      <c r="DN22" s="3" t="n">
        <v>-0.03169714417632663</v>
      </c>
      <c r="DO22" s="3" t="n">
        <v>0.07682497829413054</v>
      </c>
      <c r="DP22" s="3" t="n">
        <v>-0.03886192142548438</v>
      </c>
      <c r="DQ22" s="3" t="n">
        <v>0.05185020183762131</v>
      </c>
      <c r="DR22" s="3" t="n">
        <v>-0.07123629967313563</v>
      </c>
      <c r="DS22" s="3" t="n">
        <v>-0.03994851738222348</v>
      </c>
      <c r="DT22" s="3" t="n">
        <v>-0.04368144632408821</v>
      </c>
      <c r="DU22" s="3" t="n">
        <v>0.1020190080177573</v>
      </c>
      <c r="DV22" s="3" t="n">
        <v>0.09250642034117554</v>
      </c>
      <c r="DW22" s="3" t="n">
        <v>-0.08141541337992347</v>
      </c>
      <c r="DX22" s="3" t="n">
        <v>0.1772633725876595</v>
      </c>
      <c r="DY22" s="3" t="n">
        <v>0.2379602891473795</v>
      </c>
      <c r="DZ22" s="3" t="n">
        <v>0.02114670436868513</v>
      </c>
      <c r="EA22" s="3" t="n">
        <v>-0.01667155493022959</v>
      </c>
      <c r="EB22" s="3" t="n">
        <v>-0.1239344336786561</v>
      </c>
      <c r="EC22" s="3" t="n">
        <v>-0.08808544742642449</v>
      </c>
      <c r="ED22" s="3" t="n">
        <v>0.03274742158588964</v>
      </c>
      <c r="EE22" s="3" t="n">
        <v>0.001670262802637313</v>
      </c>
      <c r="EF22" s="3" t="n">
        <v>0.03435489337539998</v>
      </c>
      <c r="EG22" s="3" t="n">
        <v>0.1113897931418079</v>
      </c>
      <c r="EH22" s="3" t="n">
        <v>-0.004486570704054969</v>
      </c>
      <c r="EI22" s="3" t="n">
        <v>0.00983672974625387</v>
      </c>
      <c r="EJ22" s="3" t="n">
        <v>0.04326845733316131</v>
      </c>
      <c r="EK22" s="3" t="n">
        <v>0.1079890957795992</v>
      </c>
      <c r="EL22" s="3" t="n">
        <v>0.02530722373890791</v>
      </c>
      <c r="EM22">
        <f>AVERAGE(C22:EL22)</f>
        <v/>
      </c>
      <c r="EN22">
        <f>STDEV(C22:EL22)</f>
        <v/>
      </c>
      <c r="EO22">
        <f>EM22/EN22</f>
        <v/>
      </c>
    </row>
    <row r="23">
      <c r="A23" s="13" t="n">
        <v>512</v>
      </c>
      <c r="B23" s="13">
        <f>ROUND($D$10/A23,0)</f>
        <v/>
      </c>
      <c r="C23" s="3" t="n">
        <v>0.2829892656963289</v>
      </c>
      <c r="D23" s="3" t="n">
        <v>0.02557273859711731</v>
      </c>
      <c r="E23" s="3" t="n">
        <v>0.133005194056171</v>
      </c>
      <c r="F23" s="3" t="n">
        <v>0.003740232941910691</v>
      </c>
      <c r="G23" s="3" t="n">
        <v>0.3616321207784328</v>
      </c>
      <c r="H23" s="3" t="n">
        <v>-0.01818847084148467</v>
      </c>
      <c r="I23" s="3" t="n">
        <v>-0.03638648886640709</v>
      </c>
      <c r="J23" s="3" t="n">
        <v>0.1148775059304451</v>
      </c>
      <c r="K23" s="3" t="n">
        <v>-0.05991788450806289</v>
      </c>
      <c r="L23" s="3" t="n">
        <v>-0.05077083370518293</v>
      </c>
      <c r="M23" s="3" t="n">
        <v>0.1472869680274969</v>
      </c>
      <c r="N23" s="3" t="n">
        <v>0.97590144327128</v>
      </c>
      <c r="O23" s="3" t="n">
        <v>-0.1228997073071684</v>
      </c>
      <c r="P23" s="3" t="n">
        <v>-0.0546815260345479</v>
      </c>
      <c r="Q23" s="3" t="n">
        <v>-0.1203022054295683</v>
      </c>
      <c r="R23" s="3" t="n">
        <v>0.0628219779697617</v>
      </c>
      <c r="S23" s="3" t="n">
        <v>0.07257266445006227</v>
      </c>
      <c r="T23" s="3" t="n">
        <v>0.08467617576872866</v>
      </c>
      <c r="U23" s="3" t="n">
        <v>-0.1939598632503596</v>
      </c>
      <c r="V23" s="3" t="n">
        <v>0.08605998662137807</v>
      </c>
      <c r="W23" s="3" t="n">
        <v>0.004134511794063843</v>
      </c>
      <c r="X23" s="3" t="n">
        <v>0.02862493933200035</v>
      </c>
      <c r="Y23" s="3" t="n">
        <v>-0.08124606095776502</v>
      </c>
      <c r="Z23" s="3" t="n">
        <v>-0.001549512542110823</v>
      </c>
      <c r="AA23" s="3" t="n">
        <v>-0.1059317187248277</v>
      </c>
      <c r="AB23" s="3" t="n">
        <v>-0.1489752039614833</v>
      </c>
      <c r="AC23" s="3" t="n">
        <v>-0.173320094797487</v>
      </c>
      <c r="AD23" s="3" t="n">
        <v>0.04257096318753603</v>
      </c>
      <c r="AE23" s="3" t="n">
        <v>0.02767199213623718</v>
      </c>
      <c r="AF23" s="3" t="n">
        <v>-0.1732135220468506</v>
      </c>
      <c r="AG23" s="3" t="n">
        <v>-0.05869777994130283</v>
      </c>
      <c r="AH23" s="3" t="n">
        <v>0.0372794903706697</v>
      </c>
      <c r="AI23" s="3" t="n">
        <v>0.1509141031220795</v>
      </c>
      <c r="AJ23" s="3" t="n">
        <v>0.02358744029402417</v>
      </c>
      <c r="AK23" s="3" t="n">
        <v>-0.01855773073671125</v>
      </c>
      <c r="AL23" s="3" t="n">
        <v>0.05076001100643099</v>
      </c>
      <c r="AM23" s="3" t="n">
        <v>-0.007381879737949553</v>
      </c>
      <c r="AN23" s="3" t="n">
        <v>-0.03789535490741057</v>
      </c>
      <c r="AO23" s="3" t="n">
        <v>-0.03213459826223335</v>
      </c>
      <c r="AP23" s="3" t="n">
        <v>0.1652663723334921</v>
      </c>
      <c r="AQ23" s="3" t="n">
        <v>0.09938063901275222</v>
      </c>
      <c r="AR23" s="3" t="n">
        <v>0.1461361643393671</v>
      </c>
      <c r="AS23" s="3" t="n">
        <v>0.03216701141019845</v>
      </c>
      <c r="AT23" s="3" t="n">
        <v>-0.01695123081573094</v>
      </c>
      <c r="AU23" s="3" t="n">
        <v>0.3186775304316911</v>
      </c>
      <c r="AV23" s="3" t="n">
        <v>0.09675725040013347</v>
      </c>
      <c r="AW23" s="3" t="n">
        <v>0.3264282727051145</v>
      </c>
      <c r="AX23" s="3" t="n">
        <v>0.06513715432570244</v>
      </c>
      <c r="AY23" s="3" t="n">
        <v>0.2526598833669095</v>
      </c>
      <c r="AZ23" s="3" t="n">
        <v>0.07807157652120705</v>
      </c>
      <c r="BA23" s="3" t="n">
        <v>0.05399833862985742</v>
      </c>
      <c r="BB23" s="3" t="n">
        <v>-0.5668265260474403</v>
      </c>
      <c r="BC23" s="3" t="n">
        <v>0.1456178962222818</v>
      </c>
      <c r="BD23" s="3" t="n">
        <v>0.06507681716566086</v>
      </c>
      <c r="BE23" s="3" t="n">
        <v>0.1759747811293395</v>
      </c>
      <c r="BF23" s="3" t="n">
        <v>0.0501109620216107</v>
      </c>
      <c r="BG23" s="3" t="n">
        <v>-0.02340941188909611</v>
      </c>
      <c r="BH23" s="3" t="n">
        <v>-0.0535968639349903</v>
      </c>
      <c r="BI23" s="3" t="n">
        <v>0.1212055236354101</v>
      </c>
      <c r="BJ23" s="3" t="n">
        <v>-0.04619315107960262</v>
      </c>
      <c r="BK23" s="3" t="n">
        <v>-0.04784932330118818</v>
      </c>
      <c r="BL23" s="3" t="n">
        <v>-0.09023603619692203</v>
      </c>
      <c r="BM23" s="3" t="n">
        <v>0.1389557765237341</v>
      </c>
      <c r="BN23" s="3" t="n">
        <v>-0.1546771683559121</v>
      </c>
      <c r="BO23" s="3" t="n">
        <v>0.08042768991329478</v>
      </c>
      <c r="BP23" s="3" t="n">
        <v>-0.009863038024212043</v>
      </c>
      <c r="BQ23" s="3" t="n">
        <v>-0.1754127593316619</v>
      </c>
      <c r="BR23" s="3" t="n">
        <v>0.008352186252878147</v>
      </c>
      <c r="BS23" s="3" t="n">
        <v>0.1256701577372757</v>
      </c>
      <c r="BT23" s="3" t="n">
        <v>0.1080770859408833</v>
      </c>
      <c r="BU23" s="3" t="n">
        <v>0.2316328701767386</v>
      </c>
      <c r="BV23" s="3" t="n">
        <v>-0.01701895087592785</v>
      </c>
      <c r="BW23" s="3" t="n">
        <v>0.7517245215561791</v>
      </c>
      <c r="BX23" s="3" t="n">
        <v>-0.08316092619168711</v>
      </c>
      <c r="BY23" s="3" t="n">
        <v>0.08399102061699759</v>
      </c>
      <c r="BZ23" s="3" t="n">
        <v>0.3523978670650227</v>
      </c>
      <c r="CA23" s="3" t="n">
        <v>0.1757898538044362</v>
      </c>
      <c r="CB23" s="3" t="n">
        <v>0.05611432953907283</v>
      </c>
      <c r="CC23" s="3" t="n">
        <v>-0.08454461471577535</v>
      </c>
      <c r="CD23" s="3" t="n">
        <v>0.1174683164809516</v>
      </c>
      <c r="CE23" s="3" t="n">
        <v>-0.01493393869943984</v>
      </c>
      <c r="CF23" s="3" t="n">
        <v>0.07782762229420004</v>
      </c>
      <c r="CG23" s="3" t="n">
        <v>-0.5026672534468786</v>
      </c>
      <c r="CH23" s="3" t="n">
        <v>0.02195056422561048</v>
      </c>
      <c r="CI23" s="3" t="n">
        <v>0.05912247391352382</v>
      </c>
      <c r="CJ23" s="3" t="n">
        <v>-0.05362505757451098</v>
      </c>
      <c r="CK23" s="3" t="n">
        <v>-0.001566645398488407</v>
      </c>
      <c r="CL23" s="3" t="n">
        <v>0.3462858338138116</v>
      </c>
      <c r="CM23" s="3" t="n">
        <v>0.01991950179712122</v>
      </c>
      <c r="CN23" s="3" t="n">
        <v>-0.02034306616466192</v>
      </c>
      <c r="CO23" s="3" t="n">
        <v>0.1668322517502627</v>
      </c>
      <c r="CP23" s="3" t="n">
        <v>0.03076838365963142</v>
      </c>
      <c r="CQ23" s="3" t="n">
        <v>0.007800451203668485</v>
      </c>
      <c r="CR23" s="3" t="n">
        <v>0.001628897744799278</v>
      </c>
      <c r="CS23" s="3" t="n">
        <v>0.09551264104597926</v>
      </c>
      <c r="CT23" s="3" t="n">
        <v>0.1038849588782232</v>
      </c>
      <c r="CU23" s="3" t="n">
        <v>0.01652525568217252</v>
      </c>
      <c r="CV23" s="3" t="n">
        <v>0.04437637065295539</v>
      </c>
      <c r="CW23" s="3" t="n">
        <v>0.0007279685122835167</v>
      </c>
      <c r="CX23" s="3" t="n">
        <v>0.05332020562731953</v>
      </c>
      <c r="CY23" s="3" t="n">
        <v>0.01940787266965804</v>
      </c>
      <c r="CZ23" s="3" t="n">
        <v>0.0652926684533916</v>
      </c>
      <c r="DA23" s="3" t="n">
        <v>0.02501851099415599</v>
      </c>
      <c r="DB23" s="3" t="n">
        <v>0.01874706644321964</v>
      </c>
      <c r="DC23" s="3" t="n">
        <v>0.07241603365642593</v>
      </c>
      <c r="DD23" s="3" t="n">
        <v>0.02249858914365245</v>
      </c>
      <c r="DE23" s="3" t="n">
        <v>0.141445299859559</v>
      </c>
      <c r="DF23" s="3" t="n">
        <v>0.4087949205609203</v>
      </c>
      <c r="DG23" s="3" t="n">
        <v>0.02962550091989281</v>
      </c>
      <c r="DH23" s="3" t="n">
        <v>0.1392268935121084</v>
      </c>
      <c r="DI23" s="3" t="n">
        <v>0.09292430891694291</v>
      </c>
      <c r="DJ23" s="3" t="n">
        <v>0.0572819994815587</v>
      </c>
      <c r="DK23" s="3" t="n">
        <v>0.06314657790740352</v>
      </c>
      <c r="DL23" s="3" t="n">
        <v>-0.01482939148558879</v>
      </c>
      <c r="DM23" s="3" t="n">
        <v>-0.03336675570984454</v>
      </c>
      <c r="DN23" s="3" t="n">
        <v>-0.04098991007552126</v>
      </c>
      <c r="DO23" s="3" t="n">
        <v>0.1257321853465656</v>
      </c>
      <c r="DP23" s="3" t="n">
        <v>0.06095131172449313</v>
      </c>
      <c r="DQ23" s="3" t="n">
        <v>0.1211320412574576</v>
      </c>
      <c r="DR23" s="3" t="n">
        <v>-0.1024257952350012</v>
      </c>
      <c r="DS23" s="3" t="n">
        <v>-0.1165759916669394</v>
      </c>
      <c r="DT23" s="3" t="n">
        <v>-0.05425046066861268</v>
      </c>
      <c r="DU23" s="3" t="n">
        <v>0.05563947870828232</v>
      </c>
      <c r="DV23" s="3" t="n">
        <v>-0.008133253615274311</v>
      </c>
      <c r="DW23" s="3" t="n">
        <v>0.02305182075506194</v>
      </c>
      <c r="DX23" s="3" t="n">
        <v>0.3194490956284627</v>
      </c>
      <c r="DY23" s="3" t="n">
        <v>0.2022841265369463</v>
      </c>
      <c r="DZ23" s="3" t="n">
        <v>0.04641086097026646</v>
      </c>
      <c r="EA23" s="3" t="n">
        <v>-0.02875877977640498</v>
      </c>
      <c r="EB23" s="3" t="n">
        <v>-0.1158265827303896</v>
      </c>
      <c r="EC23" s="3" t="n">
        <v>-0.09364453316052009</v>
      </c>
      <c r="ED23" s="3" t="n">
        <v>-0.03890042256972392</v>
      </c>
      <c r="EE23" s="3" t="n">
        <v>0.0276309326629622</v>
      </c>
      <c r="EF23" s="3" t="n">
        <v>0.09005499427912037</v>
      </c>
      <c r="EG23" s="3" t="n">
        <v>0.1259055624926216</v>
      </c>
      <c r="EH23" s="3" t="n">
        <v>-0.06331719502117696</v>
      </c>
      <c r="EI23" s="3" t="n">
        <v>0.01410284926605136</v>
      </c>
      <c r="EJ23" s="3" t="n">
        <v>0.03834292483441131</v>
      </c>
      <c r="EK23" s="3" t="n">
        <v>0.1239627083580273</v>
      </c>
      <c r="EL23" s="3" t="n">
        <v>0.049726084313459</v>
      </c>
      <c r="EM23">
        <f>AVERAGE(C23:EL23)</f>
        <v/>
      </c>
      <c r="EN23">
        <f>STDEV(C23:EL23)</f>
        <v/>
      </c>
      <c r="EO23">
        <f>EM23/EN23</f>
        <v/>
      </c>
    </row>
    <row r="24">
      <c r="A24" s="13" t="n">
        <v>1051</v>
      </c>
      <c r="B24" s="13">
        <f>ROUND($D$10/A24,0)</f>
        <v/>
      </c>
      <c r="C24" s="3" t="n">
        <v>0.09911336420688274</v>
      </c>
      <c r="D24" s="3" t="n">
        <v>0.1006099128992286</v>
      </c>
      <c r="E24" s="3" t="n">
        <v>0.2845124976905019</v>
      </c>
      <c r="F24" s="3" t="n">
        <v>-0.0753264938317067</v>
      </c>
      <c r="G24" s="3" t="n">
        <v>0.2296070518581638</v>
      </c>
      <c r="H24" s="3" t="n">
        <v>0.03585579665495666</v>
      </c>
      <c r="I24" s="3" t="n">
        <v>0.01692708918074378</v>
      </c>
      <c r="J24" s="3" t="n">
        <v>0.1154627982140225</v>
      </c>
      <c r="K24" s="3" t="n">
        <v>0.05373299666823401</v>
      </c>
      <c r="L24" s="3" t="n">
        <v>-0.09379969325675039</v>
      </c>
      <c r="M24" s="3" t="n">
        <v>0.2177856730377415</v>
      </c>
      <c r="N24" s="3" t="n">
        <v>1.769031369112569</v>
      </c>
      <c r="O24" s="3" t="n">
        <v>-0.2442778633881834</v>
      </c>
      <c r="P24" s="3" t="n">
        <v>-0.001736288864347235</v>
      </c>
      <c r="Q24" s="3" t="n">
        <v>-0.002847135602397292</v>
      </c>
      <c r="R24" s="3" t="n">
        <v>-0.02782282388508812</v>
      </c>
      <c r="S24" s="3" t="n">
        <v>0.01105446020744865</v>
      </c>
      <c r="T24" s="3" t="n">
        <v>0.2878166035194878</v>
      </c>
      <c r="U24" s="3" t="n">
        <v>-0.2858562899814008</v>
      </c>
      <c r="V24" s="3" t="n">
        <v>0.09867851125932996</v>
      </c>
      <c r="W24" s="3" t="n">
        <v>-0.1645645175868801</v>
      </c>
      <c r="X24" s="3" t="n">
        <v>-0.0008988764650171982</v>
      </c>
      <c r="Y24" s="3" t="n">
        <v>-0.1203174930645305</v>
      </c>
      <c r="Z24" s="3" t="n">
        <v>-0.02439454874957615</v>
      </c>
      <c r="AA24" s="3" t="n">
        <v>-0.09435958281379443</v>
      </c>
      <c r="AB24" s="3" t="n">
        <v>-0.1842514226687784</v>
      </c>
      <c r="AC24" s="3" t="n">
        <v>-0.2461689587846997</v>
      </c>
      <c r="AD24" s="3" t="n">
        <v>0.1011752992567229</v>
      </c>
      <c r="AE24" s="3" t="n">
        <v>0.175268815007342</v>
      </c>
      <c r="AF24" s="3" t="n">
        <v>-0.1657037796465423</v>
      </c>
      <c r="AG24" s="3" t="n">
        <v>0.1059004724744007</v>
      </c>
      <c r="AH24" s="3" t="n">
        <v>-0.06861379946139762</v>
      </c>
      <c r="AI24" s="3" t="n">
        <v>0.3104142352293423</v>
      </c>
      <c r="AJ24" s="3" t="n">
        <v>0.08543520179086411</v>
      </c>
      <c r="AK24" s="3" t="n">
        <v>-0.001440977079948152</v>
      </c>
      <c r="AL24" s="3" t="n">
        <v>0.08717370147663495</v>
      </c>
      <c r="AM24" s="3" t="n">
        <v>0.07859849797311308</v>
      </c>
      <c r="AN24" s="3" t="n">
        <v>-0.1629417418566994</v>
      </c>
      <c r="AO24" s="3" t="n">
        <v>0.08269171584511341</v>
      </c>
      <c r="AP24" s="3" t="n">
        <v>0.1644866891579203</v>
      </c>
      <c r="AQ24" s="3" t="n">
        <v>0.2171272031280642</v>
      </c>
      <c r="AR24" s="3" t="n">
        <v>0.1708334061708256</v>
      </c>
      <c r="AS24" s="3" t="n">
        <v>0.2378323436454411</v>
      </c>
      <c r="AT24" s="3" t="n">
        <v>-0.005928609589055925</v>
      </c>
      <c r="AU24" s="3" t="n">
        <v>0.4770541872424023</v>
      </c>
      <c r="AV24" s="3" t="n">
        <v>0.01952221442252405</v>
      </c>
      <c r="AW24" s="3" t="n">
        <v>0.1203029234068482</v>
      </c>
      <c r="AX24" s="3" t="n">
        <v>-0.02556179841785688</v>
      </c>
      <c r="AY24" s="3" t="n">
        <v>0.4434734417364992</v>
      </c>
      <c r="AZ24" s="3" t="n">
        <v>0.1186237250711765</v>
      </c>
      <c r="BA24" s="3" t="n">
        <v>0.05049130541201226</v>
      </c>
      <c r="BB24" s="3" t="n">
        <v>-0.6907765313806719</v>
      </c>
      <c r="BC24" s="3" t="n">
        <v>0.2057496004363218</v>
      </c>
      <c r="BD24" s="3" t="n">
        <v>0.01863103408686373</v>
      </c>
      <c r="BE24" s="3" t="n">
        <v>0.1894889955582653</v>
      </c>
      <c r="BF24" s="3" t="n">
        <v>0.08001195027253441</v>
      </c>
      <c r="BG24" s="3" t="n">
        <v>-0.1766235356793169</v>
      </c>
      <c r="BH24" s="3" t="n">
        <v>-0.009569451016150698</v>
      </c>
      <c r="BI24" s="3" t="n">
        <v>0.169268924992719</v>
      </c>
      <c r="BJ24" s="3" t="n">
        <v>-0.1073290202304986</v>
      </c>
      <c r="BK24" s="3" t="n">
        <v>-0.03482764717277401</v>
      </c>
      <c r="BL24" s="3" t="n">
        <v>-0.03089861151917388</v>
      </c>
      <c r="BM24" s="3" t="n">
        <v>-0.06355066616520441</v>
      </c>
      <c r="BN24" s="3" t="n">
        <v>0.1089132603165475</v>
      </c>
      <c r="BO24" s="3" t="n">
        <v>-0.005624421558466514</v>
      </c>
      <c r="BP24" s="3" t="n">
        <v>0.03179410432988981</v>
      </c>
      <c r="BQ24" s="3" t="n">
        <v>-0.2918574438622616</v>
      </c>
      <c r="BR24" s="3" t="n">
        <v>-0.009699397088713613</v>
      </c>
      <c r="BS24" s="3" t="n">
        <v>0.03868693396196585</v>
      </c>
      <c r="BT24" s="3" t="n">
        <v>0.2767190161402084</v>
      </c>
      <c r="BU24" s="3" t="n">
        <v>0.008748492314845436</v>
      </c>
      <c r="BV24" s="3" t="n">
        <v>-0.2033041518304504</v>
      </c>
      <c r="BW24" s="3" t="n">
        <v>1.109012070037362</v>
      </c>
      <c r="BX24" s="3" t="n">
        <v>-0.2322262658885291</v>
      </c>
      <c r="BY24" s="3" t="n">
        <v>0.2903368749454169</v>
      </c>
      <c r="BZ24" s="3" t="n">
        <v>0.8139580267425218</v>
      </c>
      <c r="CA24" s="3" t="n">
        <v>0.3389306847623352</v>
      </c>
      <c r="CB24" s="3" t="n">
        <v>0.05291730705216989</v>
      </c>
      <c r="CC24" s="3" t="n">
        <v>-0.1824698798875616</v>
      </c>
      <c r="CD24" s="3" t="n">
        <v>0.01844335075076902</v>
      </c>
      <c r="CE24" s="3" t="n">
        <v>-0.05500472730235254</v>
      </c>
      <c r="CF24" s="3" t="n">
        <v>0.1651313530093959</v>
      </c>
      <c r="CG24" s="3" t="n">
        <v>-0.2372778348599252</v>
      </c>
      <c r="CH24" s="3" t="n">
        <v>0.1456433322938187</v>
      </c>
      <c r="CI24" s="3" t="n">
        <v>0.05850815723303885</v>
      </c>
      <c r="CJ24" s="3" t="n">
        <v>-0.001253319969497613</v>
      </c>
      <c r="CK24" s="3" t="n">
        <v>-0.0114059564490683</v>
      </c>
      <c r="CL24" s="3" t="n">
        <v>0.405081408773995</v>
      </c>
      <c r="CM24" s="3" t="n">
        <v>0.002719455459781923</v>
      </c>
      <c r="CN24" s="3" t="n">
        <v>-0.05464900223452299</v>
      </c>
      <c r="CO24" s="3" t="n">
        <v>0.08735443016623605</v>
      </c>
      <c r="CP24" s="3" t="n">
        <v>0.03801489919081054</v>
      </c>
      <c r="CQ24" s="3" t="n">
        <v>0.04437219968627702</v>
      </c>
      <c r="CR24" s="3" t="n">
        <v>0.02212627979398129</v>
      </c>
      <c r="CS24" s="3" t="n">
        <v>0.1215103123128518</v>
      </c>
      <c r="CT24" s="3" t="n">
        <v>0.3829461946248415</v>
      </c>
      <c r="CU24" s="3" t="n">
        <v>-0.146455643605458</v>
      </c>
      <c r="CV24" s="3" t="n">
        <v>0.1031063212404506</v>
      </c>
      <c r="CW24" s="3" t="n">
        <v>-0.03982487129293047</v>
      </c>
      <c r="CX24" s="3" t="n">
        <v>-0.07568114553931554</v>
      </c>
      <c r="CY24" s="3" t="n">
        <v>0.04868969699699601</v>
      </c>
      <c r="CZ24" s="3" t="n">
        <v>0.1358980140923471</v>
      </c>
      <c r="DA24" s="3" t="n">
        <v>0.0339795850924533</v>
      </c>
      <c r="DB24" s="3" t="n">
        <v>-0.01650186584899631</v>
      </c>
      <c r="DC24" s="3" t="n">
        <v>0.1795531152393481</v>
      </c>
      <c r="DD24" s="3" t="n">
        <v>0.002366865010266159</v>
      </c>
      <c r="DE24" s="3" t="n">
        <v>0.2242182424439753</v>
      </c>
      <c r="DF24" s="3" t="n">
        <v>0.525585006144498</v>
      </c>
      <c r="DG24" s="3" t="n">
        <v>0.1195452864001327</v>
      </c>
      <c r="DH24" s="3" t="n">
        <v>0.2658026759925122</v>
      </c>
      <c r="DI24" s="3" t="n">
        <v>0.1420147418053836</v>
      </c>
      <c r="DJ24" s="3" t="n">
        <v>0.02108147115785142</v>
      </c>
      <c r="DK24" s="3" t="n">
        <v>0.06348335954134332</v>
      </c>
      <c r="DL24" s="3" t="n">
        <v>0.0518071873763933</v>
      </c>
      <c r="DM24" s="3" t="n">
        <v>0.02580767531372709</v>
      </c>
      <c r="DN24" s="3" t="n">
        <v>0.005396432874214898</v>
      </c>
      <c r="DO24" s="3" t="n">
        <v>0.1572878203884783</v>
      </c>
      <c r="DP24" s="3" t="n">
        <v>-0.01873300788544928</v>
      </c>
      <c r="DQ24" s="3" t="n">
        <v>0.05048619047892516</v>
      </c>
      <c r="DR24" s="3" t="n">
        <v>-0.02339173127352897</v>
      </c>
      <c r="DS24" s="3" t="n">
        <v>-0.06736254571394464</v>
      </c>
      <c r="DT24" s="3" t="n">
        <v>-0.07473334526600475</v>
      </c>
      <c r="DU24" s="3" t="n">
        <v>-0.02178139536123005</v>
      </c>
      <c r="DV24" s="3" t="n">
        <v>-0.09804683480262585</v>
      </c>
      <c r="DW24" s="3" t="n">
        <v>0.1011824966552441</v>
      </c>
      <c r="DX24" s="3" t="n">
        <v>0.2859294838828984</v>
      </c>
      <c r="DY24" s="3" t="n">
        <v>-0.003239876608542996</v>
      </c>
      <c r="DZ24" s="3" t="n">
        <v>-0.08210869189880313</v>
      </c>
      <c r="EA24" s="3" t="n">
        <v>-0.05492018384150261</v>
      </c>
      <c r="EB24" s="3" t="n">
        <v>-0.1092287723728063</v>
      </c>
      <c r="EC24" s="3" t="n">
        <v>-0.1436434735597092</v>
      </c>
      <c r="ED24" s="3" t="n">
        <v>0.06983515366661672</v>
      </c>
      <c r="EE24" s="3" t="n">
        <v>0.107480657234418</v>
      </c>
      <c r="EF24" s="3" t="n">
        <v>0.1340870763502146</v>
      </c>
      <c r="EG24" s="3" t="n">
        <v>0.09365900137714528</v>
      </c>
      <c r="EH24" s="3" t="n">
        <v>0.001195368091535848</v>
      </c>
      <c r="EI24" s="3" t="n">
        <v>0.1117442810214329</v>
      </c>
      <c r="EJ24" s="3" t="n">
        <v>-0.006725982075677317</v>
      </c>
      <c r="EK24" s="3" t="n">
        <v>0.1399126065533613</v>
      </c>
      <c r="EL24" s="3" t="n">
        <v>0.2565914853817499</v>
      </c>
      <c r="EM24">
        <f>AVERAGE(C24:EL24)</f>
        <v/>
      </c>
      <c r="EN24">
        <f>STDEV(C24:EL24)</f>
        <v/>
      </c>
      <c r="EO24">
        <f>EM24/EN24</f>
        <v/>
      </c>
    </row>
    <row r="25">
      <c r="A25" s="13" t="inlineStr">
        <is>
          <t>大盤</t>
        </is>
      </c>
      <c r="B25" s="13" t="inlineStr">
        <is>
          <t>TWII</t>
        </is>
      </c>
      <c r="C25" s="6" t="n">
        <v>-0.01744677053939034</v>
      </c>
      <c r="D25" s="6" t="n">
        <v>0.02070106053181563</v>
      </c>
      <c r="E25" s="6" t="n">
        <v>0.02398212925476671</v>
      </c>
      <c r="F25" s="6" t="n">
        <v>-0.006557578972823077</v>
      </c>
      <c r="G25" s="6" t="n">
        <v>0.03184512980051969</v>
      </c>
      <c r="H25" s="6" t="n">
        <v>0.03434853273699052</v>
      </c>
      <c r="I25" s="6" t="n">
        <v>-0.008254932781325237</v>
      </c>
      <c r="J25" s="6" t="n">
        <v>0.01284352439405276</v>
      </c>
      <c r="K25" s="6" t="n">
        <v>-0.05101852462679082</v>
      </c>
      <c r="L25" s="6" t="n">
        <v>0.0008739427410365883</v>
      </c>
      <c r="M25" s="6" t="n">
        <v>0.02338957550549592</v>
      </c>
      <c r="N25" s="6" t="n">
        <v>0.01298897220033285</v>
      </c>
      <c r="O25" s="6" t="n">
        <v>0.005854588725634881</v>
      </c>
      <c r="P25" s="6" t="n">
        <v>0.02741320657179056</v>
      </c>
      <c r="Q25" s="6" t="n">
        <v>-0.003712936117692854</v>
      </c>
      <c r="R25" s="6" t="n">
        <v>0.02407661404782333</v>
      </c>
      <c r="S25" s="6" t="n">
        <v>-0.01219002529903996</v>
      </c>
      <c r="T25" s="6" t="n">
        <v>-0.03974957815958959</v>
      </c>
      <c r="U25" s="6" t="n">
        <v>-0.07315544983164955</v>
      </c>
      <c r="V25" s="6" t="n">
        <v>-0.05826022991011466</v>
      </c>
      <c r="W25" s="6" t="n">
        <v>0.0007727975655083722</v>
      </c>
      <c r="X25" s="6" t="n">
        <v>0.04459152113521897</v>
      </c>
      <c r="Y25" s="6" t="n">
        <v>-0.02769968005021309</v>
      </c>
      <c r="Z25" s="6" t="n">
        <v>0.002095005949743646</v>
      </c>
      <c r="AA25" s="6" t="n">
        <v>-0.02340055099256411</v>
      </c>
      <c r="AB25" s="6" t="n">
        <v>0.03212937109732219</v>
      </c>
      <c r="AC25" s="6" t="n">
        <v>0.03890327309406643</v>
      </c>
      <c r="AD25" s="6" t="n">
        <v>-0.04286538217110427</v>
      </c>
      <c r="AE25" s="6" t="n">
        <v>0.01864719455015216</v>
      </c>
      <c r="AF25" s="6" t="n">
        <v>0.01522976832252895</v>
      </c>
      <c r="AG25" s="6" t="n">
        <v>0.03601660377889242</v>
      </c>
      <c r="AH25" s="6" t="n">
        <v>0.00935461138531617</v>
      </c>
      <c r="AI25" s="6" t="n">
        <v>0.01074825133683814</v>
      </c>
      <c r="AJ25" s="6" t="n">
        <v>0.01335775405308097</v>
      </c>
      <c r="AK25" s="6" t="n">
        <v>-0.005332747329095392</v>
      </c>
      <c r="AL25" s="6" t="n">
        <v>0.001383135807261675</v>
      </c>
      <c r="AM25" s="6" t="n">
        <v>0.02079592842007446</v>
      </c>
      <c r="AN25" s="6" t="n">
        <v>0.03151770222039064</v>
      </c>
      <c r="AO25" s="6" t="n">
        <v>0.006241716533329442</v>
      </c>
      <c r="AP25" s="6" t="n">
        <v>0.00614526165357139</v>
      </c>
      <c r="AQ25" s="6" t="n">
        <v>0.01694635767669651</v>
      </c>
      <c r="AR25" s="6" t="n">
        <v>0.03468283045430823</v>
      </c>
      <c r="AS25" s="6" t="n">
        <v>0.003098588617196968</v>
      </c>
      <c r="AT25" s="6" t="n">
        <v>0.01508134714348611</v>
      </c>
      <c r="AU25" s="6" t="n">
        <v>-0.01925120922986399</v>
      </c>
      <c r="AV25" s="6" t="n">
        <v>0.03871151338763144</v>
      </c>
      <c r="AW25" s="6" t="n">
        <v>-0.0218569511357366</v>
      </c>
      <c r="AX25" s="6" t="n">
        <v>0.00777430070978968</v>
      </c>
      <c r="AY25" s="6" t="n">
        <v>0.04239724669532594</v>
      </c>
      <c r="AZ25" s="6" t="n">
        <v>-0.02630897486115975</v>
      </c>
      <c r="BA25" s="6" t="n">
        <v>0.009571749308716232</v>
      </c>
      <c r="BB25" s="6" t="n">
        <v>-0.02424974126627483</v>
      </c>
      <c r="BC25" s="6" t="n">
        <v>0.02016337414391582</v>
      </c>
      <c r="BD25" s="6" t="n">
        <v>-0.003504998782116024</v>
      </c>
      <c r="BE25" s="6" t="n">
        <v>0.02015193509854227</v>
      </c>
      <c r="BF25" s="6" t="n">
        <v>0.0005813362307702713</v>
      </c>
      <c r="BG25" s="6" t="n">
        <v>-0.005219700953252604</v>
      </c>
      <c r="BH25" s="6" t="n">
        <v>-0.11587176140213</v>
      </c>
      <c r="BI25" s="6" t="n">
        <v>0.008725225692437354</v>
      </c>
      <c r="BJ25" s="6" t="n">
        <v>-0.01637726097782215</v>
      </c>
      <c r="BK25" s="6" t="n">
        <v>0.02084037160026042</v>
      </c>
      <c r="BL25" s="6" t="n">
        <v>0.04497587210211471</v>
      </c>
      <c r="BM25" s="6" t="n">
        <v>0.02395430608186387</v>
      </c>
      <c r="BN25" s="6" t="n">
        <v>0.0302391013914426</v>
      </c>
      <c r="BO25" s="6" t="n">
        <v>-0.04372588759108751</v>
      </c>
      <c r="BP25" s="6" t="n">
        <v>0.02188946956819862</v>
      </c>
      <c r="BQ25" s="6" t="n">
        <v>0.008627430263508403</v>
      </c>
      <c r="BR25" s="6" t="n">
        <v>-0.01919295399465878</v>
      </c>
      <c r="BS25" s="6" t="n">
        <v>0.01973512988813305</v>
      </c>
      <c r="BT25" s="6" t="n">
        <v>0.04769433748369944</v>
      </c>
      <c r="BU25" s="6" t="n">
        <v>0.01145481680658339</v>
      </c>
      <c r="BV25" s="6" t="n">
        <v>0.04322862073521319</v>
      </c>
      <c r="BW25" s="6" t="n">
        <v>-0.04274743043692279</v>
      </c>
      <c r="BX25" s="6" t="n">
        <v>-0.01781129242779457</v>
      </c>
      <c r="BY25" s="6" t="n">
        <v>-0.1511530968690756</v>
      </c>
      <c r="BZ25" s="6" t="n">
        <v>0.1242240036195753</v>
      </c>
      <c r="CA25" s="6" t="n">
        <v>-0.004557253844529643</v>
      </c>
      <c r="CB25" s="6" t="n">
        <v>0.06021124020491118</v>
      </c>
      <c r="CC25" s="6" t="n">
        <v>0.08599203348250228</v>
      </c>
      <c r="CD25" s="6" t="n">
        <v>-0.005808479582366063</v>
      </c>
      <c r="CE25" s="6" t="n">
        <v>-0.006041346988968074</v>
      </c>
      <c r="CF25" s="6" t="n">
        <v>0.002452324372252074</v>
      </c>
      <c r="CG25" s="6" t="n">
        <v>0.08963625193702289</v>
      </c>
      <c r="CH25" s="6" t="n">
        <v>0.07099273252675789</v>
      </c>
      <c r="CI25" s="6" t="n">
        <v>0.02717064290178345</v>
      </c>
      <c r="CJ25" s="6" t="n">
        <v>0.05246842842533003</v>
      </c>
      <c r="CK25" s="6" t="n">
        <v>0.02948066094304951</v>
      </c>
      <c r="CL25" s="6" t="n">
        <v>0.06682508106020128</v>
      </c>
      <c r="CM25" s="6" t="n">
        <v>-0.02877222901981697</v>
      </c>
      <c r="CN25" s="6" t="n">
        <v>0.03946251590163785</v>
      </c>
      <c r="CO25" s="6" t="n">
        <v>-0.02903108697735991</v>
      </c>
      <c r="CP25" s="6" t="n">
        <v>0.0139838825194679</v>
      </c>
      <c r="CQ25" s="6" t="n">
        <v>-0.03227696495933383</v>
      </c>
      <c r="CR25" s="6" t="n">
        <v>0.003103576612894023</v>
      </c>
      <c r="CS25" s="6" t="n">
        <v>0.02559185576708317</v>
      </c>
      <c r="CT25" s="6" t="n">
        <v>0.0443918862871933</v>
      </c>
      <c r="CU25" s="6" t="n">
        <v>-0.03033895854957744</v>
      </c>
      <c r="CV25" s="6" t="n">
        <v>-0.001257976454571707</v>
      </c>
      <c r="CW25" s="6" t="n">
        <v>0.002336356455857952</v>
      </c>
      <c r="CX25" s="6" t="n">
        <v>-0.06426414492590607</v>
      </c>
      <c r="CY25" s="6" t="n">
        <v>0.01290977945899244</v>
      </c>
      <c r="CZ25" s="6" t="n">
        <v>-0.1254770946708587</v>
      </c>
      <c r="DA25" s="6" t="n">
        <v>0.01169068293979257</v>
      </c>
      <c r="DB25" s="6" t="n">
        <v>0.006337843700741751</v>
      </c>
      <c r="DC25" s="6" t="n">
        <v>-0.1173053564693855</v>
      </c>
      <c r="DD25" s="6" t="n">
        <v>-0.03601087204944661</v>
      </c>
      <c r="DE25" s="6" t="n">
        <v>0.1389113040722679</v>
      </c>
      <c r="DF25" s="6" t="n">
        <v>-0.05114350622610574</v>
      </c>
      <c r="DG25" s="6" t="n">
        <v>0.07673144718196906</v>
      </c>
      <c r="DH25" s="6" t="n">
        <v>0.01550878219700816</v>
      </c>
      <c r="DI25" s="6" t="n">
        <v>0.02322377367475583</v>
      </c>
      <c r="DJ25" s="6" t="n">
        <v>-0.01837287636122789</v>
      </c>
      <c r="DK25" s="6" t="n">
        <v>0.06219901408509943</v>
      </c>
      <c r="DL25" s="6" t="n">
        <v>0.02009830448695719</v>
      </c>
      <c r="DM25" s="6" t="n">
        <v>0.01349893974806809</v>
      </c>
      <c r="DN25" s="6" t="n">
        <v>-0.03025221272842088</v>
      </c>
      <c r="DO25" s="6" t="n">
        <v>-0.01702283570805384</v>
      </c>
      <c r="DP25" s="6" t="n">
        <v>-0.02178852327246198</v>
      </c>
      <c r="DQ25" s="6" t="n">
        <v>0.08574562458513722</v>
      </c>
      <c r="DR25" s="6" t="n">
        <v>0.02810674360497375</v>
      </c>
      <c r="DS25" s="6" t="n">
        <v>-0.00230315980735945</v>
      </c>
      <c r="DT25" s="6" t="n">
        <v>0.0584711981314875</v>
      </c>
      <c r="DU25" s="6" t="n">
        <v>0.06765894904864765</v>
      </c>
      <c r="DV25" s="6" t="n">
        <v>0.005020770640432264</v>
      </c>
      <c r="DW25" s="6" t="n">
        <v>0.03741618367520706</v>
      </c>
      <c r="DX25" s="6" t="n">
        <v>0.08411100374604212</v>
      </c>
      <c r="DY25" s="6" t="n">
        <v>-0.03683239854401284</v>
      </c>
      <c r="DZ25" s="6" t="n">
        <v>0.003091702816936994</v>
      </c>
      <c r="EA25" s="6" t="n">
        <v>-0.001957628214294549</v>
      </c>
      <c r="EB25" s="6" t="n">
        <v>0.02645910360351974</v>
      </c>
      <c r="EC25" s="6" t="n">
        <v>-0.02475253876069027</v>
      </c>
      <c r="ED25" s="6" t="n">
        <v>0.03411549098255994</v>
      </c>
      <c r="EE25" s="6" t="n">
        <v>0.02106197398903298</v>
      </c>
      <c r="EF25" s="6" t="n">
        <v>-0.02027739270600592</v>
      </c>
      <c r="EG25" s="6" t="n">
        <v>-0.107868107860878</v>
      </c>
      <c r="EH25" s="6" t="n">
        <v>-0.02252035211407068</v>
      </c>
      <c r="EI25" s="6" t="n">
        <v>0.05351000707077281</v>
      </c>
      <c r="EJ25" s="6" t="n">
        <v>0.04168726583756812</v>
      </c>
      <c r="EK25" s="6" t="n">
        <v>0.05619561411441117</v>
      </c>
      <c r="EL25" s="6" t="n">
        <v>0.0289113192851087</v>
      </c>
      <c r="EM25" s="8">
        <f>AVERAGE(C25:EL25)</f>
        <v/>
      </c>
      <c r="EN25" s="8">
        <f>STDEV(C25:EL25)</f>
        <v/>
      </c>
      <c r="EO25" s="8">
        <f>EM25/EN25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conditionalFormatting sqref="EM12:EM24">
    <cfRule type="expression" priority="3" dxfId="0">
      <formula>EM12&gt;$EM$25</formula>
    </cfRule>
  </conditionalFormatting>
  <conditionalFormatting sqref="EN12:EN24">
    <cfRule type="expression" priority="2" dxfId="0">
      <formula>EN12&lt;$EN$25</formula>
    </cfRule>
  </conditionalFormatting>
  <conditionalFormatting sqref="EO12:EO24">
    <cfRule type="expression" priority="1" dxfId="0">
      <formula>EO12&gt;$EO$25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63"/>
  <sheetViews>
    <sheetView tabSelected="1" topLeftCell="ED10" zoomScale="130" zoomScaleNormal="130" workbookViewId="0">
      <selection activeCell="EP19" sqref="EP19"/>
    </sheetView>
  </sheetViews>
  <sheetFormatPr baseColWidth="8" defaultRowHeight="14.5"/>
  <cols>
    <col width="10.19921875" bestFit="1" customWidth="1" min="2" max="2"/>
    <col width="9.5" bestFit="1" customWidth="1" min="143" max="143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  <c r="EM2" s="7" t="inlineStr">
        <is>
          <t>2025/08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  <c r="EM3" s="2" t="e">
        <v>#NUM!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  <c r="EM4" s="2" t="e">
        <v>#NUM!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  <c r="EM5" s="2" t="e">
        <v>#NUM!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  <c r="EM6" s="2">
        <f t="array" ref="EM6">MATCH(MAX(ABS(EM3:EM5)), ABS(EM3:EM5),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  <c r="EM7" s="2">
        <f>IF(EM6=1,"bm",IF(EM6=2,"size",IF(EM6=3,"mom")))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  <c r="EM8" s="2">
        <f>IF(EM6=1,EM3,IF(EM6=2,EM4,IF(EM6=3,EM5)))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  <c r="EM11" s="7" t="inlineStr">
        <is>
          <t>sum</t>
        </is>
      </c>
      <c r="EN11" s="7" t="inlineStr">
        <is>
          <t>勝率</t>
        </is>
      </c>
    </row>
    <row r="12">
      <c r="A12" s="13" t="n">
        <v>10</v>
      </c>
      <c r="B12" s="13">
        <f>ROUND($D$10/A12,0)</f>
        <v/>
      </c>
      <c r="C12" s="11">
        <f>IF(真實IC!C12&gt;真實IC!C$25,1,0)</f>
        <v/>
      </c>
      <c r="D12" s="11">
        <f>IF(真實IC!D12&gt;真實IC!D$25,1,0)</f>
        <v/>
      </c>
      <c r="E12" s="11">
        <f>IF(真實IC!E12&gt;真實IC!E$25,1,0)</f>
        <v/>
      </c>
      <c r="F12" s="11">
        <f>IF(真實IC!F12&gt;真實IC!F$25,1,0)</f>
        <v/>
      </c>
      <c r="G12" s="11">
        <f>IF(真實IC!G12&gt;真實IC!G$25,1,0)</f>
        <v/>
      </c>
      <c r="H12" s="11">
        <f>IF(真實IC!H12&gt;真實IC!H$25,1,0)</f>
        <v/>
      </c>
      <c r="I12" s="11">
        <f>IF(真實IC!I12&gt;真實IC!I$25,1,0)</f>
        <v/>
      </c>
      <c r="J12" s="11">
        <f>IF(真實IC!J12&gt;真實IC!J$25,1,0)</f>
        <v/>
      </c>
      <c r="K12" s="11">
        <f>IF(真實IC!K12&gt;真實IC!K$25,1,0)</f>
        <v/>
      </c>
      <c r="L12" s="11">
        <f>IF(真實IC!L12&gt;真實IC!L$25,1,0)</f>
        <v/>
      </c>
      <c r="M12" s="11">
        <f>IF(真實IC!M12&gt;真實IC!M$25,1,0)</f>
        <v/>
      </c>
      <c r="N12" s="11">
        <f>IF(真實IC!N12&gt;真實IC!N$25,1,0)</f>
        <v/>
      </c>
      <c r="O12" s="11">
        <f>IF(真實IC!O12&gt;真實IC!O$25,1,0)</f>
        <v/>
      </c>
      <c r="P12" s="11">
        <f>IF(真實IC!P12&gt;真實IC!P$25,1,0)</f>
        <v/>
      </c>
      <c r="Q12" s="11">
        <f>IF(真實IC!Q12&gt;真實IC!Q$25,1,0)</f>
        <v/>
      </c>
      <c r="R12" s="11">
        <f>IF(真實IC!R12&gt;真實IC!R$25,1,0)</f>
        <v/>
      </c>
      <c r="S12" s="11">
        <f>IF(真實IC!S12&gt;真實IC!S$25,1,0)</f>
        <v/>
      </c>
      <c r="T12" s="11">
        <f>IF(真實IC!T12&gt;真實IC!T$25,1,0)</f>
        <v/>
      </c>
      <c r="U12" s="11">
        <f>IF(真實IC!U12&gt;真實IC!U$25,1,0)</f>
        <v/>
      </c>
      <c r="V12" s="11">
        <f>IF(真實IC!V12&gt;真實IC!V$25,1,0)</f>
        <v/>
      </c>
      <c r="W12" s="11">
        <f>IF(真實IC!W12&gt;真實IC!W$25,1,0)</f>
        <v/>
      </c>
      <c r="X12" s="11">
        <f>IF(真實IC!X12&gt;真實IC!X$25,1,0)</f>
        <v/>
      </c>
      <c r="Y12" s="11">
        <f>IF(真實IC!Y12&gt;真實IC!Y$25,1,0)</f>
        <v/>
      </c>
      <c r="Z12" s="11">
        <f>IF(真實IC!Z12&gt;真實IC!Z$25,1,0)</f>
        <v/>
      </c>
      <c r="AA12" s="11">
        <f>IF(真實IC!AA12&gt;真實IC!AA$25,1,0)</f>
        <v/>
      </c>
      <c r="AB12" s="11">
        <f>IF(真實IC!AB12&gt;真實IC!AB$25,1,0)</f>
        <v/>
      </c>
      <c r="AC12" s="11">
        <f>IF(真實IC!AC12&gt;真實IC!AC$25,1,0)</f>
        <v/>
      </c>
      <c r="AD12" s="11">
        <f>IF(真實IC!AD12&gt;真實IC!AD$25,1,0)</f>
        <v/>
      </c>
      <c r="AE12" s="11">
        <f>IF(真實IC!AE12&gt;真實IC!AE$25,1,0)</f>
        <v/>
      </c>
      <c r="AF12" s="11">
        <f>IF(真實IC!AF12&gt;真實IC!AF$25,1,0)</f>
        <v/>
      </c>
      <c r="AG12" s="11">
        <f>IF(真實IC!AG12&gt;真實IC!AG$25,1,0)</f>
        <v/>
      </c>
      <c r="AH12" s="11">
        <f>IF(真實IC!AH12&gt;真實IC!AH$25,1,0)</f>
        <v/>
      </c>
      <c r="AI12" s="11">
        <f>IF(真實IC!AI12&gt;真實IC!AI$25,1,0)</f>
        <v/>
      </c>
      <c r="AJ12" s="11">
        <f>IF(真實IC!AJ12&gt;真實IC!AJ$25,1,0)</f>
        <v/>
      </c>
      <c r="AK12" s="11">
        <f>IF(真實IC!AK12&gt;真實IC!AK$25,1,0)</f>
        <v/>
      </c>
      <c r="AL12" s="11">
        <f>IF(真實IC!AL12&gt;真實IC!AL$25,1,0)</f>
        <v/>
      </c>
      <c r="AM12" s="11">
        <f>IF(真實IC!AM12&gt;真實IC!AM$25,1,0)</f>
        <v/>
      </c>
      <c r="AN12" s="11">
        <f>IF(真實IC!AN12&gt;真實IC!AN$25,1,0)</f>
        <v/>
      </c>
      <c r="AO12" s="11">
        <f>IF(真實IC!AO12&gt;真實IC!AO$25,1,0)</f>
        <v/>
      </c>
      <c r="AP12" s="11">
        <f>IF(真實IC!AP12&gt;真實IC!AP$25,1,0)</f>
        <v/>
      </c>
      <c r="AQ12" s="11">
        <f>IF(真實IC!AQ12&gt;真實IC!AQ$25,1,0)</f>
        <v/>
      </c>
      <c r="AR12" s="11">
        <f>IF(真實IC!AR12&gt;真實IC!AR$25,1,0)</f>
        <v/>
      </c>
      <c r="AS12" s="11">
        <f>IF(真實IC!AS12&gt;真實IC!AS$25,1,0)</f>
        <v/>
      </c>
      <c r="AT12" s="11">
        <f>IF(真實IC!AT12&gt;真實IC!AT$25,1,0)</f>
        <v/>
      </c>
      <c r="AU12" s="11">
        <f>IF(真實IC!AU12&gt;真實IC!AU$25,1,0)</f>
        <v/>
      </c>
      <c r="AV12" s="11">
        <f>IF(真實IC!AV12&gt;真實IC!AV$25,1,0)</f>
        <v/>
      </c>
      <c r="AW12" s="11">
        <f>IF(真實IC!AW12&gt;真實IC!AW$25,1,0)</f>
        <v/>
      </c>
      <c r="AX12" s="11">
        <f>IF(真實IC!AX12&gt;真實IC!AX$25,1,0)</f>
        <v/>
      </c>
      <c r="AY12" s="11">
        <f>IF(真實IC!AY12&gt;真實IC!AY$25,1,0)</f>
        <v/>
      </c>
      <c r="AZ12" s="11">
        <f>IF(真實IC!AZ12&gt;真實IC!AZ$25,1,0)</f>
        <v/>
      </c>
      <c r="BA12" s="11">
        <f>IF(真實IC!BA12&gt;真實IC!BA$25,1,0)</f>
        <v/>
      </c>
      <c r="BB12" s="11">
        <f>IF(真實IC!BB12&gt;真實IC!BB$25,1,0)</f>
        <v/>
      </c>
      <c r="BC12" s="11">
        <f>IF(真實IC!BC12&gt;真實IC!BC$25,1,0)</f>
        <v/>
      </c>
      <c r="BD12" s="11">
        <f>IF(真實IC!BD12&gt;真實IC!BD$25,1,0)</f>
        <v/>
      </c>
      <c r="BE12" s="11">
        <f>IF(真實IC!BE12&gt;真實IC!BE$25,1,0)</f>
        <v/>
      </c>
      <c r="BF12" s="11">
        <f>IF(真實IC!BF12&gt;真實IC!BF$25,1,0)</f>
        <v/>
      </c>
      <c r="BG12" s="11">
        <f>IF(真實IC!BG12&gt;真實IC!BG$25,1,0)</f>
        <v/>
      </c>
      <c r="BH12" s="11">
        <f>IF(真實IC!BH12&gt;真實IC!BH$25,1,0)</f>
        <v/>
      </c>
      <c r="BI12" s="11">
        <f>IF(真實IC!BI12&gt;真實IC!BI$25,1,0)</f>
        <v/>
      </c>
      <c r="BJ12" s="11">
        <f>IF(真實IC!BJ12&gt;真實IC!BJ$25,1,0)</f>
        <v/>
      </c>
      <c r="BK12" s="11">
        <f>IF(真實IC!BK12&gt;真實IC!BK$25,1,0)</f>
        <v/>
      </c>
      <c r="BL12" s="11">
        <f>IF(真實IC!BL12&gt;真實IC!BL$25,1,0)</f>
        <v/>
      </c>
      <c r="BM12" s="11">
        <f>IF(真實IC!BM12&gt;真實IC!BM$25,1,0)</f>
        <v/>
      </c>
      <c r="BN12" s="11">
        <f>IF(真實IC!BN12&gt;真實IC!BN$25,1,0)</f>
        <v/>
      </c>
      <c r="BO12" s="11">
        <f>IF(真實IC!BO12&gt;真實IC!BO$25,1,0)</f>
        <v/>
      </c>
      <c r="BP12" s="11">
        <f>IF(真實IC!BP12&gt;真實IC!BP$25,1,0)</f>
        <v/>
      </c>
      <c r="BQ12" s="11">
        <f>IF(真實IC!BQ12&gt;真實IC!BQ$25,1,0)</f>
        <v/>
      </c>
      <c r="BR12" s="11">
        <f>IF(真實IC!BR12&gt;真實IC!BR$25,1,0)</f>
        <v/>
      </c>
      <c r="BS12" s="11">
        <f>IF(真實IC!BS12&gt;真實IC!BS$25,1,0)</f>
        <v/>
      </c>
      <c r="BT12" s="11">
        <f>IF(真實IC!BT12&gt;真實IC!BT$25,1,0)</f>
        <v/>
      </c>
      <c r="BU12" s="11">
        <f>IF(真實IC!BU12&gt;真實IC!BU$25,1,0)</f>
        <v/>
      </c>
      <c r="BV12" s="11">
        <f>IF(真實IC!BV12&gt;真實IC!BV$25,1,0)</f>
        <v/>
      </c>
      <c r="BW12" s="11">
        <f>IF(真實IC!BW12&gt;真實IC!BW$25,1,0)</f>
        <v/>
      </c>
      <c r="BX12" s="11">
        <f>IF(真實IC!BX12&gt;真實IC!BX$25,1,0)</f>
        <v/>
      </c>
      <c r="BY12" s="11">
        <f>IF(真實IC!BY12&gt;真實IC!BY$25,1,0)</f>
        <v/>
      </c>
      <c r="BZ12" s="11">
        <f>IF(真實IC!BZ12&gt;真實IC!BZ$25,1,0)</f>
        <v/>
      </c>
      <c r="CA12" s="11">
        <f>IF(真實IC!CA12&gt;真實IC!CA$25,1,0)</f>
        <v/>
      </c>
      <c r="CB12" s="11">
        <f>IF(真實IC!CB12&gt;真實IC!CB$25,1,0)</f>
        <v/>
      </c>
      <c r="CC12" s="11">
        <f>IF(真實IC!CC12&gt;真實IC!CC$25,1,0)</f>
        <v/>
      </c>
      <c r="CD12" s="11">
        <f>IF(真實IC!CD12&gt;真實IC!CD$25,1,0)</f>
        <v/>
      </c>
      <c r="CE12" s="11">
        <f>IF(真實IC!CE12&gt;真實IC!CE$25,1,0)</f>
        <v/>
      </c>
      <c r="CF12" s="11">
        <f>IF(真實IC!CF12&gt;真實IC!CF$25,1,0)</f>
        <v/>
      </c>
      <c r="CG12" s="11">
        <f>IF(真實IC!CG12&gt;真實IC!CG$25,1,0)</f>
        <v/>
      </c>
      <c r="CH12" s="11">
        <f>IF(真實IC!CH12&gt;真實IC!CH$25,1,0)</f>
        <v/>
      </c>
      <c r="CI12" s="11">
        <f>IF(真實IC!CI12&gt;真實IC!CI$25,1,0)</f>
        <v/>
      </c>
      <c r="CJ12" s="11">
        <f>IF(真實IC!CJ12&gt;真實IC!CJ$25,1,0)</f>
        <v/>
      </c>
      <c r="CK12" s="11">
        <f>IF(真實IC!CK12&gt;真實IC!CK$25,1,0)</f>
        <v/>
      </c>
      <c r="CL12" s="11">
        <f>IF(真實IC!CL12&gt;真實IC!CL$25,1,0)</f>
        <v/>
      </c>
      <c r="CM12" s="11">
        <f>IF(真實IC!CM12&gt;真實IC!CM$25,1,0)</f>
        <v/>
      </c>
      <c r="CN12" s="11">
        <f>IF(真實IC!CN12&gt;真實IC!CN$25,1,0)</f>
        <v/>
      </c>
      <c r="CO12" s="11">
        <f>IF(真實IC!CO12&gt;真實IC!CO$25,1,0)</f>
        <v/>
      </c>
      <c r="CP12" s="11">
        <f>IF(真實IC!CP12&gt;真實IC!CP$25,1,0)</f>
        <v/>
      </c>
      <c r="CQ12" s="11">
        <f>IF(真實IC!CQ12&gt;真實IC!CQ$25,1,0)</f>
        <v/>
      </c>
      <c r="CR12" s="11">
        <f>IF(真實IC!CR12&gt;真實IC!CR$25,1,0)</f>
        <v/>
      </c>
      <c r="CS12" s="11">
        <f>IF(真實IC!CS12&gt;真實IC!CS$25,1,0)</f>
        <v/>
      </c>
      <c r="CT12" s="11">
        <f>IF(真實IC!CT12&gt;真實IC!CT$25,1,0)</f>
        <v/>
      </c>
      <c r="CU12" s="11">
        <f>IF(真實IC!CU12&gt;真實IC!CU$25,1,0)</f>
        <v/>
      </c>
      <c r="CV12" s="11">
        <f>IF(真實IC!CV12&gt;真實IC!CV$25,1,0)</f>
        <v/>
      </c>
      <c r="CW12" s="11">
        <f>IF(真實IC!CW12&gt;真實IC!CW$25,1,0)</f>
        <v/>
      </c>
      <c r="CX12" s="11">
        <f>IF(真實IC!CX12&gt;真實IC!CX$25,1,0)</f>
        <v/>
      </c>
      <c r="CY12" s="11">
        <f>IF(真實IC!CY12&gt;真實IC!CY$25,1,0)</f>
        <v/>
      </c>
      <c r="CZ12" s="11">
        <f>IF(真實IC!CZ12&gt;真實IC!CZ$25,1,0)</f>
        <v/>
      </c>
      <c r="DA12" s="11">
        <f>IF(真實IC!DA12&gt;真實IC!DA$25,1,0)</f>
        <v/>
      </c>
      <c r="DB12" s="11">
        <f>IF(真實IC!DB12&gt;真實IC!DB$25,1,0)</f>
        <v/>
      </c>
      <c r="DC12" s="11">
        <f>IF(真實IC!DC12&gt;真實IC!DC$25,1,0)</f>
        <v/>
      </c>
      <c r="DD12" s="11">
        <f>IF(真實IC!DD12&gt;真實IC!DD$25,1,0)</f>
        <v/>
      </c>
      <c r="DE12" s="11">
        <f>IF(真實IC!DE12&gt;真實IC!DE$25,1,0)</f>
        <v/>
      </c>
      <c r="DF12" s="11">
        <f>IF(真實IC!DF12&gt;真實IC!DF$25,1,0)</f>
        <v/>
      </c>
      <c r="DG12" s="11">
        <f>IF(真實IC!DG12&gt;真實IC!DG$25,1,0)</f>
        <v/>
      </c>
      <c r="DH12" s="11">
        <f>IF(真實IC!DH12&gt;真實IC!DH$25,1,0)</f>
        <v/>
      </c>
      <c r="DI12" s="11">
        <f>IF(真實IC!DI12&gt;真實IC!DI$25,1,0)</f>
        <v/>
      </c>
      <c r="DJ12" s="11">
        <f>IF(真實IC!DJ12&gt;真實IC!DJ$25,1,0)</f>
        <v/>
      </c>
      <c r="DK12" s="11">
        <f>IF(真實IC!DK12&gt;真實IC!DK$25,1,0)</f>
        <v/>
      </c>
      <c r="DL12" s="11">
        <f>IF(真實IC!DL12&gt;真實IC!DL$25,1,0)</f>
        <v/>
      </c>
      <c r="DM12" s="11">
        <f>IF(真實IC!DM12&gt;真實IC!DM$25,1,0)</f>
        <v/>
      </c>
      <c r="DN12" s="11">
        <f>IF(真實IC!DN12&gt;真實IC!DN$25,1,0)</f>
        <v/>
      </c>
      <c r="DO12" s="11">
        <f>IF(真實IC!DO12&gt;真實IC!DO$25,1,0)</f>
        <v/>
      </c>
      <c r="DP12" s="11">
        <f>IF(真實IC!DP12&gt;真實IC!DP$25,1,0)</f>
        <v/>
      </c>
      <c r="DQ12" s="11">
        <f>IF(真實IC!DQ12&gt;真實IC!DQ$25,1,0)</f>
        <v/>
      </c>
      <c r="DR12" s="11">
        <f>IF(真實IC!DR12&gt;真實IC!DR$25,1,0)</f>
        <v/>
      </c>
      <c r="DS12" s="11">
        <f>IF(真實IC!DS12&gt;真實IC!DS$25,1,0)</f>
        <v/>
      </c>
      <c r="DT12" s="11">
        <f>IF(真實IC!DT12&gt;真實IC!DT$25,1,0)</f>
        <v/>
      </c>
      <c r="DU12" s="11">
        <f>IF(真實IC!DU12&gt;真實IC!DU$25,1,0)</f>
        <v/>
      </c>
      <c r="DV12" s="11">
        <f>IF(真實IC!DV12&gt;真實IC!DV$25,1,0)</f>
        <v/>
      </c>
      <c r="DW12" s="11">
        <f>IF(真實IC!DW12&gt;真實IC!DW$25,1,0)</f>
        <v/>
      </c>
      <c r="DX12" s="11">
        <f>IF(真實IC!DX12&gt;真實IC!DX$25,1,0)</f>
        <v/>
      </c>
      <c r="DY12" s="11">
        <f>IF(真實IC!DY12&gt;真實IC!DY$25,1,0)</f>
        <v/>
      </c>
      <c r="DZ12" s="11">
        <f>IF(真實IC!DZ12&gt;真實IC!DZ$25,1,0)</f>
        <v/>
      </c>
      <c r="EA12" s="11">
        <f>IF(真實IC!EA12&gt;真實IC!EA$25,1,0)</f>
        <v/>
      </c>
      <c r="EB12" s="11">
        <f>IF(真實IC!EB12&gt;真實IC!EB$25,1,0)</f>
        <v/>
      </c>
      <c r="EC12" s="11">
        <f>IF(真實IC!EC12&gt;真實IC!EC$25,1,0)</f>
        <v/>
      </c>
      <c r="ED12" s="11">
        <f>IF(真實IC!ED12&gt;真實IC!ED$25,1,0)</f>
        <v/>
      </c>
      <c r="EE12" s="11">
        <f>IF(真實IC!EE12&gt;真實IC!EE$25,1,0)</f>
        <v/>
      </c>
      <c r="EF12" s="11">
        <f>IF(真實IC!EF12&gt;真實IC!EF$25,1,0)</f>
        <v/>
      </c>
      <c r="EG12" s="11">
        <f>IF(真實IC!EG12&gt;真實IC!EG$25,1,0)</f>
        <v/>
      </c>
      <c r="EH12" s="11">
        <f>IF(真實IC!EH12&gt;真實IC!EH$25,1,0)</f>
        <v/>
      </c>
      <c r="EI12" s="11">
        <f>IF(真實IC!EI12&gt;真實IC!EI$25,1,0)</f>
        <v/>
      </c>
      <c r="EJ12" s="11">
        <f>IF(真實IC!EJ12&gt;真實IC!EJ$25,1,0)</f>
        <v/>
      </c>
      <c r="EK12" s="11">
        <f>IF(真實IC!EK12&gt;真實IC!EK$25,1,0)</f>
        <v/>
      </c>
      <c r="EL12" s="11">
        <f>IF(真實IC!EL12&gt;真實IC!EL$25,1,0)</f>
        <v/>
      </c>
      <c r="EM12" s="7">
        <f>SUM(C12:EL12)</f>
        <v/>
      </c>
      <c r="EN12" s="15">
        <f>EM12/140</f>
        <v/>
      </c>
    </row>
    <row r="13">
      <c r="A13" s="13" t="n">
        <v>20</v>
      </c>
      <c r="B13" s="13">
        <f>ROUND($D$10/A13,0)</f>
        <v/>
      </c>
      <c r="C13" s="11">
        <f>IF(真實IC!C13&gt;真實IC!C$25,1,0)</f>
        <v/>
      </c>
      <c r="D13" s="11">
        <f>IF(真實IC!D13&gt;真實IC!D$25,1,0)</f>
        <v/>
      </c>
      <c r="E13" s="11">
        <f>IF(真實IC!E13&gt;真實IC!E$25,1,0)</f>
        <v/>
      </c>
      <c r="F13" s="11">
        <f>IF(真實IC!F13&gt;真實IC!F$25,1,0)</f>
        <v/>
      </c>
      <c r="G13" s="11">
        <f>IF(真實IC!G13&gt;真實IC!G$25,1,0)</f>
        <v/>
      </c>
      <c r="H13" s="11">
        <f>IF(真實IC!H13&gt;真實IC!H$25,1,0)</f>
        <v/>
      </c>
      <c r="I13" s="11">
        <f>IF(真實IC!I13&gt;真實IC!I$25,1,0)</f>
        <v/>
      </c>
      <c r="J13" s="11">
        <f>IF(真實IC!J13&gt;真實IC!J$25,1,0)</f>
        <v/>
      </c>
      <c r="K13" s="11">
        <f>IF(真實IC!K13&gt;真實IC!K$25,1,0)</f>
        <v/>
      </c>
      <c r="L13" s="11">
        <f>IF(真實IC!L13&gt;真實IC!L$25,1,0)</f>
        <v/>
      </c>
      <c r="M13" s="11">
        <f>IF(真實IC!M13&gt;真實IC!M$25,1,0)</f>
        <v/>
      </c>
      <c r="N13" s="11">
        <f>IF(真實IC!N13&gt;真實IC!N$25,1,0)</f>
        <v/>
      </c>
      <c r="O13" s="11">
        <f>IF(真實IC!O13&gt;真實IC!O$25,1,0)</f>
        <v/>
      </c>
      <c r="P13" s="11">
        <f>IF(真實IC!P13&gt;真實IC!P$25,1,0)</f>
        <v/>
      </c>
      <c r="Q13" s="11">
        <f>IF(真實IC!Q13&gt;真實IC!Q$25,1,0)</f>
        <v/>
      </c>
      <c r="R13" s="11">
        <f>IF(真實IC!R13&gt;真實IC!R$25,1,0)</f>
        <v/>
      </c>
      <c r="S13" s="11">
        <f>IF(真實IC!S13&gt;真實IC!S$25,1,0)</f>
        <v/>
      </c>
      <c r="T13" s="11">
        <f>IF(真實IC!T13&gt;真實IC!T$25,1,0)</f>
        <v/>
      </c>
      <c r="U13" s="11">
        <f>IF(真實IC!U13&gt;真實IC!U$25,1,0)</f>
        <v/>
      </c>
      <c r="V13" s="11">
        <f>IF(真實IC!V13&gt;真實IC!V$25,1,0)</f>
        <v/>
      </c>
      <c r="W13" s="11">
        <f>IF(真實IC!W13&gt;真實IC!W$25,1,0)</f>
        <v/>
      </c>
      <c r="X13" s="11">
        <f>IF(真實IC!X13&gt;真實IC!X$25,1,0)</f>
        <v/>
      </c>
      <c r="Y13" s="11">
        <f>IF(真實IC!Y13&gt;真實IC!Y$25,1,0)</f>
        <v/>
      </c>
      <c r="Z13" s="11">
        <f>IF(真實IC!Z13&gt;真實IC!Z$25,1,0)</f>
        <v/>
      </c>
      <c r="AA13" s="11">
        <f>IF(真實IC!AA13&gt;真實IC!AA$25,1,0)</f>
        <v/>
      </c>
      <c r="AB13" s="11">
        <f>IF(真實IC!AB13&gt;真實IC!AB$25,1,0)</f>
        <v/>
      </c>
      <c r="AC13" s="11">
        <f>IF(真實IC!AC13&gt;真實IC!AC$25,1,0)</f>
        <v/>
      </c>
      <c r="AD13" s="11">
        <f>IF(真實IC!AD13&gt;真實IC!AD$25,1,0)</f>
        <v/>
      </c>
      <c r="AE13" s="11">
        <f>IF(真實IC!AE13&gt;真實IC!AE$25,1,0)</f>
        <v/>
      </c>
      <c r="AF13" s="11">
        <f>IF(真實IC!AF13&gt;真實IC!AF$25,1,0)</f>
        <v/>
      </c>
      <c r="AG13" s="11">
        <f>IF(真實IC!AG13&gt;真實IC!AG$25,1,0)</f>
        <v/>
      </c>
      <c r="AH13" s="11">
        <f>IF(真實IC!AH13&gt;真實IC!AH$25,1,0)</f>
        <v/>
      </c>
      <c r="AI13" s="11">
        <f>IF(真實IC!AI13&gt;真實IC!AI$25,1,0)</f>
        <v/>
      </c>
      <c r="AJ13" s="11">
        <f>IF(真實IC!AJ13&gt;真實IC!AJ$25,1,0)</f>
        <v/>
      </c>
      <c r="AK13" s="11">
        <f>IF(真實IC!AK13&gt;真實IC!AK$25,1,0)</f>
        <v/>
      </c>
      <c r="AL13" s="11">
        <f>IF(真實IC!AL13&gt;真實IC!AL$25,1,0)</f>
        <v/>
      </c>
      <c r="AM13" s="11">
        <f>IF(真實IC!AM13&gt;真實IC!AM$25,1,0)</f>
        <v/>
      </c>
      <c r="AN13" s="11">
        <f>IF(真實IC!AN13&gt;真實IC!AN$25,1,0)</f>
        <v/>
      </c>
      <c r="AO13" s="11">
        <f>IF(真實IC!AO13&gt;真實IC!AO$25,1,0)</f>
        <v/>
      </c>
      <c r="AP13" s="11">
        <f>IF(真實IC!AP13&gt;真實IC!AP$25,1,0)</f>
        <v/>
      </c>
      <c r="AQ13" s="11">
        <f>IF(真實IC!AQ13&gt;真實IC!AQ$25,1,0)</f>
        <v/>
      </c>
      <c r="AR13" s="11">
        <f>IF(真實IC!AR13&gt;真實IC!AR$25,1,0)</f>
        <v/>
      </c>
      <c r="AS13" s="11">
        <f>IF(真實IC!AS13&gt;真實IC!AS$25,1,0)</f>
        <v/>
      </c>
      <c r="AT13" s="11">
        <f>IF(真實IC!AT13&gt;真實IC!AT$25,1,0)</f>
        <v/>
      </c>
      <c r="AU13" s="11">
        <f>IF(真實IC!AU13&gt;真實IC!AU$25,1,0)</f>
        <v/>
      </c>
      <c r="AV13" s="11">
        <f>IF(真實IC!AV13&gt;真實IC!AV$25,1,0)</f>
        <v/>
      </c>
      <c r="AW13" s="11">
        <f>IF(真實IC!AW13&gt;真實IC!AW$25,1,0)</f>
        <v/>
      </c>
      <c r="AX13" s="11">
        <f>IF(真實IC!AX13&gt;真實IC!AX$25,1,0)</f>
        <v/>
      </c>
      <c r="AY13" s="11">
        <f>IF(真實IC!AY13&gt;真實IC!AY$25,1,0)</f>
        <v/>
      </c>
      <c r="AZ13" s="11">
        <f>IF(真實IC!AZ13&gt;真實IC!AZ$25,1,0)</f>
        <v/>
      </c>
      <c r="BA13" s="11">
        <f>IF(真實IC!BA13&gt;真實IC!BA$25,1,0)</f>
        <v/>
      </c>
      <c r="BB13" s="11">
        <f>IF(真實IC!BB13&gt;真實IC!BB$25,1,0)</f>
        <v/>
      </c>
      <c r="BC13" s="11">
        <f>IF(真實IC!BC13&gt;真實IC!BC$25,1,0)</f>
        <v/>
      </c>
      <c r="BD13" s="11">
        <f>IF(真實IC!BD13&gt;真實IC!BD$25,1,0)</f>
        <v/>
      </c>
      <c r="BE13" s="11">
        <f>IF(真實IC!BE13&gt;真實IC!BE$25,1,0)</f>
        <v/>
      </c>
      <c r="BF13" s="11">
        <f>IF(真實IC!BF13&gt;真實IC!BF$25,1,0)</f>
        <v/>
      </c>
      <c r="BG13" s="11">
        <f>IF(真實IC!BG13&gt;真實IC!BG$25,1,0)</f>
        <v/>
      </c>
      <c r="BH13" s="11">
        <f>IF(真實IC!BH13&gt;真實IC!BH$25,1,0)</f>
        <v/>
      </c>
      <c r="BI13" s="11">
        <f>IF(真實IC!BI13&gt;真實IC!BI$25,1,0)</f>
        <v/>
      </c>
      <c r="BJ13" s="11">
        <f>IF(真實IC!BJ13&gt;真實IC!BJ$25,1,0)</f>
        <v/>
      </c>
      <c r="BK13" s="11">
        <f>IF(真實IC!BK13&gt;真實IC!BK$25,1,0)</f>
        <v/>
      </c>
      <c r="BL13" s="11">
        <f>IF(真實IC!BL13&gt;真實IC!BL$25,1,0)</f>
        <v/>
      </c>
      <c r="BM13" s="11">
        <f>IF(真實IC!BM13&gt;真實IC!BM$25,1,0)</f>
        <v/>
      </c>
      <c r="BN13" s="11">
        <f>IF(真實IC!BN13&gt;真實IC!BN$25,1,0)</f>
        <v/>
      </c>
      <c r="BO13" s="11">
        <f>IF(真實IC!BO13&gt;真實IC!BO$25,1,0)</f>
        <v/>
      </c>
      <c r="BP13" s="11">
        <f>IF(真實IC!BP13&gt;真實IC!BP$25,1,0)</f>
        <v/>
      </c>
      <c r="BQ13" s="11">
        <f>IF(真實IC!BQ13&gt;真實IC!BQ$25,1,0)</f>
        <v/>
      </c>
      <c r="BR13" s="11">
        <f>IF(真實IC!BR13&gt;真實IC!BR$25,1,0)</f>
        <v/>
      </c>
      <c r="BS13" s="11">
        <f>IF(真實IC!BS13&gt;真實IC!BS$25,1,0)</f>
        <v/>
      </c>
      <c r="BT13" s="11">
        <f>IF(真實IC!BT13&gt;真實IC!BT$25,1,0)</f>
        <v/>
      </c>
      <c r="BU13" s="11">
        <f>IF(真實IC!BU13&gt;真實IC!BU$25,1,0)</f>
        <v/>
      </c>
      <c r="BV13" s="11">
        <f>IF(真實IC!BV13&gt;真實IC!BV$25,1,0)</f>
        <v/>
      </c>
      <c r="BW13" s="11">
        <f>IF(真實IC!BW13&gt;真實IC!BW$25,1,0)</f>
        <v/>
      </c>
      <c r="BX13" s="11">
        <f>IF(真實IC!BX13&gt;真實IC!BX$25,1,0)</f>
        <v/>
      </c>
      <c r="BY13" s="11">
        <f>IF(真實IC!BY13&gt;真實IC!BY$25,1,0)</f>
        <v/>
      </c>
      <c r="BZ13" s="11">
        <f>IF(真實IC!BZ13&gt;真實IC!BZ$25,1,0)</f>
        <v/>
      </c>
      <c r="CA13" s="11">
        <f>IF(真實IC!CA13&gt;真實IC!CA$25,1,0)</f>
        <v/>
      </c>
      <c r="CB13" s="11">
        <f>IF(真實IC!CB13&gt;真實IC!CB$25,1,0)</f>
        <v/>
      </c>
      <c r="CC13" s="11">
        <f>IF(真實IC!CC13&gt;真實IC!CC$25,1,0)</f>
        <v/>
      </c>
      <c r="CD13" s="11">
        <f>IF(真實IC!CD13&gt;真實IC!CD$25,1,0)</f>
        <v/>
      </c>
      <c r="CE13" s="11">
        <f>IF(真實IC!CE13&gt;真實IC!CE$25,1,0)</f>
        <v/>
      </c>
      <c r="CF13" s="11">
        <f>IF(真實IC!CF13&gt;真實IC!CF$25,1,0)</f>
        <v/>
      </c>
      <c r="CG13" s="11">
        <f>IF(真實IC!CG13&gt;真實IC!CG$25,1,0)</f>
        <v/>
      </c>
      <c r="CH13" s="11">
        <f>IF(真實IC!CH13&gt;真實IC!CH$25,1,0)</f>
        <v/>
      </c>
      <c r="CI13" s="11">
        <f>IF(真實IC!CI13&gt;真實IC!CI$25,1,0)</f>
        <v/>
      </c>
      <c r="CJ13" s="11">
        <f>IF(真實IC!CJ13&gt;真實IC!CJ$25,1,0)</f>
        <v/>
      </c>
      <c r="CK13" s="11">
        <f>IF(真實IC!CK13&gt;真實IC!CK$25,1,0)</f>
        <v/>
      </c>
      <c r="CL13" s="11">
        <f>IF(真實IC!CL13&gt;真實IC!CL$25,1,0)</f>
        <v/>
      </c>
      <c r="CM13" s="11">
        <f>IF(真實IC!CM13&gt;真實IC!CM$25,1,0)</f>
        <v/>
      </c>
      <c r="CN13" s="11">
        <f>IF(真實IC!CN13&gt;真實IC!CN$25,1,0)</f>
        <v/>
      </c>
      <c r="CO13" s="11">
        <f>IF(真實IC!CO13&gt;真實IC!CO$25,1,0)</f>
        <v/>
      </c>
      <c r="CP13" s="11">
        <f>IF(真實IC!CP13&gt;真實IC!CP$25,1,0)</f>
        <v/>
      </c>
      <c r="CQ13" s="11">
        <f>IF(真實IC!CQ13&gt;真實IC!CQ$25,1,0)</f>
        <v/>
      </c>
      <c r="CR13" s="11">
        <f>IF(真實IC!CR13&gt;真實IC!CR$25,1,0)</f>
        <v/>
      </c>
      <c r="CS13" s="11">
        <f>IF(真實IC!CS13&gt;真實IC!CS$25,1,0)</f>
        <v/>
      </c>
      <c r="CT13" s="11">
        <f>IF(真實IC!CT13&gt;真實IC!CT$25,1,0)</f>
        <v/>
      </c>
      <c r="CU13" s="11">
        <f>IF(真實IC!CU13&gt;真實IC!CU$25,1,0)</f>
        <v/>
      </c>
      <c r="CV13" s="11">
        <f>IF(真實IC!CV13&gt;真實IC!CV$25,1,0)</f>
        <v/>
      </c>
      <c r="CW13" s="11">
        <f>IF(真實IC!CW13&gt;真實IC!CW$25,1,0)</f>
        <v/>
      </c>
      <c r="CX13" s="11">
        <f>IF(真實IC!CX13&gt;真實IC!CX$25,1,0)</f>
        <v/>
      </c>
      <c r="CY13" s="11">
        <f>IF(真實IC!CY13&gt;真實IC!CY$25,1,0)</f>
        <v/>
      </c>
      <c r="CZ13" s="11">
        <f>IF(真實IC!CZ13&gt;真實IC!CZ$25,1,0)</f>
        <v/>
      </c>
      <c r="DA13" s="11">
        <f>IF(真實IC!DA13&gt;真實IC!DA$25,1,0)</f>
        <v/>
      </c>
      <c r="DB13" s="11">
        <f>IF(真實IC!DB13&gt;真實IC!DB$25,1,0)</f>
        <v/>
      </c>
      <c r="DC13" s="11">
        <f>IF(真實IC!DC13&gt;真實IC!DC$25,1,0)</f>
        <v/>
      </c>
      <c r="DD13" s="11">
        <f>IF(真實IC!DD13&gt;真實IC!DD$25,1,0)</f>
        <v/>
      </c>
      <c r="DE13" s="11">
        <f>IF(真實IC!DE13&gt;真實IC!DE$25,1,0)</f>
        <v/>
      </c>
      <c r="DF13" s="11">
        <f>IF(真實IC!DF13&gt;真實IC!DF$25,1,0)</f>
        <v/>
      </c>
      <c r="DG13" s="11">
        <f>IF(真實IC!DG13&gt;真實IC!DG$25,1,0)</f>
        <v/>
      </c>
      <c r="DH13" s="11">
        <f>IF(真實IC!DH13&gt;真實IC!DH$25,1,0)</f>
        <v/>
      </c>
      <c r="DI13" s="11">
        <f>IF(真實IC!DI13&gt;真實IC!DI$25,1,0)</f>
        <v/>
      </c>
      <c r="DJ13" s="11">
        <f>IF(真實IC!DJ13&gt;真實IC!DJ$25,1,0)</f>
        <v/>
      </c>
      <c r="DK13" s="11">
        <f>IF(真實IC!DK13&gt;真實IC!DK$25,1,0)</f>
        <v/>
      </c>
      <c r="DL13" s="11">
        <f>IF(真實IC!DL13&gt;真實IC!DL$25,1,0)</f>
        <v/>
      </c>
      <c r="DM13" s="11">
        <f>IF(真實IC!DM13&gt;真實IC!DM$25,1,0)</f>
        <v/>
      </c>
      <c r="DN13" s="11">
        <f>IF(真實IC!DN13&gt;真實IC!DN$25,1,0)</f>
        <v/>
      </c>
      <c r="DO13" s="11">
        <f>IF(真實IC!DO13&gt;真實IC!DO$25,1,0)</f>
        <v/>
      </c>
      <c r="DP13" s="11">
        <f>IF(真實IC!DP13&gt;真實IC!DP$25,1,0)</f>
        <v/>
      </c>
      <c r="DQ13" s="11">
        <f>IF(真實IC!DQ13&gt;真實IC!DQ$25,1,0)</f>
        <v/>
      </c>
      <c r="DR13" s="11">
        <f>IF(真實IC!DR13&gt;真實IC!DR$25,1,0)</f>
        <v/>
      </c>
      <c r="DS13" s="11">
        <f>IF(真實IC!DS13&gt;真實IC!DS$25,1,0)</f>
        <v/>
      </c>
      <c r="DT13" s="11">
        <f>IF(真實IC!DT13&gt;真實IC!DT$25,1,0)</f>
        <v/>
      </c>
      <c r="DU13" s="11">
        <f>IF(真實IC!DU13&gt;真實IC!DU$25,1,0)</f>
        <v/>
      </c>
      <c r="DV13" s="11">
        <f>IF(真實IC!DV13&gt;真實IC!DV$25,1,0)</f>
        <v/>
      </c>
      <c r="DW13" s="11">
        <f>IF(真實IC!DW13&gt;真實IC!DW$25,1,0)</f>
        <v/>
      </c>
      <c r="DX13" s="11">
        <f>IF(真實IC!DX13&gt;真實IC!DX$25,1,0)</f>
        <v/>
      </c>
      <c r="DY13" s="11">
        <f>IF(真實IC!DY13&gt;真實IC!DY$25,1,0)</f>
        <v/>
      </c>
      <c r="DZ13" s="11">
        <f>IF(真實IC!DZ13&gt;真實IC!DZ$25,1,0)</f>
        <v/>
      </c>
      <c r="EA13" s="11">
        <f>IF(真實IC!EA13&gt;真實IC!EA$25,1,0)</f>
        <v/>
      </c>
      <c r="EB13" s="11">
        <f>IF(真實IC!EB13&gt;真實IC!EB$25,1,0)</f>
        <v/>
      </c>
      <c r="EC13" s="11">
        <f>IF(真實IC!EC13&gt;真實IC!EC$25,1,0)</f>
        <v/>
      </c>
      <c r="ED13" s="11">
        <f>IF(真實IC!ED13&gt;真實IC!ED$25,1,0)</f>
        <v/>
      </c>
      <c r="EE13" s="11">
        <f>IF(真實IC!EE13&gt;真實IC!EE$25,1,0)</f>
        <v/>
      </c>
      <c r="EF13" s="11">
        <f>IF(真實IC!EF13&gt;真實IC!EF$25,1,0)</f>
        <v/>
      </c>
      <c r="EG13" s="11">
        <f>IF(真實IC!EG13&gt;真實IC!EG$25,1,0)</f>
        <v/>
      </c>
      <c r="EH13" s="11">
        <f>IF(真實IC!EH13&gt;真實IC!EH$25,1,0)</f>
        <v/>
      </c>
      <c r="EI13" s="11">
        <f>IF(真實IC!EI13&gt;真實IC!EI$25,1,0)</f>
        <v/>
      </c>
      <c r="EJ13" s="11">
        <f>IF(真實IC!EJ13&gt;真實IC!EJ$25,1,0)</f>
        <v/>
      </c>
      <c r="EK13" s="11">
        <f>IF(真實IC!EK13&gt;真實IC!EK$25,1,0)</f>
        <v/>
      </c>
      <c r="EL13" s="11">
        <f>IF(真實IC!EL13&gt;真實IC!EL$25,1,0)</f>
        <v/>
      </c>
      <c r="EM13" s="7">
        <f>SUM(C13:EL13)</f>
        <v/>
      </c>
      <c r="EN13" s="15">
        <f>EM13/140</f>
        <v/>
      </c>
    </row>
    <row r="14">
      <c r="A14" s="13" t="n">
        <v>50</v>
      </c>
      <c r="B14" s="13">
        <f>ROUND($D$10/A14,0)</f>
        <v/>
      </c>
      <c r="C14" s="11">
        <f>IF(真實IC!C14&gt;真實IC!C$25,1,0)</f>
        <v/>
      </c>
      <c r="D14" s="11">
        <f>IF(真實IC!D14&gt;真實IC!D$25,1,0)</f>
        <v/>
      </c>
      <c r="E14" s="11">
        <f>IF(真實IC!E14&gt;真實IC!E$25,1,0)</f>
        <v/>
      </c>
      <c r="F14" s="11">
        <f>IF(真實IC!F14&gt;真實IC!F$25,1,0)</f>
        <v/>
      </c>
      <c r="G14" s="11">
        <f>IF(真實IC!G14&gt;真實IC!G$25,1,0)</f>
        <v/>
      </c>
      <c r="H14" s="11">
        <f>IF(真實IC!H14&gt;真實IC!H$25,1,0)</f>
        <v/>
      </c>
      <c r="I14" s="11">
        <f>IF(真實IC!I14&gt;真實IC!I$25,1,0)</f>
        <v/>
      </c>
      <c r="J14" s="11">
        <f>IF(真實IC!J14&gt;真實IC!J$25,1,0)</f>
        <v/>
      </c>
      <c r="K14" s="11">
        <f>IF(真實IC!K14&gt;真實IC!K$25,1,0)</f>
        <v/>
      </c>
      <c r="L14" s="11">
        <f>IF(真實IC!L14&gt;真實IC!L$25,1,0)</f>
        <v/>
      </c>
      <c r="M14" s="11">
        <f>IF(真實IC!M14&gt;真實IC!M$25,1,0)</f>
        <v/>
      </c>
      <c r="N14" s="11">
        <f>IF(真實IC!N14&gt;真實IC!N$25,1,0)</f>
        <v/>
      </c>
      <c r="O14" s="11">
        <f>IF(真實IC!O14&gt;真實IC!O$25,1,0)</f>
        <v/>
      </c>
      <c r="P14" s="11">
        <f>IF(真實IC!P14&gt;真實IC!P$25,1,0)</f>
        <v/>
      </c>
      <c r="Q14" s="11">
        <f>IF(真實IC!Q14&gt;真實IC!Q$25,1,0)</f>
        <v/>
      </c>
      <c r="R14" s="11">
        <f>IF(真實IC!R14&gt;真實IC!R$25,1,0)</f>
        <v/>
      </c>
      <c r="S14" s="11">
        <f>IF(真實IC!S14&gt;真實IC!S$25,1,0)</f>
        <v/>
      </c>
      <c r="T14" s="11">
        <f>IF(真實IC!T14&gt;真實IC!T$25,1,0)</f>
        <v/>
      </c>
      <c r="U14" s="11">
        <f>IF(真實IC!U14&gt;真實IC!U$25,1,0)</f>
        <v/>
      </c>
      <c r="V14" s="11">
        <f>IF(真實IC!V14&gt;真實IC!V$25,1,0)</f>
        <v/>
      </c>
      <c r="W14" s="11">
        <f>IF(真實IC!W14&gt;真實IC!W$25,1,0)</f>
        <v/>
      </c>
      <c r="X14" s="11">
        <f>IF(真實IC!X14&gt;真實IC!X$25,1,0)</f>
        <v/>
      </c>
      <c r="Y14" s="11">
        <f>IF(真實IC!Y14&gt;真實IC!Y$25,1,0)</f>
        <v/>
      </c>
      <c r="Z14" s="11">
        <f>IF(真實IC!Z14&gt;真實IC!Z$25,1,0)</f>
        <v/>
      </c>
      <c r="AA14" s="11">
        <f>IF(真實IC!AA14&gt;真實IC!AA$25,1,0)</f>
        <v/>
      </c>
      <c r="AB14" s="11">
        <f>IF(真實IC!AB14&gt;真實IC!AB$25,1,0)</f>
        <v/>
      </c>
      <c r="AC14" s="11">
        <f>IF(真實IC!AC14&gt;真實IC!AC$25,1,0)</f>
        <v/>
      </c>
      <c r="AD14" s="11">
        <f>IF(真實IC!AD14&gt;真實IC!AD$25,1,0)</f>
        <v/>
      </c>
      <c r="AE14" s="11">
        <f>IF(真實IC!AE14&gt;真實IC!AE$25,1,0)</f>
        <v/>
      </c>
      <c r="AF14" s="11">
        <f>IF(真實IC!AF14&gt;真實IC!AF$25,1,0)</f>
        <v/>
      </c>
      <c r="AG14" s="11">
        <f>IF(真實IC!AG14&gt;真實IC!AG$25,1,0)</f>
        <v/>
      </c>
      <c r="AH14" s="11">
        <f>IF(真實IC!AH14&gt;真實IC!AH$25,1,0)</f>
        <v/>
      </c>
      <c r="AI14" s="11">
        <f>IF(真實IC!AI14&gt;真實IC!AI$25,1,0)</f>
        <v/>
      </c>
      <c r="AJ14" s="11">
        <f>IF(真實IC!AJ14&gt;真實IC!AJ$25,1,0)</f>
        <v/>
      </c>
      <c r="AK14" s="11">
        <f>IF(真實IC!AK14&gt;真實IC!AK$25,1,0)</f>
        <v/>
      </c>
      <c r="AL14" s="11">
        <f>IF(真實IC!AL14&gt;真實IC!AL$25,1,0)</f>
        <v/>
      </c>
      <c r="AM14" s="11">
        <f>IF(真實IC!AM14&gt;真實IC!AM$25,1,0)</f>
        <v/>
      </c>
      <c r="AN14" s="11">
        <f>IF(真實IC!AN14&gt;真實IC!AN$25,1,0)</f>
        <v/>
      </c>
      <c r="AO14" s="11">
        <f>IF(真實IC!AO14&gt;真實IC!AO$25,1,0)</f>
        <v/>
      </c>
      <c r="AP14" s="11">
        <f>IF(真實IC!AP14&gt;真實IC!AP$25,1,0)</f>
        <v/>
      </c>
      <c r="AQ14" s="11">
        <f>IF(真實IC!AQ14&gt;真實IC!AQ$25,1,0)</f>
        <v/>
      </c>
      <c r="AR14" s="11">
        <f>IF(真實IC!AR14&gt;真實IC!AR$25,1,0)</f>
        <v/>
      </c>
      <c r="AS14" s="11">
        <f>IF(真實IC!AS14&gt;真實IC!AS$25,1,0)</f>
        <v/>
      </c>
      <c r="AT14" s="11">
        <f>IF(真實IC!AT14&gt;真實IC!AT$25,1,0)</f>
        <v/>
      </c>
      <c r="AU14" s="11">
        <f>IF(真實IC!AU14&gt;真實IC!AU$25,1,0)</f>
        <v/>
      </c>
      <c r="AV14" s="11">
        <f>IF(真實IC!AV14&gt;真實IC!AV$25,1,0)</f>
        <v/>
      </c>
      <c r="AW14" s="11">
        <f>IF(真實IC!AW14&gt;真實IC!AW$25,1,0)</f>
        <v/>
      </c>
      <c r="AX14" s="11">
        <f>IF(真實IC!AX14&gt;真實IC!AX$25,1,0)</f>
        <v/>
      </c>
      <c r="AY14" s="11">
        <f>IF(真實IC!AY14&gt;真實IC!AY$25,1,0)</f>
        <v/>
      </c>
      <c r="AZ14" s="11">
        <f>IF(真實IC!AZ14&gt;真實IC!AZ$25,1,0)</f>
        <v/>
      </c>
      <c r="BA14" s="11">
        <f>IF(真實IC!BA14&gt;真實IC!BA$25,1,0)</f>
        <v/>
      </c>
      <c r="BB14" s="11">
        <f>IF(真實IC!BB14&gt;真實IC!BB$25,1,0)</f>
        <v/>
      </c>
      <c r="BC14" s="11">
        <f>IF(真實IC!BC14&gt;真實IC!BC$25,1,0)</f>
        <v/>
      </c>
      <c r="BD14" s="11">
        <f>IF(真實IC!BD14&gt;真實IC!BD$25,1,0)</f>
        <v/>
      </c>
      <c r="BE14" s="11">
        <f>IF(真實IC!BE14&gt;真實IC!BE$25,1,0)</f>
        <v/>
      </c>
      <c r="BF14" s="11">
        <f>IF(真實IC!BF14&gt;真實IC!BF$25,1,0)</f>
        <v/>
      </c>
      <c r="BG14" s="11">
        <f>IF(真實IC!BG14&gt;真實IC!BG$25,1,0)</f>
        <v/>
      </c>
      <c r="BH14" s="11">
        <f>IF(真實IC!BH14&gt;真實IC!BH$25,1,0)</f>
        <v/>
      </c>
      <c r="BI14" s="11">
        <f>IF(真實IC!BI14&gt;真實IC!BI$25,1,0)</f>
        <v/>
      </c>
      <c r="BJ14" s="11">
        <f>IF(真實IC!BJ14&gt;真實IC!BJ$25,1,0)</f>
        <v/>
      </c>
      <c r="BK14" s="11">
        <f>IF(真實IC!BK14&gt;真實IC!BK$25,1,0)</f>
        <v/>
      </c>
      <c r="BL14" s="11">
        <f>IF(真實IC!BL14&gt;真實IC!BL$25,1,0)</f>
        <v/>
      </c>
      <c r="BM14" s="11">
        <f>IF(真實IC!BM14&gt;真實IC!BM$25,1,0)</f>
        <v/>
      </c>
      <c r="BN14" s="11">
        <f>IF(真實IC!BN14&gt;真實IC!BN$25,1,0)</f>
        <v/>
      </c>
      <c r="BO14" s="11">
        <f>IF(真實IC!BO14&gt;真實IC!BO$25,1,0)</f>
        <v/>
      </c>
      <c r="BP14" s="11">
        <f>IF(真實IC!BP14&gt;真實IC!BP$25,1,0)</f>
        <v/>
      </c>
      <c r="BQ14" s="11">
        <f>IF(真實IC!BQ14&gt;真實IC!BQ$25,1,0)</f>
        <v/>
      </c>
      <c r="BR14" s="11">
        <f>IF(真實IC!BR14&gt;真實IC!BR$25,1,0)</f>
        <v/>
      </c>
      <c r="BS14" s="11">
        <f>IF(真實IC!BS14&gt;真實IC!BS$25,1,0)</f>
        <v/>
      </c>
      <c r="BT14" s="11">
        <f>IF(真實IC!BT14&gt;真實IC!BT$25,1,0)</f>
        <v/>
      </c>
      <c r="BU14" s="11">
        <f>IF(真實IC!BU14&gt;真實IC!BU$25,1,0)</f>
        <v/>
      </c>
      <c r="BV14" s="11">
        <f>IF(真實IC!BV14&gt;真實IC!BV$25,1,0)</f>
        <v/>
      </c>
      <c r="BW14" s="11">
        <f>IF(真實IC!BW14&gt;真實IC!BW$25,1,0)</f>
        <v/>
      </c>
      <c r="BX14" s="11">
        <f>IF(真實IC!BX14&gt;真實IC!BX$25,1,0)</f>
        <v/>
      </c>
      <c r="BY14" s="11">
        <f>IF(真實IC!BY14&gt;真實IC!BY$25,1,0)</f>
        <v/>
      </c>
      <c r="BZ14" s="11">
        <f>IF(真實IC!BZ14&gt;真實IC!BZ$25,1,0)</f>
        <v/>
      </c>
      <c r="CA14" s="11">
        <f>IF(真實IC!CA14&gt;真實IC!CA$25,1,0)</f>
        <v/>
      </c>
      <c r="CB14" s="11">
        <f>IF(真實IC!CB14&gt;真實IC!CB$25,1,0)</f>
        <v/>
      </c>
      <c r="CC14" s="11">
        <f>IF(真實IC!CC14&gt;真實IC!CC$25,1,0)</f>
        <v/>
      </c>
      <c r="CD14" s="11">
        <f>IF(真實IC!CD14&gt;真實IC!CD$25,1,0)</f>
        <v/>
      </c>
      <c r="CE14" s="11">
        <f>IF(真實IC!CE14&gt;真實IC!CE$25,1,0)</f>
        <v/>
      </c>
      <c r="CF14" s="11">
        <f>IF(真實IC!CF14&gt;真實IC!CF$25,1,0)</f>
        <v/>
      </c>
      <c r="CG14" s="11">
        <f>IF(真實IC!CG14&gt;真實IC!CG$25,1,0)</f>
        <v/>
      </c>
      <c r="CH14" s="11">
        <f>IF(真實IC!CH14&gt;真實IC!CH$25,1,0)</f>
        <v/>
      </c>
      <c r="CI14" s="11">
        <f>IF(真實IC!CI14&gt;真實IC!CI$25,1,0)</f>
        <v/>
      </c>
      <c r="CJ14" s="11">
        <f>IF(真實IC!CJ14&gt;真實IC!CJ$25,1,0)</f>
        <v/>
      </c>
      <c r="CK14" s="11">
        <f>IF(真實IC!CK14&gt;真實IC!CK$25,1,0)</f>
        <v/>
      </c>
      <c r="CL14" s="11">
        <f>IF(真實IC!CL14&gt;真實IC!CL$25,1,0)</f>
        <v/>
      </c>
      <c r="CM14" s="11">
        <f>IF(真實IC!CM14&gt;真實IC!CM$25,1,0)</f>
        <v/>
      </c>
      <c r="CN14" s="11">
        <f>IF(真實IC!CN14&gt;真實IC!CN$25,1,0)</f>
        <v/>
      </c>
      <c r="CO14" s="11">
        <f>IF(真實IC!CO14&gt;真實IC!CO$25,1,0)</f>
        <v/>
      </c>
      <c r="CP14" s="11">
        <f>IF(真實IC!CP14&gt;真實IC!CP$25,1,0)</f>
        <v/>
      </c>
      <c r="CQ14" s="11">
        <f>IF(真實IC!CQ14&gt;真實IC!CQ$25,1,0)</f>
        <v/>
      </c>
      <c r="CR14" s="11">
        <f>IF(真實IC!CR14&gt;真實IC!CR$25,1,0)</f>
        <v/>
      </c>
      <c r="CS14" s="11">
        <f>IF(真實IC!CS14&gt;真實IC!CS$25,1,0)</f>
        <v/>
      </c>
      <c r="CT14" s="11">
        <f>IF(真實IC!CT14&gt;真實IC!CT$25,1,0)</f>
        <v/>
      </c>
      <c r="CU14" s="11">
        <f>IF(真實IC!CU14&gt;真實IC!CU$25,1,0)</f>
        <v/>
      </c>
      <c r="CV14" s="11">
        <f>IF(真實IC!CV14&gt;真實IC!CV$25,1,0)</f>
        <v/>
      </c>
      <c r="CW14" s="11">
        <f>IF(真實IC!CW14&gt;真實IC!CW$25,1,0)</f>
        <v/>
      </c>
      <c r="CX14" s="11">
        <f>IF(真實IC!CX14&gt;真實IC!CX$25,1,0)</f>
        <v/>
      </c>
      <c r="CY14" s="11">
        <f>IF(真實IC!CY14&gt;真實IC!CY$25,1,0)</f>
        <v/>
      </c>
      <c r="CZ14" s="11">
        <f>IF(真實IC!CZ14&gt;真實IC!CZ$25,1,0)</f>
        <v/>
      </c>
      <c r="DA14" s="11">
        <f>IF(真實IC!DA14&gt;真實IC!DA$25,1,0)</f>
        <v/>
      </c>
      <c r="DB14" s="11">
        <f>IF(真實IC!DB14&gt;真實IC!DB$25,1,0)</f>
        <v/>
      </c>
      <c r="DC14" s="11">
        <f>IF(真實IC!DC14&gt;真實IC!DC$25,1,0)</f>
        <v/>
      </c>
      <c r="DD14" s="11">
        <f>IF(真實IC!DD14&gt;真實IC!DD$25,1,0)</f>
        <v/>
      </c>
      <c r="DE14" s="11">
        <f>IF(真實IC!DE14&gt;真實IC!DE$25,1,0)</f>
        <v/>
      </c>
      <c r="DF14" s="11">
        <f>IF(真實IC!DF14&gt;真實IC!DF$25,1,0)</f>
        <v/>
      </c>
      <c r="DG14" s="11">
        <f>IF(真實IC!DG14&gt;真實IC!DG$25,1,0)</f>
        <v/>
      </c>
      <c r="DH14" s="11">
        <f>IF(真實IC!DH14&gt;真實IC!DH$25,1,0)</f>
        <v/>
      </c>
      <c r="DI14" s="11">
        <f>IF(真實IC!DI14&gt;真實IC!DI$25,1,0)</f>
        <v/>
      </c>
      <c r="DJ14" s="11">
        <f>IF(真實IC!DJ14&gt;真實IC!DJ$25,1,0)</f>
        <v/>
      </c>
      <c r="DK14" s="11">
        <f>IF(真實IC!DK14&gt;真實IC!DK$25,1,0)</f>
        <v/>
      </c>
      <c r="DL14" s="11">
        <f>IF(真實IC!DL14&gt;真實IC!DL$25,1,0)</f>
        <v/>
      </c>
      <c r="DM14" s="11">
        <f>IF(真實IC!DM14&gt;真實IC!DM$25,1,0)</f>
        <v/>
      </c>
      <c r="DN14" s="11">
        <f>IF(真實IC!DN14&gt;真實IC!DN$25,1,0)</f>
        <v/>
      </c>
      <c r="DO14" s="11">
        <f>IF(真實IC!DO14&gt;真實IC!DO$25,1,0)</f>
        <v/>
      </c>
      <c r="DP14" s="11">
        <f>IF(真實IC!DP14&gt;真實IC!DP$25,1,0)</f>
        <v/>
      </c>
      <c r="DQ14" s="11">
        <f>IF(真實IC!DQ14&gt;真實IC!DQ$25,1,0)</f>
        <v/>
      </c>
      <c r="DR14" s="11">
        <f>IF(真實IC!DR14&gt;真實IC!DR$25,1,0)</f>
        <v/>
      </c>
      <c r="DS14" s="11">
        <f>IF(真實IC!DS14&gt;真實IC!DS$25,1,0)</f>
        <v/>
      </c>
      <c r="DT14" s="11">
        <f>IF(真實IC!DT14&gt;真實IC!DT$25,1,0)</f>
        <v/>
      </c>
      <c r="DU14" s="11">
        <f>IF(真實IC!DU14&gt;真實IC!DU$25,1,0)</f>
        <v/>
      </c>
      <c r="DV14" s="11">
        <f>IF(真實IC!DV14&gt;真實IC!DV$25,1,0)</f>
        <v/>
      </c>
      <c r="DW14" s="11">
        <f>IF(真實IC!DW14&gt;真實IC!DW$25,1,0)</f>
        <v/>
      </c>
      <c r="DX14" s="11">
        <f>IF(真實IC!DX14&gt;真實IC!DX$25,1,0)</f>
        <v/>
      </c>
      <c r="DY14" s="11">
        <f>IF(真實IC!DY14&gt;真實IC!DY$25,1,0)</f>
        <v/>
      </c>
      <c r="DZ14" s="11">
        <f>IF(真實IC!DZ14&gt;真實IC!DZ$25,1,0)</f>
        <v/>
      </c>
      <c r="EA14" s="11">
        <f>IF(真實IC!EA14&gt;真實IC!EA$25,1,0)</f>
        <v/>
      </c>
      <c r="EB14" s="11">
        <f>IF(真實IC!EB14&gt;真實IC!EB$25,1,0)</f>
        <v/>
      </c>
      <c r="EC14" s="11">
        <f>IF(真實IC!EC14&gt;真實IC!EC$25,1,0)</f>
        <v/>
      </c>
      <c r="ED14" s="11">
        <f>IF(真實IC!ED14&gt;真實IC!ED$25,1,0)</f>
        <v/>
      </c>
      <c r="EE14" s="11">
        <f>IF(真實IC!EE14&gt;真實IC!EE$25,1,0)</f>
        <v/>
      </c>
      <c r="EF14" s="11">
        <f>IF(真實IC!EF14&gt;真實IC!EF$25,1,0)</f>
        <v/>
      </c>
      <c r="EG14" s="11">
        <f>IF(真實IC!EG14&gt;真實IC!EG$25,1,0)</f>
        <v/>
      </c>
      <c r="EH14" s="11">
        <f>IF(真實IC!EH14&gt;真實IC!EH$25,1,0)</f>
        <v/>
      </c>
      <c r="EI14" s="11">
        <f>IF(真實IC!EI14&gt;真實IC!EI$25,1,0)</f>
        <v/>
      </c>
      <c r="EJ14" s="11">
        <f>IF(真實IC!EJ14&gt;真實IC!EJ$25,1,0)</f>
        <v/>
      </c>
      <c r="EK14" s="11">
        <f>IF(真實IC!EK14&gt;真實IC!EK$25,1,0)</f>
        <v/>
      </c>
      <c r="EL14" s="11">
        <f>IF(真實IC!EL14&gt;真實IC!EL$25,1,0)</f>
        <v/>
      </c>
      <c r="EM14" s="7">
        <f>SUM(C14:EL14)</f>
        <v/>
      </c>
      <c r="EN14" s="15">
        <f>EM14/140</f>
        <v/>
      </c>
    </row>
    <row r="15">
      <c r="A15" s="13" t="n">
        <v>110</v>
      </c>
      <c r="B15" s="13">
        <f>ROUND($D$10/A15,0)</f>
        <v/>
      </c>
      <c r="C15" s="11">
        <f>IF(真實IC!C15&gt;真實IC!C$25,1,0)</f>
        <v/>
      </c>
      <c r="D15" s="11">
        <f>IF(真實IC!D15&gt;真實IC!D$25,1,0)</f>
        <v/>
      </c>
      <c r="E15" s="11">
        <f>IF(真實IC!E15&gt;真實IC!E$25,1,0)</f>
        <v/>
      </c>
      <c r="F15" s="11">
        <f>IF(真實IC!F15&gt;真實IC!F$25,1,0)</f>
        <v/>
      </c>
      <c r="G15" s="11">
        <f>IF(真實IC!G15&gt;真實IC!G$25,1,0)</f>
        <v/>
      </c>
      <c r="H15" s="11">
        <f>IF(真實IC!H15&gt;真實IC!H$25,1,0)</f>
        <v/>
      </c>
      <c r="I15" s="11">
        <f>IF(真實IC!I15&gt;真實IC!I$25,1,0)</f>
        <v/>
      </c>
      <c r="J15" s="11">
        <f>IF(真實IC!J15&gt;真實IC!J$25,1,0)</f>
        <v/>
      </c>
      <c r="K15" s="11">
        <f>IF(真實IC!K15&gt;真實IC!K$25,1,0)</f>
        <v/>
      </c>
      <c r="L15" s="11">
        <f>IF(真實IC!L15&gt;真實IC!L$25,1,0)</f>
        <v/>
      </c>
      <c r="M15" s="11">
        <f>IF(真實IC!M15&gt;真實IC!M$25,1,0)</f>
        <v/>
      </c>
      <c r="N15" s="11">
        <f>IF(真實IC!N15&gt;真實IC!N$25,1,0)</f>
        <v/>
      </c>
      <c r="O15" s="11">
        <f>IF(真實IC!O15&gt;真實IC!O$25,1,0)</f>
        <v/>
      </c>
      <c r="P15" s="11">
        <f>IF(真實IC!P15&gt;真實IC!P$25,1,0)</f>
        <v/>
      </c>
      <c r="Q15" s="11">
        <f>IF(真實IC!Q15&gt;真實IC!Q$25,1,0)</f>
        <v/>
      </c>
      <c r="R15" s="11">
        <f>IF(真實IC!R15&gt;真實IC!R$25,1,0)</f>
        <v/>
      </c>
      <c r="S15" s="11">
        <f>IF(真實IC!S15&gt;真實IC!S$25,1,0)</f>
        <v/>
      </c>
      <c r="T15" s="11">
        <f>IF(真實IC!T15&gt;真實IC!T$25,1,0)</f>
        <v/>
      </c>
      <c r="U15" s="11">
        <f>IF(真實IC!U15&gt;真實IC!U$25,1,0)</f>
        <v/>
      </c>
      <c r="V15" s="11">
        <f>IF(真實IC!V15&gt;真實IC!V$25,1,0)</f>
        <v/>
      </c>
      <c r="W15" s="11">
        <f>IF(真實IC!W15&gt;真實IC!W$25,1,0)</f>
        <v/>
      </c>
      <c r="X15" s="11">
        <f>IF(真實IC!X15&gt;真實IC!X$25,1,0)</f>
        <v/>
      </c>
      <c r="Y15" s="11">
        <f>IF(真實IC!Y15&gt;真實IC!Y$25,1,0)</f>
        <v/>
      </c>
      <c r="Z15" s="11">
        <f>IF(真實IC!Z15&gt;真實IC!Z$25,1,0)</f>
        <v/>
      </c>
      <c r="AA15" s="11">
        <f>IF(真實IC!AA15&gt;真實IC!AA$25,1,0)</f>
        <v/>
      </c>
      <c r="AB15" s="11">
        <f>IF(真實IC!AB15&gt;真實IC!AB$25,1,0)</f>
        <v/>
      </c>
      <c r="AC15" s="11">
        <f>IF(真實IC!AC15&gt;真實IC!AC$25,1,0)</f>
        <v/>
      </c>
      <c r="AD15" s="11">
        <f>IF(真實IC!AD15&gt;真實IC!AD$25,1,0)</f>
        <v/>
      </c>
      <c r="AE15" s="11">
        <f>IF(真實IC!AE15&gt;真實IC!AE$25,1,0)</f>
        <v/>
      </c>
      <c r="AF15" s="11">
        <f>IF(真實IC!AF15&gt;真實IC!AF$25,1,0)</f>
        <v/>
      </c>
      <c r="AG15" s="11">
        <f>IF(真實IC!AG15&gt;真實IC!AG$25,1,0)</f>
        <v/>
      </c>
      <c r="AH15" s="11">
        <f>IF(真實IC!AH15&gt;真實IC!AH$25,1,0)</f>
        <v/>
      </c>
      <c r="AI15" s="11">
        <f>IF(真實IC!AI15&gt;真實IC!AI$25,1,0)</f>
        <v/>
      </c>
      <c r="AJ15" s="11">
        <f>IF(真實IC!AJ15&gt;真實IC!AJ$25,1,0)</f>
        <v/>
      </c>
      <c r="AK15" s="11">
        <f>IF(真實IC!AK15&gt;真實IC!AK$25,1,0)</f>
        <v/>
      </c>
      <c r="AL15" s="11">
        <f>IF(真實IC!AL15&gt;真實IC!AL$25,1,0)</f>
        <v/>
      </c>
      <c r="AM15" s="11">
        <f>IF(真實IC!AM15&gt;真實IC!AM$25,1,0)</f>
        <v/>
      </c>
      <c r="AN15" s="11">
        <f>IF(真實IC!AN15&gt;真實IC!AN$25,1,0)</f>
        <v/>
      </c>
      <c r="AO15" s="11">
        <f>IF(真實IC!AO15&gt;真實IC!AO$25,1,0)</f>
        <v/>
      </c>
      <c r="AP15" s="11">
        <f>IF(真實IC!AP15&gt;真實IC!AP$25,1,0)</f>
        <v/>
      </c>
      <c r="AQ15" s="11">
        <f>IF(真實IC!AQ15&gt;真實IC!AQ$25,1,0)</f>
        <v/>
      </c>
      <c r="AR15" s="11">
        <f>IF(真實IC!AR15&gt;真實IC!AR$25,1,0)</f>
        <v/>
      </c>
      <c r="AS15" s="11">
        <f>IF(真實IC!AS15&gt;真實IC!AS$25,1,0)</f>
        <v/>
      </c>
      <c r="AT15" s="11">
        <f>IF(真實IC!AT15&gt;真實IC!AT$25,1,0)</f>
        <v/>
      </c>
      <c r="AU15" s="11">
        <f>IF(真實IC!AU15&gt;真實IC!AU$25,1,0)</f>
        <v/>
      </c>
      <c r="AV15" s="11">
        <f>IF(真實IC!AV15&gt;真實IC!AV$25,1,0)</f>
        <v/>
      </c>
      <c r="AW15" s="11">
        <f>IF(真實IC!AW15&gt;真實IC!AW$25,1,0)</f>
        <v/>
      </c>
      <c r="AX15" s="11">
        <f>IF(真實IC!AX15&gt;真實IC!AX$25,1,0)</f>
        <v/>
      </c>
      <c r="AY15" s="11">
        <f>IF(真實IC!AY15&gt;真實IC!AY$25,1,0)</f>
        <v/>
      </c>
      <c r="AZ15" s="11">
        <f>IF(真實IC!AZ15&gt;真實IC!AZ$25,1,0)</f>
        <v/>
      </c>
      <c r="BA15" s="11">
        <f>IF(真實IC!BA15&gt;真實IC!BA$25,1,0)</f>
        <v/>
      </c>
      <c r="BB15" s="11">
        <f>IF(真實IC!BB15&gt;真實IC!BB$25,1,0)</f>
        <v/>
      </c>
      <c r="BC15" s="11">
        <f>IF(真實IC!BC15&gt;真實IC!BC$25,1,0)</f>
        <v/>
      </c>
      <c r="BD15" s="11">
        <f>IF(真實IC!BD15&gt;真實IC!BD$25,1,0)</f>
        <v/>
      </c>
      <c r="BE15" s="11">
        <f>IF(真實IC!BE15&gt;真實IC!BE$25,1,0)</f>
        <v/>
      </c>
      <c r="BF15" s="11">
        <f>IF(真實IC!BF15&gt;真實IC!BF$25,1,0)</f>
        <v/>
      </c>
      <c r="BG15" s="11">
        <f>IF(真實IC!BG15&gt;真實IC!BG$25,1,0)</f>
        <v/>
      </c>
      <c r="BH15" s="11">
        <f>IF(真實IC!BH15&gt;真實IC!BH$25,1,0)</f>
        <v/>
      </c>
      <c r="BI15" s="11">
        <f>IF(真實IC!BI15&gt;真實IC!BI$25,1,0)</f>
        <v/>
      </c>
      <c r="BJ15" s="11">
        <f>IF(真實IC!BJ15&gt;真實IC!BJ$25,1,0)</f>
        <v/>
      </c>
      <c r="BK15" s="11">
        <f>IF(真實IC!BK15&gt;真實IC!BK$25,1,0)</f>
        <v/>
      </c>
      <c r="BL15" s="11">
        <f>IF(真實IC!BL15&gt;真實IC!BL$25,1,0)</f>
        <v/>
      </c>
      <c r="BM15" s="11">
        <f>IF(真實IC!BM15&gt;真實IC!BM$25,1,0)</f>
        <v/>
      </c>
      <c r="BN15" s="11">
        <f>IF(真實IC!BN15&gt;真實IC!BN$25,1,0)</f>
        <v/>
      </c>
      <c r="BO15" s="11">
        <f>IF(真實IC!BO15&gt;真實IC!BO$25,1,0)</f>
        <v/>
      </c>
      <c r="BP15" s="11">
        <f>IF(真實IC!BP15&gt;真實IC!BP$25,1,0)</f>
        <v/>
      </c>
      <c r="BQ15" s="11">
        <f>IF(真實IC!BQ15&gt;真實IC!BQ$25,1,0)</f>
        <v/>
      </c>
      <c r="BR15" s="11">
        <f>IF(真實IC!BR15&gt;真實IC!BR$25,1,0)</f>
        <v/>
      </c>
      <c r="BS15" s="11">
        <f>IF(真實IC!BS15&gt;真實IC!BS$25,1,0)</f>
        <v/>
      </c>
      <c r="BT15" s="11">
        <f>IF(真實IC!BT15&gt;真實IC!BT$25,1,0)</f>
        <v/>
      </c>
      <c r="BU15" s="11">
        <f>IF(真實IC!BU15&gt;真實IC!BU$25,1,0)</f>
        <v/>
      </c>
      <c r="BV15" s="11">
        <f>IF(真實IC!BV15&gt;真實IC!BV$25,1,0)</f>
        <v/>
      </c>
      <c r="BW15" s="11">
        <f>IF(真實IC!BW15&gt;真實IC!BW$25,1,0)</f>
        <v/>
      </c>
      <c r="BX15" s="11">
        <f>IF(真實IC!BX15&gt;真實IC!BX$25,1,0)</f>
        <v/>
      </c>
      <c r="BY15" s="11">
        <f>IF(真實IC!BY15&gt;真實IC!BY$25,1,0)</f>
        <v/>
      </c>
      <c r="BZ15" s="11">
        <f>IF(真實IC!BZ15&gt;真實IC!BZ$25,1,0)</f>
        <v/>
      </c>
      <c r="CA15" s="11">
        <f>IF(真實IC!CA15&gt;真實IC!CA$25,1,0)</f>
        <v/>
      </c>
      <c r="CB15" s="11">
        <f>IF(真實IC!CB15&gt;真實IC!CB$25,1,0)</f>
        <v/>
      </c>
      <c r="CC15" s="11">
        <f>IF(真實IC!CC15&gt;真實IC!CC$25,1,0)</f>
        <v/>
      </c>
      <c r="CD15" s="11">
        <f>IF(真實IC!CD15&gt;真實IC!CD$25,1,0)</f>
        <v/>
      </c>
      <c r="CE15" s="11">
        <f>IF(真實IC!CE15&gt;真實IC!CE$25,1,0)</f>
        <v/>
      </c>
      <c r="CF15" s="11">
        <f>IF(真實IC!CF15&gt;真實IC!CF$25,1,0)</f>
        <v/>
      </c>
      <c r="CG15" s="11">
        <f>IF(真實IC!CG15&gt;真實IC!CG$25,1,0)</f>
        <v/>
      </c>
      <c r="CH15" s="11">
        <f>IF(真實IC!CH15&gt;真實IC!CH$25,1,0)</f>
        <v/>
      </c>
      <c r="CI15" s="11">
        <f>IF(真實IC!CI15&gt;真實IC!CI$25,1,0)</f>
        <v/>
      </c>
      <c r="CJ15" s="11">
        <f>IF(真實IC!CJ15&gt;真實IC!CJ$25,1,0)</f>
        <v/>
      </c>
      <c r="CK15" s="11">
        <f>IF(真實IC!CK15&gt;真實IC!CK$25,1,0)</f>
        <v/>
      </c>
      <c r="CL15" s="11">
        <f>IF(真實IC!CL15&gt;真實IC!CL$25,1,0)</f>
        <v/>
      </c>
      <c r="CM15" s="11">
        <f>IF(真實IC!CM15&gt;真實IC!CM$25,1,0)</f>
        <v/>
      </c>
      <c r="CN15" s="11">
        <f>IF(真實IC!CN15&gt;真實IC!CN$25,1,0)</f>
        <v/>
      </c>
      <c r="CO15" s="11">
        <f>IF(真實IC!CO15&gt;真實IC!CO$25,1,0)</f>
        <v/>
      </c>
      <c r="CP15" s="11">
        <f>IF(真實IC!CP15&gt;真實IC!CP$25,1,0)</f>
        <v/>
      </c>
      <c r="CQ15" s="11">
        <f>IF(真實IC!CQ15&gt;真實IC!CQ$25,1,0)</f>
        <v/>
      </c>
      <c r="CR15" s="11">
        <f>IF(真實IC!CR15&gt;真實IC!CR$25,1,0)</f>
        <v/>
      </c>
      <c r="CS15" s="11">
        <f>IF(真實IC!CS15&gt;真實IC!CS$25,1,0)</f>
        <v/>
      </c>
      <c r="CT15" s="11">
        <f>IF(真實IC!CT15&gt;真實IC!CT$25,1,0)</f>
        <v/>
      </c>
      <c r="CU15" s="11">
        <f>IF(真實IC!CU15&gt;真實IC!CU$25,1,0)</f>
        <v/>
      </c>
      <c r="CV15" s="11">
        <f>IF(真實IC!CV15&gt;真實IC!CV$25,1,0)</f>
        <v/>
      </c>
      <c r="CW15" s="11">
        <f>IF(真實IC!CW15&gt;真實IC!CW$25,1,0)</f>
        <v/>
      </c>
      <c r="CX15" s="11">
        <f>IF(真實IC!CX15&gt;真實IC!CX$25,1,0)</f>
        <v/>
      </c>
      <c r="CY15" s="11">
        <f>IF(真實IC!CY15&gt;真實IC!CY$25,1,0)</f>
        <v/>
      </c>
      <c r="CZ15" s="11">
        <f>IF(真實IC!CZ15&gt;真實IC!CZ$25,1,0)</f>
        <v/>
      </c>
      <c r="DA15" s="11">
        <f>IF(真實IC!DA15&gt;真實IC!DA$25,1,0)</f>
        <v/>
      </c>
      <c r="DB15" s="11">
        <f>IF(真實IC!DB15&gt;真實IC!DB$25,1,0)</f>
        <v/>
      </c>
      <c r="DC15" s="11">
        <f>IF(真實IC!DC15&gt;真實IC!DC$25,1,0)</f>
        <v/>
      </c>
      <c r="DD15" s="11">
        <f>IF(真實IC!DD15&gt;真實IC!DD$25,1,0)</f>
        <v/>
      </c>
      <c r="DE15" s="11">
        <f>IF(真實IC!DE15&gt;真實IC!DE$25,1,0)</f>
        <v/>
      </c>
      <c r="DF15" s="11">
        <f>IF(真實IC!DF15&gt;真實IC!DF$25,1,0)</f>
        <v/>
      </c>
      <c r="DG15" s="11">
        <f>IF(真實IC!DG15&gt;真實IC!DG$25,1,0)</f>
        <v/>
      </c>
      <c r="DH15" s="11">
        <f>IF(真實IC!DH15&gt;真實IC!DH$25,1,0)</f>
        <v/>
      </c>
      <c r="DI15" s="11">
        <f>IF(真實IC!DI15&gt;真實IC!DI$25,1,0)</f>
        <v/>
      </c>
      <c r="DJ15" s="11">
        <f>IF(真實IC!DJ15&gt;真實IC!DJ$25,1,0)</f>
        <v/>
      </c>
      <c r="DK15" s="11">
        <f>IF(真實IC!DK15&gt;真實IC!DK$25,1,0)</f>
        <v/>
      </c>
      <c r="DL15" s="11">
        <f>IF(真實IC!DL15&gt;真實IC!DL$25,1,0)</f>
        <v/>
      </c>
      <c r="DM15" s="11">
        <f>IF(真實IC!DM15&gt;真實IC!DM$25,1,0)</f>
        <v/>
      </c>
      <c r="DN15" s="11">
        <f>IF(真實IC!DN15&gt;真實IC!DN$25,1,0)</f>
        <v/>
      </c>
      <c r="DO15" s="11">
        <f>IF(真實IC!DO15&gt;真實IC!DO$25,1,0)</f>
        <v/>
      </c>
      <c r="DP15" s="11">
        <f>IF(真實IC!DP15&gt;真實IC!DP$25,1,0)</f>
        <v/>
      </c>
      <c r="DQ15" s="11">
        <f>IF(真實IC!DQ15&gt;真實IC!DQ$25,1,0)</f>
        <v/>
      </c>
      <c r="DR15" s="11">
        <f>IF(真實IC!DR15&gt;真實IC!DR$25,1,0)</f>
        <v/>
      </c>
      <c r="DS15" s="11">
        <f>IF(真實IC!DS15&gt;真實IC!DS$25,1,0)</f>
        <v/>
      </c>
      <c r="DT15" s="11">
        <f>IF(真實IC!DT15&gt;真實IC!DT$25,1,0)</f>
        <v/>
      </c>
      <c r="DU15" s="11">
        <f>IF(真實IC!DU15&gt;真實IC!DU$25,1,0)</f>
        <v/>
      </c>
      <c r="DV15" s="11">
        <f>IF(真實IC!DV15&gt;真實IC!DV$25,1,0)</f>
        <v/>
      </c>
      <c r="DW15" s="11">
        <f>IF(真實IC!DW15&gt;真實IC!DW$25,1,0)</f>
        <v/>
      </c>
      <c r="DX15" s="11">
        <f>IF(真實IC!DX15&gt;真實IC!DX$25,1,0)</f>
        <v/>
      </c>
      <c r="DY15" s="11">
        <f>IF(真實IC!DY15&gt;真實IC!DY$25,1,0)</f>
        <v/>
      </c>
      <c r="DZ15" s="11">
        <f>IF(真實IC!DZ15&gt;真實IC!DZ$25,1,0)</f>
        <v/>
      </c>
      <c r="EA15" s="11">
        <f>IF(真實IC!EA15&gt;真實IC!EA$25,1,0)</f>
        <v/>
      </c>
      <c r="EB15" s="11">
        <f>IF(真實IC!EB15&gt;真實IC!EB$25,1,0)</f>
        <v/>
      </c>
      <c r="EC15" s="11">
        <f>IF(真實IC!EC15&gt;真實IC!EC$25,1,0)</f>
        <v/>
      </c>
      <c r="ED15" s="11">
        <f>IF(真實IC!ED15&gt;真實IC!ED$25,1,0)</f>
        <v/>
      </c>
      <c r="EE15" s="11">
        <f>IF(真實IC!EE15&gt;真實IC!EE$25,1,0)</f>
        <v/>
      </c>
      <c r="EF15" s="11">
        <f>IF(真實IC!EF15&gt;真實IC!EF$25,1,0)</f>
        <v/>
      </c>
      <c r="EG15" s="11">
        <f>IF(真實IC!EG15&gt;真實IC!EG$25,1,0)</f>
        <v/>
      </c>
      <c r="EH15" s="11">
        <f>IF(真實IC!EH15&gt;真實IC!EH$25,1,0)</f>
        <v/>
      </c>
      <c r="EI15" s="11">
        <f>IF(真實IC!EI15&gt;真實IC!EI$25,1,0)</f>
        <v/>
      </c>
      <c r="EJ15" s="11">
        <f>IF(真實IC!EJ15&gt;真實IC!EJ$25,1,0)</f>
        <v/>
      </c>
      <c r="EK15" s="11">
        <f>IF(真實IC!EK15&gt;真實IC!EK$25,1,0)</f>
        <v/>
      </c>
      <c r="EL15" s="11">
        <f>IF(真實IC!EL15&gt;真實IC!EL$25,1,0)</f>
        <v/>
      </c>
      <c r="EM15" s="7">
        <f>SUM(C15:EL15)</f>
        <v/>
      </c>
      <c r="EN15" s="15">
        <f>EM15/140</f>
        <v/>
      </c>
    </row>
    <row r="16">
      <c r="A16" s="13" t="n">
        <v>120</v>
      </c>
      <c r="B16" s="13">
        <f>ROUND($D$10/A16,0)</f>
        <v/>
      </c>
      <c r="C16" s="11">
        <f>IF(真實IC!C16&gt;真實IC!C$25,1,0)</f>
        <v/>
      </c>
      <c r="D16" s="11">
        <f>IF(真實IC!D16&gt;真實IC!D$25,1,0)</f>
        <v/>
      </c>
      <c r="E16" s="11">
        <f>IF(真實IC!E16&gt;真實IC!E$25,1,0)</f>
        <v/>
      </c>
      <c r="F16" s="11">
        <f>IF(真實IC!F16&gt;真實IC!F$25,1,0)</f>
        <v/>
      </c>
      <c r="G16" s="11">
        <f>IF(真實IC!G16&gt;真實IC!G$25,1,0)</f>
        <v/>
      </c>
      <c r="H16" s="11">
        <f>IF(真實IC!H16&gt;真實IC!H$25,1,0)</f>
        <v/>
      </c>
      <c r="I16" s="11">
        <f>IF(真實IC!I16&gt;真實IC!I$25,1,0)</f>
        <v/>
      </c>
      <c r="J16" s="11">
        <f>IF(真實IC!J16&gt;真實IC!J$25,1,0)</f>
        <v/>
      </c>
      <c r="K16" s="11">
        <f>IF(真實IC!K16&gt;真實IC!K$25,1,0)</f>
        <v/>
      </c>
      <c r="L16" s="11">
        <f>IF(真實IC!L16&gt;真實IC!L$25,1,0)</f>
        <v/>
      </c>
      <c r="M16" s="11">
        <f>IF(真實IC!M16&gt;真實IC!M$25,1,0)</f>
        <v/>
      </c>
      <c r="N16" s="11">
        <f>IF(真實IC!N16&gt;真實IC!N$25,1,0)</f>
        <v/>
      </c>
      <c r="O16" s="11">
        <f>IF(真實IC!O16&gt;真實IC!O$25,1,0)</f>
        <v/>
      </c>
      <c r="P16" s="11">
        <f>IF(真實IC!P16&gt;真實IC!P$25,1,0)</f>
        <v/>
      </c>
      <c r="Q16" s="11">
        <f>IF(真實IC!Q16&gt;真實IC!Q$25,1,0)</f>
        <v/>
      </c>
      <c r="R16" s="11">
        <f>IF(真實IC!R16&gt;真實IC!R$25,1,0)</f>
        <v/>
      </c>
      <c r="S16" s="11">
        <f>IF(真實IC!S16&gt;真實IC!S$25,1,0)</f>
        <v/>
      </c>
      <c r="T16" s="11">
        <f>IF(真實IC!T16&gt;真實IC!T$25,1,0)</f>
        <v/>
      </c>
      <c r="U16" s="11">
        <f>IF(真實IC!U16&gt;真實IC!U$25,1,0)</f>
        <v/>
      </c>
      <c r="V16" s="11">
        <f>IF(真實IC!V16&gt;真實IC!V$25,1,0)</f>
        <v/>
      </c>
      <c r="W16" s="11">
        <f>IF(真實IC!W16&gt;真實IC!W$25,1,0)</f>
        <v/>
      </c>
      <c r="X16" s="11">
        <f>IF(真實IC!X16&gt;真實IC!X$25,1,0)</f>
        <v/>
      </c>
      <c r="Y16" s="11">
        <f>IF(真實IC!Y16&gt;真實IC!Y$25,1,0)</f>
        <v/>
      </c>
      <c r="Z16" s="11">
        <f>IF(真實IC!Z16&gt;真實IC!Z$25,1,0)</f>
        <v/>
      </c>
      <c r="AA16" s="11">
        <f>IF(真實IC!AA16&gt;真實IC!AA$25,1,0)</f>
        <v/>
      </c>
      <c r="AB16" s="11">
        <f>IF(真實IC!AB16&gt;真實IC!AB$25,1,0)</f>
        <v/>
      </c>
      <c r="AC16" s="11">
        <f>IF(真實IC!AC16&gt;真實IC!AC$25,1,0)</f>
        <v/>
      </c>
      <c r="AD16" s="11">
        <f>IF(真實IC!AD16&gt;真實IC!AD$25,1,0)</f>
        <v/>
      </c>
      <c r="AE16" s="11">
        <f>IF(真實IC!AE16&gt;真實IC!AE$25,1,0)</f>
        <v/>
      </c>
      <c r="AF16" s="11">
        <f>IF(真實IC!AF16&gt;真實IC!AF$25,1,0)</f>
        <v/>
      </c>
      <c r="AG16" s="11">
        <f>IF(真實IC!AG16&gt;真實IC!AG$25,1,0)</f>
        <v/>
      </c>
      <c r="AH16" s="11">
        <f>IF(真實IC!AH16&gt;真實IC!AH$25,1,0)</f>
        <v/>
      </c>
      <c r="AI16" s="11">
        <f>IF(真實IC!AI16&gt;真實IC!AI$25,1,0)</f>
        <v/>
      </c>
      <c r="AJ16" s="11">
        <f>IF(真實IC!AJ16&gt;真實IC!AJ$25,1,0)</f>
        <v/>
      </c>
      <c r="AK16" s="11">
        <f>IF(真實IC!AK16&gt;真實IC!AK$25,1,0)</f>
        <v/>
      </c>
      <c r="AL16" s="11">
        <f>IF(真實IC!AL16&gt;真實IC!AL$25,1,0)</f>
        <v/>
      </c>
      <c r="AM16" s="11">
        <f>IF(真實IC!AM16&gt;真實IC!AM$25,1,0)</f>
        <v/>
      </c>
      <c r="AN16" s="11">
        <f>IF(真實IC!AN16&gt;真實IC!AN$25,1,0)</f>
        <v/>
      </c>
      <c r="AO16" s="11">
        <f>IF(真實IC!AO16&gt;真實IC!AO$25,1,0)</f>
        <v/>
      </c>
      <c r="AP16" s="11">
        <f>IF(真實IC!AP16&gt;真實IC!AP$25,1,0)</f>
        <v/>
      </c>
      <c r="AQ16" s="11">
        <f>IF(真實IC!AQ16&gt;真實IC!AQ$25,1,0)</f>
        <v/>
      </c>
      <c r="AR16" s="11">
        <f>IF(真實IC!AR16&gt;真實IC!AR$25,1,0)</f>
        <v/>
      </c>
      <c r="AS16" s="11">
        <f>IF(真實IC!AS16&gt;真實IC!AS$25,1,0)</f>
        <v/>
      </c>
      <c r="AT16" s="11">
        <f>IF(真實IC!AT16&gt;真實IC!AT$25,1,0)</f>
        <v/>
      </c>
      <c r="AU16" s="11">
        <f>IF(真實IC!AU16&gt;真實IC!AU$25,1,0)</f>
        <v/>
      </c>
      <c r="AV16" s="11">
        <f>IF(真實IC!AV16&gt;真實IC!AV$25,1,0)</f>
        <v/>
      </c>
      <c r="AW16" s="11">
        <f>IF(真實IC!AW16&gt;真實IC!AW$25,1,0)</f>
        <v/>
      </c>
      <c r="AX16" s="11">
        <f>IF(真實IC!AX16&gt;真實IC!AX$25,1,0)</f>
        <v/>
      </c>
      <c r="AY16" s="11">
        <f>IF(真實IC!AY16&gt;真實IC!AY$25,1,0)</f>
        <v/>
      </c>
      <c r="AZ16" s="11">
        <f>IF(真實IC!AZ16&gt;真實IC!AZ$25,1,0)</f>
        <v/>
      </c>
      <c r="BA16" s="11">
        <f>IF(真實IC!BA16&gt;真實IC!BA$25,1,0)</f>
        <v/>
      </c>
      <c r="BB16" s="11">
        <f>IF(真實IC!BB16&gt;真實IC!BB$25,1,0)</f>
        <v/>
      </c>
      <c r="BC16" s="11">
        <f>IF(真實IC!BC16&gt;真實IC!BC$25,1,0)</f>
        <v/>
      </c>
      <c r="BD16" s="11">
        <f>IF(真實IC!BD16&gt;真實IC!BD$25,1,0)</f>
        <v/>
      </c>
      <c r="BE16" s="11">
        <f>IF(真實IC!BE16&gt;真實IC!BE$25,1,0)</f>
        <v/>
      </c>
      <c r="BF16" s="11">
        <f>IF(真實IC!BF16&gt;真實IC!BF$25,1,0)</f>
        <v/>
      </c>
      <c r="BG16" s="11">
        <f>IF(真實IC!BG16&gt;真實IC!BG$25,1,0)</f>
        <v/>
      </c>
      <c r="BH16" s="11">
        <f>IF(真實IC!BH16&gt;真實IC!BH$25,1,0)</f>
        <v/>
      </c>
      <c r="BI16" s="11">
        <f>IF(真實IC!BI16&gt;真實IC!BI$25,1,0)</f>
        <v/>
      </c>
      <c r="BJ16" s="11">
        <f>IF(真實IC!BJ16&gt;真實IC!BJ$25,1,0)</f>
        <v/>
      </c>
      <c r="BK16" s="11">
        <f>IF(真實IC!BK16&gt;真實IC!BK$25,1,0)</f>
        <v/>
      </c>
      <c r="BL16" s="11">
        <f>IF(真實IC!BL16&gt;真實IC!BL$25,1,0)</f>
        <v/>
      </c>
      <c r="BM16" s="11">
        <f>IF(真實IC!BM16&gt;真實IC!BM$25,1,0)</f>
        <v/>
      </c>
      <c r="BN16" s="11">
        <f>IF(真實IC!BN16&gt;真實IC!BN$25,1,0)</f>
        <v/>
      </c>
      <c r="BO16" s="11">
        <f>IF(真實IC!BO16&gt;真實IC!BO$25,1,0)</f>
        <v/>
      </c>
      <c r="BP16" s="11">
        <f>IF(真實IC!BP16&gt;真實IC!BP$25,1,0)</f>
        <v/>
      </c>
      <c r="BQ16" s="11">
        <f>IF(真實IC!BQ16&gt;真實IC!BQ$25,1,0)</f>
        <v/>
      </c>
      <c r="BR16" s="11">
        <f>IF(真實IC!BR16&gt;真實IC!BR$25,1,0)</f>
        <v/>
      </c>
      <c r="BS16" s="11">
        <f>IF(真實IC!BS16&gt;真實IC!BS$25,1,0)</f>
        <v/>
      </c>
      <c r="BT16" s="11">
        <f>IF(真實IC!BT16&gt;真實IC!BT$25,1,0)</f>
        <v/>
      </c>
      <c r="BU16" s="11">
        <f>IF(真實IC!BU16&gt;真實IC!BU$25,1,0)</f>
        <v/>
      </c>
      <c r="BV16" s="11">
        <f>IF(真實IC!BV16&gt;真實IC!BV$25,1,0)</f>
        <v/>
      </c>
      <c r="BW16" s="11">
        <f>IF(真實IC!BW16&gt;真實IC!BW$25,1,0)</f>
        <v/>
      </c>
      <c r="BX16" s="11">
        <f>IF(真實IC!BX16&gt;真實IC!BX$25,1,0)</f>
        <v/>
      </c>
      <c r="BY16" s="11">
        <f>IF(真實IC!BY16&gt;真實IC!BY$25,1,0)</f>
        <v/>
      </c>
      <c r="BZ16" s="11">
        <f>IF(真實IC!BZ16&gt;真實IC!BZ$25,1,0)</f>
        <v/>
      </c>
      <c r="CA16" s="11">
        <f>IF(真實IC!CA16&gt;真實IC!CA$25,1,0)</f>
        <v/>
      </c>
      <c r="CB16" s="11">
        <f>IF(真實IC!CB16&gt;真實IC!CB$25,1,0)</f>
        <v/>
      </c>
      <c r="CC16" s="11">
        <f>IF(真實IC!CC16&gt;真實IC!CC$25,1,0)</f>
        <v/>
      </c>
      <c r="CD16" s="11">
        <f>IF(真實IC!CD16&gt;真實IC!CD$25,1,0)</f>
        <v/>
      </c>
      <c r="CE16" s="11">
        <f>IF(真實IC!CE16&gt;真實IC!CE$25,1,0)</f>
        <v/>
      </c>
      <c r="CF16" s="11">
        <f>IF(真實IC!CF16&gt;真實IC!CF$25,1,0)</f>
        <v/>
      </c>
      <c r="CG16" s="11">
        <f>IF(真實IC!CG16&gt;真實IC!CG$25,1,0)</f>
        <v/>
      </c>
      <c r="CH16" s="11">
        <f>IF(真實IC!CH16&gt;真實IC!CH$25,1,0)</f>
        <v/>
      </c>
      <c r="CI16" s="11">
        <f>IF(真實IC!CI16&gt;真實IC!CI$25,1,0)</f>
        <v/>
      </c>
      <c r="CJ16" s="11">
        <f>IF(真實IC!CJ16&gt;真實IC!CJ$25,1,0)</f>
        <v/>
      </c>
      <c r="CK16" s="11">
        <f>IF(真實IC!CK16&gt;真實IC!CK$25,1,0)</f>
        <v/>
      </c>
      <c r="CL16" s="11">
        <f>IF(真實IC!CL16&gt;真實IC!CL$25,1,0)</f>
        <v/>
      </c>
      <c r="CM16" s="11">
        <f>IF(真實IC!CM16&gt;真實IC!CM$25,1,0)</f>
        <v/>
      </c>
      <c r="CN16" s="11">
        <f>IF(真實IC!CN16&gt;真實IC!CN$25,1,0)</f>
        <v/>
      </c>
      <c r="CO16" s="11">
        <f>IF(真實IC!CO16&gt;真實IC!CO$25,1,0)</f>
        <v/>
      </c>
      <c r="CP16" s="11">
        <f>IF(真實IC!CP16&gt;真實IC!CP$25,1,0)</f>
        <v/>
      </c>
      <c r="CQ16" s="11">
        <f>IF(真實IC!CQ16&gt;真實IC!CQ$25,1,0)</f>
        <v/>
      </c>
      <c r="CR16" s="11">
        <f>IF(真實IC!CR16&gt;真實IC!CR$25,1,0)</f>
        <v/>
      </c>
      <c r="CS16" s="11">
        <f>IF(真實IC!CS16&gt;真實IC!CS$25,1,0)</f>
        <v/>
      </c>
      <c r="CT16" s="11">
        <f>IF(真實IC!CT16&gt;真實IC!CT$25,1,0)</f>
        <v/>
      </c>
      <c r="CU16" s="11">
        <f>IF(真實IC!CU16&gt;真實IC!CU$25,1,0)</f>
        <v/>
      </c>
      <c r="CV16" s="11">
        <f>IF(真實IC!CV16&gt;真實IC!CV$25,1,0)</f>
        <v/>
      </c>
      <c r="CW16" s="11">
        <f>IF(真實IC!CW16&gt;真實IC!CW$25,1,0)</f>
        <v/>
      </c>
      <c r="CX16" s="11">
        <f>IF(真實IC!CX16&gt;真實IC!CX$25,1,0)</f>
        <v/>
      </c>
      <c r="CY16" s="11">
        <f>IF(真實IC!CY16&gt;真實IC!CY$25,1,0)</f>
        <v/>
      </c>
      <c r="CZ16" s="11">
        <f>IF(真實IC!CZ16&gt;真實IC!CZ$25,1,0)</f>
        <v/>
      </c>
      <c r="DA16" s="11">
        <f>IF(真實IC!DA16&gt;真實IC!DA$25,1,0)</f>
        <v/>
      </c>
      <c r="DB16" s="11">
        <f>IF(真實IC!DB16&gt;真實IC!DB$25,1,0)</f>
        <v/>
      </c>
      <c r="DC16" s="11">
        <f>IF(真實IC!DC16&gt;真實IC!DC$25,1,0)</f>
        <v/>
      </c>
      <c r="DD16" s="11">
        <f>IF(真實IC!DD16&gt;真實IC!DD$25,1,0)</f>
        <v/>
      </c>
      <c r="DE16" s="11">
        <f>IF(真實IC!DE16&gt;真實IC!DE$25,1,0)</f>
        <v/>
      </c>
      <c r="DF16" s="11">
        <f>IF(真實IC!DF16&gt;真實IC!DF$25,1,0)</f>
        <v/>
      </c>
      <c r="DG16" s="11">
        <f>IF(真實IC!DG16&gt;真實IC!DG$25,1,0)</f>
        <v/>
      </c>
      <c r="DH16" s="11">
        <f>IF(真實IC!DH16&gt;真實IC!DH$25,1,0)</f>
        <v/>
      </c>
      <c r="DI16" s="11">
        <f>IF(真實IC!DI16&gt;真實IC!DI$25,1,0)</f>
        <v/>
      </c>
      <c r="DJ16" s="11">
        <f>IF(真實IC!DJ16&gt;真實IC!DJ$25,1,0)</f>
        <v/>
      </c>
      <c r="DK16" s="11">
        <f>IF(真實IC!DK16&gt;真實IC!DK$25,1,0)</f>
        <v/>
      </c>
      <c r="DL16" s="11">
        <f>IF(真實IC!DL16&gt;真實IC!DL$25,1,0)</f>
        <v/>
      </c>
      <c r="DM16" s="11">
        <f>IF(真實IC!DM16&gt;真實IC!DM$25,1,0)</f>
        <v/>
      </c>
      <c r="DN16" s="11">
        <f>IF(真實IC!DN16&gt;真實IC!DN$25,1,0)</f>
        <v/>
      </c>
      <c r="DO16" s="11">
        <f>IF(真實IC!DO16&gt;真實IC!DO$25,1,0)</f>
        <v/>
      </c>
      <c r="DP16" s="11">
        <f>IF(真實IC!DP16&gt;真實IC!DP$25,1,0)</f>
        <v/>
      </c>
      <c r="DQ16" s="11">
        <f>IF(真實IC!DQ16&gt;真實IC!DQ$25,1,0)</f>
        <v/>
      </c>
      <c r="DR16" s="11">
        <f>IF(真實IC!DR16&gt;真實IC!DR$25,1,0)</f>
        <v/>
      </c>
      <c r="DS16" s="11">
        <f>IF(真實IC!DS16&gt;真實IC!DS$25,1,0)</f>
        <v/>
      </c>
      <c r="DT16" s="11">
        <f>IF(真實IC!DT16&gt;真實IC!DT$25,1,0)</f>
        <v/>
      </c>
      <c r="DU16" s="11">
        <f>IF(真實IC!DU16&gt;真實IC!DU$25,1,0)</f>
        <v/>
      </c>
      <c r="DV16" s="11">
        <f>IF(真實IC!DV16&gt;真實IC!DV$25,1,0)</f>
        <v/>
      </c>
      <c r="DW16" s="11">
        <f>IF(真實IC!DW16&gt;真實IC!DW$25,1,0)</f>
        <v/>
      </c>
      <c r="DX16" s="11">
        <f>IF(真實IC!DX16&gt;真實IC!DX$25,1,0)</f>
        <v/>
      </c>
      <c r="DY16" s="11">
        <f>IF(真實IC!DY16&gt;真實IC!DY$25,1,0)</f>
        <v/>
      </c>
      <c r="DZ16" s="11">
        <f>IF(真實IC!DZ16&gt;真實IC!DZ$25,1,0)</f>
        <v/>
      </c>
      <c r="EA16" s="11">
        <f>IF(真實IC!EA16&gt;真實IC!EA$25,1,0)</f>
        <v/>
      </c>
      <c r="EB16" s="11">
        <f>IF(真實IC!EB16&gt;真實IC!EB$25,1,0)</f>
        <v/>
      </c>
      <c r="EC16" s="11">
        <f>IF(真實IC!EC16&gt;真實IC!EC$25,1,0)</f>
        <v/>
      </c>
      <c r="ED16" s="11">
        <f>IF(真實IC!ED16&gt;真實IC!ED$25,1,0)</f>
        <v/>
      </c>
      <c r="EE16" s="11">
        <f>IF(真實IC!EE16&gt;真實IC!EE$25,1,0)</f>
        <v/>
      </c>
      <c r="EF16" s="11">
        <f>IF(真實IC!EF16&gt;真實IC!EF$25,1,0)</f>
        <v/>
      </c>
      <c r="EG16" s="11">
        <f>IF(真實IC!EG16&gt;真實IC!EG$25,1,0)</f>
        <v/>
      </c>
      <c r="EH16" s="11">
        <f>IF(真實IC!EH16&gt;真實IC!EH$25,1,0)</f>
        <v/>
      </c>
      <c r="EI16" s="11">
        <f>IF(真實IC!EI16&gt;真實IC!EI$25,1,0)</f>
        <v/>
      </c>
      <c r="EJ16" s="11">
        <f>IF(真實IC!EJ16&gt;真實IC!EJ$25,1,0)</f>
        <v/>
      </c>
      <c r="EK16" s="11">
        <f>IF(真實IC!EK16&gt;真實IC!EK$25,1,0)</f>
        <v/>
      </c>
      <c r="EL16" s="11">
        <f>IF(真實IC!EL16&gt;真實IC!EL$25,1,0)</f>
        <v/>
      </c>
      <c r="EM16" s="7">
        <f>SUM(C16:EL16)</f>
        <v/>
      </c>
      <c r="EN16" s="15">
        <f>EM16/140</f>
        <v/>
      </c>
    </row>
    <row r="17">
      <c r="A17" s="13" t="n">
        <v>130</v>
      </c>
      <c r="B17" s="13">
        <f>ROUND($D$10/A17,0)</f>
        <v/>
      </c>
      <c r="C17" s="11">
        <f>IF(真實IC!C17&gt;真實IC!C$25,1,0)</f>
        <v/>
      </c>
      <c r="D17" s="11">
        <f>IF(真實IC!D17&gt;真實IC!D$25,1,0)</f>
        <v/>
      </c>
      <c r="E17" s="11">
        <f>IF(真實IC!E17&gt;真實IC!E$25,1,0)</f>
        <v/>
      </c>
      <c r="F17" s="11">
        <f>IF(真實IC!F17&gt;真實IC!F$25,1,0)</f>
        <v/>
      </c>
      <c r="G17" s="11">
        <f>IF(真實IC!G17&gt;真實IC!G$25,1,0)</f>
        <v/>
      </c>
      <c r="H17" s="11">
        <f>IF(真實IC!H17&gt;真實IC!H$25,1,0)</f>
        <v/>
      </c>
      <c r="I17" s="11">
        <f>IF(真實IC!I17&gt;真實IC!I$25,1,0)</f>
        <v/>
      </c>
      <c r="J17" s="11">
        <f>IF(真實IC!J17&gt;真實IC!J$25,1,0)</f>
        <v/>
      </c>
      <c r="K17" s="11">
        <f>IF(真實IC!K17&gt;真實IC!K$25,1,0)</f>
        <v/>
      </c>
      <c r="L17" s="11">
        <f>IF(真實IC!L17&gt;真實IC!L$25,1,0)</f>
        <v/>
      </c>
      <c r="M17" s="11">
        <f>IF(真實IC!M17&gt;真實IC!M$25,1,0)</f>
        <v/>
      </c>
      <c r="N17" s="11">
        <f>IF(真實IC!N17&gt;真實IC!N$25,1,0)</f>
        <v/>
      </c>
      <c r="O17" s="11">
        <f>IF(真實IC!O17&gt;真實IC!O$25,1,0)</f>
        <v/>
      </c>
      <c r="P17" s="11">
        <f>IF(真實IC!P17&gt;真實IC!P$25,1,0)</f>
        <v/>
      </c>
      <c r="Q17" s="11">
        <f>IF(真實IC!Q17&gt;真實IC!Q$25,1,0)</f>
        <v/>
      </c>
      <c r="R17" s="11">
        <f>IF(真實IC!R17&gt;真實IC!R$25,1,0)</f>
        <v/>
      </c>
      <c r="S17" s="11">
        <f>IF(真實IC!S17&gt;真實IC!S$25,1,0)</f>
        <v/>
      </c>
      <c r="T17" s="11">
        <f>IF(真實IC!T17&gt;真實IC!T$25,1,0)</f>
        <v/>
      </c>
      <c r="U17" s="11">
        <f>IF(真實IC!U17&gt;真實IC!U$25,1,0)</f>
        <v/>
      </c>
      <c r="V17" s="11">
        <f>IF(真實IC!V17&gt;真實IC!V$25,1,0)</f>
        <v/>
      </c>
      <c r="W17" s="11">
        <f>IF(真實IC!W17&gt;真實IC!W$25,1,0)</f>
        <v/>
      </c>
      <c r="X17" s="11">
        <f>IF(真實IC!X17&gt;真實IC!X$25,1,0)</f>
        <v/>
      </c>
      <c r="Y17" s="11">
        <f>IF(真實IC!Y17&gt;真實IC!Y$25,1,0)</f>
        <v/>
      </c>
      <c r="Z17" s="11">
        <f>IF(真實IC!Z17&gt;真實IC!Z$25,1,0)</f>
        <v/>
      </c>
      <c r="AA17" s="11">
        <f>IF(真實IC!AA17&gt;真實IC!AA$25,1,0)</f>
        <v/>
      </c>
      <c r="AB17" s="11">
        <f>IF(真實IC!AB17&gt;真實IC!AB$25,1,0)</f>
        <v/>
      </c>
      <c r="AC17" s="11">
        <f>IF(真實IC!AC17&gt;真實IC!AC$25,1,0)</f>
        <v/>
      </c>
      <c r="AD17" s="11">
        <f>IF(真實IC!AD17&gt;真實IC!AD$25,1,0)</f>
        <v/>
      </c>
      <c r="AE17" s="11">
        <f>IF(真實IC!AE17&gt;真實IC!AE$25,1,0)</f>
        <v/>
      </c>
      <c r="AF17" s="11">
        <f>IF(真實IC!AF17&gt;真實IC!AF$25,1,0)</f>
        <v/>
      </c>
      <c r="AG17" s="11">
        <f>IF(真實IC!AG17&gt;真實IC!AG$25,1,0)</f>
        <v/>
      </c>
      <c r="AH17" s="11">
        <f>IF(真實IC!AH17&gt;真實IC!AH$25,1,0)</f>
        <v/>
      </c>
      <c r="AI17" s="11">
        <f>IF(真實IC!AI17&gt;真實IC!AI$25,1,0)</f>
        <v/>
      </c>
      <c r="AJ17" s="11">
        <f>IF(真實IC!AJ17&gt;真實IC!AJ$25,1,0)</f>
        <v/>
      </c>
      <c r="AK17" s="11">
        <f>IF(真實IC!AK17&gt;真實IC!AK$25,1,0)</f>
        <v/>
      </c>
      <c r="AL17" s="11">
        <f>IF(真實IC!AL17&gt;真實IC!AL$25,1,0)</f>
        <v/>
      </c>
      <c r="AM17" s="11">
        <f>IF(真實IC!AM17&gt;真實IC!AM$25,1,0)</f>
        <v/>
      </c>
      <c r="AN17" s="11">
        <f>IF(真實IC!AN17&gt;真實IC!AN$25,1,0)</f>
        <v/>
      </c>
      <c r="AO17" s="11">
        <f>IF(真實IC!AO17&gt;真實IC!AO$25,1,0)</f>
        <v/>
      </c>
      <c r="AP17" s="11">
        <f>IF(真實IC!AP17&gt;真實IC!AP$25,1,0)</f>
        <v/>
      </c>
      <c r="AQ17" s="11">
        <f>IF(真實IC!AQ17&gt;真實IC!AQ$25,1,0)</f>
        <v/>
      </c>
      <c r="AR17" s="11">
        <f>IF(真實IC!AR17&gt;真實IC!AR$25,1,0)</f>
        <v/>
      </c>
      <c r="AS17" s="11">
        <f>IF(真實IC!AS17&gt;真實IC!AS$25,1,0)</f>
        <v/>
      </c>
      <c r="AT17" s="11">
        <f>IF(真實IC!AT17&gt;真實IC!AT$25,1,0)</f>
        <v/>
      </c>
      <c r="AU17" s="11">
        <f>IF(真實IC!AU17&gt;真實IC!AU$25,1,0)</f>
        <v/>
      </c>
      <c r="AV17" s="11">
        <f>IF(真實IC!AV17&gt;真實IC!AV$25,1,0)</f>
        <v/>
      </c>
      <c r="AW17" s="11">
        <f>IF(真實IC!AW17&gt;真實IC!AW$25,1,0)</f>
        <v/>
      </c>
      <c r="AX17" s="11">
        <f>IF(真實IC!AX17&gt;真實IC!AX$25,1,0)</f>
        <v/>
      </c>
      <c r="AY17" s="11">
        <f>IF(真實IC!AY17&gt;真實IC!AY$25,1,0)</f>
        <v/>
      </c>
      <c r="AZ17" s="11">
        <f>IF(真實IC!AZ17&gt;真實IC!AZ$25,1,0)</f>
        <v/>
      </c>
      <c r="BA17" s="11">
        <f>IF(真實IC!BA17&gt;真實IC!BA$25,1,0)</f>
        <v/>
      </c>
      <c r="BB17" s="11">
        <f>IF(真實IC!BB17&gt;真實IC!BB$25,1,0)</f>
        <v/>
      </c>
      <c r="BC17" s="11">
        <f>IF(真實IC!BC17&gt;真實IC!BC$25,1,0)</f>
        <v/>
      </c>
      <c r="BD17" s="11">
        <f>IF(真實IC!BD17&gt;真實IC!BD$25,1,0)</f>
        <v/>
      </c>
      <c r="BE17" s="11">
        <f>IF(真實IC!BE17&gt;真實IC!BE$25,1,0)</f>
        <v/>
      </c>
      <c r="BF17" s="11">
        <f>IF(真實IC!BF17&gt;真實IC!BF$25,1,0)</f>
        <v/>
      </c>
      <c r="BG17" s="11">
        <f>IF(真實IC!BG17&gt;真實IC!BG$25,1,0)</f>
        <v/>
      </c>
      <c r="BH17" s="11">
        <f>IF(真實IC!BH17&gt;真實IC!BH$25,1,0)</f>
        <v/>
      </c>
      <c r="BI17" s="11">
        <f>IF(真實IC!BI17&gt;真實IC!BI$25,1,0)</f>
        <v/>
      </c>
      <c r="BJ17" s="11">
        <f>IF(真實IC!BJ17&gt;真實IC!BJ$25,1,0)</f>
        <v/>
      </c>
      <c r="BK17" s="11">
        <f>IF(真實IC!BK17&gt;真實IC!BK$25,1,0)</f>
        <v/>
      </c>
      <c r="BL17" s="11">
        <f>IF(真實IC!BL17&gt;真實IC!BL$25,1,0)</f>
        <v/>
      </c>
      <c r="BM17" s="11">
        <f>IF(真實IC!BM17&gt;真實IC!BM$25,1,0)</f>
        <v/>
      </c>
      <c r="BN17" s="11">
        <f>IF(真實IC!BN17&gt;真實IC!BN$25,1,0)</f>
        <v/>
      </c>
      <c r="BO17" s="11">
        <f>IF(真實IC!BO17&gt;真實IC!BO$25,1,0)</f>
        <v/>
      </c>
      <c r="BP17" s="11">
        <f>IF(真實IC!BP17&gt;真實IC!BP$25,1,0)</f>
        <v/>
      </c>
      <c r="BQ17" s="11">
        <f>IF(真實IC!BQ17&gt;真實IC!BQ$25,1,0)</f>
        <v/>
      </c>
      <c r="BR17" s="11">
        <f>IF(真實IC!BR17&gt;真實IC!BR$25,1,0)</f>
        <v/>
      </c>
      <c r="BS17" s="11">
        <f>IF(真實IC!BS17&gt;真實IC!BS$25,1,0)</f>
        <v/>
      </c>
      <c r="BT17" s="11">
        <f>IF(真實IC!BT17&gt;真實IC!BT$25,1,0)</f>
        <v/>
      </c>
      <c r="BU17" s="11">
        <f>IF(真實IC!BU17&gt;真實IC!BU$25,1,0)</f>
        <v/>
      </c>
      <c r="BV17" s="11">
        <f>IF(真實IC!BV17&gt;真實IC!BV$25,1,0)</f>
        <v/>
      </c>
      <c r="BW17" s="11">
        <f>IF(真實IC!BW17&gt;真實IC!BW$25,1,0)</f>
        <v/>
      </c>
      <c r="BX17" s="11">
        <f>IF(真實IC!BX17&gt;真實IC!BX$25,1,0)</f>
        <v/>
      </c>
      <c r="BY17" s="11">
        <f>IF(真實IC!BY17&gt;真實IC!BY$25,1,0)</f>
        <v/>
      </c>
      <c r="BZ17" s="11">
        <f>IF(真實IC!BZ17&gt;真實IC!BZ$25,1,0)</f>
        <v/>
      </c>
      <c r="CA17" s="11">
        <f>IF(真實IC!CA17&gt;真實IC!CA$25,1,0)</f>
        <v/>
      </c>
      <c r="CB17" s="11">
        <f>IF(真實IC!CB17&gt;真實IC!CB$25,1,0)</f>
        <v/>
      </c>
      <c r="CC17" s="11">
        <f>IF(真實IC!CC17&gt;真實IC!CC$25,1,0)</f>
        <v/>
      </c>
      <c r="CD17" s="11">
        <f>IF(真實IC!CD17&gt;真實IC!CD$25,1,0)</f>
        <v/>
      </c>
      <c r="CE17" s="11">
        <f>IF(真實IC!CE17&gt;真實IC!CE$25,1,0)</f>
        <v/>
      </c>
      <c r="CF17" s="11">
        <f>IF(真實IC!CF17&gt;真實IC!CF$25,1,0)</f>
        <v/>
      </c>
      <c r="CG17" s="11">
        <f>IF(真實IC!CG17&gt;真實IC!CG$25,1,0)</f>
        <v/>
      </c>
      <c r="CH17" s="11">
        <f>IF(真實IC!CH17&gt;真實IC!CH$25,1,0)</f>
        <v/>
      </c>
      <c r="CI17" s="11">
        <f>IF(真實IC!CI17&gt;真實IC!CI$25,1,0)</f>
        <v/>
      </c>
      <c r="CJ17" s="11">
        <f>IF(真實IC!CJ17&gt;真實IC!CJ$25,1,0)</f>
        <v/>
      </c>
      <c r="CK17" s="11">
        <f>IF(真實IC!CK17&gt;真實IC!CK$25,1,0)</f>
        <v/>
      </c>
      <c r="CL17" s="11">
        <f>IF(真實IC!CL17&gt;真實IC!CL$25,1,0)</f>
        <v/>
      </c>
      <c r="CM17" s="11">
        <f>IF(真實IC!CM17&gt;真實IC!CM$25,1,0)</f>
        <v/>
      </c>
      <c r="CN17" s="11">
        <f>IF(真實IC!CN17&gt;真實IC!CN$25,1,0)</f>
        <v/>
      </c>
      <c r="CO17" s="11">
        <f>IF(真實IC!CO17&gt;真實IC!CO$25,1,0)</f>
        <v/>
      </c>
      <c r="CP17" s="11">
        <f>IF(真實IC!CP17&gt;真實IC!CP$25,1,0)</f>
        <v/>
      </c>
      <c r="CQ17" s="11">
        <f>IF(真實IC!CQ17&gt;真實IC!CQ$25,1,0)</f>
        <v/>
      </c>
      <c r="CR17" s="11">
        <f>IF(真實IC!CR17&gt;真實IC!CR$25,1,0)</f>
        <v/>
      </c>
      <c r="CS17" s="11">
        <f>IF(真實IC!CS17&gt;真實IC!CS$25,1,0)</f>
        <v/>
      </c>
      <c r="CT17" s="11">
        <f>IF(真實IC!CT17&gt;真實IC!CT$25,1,0)</f>
        <v/>
      </c>
      <c r="CU17" s="11">
        <f>IF(真實IC!CU17&gt;真實IC!CU$25,1,0)</f>
        <v/>
      </c>
      <c r="CV17" s="11">
        <f>IF(真實IC!CV17&gt;真實IC!CV$25,1,0)</f>
        <v/>
      </c>
      <c r="CW17" s="11">
        <f>IF(真實IC!CW17&gt;真實IC!CW$25,1,0)</f>
        <v/>
      </c>
      <c r="CX17" s="11">
        <f>IF(真實IC!CX17&gt;真實IC!CX$25,1,0)</f>
        <v/>
      </c>
      <c r="CY17" s="11">
        <f>IF(真實IC!CY17&gt;真實IC!CY$25,1,0)</f>
        <v/>
      </c>
      <c r="CZ17" s="11">
        <f>IF(真實IC!CZ17&gt;真實IC!CZ$25,1,0)</f>
        <v/>
      </c>
      <c r="DA17" s="11">
        <f>IF(真實IC!DA17&gt;真實IC!DA$25,1,0)</f>
        <v/>
      </c>
      <c r="DB17" s="11">
        <f>IF(真實IC!DB17&gt;真實IC!DB$25,1,0)</f>
        <v/>
      </c>
      <c r="DC17" s="11">
        <f>IF(真實IC!DC17&gt;真實IC!DC$25,1,0)</f>
        <v/>
      </c>
      <c r="DD17" s="11">
        <f>IF(真實IC!DD17&gt;真實IC!DD$25,1,0)</f>
        <v/>
      </c>
      <c r="DE17" s="11">
        <f>IF(真實IC!DE17&gt;真實IC!DE$25,1,0)</f>
        <v/>
      </c>
      <c r="DF17" s="11">
        <f>IF(真實IC!DF17&gt;真實IC!DF$25,1,0)</f>
        <v/>
      </c>
      <c r="DG17" s="11">
        <f>IF(真實IC!DG17&gt;真實IC!DG$25,1,0)</f>
        <v/>
      </c>
      <c r="DH17" s="11">
        <f>IF(真實IC!DH17&gt;真實IC!DH$25,1,0)</f>
        <v/>
      </c>
      <c r="DI17" s="11">
        <f>IF(真實IC!DI17&gt;真實IC!DI$25,1,0)</f>
        <v/>
      </c>
      <c r="DJ17" s="11">
        <f>IF(真實IC!DJ17&gt;真實IC!DJ$25,1,0)</f>
        <v/>
      </c>
      <c r="DK17" s="11">
        <f>IF(真實IC!DK17&gt;真實IC!DK$25,1,0)</f>
        <v/>
      </c>
      <c r="DL17" s="11">
        <f>IF(真實IC!DL17&gt;真實IC!DL$25,1,0)</f>
        <v/>
      </c>
      <c r="DM17" s="11">
        <f>IF(真實IC!DM17&gt;真實IC!DM$25,1,0)</f>
        <v/>
      </c>
      <c r="DN17" s="11">
        <f>IF(真實IC!DN17&gt;真實IC!DN$25,1,0)</f>
        <v/>
      </c>
      <c r="DO17" s="11">
        <f>IF(真實IC!DO17&gt;真實IC!DO$25,1,0)</f>
        <v/>
      </c>
      <c r="DP17" s="11">
        <f>IF(真實IC!DP17&gt;真實IC!DP$25,1,0)</f>
        <v/>
      </c>
      <c r="DQ17" s="11">
        <f>IF(真實IC!DQ17&gt;真實IC!DQ$25,1,0)</f>
        <v/>
      </c>
      <c r="DR17" s="11">
        <f>IF(真實IC!DR17&gt;真實IC!DR$25,1,0)</f>
        <v/>
      </c>
      <c r="DS17" s="11">
        <f>IF(真實IC!DS17&gt;真實IC!DS$25,1,0)</f>
        <v/>
      </c>
      <c r="DT17" s="11">
        <f>IF(真實IC!DT17&gt;真實IC!DT$25,1,0)</f>
        <v/>
      </c>
      <c r="DU17" s="11">
        <f>IF(真實IC!DU17&gt;真實IC!DU$25,1,0)</f>
        <v/>
      </c>
      <c r="DV17" s="11">
        <f>IF(真實IC!DV17&gt;真實IC!DV$25,1,0)</f>
        <v/>
      </c>
      <c r="DW17" s="11">
        <f>IF(真實IC!DW17&gt;真實IC!DW$25,1,0)</f>
        <v/>
      </c>
      <c r="DX17" s="11">
        <f>IF(真實IC!DX17&gt;真實IC!DX$25,1,0)</f>
        <v/>
      </c>
      <c r="DY17" s="11">
        <f>IF(真實IC!DY17&gt;真實IC!DY$25,1,0)</f>
        <v/>
      </c>
      <c r="DZ17" s="11">
        <f>IF(真實IC!DZ17&gt;真實IC!DZ$25,1,0)</f>
        <v/>
      </c>
      <c r="EA17" s="11">
        <f>IF(真實IC!EA17&gt;真實IC!EA$25,1,0)</f>
        <v/>
      </c>
      <c r="EB17" s="11">
        <f>IF(真實IC!EB17&gt;真實IC!EB$25,1,0)</f>
        <v/>
      </c>
      <c r="EC17" s="11">
        <f>IF(真實IC!EC17&gt;真實IC!EC$25,1,0)</f>
        <v/>
      </c>
      <c r="ED17" s="11">
        <f>IF(真實IC!ED17&gt;真實IC!ED$25,1,0)</f>
        <v/>
      </c>
      <c r="EE17" s="11">
        <f>IF(真實IC!EE17&gt;真實IC!EE$25,1,0)</f>
        <v/>
      </c>
      <c r="EF17" s="11">
        <f>IF(真實IC!EF17&gt;真實IC!EF$25,1,0)</f>
        <v/>
      </c>
      <c r="EG17" s="11">
        <f>IF(真實IC!EG17&gt;真實IC!EG$25,1,0)</f>
        <v/>
      </c>
      <c r="EH17" s="11">
        <f>IF(真實IC!EH17&gt;真實IC!EH$25,1,0)</f>
        <v/>
      </c>
      <c r="EI17" s="11">
        <f>IF(真實IC!EI17&gt;真實IC!EI$25,1,0)</f>
        <v/>
      </c>
      <c r="EJ17" s="11">
        <f>IF(真實IC!EJ17&gt;真實IC!EJ$25,1,0)</f>
        <v/>
      </c>
      <c r="EK17" s="11">
        <f>IF(真實IC!EK17&gt;真實IC!EK$25,1,0)</f>
        <v/>
      </c>
      <c r="EL17" s="11">
        <f>IF(真實IC!EL17&gt;真實IC!EL$25,1,0)</f>
        <v/>
      </c>
      <c r="EM17" s="7">
        <f>SUM(C17:EL17)</f>
        <v/>
      </c>
      <c r="EN17" s="15">
        <f>EM17/140</f>
        <v/>
      </c>
    </row>
    <row r="18">
      <c r="A18" s="13" t="n">
        <v>150</v>
      </c>
      <c r="B18" s="13">
        <f>ROUND($D$10/A18,0)</f>
        <v/>
      </c>
      <c r="C18" s="11">
        <f>IF(真實IC!C18&gt;真實IC!C$25,1,0)</f>
        <v/>
      </c>
      <c r="D18" s="11">
        <f>IF(真實IC!D18&gt;真實IC!D$25,1,0)</f>
        <v/>
      </c>
      <c r="E18" s="11">
        <f>IF(真實IC!E18&gt;真實IC!E$25,1,0)</f>
        <v/>
      </c>
      <c r="F18" s="11">
        <f>IF(真實IC!F18&gt;真實IC!F$25,1,0)</f>
        <v/>
      </c>
      <c r="G18" s="11">
        <f>IF(真實IC!G18&gt;真實IC!G$25,1,0)</f>
        <v/>
      </c>
      <c r="H18" s="11">
        <f>IF(真實IC!H18&gt;真實IC!H$25,1,0)</f>
        <v/>
      </c>
      <c r="I18" s="11">
        <f>IF(真實IC!I18&gt;真實IC!I$25,1,0)</f>
        <v/>
      </c>
      <c r="J18" s="11">
        <f>IF(真實IC!J18&gt;真實IC!J$25,1,0)</f>
        <v/>
      </c>
      <c r="K18" s="11">
        <f>IF(真實IC!K18&gt;真實IC!K$25,1,0)</f>
        <v/>
      </c>
      <c r="L18" s="11">
        <f>IF(真實IC!L18&gt;真實IC!L$25,1,0)</f>
        <v/>
      </c>
      <c r="M18" s="11">
        <f>IF(真實IC!M18&gt;真實IC!M$25,1,0)</f>
        <v/>
      </c>
      <c r="N18" s="11">
        <f>IF(真實IC!N18&gt;真實IC!N$25,1,0)</f>
        <v/>
      </c>
      <c r="O18" s="11">
        <f>IF(真實IC!O18&gt;真實IC!O$25,1,0)</f>
        <v/>
      </c>
      <c r="P18" s="11">
        <f>IF(真實IC!P18&gt;真實IC!P$25,1,0)</f>
        <v/>
      </c>
      <c r="Q18" s="11">
        <f>IF(真實IC!Q18&gt;真實IC!Q$25,1,0)</f>
        <v/>
      </c>
      <c r="R18" s="11">
        <f>IF(真實IC!R18&gt;真實IC!R$25,1,0)</f>
        <v/>
      </c>
      <c r="S18" s="11">
        <f>IF(真實IC!S18&gt;真實IC!S$25,1,0)</f>
        <v/>
      </c>
      <c r="T18" s="11">
        <f>IF(真實IC!T18&gt;真實IC!T$25,1,0)</f>
        <v/>
      </c>
      <c r="U18" s="11">
        <f>IF(真實IC!U18&gt;真實IC!U$25,1,0)</f>
        <v/>
      </c>
      <c r="V18" s="11">
        <f>IF(真實IC!V18&gt;真實IC!V$25,1,0)</f>
        <v/>
      </c>
      <c r="W18" s="11">
        <f>IF(真實IC!W18&gt;真實IC!W$25,1,0)</f>
        <v/>
      </c>
      <c r="X18" s="11">
        <f>IF(真實IC!X18&gt;真實IC!X$25,1,0)</f>
        <v/>
      </c>
      <c r="Y18" s="11">
        <f>IF(真實IC!Y18&gt;真實IC!Y$25,1,0)</f>
        <v/>
      </c>
      <c r="Z18" s="11">
        <f>IF(真實IC!Z18&gt;真實IC!Z$25,1,0)</f>
        <v/>
      </c>
      <c r="AA18" s="11">
        <f>IF(真實IC!AA18&gt;真實IC!AA$25,1,0)</f>
        <v/>
      </c>
      <c r="AB18" s="11">
        <f>IF(真實IC!AB18&gt;真實IC!AB$25,1,0)</f>
        <v/>
      </c>
      <c r="AC18" s="11">
        <f>IF(真實IC!AC18&gt;真實IC!AC$25,1,0)</f>
        <v/>
      </c>
      <c r="AD18" s="11">
        <f>IF(真實IC!AD18&gt;真實IC!AD$25,1,0)</f>
        <v/>
      </c>
      <c r="AE18" s="11">
        <f>IF(真實IC!AE18&gt;真實IC!AE$25,1,0)</f>
        <v/>
      </c>
      <c r="AF18" s="11">
        <f>IF(真實IC!AF18&gt;真實IC!AF$25,1,0)</f>
        <v/>
      </c>
      <c r="AG18" s="11">
        <f>IF(真實IC!AG18&gt;真實IC!AG$25,1,0)</f>
        <v/>
      </c>
      <c r="AH18" s="11">
        <f>IF(真實IC!AH18&gt;真實IC!AH$25,1,0)</f>
        <v/>
      </c>
      <c r="AI18" s="11">
        <f>IF(真實IC!AI18&gt;真實IC!AI$25,1,0)</f>
        <v/>
      </c>
      <c r="AJ18" s="11">
        <f>IF(真實IC!AJ18&gt;真實IC!AJ$25,1,0)</f>
        <v/>
      </c>
      <c r="AK18" s="11">
        <f>IF(真實IC!AK18&gt;真實IC!AK$25,1,0)</f>
        <v/>
      </c>
      <c r="AL18" s="11">
        <f>IF(真實IC!AL18&gt;真實IC!AL$25,1,0)</f>
        <v/>
      </c>
      <c r="AM18" s="11">
        <f>IF(真實IC!AM18&gt;真實IC!AM$25,1,0)</f>
        <v/>
      </c>
      <c r="AN18" s="11">
        <f>IF(真實IC!AN18&gt;真實IC!AN$25,1,0)</f>
        <v/>
      </c>
      <c r="AO18" s="11">
        <f>IF(真實IC!AO18&gt;真實IC!AO$25,1,0)</f>
        <v/>
      </c>
      <c r="AP18" s="11">
        <f>IF(真實IC!AP18&gt;真實IC!AP$25,1,0)</f>
        <v/>
      </c>
      <c r="AQ18" s="11">
        <f>IF(真實IC!AQ18&gt;真實IC!AQ$25,1,0)</f>
        <v/>
      </c>
      <c r="AR18" s="11">
        <f>IF(真實IC!AR18&gt;真實IC!AR$25,1,0)</f>
        <v/>
      </c>
      <c r="AS18" s="11">
        <f>IF(真實IC!AS18&gt;真實IC!AS$25,1,0)</f>
        <v/>
      </c>
      <c r="AT18" s="11">
        <f>IF(真實IC!AT18&gt;真實IC!AT$25,1,0)</f>
        <v/>
      </c>
      <c r="AU18" s="11">
        <f>IF(真實IC!AU18&gt;真實IC!AU$25,1,0)</f>
        <v/>
      </c>
      <c r="AV18" s="11">
        <f>IF(真實IC!AV18&gt;真實IC!AV$25,1,0)</f>
        <v/>
      </c>
      <c r="AW18" s="11">
        <f>IF(真實IC!AW18&gt;真實IC!AW$25,1,0)</f>
        <v/>
      </c>
      <c r="AX18" s="11">
        <f>IF(真實IC!AX18&gt;真實IC!AX$25,1,0)</f>
        <v/>
      </c>
      <c r="AY18" s="11">
        <f>IF(真實IC!AY18&gt;真實IC!AY$25,1,0)</f>
        <v/>
      </c>
      <c r="AZ18" s="11">
        <f>IF(真實IC!AZ18&gt;真實IC!AZ$25,1,0)</f>
        <v/>
      </c>
      <c r="BA18" s="11">
        <f>IF(真實IC!BA18&gt;真實IC!BA$25,1,0)</f>
        <v/>
      </c>
      <c r="BB18" s="11">
        <f>IF(真實IC!BB18&gt;真實IC!BB$25,1,0)</f>
        <v/>
      </c>
      <c r="BC18" s="11">
        <f>IF(真實IC!BC18&gt;真實IC!BC$25,1,0)</f>
        <v/>
      </c>
      <c r="BD18" s="11">
        <f>IF(真實IC!BD18&gt;真實IC!BD$25,1,0)</f>
        <v/>
      </c>
      <c r="BE18" s="11">
        <f>IF(真實IC!BE18&gt;真實IC!BE$25,1,0)</f>
        <v/>
      </c>
      <c r="BF18" s="11">
        <f>IF(真實IC!BF18&gt;真實IC!BF$25,1,0)</f>
        <v/>
      </c>
      <c r="BG18" s="11">
        <f>IF(真實IC!BG18&gt;真實IC!BG$25,1,0)</f>
        <v/>
      </c>
      <c r="BH18" s="11">
        <f>IF(真實IC!BH18&gt;真實IC!BH$25,1,0)</f>
        <v/>
      </c>
      <c r="BI18" s="11">
        <f>IF(真實IC!BI18&gt;真實IC!BI$25,1,0)</f>
        <v/>
      </c>
      <c r="BJ18" s="11">
        <f>IF(真實IC!BJ18&gt;真實IC!BJ$25,1,0)</f>
        <v/>
      </c>
      <c r="BK18" s="11">
        <f>IF(真實IC!BK18&gt;真實IC!BK$25,1,0)</f>
        <v/>
      </c>
      <c r="BL18" s="11">
        <f>IF(真實IC!BL18&gt;真實IC!BL$25,1,0)</f>
        <v/>
      </c>
      <c r="BM18" s="11">
        <f>IF(真實IC!BM18&gt;真實IC!BM$25,1,0)</f>
        <v/>
      </c>
      <c r="BN18" s="11">
        <f>IF(真實IC!BN18&gt;真實IC!BN$25,1,0)</f>
        <v/>
      </c>
      <c r="BO18" s="11">
        <f>IF(真實IC!BO18&gt;真實IC!BO$25,1,0)</f>
        <v/>
      </c>
      <c r="BP18" s="11">
        <f>IF(真實IC!BP18&gt;真實IC!BP$25,1,0)</f>
        <v/>
      </c>
      <c r="BQ18" s="11">
        <f>IF(真實IC!BQ18&gt;真實IC!BQ$25,1,0)</f>
        <v/>
      </c>
      <c r="BR18" s="11">
        <f>IF(真實IC!BR18&gt;真實IC!BR$25,1,0)</f>
        <v/>
      </c>
      <c r="BS18" s="11">
        <f>IF(真實IC!BS18&gt;真實IC!BS$25,1,0)</f>
        <v/>
      </c>
      <c r="BT18" s="11">
        <f>IF(真實IC!BT18&gt;真實IC!BT$25,1,0)</f>
        <v/>
      </c>
      <c r="BU18" s="11">
        <f>IF(真實IC!BU18&gt;真實IC!BU$25,1,0)</f>
        <v/>
      </c>
      <c r="BV18" s="11">
        <f>IF(真實IC!BV18&gt;真實IC!BV$25,1,0)</f>
        <v/>
      </c>
      <c r="BW18" s="11">
        <f>IF(真實IC!BW18&gt;真實IC!BW$25,1,0)</f>
        <v/>
      </c>
      <c r="BX18" s="11">
        <f>IF(真實IC!BX18&gt;真實IC!BX$25,1,0)</f>
        <v/>
      </c>
      <c r="BY18" s="11">
        <f>IF(真實IC!BY18&gt;真實IC!BY$25,1,0)</f>
        <v/>
      </c>
      <c r="BZ18" s="11">
        <f>IF(真實IC!BZ18&gt;真實IC!BZ$25,1,0)</f>
        <v/>
      </c>
      <c r="CA18" s="11">
        <f>IF(真實IC!CA18&gt;真實IC!CA$25,1,0)</f>
        <v/>
      </c>
      <c r="CB18" s="11">
        <f>IF(真實IC!CB18&gt;真實IC!CB$25,1,0)</f>
        <v/>
      </c>
      <c r="CC18" s="11">
        <f>IF(真實IC!CC18&gt;真實IC!CC$25,1,0)</f>
        <v/>
      </c>
      <c r="CD18" s="11">
        <f>IF(真實IC!CD18&gt;真實IC!CD$25,1,0)</f>
        <v/>
      </c>
      <c r="CE18" s="11">
        <f>IF(真實IC!CE18&gt;真實IC!CE$25,1,0)</f>
        <v/>
      </c>
      <c r="CF18" s="11">
        <f>IF(真實IC!CF18&gt;真實IC!CF$25,1,0)</f>
        <v/>
      </c>
      <c r="CG18" s="11">
        <f>IF(真實IC!CG18&gt;真實IC!CG$25,1,0)</f>
        <v/>
      </c>
      <c r="CH18" s="11">
        <f>IF(真實IC!CH18&gt;真實IC!CH$25,1,0)</f>
        <v/>
      </c>
      <c r="CI18" s="11">
        <f>IF(真實IC!CI18&gt;真實IC!CI$25,1,0)</f>
        <v/>
      </c>
      <c r="CJ18" s="11">
        <f>IF(真實IC!CJ18&gt;真實IC!CJ$25,1,0)</f>
        <v/>
      </c>
      <c r="CK18" s="11">
        <f>IF(真實IC!CK18&gt;真實IC!CK$25,1,0)</f>
        <v/>
      </c>
      <c r="CL18" s="11">
        <f>IF(真實IC!CL18&gt;真實IC!CL$25,1,0)</f>
        <v/>
      </c>
      <c r="CM18" s="11">
        <f>IF(真實IC!CM18&gt;真實IC!CM$25,1,0)</f>
        <v/>
      </c>
      <c r="CN18" s="11">
        <f>IF(真實IC!CN18&gt;真實IC!CN$25,1,0)</f>
        <v/>
      </c>
      <c r="CO18" s="11">
        <f>IF(真實IC!CO18&gt;真實IC!CO$25,1,0)</f>
        <v/>
      </c>
      <c r="CP18" s="11">
        <f>IF(真實IC!CP18&gt;真實IC!CP$25,1,0)</f>
        <v/>
      </c>
      <c r="CQ18" s="11">
        <f>IF(真實IC!CQ18&gt;真實IC!CQ$25,1,0)</f>
        <v/>
      </c>
      <c r="CR18" s="11">
        <f>IF(真實IC!CR18&gt;真實IC!CR$25,1,0)</f>
        <v/>
      </c>
      <c r="CS18" s="11">
        <f>IF(真實IC!CS18&gt;真實IC!CS$25,1,0)</f>
        <v/>
      </c>
      <c r="CT18" s="11">
        <f>IF(真實IC!CT18&gt;真實IC!CT$25,1,0)</f>
        <v/>
      </c>
      <c r="CU18" s="11">
        <f>IF(真實IC!CU18&gt;真實IC!CU$25,1,0)</f>
        <v/>
      </c>
      <c r="CV18" s="11">
        <f>IF(真實IC!CV18&gt;真實IC!CV$25,1,0)</f>
        <v/>
      </c>
      <c r="CW18" s="11">
        <f>IF(真實IC!CW18&gt;真實IC!CW$25,1,0)</f>
        <v/>
      </c>
      <c r="CX18" s="11">
        <f>IF(真實IC!CX18&gt;真實IC!CX$25,1,0)</f>
        <v/>
      </c>
      <c r="CY18" s="11">
        <f>IF(真實IC!CY18&gt;真實IC!CY$25,1,0)</f>
        <v/>
      </c>
      <c r="CZ18" s="11">
        <f>IF(真實IC!CZ18&gt;真實IC!CZ$25,1,0)</f>
        <v/>
      </c>
      <c r="DA18" s="11">
        <f>IF(真實IC!DA18&gt;真實IC!DA$25,1,0)</f>
        <v/>
      </c>
      <c r="DB18" s="11">
        <f>IF(真實IC!DB18&gt;真實IC!DB$25,1,0)</f>
        <v/>
      </c>
      <c r="DC18" s="11">
        <f>IF(真實IC!DC18&gt;真實IC!DC$25,1,0)</f>
        <v/>
      </c>
      <c r="DD18" s="11">
        <f>IF(真實IC!DD18&gt;真實IC!DD$25,1,0)</f>
        <v/>
      </c>
      <c r="DE18" s="11">
        <f>IF(真實IC!DE18&gt;真實IC!DE$25,1,0)</f>
        <v/>
      </c>
      <c r="DF18" s="11">
        <f>IF(真實IC!DF18&gt;真實IC!DF$25,1,0)</f>
        <v/>
      </c>
      <c r="DG18" s="11">
        <f>IF(真實IC!DG18&gt;真實IC!DG$25,1,0)</f>
        <v/>
      </c>
      <c r="DH18" s="11">
        <f>IF(真實IC!DH18&gt;真實IC!DH$25,1,0)</f>
        <v/>
      </c>
      <c r="DI18" s="11">
        <f>IF(真實IC!DI18&gt;真實IC!DI$25,1,0)</f>
        <v/>
      </c>
      <c r="DJ18" s="11">
        <f>IF(真實IC!DJ18&gt;真實IC!DJ$25,1,0)</f>
        <v/>
      </c>
      <c r="DK18" s="11">
        <f>IF(真實IC!DK18&gt;真實IC!DK$25,1,0)</f>
        <v/>
      </c>
      <c r="DL18" s="11">
        <f>IF(真實IC!DL18&gt;真實IC!DL$25,1,0)</f>
        <v/>
      </c>
      <c r="DM18" s="11">
        <f>IF(真實IC!DM18&gt;真實IC!DM$25,1,0)</f>
        <v/>
      </c>
      <c r="DN18" s="11">
        <f>IF(真實IC!DN18&gt;真實IC!DN$25,1,0)</f>
        <v/>
      </c>
      <c r="DO18" s="11">
        <f>IF(真實IC!DO18&gt;真實IC!DO$25,1,0)</f>
        <v/>
      </c>
      <c r="DP18" s="11">
        <f>IF(真實IC!DP18&gt;真實IC!DP$25,1,0)</f>
        <v/>
      </c>
      <c r="DQ18" s="11">
        <f>IF(真實IC!DQ18&gt;真實IC!DQ$25,1,0)</f>
        <v/>
      </c>
      <c r="DR18" s="11">
        <f>IF(真實IC!DR18&gt;真實IC!DR$25,1,0)</f>
        <v/>
      </c>
      <c r="DS18" s="11">
        <f>IF(真實IC!DS18&gt;真實IC!DS$25,1,0)</f>
        <v/>
      </c>
      <c r="DT18" s="11">
        <f>IF(真實IC!DT18&gt;真實IC!DT$25,1,0)</f>
        <v/>
      </c>
      <c r="DU18" s="11">
        <f>IF(真實IC!DU18&gt;真實IC!DU$25,1,0)</f>
        <v/>
      </c>
      <c r="DV18" s="11">
        <f>IF(真實IC!DV18&gt;真實IC!DV$25,1,0)</f>
        <v/>
      </c>
      <c r="DW18" s="11">
        <f>IF(真實IC!DW18&gt;真實IC!DW$25,1,0)</f>
        <v/>
      </c>
      <c r="DX18" s="11">
        <f>IF(真實IC!DX18&gt;真實IC!DX$25,1,0)</f>
        <v/>
      </c>
      <c r="DY18" s="11">
        <f>IF(真實IC!DY18&gt;真實IC!DY$25,1,0)</f>
        <v/>
      </c>
      <c r="DZ18" s="11">
        <f>IF(真實IC!DZ18&gt;真實IC!DZ$25,1,0)</f>
        <v/>
      </c>
      <c r="EA18" s="11">
        <f>IF(真實IC!EA18&gt;真實IC!EA$25,1,0)</f>
        <v/>
      </c>
      <c r="EB18" s="11">
        <f>IF(真實IC!EB18&gt;真實IC!EB$25,1,0)</f>
        <v/>
      </c>
      <c r="EC18" s="11">
        <f>IF(真實IC!EC18&gt;真實IC!EC$25,1,0)</f>
        <v/>
      </c>
      <c r="ED18" s="11">
        <f>IF(真實IC!ED18&gt;真實IC!ED$25,1,0)</f>
        <v/>
      </c>
      <c r="EE18" s="11">
        <f>IF(真實IC!EE18&gt;真實IC!EE$25,1,0)</f>
        <v/>
      </c>
      <c r="EF18" s="11">
        <f>IF(真實IC!EF18&gt;真實IC!EF$25,1,0)</f>
        <v/>
      </c>
      <c r="EG18" s="11">
        <f>IF(真實IC!EG18&gt;真實IC!EG$25,1,0)</f>
        <v/>
      </c>
      <c r="EH18" s="11">
        <f>IF(真實IC!EH18&gt;真實IC!EH$25,1,0)</f>
        <v/>
      </c>
      <c r="EI18" s="11">
        <f>IF(真實IC!EI18&gt;真實IC!EI$25,1,0)</f>
        <v/>
      </c>
      <c r="EJ18" s="11">
        <f>IF(真實IC!EJ18&gt;真實IC!EJ$25,1,0)</f>
        <v/>
      </c>
      <c r="EK18" s="11">
        <f>IF(真實IC!EK18&gt;真實IC!EK$25,1,0)</f>
        <v/>
      </c>
      <c r="EL18" s="11">
        <f>IF(真實IC!EL18&gt;真實IC!EL$25,1,0)</f>
        <v/>
      </c>
      <c r="EM18" s="7">
        <f>SUM(C18:EL18)</f>
        <v/>
      </c>
      <c r="EN18" s="15">
        <f>EM18/140</f>
        <v/>
      </c>
    </row>
    <row r="19">
      <c r="A19" s="13" t="n">
        <v>180</v>
      </c>
      <c r="B19" s="13">
        <f>ROUND($D$10/A19,0)</f>
        <v/>
      </c>
      <c r="C19" s="11">
        <f>IF(真實IC!C19&gt;真實IC!C$25,1,0)</f>
        <v/>
      </c>
      <c r="D19" s="11">
        <f>IF(真實IC!D19&gt;真實IC!D$25,1,0)</f>
        <v/>
      </c>
      <c r="E19" s="11">
        <f>IF(真實IC!E19&gt;真實IC!E$25,1,0)</f>
        <v/>
      </c>
      <c r="F19" s="11">
        <f>IF(真實IC!F19&gt;真實IC!F$25,1,0)</f>
        <v/>
      </c>
      <c r="G19" s="11">
        <f>IF(真實IC!G19&gt;真實IC!G$25,1,0)</f>
        <v/>
      </c>
      <c r="H19" s="11">
        <f>IF(真實IC!H19&gt;真實IC!H$25,1,0)</f>
        <v/>
      </c>
      <c r="I19" s="11">
        <f>IF(真實IC!I19&gt;真實IC!I$25,1,0)</f>
        <v/>
      </c>
      <c r="J19" s="11">
        <f>IF(真實IC!J19&gt;真實IC!J$25,1,0)</f>
        <v/>
      </c>
      <c r="K19" s="11">
        <f>IF(真實IC!K19&gt;真實IC!K$25,1,0)</f>
        <v/>
      </c>
      <c r="L19" s="11">
        <f>IF(真實IC!L19&gt;真實IC!L$25,1,0)</f>
        <v/>
      </c>
      <c r="M19" s="11">
        <f>IF(真實IC!M19&gt;真實IC!M$25,1,0)</f>
        <v/>
      </c>
      <c r="N19" s="11">
        <f>IF(真實IC!N19&gt;真實IC!N$25,1,0)</f>
        <v/>
      </c>
      <c r="O19" s="11">
        <f>IF(真實IC!O19&gt;真實IC!O$25,1,0)</f>
        <v/>
      </c>
      <c r="P19" s="11">
        <f>IF(真實IC!P19&gt;真實IC!P$25,1,0)</f>
        <v/>
      </c>
      <c r="Q19" s="11">
        <f>IF(真實IC!Q19&gt;真實IC!Q$25,1,0)</f>
        <v/>
      </c>
      <c r="R19" s="11">
        <f>IF(真實IC!R19&gt;真實IC!R$25,1,0)</f>
        <v/>
      </c>
      <c r="S19" s="11">
        <f>IF(真實IC!S19&gt;真實IC!S$25,1,0)</f>
        <v/>
      </c>
      <c r="T19" s="11">
        <f>IF(真實IC!T19&gt;真實IC!T$25,1,0)</f>
        <v/>
      </c>
      <c r="U19" s="11">
        <f>IF(真實IC!U19&gt;真實IC!U$25,1,0)</f>
        <v/>
      </c>
      <c r="V19" s="11">
        <f>IF(真實IC!V19&gt;真實IC!V$25,1,0)</f>
        <v/>
      </c>
      <c r="W19" s="11">
        <f>IF(真實IC!W19&gt;真實IC!W$25,1,0)</f>
        <v/>
      </c>
      <c r="X19" s="11">
        <f>IF(真實IC!X19&gt;真實IC!X$25,1,0)</f>
        <v/>
      </c>
      <c r="Y19" s="11">
        <f>IF(真實IC!Y19&gt;真實IC!Y$25,1,0)</f>
        <v/>
      </c>
      <c r="Z19" s="11">
        <f>IF(真實IC!Z19&gt;真實IC!Z$25,1,0)</f>
        <v/>
      </c>
      <c r="AA19" s="11">
        <f>IF(真實IC!AA19&gt;真實IC!AA$25,1,0)</f>
        <v/>
      </c>
      <c r="AB19" s="11">
        <f>IF(真實IC!AB19&gt;真實IC!AB$25,1,0)</f>
        <v/>
      </c>
      <c r="AC19" s="11">
        <f>IF(真實IC!AC19&gt;真實IC!AC$25,1,0)</f>
        <v/>
      </c>
      <c r="AD19" s="11">
        <f>IF(真實IC!AD19&gt;真實IC!AD$25,1,0)</f>
        <v/>
      </c>
      <c r="AE19" s="11">
        <f>IF(真實IC!AE19&gt;真實IC!AE$25,1,0)</f>
        <v/>
      </c>
      <c r="AF19" s="11">
        <f>IF(真實IC!AF19&gt;真實IC!AF$25,1,0)</f>
        <v/>
      </c>
      <c r="AG19" s="11">
        <f>IF(真實IC!AG19&gt;真實IC!AG$25,1,0)</f>
        <v/>
      </c>
      <c r="AH19" s="11">
        <f>IF(真實IC!AH19&gt;真實IC!AH$25,1,0)</f>
        <v/>
      </c>
      <c r="AI19" s="11">
        <f>IF(真實IC!AI19&gt;真實IC!AI$25,1,0)</f>
        <v/>
      </c>
      <c r="AJ19" s="11">
        <f>IF(真實IC!AJ19&gt;真實IC!AJ$25,1,0)</f>
        <v/>
      </c>
      <c r="AK19" s="11">
        <f>IF(真實IC!AK19&gt;真實IC!AK$25,1,0)</f>
        <v/>
      </c>
      <c r="AL19" s="11">
        <f>IF(真實IC!AL19&gt;真實IC!AL$25,1,0)</f>
        <v/>
      </c>
      <c r="AM19" s="11">
        <f>IF(真實IC!AM19&gt;真實IC!AM$25,1,0)</f>
        <v/>
      </c>
      <c r="AN19" s="11">
        <f>IF(真實IC!AN19&gt;真實IC!AN$25,1,0)</f>
        <v/>
      </c>
      <c r="AO19" s="11">
        <f>IF(真實IC!AO19&gt;真實IC!AO$25,1,0)</f>
        <v/>
      </c>
      <c r="AP19" s="11">
        <f>IF(真實IC!AP19&gt;真實IC!AP$25,1,0)</f>
        <v/>
      </c>
      <c r="AQ19" s="11">
        <f>IF(真實IC!AQ19&gt;真實IC!AQ$25,1,0)</f>
        <v/>
      </c>
      <c r="AR19" s="11">
        <f>IF(真實IC!AR19&gt;真實IC!AR$25,1,0)</f>
        <v/>
      </c>
      <c r="AS19" s="11">
        <f>IF(真實IC!AS19&gt;真實IC!AS$25,1,0)</f>
        <v/>
      </c>
      <c r="AT19" s="11">
        <f>IF(真實IC!AT19&gt;真實IC!AT$25,1,0)</f>
        <v/>
      </c>
      <c r="AU19" s="11">
        <f>IF(真實IC!AU19&gt;真實IC!AU$25,1,0)</f>
        <v/>
      </c>
      <c r="AV19" s="11">
        <f>IF(真實IC!AV19&gt;真實IC!AV$25,1,0)</f>
        <v/>
      </c>
      <c r="AW19" s="11">
        <f>IF(真實IC!AW19&gt;真實IC!AW$25,1,0)</f>
        <v/>
      </c>
      <c r="AX19" s="11">
        <f>IF(真實IC!AX19&gt;真實IC!AX$25,1,0)</f>
        <v/>
      </c>
      <c r="AY19" s="11">
        <f>IF(真實IC!AY19&gt;真實IC!AY$25,1,0)</f>
        <v/>
      </c>
      <c r="AZ19" s="11">
        <f>IF(真實IC!AZ19&gt;真實IC!AZ$25,1,0)</f>
        <v/>
      </c>
      <c r="BA19" s="11">
        <f>IF(真實IC!BA19&gt;真實IC!BA$25,1,0)</f>
        <v/>
      </c>
      <c r="BB19" s="11">
        <f>IF(真實IC!BB19&gt;真實IC!BB$25,1,0)</f>
        <v/>
      </c>
      <c r="BC19" s="11">
        <f>IF(真實IC!BC19&gt;真實IC!BC$25,1,0)</f>
        <v/>
      </c>
      <c r="BD19" s="11">
        <f>IF(真實IC!BD19&gt;真實IC!BD$25,1,0)</f>
        <v/>
      </c>
      <c r="BE19" s="11">
        <f>IF(真實IC!BE19&gt;真實IC!BE$25,1,0)</f>
        <v/>
      </c>
      <c r="BF19" s="11">
        <f>IF(真實IC!BF19&gt;真實IC!BF$25,1,0)</f>
        <v/>
      </c>
      <c r="BG19" s="11">
        <f>IF(真實IC!BG19&gt;真實IC!BG$25,1,0)</f>
        <v/>
      </c>
      <c r="BH19" s="11">
        <f>IF(真實IC!BH19&gt;真實IC!BH$25,1,0)</f>
        <v/>
      </c>
      <c r="BI19" s="11">
        <f>IF(真實IC!BI19&gt;真實IC!BI$25,1,0)</f>
        <v/>
      </c>
      <c r="BJ19" s="11">
        <f>IF(真實IC!BJ19&gt;真實IC!BJ$25,1,0)</f>
        <v/>
      </c>
      <c r="BK19" s="11">
        <f>IF(真實IC!BK19&gt;真實IC!BK$25,1,0)</f>
        <v/>
      </c>
      <c r="BL19" s="11">
        <f>IF(真實IC!BL19&gt;真實IC!BL$25,1,0)</f>
        <v/>
      </c>
      <c r="BM19" s="11">
        <f>IF(真實IC!BM19&gt;真實IC!BM$25,1,0)</f>
        <v/>
      </c>
      <c r="BN19" s="11">
        <f>IF(真實IC!BN19&gt;真實IC!BN$25,1,0)</f>
        <v/>
      </c>
      <c r="BO19" s="11">
        <f>IF(真實IC!BO19&gt;真實IC!BO$25,1,0)</f>
        <v/>
      </c>
      <c r="BP19" s="11">
        <f>IF(真實IC!BP19&gt;真實IC!BP$25,1,0)</f>
        <v/>
      </c>
      <c r="BQ19" s="11">
        <f>IF(真實IC!BQ19&gt;真實IC!BQ$25,1,0)</f>
        <v/>
      </c>
      <c r="BR19" s="11">
        <f>IF(真實IC!BR19&gt;真實IC!BR$25,1,0)</f>
        <v/>
      </c>
      <c r="BS19" s="11">
        <f>IF(真實IC!BS19&gt;真實IC!BS$25,1,0)</f>
        <v/>
      </c>
      <c r="BT19" s="11">
        <f>IF(真實IC!BT19&gt;真實IC!BT$25,1,0)</f>
        <v/>
      </c>
      <c r="BU19" s="11">
        <f>IF(真實IC!BU19&gt;真實IC!BU$25,1,0)</f>
        <v/>
      </c>
      <c r="BV19" s="11">
        <f>IF(真實IC!BV19&gt;真實IC!BV$25,1,0)</f>
        <v/>
      </c>
      <c r="BW19" s="11">
        <f>IF(真實IC!BW19&gt;真實IC!BW$25,1,0)</f>
        <v/>
      </c>
      <c r="BX19" s="11">
        <f>IF(真實IC!BX19&gt;真實IC!BX$25,1,0)</f>
        <v/>
      </c>
      <c r="BY19" s="11">
        <f>IF(真實IC!BY19&gt;真實IC!BY$25,1,0)</f>
        <v/>
      </c>
      <c r="BZ19" s="11">
        <f>IF(真實IC!BZ19&gt;真實IC!BZ$25,1,0)</f>
        <v/>
      </c>
      <c r="CA19" s="11">
        <f>IF(真實IC!CA19&gt;真實IC!CA$25,1,0)</f>
        <v/>
      </c>
      <c r="CB19" s="11">
        <f>IF(真實IC!CB19&gt;真實IC!CB$25,1,0)</f>
        <v/>
      </c>
      <c r="CC19" s="11">
        <f>IF(真實IC!CC19&gt;真實IC!CC$25,1,0)</f>
        <v/>
      </c>
      <c r="CD19" s="11">
        <f>IF(真實IC!CD19&gt;真實IC!CD$25,1,0)</f>
        <v/>
      </c>
      <c r="CE19" s="11">
        <f>IF(真實IC!CE19&gt;真實IC!CE$25,1,0)</f>
        <v/>
      </c>
      <c r="CF19" s="11">
        <f>IF(真實IC!CF19&gt;真實IC!CF$25,1,0)</f>
        <v/>
      </c>
      <c r="CG19" s="11">
        <f>IF(真實IC!CG19&gt;真實IC!CG$25,1,0)</f>
        <v/>
      </c>
      <c r="CH19" s="11">
        <f>IF(真實IC!CH19&gt;真實IC!CH$25,1,0)</f>
        <v/>
      </c>
      <c r="CI19" s="11">
        <f>IF(真實IC!CI19&gt;真實IC!CI$25,1,0)</f>
        <v/>
      </c>
      <c r="CJ19" s="11">
        <f>IF(真實IC!CJ19&gt;真實IC!CJ$25,1,0)</f>
        <v/>
      </c>
      <c r="CK19" s="11">
        <f>IF(真實IC!CK19&gt;真實IC!CK$25,1,0)</f>
        <v/>
      </c>
      <c r="CL19" s="11">
        <f>IF(真實IC!CL19&gt;真實IC!CL$25,1,0)</f>
        <v/>
      </c>
      <c r="CM19" s="11">
        <f>IF(真實IC!CM19&gt;真實IC!CM$25,1,0)</f>
        <v/>
      </c>
      <c r="CN19" s="11">
        <f>IF(真實IC!CN19&gt;真實IC!CN$25,1,0)</f>
        <v/>
      </c>
      <c r="CO19" s="11">
        <f>IF(真實IC!CO19&gt;真實IC!CO$25,1,0)</f>
        <v/>
      </c>
      <c r="CP19" s="11">
        <f>IF(真實IC!CP19&gt;真實IC!CP$25,1,0)</f>
        <v/>
      </c>
      <c r="CQ19" s="11">
        <f>IF(真實IC!CQ19&gt;真實IC!CQ$25,1,0)</f>
        <v/>
      </c>
      <c r="CR19" s="11">
        <f>IF(真實IC!CR19&gt;真實IC!CR$25,1,0)</f>
        <v/>
      </c>
      <c r="CS19" s="11">
        <f>IF(真實IC!CS19&gt;真實IC!CS$25,1,0)</f>
        <v/>
      </c>
      <c r="CT19" s="11">
        <f>IF(真實IC!CT19&gt;真實IC!CT$25,1,0)</f>
        <v/>
      </c>
      <c r="CU19" s="11">
        <f>IF(真實IC!CU19&gt;真實IC!CU$25,1,0)</f>
        <v/>
      </c>
      <c r="CV19" s="11">
        <f>IF(真實IC!CV19&gt;真實IC!CV$25,1,0)</f>
        <v/>
      </c>
      <c r="CW19" s="11">
        <f>IF(真實IC!CW19&gt;真實IC!CW$25,1,0)</f>
        <v/>
      </c>
      <c r="CX19" s="11">
        <f>IF(真實IC!CX19&gt;真實IC!CX$25,1,0)</f>
        <v/>
      </c>
      <c r="CY19" s="11">
        <f>IF(真實IC!CY19&gt;真實IC!CY$25,1,0)</f>
        <v/>
      </c>
      <c r="CZ19" s="11">
        <f>IF(真實IC!CZ19&gt;真實IC!CZ$25,1,0)</f>
        <v/>
      </c>
      <c r="DA19" s="11">
        <f>IF(真實IC!DA19&gt;真實IC!DA$25,1,0)</f>
        <v/>
      </c>
      <c r="DB19" s="11">
        <f>IF(真實IC!DB19&gt;真實IC!DB$25,1,0)</f>
        <v/>
      </c>
      <c r="DC19" s="11">
        <f>IF(真實IC!DC19&gt;真實IC!DC$25,1,0)</f>
        <v/>
      </c>
      <c r="DD19" s="11">
        <f>IF(真實IC!DD19&gt;真實IC!DD$25,1,0)</f>
        <v/>
      </c>
      <c r="DE19" s="11">
        <f>IF(真實IC!DE19&gt;真實IC!DE$25,1,0)</f>
        <v/>
      </c>
      <c r="DF19" s="11">
        <f>IF(真實IC!DF19&gt;真實IC!DF$25,1,0)</f>
        <v/>
      </c>
      <c r="DG19" s="11">
        <f>IF(真實IC!DG19&gt;真實IC!DG$25,1,0)</f>
        <v/>
      </c>
      <c r="DH19" s="11">
        <f>IF(真實IC!DH19&gt;真實IC!DH$25,1,0)</f>
        <v/>
      </c>
      <c r="DI19" s="11">
        <f>IF(真實IC!DI19&gt;真實IC!DI$25,1,0)</f>
        <v/>
      </c>
      <c r="DJ19" s="11">
        <f>IF(真實IC!DJ19&gt;真實IC!DJ$25,1,0)</f>
        <v/>
      </c>
      <c r="DK19" s="11">
        <f>IF(真實IC!DK19&gt;真實IC!DK$25,1,0)</f>
        <v/>
      </c>
      <c r="DL19" s="11">
        <f>IF(真實IC!DL19&gt;真實IC!DL$25,1,0)</f>
        <v/>
      </c>
      <c r="DM19" s="11">
        <f>IF(真實IC!DM19&gt;真實IC!DM$25,1,0)</f>
        <v/>
      </c>
      <c r="DN19" s="11">
        <f>IF(真實IC!DN19&gt;真實IC!DN$25,1,0)</f>
        <v/>
      </c>
      <c r="DO19" s="11">
        <f>IF(真實IC!DO19&gt;真實IC!DO$25,1,0)</f>
        <v/>
      </c>
      <c r="DP19" s="11">
        <f>IF(真實IC!DP19&gt;真實IC!DP$25,1,0)</f>
        <v/>
      </c>
      <c r="DQ19" s="11">
        <f>IF(真實IC!DQ19&gt;真實IC!DQ$25,1,0)</f>
        <v/>
      </c>
      <c r="DR19" s="11">
        <f>IF(真實IC!DR19&gt;真實IC!DR$25,1,0)</f>
        <v/>
      </c>
      <c r="DS19" s="11">
        <f>IF(真實IC!DS19&gt;真實IC!DS$25,1,0)</f>
        <v/>
      </c>
      <c r="DT19" s="11">
        <f>IF(真實IC!DT19&gt;真實IC!DT$25,1,0)</f>
        <v/>
      </c>
      <c r="DU19" s="11">
        <f>IF(真實IC!DU19&gt;真實IC!DU$25,1,0)</f>
        <v/>
      </c>
      <c r="DV19" s="11">
        <f>IF(真實IC!DV19&gt;真實IC!DV$25,1,0)</f>
        <v/>
      </c>
      <c r="DW19" s="11">
        <f>IF(真實IC!DW19&gt;真實IC!DW$25,1,0)</f>
        <v/>
      </c>
      <c r="DX19" s="11">
        <f>IF(真實IC!DX19&gt;真實IC!DX$25,1,0)</f>
        <v/>
      </c>
      <c r="DY19" s="11">
        <f>IF(真實IC!DY19&gt;真實IC!DY$25,1,0)</f>
        <v/>
      </c>
      <c r="DZ19" s="11">
        <f>IF(真實IC!DZ19&gt;真實IC!DZ$25,1,0)</f>
        <v/>
      </c>
      <c r="EA19" s="11">
        <f>IF(真實IC!EA19&gt;真實IC!EA$25,1,0)</f>
        <v/>
      </c>
      <c r="EB19" s="11">
        <f>IF(真實IC!EB19&gt;真實IC!EB$25,1,0)</f>
        <v/>
      </c>
      <c r="EC19" s="11">
        <f>IF(真實IC!EC19&gt;真實IC!EC$25,1,0)</f>
        <v/>
      </c>
      <c r="ED19" s="11">
        <f>IF(真實IC!ED19&gt;真實IC!ED$25,1,0)</f>
        <v/>
      </c>
      <c r="EE19" s="11">
        <f>IF(真實IC!EE19&gt;真實IC!EE$25,1,0)</f>
        <v/>
      </c>
      <c r="EF19" s="11">
        <f>IF(真實IC!EF19&gt;真實IC!EF$25,1,0)</f>
        <v/>
      </c>
      <c r="EG19" s="11">
        <f>IF(真實IC!EG19&gt;真實IC!EG$25,1,0)</f>
        <v/>
      </c>
      <c r="EH19" s="11">
        <f>IF(真實IC!EH19&gt;真實IC!EH$25,1,0)</f>
        <v/>
      </c>
      <c r="EI19" s="11">
        <f>IF(真實IC!EI19&gt;真實IC!EI$25,1,0)</f>
        <v/>
      </c>
      <c r="EJ19" s="11">
        <f>IF(真實IC!EJ19&gt;真實IC!EJ$25,1,0)</f>
        <v/>
      </c>
      <c r="EK19" s="11">
        <f>IF(真實IC!EK19&gt;真實IC!EK$25,1,0)</f>
        <v/>
      </c>
      <c r="EL19" s="11">
        <f>IF(真實IC!EL19&gt;真實IC!EL$25,1,0)</f>
        <v/>
      </c>
      <c r="EM19" s="7">
        <f>SUM(C19:EL19)</f>
        <v/>
      </c>
      <c r="EN19" s="15">
        <f>EM19/140</f>
        <v/>
      </c>
    </row>
    <row r="20">
      <c r="A20" s="13" t="n">
        <v>200</v>
      </c>
      <c r="B20" s="13">
        <f>ROUND($D$10/A20,0)</f>
        <v/>
      </c>
      <c r="C20" s="11">
        <f>IF(真實IC!C20&gt;真實IC!C$25,1,0)</f>
        <v/>
      </c>
      <c r="D20" s="11">
        <f>IF(真實IC!D20&gt;真實IC!D$25,1,0)</f>
        <v/>
      </c>
      <c r="E20" s="11">
        <f>IF(真實IC!E20&gt;真實IC!E$25,1,0)</f>
        <v/>
      </c>
      <c r="F20" s="11">
        <f>IF(真實IC!F20&gt;真實IC!F$25,1,0)</f>
        <v/>
      </c>
      <c r="G20" s="11">
        <f>IF(真實IC!G20&gt;真實IC!G$25,1,0)</f>
        <v/>
      </c>
      <c r="H20" s="11">
        <f>IF(真實IC!H20&gt;真實IC!H$25,1,0)</f>
        <v/>
      </c>
      <c r="I20" s="11">
        <f>IF(真實IC!I20&gt;真實IC!I$25,1,0)</f>
        <v/>
      </c>
      <c r="J20" s="11">
        <f>IF(真實IC!J20&gt;真實IC!J$25,1,0)</f>
        <v/>
      </c>
      <c r="K20" s="11">
        <f>IF(真實IC!K20&gt;真實IC!K$25,1,0)</f>
        <v/>
      </c>
      <c r="L20" s="11">
        <f>IF(真實IC!L20&gt;真實IC!L$25,1,0)</f>
        <v/>
      </c>
      <c r="M20" s="11">
        <f>IF(真實IC!M20&gt;真實IC!M$25,1,0)</f>
        <v/>
      </c>
      <c r="N20" s="11">
        <f>IF(真實IC!N20&gt;真實IC!N$25,1,0)</f>
        <v/>
      </c>
      <c r="O20" s="11">
        <f>IF(真實IC!O20&gt;真實IC!O$25,1,0)</f>
        <v/>
      </c>
      <c r="P20" s="11">
        <f>IF(真實IC!P20&gt;真實IC!P$25,1,0)</f>
        <v/>
      </c>
      <c r="Q20" s="11">
        <f>IF(真實IC!Q20&gt;真實IC!Q$25,1,0)</f>
        <v/>
      </c>
      <c r="R20" s="11">
        <f>IF(真實IC!R20&gt;真實IC!R$25,1,0)</f>
        <v/>
      </c>
      <c r="S20" s="11">
        <f>IF(真實IC!S20&gt;真實IC!S$25,1,0)</f>
        <v/>
      </c>
      <c r="T20" s="11">
        <f>IF(真實IC!T20&gt;真實IC!T$25,1,0)</f>
        <v/>
      </c>
      <c r="U20" s="11">
        <f>IF(真實IC!U20&gt;真實IC!U$25,1,0)</f>
        <v/>
      </c>
      <c r="V20" s="11">
        <f>IF(真實IC!V20&gt;真實IC!V$25,1,0)</f>
        <v/>
      </c>
      <c r="W20" s="11">
        <f>IF(真實IC!W20&gt;真實IC!W$25,1,0)</f>
        <v/>
      </c>
      <c r="X20" s="11">
        <f>IF(真實IC!X20&gt;真實IC!X$25,1,0)</f>
        <v/>
      </c>
      <c r="Y20" s="11">
        <f>IF(真實IC!Y20&gt;真實IC!Y$25,1,0)</f>
        <v/>
      </c>
      <c r="Z20" s="11">
        <f>IF(真實IC!Z20&gt;真實IC!Z$25,1,0)</f>
        <v/>
      </c>
      <c r="AA20" s="11">
        <f>IF(真實IC!AA20&gt;真實IC!AA$25,1,0)</f>
        <v/>
      </c>
      <c r="AB20" s="11">
        <f>IF(真實IC!AB20&gt;真實IC!AB$25,1,0)</f>
        <v/>
      </c>
      <c r="AC20" s="11">
        <f>IF(真實IC!AC20&gt;真實IC!AC$25,1,0)</f>
        <v/>
      </c>
      <c r="AD20" s="11">
        <f>IF(真實IC!AD20&gt;真實IC!AD$25,1,0)</f>
        <v/>
      </c>
      <c r="AE20" s="11">
        <f>IF(真實IC!AE20&gt;真實IC!AE$25,1,0)</f>
        <v/>
      </c>
      <c r="AF20" s="11">
        <f>IF(真實IC!AF20&gt;真實IC!AF$25,1,0)</f>
        <v/>
      </c>
      <c r="AG20" s="11">
        <f>IF(真實IC!AG20&gt;真實IC!AG$25,1,0)</f>
        <v/>
      </c>
      <c r="AH20" s="11">
        <f>IF(真實IC!AH20&gt;真實IC!AH$25,1,0)</f>
        <v/>
      </c>
      <c r="AI20" s="11">
        <f>IF(真實IC!AI20&gt;真實IC!AI$25,1,0)</f>
        <v/>
      </c>
      <c r="AJ20" s="11">
        <f>IF(真實IC!AJ20&gt;真實IC!AJ$25,1,0)</f>
        <v/>
      </c>
      <c r="AK20" s="11">
        <f>IF(真實IC!AK20&gt;真實IC!AK$25,1,0)</f>
        <v/>
      </c>
      <c r="AL20" s="11">
        <f>IF(真實IC!AL20&gt;真實IC!AL$25,1,0)</f>
        <v/>
      </c>
      <c r="AM20" s="11">
        <f>IF(真實IC!AM20&gt;真實IC!AM$25,1,0)</f>
        <v/>
      </c>
      <c r="AN20" s="11">
        <f>IF(真實IC!AN20&gt;真實IC!AN$25,1,0)</f>
        <v/>
      </c>
      <c r="AO20" s="11">
        <f>IF(真實IC!AO20&gt;真實IC!AO$25,1,0)</f>
        <v/>
      </c>
      <c r="AP20" s="11">
        <f>IF(真實IC!AP20&gt;真實IC!AP$25,1,0)</f>
        <v/>
      </c>
      <c r="AQ20" s="11">
        <f>IF(真實IC!AQ20&gt;真實IC!AQ$25,1,0)</f>
        <v/>
      </c>
      <c r="AR20" s="11">
        <f>IF(真實IC!AR20&gt;真實IC!AR$25,1,0)</f>
        <v/>
      </c>
      <c r="AS20" s="11">
        <f>IF(真實IC!AS20&gt;真實IC!AS$25,1,0)</f>
        <v/>
      </c>
      <c r="AT20" s="11">
        <f>IF(真實IC!AT20&gt;真實IC!AT$25,1,0)</f>
        <v/>
      </c>
      <c r="AU20" s="11">
        <f>IF(真實IC!AU20&gt;真實IC!AU$25,1,0)</f>
        <v/>
      </c>
      <c r="AV20" s="11">
        <f>IF(真實IC!AV20&gt;真實IC!AV$25,1,0)</f>
        <v/>
      </c>
      <c r="AW20" s="11">
        <f>IF(真實IC!AW20&gt;真實IC!AW$25,1,0)</f>
        <v/>
      </c>
      <c r="AX20" s="11">
        <f>IF(真實IC!AX20&gt;真實IC!AX$25,1,0)</f>
        <v/>
      </c>
      <c r="AY20" s="11">
        <f>IF(真實IC!AY20&gt;真實IC!AY$25,1,0)</f>
        <v/>
      </c>
      <c r="AZ20" s="11">
        <f>IF(真實IC!AZ20&gt;真實IC!AZ$25,1,0)</f>
        <v/>
      </c>
      <c r="BA20" s="11">
        <f>IF(真實IC!BA20&gt;真實IC!BA$25,1,0)</f>
        <v/>
      </c>
      <c r="BB20" s="11">
        <f>IF(真實IC!BB20&gt;真實IC!BB$25,1,0)</f>
        <v/>
      </c>
      <c r="BC20" s="11">
        <f>IF(真實IC!BC20&gt;真實IC!BC$25,1,0)</f>
        <v/>
      </c>
      <c r="BD20" s="11">
        <f>IF(真實IC!BD20&gt;真實IC!BD$25,1,0)</f>
        <v/>
      </c>
      <c r="BE20" s="11">
        <f>IF(真實IC!BE20&gt;真實IC!BE$25,1,0)</f>
        <v/>
      </c>
      <c r="BF20" s="11">
        <f>IF(真實IC!BF20&gt;真實IC!BF$25,1,0)</f>
        <v/>
      </c>
      <c r="BG20" s="11">
        <f>IF(真實IC!BG20&gt;真實IC!BG$25,1,0)</f>
        <v/>
      </c>
      <c r="BH20" s="11">
        <f>IF(真實IC!BH20&gt;真實IC!BH$25,1,0)</f>
        <v/>
      </c>
      <c r="BI20" s="11">
        <f>IF(真實IC!BI20&gt;真實IC!BI$25,1,0)</f>
        <v/>
      </c>
      <c r="BJ20" s="11">
        <f>IF(真實IC!BJ20&gt;真實IC!BJ$25,1,0)</f>
        <v/>
      </c>
      <c r="BK20" s="11">
        <f>IF(真實IC!BK20&gt;真實IC!BK$25,1,0)</f>
        <v/>
      </c>
      <c r="BL20" s="11">
        <f>IF(真實IC!BL20&gt;真實IC!BL$25,1,0)</f>
        <v/>
      </c>
      <c r="BM20" s="11">
        <f>IF(真實IC!BM20&gt;真實IC!BM$25,1,0)</f>
        <v/>
      </c>
      <c r="BN20" s="11">
        <f>IF(真實IC!BN20&gt;真實IC!BN$25,1,0)</f>
        <v/>
      </c>
      <c r="BO20" s="11">
        <f>IF(真實IC!BO20&gt;真實IC!BO$25,1,0)</f>
        <v/>
      </c>
      <c r="BP20" s="11">
        <f>IF(真實IC!BP20&gt;真實IC!BP$25,1,0)</f>
        <v/>
      </c>
      <c r="BQ20" s="11">
        <f>IF(真實IC!BQ20&gt;真實IC!BQ$25,1,0)</f>
        <v/>
      </c>
      <c r="BR20" s="11">
        <f>IF(真實IC!BR20&gt;真實IC!BR$25,1,0)</f>
        <v/>
      </c>
      <c r="BS20" s="11">
        <f>IF(真實IC!BS20&gt;真實IC!BS$25,1,0)</f>
        <v/>
      </c>
      <c r="BT20" s="11">
        <f>IF(真實IC!BT20&gt;真實IC!BT$25,1,0)</f>
        <v/>
      </c>
      <c r="BU20" s="11">
        <f>IF(真實IC!BU20&gt;真實IC!BU$25,1,0)</f>
        <v/>
      </c>
      <c r="BV20" s="11">
        <f>IF(真實IC!BV20&gt;真實IC!BV$25,1,0)</f>
        <v/>
      </c>
      <c r="BW20" s="11">
        <f>IF(真實IC!BW20&gt;真實IC!BW$25,1,0)</f>
        <v/>
      </c>
      <c r="BX20" s="11">
        <f>IF(真實IC!BX20&gt;真實IC!BX$25,1,0)</f>
        <v/>
      </c>
      <c r="BY20" s="11">
        <f>IF(真實IC!BY20&gt;真實IC!BY$25,1,0)</f>
        <v/>
      </c>
      <c r="BZ20" s="11">
        <f>IF(真實IC!BZ20&gt;真實IC!BZ$25,1,0)</f>
        <v/>
      </c>
      <c r="CA20" s="11">
        <f>IF(真實IC!CA20&gt;真實IC!CA$25,1,0)</f>
        <v/>
      </c>
      <c r="CB20" s="11">
        <f>IF(真實IC!CB20&gt;真實IC!CB$25,1,0)</f>
        <v/>
      </c>
      <c r="CC20" s="11">
        <f>IF(真實IC!CC20&gt;真實IC!CC$25,1,0)</f>
        <v/>
      </c>
      <c r="CD20" s="11">
        <f>IF(真實IC!CD20&gt;真實IC!CD$25,1,0)</f>
        <v/>
      </c>
      <c r="CE20" s="11">
        <f>IF(真實IC!CE20&gt;真實IC!CE$25,1,0)</f>
        <v/>
      </c>
      <c r="CF20" s="11">
        <f>IF(真實IC!CF20&gt;真實IC!CF$25,1,0)</f>
        <v/>
      </c>
      <c r="CG20" s="11">
        <f>IF(真實IC!CG20&gt;真實IC!CG$25,1,0)</f>
        <v/>
      </c>
      <c r="CH20" s="11">
        <f>IF(真實IC!CH20&gt;真實IC!CH$25,1,0)</f>
        <v/>
      </c>
      <c r="CI20" s="11">
        <f>IF(真實IC!CI20&gt;真實IC!CI$25,1,0)</f>
        <v/>
      </c>
      <c r="CJ20" s="11">
        <f>IF(真實IC!CJ20&gt;真實IC!CJ$25,1,0)</f>
        <v/>
      </c>
      <c r="CK20" s="11">
        <f>IF(真實IC!CK20&gt;真實IC!CK$25,1,0)</f>
        <v/>
      </c>
      <c r="CL20" s="11">
        <f>IF(真實IC!CL20&gt;真實IC!CL$25,1,0)</f>
        <v/>
      </c>
      <c r="CM20" s="11">
        <f>IF(真實IC!CM20&gt;真實IC!CM$25,1,0)</f>
        <v/>
      </c>
      <c r="CN20" s="11">
        <f>IF(真實IC!CN20&gt;真實IC!CN$25,1,0)</f>
        <v/>
      </c>
      <c r="CO20" s="11">
        <f>IF(真實IC!CO20&gt;真實IC!CO$25,1,0)</f>
        <v/>
      </c>
      <c r="CP20" s="11">
        <f>IF(真實IC!CP20&gt;真實IC!CP$25,1,0)</f>
        <v/>
      </c>
      <c r="CQ20" s="11">
        <f>IF(真實IC!CQ20&gt;真實IC!CQ$25,1,0)</f>
        <v/>
      </c>
      <c r="CR20" s="11">
        <f>IF(真實IC!CR20&gt;真實IC!CR$25,1,0)</f>
        <v/>
      </c>
      <c r="CS20" s="11">
        <f>IF(真實IC!CS20&gt;真實IC!CS$25,1,0)</f>
        <v/>
      </c>
      <c r="CT20" s="11">
        <f>IF(真實IC!CT20&gt;真實IC!CT$25,1,0)</f>
        <v/>
      </c>
      <c r="CU20" s="11">
        <f>IF(真實IC!CU20&gt;真實IC!CU$25,1,0)</f>
        <v/>
      </c>
      <c r="CV20" s="11">
        <f>IF(真實IC!CV20&gt;真實IC!CV$25,1,0)</f>
        <v/>
      </c>
      <c r="CW20" s="11">
        <f>IF(真實IC!CW20&gt;真實IC!CW$25,1,0)</f>
        <v/>
      </c>
      <c r="CX20" s="11">
        <f>IF(真實IC!CX20&gt;真實IC!CX$25,1,0)</f>
        <v/>
      </c>
      <c r="CY20" s="11">
        <f>IF(真實IC!CY20&gt;真實IC!CY$25,1,0)</f>
        <v/>
      </c>
      <c r="CZ20" s="11">
        <f>IF(真實IC!CZ20&gt;真實IC!CZ$25,1,0)</f>
        <v/>
      </c>
      <c r="DA20" s="11">
        <f>IF(真實IC!DA20&gt;真實IC!DA$25,1,0)</f>
        <v/>
      </c>
      <c r="DB20" s="11">
        <f>IF(真實IC!DB20&gt;真實IC!DB$25,1,0)</f>
        <v/>
      </c>
      <c r="DC20" s="11">
        <f>IF(真實IC!DC20&gt;真實IC!DC$25,1,0)</f>
        <v/>
      </c>
      <c r="DD20" s="11">
        <f>IF(真實IC!DD20&gt;真實IC!DD$25,1,0)</f>
        <v/>
      </c>
      <c r="DE20" s="11">
        <f>IF(真實IC!DE20&gt;真實IC!DE$25,1,0)</f>
        <v/>
      </c>
      <c r="DF20" s="11">
        <f>IF(真實IC!DF20&gt;真實IC!DF$25,1,0)</f>
        <v/>
      </c>
      <c r="DG20" s="11">
        <f>IF(真實IC!DG20&gt;真實IC!DG$25,1,0)</f>
        <v/>
      </c>
      <c r="DH20" s="11">
        <f>IF(真實IC!DH20&gt;真實IC!DH$25,1,0)</f>
        <v/>
      </c>
      <c r="DI20" s="11">
        <f>IF(真實IC!DI20&gt;真實IC!DI$25,1,0)</f>
        <v/>
      </c>
      <c r="DJ20" s="11">
        <f>IF(真實IC!DJ20&gt;真實IC!DJ$25,1,0)</f>
        <v/>
      </c>
      <c r="DK20" s="11">
        <f>IF(真實IC!DK20&gt;真實IC!DK$25,1,0)</f>
        <v/>
      </c>
      <c r="DL20" s="11">
        <f>IF(真實IC!DL20&gt;真實IC!DL$25,1,0)</f>
        <v/>
      </c>
      <c r="DM20" s="11">
        <f>IF(真實IC!DM20&gt;真實IC!DM$25,1,0)</f>
        <v/>
      </c>
      <c r="DN20" s="11">
        <f>IF(真實IC!DN20&gt;真實IC!DN$25,1,0)</f>
        <v/>
      </c>
      <c r="DO20" s="11">
        <f>IF(真實IC!DO20&gt;真實IC!DO$25,1,0)</f>
        <v/>
      </c>
      <c r="DP20" s="11">
        <f>IF(真實IC!DP20&gt;真實IC!DP$25,1,0)</f>
        <v/>
      </c>
      <c r="DQ20" s="11">
        <f>IF(真實IC!DQ20&gt;真實IC!DQ$25,1,0)</f>
        <v/>
      </c>
      <c r="DR20" s="11">
        <f>IF(真實IC!DR20&gt;真實IC!DR$25,1,0)</f>
        <v/>
      </c>
      <c r="DS20" s="11">
        <f>IF(真實IC!DS20&gt;真實IC!DS$25,1,0)</f>
        <v/>
      </c>
      <c r="DT20" s="11">
        <f>IF(真實IC!DT20&gt;真實IC!DT$25,1,0)</f>
        <v/>
      </c>
      <c r="DU20" s="11">
        <f>IF(真實IC!DU20&gt;真實IC!DU$25,1,0)</f>
        <v/>
      </c>
      <c r="DV20" s="11">
        <f>IF(真實IC!DV20&gt;真實IC!DV$25,1,0)</f>
        <v/>
      </c>
      <c r="DW20" s="11">
        <f>IF(真實IC!DW20&gt;真實IC!DW$25,1,0)</f>
        <v/>
      </c>
      <c r="DX20" s="11">
        <f>IF(真實IC!DX20&gt;真實IC!DX$25,1,0)</f>
        <v/>
      </c>
      <c r="DY20" s="11">
        <f>IF(真實IC!DY20&gt;真實IC!DY$25,1,0)</f>
        <v/>
      </c>
      <c r="DZ20" s="11">
        <f>IF(真實IC!DZ20&gt;真實IC!DZ$25,1,0)</f>
        <v/>
      </c>
      <c r="EA20" s="11">
        <f>IF(真實IC!EA20&gt;真實IC!EA$25,1,0)</f>
        <v/>
      </c>
      <c r="EB20" s="11">
        <f>IF(真實IC!EB20&gt;真實IC!EB$25,1,0)</f>
        <v/>
      </c>
      <c r="EC20" s="11">
        <f>IF(真實IC!EC20&gt;真實IC!EC$25,1,0)</f>
        <v/>
      </c>
      <c r="ED20" s="11">
        <f>IF(真實IC!ED20&gt;真實IC!ED$25,1,0)</f>
        <v/>
      </c>
      <c r="EE20" s="11">
        <f>IF(真實IC!EE20&gt;真實IC!EE$25,1,0)</f>
        <v/>
      </c>
      <c r="EF20" s="11">
        <f>IF(真實IC!EF20&gt;真實IC!EF$25,1,0)</f>
        <v/>
      </c>
      <c r="EG20" s="11">
        <f>IF(真實IC!EG20&gt;真實IC!EG$25,1,0)</f>
        <v/>
      </c>
      <c r="EH20" s="11">
        <f>IF(真實IC!EH20&gt;真實IC!EH$25,1,0)</f>
        <v/>
      </c>
      <c r="EI20" s="11">
        <f>IF(真實IC!EI20&gt;真實IC!EI$25,1,0)</f>
        <v/>
      </c>
      <c r="EJ20" s="11">
        <f>IF(真實IC!EJ20&gt;真實IC!EJ$25,1,0)</f>
        <v/>
      </c>
      <c r="EK20" s="11">
        <f>IF(真實IC!EK20&gt;真實IC!EK$25,1,0)</f>
        <v/>
      </c>
      <c r="EL20" s="11">
        <f>IF(真實IC!EL20&gt;真實IC!EL$25,1,0)</f>
        <v/>
      </c>
      <c r="EM20" s="7">
        <f>SUM(C20:EL20)</f>
        <v/>
      </c>
      <c r="EN20" s="15">
        <f>EM20/140</f>
        <v/>
      </c>
    </row>
    <row r="21">
      <c r="A21" s="13" t="n">
        <v>256</v>
      </c>
      <c r="B21" s="13">
        <f>ROUND($D$10/A21,0)</f>
        <v/>
      </c>
      <c r="C21" s="11">
        <f>IF(真實IC!C21&gt;真實IC!C$25,1,0)</f>
        <v/>
      </c>
      <c r="D21" s="11">
        <f>IF(真實IC!D21&gt;真實IC!D$25,1,0)</f>
        <v/>
      </c>
      <c r="E21" s="11">
        <f>IF(真實IC!E21&gt;真實IC!E$25,1,0)</f>
        <v/>
      </c>
      <c r="F21" s="11">
        <f>IF(真實IC!F21&gt;真實IC!F$25,1,0)</f>
        <v/>
      </c>
      <c r="G21" s="11">
        <f>IF(真實IC!G21&gt;真實IC!G$25,1,0)</f>
        <v/>
      </c>
      <c r="H21" s="11">
        <f>IF(真實IC!H21&gt;真實IC!H$25,1,0)</f>
        <v/>
      </c>
      <c r="I21" s="11">
        <f>IF(真實IC!I21&gt;真實IC!I$25,1,0)</f>
        <v/>
      </c>
      <c r="J21" s="11">
        <f>IF(真實IC!J21&gt;真實IC!J$25,1,0)</f>
        <v/>
      </c>
      <c r="K21" s="11">
        <f>IF(真實IC!K21&gt;真實IC!K$25,1,0)</f>
        <v/>
      </c>
      <c r="L21" s="11">
        <f>IF(真實IC!L21&gt;真實IC!L$25,1,0)</f>
        <v/>
      </c>
      <c r="M21" s="11">
        <f>IF(真實IC!M21&gt;真實IC!M$25,1,0)</f>
        <v/>
      </c>
      <c r="N21" s="11">
        <f>IF(真實IC!N21&gt;真實IC!N$25,1,0)</f>
        <v/>
      </c>
      <c r="O21" s="11">
        <f>IF(真實IC!O21&gt;真實IC!O$25,1,0)</f>
        <v/>
      </c>
      <c r="P21" s="11">
        <f>IF(真實IC!P21&gt;真實IC!P$25,1,0)</f>
        <v/>
      </c>
      <c r="Q21" s="11">
        <f>IF(真實IC!Q21&gt;真實IC!Q$25,1,0)</f>
        <v/>
      </c>
      <c r="R21" s="11">
        <f>IF(真實IC!R21&gt;真實IC!R$25,1,0)</f>
        <v/>
      </c>
      <c r="S21" s="11">
        <f>IF(真實IC!S21&gt;真實IC!S$25,1,0)</f>
        <v/>
      </c>
      <c r="T21" s="11">
        <f>IF(真實IC!T21&gt;真實IC!T$25,1,0)</f>
        <v/>
      </c>
      <c r="U21" s="11">
        <f>IF(真實IC!U21&gt;真實IC!U$25,1,0)</f>
        <v/>
      </c>
      <c r="V21" s="11">
        <f>IF(真實IC!V21&gt;真實IC!V$25,1,0)</f>
        <v/>
      </c>
      <c r="W21" s="11">
        <f>IF(真實IC!W21&gt;真實IC!W$25,1,0)</f>
        <v/>
      </c>
      <c r="X21" s="11">
        <f>IF(真實IC!X21&gt;真實IC!X$25,1,0)</f>
        <v/>
      </c>
      <c r="Y21" s="11">
        <f>IF(真實IC!Y21&gt;真實IC!Y$25,1,0)</f>
        <v/>
      </c>
      <c r="Z21" s="11">
        <f>IF(真實IC!Z21&gt;真實IC!Z$25,1,0)</f>
        <v/>
      </c>
      <c r="AA21" s="11">
        <f>IF(真實IC!AA21&gt;真實IC!AA$25,1,0)</f>
        <v/>
      </c>
      <c r="AB21" s="11">
        <f>IF(真實IC!AB21&gt;真實IC!AB$25,1,0)</f>
        <v/>
      </c>
      <c r="AC21" s="11">
        <f>IF(真實IC!AC21&gt;真實IC!AC$25,1,0)</f>
        <v/>
      </c>
      <c r="AD21" s="11">
        <f>IF(真實IC!AD21&gt;真實IC!AD$25,1,0)</f>
        <v/>
      </c>
      <c r="AE21" s="11">
        <f>IF(真實IC!AE21&gt;真實IC!AE$25,1,0)</f>
        <v/>
      </c>
      <c r="AF21" s="11">
        <f>IF(真實IC!AF21&gt;真實IC!AF$25,1,0)</f>
        <v/>
      </c>
      <c r="AG21" s="11">
        <f>IF(真實IC!AG21&gt;真實IC!AG$25,1,0)</f>
        <v/>
      </c>
      <c r="AH21" s="11">
        <f>IF(真實IC!AH21&gt;真實IC!AH$25,1,0)</f>
        <v/>
      </c>
      <c r="AI21" s="11">
        <f>IF(真實IC!AI21&gt;真實IC!AI$25,1,0)</f>
        <v/>
      </c>
      <c r="AJ21" s="11">
        <f>IF(真實IC!AJ21&gt;真實IC!AJ$25,1,0)</f>
        <v/>
      </c>
      <c r="AK21" s="11">
        <f>IF(真實IC!AK21&gt;真實IC!AK$25,1,0)</f>
        <v/>
      </c>
      <c r="AL21" s="11">
        <f>IF(真實IC!AL21&gt;真實IC!AL$25,1,0)</f>
        <v/>
      </c>
      <c r="AM21" s="11">
        <f>IF(真實IC!AM21&gt;真實IC!AM$25,1,0)</f>
        <v/>
      </c>
      <c r="AN21" s="11">
        <f>IF(真實IC!AN21&gt;真實IC!AN$25,1,0)</f>
        <v/>
      </c>
      <c r="AO21" s="11">
        <f>IF(真實IC!AO21&gt;真實IC!AO$25,1,0)</f>
        <v/>
      </c>
      <c r="AP21" s="11">
        <f>IF(真實IC!AP21&gt;真實IC!AP$25,1,0)</f>
        <v/>
      </c>
      <c r="AQ21" s="11">
        <f>IF(真實IC!AQ21&gt;真實IC!AQ$25,1,0)</f>
        <v/>
      </c>
      <c r="AR21" s="11">
        <f>IF(真實IC!AR21&gt;真實IC!AR$25,1,0)</f>
        <v/>
      </c>
      <c r="AS21" s="11">
        <f>IF(真實IC!AS21&gt;真實IC!AS$25,1,0)</f>
        <v/>
      </c>
      <c r="AT21" s="11">
        <f>IF(真實IC!AT21&gt;真實IC!AT$25,1,0)</f>
        <v/>
      </c>
      <c r="AU21" s="11">
        <f>IF(真實IC!AU21&gt;真實IC!AU$25,1,0)</f>
        <v/>
      </c>
      <c r="AV21" s="11">
        <f>IF(真實IC!AV21&gt;真實IC!AV$25,1,0)</f>
        <v/>
      </c>
      <c r="AW21" s="11">
        <f>IF(真實IC!AW21&gt;真實IC!AW$25,1,0)</f>
        <v/>
      </c>
      <c r="AX21" s="11">
        <f>IF(真實IC!AX21&gt;真實IC!AX$25,1,0)</f>
        <v/>
      </c>
      <c r="AY21" s="11">
        <f>IF(真實IC!AY21&gt;真實IC!AY$25,1,0)</f>
        <v/>
      </c>
      <c r="AZ21" s="11">
        <f>IF(真實IC!AZ21&gt;真實IC!AZ$25,1,0)</f>
        <v/>
      </c>
      <c r="BA21" s="11">
        <f>IF(真實IC!BA21&gt;真實IC!BA$25,1,0)</f>
        <v/>
      </c>
      <c r="BB21" s="11">
        <f>IF(真實IC!BB21&gt;真實IC!BB$25,1,0)</f>
        <v/>
      </c>
      <c r="BC21" s="11">
        <f>IF(真實IC!BC21&gt;真實IC!BC$25,1,0)</f>
        <v/>
      </c>
      <c r="BD21" s="11">
        <f>IF(真實IC!BD21&gt;真實IC!BD$25,1,0)</f>
        <v/>
      </c>
      <c r="BE21" s="11">
        <f>IF(真實IC!BE21&gt;真實IC!BE$25,1,0)</f>
        <v/>
      </c>
      <c r="BF21" s="11">
        <f>IF(真實IC!BF21&gt;真實IC!BF$25,1,0)</f>
        <v/>
      </c>
      <c r="BG21" s="11">
        <f>IF(真實IC!BG21&gt;真實IC!BG$25,1,0)</f>
        <v/>
      </c>
      <c r="BH21" s="11">
        <f>IF(真實IC!BH21&gt;真實IC!BH$25,1,0)</f>
        <v/>
      </c>
      <c r="BI21" s="11">
        <f>IF(真實IC!BI21&gt;真實IC!BI$25,1,0)</f>
        <v/>
      </c>
      <c r="BJ21" s="11">
        <f>IF(真實IC!BJ21&gt;真實IC!BJ$25,1,0)</f>
        <v/>
      </c>
      <c r="BK21" s="11">
        <f>IF(真實IC!BK21&gt;真實IC!BK$25,1,0)</f>
        <v/>
      </c>
      <c r="BL21" s="11">
        <f>IF(真實IC!BL21&gt;真實IC!BL$25,1,0)</f>
        <v/>
      </c>
      <c r="BM21" s="11">
        <f>IF(真實IC!BM21&gt;真實IC!BM$25,1,0)</f>
        <v/>
      </c>
      <c r="BN21" s="11">
        <f>IF(真實IC!BN21&gt;真實IC!BN$25,1,0)</f>
        <v/>
      </c>
      <c r="BO21" s="11">
        <f>IF(真實IC!BO21&gt;真實IC!BO$25,1,0)</f>
        <v/>
      </c>
      <c r="BP21" s="11">
        <f>IF(真實IC!BP21&gt;真實IC!BP$25,1,0)</f>
        <v/>
      </c>
      <c r="BQ21" s="11">
        <f>IF(真實IC!BQ21&gt;真實IC!BQ$25,1,0)</f>
        <v/>
      </c>
      <c r="BR21" s="11">
        <f>IF(真實IC!BR21&gt;真實IC!BR$25,1,0)</f>
        <v/>
      </c>
      <c r="BS21" s="11">
        <f>IF(真實IC!BS21&gt;真實IC!BS$25,1,0)</f>
        <v/>
      </c>
      <c r="BT21" s="11">
        <f>IF(真實IC!BT21&gt;真實IC!BT$25,1,0)</f>
        <v/>
      </c>
      <c r="BU21" s="11">
        <f>IF(真實IC!BU21&gt;真實IC!BU$25,1,0)</f>
        <v/>
      </c>
      <c r="BV21" s="11">
        <f>IF(真實IC!BV21&gt;真實IC!BV$25,1,0)</f>
        <v/>
      </c>
      <c r="BW21" s="11">
        <f>IF(真實IC!BW21&gt;真實IC!BW$25,1,0)</f>
        <v/>
      </c>
      <c r="BX21" s="11">
        <f>IF(真實IC!BX21&gt;真實IC!BX$25,1,0)</f>
        <v/>
      </c>
      <c r="BY21" s="11">
        <f>IF(真實IC!BY21&gt;真實IC!BY$25,1,0)</f>
        <v/>
      </c>
      <c r="BZ21" s="11">
        <f>IF(真實IC!BZ21&gt;真實IC!BZ$25,1,0)</f>
        <v/>
      </c>
      <c r="CA21" s="11">
        <f>IF(真實IC!CA21&gt;真實IC!CA$25,1,0)</f>
        <v/>
      </c>
      <c r="CB21" s="11">
        <f>IF(真實IC!CB21&gt;真實IC!CB$25,1,0)</f>
        <v/>
      </c>
      <c r="CC21" s="11">
        <f>IF(真實IC!CC21&gt;真實IC!CC$25,1,0)</f>
        <v/>
      </c>
      <c r="CD21" s="11">
        <f>IF(真實IC!CD21&gt;真實IC!CD$25,1,0)</f>
        <v/>
      </c>
      <c r="CE21" s="11">
        <f>IF(真實IC!CE21&gt;真實IC!CE$25,1,0)</f>
        <v/>
      </c>
      <c r="CF21" s="11">
        <f>IF(真實IC!CF21&gt;真實IC!CF$25,1,0)</f>
        <v/>
      </c>
      <c r="CG21" s="11">
        <f>IF(真實IC!CG21&gt;真實IC!CG$25,1,0)</f>
        <v/>
      </c>
      <c r="CH21" s="11">
        <f>IF(真實IC!CH21&gt;真實IC!CH$25,1,0)</f>
        <v/>
      </c>
      <c r="CI21" s="11">
        <f>IF(真實IC!CI21&gt;真實IC!CI$25,1,0)</f>
        <v/>
      </c>
      <c r="CJ21" s="11">
        <f>IF(真實IC!CJ21&gt;真實IC!CJ$25,1,0)</f>
        <v/>
      </c>
      <c r="CK21" s="11">
        <f>IF(真實IC!CK21&gt;真實IC!CK$25,1,0)</f>
        <v/>
      </c>
      <c r="CL21" s="11">
        <f>IF(真實IC!CL21&gt;真實IC!CL$25,1,0)</f>
        <v/>
      </c>
      <c r="CM21" s="11">
        <f>IF(真實IC!CM21&gt;真實IC!CM$25,1,0)</f>
        <v/>
      </c>
      <c r="CN21" s="11">
        <f>IF(真實IC!CN21&gt;真實IC!CN$25,1,0)</f>
        <v/>
      </c>
      <c r="CO21" s="11">
        <f>IF(真實IC!CO21&gt;真實IC!CO$25,1,0)</f>
        <v/>
      </c>
      <c r="CP21" s="11">
        <f>IF(真實IC!CP21&gt;真實IC!CP$25,1,0)</f>
        <v/>
      </c>
      <c r="CQ21" s="11">
        <f>IF(真實IC!CQ21&gt;真實IC!CQ$25,1,0)</f>
        <v/>
      </c>
      <c r="CR21" s="11">
        <f>IF(真實IC!CR21&gt;真實IC!CR$25,1,0)</f>
        <v/>
      </c>
      <c r="CS21" s="11">
        <f>IF(真實IC!CS21&gt;真實IC!CS$25,1,0)</f>
        <v/>
      </c>
      <c r="CT21" s="11">
        <f>IF(真實IC!CT21&gt;真實IC!CT$25,1,0)</f>
        <v/>
      </c>
      <c r="CU21" s="11">
        <f>IF(真實IC!CU21&gt;真實IC!CU$25,1,0)</f>
        <v/>
      </c>
      <c r="CV21" s="11">
        <f>IF(真實IC!CV21&gt;真實IC!CV$25,1,0)</f>
        <v/>
      </c>
      <c r="CW21" s="11">
        <f>IF(真實IC!CW21&gt;真實IC!CW$25,1,0)</f>
        <v/>
      </c>
      <c r="CX21" s="11">
        <f>IF(真實IC!CX21&gt;真實IC!CX$25,1,0)</f>
        <v/>
      </c>
      <c r="CY21" s="11">
        <f>IF(真實IC!CY21&gt;真實IC!CY$25,1,0)</f>
        <v/>
      </c>
      <c r="CZ21" s="11">
        <f>IF(真實IC!CZ21&gt;真實IC!CZ$25,1,0)</f>
        <v/>
      </c>
      <c r="DA21" s="11">
        <f>IF(真實IC!DA21&gt;真實IC!DA$25,1,0)</f>
        <v/>
      </c>
      <c r="DB21" s="11">
        <f>IF(真實IC!DB21&gt;真實IC!DB$25,1,0)</f>
        <v/>
      </c>
      <c r="DC21" s="11">
        <f>IF(真實IC!DC21&gt;真實IC!DC$25,1,0)</f>
        <v/>
      </c>
      <c r="DD21" s="11">
        <f>IF(真實IC!DD21&gt;真實IC!DD$25,1,0)</f>
        <v/>
      </c>
      <c r="DE21" s="11">
        <f>IF(真實IC!DE21&gt;真實IC!DE$25,1,0)</f>
        <v/>
      </c>
      <c r="DF21" s="11">
        <f>IF(真實IC!DF21&gt;真實IC!DF$25,1,0)</f>
        <v/>
      </c>
      <c r="DG21" s="11">
        <f>IF(真實IC!DG21&gt;真實IC!DG$25,1,0)</f>
        <v/>
      </c>
      <c r="DH21" s="11">
        <f>IF(真實IC!DH21&gt;真實IC!DH$25,1,0)</f>
        <v/>
      </c>
      <c r="DI21" s="11">
        <f>IF(真實IC!DI21&gt;真實IC!DI$25,1,0)</f>
        <v/>
      </c>
      <c r="DJ21" s="11">
        <f>IF(真實IC!DJ21&gt;真實IC!DJ$25,1,0)</f>
        <v/>
      </c>
      <c r="DK21" s="11">
        <f>IF(真實IC!DK21&gt;真實IC!DK$25,1,0)</f>
        <v/>
      </c>
      <c r="DL21" s="11">
        <f>IF(真實IC!DL21&gt;真實IC!DL$25,1,0)</f>
        <v/>
      </c>
      <c r="DM21" s="11">
        <f>IF(真實IC!DM21&gt;真實IC!DM$25,1,0)</f>
        <v/>
      </c>
      <c r="DN21" s="11">
        <f>IF(真實IC!DN21&gt;真實IC!DN$25,1,0)</f>
        <v/>
      </c>
      <c r="DO21" s="11">
        <f>IF(真實IC!DO21&gt;真實IC!DO$25,1,0)</f>
        <v/>
      </c>
      <c r="DP21" s="11">
        <f>IF(真實IC!DP21&gt;真實IC!DP$25,1,0)</f>
        <v/>
      </c>
      <c r="DQ21" s="11">
        <f>IF(真實IC!DQ21&gt;真實IC!DQ$25,1,0)</f>
        <v/>
      </c>
      <c r="DR21" s="11">
        <f>IF(真實IC!DR21&gt;真實IC!DR$25,1,0)</f>
        <v/>
      </c>
      <c r="DS21" s="11">
        <f>IF(真實IC!DS21&gt;真實IC!DS$25,1,0)</f>
        <v/>
      </c>
      <c r="DT21" s="11">
        <f>IF(真實IC!DT21&gt;真實IC!DT$25,1,0)</f>
        <v/>
      </c>
      <c r="DU21" s="11">
        <f>IF(真實IC!DU21&gt;真實IC!DU$25,1,0)</f>
        <v/>
      </c>
      <c r="DV21" s="11">
        <f>IF(真實IC!DV21&gt;真實IC!DV$25,1,0)</f>
        <v/>
      </c>
      <c r="DW21" s="11">
        <f>IF(真實IC!DW21&gt;真實IC!DW$25,1,0)</f>
        <v/>
      </c>
      <c r="DX21" s="11">
        <f>IF(真實IC!DX21&gt;真實IC!DX$25,1,0)</f>
        <v/>
      </c>
      <c r="DY21" s="11">
        <f>IF(真實IC!DY21&gt;真實IC!DY$25,1,0)</f>
        <v/>
      </c>
      <c r="DZ21" s="11">
        <f>IF(真實IC!DZ21&gt;真實IC!DZ$25,1,0)</f>
        <v/>
      </c>
      <c r="EA21" s="11">
        <f>IF(真實IC!EA21&gt;真實IC!EA$25,1,0)</f>
        <v/>
      </c>
      <c r="EB21" s="11">
        <f>IF(真實IC!EB21&gt;真實IC!EB$25,1,0)</f>
        <v/>
      </c>
      <c r="EC21" s="11">
        <f>IF(真實IC!EC21&gt;真實IC!EC$25,1,0)</f>
        <v/>
      </c>
      <c r="ED21" s="11">
        <f>IF(真實IC!ED21&gt;真實IC!ED$25,1,0)</f>
        <v/>
      </c>
      <c r="EE21" s="11">
        <f>IF(真實IC!EE21&gt;真實IC!EE$25,1,0)</f>
        <v/>
      </c>
      <c r="EF21" s="11">
        <f>IF(真實IC!EF21&gt;真實IC!EF$25,1,0)</f>
        <v/>
      </c>
      <c r="EG21" s="11">
        <f>IF(真實IC!EG21&gt;真實IC!EG$25,1,0)</f>
        <v/>
      </c>
      <c r="EH21" s="11">
        <f>IF(真實IC!EH21&gt;真實IC!EH$25,1,0)</f>
        <v/>
      </c>
      <c r="EI21" s="11">
        <f>IF(真實IC!EI21&gt;真實IC!EI$25,1,0)</f>
        <v/>
      </c>
      <c r="EJ21" s="11">
        <f>IF(真實IC!EJ21&gt;真實IC!EJ$25,1,0)</f>
        <v/>
      </c>
      <c r="EK21" s="11">
        <f>IF(真實IC!EK21&gt;真實IC!EK$25,1,0)</f>
        <v/>
      </c>
      <c r="EL21" s="11">
        <f>IF(真實IC!EL21&gt;真實IC!EL$25,1,0)</f>
        <v/>
      </c>
      <c r="EM21" s="7">
        <f>SUM(C21:EL21)</f>
        <v/>
      </c>
      <c r="EN21" s="15">
        <f>EM21/140</f>
        <v/>
      </c>
    </row>
    <row r="22">
      <c r="A22" s="13" t="n">
        <v>400</v>
      </c>
      <c r="B22" s="13">
        <f>ROUND($D$10/A22,0)</f>
        <v/>
      </c>
      <c r="C22" s="11">
        <f>IF(真實IC!C22&gt;真實IC!C$25,1,0)</f>
        <v/>
      </c>
      <c r="D22" s="11">
        <f>IF(真實IC!D22&gt;真實IC!D$25,1,0)</f>
        <v/>
      </c>
      <c r="E22" s="11">
        <f>IF(真實IC!E22&gt;真實IC!E$25,1,0)</f>
        <v/>
      </c>
      <c r="F22" s="11">
        <f>IF(真實IC!F22&gt;真實IC!F$25,1,0)</f>
        <v/>
      </c>
      <c r="G22" s="11">
        <f>IF(真實IC!G22&gt;真實IC!G$25,1,0)</f>
        <v/>
      </c>
      <c r="H22" s="11">
        <f>IF(真實IC!H22&gt;真實IC!H$25,1,0)</f>
        <v/>
      </c>
      <c r="I22" s="11">
        <f>IF(真實IC!I22&gt;真實IC!I$25,1,0)</f>
        <v/>
      </c>
      <c r="J22" s="11">
        <f>IF(真實IC!J22&gt;真實IC!J$25,1,0)</f>
        <v/>
      </c>
      <c r="K22" s="11">
        <f>IF(真實IC!K22&gt;真實IC!K$25,1,0)</f>
        <v/>
      </c>
      <c r="L22" s="11">
        <f>IF(真實IC!L22&gt;真實IC!L$25,1,0)</f>
        <v/>
      </c>
      <c r="M22" s="11">
        <f>IF(真實IC!M22&gt;真實IC!M$25,1,0)</f>
        <v/>
      </c>
      <c r="N22" s="11">
        <f>IF(真實IC!N22&gt;真實IC!N$25,1,0)</f>
        <v/>
      </c>
      <c r="O22" s="11">
        <f>IF(真實IC!O22&gt;真實IC!O$25,1,0)</f>
        <v/>
      </c>
      <c r="P22" s="11">
        <f>IF(真實IC!P22&gt;真實IC!P$25,1,0)</f>
        <v/>
      </c>
      <c r="Q22" s="11">
        <f>IF(真實IC!Q22&gt;真實IC!Q$25,1,0)</f>
        <v/>
      </c>
      <c r="R22" s="11">
        <f>IF(真實IC!R22&gt;真實IC!R$25,1,0)</f>
        <v/>
      </c>
      <c r="S22" s="11">
        <f>IF(真實IC!S22&gt;真實IC!S$25,1,0)</f>
        <v/>
      </c>
      <c r="T22" s="11">
        <f>IF(真實IC!T22&gt;真實IC!T$25,1,0)</f>
        <v/>
      </c>
      <c r="U22" s="11">
        <f>IF(真實IC!U22&gt;真實IC!U$25,1,0)</f>
        <v/>
      </c>
      <c r="V22" s="11">
        <f>IF(真實IC!V22&gt;真實IC!V$25,1,0)</f>
        <v/>
      </c>
      <c r="W22" s="11">
        <f>IF(真實IC!W22&gt;真實IC!W$25,1,0)</f>
        <v/>
      </c>
      <c r="X22" s="11">
        <f>IF(真實IC!X22&gt;真實IC!X$25,1,0)</f>
        <v/>
      </c>
      <c r="Y22" s="11">
        <f>IF(真實IC!Y22&gt;真實IC!Y$25,1,0)</f>
        <v/>
      </c>
      <c r="Z22" s="11">
        <f>IF(真實IC!Z22&gt;真實IC!Z$25,1,0)</f>
        <v/>
      </c>
      <c r="AA22" s="11">
        <f>IF(真實IC!AA22&gt;真實IC!AA$25,1,0)</f>
        <v/>
      </c>
      <c r="AB22" s="11">
        <f>IF(真實IC!AB22&gt;真實IC!AB$25,1,0)</f>
        <v/>
      </c>
      <c r="AC22" s="11">
        <f>IF(真實IC!AC22&gt;真實IC!AC$25,1,0)</f>
        <v/>
      </c>
      <c r="AD22" s="11">
        <f>IF(真實IC!AD22&gt;真實IC!AD$25,1,0)</f>
        <v/>
      </c>
      <c r="AE22" s="11">
        <f>IF(真實IC!AE22&gt;真實IC!AE$25,1,0)</f>
        <v/>
      </c>
      <c r="AF22" s="11">
        <f>IF(真實IC!AF22&gt;真實IC!AF$25,1,0)</f>
        <v/>
      </c>
      <c r="AG22" s="11">
        <f>IF(真實IC!AG22&gt;真實IC!AG$25,1,0)</f>
        <v/>
      </c>
      <c r="AH22" s="11">
        <f>IF(真實IC!AH22&gt;真實IC!AH$25,1,0)</f>
        <v/>
      </c>
      <c r="AI22" s="11">
        <f>IF(真實IC!AI22&gt;真實IC!AI$25,1,0)</f>
        <v/>
      </c>
      <c r="AJ22" s="11">
        <f>IF(真實IC!AJ22&gt;真實IC!AJ$25,1,0)</f>
        <v/>
      </c>
      <c r="AK22" s="11">
        <f>IF(真實IC!AK22&gt;真實IC!AK$25,1,0)</f>
        <v/>
      </c>
      <c r="AL22" s="11">
        <f>IF(真實IC!AL22&gt;真實IC!AL$25,1,0)</f>
        <v/>
      </c>
      <c r="AM22" s="11">
        <f>IF(真實IC!AM22&gt;真實IC!AM$25,1,0)</f>
        <v/>
      </c>
      <c r="AN22" s="11">
        <f>IF(真實IC!AN22&gt;真實IC!AN$25,1,0)</f>
        <v/>
      </c>
      <c r="AO22" s="11">
        <f>IF(真實IC!AO22&gt;真實IC!AO$25,1,0)</f>
        <v/>
      </c>
      <c r="AP22" s="11">
        <f>IF(真實IC!AP22&gt;真實IC!AP$25,1,0)</f>
        <v/>
      </c>
      <c r="AQ22" s="11">
        <f>IF(真實IC!AQ22&gt;真實IC!AQ$25,1,0)</f>
        <v/>
      </c>
      <c r="AR22" s="11">
        <f>IF(真實IC!AR22&gt;真實IC!AR$25,1,0)</f>
        <v/>
      </c>
      <c r="AS22" s="11">
        <f>IF(真實IC!AS22&gt;真實IC!AS$25,1,0)</f>
        <v/>
      </c>
      <c r="AT22" s="11">
        <f>IF(真實IC!AT22&gt;真實IC!AT$25,1,0)</f>
        <v/>
      </c>
      <c r="AU22" s="11">
        <f>IF(真實IC!AU22&gt;真實IC!AU$25,1,0)</f>
        <v/>
      </c>
      <c r="AV22" s="11">
        <f>IF(真實IC!AV22&gt;真實IC!AV$25,1,0)</f>
        <v/>
      </c>
      <c r="AW22" s="11">
        <f>IF(真實IC!AW22&gt;真實IC!AW$25,1,0)</f>
        <v/>
      </c>
      <c r="AX22" s="11">
        <f>IF(真實IC!AX22&gt;真實IC!AX$25,1,0)</f>
        <v/>
      </c>
      <c r="AY22" s="11">
        <f>IF(真實IC!AY22&gt;真實IC!AY$25,1,0)</f>
        <v/>
      </c>
      <c r="AZ22" s="11">
        <f>IF(真實IC!AZ22&gt;真實IC!AZ$25,1,0)</f>
        <v/>
      </c>
      <c r="BA22" s="11">
        <f>IF(真實IC!BA22&gt;真實IC!BA$25,1,0)</f>
        <v/>
      </c>
      <c r="BB22" s="11">
        <f>IF(真實IC!BB22&gt;真實IC!BB$25,1,0)</f>
        <v/>
      </c>
      <c r="BC22" s="11">
        <f>IF(真實IC!BC22&gt;真實IC!BC$25,1,0)</f>
        <v/>
      </c>
      <c r="BD22" s="11">
        <f>IF(真實IC!BD22&gt;真實IC!BD$25,1,0)</f>
        <v/>
      </c>
      <c r="BE22" s="11">
        <f>IF(真實IC!BE22&gt;真實IC!BE$25,1,0)</f>
        <v/>
      </c>
      <c r="BF22" s="11">
        <f>IF(真實IC!BF22&gt;真實IC!BF$25,1,0)</f>
        <v/>
      </c>
      <c r="BG22" s="11">
        <f>IF(真實IC!BG22&gt;真實IC!BG$25,1,0)</f>
        <v/>
      </c>
      <c r="BH22" s="11">
        <f>IF(真實IC!BH22&gt;真實IC!BH$25,1,0)</f>
        <v/>
      </c>
      <c r="BI22" s="11">
        <f>IF(真實IC!BI22&gt;真實IC!BI$25,1,0)</f>
        <v/>
      </c>
      <c r="BJ22" s="11">
        <f>IF(真實IC!BJ22&gt;真實IC!BJ$25,1,0)</f>
        <v/>
      </c>
      <c r="BK22" s="11">
        <f>IF(真實IC!BK22&gt;真實IC!BK$25,1,0)</f>
        <v/>
      </c>
      <c r="BL22" s="11">
        <f>IF(真實IC!BL22&gt;真實IC!BL$25,1,0)</f>
        <v/>
      </c>
      <c r="BM22" s="11">
        <f>IF(真實IC!BM22&gt;真實IC!BM$25,1,0)</f>
        <v/>
      </c>
      <c r="BN22" s="11">
        <f>IF(真實IC!BN22&gt;真實IC!BN$25,1,0)</f>
        <v/>
      </c>
      <c r="BO22" s="11">
        <f>IF(真實IC!BO22&gt;真實IC!BO$25,1,0)</f>
        <v/>
      </c>
      <c r="BP22" s="11">
        <f>IF(真實IC!BP22&gt;真實IC!BP$25,1,0)</f>
        <v/>
      </c>
      <c r="BQ22" s="11">
        <f>IF(真實IC!BQ22&gt;真實IC!BQ$25,1,0)</f>
        <v/>
      </c>
      <c r="BR22" s="11">
        <f>IF(真實IC!BR22&gt;真實IC!BR$25,1,0)</f>
        <v/>
      </c>
      <c r="BS22" s="11">
        <f>IF(真實IC!BS22&gt;真實IC!BS$25,1,0)</f>
        <v/>
      </c>
      <c r="BT22" s="11">
        <f>IF(真實IC!BT22&gt;真實IC!BT$25,1,0)</f>
        <v/>
      </c>
      <c r="BU22" s="11">
        <f>IF(真實IC!BU22&gt;真實IC!BU$25,1,0)</f>
        <v/>
      </c>
      <c r="BV22" s="11">
        <f>IF(真實IC!BV22&gt;真實IC!BV$25,1,0)</f>
        <v/>
      </c>
      <c r="BW22" s="11">
        <f>IF(真實IC!BW22&gt;真實IC!BW$25,1,0)</f>
        <v/>
      </c>
      <c r="BX22" s="11">
        <f>IF(真實IC!BX22&gt;真實IC!BX$25,1,0)</f>
        <v/>
      </c>
      <c r="BY22" s="11">
        <f>IF(真實IC!BY22&gt;真實IC!BY$25,1,0)</f>
        <v/>
      </c>
      <c r="BZ22" s="11">
        <f>IF(真實IC!BZ22&gt;真實IC!BZ$25,1,0)</f>
        <v/>
      </c>
      <c r="CA22" s="11">
        <f>IF(真實IC!CA22&gt;真實IC!CA$25,1,0)</f>
        <v/>
      </c>
      <c r="CB22" s="11">
        <f>IF(真實IC!CB22&gt;真實IC!CB$25,1,0)</f>
        <v/>
      </c>
      <c r="CC22" s="11">
        <f>IF(真實IC!CC22&gt;真實IC!CC$25,1,0)</f>
        <v/>
      </c>
      <c r="CD22" s="11">
        <f>IF(真實IC!CD22&gt;真實IC!CD$25,1,0)</f>
        <v/>
      </c>
      <c r="CE22" s="11">
        <f>IF(真實IC!CE22&gt;真實IC!CE$25,1,0)</f>
        <v/>
      </c>
      <c r="CF22" s="11">
        <f>IF(真實IC!CF22&gt;真實IC!CF$25,1,0)</f>
        <v/>
      </c>
      <c r="CG22" s="11">
        <f>IF(真實IC!CG22&gt;真實IC!CG$25,1,0)</f>
        <v/>
      </c>
      <c r="CH22" s="11">
        <f>IF(真實IC!CH22&gt;真實IC!CH$25,1,0)</f>
        <v/>
      </c>
      <c r="CI22" s="11">
        <f>IF(真實IC!CI22&gt;真實IC!CI$25,1,0)</f>
        <v/>
      </c>
      <c r="CJ22" s="11">
        <f>IF(真實IC!CJ22&gt;真實IC!CJ$25,1,0)</f>
        <v/>
      </c>
      <c r="CK22" s="11">
        <f>IF(真實IC!CK22&gt;真實IC!CK$25,1,0)</f>
        <v/>
      </c>
      <c r="CL22" s="11">
        <f>IF(真實IC!CL22&gt;真實IC!CL$25,1,0)</f>
        <v/>
      </c>
      <c r="CM22" s="11">
        <f>IF(真實IC!CM22&gt;真實IC!CM$25,1,0)</f>
        <v/>
      </c>
      <c r="CN22" s="11">
        <f>IF(真實IC!CN22&gt;真實IC!CN$25,1,0)</f>
        <v/>
      </c>
      <c r="CO22" s="11">
        <f>IF(真實IC!CO22&gt;真實IC!CO$25,1,0)</f>
        <v/>
      </c>
      <c r="CP22" s="11">
        <f>IF(真實IC!CP22&gt;真實IC!CP$25,1,0)</f>
        <v/>
      </c>
      <c r="CQ22" s="11">
        <f>IF(真實IC!CQ22&gt;真實IC!CQ$25,1,0)</f>
        <v/>
      </c>
      <c r="CR22" s="11">
        <f>IF(真實IC!CR22&gt;真實IC!CR$25,1,0)</f>
        <v/>
      </c>
      <c r="CS22" s="11">
        <f>IF(真實IC!CS22&gt;真實IC!CS$25,1,0)</f>
        <v/>
      </c>
      <c r="CT22" s="11">
        <f>IF(真實IC!CT22&gt;真實IC!CT$25,1,0)</f>
        <v/>
      </c>
      <c r="CU22" s="11">
        <f>IF(真實IC!CU22&gt;真實IC!CU$25,1,0)</f>
        <v/>
      </c>
      <c r="CV22" s="11">
        <f>IF(真實IC!CV22&gt;真實IC!CV$25,1,0)</f>
        <v/>
      </c>
      <c r="CW22" s="11">
        <f>IF(真實IC!CW22&gt;真實IC!CW$25,1,0)</f>
        <v/>
      </c>
      <c r="CX22" s="11">
        <f>IF(真實IC!CX22&gt;真實IC!CX$25,1,0)</f>
        <v/>
      </c>
      <c r="CY22" s="11">
        <f>IF(真實IC!CY22&gt;真實IC!CY$25,1,0)</f>
        <v/>
      </c>
      <c r="CZ22" s="11">
        <f>IF(真實IC!CZ22&gt;真實IC!CZ$25,1,0)</f>
        <v/>
      </c>
      <c r="DA22" s="11">
        <f>IF(真實IC!DA22&gt;真實IC!DA$25,1,0)</f>
        <v/>
      </c>
      <c r="DB22" s="11">
        <f>IF(真實IC!DB22&gt;真實IC!DB$25,1,0)</f>
        <v/>
      </c>
      <c r="DC22" s="11">
        <f>IF(真實IC!DC22&gt;真實IC!DC$25,1,0)</f>
        <v/>
      </c>
      <c r="DD22" s="11">
        <f>IF(真實IC!DD22&gt;真實IC!DD$25,1,0)</f>
        <v/>
      </c>
      <c r="DE22" s="11">
        <f>IF(真實IC!DE22&gt;真實IC!DE$25,1,0)</f>
        <v/>
      </c>
      <c r="DF22" s="11">
        <f>IF(真實IC!DF22&gt;真實IC!DF$25,1,0)</f>
        <v/>
      </c>
      <c r="DG22" s="11">
        <f>IF(真實IC!DG22&gt;真實IC!DG$25,1,0)</f>
        <v/>
      </c>
      <c r="DH22" s="11">
        <f>IF(真實IC!DH22&gt;真實IC!DH$25,1,0)</f>
        <v/>
      </c>
      <c r="DI22" s="11">
        <f>IF(真實IC!DI22&gt;真實IC!DI$25,1,0)</f>
        <v/>
      </c>
      <c r="DJ22" s="11">
        <f>IF(真實IC!DJ22&gt;真實IC!DJ$25,1,0)</f>
        <v/>
      </c>
      <c r="DK22" s="11">
        <f>IF(真實IC!DK22&gt;真實IC!DK$25,1,0)</f>
        <v/>
      </c>
      <c r="DL22" s="11">
        <f>IF(真實IC!DL22&gt;真實IC!DL$25,1,0)</f>
        <v/>
      </c>
      <c r="DM22" s="11">
        <f>IF(真實IC!DM22&gt;真實IC!DM$25,1,0)</f>
        <v/>
      </c>
      <c r="DN22" s="11">
        <f>IF(真實IC!DN22&gt;真實IC!DN$25,1,0)</f>
        <v/>
      </c>
      <c r="DO22" s="11">
        <f>IF(真實IC!DO22&gt;真實IC!DO$25,1,0)</f>
        <v/>
      </c>
      <c r="DP22" s="11">
        <f>IF(真實IC!DP22&gt;真實IC!DP$25,1,0)</f>
        <v/>
      </c>
      <c r="DQ22" s="11">
        <f>IF(真實IC!DQ22&gt;真實IC!DQ$25,1,0)</f>
        <v/>
      </c>
      <c r="DR22" s="11">
        <f>IF(真實IC!DR22&gt;真實IC!DR$25,1,0)</f>
        <v/>
      </c>
      <c r="DS22" s="11">
        <f>IF(真實IC!DS22&gt;真實IC!DS$25,1,0)</f>
        <v/>
      </c>
      <c r="DT22" s="11">
        <f>IF(真實IC!DT22&gt;真實IC!DT$25,1,0)</f>
        <v/>
      </c>
      <c r="DU22" s="11">
        <f>IF(真實IC!DU22&gt;真實IC!DU$25,1,0)</f>
        <v/>
      </c>
      <c r="DV22" s="11">
        <f>IF(真實IC!DV22&gt;真實IC!DV$25,1,0)</f>
        <v/>
      </c>
      <c r="DW22" s="11">
        <f>IF(真實IC!DW22&gt;真實IC!DW$25,1,0)</f>
        <v/>
      </c>
      <c r="DX22" s="11">
        <f>IF(真實IC!DX22&gt;真實IC!DX$25,1,0)</f>
        <v/>
      </c>
      <c r="DY22" s="11">
        <f>IF(真實IC!DY22&gt;真實IC!DY$25,1,0)</f>
        <v/>
      </c>
      <c r="DZ22" s="11">
        <f>IF(真實IC!DZ22&gt;真實IC!DZ$25,1,0)</f>
        <v/>
      </c>
      <c r="EA22" s="11">
        <f>IF(真實IC!EA22&gt;真實IC!EA$25,1,0)</f>
        <v/>
      </c>
      <c r="EB22" s="11">
        <f>IF(真實IC!EB22&gt;真實IC!EB$25,1,0)</f>
        <v/>
      </c>
      <c r="EC22" s="11">
        <f>IF(真實IC!EC22&gt;真實IC!EC$25,1,0)</f>
        <v/>
      </c>
      <c r="ED22" s="11">
        <f>IF(真實IC!ED22&gt;真實IC!ED$25,1,0)</f>
        <v/>
      </c>
      <c r="EE22" s="11">
        <f>IF(真實IC!EE22&gt;真實IC!EE$25,1,0)</f>
        <v/>
      </c>
      <c r="EF22" s="11">
        <f>IF(真實IC!EF22&gt;真實IC!EF$25,1,0)</f>
        <v/>
      </c>
      <c r="EG22" s="11">
        <f>IF(真實IC!EG22&gt;真實IC!EG$25,1,0)</f>
        <v/>
      </c>
      <c r="EH22" s="11">
        <f>IF(真實IC!EH22&gt;真實IC!EH$25,1,0)</f>
        <v/>
      </c>
      <c r="EI22" s="11">
        <f>IF(真實IC!EI22&gt;真實IC!EI$25,1,0)</f>
        <v/>
      </c>
      <c r="EJ22" s="11">
        <f>IF(真實IC!EJ22&gt;真實IC!EJ$25,1,0)</f>
        <v/>
      </c>
      <c r="EK22" s="11">
        <f>IF(真實IC!EK22&gt;真實IC!EK$25,1,0)</f>
        <v/>
      </c>
      <c r="EL22" s="11">
        <f>IF(真實IC!EL22&gt;真實IC!EL$25,1,0)</f>
        <v/>
      </c>
      <c r="EM22" s="7">
        <f>SUM(C22:EL22)</f>
        <v/>
      </c>
      <c r="EN22" s="15">
        <f>EM22/140</f>
        <v/>
      </c>
    </row>
    <row r="23">
      <c r="A23" s="13" t="n">
        <v>512</v>
      </c>
      <c r="B23" s="13">
        <f>ROUND($D$10/A23,0)</f>
        <v/>
      </c>
      <c r="C23" s="11">
        <f>IF(真實IC!C23&gt;真實IC!C$25,1,0)</f>
        <v/>
      </c>
      <c r="D23" s="11">
        <f>IF(真實IC!D23&gt;真實IC!D$25,1,0)</f>
        <v/>
      </c>
      <c r="E23" s="11">
        <f>IF(真實IC!E23&gt;真實IC!E$25,1,0)</f>
        <v/>
      </c>
      <c r="F23" s="11">
        <f>IF(真實IC!F23&gt;真實IC!F$25,1,0)</f>
        <v/>
      </c>
      <c r="G23" s="11">
        <f>IF(真實IC!G23&gt;真實IC!G$25,1,0)</f>
        <v/>
      </c>
      <c r="H23" s="11">
        <f>IF(真實IC!H23&gt;真實IC!H$25,1,0)</f>
        <v/>
      </c>
      <c r="I23" s="11">
        <f>IF(真實IC!I23&gt;真實IC!I$25,1,0)</f>
        <v/>
      </c>
      <c r="J23" s="11">
        <f>IF(真實IC!J23&gt;真實IC!J$25,1,0)</f>
        <v/>
      </c>
      <c r="K23" s="11">
        <f>IF(真實IC!K23&gt;真實IC!K$25,1,0)</f>
        <v/>
      </c>
      <c r="L23" s="11">
        <f>IF(真實IC!L23&gt;真實IC!L$25,1,0)</f>
        <v/>
      </c>
      <c r="M23" s="11">
        <f>IF(真實IC!M23&gt;真實IC!M$25,1,0)</f>
        <v/>
      </c>
      <c r="N23" s="11">
        <f>IF(真實IC!N23&gt;真實IC!N$25,1,0)</f>
        <v/>
      </c>
      <c r="O23" s="11">
        <f>IF(真實IC!O23&gt;真實IC!O$25,1,0)</f>
        <v/>
      </c>
      <c r="P23" s="11">
        <f>IF(真實IC!P23&gt;真實IC!P$25,1,0)</f>
        <v/>
      </c>
      <c r="Q23" s="11">
        <f>IF(真實IC!Q23&gt;真實IC!Q$25,1,0)</f>
        <v/>
      </c>
      <c r="R23" s="11">
        <f>IF(真實IC!R23&gt;真實IC!R$25,1,0)</f>
        <v/>
      </c>
      <c r="S23" s="11">
        <f>IF(真實IC!S23&gt;真實IC!S$25,1,0)</f>
        <v/>
      </c>
      <c r="T23" s="11">
        <f>IF(真實IC!T23&gt;真實IC!T$25,1,0)</f>
        <v/>
      </c>
      <c r="U23" s="11">
        <f>IF(真實IC!U23&gt;真實IC!U$25,1,0)</f>
        <v/>
      </c>
      <c r="V23" s="11">
        <f>IF(真實IC!V23&gt;真實IC!V$25,1,0)</f>
        <v/>
      </c>
      <c r="W23" s="11">
        <f>IF(真實IC!W23&gt;真實IC!W$25,1,0)</f>
        <v/>
      </c>
      <c r="X23" s="11">
        <f>IF(真實IC!X23&gt;真實IC!X$25,1,0)</f>
        <v/>
      </c>
      <c r="Y23" s="11">
        <f>IF(真實IC!Y23&gt;真實IC!Y$25,1,0)</f>
        <v/>
      </c>
      <c r="Z23" s="11">
        <f>IF(真實IC!Z23&gt;真實IC!Z$25,1,0)</f>
        <v/>
      </c>
      <c r="AA23" s="11">
        <f>IF(真實IC!AA23&gt;真實IC!AA$25,1,0)</f>
        <v/>
      </c>
      <c r="AB23" s="11">
        <f>IF(真實IC!AB23&gt;真實IC!AB$25,1,0)</f>
        <v/>
      </c>
      <c r="AC23" s="11">
        <f>IF(真實IC!AC23&gt;真實IC!AC$25,1,0)</f>
        <v/>
      </c>
      <c r="AD23" s="11">
        <f>IF(真實IC!AD23&gt;真實IC!AD$25,1,0)</f>
        <v/>
      </c>
      <c r="AE23" s="11">
        <f>IF(真實IC!AE23&gt;真實IC!AE$25,1,0)</f>
        <v/>
      </c>
      <c r="AF23" s="11">
        <f>IF(真實IC!AF23&gt;真實IC!AF$25,1,0)</f>
        <v/>
      </c>
      <c r="AG23" s="11">
        <f>IF(真實IC!AG23&gt;真實IC!AG$25,1,0)</f>
        <v/>
      </c>
      <c r="AH23" s="11">
        <f>IF(真實IC!AH23&gt;真實IC!AH$25,1,0)</f>
        <v/>
      </c>
      <c r="AI23" s="11">
        <f>IF(真實IC!AI23&gt;真實IC!AI$25,1,0)</f>
        <v/>
      </c>
      <c r="AJ23" s="11">
        <f>IF(真實IC!AJ23&gt;真實IC!AJ$25,1,0)</f>
        <v/>
      </c>
      <c r="AK23" s="11">
        <f>IF(真實IC!AK23&gt;真實IC!AK$25,1,0)</f>
        <v/>
      </c>
      <c r="AL23" s="11">
        <f>IF(真實IC!AL23&gt;真實IC!AL$25,1,0)</f>
        <v/>
      </c>
      <c r="AM23" s="11">
        <f>IF(真實IC!AM23&gt;真實IC!AM$25,1,0)</f>
        <v/>
      </c>
      <c r="AN23" s="11">
        <f>IF(真實IC!AN23&gt;真實IC!AN$25,1,0)</f>
        <v/>
      </c>
      <c r="AO23" s="11">
        <f>IF(真實IC!AO23&gt;真實IC!AO$25,1,0)</f>
        <v/>
      </c>
      <c r="AP23" s="11">
        <f>IF(真實IC!AP23&gt;真實IC!AP$25,1,0)</f>
        <v/>
      </c>
      <c r="AQ23" s="11">
        <f>IF(真實IC!AQ23&gt;真實IC!AQ$25,1,0)</f>
        <v/>
      </c>
      <c r="AR23" s="11">
        <f>IF(真實IC!AR23&gt;真實IC!AR$25,1,0)</f>
        <v/>
      </c>
      <c r="AS23" s="11">
        <f>IF(真實IC!AS23&gt;真實IC!AS$25,1,0)</f>
        <v/>
      </c>
      <c r="AT23" s="11">
        <f>IF(真實IC!AT23&gt;真實IC!AT$25,1,0)</f>
        <v/>
      </c>
      <c r="AU23" s="11">
        <f>IF(真實IC!AU23&gt;真實IC!AU$25,1,0)</f>
        <v/>
      </c>
      <c r="AV23" s="11">
        <f>IF(真實IC!AV23&gt;真實IC!AV$25,1,0)</f>
        <v/>
      </c>
      <c r="AW23" s="11">
        <f>IF(真實IC!AW23&gt;真實IC!AW$25,1,0)</f>
        <v/>
      </c>
      <c r="AX23" s="11">
        <f>IF(真實IC!AX23&gt;真實IC!AX$25,1,0)</f>
        <v/>
      </c>
      <c r="AY23" s="11">
        <f>IF(真實IC!AY23&gt;真實IC!AY$25,1,0)</f>
        <v/>
      </c>
      <c r="AZ23" s="11">
        <f>IF(真實IC!AZ23&gt;真實IC!AZ$25,1,0)</f>
        <v/>
      </c>
      <c r="BA23" s="11">
        <f>IF(真實IC!BA23&gt;真實IC!BA$25,1,0)</f>
        <v/>
      </c>
      <c r="BB23" s="11">
        <f>IF(真實IC!BB23&gt;真實IC!BB$25,1,0)</f>
        <v/>
      </c>
      <c r="BC23" s="11">
        <f>IF(真實IC!BC23&gt;真實IC!BC$25,1,0)</f>
        <v/>
      </c>
      <c r="BD23" s="11">
        <f>IF(真實IC!BD23&gt;真實IC!BD$25,1,0)</f>
        <v/>
      </c>
      <c r="BE23" s="11">
        <f>IF(真實IC!BE23&gt;真實IC!BE$25,1,0)</f>
        <v/>
      </c>
      <c r="BF23" s="11">
        <f>IF(真實IC!BF23&gt;真實IC!BF$25,1,0)</f>
        <v/>
      </c>
      <c r="BG23" s="11">
        <f>IF(真實IC!BG23&gt;真實IC!BG$25,1,0)</f>
        <v/>
      </c>
      <c r="BH23" s="11">
        <f>IF(真實IC!BH23&gt;真實IC!BH$25,1,0)</f>
        <v/>
      </c>
      <c r="BI23" s="11">
        <f>IF(真實IC!BI23&gt;真實IC!BI$25,1,0)</f>
        <v/>
      </c>
      <c r="BJ23" s="11">
        <f>IF(真實IC!BJ23&gt;真實IC!BJ$25,1,0)</f>
        <v/>
      </c>
      <c r="BK23" s="11">
        <f>IF(真實IC!BK23&gt;真實IC!BK$25,1,0)</f>
        <v/>
      </c>
      <c r="BL23" s="11">
        <f>IF(真實IC!BL23&gt;真實IC!BL$25,1,0)</f>
        <v/>
      </c>
      <c r="BM23" s="11">
        <f>IF(真實IC!BM23&gt;真實IC!BM$25,1,0)</f>
        <v/>
      </c>
      <c r="BN23" s="11">
        <f>IF(真實IC!BN23&gt;真實IC!BN$25,1,0)</f>
        <v/>
      </c>
      <c r="BO23" s="11">
        <f>IF(真實IC!BO23&gt;真實IC!BO$25,1,0)</f>
        <v/>
      </c>
      <c r="BP23" s="11">
        <f>IF(真實IC!BP23&gt;真實IC!BP$25,1,0)</f>
        <v/>
      </c>
      <c r="BQ23" s="11">
        <f>IF(真實IC!BQ23&gt;真實IC!BQ$25,1,0)</f>
        <v/>
      </c>
      <c r="BR23" s="11">
        <f>IF(真實IC!BR23&gt;真實IC!BR$25,1,0)</f>
        <v/>
      </c>
      <c r="BS23" s="11">
        <f>IF(真實IC!BS23&gt;真實IC!BS$25,1,0)</f>
        <v/>
      </c>
      <c r="BT23" s="11">
        <f>IF(真實IC!BT23&gt;真實IC!BT$25,1,0)</f>
        <v/>
      </c>
      <c r="BU23" s="11">
        <f>IF(真實IC!BU23&gt;真實IC!BU$25,1,0)</f>
        <v/>
      </c>
      <c r="BV23" s="11">
        <f>IF(真實IC!BV23&gt;真實IC!BV$25,1,0)</f>
        <v/>
      </c>
      <c r="BW23" s="11">
        <f>IF(真實IC!BW23&gt;真實IC!BW$25,1,0)</f>
        <v/>
      </c>
      <c r="BX23" s="11">
        <f>IF(真實IC!BX23&gt;真實IC!BX$25,1,0)</f>
        <v/>
      </c>
      <c r="BY23" s="11">
        <f>IF(真實IC!BY23&gt;真實IC!BY$25,1,0)</f>
        <v/>
      </c>
      <c r="BZ23" s="11">
        <f>IF(真實IC!BZ23&gt;真實IC!BZ$25,1,0)</f>
        <v/>
      </c>
      <c r="CA23" s="11">
        <f>IF(真實IC!CA23&gt;真實IC!CA$25,1,0)</f>
        <v/>
      </c>
      <c r="CB23" s="11">
        <f>IF(真實IC!CB23&gt;真實IC!CB$25,1,0)</f>
        <v/>
      </c>
      <c r="CC23" s="11">
        <f>IF(真實IC!CC23&gt;真實IC!CC$25,1,0)</f>
        <v/>
      </c>
      <c r="CD23" s="11">
        <f>IF(真實IC!CD23&gt;真實IC!CD$25,1,0)</f>
        <v/>
      </c>
      <c r="CE23" s="11">
        <f>IF(真實IC!CE23&gt;真實IC!CE$25,1,0)</f>
        <v/>
      </c>
      <c r="CF23" s="11">
        <f>IF(真實IC!CF23&gt;真實IC!CF$25,1,0)</f>
        <v/>
      </c>
      <c r="CG23" s="11">
        <f>IF(真實IC!CG23&gt;真實IC!CG$25,1,0)</f>
        <v/>
      </c>
      <c r="CH23" s="11">
        <f>IF(真實IC!CH23&gt;真實IC!CH$25,1,0)</f>
        <v/>
      </c>
      <c r="CI23" s="11">
        <f>IF(真實IC!CI23&gt;真實IC!CI$25,1,0)</f>
        <v/>
      </c>
      <c r="CJ23" s="11">
        <f>IF(真實IC!CJ23&gt;真實IC!CJ$25,1,0)</f>
        <v/>
      </c>
      <c r="CK23" s="11">
        <f>IF(真實IC!CK23&gt;真實IC!CK$25,1,0)</f>
        <v/>
      </c>
      <c r="CL23" s="11">
        <f>IF(真實IC!CL23&gt;真實IC!CL$25,1,0)</f>
        <v/>
      </c>
      <c r="CM23" s="11">
        <f>IF(真實IC!CM23&gt;真實IC!CM$25,1,0)</f>
        <v/>
      </c>
      <c r="CN23" s="11">
        <f>IF(真實IC!CN23&gt;真實IC!CN$25,1,0)</f>
        <v/>
      </c>
      <c r="CO23" s="11">
        <f>IF(真實IC!CO23&gt;真實IC!CO$25,1,0)</f>
        <v/>
      </c>
      <c r="CP23" s="11">
        <f>IF(真實IC!CP23&gt;真實IC!CP$25,1,0)</f>
        <v/>
      </c>
      <c r="CQ23" s="11">
        <f>IF(真實IC!CQ23&gt;真實IC!CQ$25,1,0)</f>
        <v/>
      </c>
      <c r="CR23" s="11">
        <f>IF(真實IC!CR23&gt;真實IC!CR$25,1,0)</f>
        <v/>
      </c>
      <c r="CS23" s="11">
        <f>IF(真實IC!CS23&gt;真實IC!CS$25,1,0)</f>
        <v/>
      </c>
      <c r="CT23" s="11">
        <f>IF(真實IC!CT23&gt;真實IC!CT$25,1,0)</f>
        <v/>
      </c>
      <c r="CU23" s="11">
        <f>IF(真實IC!CU23&gt;真實IC!CU$25,1,0)</f>
        <v/>
      </c>
      <c r="CV23" s="11">
        <f>IF(真實IC!CV23&gt;真實IC!CV$25,1,0)</f>
        <v/>
      </c>
      <c r="CW23" s="11">
        <f>IF(真實IC!CW23&gt;真實IC!CW$25,1,0)</f>
        <v/>
      </c>
      <c r="CX23" s="11">
        <f>IF(真實IC!CX23&gt;真實IC!CX$25,1,0)</f>
        <v/>
      </c>
      <c r="CY23" s="11">
        <f>IF(真實IC!CY23&gt;真實IC!CY$25,1,0)</f>
        <v/>
      </c>
      <c r="CZ23" s="11">
        <f>IF(真實IC!CZ23&gt;真實IC!CZ$25,1,0)</f>
        <v/>
      </c>
      <c r="DA23" s="11">
        <f>IF(真實IC!DA23&gt;真實IC!DA$25,1,0)</f>
        <v/>
      </c>
      <c r="DB23" s="11">
        <f>IF(真實IC!DB23&gt;真實IC!DB$25,1,0)</f>
        <v/>
      </c>
      <c r="DC23" s="11">
        <f>IF(真實IC!DC23&gt;真實IC!DC$25,1,0)</f>
        <v/>
      </c>
      <c r="DD23" s="11">
        <f>IF(真實IC!DD23&gt;真實IC!DD$25,1,0)</f>
        <v/>
      </c>
      <c r="DE23" s="11">
        <f>IF(真實IC!DE23&gt;真實IC!DE$25,1,0)</f>
        <v/>
      </c>
      <c r="DF23" s="11">
        <f>IF(真實IC!DF23&gt;真實IC!DF$25,1,0)</f>
        <v/>
      </c>
      <c r="DG23" s="11">
        <f>IF(真實IC!DG23&gt;真實IC!DG$25,1,0)</f>
        <v/>
      </c>
      <c r="DH23" s="11">
        <f>IF(真實IC!DH23&gt;真實IC!DH$25,1,0)</f>
        <v/>
      </c>
      <c r="DI23" s="11">
        <f>IF(真實IC!DI23&gt;真實IC!DI$25,1,0)</f>
        <v/>
      </c>
      <c r="DJ23" s="11">
        <f>IF(真實IC!DJ23&gt;真實IC!DJ$25,1,0)</f>
        <v/>
      </c>
      <c r="DK23" s="11">
        <f>IF(真實IC!DK23&gt;真實IC!DK$25,1,0)</f>
        <v/>
      </c>
      <c r="DL23" s="11">
        <f>IF(真實IC!DL23&gt;真實IC!DL$25,1,0)</f>
        <v/>
      </c>
      <c r="DM23" s="11">
        <f>IF(真實IC!DM23&gt;真實IC!DM$25,1,0)</f>
        <v/>
      </c>
      <c r="DN23" s="11">
        <f>IF(真實IC!DN23&gt;真實IC!DN$25,1,0)</f>
        <v/>
      </c>
      <c r="DO23" s="11">
        <f>IF(真實IC!DO23&gt;真實IC!DO$25,1,0)</f>
        <v/>
      </c>
      <c r="DP23" s="11">
        <f>IF(真實IC!DP23&gt;真實IC!DP$25,1,0)</f>
        <v/>
      </c>
      <c r="DQ23" s="11">
        <f>IF(真實IC!DQ23&gt;真實IC!DQ$25,1,0)</f>
        <v/>
      </c>
      <c r="DR23" s="11">
        <f>IF(真實IC!DR23&gt;真實IC!DR$25,1,0)</f>
        <v/>
      </c>
      <c r="DS23" s="11">
        <f>IF(真實IC!DS23&gt;真實IC!DS$25,1,0)</f>
        <v/>
      </c>
      <c r="DT23" s="11">
        <f>IF(真實IC!DT23&gt;真實IC!DT$25,1,0)</f>
        <v/>
      </c>
      <c r="DU23" s="11">
        <f>IF(真實IC!DU23&gt;真實IC!DU$25,1,0)</f>
        <v/>
      </c>
      <c r="DV23" s="11">
        <f>IF(真實IC!DV23&gt;真實IC!DV$25,1,0)</f>
        <v/>
      </c>
      <c r="DW23" s="11">
        <f>IF(真實IC!DW23&gt;真實IC!DW$25,1,0)</f>
        <v/>
      </c>
      <c r="DX23" s="11">
        <f>IF(真實IC!DX23&gt;真實IC!DX$25,1,0)</f>
        <v/>
      </c>
      <c r="DY23" s="11">
        <f>IF(真實IC!DY23&gt;真實IC!DY$25,1,0)</f>
        <v/>
      </c>
      <c r="DZ23" s="11">
        <f>IF(真實IC!DZ23&gt;真實IC!DZ$25,1,0)</f>
        <v/>
      </c>
      <c r="EA23" s="11">
        <f>IF(真實IC!EA23&gt;真實IC!EA$25,1,0)</f>
        <v/>
      </c>
      <c r="EB23" s="11">
        <f>IF(真實IC!EB23&gt;真實IC!EB$25,1,0)</f>
        <v/>
      </c>
      <c r="EC23" s="11">
        <f>IF(真實IC!EC23&gt;真實IC!EC$25,1,0)</f>
        <v/>
      </c>
      <c r="ED23" s="11">
        <f>IF(真實IC!ED23&gt;真實IC!ED$25,1,0)</f>
        <v/>
      </c>
      <c r="EE23" s="11">
        <f>IF(真實IC!EE23&gt;真實IC!EE$25,1,0)</f>
        <v/>
      </c>
      <c r="EF23" s="11">
        <f>IF(真實IC!EF23&gt;真實IC!EF$25,1,0)</f>
        <v/>
      </c>
      <c r="EG23" s="11">
        <f>IF(真實IC!EG23&gt;真實IC!EG$25,1,0)</f>
        <v/>
      </c>
      <c r="EH23" s="11">
        <f>IF(真實IC!EH23&gt;真實IC!EH$25,1,0)</f>
        <v/>
      </c>
      <c r="EI23" s="11">
        <f>IF(真實IC!EI23&gt;真實IC!EI$25,1,0)</f>
        <v/>
      </c>
      <c r="EJ23" s="11">
        <f>IF(真實IC!EJ23&gt;真實IC!EJ$25,1,0)</f>
        <v/>
      </c>
      <c r="EK23" s="11">
        <f>IF(真實IC!EK23&gt;真實IC!EK$25,1,0)</f>
        <v/>
      </c>
      <c r="EL23" s="11">
        <f>IF(真實IC!EL23&gt;真實IC!EL$25,1,0)</f>
        <v/>
      </c>
      <c r="EM23" s="7">
        <f>SUM(C23:EL23)</f>
        <v/>
      </c>
      <c r="EN23" s="15">
        <f>EM23/140</f>
        <v/>
      </c>
    </row>
    <row r="24">
      <c r="A24" s="13" t="n">
        <v>1051</v>
      </c>
      <c r="B24" s="13">
        <f>ROUND($D$10/A24,0)</f>
        <v/>
      </c>
      <c r="C24" s="11">
        <f>IF(真實IC!C24&gt;真實IC!C$25,1,0)</f>
        <v/>
      </c>
      <c r="D24" s="11">
        <f>IF(真實IC!D24&gt;真實IC!D$25,1,0)</f>
        <v/>
      </c>
      <c r="E24" s="11">
        <f>IF(真實IC!E24&gt;真實IC!E$25,1,0)</f>
        <v/>
      </c>
      <c r="F24" s="11">
        <f>IF(真實IC!F24&gt;真實IC!F$25,1,0)</f>
        <v/>
      </c>
      <c r="G24" s="11">
        <f>IF(真實IC!G24&gt;真實IC!G$25,1,0)</f>
        <v/>
      </c>
      <c r="H24" s="11">
        <f>IF(真實IC!H24&gt;真實IC!H$25,1,0)</f>
        <v/>
      </c>
      <c r="I24" s="11">
        <f>IF(真實IC!I24&gt;真實IC!I$25,1,0)</f>
        <v/>
      </c>
      <c r="J24" s="11">
        <f>IF(真實IC!J24&gt;真實IC!J$25,1,0)</f>
        <v/>
      </c>
      <c r="K24" s="11">
        <f>IF(真實IC!K24&gt;真實IC!K$25,1,0)</f>
        <v/>
      </c>
      <c r="L24" s="11">
        <f>IF(真實IC!L24&gt;真實IC!L$25,1,0)</f>
        <v/>
      </c>
      <c r="M24" s="11">
        <f>IF(真實IC!M24&gt;真實IC!M$25,1,0)</f>
        <v/>
      </c>
      <c r="N24" s="11">
        <f>IF(真實IC!N24&gt;真實IC!N$25,1,0)</f>
        <v/>
      </c>
      <c r="O24" s="11">
        <f>IF(真實IC!O24&gt;真實IC!O$25,1,0)</f>
        <v/>
      </c>
      <c r="P24" s="11">
        <f>IF(真實IC!P24&gt;真實IC!P$25,1,0)</f>
        <v/>
      </c>
      <c r="Q24" s="11">
        <f>IF(真實IC!Q24&gt;真實IC!Q$25,1,0)</f>
        <v/>
      </c>
      <c r="R24" s="11">
        <f>IF(真實IC!R24&gt;真實IC!R$25,1,0)</f>
        <v/>
      </c>
      <c r="S24" s="11">
        <f>IF(真實IC!S24&gt;真實IC!S$25,1,0)</f>
        <v/>
      </c>
      <c r="T24" s="11">
        <f>IF(真實IC!T24&gt;真實IC!T$25,1,0)</f>
        <v/>
      </c>
      <c r="U24" s="11">
        <f>IF(真實IC!U24&gt;真實IC!U$25,1,0)</f>
        <v/>
      </c>
      <c r="V24" s="11">
        <f>IF(真實IC!V24&gt;真實IC!V$25,1,0)</f>
        <v/>
      </c>
      <c r="W24" s="11">
        <f>IF(真實IC!W24&gt;真實IC!W$25,1,0)</f>
        <v/>
      </c>
      <c r="X24" s="11">
        <f>IF(真實IC!X24&gt;真實IC!X$25,1,0)</f>
        <v/>
      </c>
      <c r="Y24" s="11">
        <f>IF(真實IC!Y24&gt;真實IC!Y$25,1,0)</f>
        <v/>
      </c>
      <c r="Z24" s="11">
        <f>IF(真實IC!Z24&gt;真實IC!Z$25,1,0)</f>
        <v/>
      </c>
      <c r="AA24" s="11">
        <f>IF(真實IC!AA24&gt;真實IC!AA$25,1,0)</f>
        <v/>
      </c>
      <c r="AB24" s="11">
        <f>IF(真實IC!AB24&gt;真實IC!AB$25,1,0)</f>
        <v/>
      </c>
      <c r="AC24" s="11">
        <f>IF(真實IC!AC24&gt;真實IC!AC$25,1,0)</f>
        <v/>
      </c>
      <c r="AD24" s="11">
        <f>IF(真實IC!AD24&gt;真實IC!AD$25,1,0)</f>
        <v/>
      </c>
      <c r="AE24" s="11">
        <f>IF(真實IC!AE24&gt;真實IC!AE$25,1,0)</f>
        <v/>
      </c>
      <c r="AF24" s="11">
        <f>IF(真實IC!AF24&gt;真實IC!AF$25,1,0)</f>
        <v/>
      </c>
      <c r="AG24" s="11">
        <f>IF(真實IC!AG24&gt;真實IC!AG$25,1,0)</f>
        <v/>
      </c>
      <c r="AH24" s="11">
        <f>IF(真實IC!AH24&gt;真實IC!AH$25,1,0)</f>
        <v/>
      </c>
      <c r="AI24" s="11">
        <f>IF(真實IC!AI24&gt;真實IC!AI$25,1,0)</f>
        <v/>
      </c>
      <c r="AJ24" s="11">
        <f>IF(真實IC!AJ24&gt;真實IC!AJ$25,1,0)</f>
        <v/>
      </c>
      <c r="AK24" s="11">
        <f>IF(真實IC!AK24&gt;真實IC!AK$25,1,0)</f>
        <v/>
      </c>
      <c r="AL24" s="11">
        <f>IF(真實IC!AL24&gt;真實IC!AL$25,1,0)</f>
        <v/>
      </c>
      <c r="AM24" s="11">
        <f>IF(真實IC!AM24&gt;真實IC!AM$25,1,0)</f>
        <v/>
      </c>
      <c r="AN24" s="11">
        <f>IF(真實IC!AN24&gt;真實IC!AN$25,1,0)</f>
        <v/>
      </c>
      <c r="AO24" s="11">
        <f>IF(真實IC!AO24&gt;真實IC!AO$25,1,0)</f>
        <v/>
      </c>
      <c r="AP24" s="11">
        <f>IF(真實IC!AP24&gt;真實IC!AP$25,1,0)</f>
        <v/>
      </c>
      <c r="AQ24" s="11">
        <f>IF(真實IC!AQ24&gt;真實IC!AQ$25,1,0)</f>
        <v/>
      </c>
      <c r="AR24" s="11">
        <f>IF(真實IC!AR24&gt;真實IC!AR$25,1,0)</f>
        <v/>
      </c>
      <c r="AS24" s="11">
        <f>IF(真實IC!AS24&gt;真實IC!AS$25,1,0)</f>
        <v/>
      </c>
      <c r="AT24" s="11">
        <f>IF(真實IC!AT24&gt;真實IC!AT$25,1,0)</f>
        <v/>
      </c>
      <c r="AU24" s="11">
        <f>IF(真實IC!AU24&gt;真實IC!AU$25,1,0)</f>
        <v/>
      </c>
      <c r="AV24" s="11">
        <f>IF(真實IC!AV24&gt;真實IC!AV$25,1,0)</f>
        <v/>
      </c>
      <c r="AW24" s="11">
        <f>IF(真實IC!AW24&gt;真實IC!AW$25,1,0)</f>
        <v/>
      </c>
      <c r="AX24" s="11">
        <f>IF(真實IC!AX24&gt;真實IC!AX$25,1,0)</f>
        <v/>
      </c>
      <c r="AY24" s="11">
        <f>IF(真實IC!AY24&gt;真實IC!AY$25,1,0)</f>
        <v/>
      </c>
      <c r="AZ24" s="11">
        <f>IF(真實IC!AZ24&gt;真實IC!AZ$25,1,0)</f>
        <v/>
      </c>
      <c r="BA24" s="11">
        <f>IF(真實IC!BA24&gt;真實IC!BA$25,1,0)</f>
        <v/>
      </c>
      <c r="BB24" s="11">
        <f>IF(真實IC!BB24&gt;真實IC!BB$25,1,0)</f>
        <v/>
      </c>
      <c r="BC24" s="11">
        <f>IF(真實IC!BC24&gt;真實IC!BC$25,1,0)</f>
        <v/>
      </c>
      <c r="BD24" s="11">
        <f>IF(真實IC!BD24&gt;真實IC!BD$25,1,0)</f>
        <v/>
      </c>
      <c r="BE24" s="11">
        <f>IF(真實IC!BE24&gt;真實IC!BE$25,1,0)</f>
        <v/>
      </c>
      <c r="BF24" s="11">
        <f>IF(真實IC!BF24&gt;真實IC!BF$25,1,0)</f>
        <v/>
      </c>
      <c r="BG24" s="11">
        <f>IF(真實IC!BG24&gt;真實IC!BG$25,1,0)</f>
        <v/>
      </c>
      <c r="BH24" s="11">
        <f>IF(真實IC!BH24&gt;真實IC!BH$25,1,0)</f>
        <v/>
      </c>
      <c r="BI24" s="11">
        <f>IF(真實IC!BI24&gt;真實IC!BI$25,1,0)</f>
        <v/>
      </c>
      <c r="BJ24" s="11">
        <f>IF(真實IC!BJ24&gt;真實IC!BJ$25,1,0)</f>
        <v/>
      </c>
      <c r="BK24" s="11">
        <f>IF(真實IC!BK24&gt;真實IC!BK$25,1,0)</f>
        <v/>
      </c>
      <c r="BL24" s="11">
        <f>IF(真實IC!BL24&gt;真實IC!BL$25,1,0)</f>
        <v/>
      </c>
      <c r="BM24" s="11">
        <f>IF(真實IC!BM24&gt;真實IC!BM$25,1,0)</f>
        <v/>
      </c>
      <c r="BN24" s="11">
        <f>IF(真實IC!BN24&gt;真實IC!BN$25,1,0)</f>
        <v/>
      </c>
      <c r="BO24" s="11">
        <f>IF(真實IC!BO24&gt;真實IC!BO$25,1,0)</f>
        <v/>
      </c>
      <c r="BP24" s="11">
        <f>IF(真實IC!BP24&gt;真實IC!BP$25,1,0)</f>
        <v/>
      </c>
      <c r="BQ24" s="11">
        <f>IF(真實IC!BQ24&gt;真實IC!BQ$25,1,0)</f>
        <v/>
      </c>
      <c r="BR24" s="11">
        <f>IF(真實IC!BR24&gt;真實IC!BR$25,1,0)</f>
        <v/>
      </c>
      <c r="BS24" s="11">
        <f>IF(真實IC!BS24&gt;真實IC!BS$25,1,0)</f>
        <v/>
      </c>
      <c r="BT24" s="11">
        <f>IF(真實IC!BT24&gt;真實IC!BT$25,1,0)</f>
        <v/>
      </c>
      <c r="BU24" s="11">
        <f>IF(真實IC!BU24&gt;真實IC!BU$25,1,0)</f>
        <v/>
      </c>
      <c r="BV24" s="11">
        <f>IF(真實IC!BV24&gt;真實IC!BV$25,1,0)</f>
        <v/>
      </c>
      <c r="BW24" s="11">
        <f>IF(真實IC!BW24&gt;真實IC!BW$25,1,0)</f>
        <v/>
      </c>
      <c r="BX24" s="11">
        <f>IF(真實IC!BX24&gt;真實IC!BX$25,1,0)</f>
        <v/>
      </c>
      <c r="BY24" s="11">
        <f>IF(真實IC!BY24&gt;真實IC!BY$25,1,0)</f>
        <v/>
      </c>
      <c r="BZ24" s="11">
        <f>IF(真實IC!BZ24&gt;真實IC!BZ$25,1,0)</f>
        <v/>
      </c>
      <c r="CA24" s="11">
        <f>IF(真實IC!CA24&gt;真實IC!CA$25,1,0)</f>
        <v/>
      </c>
      <c r="CB24" s="11">
        <f>IF(真實IC!CB24&gt;真實IC!CB$25,1,0)</f>
        <v/>
      </c>
      <c r="CC24" s="11">
        <f>IF(真實IC!CC24&gt;真實IC!CC$25,1,0)</f>
        <v/>
      </c>
      <c r="CD24" s="11">
        <f>IF(真實IC!CD24&gt;真實IC!CD$25,1,0)</f>
        <v/>
      </c>
      <c r="CE24" s="11">
        <f>IF(真實IC!CE24&gt;真實IC!CE$25,1,0)</f>
        <v/>
      </c>
      <c r="CF24" s="11">
        <f>IF(真實IC!CF24&gt;真實IC!CF$25,1,0)</f>
        <v/>
      </c>
      <c r="CG24" s="11">
        <f>IF(真實IC!CG24&gt;真實IC!CG$25,1,0)</f>
        <v/>
      </c>
      <c r="CH24" s="11">
        <f>IF(真實IC!CH24&gt;真實IC!CH$25,1,0)</f>
        <v/>
      </c>
      <c r="CI24" s="11">
        <f>IF(真實IC!CI24&gt;真實IC!CI$25,1,0)</f>
        <v/>
      </c>
      <c r="CJ24" s="11">
        <f>IF(真實IC!CJ24&gt;真實IC!CJ$25,1,0)</f>
        <v/>
      </c>
      <c r="CK24" s="11">
        <f>IF(真實IC!CK24&gt;真實IC!CK$25,1,0)</f>
        <v/>
      </c>
      <c r="CL24" s="11">
        <f>IF(真實IC!CL24&gt;真實IC!CL$25,1,0)</f>
        <v/>
      </c>
      <c r="CM24" s="11">
        <f>IF(真實IC!CM24&gt;真實IC!CM$25,1,0)</f>
        <v/>
      </c>
      <c r="CN24" s="11">
        <f>IF(真實IC!CN24&gt;真實IC!CN$25,1,0)</f>
        <v/>
      </c>
      <c r="CO24" s="11">
        <f>IF(真實IC!CO24&gt;真實IC!CO$25,1,0)</f>
        <v/>
      </c>
      <c r="CP24" s="11">
        <f>IF(真實IC!CP24&gt;真實IC!CP$25,1,0)</f>
        <v/>
      </c>
      <c r="CQ24" s="11">
        <f>IF(真實IC!CQ24&gt;真實IC!CQ$25,1,0)</f>
        <v/>
      </c>
      <c r="CR24" s="11">
        <f>IF(真實IC!CR24&gt;真實IC!CR$25,1,0)</f>
        <v/>
      </c>
      <c r="CS24" s="11">
        <f>IF(真實IC!CS24&gt;真實IC!CS$25,1,0)</f>
        <v/>
      </c>
      <c r="CT24" s="11">
        <f>IF(真實IC!CT24&gt;真實IC!CT$25,1,0)</f>
        <v/>
      </c>
      <c r="CU24" s="11">
        <f>IF(真實IC!CU24&gt;真實IC!CU$25,1,0)</f>
        <v/>
      </c>
      <c r="CV24" s="11">
        <f>IF(真實IC!CV24&gt;真實IC!CV$25,1,0)</f>
        <v/>
      </c>
      <c r="CW24" s="11">
        <f>IF(真實IC!CW24&gt;真實IC!CW$25,1,0)</f>
        <v/>
      </c>
      <c r="CX24" s="11">
        <f>IF(真實IC!CX24&gt;真實IC!CX$25,1,0)</f>
        <v/>
      </c>
      <c r="CY24" s="11">
        <f>IF(真實IC!CY24&gt;真實IC!CY$25,1,0)</f>
        <v/>
      </c>
      <c r="CZ24" s="11">
        <f>IF(真實IC!CZ24&gt;真實IC!CZ$25,1,0)</f>
        <v/>
      </c>
      <c r="DA24" s="11">
        <f>IF(真實IC!DA24&gt;真實IC!DA$25,1,0)</f>
        <v/>
      </c>
      <c r="DB24" s="11">
        <f>IF(真實IC!DB24&gt;真實IC!DB$25,1,0)</f>
        <v/>
      </c>
      <c r="DC24" s="11">
        <f>IF(真實IC!DC24&gt;真實IC!DC$25,1,0)</f>
        <v/>
      </c>
      <c r="DD24" s="11">
        <f>IF(真實IC!DD24&gt;真實IC!DD$25,1,0)</f>
        <v/>
      </c>
      <c r="DE24" s="11">
        <f>IF(真實IC!DE24&gt;真實IC!DE$25,1,0)</f>
        <v/>
      </c>
      <c r="DF24" s="11">
        <f>IF(真實IC!DF24&gt;真實IC!DF$25,1,0)</f>
        <v/>
      </c>
      <c r="DG24" s="11">
        <f>IF(真實IC!DG24&gt;真實IC!DG$25,1,0)</f>
        <v/>
      </c>
      <c r="DH24" s="11">
        <f>IF(真實IC!DH24&gt;真實IC!DH$25,1,0)</f>
        <v/>
      </c>
      <c r="DI24" s="11">
        <f>IF(真實IC!DI24&gt;真實IC!DI$25,1,0)</f>
        <v/>
      </c>
      <c r="DJ24" s="11">
        <f>IF(真實IC!DJ24&gt;真實IC!DJ$25,1,0)</f>
        <v/>
      </c>
      <c r="DK24" s="11">
        <f>IF(真實IC!DK24&gt;真實IC!DK$25,1,0)</f>
        <v/>
      </c>
      <c r="DL24" s="11">
        <f>IF(真實IC!DL24&gt;真實IC!DL$25,1,0)</f>
        <v/>
      </c>
      <c r="DM24" s="11">
        <f>IF(真實IC!DM24&gt;真實IC!DM$25,1,0)</f>
        <v/>
      </c>
      <c r="DN24" s="11">
        <f>IF(真實IC!DN24&gt;真實IC!DN$25,1,0)</f>
        <v/>
      </c>
      <c r="DO24" s="11">
        <f>IF(真實IC!DO24&gt;真實IC!DO$25,1,0)</f>
        <v/>
      </c>
      <c r="DP24" s="11">
        <f>IF(真實IC!DP24&gt;真實IC!DP$25,1,0)</f>
        <v/>
      </c>
      <c r="DQ24" s="11">
        <f>IF(真實IC!DQ24&gt;真實IC!DQ$25,1,0)</f>
        <v/>
      </c>
      <c r="DR24" s="11">
        <f>IF(真實IC!DR24&gt;真實IC!DR$25,1,0)</f>
        <v/>
      </c>
      <c r="DS24" s="11">
        <f>IF(真實IC!DS24&gt;真實IC!DS$25,1,0)</f>
        <v/>
      </c>
      <c r="DT24" s="11">
        <f>IF(真實IC!DT24&gt;真實IC!DT$25,1,0)</f>
        <v/>
      </c>
      <c r="DU24" s="11">
        <f>IF(真實IC!DU24&gt;真實IC!DU$25,1,0)</f>
        <v/>
      </c>
      <c r="DV24" s="11">
        <f>IF(真實IC!DV24&gt;真實IC!DV$25,1,0)</f>
        <v/>
      </c>
      <c r="DW24" s="11">
        <f>IF(真實IC!DW24&gt;真實IC!DW$25,1,0)</f>
        <v/>
      </c>
      <c r="DX24" s="11">
        <f>IF(真實IC!DX24&gt;真實IC!DX$25,1,0)</f>
        <v/>
      </c>
      <c r="DY24" s="11">
        <f>IF(真實IC!DY24&gt;真實IC!DY$25,1,0)</f>
        <v/>
      </c>
      <c r="DZ24" s="11">
        <f>IF(真實IC!DZ24&gt;真實IC!DZ$25,1,0)</f>
        <v/>
      </c>
      <c r="EA24" s="11">
        <f>IF(真實IC!EA24&gt;真實IC!EA$25,1,0)</f>
        <v/>
      </c>
      <c r="EB24" s="11">
        <f>IF(真實IC!EB24&gt;真實IC!EB$25,1,0)</f>
        <v/>
      </c>
      <c r="EC24" s="11">
        <f>IF(真實IC!EC24&gt;真實IC!EC$25,1,0)</f>
        <v/>
      </c>
      <c r="ED24" s="11">
        <f>IF(真實IC!ED24&gt;真實IC!ED$25,1,0)</f>
        <v/>
      </c>
      <c r="EE24" s="11">
        <f>IF(真實IC!EE24&gt;真實IC!EE$25,1,0)</f>
        <v/>
      </c>
      <c r="EF24" s="11">
        <f>IF(真實IC!EF24&gt;真實IC!EF$25,1,0)</f>
        <v/>
      </c>
      <c r="EG24" s="11">
        <f>IF(真實IC!EG24&gt;真實IC!EG$25,1,0)</f>
        <v/>
      </c>
      <c r="EH24" s="11">
        <f>IF(真實IC!EH24&gt;真實IC!EH$25,1,0)</f>
        <v/>
      </c>
      <c r="EI24" s="11">
        <f>IF(真實IC!EI24&gt;真實IC!EI$25,1,0)</f>
        <v/>
      </c>
      <c r="EJ24" s="11">
        <f>IF(真實IC!EJ24&gt;真實IC!EJ$25,1,0)</f>
        <v/>
      </c>
      <c r="EK24" s="11">
        <f>IF(真實IC!EK24&gt;真實IC!EK$25,1,0)</f>
        <v/>
      </c>
      <c r="EL24" s="11">
        <f>IF(真實IC!EL24&gt;真實IC!EL$25,1,0)</f>
        <v/>
      </c>
      <c r="EM24" s="7">
        <f>SUM(C24:EL24)</f>
        <v/>
      </c>
      <c r="EN24" s="15">
        <f>EM24/140</f>
        <v/>
      </c>
    </row>
    <row r="25"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</sheetData>
  <mergeCells count="2">
    <mergeCell ref="A6:B6"/>
    <mergeCell ref="A10:B10"/>
  </mergeCells>
  <conditionalFormatting sqref="EM12:EM24">
    <cfRule type="expression" priority="5" dxfId="0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"/>
        <color theme="9" tint="0.3999755851924192"/>
      </colorScale>
    </cfRule>
    <cfRule type="expression" priority="6" dxfId="0">
      <formula>EN12&lt;#REF!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64"/>
  <sheetViews>
    <sheetView topLeftCell="DU8" zoomScale="130" zoomScaleNormal="130" workbookViewId="0">
      <selection activeCell="EN22" sqref="EN22"/>
    </sheetView>
  </sheetViews>
  <sheetFormatPr baseColWidth="8" defaultRowHeight="14.5"/>
  <cols>
    <col width="10.19921875" bestFit="1" customWidth="1" min="2" max="2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</row>
    <row r="12">
      <c r="A12" s="13" t="n">
        <v>10</v>
      </c>
      <c r="B12" s="13">
        <f>ROUND($D$10/A12,0)</f>
        <v/>
      </c>
      <c r="C12" s="2" t="n">
        <v>0.09819950192441131</v>
      </c>
      <c r="D12" s="2">
        <f>C12+真實IC!D12</f>
        <v/>
      </c>
      <c r="E12" s="2">
        <f>D12+真實IC!E12</f>
        <v/>
      </c>
      <c r="F12" s="2">
        <f>E12+真實IC!F12</f>
        <v/>
      </c>
      <c r="G12" s="2">
        <f>F12+真實IC!G12</f>
        <v/>
      </c>
      <c r="H12" s="2">
        <f>G12+真實IC!H12</f>
        <v/>
      </c>
      <c r="I12" s="2">
        <f>H12+真實IC!I12</f>
        <v/>
      </c>
      <c r="J12" s="2">
        <f>I12+真實IC!J12</f>
        <v/>
      </c>
      <c r="K12" s="2">
        <f>J12+真實IC!K12</f>
        <v/>
      </c>
      <c r="L12" s="2">
        <f>K12+真實IC!L12</f>
        <v/>
      </c>
      <c r="M12" s="2">
        <f>L12+真實IC!M12</f>
        <v/>
      </c>
      <c r="N12" s="2">
        <f>M12+真實IC!N12</f>
        <v/>
      </c>
      <c r="O12" s="2">
        <f>N12+真實IC!O12</f>
        <v/>
      </c>
      <c r="P12" s="2">
        <f>O12+真實IC!P12</f>
        <v/>
      </c>
      <c r="Q12" s="2">
        <f>P12+真實IC!Q12</f>
        <v/>
      </c>
      <c r="R12" s="2">
        <f>Q12+真實IC!R12</f>
        <v/>
      </c>
      <c r="S12" s="2">
        <f>R12+真實IC!S12</f>
        <v/>
      </c>
      <c r="T12" s="2">
        <f>S12+真實IC!T12</f>
        <v/>
      </c>
      <c r="U12" s="2">
        <f>T12+真實IC!U12</f>
        <v/>
      </c>
      <c r="V12" s="2">
        <f>U12+真實IC!V12</f>
        <v/>
      </c>
      <c r="W12" s="2">
        <f>V12+真實IC!W12</f>
        <v/>
      </c>
      <c r="X12" s="2">
        <f>W12+真實IC!X12</f>
        <v/>
      </c>
      <c r="Y12" s="2">
        <f>X12+真實IC!Y12</f>
        <v/>
      </c>
      <c r="Z12" s="2">
        <f>Y12+真實IC!Z12</f>
        <v/>
      </c>
      <c r="AA12" s="2">
        <f>Z12+真實IC!AA12</f>
        <v/>
      </c>
      <c r="AB12" s="2">
        <f>AA12+真實IC!AB12</f>
        <v/>
      </c>
      <c r="AC12" s="2">
        <f>AB12+真實IC!AC12</f>
        <v/>
      </c>
      <c r="AD12" s="2">
        <f>AC12+真實IC!AD12</f>
        <v/>
      </c>
      <c r="AE12" s="2">
        <f>AD12+真實IC!AE12</f>
        <v/>
      </c>
      <c r="AF12" s="2">
        <f>AE12+真實IC!AF12</f>
        <v/>
      </c>
      <c r="AG12" s="2">
        <f>AF12+真實IC!AG12</f>
        <v/>
      </c>
      <c r="AH12" s="2">
        <f>AG12+真實IC!AH12</f>
        <v/>
      </c>
      <c r="AI12" s="2">
        <f>AH12+真實IC!AI12</f>
        <v/>
      </c>
      <c r="AJ12" s="2">
        <f>AI12+真實IC!AJ12</f>
        <v/>
      </c>
      <c r="AK12" s="2">
        <f>AJ12+真實IC!AK12</f>
        <v/>
      </c>
      <c r="AL12" s="2">
        <f>AK12+真實IC!AL12</f>
        <v/>
      </c>
      <c r="AM12" s="2">
        <f>AL12+真實IC!AM12</f>
        <v/>
      </c>
      <c r="AN12" s="2">
        <f>AM12+真實IC!AN12</f>
        <v/>
      </c>
      <c r="AO12" s="2">
        <f>AN12+真實IC!AO12</f>
        <v/>
      </c>
      <c r="AP12" s="2">
        <f>AO12+真實IC!AP12</f>
        <v/>
      </c>
      <c r="AQ12" s="2">
        <f>AP12+真實IC!AQ12</f>
        <v/>
      </c>
      <c r="AR12" s="2">
        <f>AQ12+真實IC!AR12</f>
        <v/>
      </c>
      <c r="AS12" s="2">
        <f>AR12+真實IC!AS12</f>
        <v/>
      </c>
      <c r="AT12" s="2">
        <f>AS12+真實IC!AT12</f>
        <v/>
      </c>
      <c r="AU12" s="2">
        <f>AT12+真實IC!AU12</f>
        <v/>
      </c>
      <c r="AV12" s="2">
        <f>AU12+真實IC!AV12</f>
        <v/>
      </c>
      <c r="AW12" s="2">
        <f>AV12+真實IC!AW12</f>
        <v/>
      </c>
      <c r="AX12" s="2">
        <f>AW12+真實IC!AX12</f>
        <v/>
      </c>
      <c r="AY12" s="2">
        <f>AX12+真實IC!AY12</f>
        <v/>
      </c>
      <c r="AZ12" s="2">
        <f>AY12+真實IC!AZ12</f>
        <v/>
      </c>
      <c r="BA12" s="2">
        <f>AZ12+真實IC!BA12</f>
        <v/>
      </c>
      <c r="BB12" s="2">
        <f>BA12+真實IC!BB12</f>
        <v/>
      </c>
      <c r="BC12" s="2">
        <f>BB12+真實IC!BC12</f>
        <v/>
      </c>
      <c r="BD12" s="2">
        <f>BC12+真實IC!BD12</f>
        <v/>
      </c>
      <c r="BE12" s="2">
        <f>BD12+真實IC!BE12</f>
        <v/>
      </c>
      <c r="BF12" s="2">
        <f>BE12+真實IC!BF12</f>
        <v/>
      </c>
      <c r="BG12" s="2">
        <f>BF12+真實IC!BG12</f>
        <v/>
      </c>
      <c r="BH12" s="2">
        <f>BG12+真實IC!BH12</f>
        <v/>
      </c>
      <c r="BI12" s="2">
        <f>BH12+真實IC!BI12</f>
        <v/>
      </c>
      <c r="BJ12" s="2">
        <f>BI12+真實IC!BJ12</f>
        <v/>
      </c>
      <c r="BK12" s="2">
        <f>BJ12+真實IC!BK12</f>
        <v/>
      </c>
      <c r="BL12" s="2">
        <f>BK12+真實IC!BL12</f>
        <v/>
      </c>
      <c r="BM12" s="2">
        <f>BL12+真實IC!BM12</f>
        <v/>
      </c>
      <c r="BN12" s="2">
        <f>BM12+真實IC!BN12</f>
        <v/>
      </c>
      <c r="BO12" s="2">
        <f>BN12+真實IC!BO12</f>
        <v/>
      </c>
      <c r="BP12" s="2">
        <f>BO12+真實IC!BP12</f>
        <v/>
      </c>
      <c r="BQ12" s="2">
        <f>BP12+真實IC!BQ12</f>
        <v/>
      </c>
      <c r="BR12" s="2">
        <f>BQ12+真實IC!BR12</f>
        <v/>
      </c>
      <c r="BS12" s="2">
        <f>BR12+真實IC!BS12</f>
        <v/>
      </c>
      <c r="BT12" s="2">
        <f>BS12+真實IC!BT12</f>
        <v/>
      </c>
      <c r="BU12" s="2">
        <f>BT12+真實IC!BU12</f>
        <v/>
      </c>
      <c r="BV12" s="2">
        <f>BU12+真實IC!BV12</f>
        <v/>
      </c>
      <c r="BW12" s="2">
        <f>BV12+真實IC!BW12</f>
        <v/>
      </c>
      <c r="BX12" s="2">
        <f>BW12+真實IC!BX12</f>
        <v/>
      </c>
      <c r="BY12" s="2">
        <f>BX12+真實IC!BY12</f>
        <v/>
      </c>
      <c r="BZ12" s="2">
        <f>BY12+真實IC!BZ12</f>
        <v/>
      </c>
      <c r="CA12" s="2">
        <f>BZ12+真實IC!CA12</f>
        <v/>
      </c>
      <c r="CB12" s="2">
        <f>CA12+真實IC!CB12</f>
        <v/>
      </c>
      <c r="CC12" s="2">
        <f>CB12+真實IC!CC12</f>
        <v/>
      </c>
      <c r="CD12" s="2">
        <f>CC12+真實IC!CD12</f>
        <v/>
      </c>
      <c r="CE12" s="2">
        <f>CD12+真實IC!CE12</f>
        <v/>
      </c>
      <c r="CF12" s="2">
        <f>CE12+真實IC!CF12</f>
        <v/>
      </c>
      <c r="CG12" s="2">
        <f>CF12+真實IC!CG12</f>
        <v/>
      </c>
      <c r="CH12" s="2">
        <f>CG12+真實IC!CH12</f>
        <v/>
      </c>
      <c r="CI12" s="2">
        <f>CH12+真實IC!CI12</f>
        <v/>
      </c>
      <c r="CJ12" s="2">
        <f>CI12+真實IC!CJ12</f>
        <v/>
      </c>
      <c r="CK12" s="2">
        <f>CJ12+真實IC!CK12</f>
        <v/>
      </c>
      <c r="CL12" s="2">
        <f>CK12+真實IC!CL12</f>
        <v/>
      </c>
      <c r="CM12" s="2">
        <f>CL12+真實IC!CM12</f>
        <v/>
      </c>
      <c r="CN12" s="2">
        <f>CM12+真實IC!CN12</f>
        <v/>
      </c>
      <c r="CO12" s="2">
        <f>CN12+真實IC!CO12</f>
        <v/>
      </c>
      <c r="CP12" s="2">
        <f>CO12+真實IC!CP12</f>
        <v/>
      </c>
      <c r="CQ12" s="2">
        <f>CP12+真實IC!CQ12</f>
        <v/>
      </c>
      <c r="CR12" s="2">
        <f>CQ12+真實IC!CR12</f>
        <v/>
      </c>
      <c r="CS12" s="2">
        <f>CR12+真實IC!CS12</f>
        <v/>
      </c>
      <c r="CT12" s="2">
        <f>CS12+真實IC!CT12</f>
        <v/>
      </c>
      <c r="CU12" s="2">
        <f>CT12+真實IC!CU12</f>
        <v/>
      </c>
      <c r="CV12" s="2">
        <f>CU12+真實IC!CV12</f>
        <v/>
      </c>
      <c r="CW12" s="2">
        <f>CV12+真實IC!CW12</f>
        <v/>
      </c>
      <c r="CX12" s="2">
        <f>CW12+真實IC!CX12</f>
        <v/>
      </c>
      <c r="CY12" s="2">
        <f>CX12+真實IC!CY12</f>
        <v/>
      </c>
      <c r="CZ12" s="2">
        <f>CY12+真實IC!CZ12</f>
        <v/>
      </c>
      <c r="DA12" s="2">
        <f>CZ12+真實IC!DA12</f>
        <v/>
      </c>
      <c r="DB12" s="2">
        <f>DA12+真實IC!DB12</f>
        <v/>
      </c>
      <c r="DC12" s="2">
        <f>DB12+真實IC!DC12</f>
        <v/>
      </c>
      <c r="DD12" s="2">
        <f>DC12+真實IC!DD12</f>
        <v/>
      </c>
      <c r="DE12" s="2">
        <f>DD12+真實IC!DE12</f>
        <v/>
      </c>
      <c r="DF12" s="2">
        <f>DE12+真實IC!DF12</f>
        <v/>
      </c>
      <c r="DG12" s="2">
        <f>DF12+真實IC!DG12</f>
        <v/>
      </c>
      <c r="DH12" s="2">
        <f>DG12+真實IC!DH12</f>
        <v/>
      </c>
      <c r="DI12" s="2">
        <f>DH12+真實IC!DI12</f>
        <v/>
      </c>
      <c r="DJ12" s="2">
        <f>DI12+真實IC!DJ12</f>
        <v/>
      </c>
      <c r="DK12" s="2">
        <f>DJ12+真實IC!DK12</f>
        <v/>
      </c>
      <c r="DL12" s="2">
        <f>DK12+真實IC!DL12</f>
        <v/>
      </c>
      <c r="DM12" s="2">
        <f>DL12+真實IC!DM12</f>
        <v/>
      </c>
      <c r="DN12" s="2">
        <f>DM12+真實IC!DN12</f>
        <v/>
      </c>
      <c r="DO12" s="2">
        <f>DN12+真實IC!DO12</f>
        <v/>
      </c>
      <c r="DP12" s="2">
        <f>DO12+真實IC!DP12</f>
        <v/>
      </c>
      <c r="DQ12" s="2">
        <f>DP12+真實IC!DQ12</f>
        <v/>
      </c>
      <c r="DR12" s="2">
        <f>DQ12+真實IC!DR12</f>
        <v/>
      </c>
      <c r="DS12" s="2">
        <f>DR12+真實IC!DS12</f>
        <v/>
      </c>
      <c r="DT12" s="2">
        <f>DS12+真實IC!DT12</f>
        <v/>
      </c>
      <c r="DU12" s="2">
        <f>DT12+真實IC!DU12</f>
        <v/>
      </c>
      <c r="DV12" s="2">
        <f>DU12+真實IC!DV12</f>
        <v/>
      </c>
      <c r="DW12" s="2">
        <f>DV12+真實IC!DW12</f>
        <v/>
      </c>
      <c r="DX12" s="2">
        <f>DW12+真實IC!DX12</f>
        <v/>
      </c>
      <c r="DY12" s="2">
        <f>DX12+真實IC!DY12</f>
        <v/>
      </c>
      <c r="DZ12" s="2">
        <f>DY12+真實IC!DZ12</f>
        <v/>
      </c>
      <c r="EA12" s="2">
        <f>DZ12+真實IC!EA12</f>
        <v/>
      </c>
      <c r="EB12" s="2">
        <f>EA12+真實IC!EB12</f>
        <v/>
      </c>
      <c r="EC12" s="2">
        <f>EB12+真實IC!EC12</f>
        <v/>
      </c>
      <c r="ED12" s="2">
        <f>EC12+真實IC!ED12</f>
        <v/>
      </c>
      <c r="EE12" s="2">
        <f>ED12+真實IC!EE12</f>
        <v/>
      </c>
      <c r="EF12" s="2">
        <f>EE12+真實IC!EF12</f>
        <v/>
      </c>
      <c r="EG12" s="2">
        <f>EF12+真實IC!EG12</f>
        <v/>
      </c>
      <c r="EH12" s="2">
        <f>EG12+真實IC!EH12</f>
        <v/>
      </c>
      <c r="EI12" s="2">
        <f>EH12+真實IC!EI12</f>
        <v/>
      </c>
      <c r="EJ12" s="2">
        <f>EI12+真實IC!EJ12</f>
        <v/>
      </c>
      <c r="EK12" s="2">
        <f>EJ12+真實IC!EK12</f>
        <v/>
      </c>
      <c r="EL12" s="2">
        <f>EK12+真實IC!EL12</f>
        <v/>
      </c>
    </row>
    <row r="13">
      <c r="A13" s="13" t="n">
        <v>20</v>
      </c>
      <c r="B13" s="13">
        <f>ROUND($D$10/A13,0)</f>
        <v/>
      </c>
      <c r="C13" s="2" t="n">
        <v>0.1210777616647176</v>
      </c>
      <c r="D13" s="2">
        <f>C13+真實IC!D13</f>
        <v/>
      </c>
      <c r="E13" s="2">
        <f>D13+真實IC!E13</f>
        <v/>
      </c>
      <c r="F13" s="2">
        <f>E13+真實IC!F13</f>
        <v/>
      </c>
      <c r="G13" s="2">
        <f>F13+真實IC!G13</f>
        <v/>
      </c>
      <c r="H13" s="2">
        <f>G13+真實IC!H13</f>
        <v/>
      </c>
      <c r="I13" s="2">
        <f>H13+真實IC!I13</f>
        <v/>
      </c>
      <c r="J13" s="2">
        <f>I13+真實IC!J13</f>
        <v/>
      </c>
      <c r="K13" s="2">
        <f>J13+真實IC!K13</f>
        <v/>
      </c>
      <c r="L13" s="2">
        <f>K13+真實IC!L13</f>
        <v/>
      </c>
      <c r="M13" s="2">
        <f>L13+真實IC!M13</f>
        <v/>
      </c>
      <c r="N13" s="2">
        <f>M13+真實IC!N13</f>
        <v/>
      </c>
      <c r="O13" s="2">
        <f>N13+真實IC!O13</f>
        <v/>
      </c>
      <c r="P13" s="2">
        <f>O13+真實IC!P13</f>
        <v/>
      </c>
      <c r="Q13" s="2">
        <f>P13+真實IC!Q13</f>
        <v/>
      </c>
      <c r="R13" s="2">
        <f>Q13+真實IC!R13</f>
        <v/>
      </c>
      <c r="S13" s="2">
        <f>R13+真實IC!S13</f>
        <v/>
      </c>
      <c r="T13" s="2">
        <f>S13+真實IC!T13</f>
        <v/>
      </c>
      <c r="U13" s="2">
        <f>T13+真實IC!U13</f>
        <v/>
      </c>
      <c r="V13" s="2">
        <f>U13+真實IC!V13</f>
        <v/>
      </c>
      <c r="W13" s="2">
        <f>V13+真實IC!W13</f>
        <v/>
      </c>
      <c r="X13" s="2">
        <f>W13+真實IC!X13</f>
        <v/>
      </c>
      <c r="Y13" s="2">
        <f>X13+真實IC!Y13</f>
        <v/>
      </c>
      <c r="Z13" s="2">
        <f>Y13+真實IC!Z13</f>
        <v/>
      </c>
      <c r="AA13" s="2">
        <f>Z13+真實IC!AA13</f>
        <v/>
      </c>
      <c r="AB13" s="2">
        <f>AA13+真實IC!AB13</f>
        <v/>
      </c>
      <c r="AC13" s="2">
        <f>AB13+真實IC!AC13</f>
        <v/>
      </c>
      <c r="AD13" s="2">
        <f>AC13+真實IC!AD13</f>
        <v/>
      </c>
      <c r="AE13" s="2">
        <f>AD13+真實IC!AE13</f>
        <v/>
      </c>
      <c r="AF13" s="2">
        <f>AE13+真實IC!AF13</f>
        <v/>
      </c>
      <c r="AG13" s="2">
        <f>AF13+真實IC!AG13</f>
        <v/>
      </c>
      <c r="AH13" s="2">
        <f>AG13+真實IC!AH13</f>
        <v/>
      </c>
      <c r="AI13" s="2">
        <f>AH13+真實IC!AI13</f>
        <v/>
      </c>
      <c r="AJ13" s="2">
        <f>AI13+真實IC!AJ13</f>
        <v/>
      </c>
      <c r="AK13" s="2">
        <f>AJ13+真實IC!AK13</f>
        <v/>
      </c>
      <c r="AL13" s="2">
        <f>AK13+真實IC!AL13</f>
        <v/>
      </c>
      <c r="AM13" s="2">
        <f>AL13+真實IC!AM13</f>
        <v/>
      </c>
      <c r="AN13" s="2">
        <f>AM13+真實IC!AN13</f>
        <v/>
      </c>
      <c r="AO13" s="2">
        <f>AN13+真實IC!AO13</f>
        <v/>
      </c>
      <c r="AP13" s="2">
        <f>AO13+真實IC!AP13</f>
        <v/>
      </c>
      <c r="AQ13" s="2">
        <f>AP13+真實IC!AQ13</f>
        <v/>
      </c>
      <c r="AR13" s="2">
        <f>AQ13+真實IC!AR13</f>
        <v/>
      </c>
      <c r="AS13" s="2">
        <f>AR13+真實IC!AS13</f>
        <v/>
      </c>
      <c r="AT13" s="2">
        <f>AS13+真實IC!AT13</f>
        <v/>
      </c>
      <c r="AU13" s="2">
        <f>AT13+真實IC!AU13</f>
        <v/>
      </c>
      <c r="AV13" s="2">
        <f>AU13+真實IC!AV13</f>
        <v/>
      </c>
      <c r="AW13" s="2">
        <f>AV13+真實IC!AW13</f>
        <v/>
      </c>
      <c r="AX13" s="2">
        <f>AW13+真實IC!AX13</f>
        <v/>
      </c>
      <c r="AY13" s="2">
        <f>AX13+真實IC!AY13</f>
        <v/>
      </c>
      <c r="AZ13" s="2">
        <f>AY13+真實IC!AZ13</f>
        <v/>
      </c>
      <c r="BA13" s="2">
        <f>AZ13+真實IC!BA13</f>
        <v/>
      </c>
      <c r="BB13" s="2">
        <f>BA13+真實IC!BB13</f>
        <v/>
      </c>
      <c r="BC13" s="2">
        <f>BB13+真實IC!BC13</f>
        <v/>
      </c>
      <c r="BD13" s="2">
        <f>BC13+真實IC!BD13</f>
        <v/>
      </c>
      <c r="BE13" s="2">
        <f>BD13+真實IC!BE13</f>
        <v/>
      </c>
      <c r="BF13" s="2">
        <f>BE13+真實IC!BF13</f>
        <v/>
      </c>
      <c r="BG13" s="2">
        <f>BF13+真實IC!BG13</f>
        <v/>
      </c>
      <c r="BH13" s="2">
        <f>BG13+真實IC!BH13</f>
        <v/>
      </c>
      <c r="BI13" s="2">
        <f>BH13+真實IC!BI13</f>
        <v/>
      </c>
      <c r="BJ13" s="2">
        <f>BI13+真實IC!BJ13</f>
        <v/>
      </c>
      <c r="BK13" s="2">
        <f>BJ13+真實IC!BK13</f>
        <v/>
      </c>
      <c r="BL13" s="2">
        <f>BK13+真實IC!BL13</f>
        <v/>
      </c>
      <c r="BM13" s="2">
        <f>BL13+真實IC!BM13</f>
        <v/>
      </c>
      <c r="BN13" s="2">
        <f>BM13+真實IC!BN13</f>
        <v/>
      </c>
      <c r="BO13" s="2">
        <f>BN13+真實IC!BO13</f>
        <v/>
      </c>
      <c r="BP13" s="2">
        <f>BO13+真實IC!BP13</f>
        <v/>
      </c>
      <c r="BQ13" s="2">
        <f>BP13+真實IC!BQ13</f>
        <v/>
      </c>
      <c r="BR13" s="2">
        <f>BQ13+真實IC!BR13</f>
        <v/>
      </c>
      <c r="BS13" s="2">
        <f>BR13+真實IC!BS13</f>
        <v/>
      </c>
      <c r="BT13" s="2">
        <f>BS13+真實IC!BT13</f>
        <v/>
      </c>
      <c r="BU13" s="2">
        <f>BT13+真實IC!BU13</f>
        <v/>
      </c>
      <c r="BV13" s="2">
        <f>BU13+真實IC!BV13</f>
        <v/>
      </c>
      <c r="BW13" s="2">
        <f>BV13+真實IC!BW13</f>
        <v/>
      </c>
      <c r="BX13" s="2">
        <f>BW13+真實IC!BX13</f>
        <v/>
      </c>
      <c r="BY13" s="2">
        <f>BX13+真實IC!BY13</f>
        <v/>
      </c>
      <c r="BZ13" s="2">
        <f>BY13+真實IC!BZ13</f>
        <v/>
      </c>
      <c r="CA13" s="2">
        <f>BZ13+真實IC!CA13</f>
        <v/>
      </c>
      <c r="CB13" s="2">
        <f>CA13+真實IC!CB13</f>
        <v/>
      </c>
      <c r="CC13" s="2">
        <f>CB13+真實IC!CC13</f>
        <v/>
      </c>
      <c r="CD13" s="2">
        <f>CC13+真實IC!CD13</f>
        <v/>
      </c>
      <c r="CE13" s="2">
        <f>CD13+真實IC!CE13</f>
        <v/>
      </c>
      <c r="CF13" s="2">
        <f>CE13+真實IC!CF13</f>
        <v/>
      </c>
      <c r="CG13" s="2">
        <f>CF13+真實IC!CG13</f>
        <v/>
      </c>
      <c r="CH13" s="2">
        <f>CG13+真實IC!CH13</f>
        <v/>
      </c>
      <c r="CI13" s="2">
        <f>CH13+真實IC!CI13</f>
        <v/>
      </c>
      <c r="CJ13" s="2">
        <f>CI13+真實IC!CJ13</f>
        <v/>
      </c>
      <c r="CK13" s="2">
        <f>CJ13+真實IC!CK13</f>
        <v/>
      </c>
      <c r="CL13" s="2">
        <f>CK13+真實IC!CL13</f>
        <v/>
      </c>
      <c r="CM13" s="2">
        <f>CL13+真實IC!CM13</f>
        <v/>
      </c>
      <c r="CN13" s="2">
        <f>CM13+真實IC!CN13</f>
        <v/>
      </c>
      <c r="CO13" s="2">
        <f>CN13+真實IC!CO13</f>
        <v/>
      </c>
      <c r="CP13" s="2">
        <f>CO13+真實IC!CP13</f>
        <v/>
      </c>
      <c r="CQ13" s="2">
        <f>CP13+真實IC!CQ13</f>
        <v/>
      </c>
      <c r="CR13" s="2">
        <f>CQ13+真實IC!CR13</f>
        <v/>
      </c>
      <c r="CS13" s="2">
        <f>CR13+真實IC!CS13</f>
        <v/>
      </c>
      <c r="CT13" s="2">
        <f>CS13+真實IC!CT13</f>
        <v/>
      </c>
      <c r="CU13" s="2">
        <f>CT13+真實IC!CU13</f>
        <v/>
      </c>
      <c r="CV13" s="2">
        <f>CU13+真實IC!CV13</f>
        <v/>
      </c>
      <c r="CW13" s="2">
        <f>CV13+真實IC!CW13</f>
        <v/>
      </c>
      <c r="CX13" s="2">
        <f>CW13+真實IC!CX13</f>
        <v/>
      </c>
      <c r="CY13" s="2">
        <f>CX13+真實IC!CY13</f>
        <v/>
      </c>
      <c r="CZ13" s="2">
        <f>CY13+真實IC!CZ13</f>
        <v/>
      </c>
      <c r="DA13" s="2">
        <f>CZ13+真實IC!DA13</f>
        <v/>
      </c>
      <c r="DB13" s="2">
        <f>DA13+真實IC!DB13</f>
        <v/>
      </c>
      <c r="DC13" s="2">
        <f>DB13+真實IC!DC13</f>
        <v/>
      </c>
      <c r="DD13" s="2">
        <f>DC13+真實IC!DD13</f>
        <v/>
      </c>
      <c r="DE13" s="2">
        <f>DD13+真實IC!DE13</f>
        <v/>
      </c>
      <c r="DF13" s="2">
        <f>DE13+真實IC!DF13</f>
        <v/>
      </c>
      <c r="DG13" s="2">
        <f>DF13+真實IC!DG13</f>
        <v/>
      </c>
      <c r="DH13" s="2">
        <f>DG13+真實IC!DH13</f>
        <v/>
      </c>
      <c r="DI13" s="2">
        <f>DH13+真實IC!DI13</f>
        <v/>
      </c>
      <c r="DJ13" s="2">
        <f>DI13+真實IC!DJ13</f>
        <v/>
      </c>
      <c r="DK13" s="2">
        <f>DJ13+真實IC!DK13</f>
        <v/>
      </c>
      <c r="DL13" s="2">
        <f>DK13+真實IC!DL13</f>
        <v/>
      </c>
      <c r="DM13" s="2">
        <f>DL13+真實IC!DM13</f>
        <v/>
      </c>
      <c r="DN13" s="2">
        <f>DM13+真實IC!DN13</f>
        <v/>
      </c>
      <c r="DO13" s="2">
        <f>DN13+真實IC!DO13</f>
        <v/>
      </c>
      <c r="DP13" s="2">
        <f>DO13+真實IC!DP13</f>
        <v/>
      </c>
      <c r="DQ13" s="2">
        <f>DP13+真實IC!DQ13</f>
        <v/>
      </c>
      <c r="DR13" s="2">
        <f>DQ13+真實IC!DR13</f>
        <v/>
      </c>
      <c r="DS13" s="2">
        <f>DR13+真實IC!DS13</f>
        <v/>
      </c>
      <c r="DT13" s="2">
        <f>DS13+真實IC!DT13</f>
        <v/>
      </c>
      <c r="DU13" s="2">
        <f>DT13+真實IC!DU13</f>
        <v/>
      </c>
      <c r="DV13" s="2">
        <f>DU13+真實IC!DV13</f>
        <v/>
      </c>
      <c r="DW13" s="2">
        <f>DV13+真實IC!DW13</f>
        <v/>
      </c>
      <c r="DX13" s="2">
        <f>DW13+真實IC!DX13</f>
        <v/>
      </c>
      <c r="DY13" s="2">
        <f>DX13+真實IC!DY13</f>
        <v/>
      </c>
      <c r="DZ13" s="2">
        <f>DY13+真實IC!DZ13</f>
        <v/>
      </c>
      <c r="EA13" s="2">
        <f>DZ13+真實IC!EA13</f>
        <v/>
      </c>
      <c r="EB13" s="2">
        <f>EA13+真實IC!EB13</f>
        <v/>
      </c>
      <c r="EC13" s="2">
        <f>EB13+真實IC!EC13</f>
        <v/>
      </c>
      <c r="ED13" s="2">
        <f>EC13+真實IC!ED13</f>
        <v/>
      </c>
      <c r="EE13" s="2">
        <f>ED13+真實IC!EE13</f>
        <v/>
      </c>
      <c r="EF13" s="2">
        <f>EE13+真實IC!EF13</f>
        <v/>
      </c>
      <c r="EG13" s="2">
        <f>EF13+真實IC!EG13</f>
        <v/>
      </c>
      <c r="EH13" s="2">
        <f>EG13+真實IC!EH13</f>
        <v/>
      </c>
      <c r="EI13" s="2">
        <f>EH13+真實IC!EI13</f>
        <v/>
      </c>
      <c r="EJ13" s="2">
        <f>EI13+真實IC!EJ13</f>
        <v/>
      </c>
      <c r="EK13" s="2">
        <f>EJ13+真實IC!EK13</f>
        <v/>
      </c>
      <c r="EL13" s="2">
        <f>EK13+真實IC!EL13</f>
        <v/>
      </c>
    </row>
    <row r="14">
      <c r="A14" s="13" t="n">
        <v>50</v>
      </c>
      <c r="B14" s="13">
        <f>ROUND($D$10/A14,0)</f>
        <v/>
      </c>
      <c r="C14" s="2" t="n">
        <v>0.1322051333097304</v>
      </c>
      <c r="D14" s="2">
        <f>C14+真實IC!D14</f>
        <v/>
      </c>
      <c r="E14" s="2">
        <f>D14+真實IC!E14</f>
        <v/>
      </c>
      <c r="F14" s="2">
        <f>E14+真實IC!F14</f>
        <v/>
      </c>
      <c r="G14" s="2">
        <f>F14+真實IC!G14</f>
        <v/>
      </c>
      <c r="H14" s="2">
        <f>G14+真實IC!H14</f>
        <v/>
      </c>
      <c r="I14" s="2">
        <f>H14+真實IC!I14</f>
        <v/>
      </c>
      <c r="J14" s="2">
        <f>I14+真實IC!J14</f>
        <v/>
      </c>
      <c r="K14" s="2">
        <f>J14+真實IC!K14</f>
        <v/>
      </c>
      <c r="L14" s="2">
        <f>K14+真實IC!L14</f>
        <v/>
      </c>
      <c r="M14" s="2">
        <f>L14+真實IC!M14</f>
        <v/>
      </c>
      <c r="N14" s="2">
        <f>M14+真實IC!N14</f>
        <v/>
      </c>
      <c r="O14" s="2">
        <f>N14+真實IC!O14</f>
        <v/>
      </c>
      <c r="P14" s="2">
        <f>O14+真實IC!P14</f>
        <v/>
      </c>
      <c r="Q14" s="2">
        <f>P14+真實IC!Q14</f>
        <v/>
      </c>
      <c r="R14" s="2">
        <f>Q14+真實IC!R14</f>
        <v/>
      </c>
      <c r="S14" s="2">
        <f>R14+真實IC!S14</f>
        <v/>
      </c>
      <c r="T14" s="2">
        <f>S14+真實IC!T14</f>
        <v/>
      </c>
      <c r="U14" s="2">
        <f>T14+真實IC!U14</f>
        <v/>
      </c>
      <c r="V14" s="2">
        <f>U14+真實IC!V14</f>
        <v/>
      </c>
      <c r="W14" s="2">
        <f>V14+真實IC!W14</f>
        <v/>
      </c>
      <c r="X14" s="2">
        <f>W14+真實IC!X14</f>
        <v/>
      </c>
      <c r="Y14" s="2">
        <f>X14+真實IC!Y14</f>
        <v/>
      </c>
      <c r="Z14" s="2">
        <f>Y14+真實IC!Z14</f>
        <v/>
      </c>
      <c r="AA14" s="2">
        <f>Z14+真實IC!AA14</f>
        <v/>
      </c>
      <c r="AB14" s="2">
        <f>AA14+真實IC!AB14</f>
        <v/>
      </c>
      <c r="AC14" s="2">
        <f>AB14+真實IC!AC14</f>
        <v/>
      </c>
      <c r="AD14" s="2">
        <f>AC14+真實IC!AD14</f>
        <v/>
      </c>
      <c r="AE14" s="2">
        <f>AD14+真實IC!AE14</f>
        <v/>
      </c>
      <c r="AF14" s="2">
        <f>AE14+真實IC!AF14</f>
        <v/>
      </c>
      <c r="AG14" s="2">
        <f>AF14+真實IC!AG14</f>
        <v/>
      </c>
      <c r="AH14" s="2">
        <f>AG14+真實IC!AH14</f>
        <v/>
      </c>
      <c r="AI14" s="2">
        <f>AH14+真實IC!AI14</f>
        <v/>
      </c>
      <c r="AJ14" s="2">
        <f>AI14+真實IC!AJ14</f>
        <v/>
      </c>
      <c r="AK14" s="2">
        <f>AJ14+真實IC!AK14</f>
        <v/>
      </c>
      <c r="AL14" s="2">
        <f>AK14+真實IC!AL14</f>
        <v/>
      </c>
      <c r="AM14" s="2">
        <f>AL14+真實IC!AM14</f>
        <v/>
      </c>
      <c r="AN14" s="2">
        <f>AM14+真實IC!AN14</f>
        <v/>
      </c>
      <c r="AO14" s="2">
        <f>AN14+真實IC!AO14</f>
        <v/>
      </c>
      <c r="AP14" s="2">
        <f>AO14+真實IC!AP14</f>
        <v/>
      </c>
      <c r="AQ14" s="2">
        <f>AP14+真實IC!AQ14</f>
        <v/>
      </c>
      <c r="AR14" s="2">
        <f>AQ14+真實IC!AR14</f>
        <v/>
      </c>
      <c r="AS14" s="2">
        <f>AR14+真實IC!AS14</f>
        <v/>
      </c>
      <c r="AT14" s="2">
        <f>AS14+真實IC!AT14</f>
        <v/>
      </c>
      <c r="AU14" s="2">
        <f>AT14+真實IC!AU14</f>
        <v/>
      </c>
      <c r="AV14" s="2">
        <f>AU14+真實IC!AV14</f>
        <v/>
      </c>
      <c r="AW14" s="2">
        <f>AV14+真實IC!AW14</f>
        <v/>
      </c>
      <c r="AX14" s="2">
        <f>AW14+真實IC!AX14</f>
        <v/>
      </c>
      <c r="AY14" s="2">
        <f>AX14+真實IC!AY14</f>
        <v/>
      </c>
      <c r="AZ14" s="2">
        <f>AY14+真實IC!AZ14</f>
        <v/>
      </c>
      <c r="BA14" s="2">
        <f>AZ14+真實IC!BA14</f>
        <v/>
      </c>
      <c r="BB14" s="2">
        <f>BA14+真實IC!BB14</f>
        <v/>
      </c>
      <c r="BC14" s="2">
        <f>BB14+真實IC!BC14</f>
        <v/>
      </c>
      <c r="BD14" s="2">
        <f>BC14+真實IC!BD14</f>
        <v/>
      </c>
      <c r="BE14" s="2">
        <f>BD14+真實IC!BE14</f>
        <v/>
      </c>
      <c r="BF14" s="2">
        <f>BE14+真實IC!BF14</f>
        <v/>
      </c>
      <c r="BG14" s="2">
        <f>BF14+真實IC!BG14</f>
        <v/>
      </c>
      <c r="BH14" s="2">
        <f>BG14+真實IC!BH14</f>
        <v/>
      </c>
      <c r="BI14" s="2">
        <f>BH14+真實IC!BI14</f>
        <v/>
      </c>
      <c r="BJ14" s="2">
        <f>BI14+真實IC!BJ14</f>
        <v/>
      </c>
      <c r="BK14" s="2">
        <f>BJ14+真實IC!BK14</f>
        <v/>
      </c>
      <c r="BL14" s="2">
        <f>BK14+真實IC!BL14</f>
        <v/>
      </c>
      <c r="BM14" s="2">
        <f>BL14+真實IC!BM14</f>
        <v/>
      </c>
      <c r="BN14" s="2">
        <f>BM14+真實IC!BN14</f>
        <v/>
      </c>
      <c r="BO14" s="2">
        <f>BN14+真實IC!BO14</f>
        <v/>
      </c>
      <c r="BP14" s="2">
        <f>BO14+真實IC!BP14</f>
        <v/>
      </c>
      <c r="BQ14" s="2">
        <f>BP14+真實IC!BQ14</f>
        <v/>
      </c>
      <c r="BR14" s="2">
        <f>BQ14+真實IC!BR14</f>
        <v/>
      </c>
      <c r="BS14" s="2">
        <f>BR14+真實IC!BS14</f>
        <v/>
      </c>
      <c r="BT14" s="2">
        <f>BS14+真實IC!BT14</f>
        <v/>
      </c>
      <c r="BU14" s="2">
        <f>BT14+真實IC!BU14</f>
        <v/>
      </c>
      <c r="BV14" s="2">
        <f>BU14+真實IC!BV14</f>
        <v/>
      </c>
      <c r="BW14" s="2">
        <f>BV14+真實IC!BW14</f>
        <v/>
      </c>
      <c r="BX14" s="2">
        <f>BW14+真實IC!BX14</f>
        <v/>
      </c>
      <c r="BY14" s="2">
        <f>BX14+真實IC!BY14</f>
        <v/>
      </c>
      <c r="BZ14" s="2">
        <f>BY14+真實IC!BZ14</f>
        <v/>
      </c>
      <c r="CA14" s="2">
        <f>BZ14+真實IC!CA14</f>
        <v/>
      </c>
      <c r="CB14" s="2">
        <f>CA14+真實IC!CB14</f>
        <v/>
      </c>
      <c r="CC14" s="2">
        <f>CB14+真實IC!CC14</f>
        <v/>
      </c>
      <c r="CD14" s="2">
        <f>CC14+真實IC!CD14</f>
        <v/>
      </c>
      <c r="CE14" s="2">
        <f>CD14+真實IC!CE14</f>
        <v/>
      </c>
      <c r="CF14" s="2">
        <f>CE14+真實IC!CF14</f>
        <v/>
      </c>
      <c r="CG14" s="2">
        <f>CF14+真實IC!CG14</f>
        <v/>
      </c>
      <c r="CH14" s="2">
        <f>CG14+真實IC!CH14</f>
        <v/>
      </c>
      <c r="CI14" s="2">
        <f>CH14+真實IC!CI14</f>
        <v/>
      </c>
      <c r="CJ14" s="2">
        <f>CI14+真實IC!CJ14</f>
        <v/>
      </c>
      <c r="CK14" s="2">
        <f>CJ14+真實IC!CK14</f>
        <v/>
      </c>
      <c r="CL14" s="2">
        <f>CK14+真實IC!CL14</f>
        <v/>
      </c>
      <c r="CM14" s="2">
        <f>CL14+真實IC!CM14</f>
        <v/>
      </c>
      <c r="CN14" s="2">
        <f>CM14+真實IC!CN14</f>
        <v/>
      </c>
      <c r="CO14" s="2">
        <f>CN14+真實IC!CO14</f>
        <v/>
      </c>
      <c r="CP14" s="2">
        <f>CO14+真實IC!CP14</f>
        <v/>
      </c>
      <c r="CQ14" s="2">
        <f>CP14+真實IC!CQ14</f>
        <v/>
      </c>
      <c r="CR14" s="2">
        <f>CQ14+真實IC!CR14</f>
        <v/>
      </c>
      <c r="CS14" s="2">
        <f>CR14+真實IC!CS14</f>
        <v/>
      </c>
      <c r="CT14" s="2">
        <f>CS14+真實IC!CT14</f>
        <v/>
      </c>
      <c r="CU14" s="2">
        <f>CT14+真實IC!CU14</f>
        <v/>
      </c>
      <c r="CV14" s="2">
        <f>CU14+真實IC!CV14</f>
        <v/>
      </c>
      <c r="CW14" s="2">
        <f>CV14+真實IC!CW14</f>
        <v/>
      </c>
      <c r="CX14" s="2">
        <f>CW14+真實IC!CX14</f>
        <v/>
      </c>
      <c r="CY14" s="2">
        <f>CX14+真實IC!CY14</f>
        <v/>
      </c>
      <c r="CZ14" s="2">
        <f>CY14+真實IC!CZ14</f>
        <v/>
      </c>
      <c r="DA14" s="2">
        <f>CZ14+真實IC!DA14</f>
        <v/>
      </c>
      <c r="DB14" s="2">
        <f>DA14+真實IC!DB14</f>
        <v/>
      </c>
      <c r="DC14" s="2">
        <f>DB14+真實IC!DC14</f>
        <v/>
      </c>
      <c r="DD14" s="2">
        <f>DC14+真實IC!DD14</f>
        <v/>
      </c>
      <c r="DE14" s="2">
        <f>DD14+真實IC!DE14</f>
        <v/>
      </c>
      <c r="DF14" s="2">
        <f>DE14+真實IC!DF14</f>
        <v/>
      </c>
      <c r="DG14" s="2">
        <f>DF14+真實IC!DG14</f>
        <v/>
      </c>
      <c r="DH14" s="2">
        <f>DG14+真實IC!DH14</f>
        <v/>
      </c>
      <c r="DI14" s="2">
        <f>DH14+真實IC!DI14</f>
        <v/>
      </c>
      <c r="DJ14" s="2">
        <f>DI14+真實IC!DJ14</f>
        <v/>
      </c>
      <c r="DK14" s="2">
        <f>DJ14+真實IC!DK14</f>
        <v/>
      </c>
      <c r="DL14" s="2">
        <f>DK14+真實IC!DL14</f>
        <v/>
      </c>
      <c r="DM14" s="2">
        <f>DL14+真實IC!DM14</f>
        <v/>
      </c>
      <c r="DN14" s="2">
        <f>DM14+真實IC!DN14</f>
        <v/>
      </c>
      <c r="DO14" s="2">
        <f>DN14+真實IC!DO14</f>
        <v/>
      </c>
      <c r="DP14" s="2">
        <f>DO14+真實IC!DP14</f>
        <v/>
      </c>
      <c r="DQ14" s="2">
        <f>DP14+真實IC!DQ14</f>
        <v/>
      </c>
      <c r="DR14" s="2">
        <f>DQ14+真實IC!DR14</f>
        <v/>
      </c>
      <c r="DS14" s="2">
        <f>DR14+真實IC!DS14</f>
        <v/>
      </c>
      <c r="DT14" s="2">
        <f>DS14+真實IC!DT14</f>
        <v/>
      </c>
      <c r="DU14" s="2">
        <f>DT14+真實IC!DU14</f>
        <v/>
      </c>
      <c r="DV14" s="2">
        <f>DU14+真實IC!DV14</f>
        <v/>
      </c>
      <c r="DW14" s="2">
        <f>DV14+真實IC!DW14</f>
        <v/>
      </c>
      <c r="DX14" s="2">
        <f>DW14+真實IC!DX14</f>
        <v/>
      </c>
      <c r="DY14" s="2">
        <f>DX14+真實IC!DY14</f>
        <v/>
      </c>
      <c r="DZ14" s="2">
        <f>DY14+真實IC!DZ14</f>
        <v/>
      </c>
      <c r="EA14" s="2">
        <f>DZ14+真實IC!EA14</f>
        <v/>
      </c>
      <c r="EB14" s="2">
        <f>EA14+真實IC!EB14</f>
        <v/>
      </c>
      <c r="EC14" s="2">
        <f>EB14+真實IC!EC14</f>
        <v/>
      </c>
      <c r="ED14" s="2">
        <f>EC14+真實IC!ED14</f>
        <v/>
      </c>
      <c r="EE14" s="2">
        <f>ED14+真實IC!EE14</f>
        <v/>
      </c>
      <c r="EF14" s="2">
        <f>EE14+真實IC!EF14</f>
        <v/>
      </c>
      <c r="EG14" s="2">
        <f>EF14+真實IC!EG14</f>
        <v/>
      </c>
      <c r="EH14" s="2">
        <f>EG14+真實IC!EH14</f>
        <v/>
      </c>
      <c r="EI14" s="2">
        <f>EH14+真實IC!EI14</f>
        <v/>
      </c>
      <c r="EJ14" s="2">
        <f>EI14+真實IC!EJ14</f>
        <v/>
      </c>
      <c r="EK14" s="2">
        <f>EJ14+真實IC!EK14</f>
        <v/>
      </c>
      <c r="EL14" s="2">
        <f>EK14+真實IC!EL14</f>
        <v/>
      </c>
    </row>
    <row r="15">
      <c r="A15" s="13" t="n">
        <v>110</v>
      </c>
      <c r="B15" s="13">
        <f>ROUND($D$10/A15,0)</f>
        <v/>
      </c>
      <c r="C15" s="2" t="n">
        <v>0.2415584226424828</v>
      </c>
      <c r="D15" s="2">
        <f>C15+真實IC!D15</f>
        <v/>
      </c>
      <c r="E15" s="2">
        <f>D15+真實IC!E15</f>
        <v/>
      </c>
      <c r="F15" s="2">
        <f>E15+真實IC!F15</f>
        <v/>
      </c>
      <c r="G15" s="2">
        <f>F15+真實IC!G15</f>
        <v/>
      </c>
      <c r="H15" s="2">
        <f>G15+真實IC!H15</f>
        <v/>
      </c>
      <c r="I15" s="2">
        <f>H15+真實IC!I15</f>
        <v/>
      </c>
      <c r="J15" s="2">
        <f>I15+真實IC!J15</f>
        <v/>
      </c>
      <c r="K15" s="2">
        <f>J15+真實IC!K15</f>
        <v/>
      </c>
      <c r="L15" s="2">
        <f>K15+真實IC!L15</f>
        <v/>
      </c>
      <c r="M15" s="2">
        <f>L15+真實IC!M15</f>
        <v/>
      </c>
      <c r="N15" s="2">
        <f>M15+真實IC!N15</f>
        <v/>
      </c>
      <c r="O15" s="2">
        <f>N15+真實IC!O15</f>
        <v/>
      </c>
      <c r="P15" s="2">
        <f>O15+真實IC!P15</f>
        <v/>
      </c>
      <c r="Q15" s="2">
        <f>P15+真實IC!Q15</f>
        <v/>
      </c>
      <c r="R15" s="2">
        <f>Q15+真實IC!R15</f>
        <v/>
      </c>
      <c r="S15" s="2">
        <f>R15+真實IC!S15</f>
        <v/>
      </c>
      <c r="T15" s="2">
        <f>S15+真實IC!T15</f>
        <v/>
      </c>
      <c r="U15" s="2">
        <f>T15+真實IC!U15</f>
        <v/>
      </c>
      <c r="V15" s="2">
        <f>U15+真實IC!V15</f>
        <v/>
      </c>
      <c r="W15" s="2">
        <f>V15+真實IC!W15</f>
        <v/>
      </c>
      <c r="X15" s="2">
        <f>W15+真實IC!X15</f>
        <v/>
      </c>
      <c r="Y15" s="2">
        <f>X15+真實IC!Y15</f>
        <v/>
      </c>
      <c r="Z15" s="2">
        <f>Y15+真實IC!Z15</f>
        <v/>
      </c>
      <c r="AA15" s="2">
        <f>Z15+真實IC!AA15</f>
        <v/>
      </c>
      <c r="AB15" s="2">
        <f>AA15+真實IC!AB15</f>
        <v/>
      </c>
      <c r="AC15" s="2">
        <f>AB15+真實IC!AC15</f>
        <v/>
      </c>
      <c r="AD15" s="2">
        <f>AC15+真實IC!AD15</f>
        <v/>
      </c>
      <c r="AE15" s="2">
        <f>AD15+真實IC!AE15</f>
        <v/>
      </c>
      <c r="AF15" s="2">
        <f>AE15+真實IC!AF15</f>
        <v/>
      </c>
      <c r="AG15" s="2">
        <f>AF15+真實IC!AG15</f>
        <v/>
      </c>
      <c r="AH15" s="2">
        <f>AG15+真實IC!AH15</f>
        <v/>
      </c>
      <c r="AI15" s="2">
        <f>AH15+真實IC!AI15</f>
        <v/>
      </c>
      <c r="AJ15" s="2">
        <f>AI15+真實IC!AJ15</f>
        <v/>
      </c>
      <c r="AK15" s="2">
        <f>AJ15+真實IC!AK15</f>
        <v/>
      </c>
      <c r="AL15" s="2">
        <f>AK15+真實IC!AL15</f>
        <v/>
      </c>
      <c r="AM15" s="2">
        <f>AL15+真實IC!AM15</f>
        <v/>
      </c>
      <c r="AN15" s="2">
        <f>AM15+真實IC!AN15</f>
        <v/>
      </c>
      <c r="AO15" s="2">
        <f>AN15+真實IC!AO15</f>
        <v/>
      </c>
      <c r="AP15" s="2">
        <f>AO15+真實IC!AP15</f>
        <v/>
      </c>
      <c r="AQ15" s="2">
        <f>AP15+真實IC!AQ15</f>
        <v/>
      </c>
      <c r="AR15" s="2">
        <f>AQ15+真實IC!AR15</f>
        <v/>
      </c>
      <c r="AS15" s="2">
        <f>AR15+真實IC!AS15</f>
        <v/>
      </c>
      <c r="AT15" s="2">
        <f>AS15+真實IC!AT15</f>
        <v/>
      </c>
      <c r="AU15" s="2">
        <f>AT15+真實IC!AU15</f>
        <v/>
      </c>
      <c r="AV15" s="2">
        <f>AU15+真實IC!AV15</f>
        <v/>
      </c>
      <c r="AW15" s="2">
        <f>AV15+真實IC!AW15</f>
        <v/>
      </c>
      <c r="AX15" s="2">
        <f>AW15+真實IC!AX15</f>
        <v/>
      </c>
      <c r="AY15" s="2">
        <f>AX15+真實IC!AY15</f>
        <v/>
      </c>
      <c r="AZ15" s="2">
        <f>AY15+真實IC!AZ15</f>
        <v/>
      </c>
      <c r="BA15" s="2">
        <f>AZ15+真實IC!BA15</f>
        <v/>
      </c>
      <c r="BB15" s="2">
        <f>BA15+真實IC!BB15</f>
        <v/>
      </c>
      <c r="BC15" s="2">
        <f>BB15+真實IC!BC15</f>
        <v/>
      </c>
      <c r="BD15" s="2">
        <f>BC15+真實IC!BD15</f>
        <v/>
      </c>
      <c r="BE15" s="2">
        <f>BD15+真實IC!BE15</f>
        <v/>
      </c>
      <c r="BF15" s="2">
        <f>BE15+真實IC!BF15</f>
        <v/>
      </c>
      <c r="BG15" s="2">
        <f>BF15+真實IC!BG15</f>
        <v/>
      </c>
      <c r="BH15" s="2">
        <f>BG15+真實IC!BH15</f>
        <v/>
      </c>
      <c r="BI15" s="2">
        <f>BH15+真實IC!BI15</f>
        <v/>
      </c>
      <c r="BJ15" s="2">
        <f>BI15+真實IC!BJ15</f>
        <v/>
      </c>
      <c r="BK15" s="2">
        <f>BJ15+真實IC!BK15</f>
        <v/>
      </c>
      <c r="BL15" s="2">
        <f>BK15+真實IC!BL15</f>
        <v/>
      </c>
      <c r="BM15" s="2">
        <f>BL15+真實IC!BM15</f>
        <v/>
      </c>
      <c r="BN15" s="2">
        <f>BM15+真實IC!BN15</f>
        <v/>
      </c>
      <c r="BO15" s="2">
        <f>BN15+真實IC!BO15</f>
        <v/>
      </c>
      <c r="BP15" s="2">
        <f>BO15+真實IC!BP15</f>
        <v/>
      </c>
      <c r="BQ15" s="2">
        <f>BP15+真實IC!BQ15</f>
        <v/>
      </c>
      <c r="BR15" s="2">
        <f>BQ15+真實IC!BR15</f>
        <v/>
      </c>
      <c r="BS15" s="2">
        <f>BR15+真實IC!BS15</f>
        <v/>
      </c>
      <c r="BT15" s="2">
        <f>BS15+真實IC!BT15</f>
        <v/>
      </c>
      <c r="BU15" s="2">
        <f>BT15+真實IC!BU15</f>
        <v/>
      </c>
      <c r="BV15" s="2">
        <f>BU15+真實IC!BV15</f>
        <v/>
      </c>
      <c r="BW15" s="2">
        <f>BV15+真實IC!BW15</f>
        <v/>
      </c>
      <c r="BX15" s="2">
        <f>BW15+真實IC!BX15</f>
        <v/>
      </c>
      <c r="BY15" s="2">
        <f>BX15+真實IC!BY15</f>
        <v/>
      </c>
      <c r="BZ15" s="2">
        <f>BY15+真實IC!BZ15</f>
        <v/>
      </c>
      <c r="CA15" s="2">
        <f>BZ15+真實IC!CA15</f>
        <v/>
      </c>
      <c r="CB15" s="2">
        <f>CA15+真實IC!CB15</f>
        <v/>
      </c>
      <c r="CC15" s="2">
        <f>CB15+真實IC!CC15</f>
        <v/>
      </c>
      <c r="CD15" s="2">
        <f>CC15+真實IC!CD15</f>
        <v/>
      </c>
      <c r="CE15" s="2">
        <f>CD15+真實IC!CE15</f>
        <v/>
      </c>
      <c r="CF15" s="2">
        <f>CE15+真實IC!CF15</f>
        <v/>
      </c>
      <c r="CG15" s="2">
        <f>CF15+真實IC!CG15</f>
        <v/>
      </c>
      <c r="CH15" s="2">
        <f>CG15+真實IC!CH15</f>
        <v/>
      </c>
      <c r="CI15" s="2">
        <f>CH15+真實IC!CI15</f>
        <v/>
      </c>
      <c r="CJ15" s="2">
        <f>CI15+真實IC!CJ15</f>
        <v/>
      </c>
      <c r="CK15" s="2">
        <f>CJ15+真實IC!CK15</f>
        <v/>
      </c>
      <c r="CL15" s="2">
        <f>CK15+真實IC!CL15</f>
        <v/>
      </c>
      <c r="CM15" s="2">
        <f>CL15+真實IC!CM15</f>
        <v/>
      </c>
      <c r="CN15" s="2">
        <f>CM15+真實IC!CN15</f>
        <v/>
      </c>
      <c r="CO15" s="2">
        <f>CN15+真實IC!CO15</f>
        <v/>
      </c>
      <c r="CP15" s="2">
        <f>CO15+真實IC!CP15</f>
        <v/>
      </c>
      <c r="CQ15" s="2">
        <f>CP15+真實IC!CQ15</f>
        <v/>
      </c>
      <c r="CR15" s="2">
        <f>CQ15+真實IC!CR15</f>
        <v/>
      </c>
      <c r="CS15" s="2">
        <f>CR15+真實IC!CS15</f>
        <v/>
      </c>
      <c r="CT15" s="2">
        <f>CS15+真實IC!CT15</f>
        <v/>
      </c>
      <c r="CU15" s="2">
        <f>CT15+真實IC!CU15</f>
        <v/>
      </c>
      <c r="CV15" s="2">
        <f>CU15+真實IC!CV15</f>
        <v/>
      </c>
      <c r="CW15" s="2">
        <f>CV15+真實IC!CW15</f>
        <v/>
      </c>
      <c r="CX15" s="2">
        <f>CW15+真實IC!CX15</f>
        <v/>
      </c>
      <c r="CY15" s="2">
        <f>CX15+真實IC!CY15</f>
        <v/>
      </c>
      <c r="CZ15" s="2">
        <f>CY15+真實IC!CZ15</f>
        <v/>
      </c>
      <c r="DA15" s="2">
        <f>CZ15+真實IC!DA15</f>
        <v/>
      </c>
      <c r="DB15" s="2">
        <f>DA15+真實IC!DB15</f>
        <v/>
      </c>
      <c r="DC15" s="2">
        <f>DB15+真實IC!DC15</f>
        <v/>
      </c>
      <c r="DD15" s="2">
        <f>DC15+真實IC!DD15</f>
        <v/>
      </c>
      <c r="DE15" s="2">
        <f>DD15+真實IC!DE15</f>
        <v/>
      </c>
      <c r="DF15" s="2">
        <f>DE15+真實IC!DF15</f>
        <v/>
      </c>
      <c r="DG15" s="2">
        <f>DF15+真實IC!DG15</f>
        <v/>
      </c>
      <c r="DH15" s="2">
        <f>DG15+真實IC!DH15</f>
        <v/>
      </c>
      <c r="DI15" s="2">
        <f>DH15+真實IC!DI15</f>
        <v/>
      </c>
      <c r="DJ15" s="2">
        <f>DI15+真實IC!DJ15</f>
        <v/>
      </c>
      <c r="DK15" s="2">
        <f>DJ15+真實IC!DK15</f>
        <v/>
      </c>
      <c r="DL15" s="2">
        <f>DK15+真實IC!DL15</f>
        <v/>
      </c>
      <c r="DM15" s="2">
        <f>DL15+真實IC!DM15</f>
        <v/>
      </c>
      <c r="DN15" s="2">
        <f>DM15+真實IC!DN15</f>
        <v/>
      </c>
      <c r="DO15" s="2">
        <f>DN15+真實IC!DO15</f>
        <v/>
      </c>
      <c r="DP15" s="2">
        <f>DO15+真實IC!DP15</f>
        <v/>
      </c>
      <c r="DQ15" s="2">
        <f>DP15+真實IC!DQ15</f>
        <v/>
      </c>
      <c r="DR15" s="2">
        <f>DQ15+真實IC!DR15</f>
        <v/>
      </c>
      <c r="DS15" s="2">
        <f>DR15+真實IC!DS15</f>
        <v/>
      </c>
      <c r="DT15" s="2">
        <f>DS15+真實IC!DT15</f>
        <v/>
      </c>
      <c r="DU15" s="2">
        <f>DT15+真實IC!DU15</f>
        <v/>
      </c>
      <c r="DV15" s="2">
        <f>DU15+真實IC!DV15</f>
        <v/>
      </c>
      <c r="DW15" s="2">
        <f>DV15+真實IC!DW15</f>
        <v/>
      </c>
      <c r="DX15" s="2">
        <f>DW15+真實IC!DX15</f>
        <v/>
      </c>
      <c r="DY15" s="2">
        <f>DX15+真實IC!DY15</f>
        <v/>
      </c>
      <c r="DZ15" s="2">
        <f>DY15+真實IC!DZ15</f>
        <v/>
      </c>
      <c r="EA15" s="2">
        <f>DZ15+真實IC!EA15</f>
        <v/>
      </c>
      <c r="EB15" s="2">
        <f>EA15+真實IC!EB15</f>
        <v/>
      </c>
      <c r="EC15" s="2">
        <f>EB15+真實IC!EC15</f>
        <v/>
      </c>
      <c r="ED15" s="2">
        <f>EC15+真實IC!ED15</f>
        <v/>
      </c>
      <c r="EE15" s="2">
        <f>ED15+真實IC!EE15</f>
        <v/>
      </c>
      <c r="EF15" s="2">
        <f>EE15+真實IC!EF15</f>
        <v/>
      </c>
      <c r="EG15" s="2">
        <f>EF15+真實IC!EG15</f>
        <v/>
      </c>
      <c r="EH15" s="2">
        <f>EG15+真實IC!EH15</f>
        <v/>
      </c>
      <c r="EI15" s="2">
        <f>EH15+真實IC!EI15</f>
        <v/>
      </c>
      <c r="EJ15" s="2">
        <f>EI15+真實IC!EJ15</f>
        <v/>
      </c>
      <c r="EK15" s="2">
        <f>EJ15+真實IC!EK15</f>
        <v/>
      </c>
      <c r="EL15" s="2">
        <f>EK15+真實IC!EL15</f>
        <v/>
      </c>
    </row>
    <row r="16">
      <c r="A16" s="13" t="n">
        <v>120</v>
      </c>
      <c r="B16" s="13">
        <f>ROUND($D$10/A16,0)</f>
        <v/>
      </c>
      <c r="C16" s="2" t="n">
        <v>0.2607277098356321</v>
      </c>
      <c r="D16" s="2">
        <f>C16+真實IC!D16</f>
        <v/>
      </c>
      <c r="E16" s="2">
        <f>D16+真實IC!E16</f>
        <v/>
      </c>
      <c r="F16" s="2">
        <f>E16+真實IC!F16</f>
        <v/>
      </c>
      <c r="G16" s="2">
        <f>F16+真實IC!G16</f>
        <v/>
      </c>
      <c r="H16" s="2">
        <f>G16+真實IC!H16</f>
        <v/>
      </c>
      <c r="I16" s="2">
        <f>H16+真實IC!I16</f>
        <v/>
      </c>
      <c r="J16" s="2">
        <f>I16+真實IC!J16</f>
        <v/>
      </c>
      <c r="K16" s="2">
        <f>J16+真實IC!K16</f>
        <v/>
      </c>
      <c r="L16" s="2">
        <f>K16+真實IC!L16</f>
        <v/>
      </c>
      <c r="M16" s="2">
        <f>L16+真實IC!M16</f>
        <v/>
      </c>
      <c r="N16" s="2">
        <f>M16+真實IC!N16</f>
        <v/>
      </c>
      <c r="O16" s="2">
        <f>N16+真實IC!O16</f>
        <v/>
      </c>
      <c r="P16" s="2">
        <f>O16+真實IC!P16</f>
        <v/>
      </c>
      <c r="Q16" s="2">
        <f>P16+真實IC!Q16</f>
        <v/>
      </c>
      <c r="R16" s="2">
        <f>Q16+真實IC!R16</f>
        <v/>
      </c>
      <c r="S16" s="2">
        <f>R16+真實IC!S16</f>
        <v/>
      </c>
      <c r="T16" s="2">
        <f>S16+真實IC!T16</f>
        <v/>
      </c>
      <c r="U16" s="2">
        <f>T16+真實IC!U16</f>
        <v/>
      </c>
      <c r="V16" s="2">
        <f>U16+真實IC!V16</f>
        <v/>
      </c>
      <c r="W16" s="2">
        <f>V16+真實IC!W16</f>
        <v/>
      </c>
      <c r="X16" s="2">
        <f>W16+真實IC!X16</f>
        <v/>
      </c>
      <c r="Y16" s="2">
        <f>X16+真實IC!Y16</f>
        <v/>
      </c>
      <c r="Z16" s="2">
        <f>Y16+真實IC!Z16</f>
        <v/>
      </c>
      <c r="AA16" s="2">
        <f>Z16+真實IC!AA16</f>
        <v/>
      </c>
      <c r="AB16" s="2">
        <f>AA16+真實IC!AB16</f>
        <v/>
      </c>
      <c r="AC16" s="2">
        <f>AB16+真實IC!AC16</f>
        <v/>
      </c>
      <c r="AD16" s="2">
        <f>AC16+真實IC!AD16</f>
        <v/>
      </c>
      <c r="AE16" s="2">
        <f>AD16+真實IC!AE16</f>
        <v/>
      </c>
      <c r="AF16" s="2">
        <f>AE16+真實IC!AF16</f>
        <v/>
      </c>
      <c r="AG16" s="2">
        <f>AF16+真實IC!AG16</f>
        <v/>
      </c>
      <c r="AH16" s="2">
        <f>AG16+真實IC!AH16</f>
        <v/>
      </c>
      <c r="AI16" s="2">
        <f>AH16+真實IC!AI16</f>
        <v/>
      </c>
      <c r="AJ16" s="2">
        <f>AI16+真實IC!AJ16</f>
        <v/>
      </c>
      <c r="AK16" s="2">
        <f>AJ16+真實IC!AK16</f>
        <v/>
      </c>
      <c r="AL16" s="2">
        <f>AK16+真實IC!AL16</f>
        <v/>
      </c>
      <c r="AM16" s="2">
        <f>AL16+真實IC!AM16</f>
        <v/>
      </c>
      <c r="AN16" s="2">
        <f>AM16+真實IC!AN16</f>
        <v/>
      </c>
      <c r="AO16" s="2">
        <f>AN16+真實IC!AO16</f>
        <v/>
      </c>
      <c r="AP16" s="2">
        <f>AO16+真實IC!AP16</f>
        <v/>
      </c>
      <c r="AQ16" s="2">
        <f>AP16+真實IC!AQ16</f>
        <v/>
      </c>
      <c r="AR16" s="2">
        <f>AQ16+真實IC!AR16</f>
        <v/>
      </c>
      <c r="AS16" s="2">
        <f>AR16+真實IC!AS16</f>
        <v/>
      </c>
      <c r="AT16" s="2">
        <f>AS16+真實IC!AT16</f>
        <v/>
      </c>
      <c r="AU16" s="2">
        <f>AT16+真實IC!AU16</f>
        <v/>
      </c>
      <c r="AV16" s="2">
        <f>AU16+真實IC!AV16</f>
        <v/>
      </c>
      <c r="AW16" s="2">
        <f>AV16+真實IC!AW16</f>
        <v/>
      </c>
      <c r="AX16" s="2">
        <f>AW16+真實IC!AX16</f>
        <v/>
      </c>
      <c r="AY16" s="2">
        <f>AX16+真實IC!AY16</f>
        <v/>
      </c>
      <c r="AZ16" s="2">
        <f>AY16+真實IC!AZ16</f>
        <v/>
      </c>
      <c r="BA16" s="2">
        <f>AZ16+真實IC!BA16</f>
        <v/>
      </c>
      <c r="BB16" s="2">
        <f>BA16+真實IC!BB16</f>
        <v/>
      </c>
      <c r="BC16" s="2">
        <f>BB16+真實IC!BC16</f>
        <v/>
      </c>
      <c r="BD16" s="2">
        <f>BC16+真實IC!BD16</f>
        <v/>
      </c>
      <c r="BE16" s="2">
        <f>BD16+真實IC!BE16</f>
        <v/>
      </c>
      <c r="BF16" s="2">
        <f>BE16+真實IC!BF16</f>
        <v/>
      </c>
      <c r="BG16" s="2">
        <f>BF16+真實IC!BG16</f>
        <v/>
      </c>
      <c r="BH16" s="2">
        <f>BG16+真實IC!BH16</f>
        <v/>
      </c>
      <c r="BI16" s="2">
        <f>BH16+真實IC!BI16</f>
        <v/>
      </c>
      <c r="BJ16" s="2">
        <f>BI16+真實IC!BJ16</f>
        <v/>
      </c>
      <c r="BK16" s="2">
        <f>BJ16+真實IC!BK16</f>
        <v/>
      </c>
      <c r="BL16" s="2">
        <f>BK16+真實IC!BL16</f>
        <v/>
      </c>
      <c r="BM16" s="2">
        <f>BL16+真實IC!BM16</f>
        <v/>
      </c>
      <c r="BN16" s="2">
        <f>BM16+真實IC!BN16</f>
        <v/>
      </c>
      <c r="BO16" s="2">
        <f>BN16+真實IC!BO16</f>
        <v/>
      </c>
      <c r="BP16" s="2">
        <f>BO16+真實IC!BP16</f>
        <v/>
      </c>
      <c r="BQ16" s="2">
        <f>BP16+真實IC!BQ16</f>
        <v/>
      </c>
      <c r="BR16" s="2">
        <f>BQ16+真實IC!BR16</f>
        <v/>
      </c>
      <c r="BS16" s="2">
        <f>BR16+真實IC!BS16</f>
        <v/>
      </c>
      <c r="BT16" s="2">
        <f>BS16+真實IC!BT16</f>
        <v/>
      </c>
      <c r="BU16" s="2">
        <f>BT16+真實IC!BU16</f>
        <v/>
      </c>
      <c r="BV16" s="2">
        <f>BU16+真實IC!BV16</f>
        <v/>
      </c>
      <c r="BW16" s="2">
        <f>BV16+真實IC!BW16</f>
        <v/>
      </c>
      <c r="BX16" s="2">
        <f>BW16+真實IC!BX16</f>
        <v/>
      </c>
      <c r="BY16" s="2">
        <f>BX16+真實IC!BY16</f>
        <v/>
      </c>
      <c r="BZ16" s="2">
        <f>BY16+真實IC!BZ16</f>
        <v/>
      </c>
      <c r="CA16" s="2">
        <f>BZ16+真實IC!CA16</f>
        <v/>
      </c>
      <c r="CB16" s="2">
        <f>CA16+真實IC!CB16</f>
        <v/>
      </c>
      <c r="CC16" s="2">
        <f>CB16+真實IC!CC16</f>
        <v/>
      </c>
      <c r="CD16" s="2">
        <f>CC16+真實IC!CD16</f>
        <v/>
      </c>
      <c r="CE16" s="2">
        <f>CD16+真實IC!CE16</f>
        <v/>
      </c>
      <c r="CF16" s="2">
        <f>CE16+真實IC!CF16</f>
        <v/>
      </c>
      <c r="CG16" s="2">
        <f>CF16+真實IC!CG16</f>
        <v/>
      </c>
      <c r="CH16" s="2">
        <f>CG16+真實IC!CH16</f>
        <v/>
      </c>
      <c r="CI16" s="2">
        <f>CH16+真實IC!CI16</f>
        <v/>
      </c>
      <c r="CJ16" s="2">
        <f>CI16+真實IC!CJ16</f>
        <v/>
      </c>
      <c r="CK16" s="2">
        <f>CJ16+真實IC!CK16</f>
        <v/>
      </c>
      <c r="CL16" s="2">
        <f>CK16+真實IC!CL16</f>
        <v/>
      </c>
      <c r="CM16" s="2">
        <f>CL16+真實IC!CM16</f>
        <v/>
      </c>
      <c r="CN16" s="2">
        <f>CM16+真實IC!CN16</f>
        <v/>
      </c>
      <c r="CO16" s="2">
        <f>CN16+真實IC!CO16</f>
        <v/>
      </c>
      <c r="CP16" s="2">
        <f>CO16+真實IC!CP16</f>
        <v/>
      </c>
      <c r="CQ16" s="2">
        <f>CP16+真實IC!CQ16</f>
        <v/>
      </c>
      <c r="CR16" s="2">
        <f>CQ16+真實IC!CR16</f>
        <v/>
      </c>
      <c r="CS16" s="2">
        <f>CR16+真實IC!CS16</f>
        <v/>
      </c>
      <c r="CT16" s="2">
        <f>CS16+真實IC!CT16</f>
        <v/>
      </c>
      <c r="CU16" s="2">
        <f>CT16+真實IC!CU16</f>
        <v/>
      </c>
      <c r="CV16" s="2">
        <f>CU16+真實IC!CV16</f>
        <v/>
      </c>
      <c r="CW16" s="2">
        <f>CV16+真實IC!CW16</f>
        <v/>
      </c>
      <c r="CX16" s="2">
        <f>CW16+真實IC!CX16</f>
        <v/>
      </c>
      <c r="CY16" s="2">
        <f>CX16+真實IC!CY16</f>
        <v/>
      </c>
      <c r="CZ16" s="2">
        <f>CY16+真實IC!CZ16</f>
        <v/>
      </c>
      <c r="DA16" s="2">
        <f>CZ16+真實IC!DA16</f>
        <v/>
      </c>
      <c r="DB16" s="2">
        <f>DA16+真實IC!DB16</f>
        <v/>
      </c>
      <c r="DC16" s="2">
        <f>DB16+真實IC!DC16</f>
        <v/>
      </c>
      <c r="DD16" s="2">
        <f>DC16+真實IC!DD16</f>
        <v/>
      </c>
      <c r="DE16" s="2">
        <f>DD16+真實IC!DE16</f>
        <v/>
      </c>
      <c r="DF16" s="2">
        <f>DE16+真實IC!DF16</f>
        <v/>
      </c>
      <c r="DG16" s="2">
        <f>DF16+真實IC!DG16</f>
        <v/>
      </c>
      <c r="DH16" s="2">
        <f>DG16+真實IC!DH16</f>
        <v/>
      </c>
      <c r="DI16" s="2">
        <f>DH16+真實IC!DI16</f>
        <v/>
      </c>
      <c r="DJ16" s="2">
        <f>DI16+真實IC!DJ16</f>
        <v/>
      </c>
      <c r="DK16" s="2">
        <f>DJ16+真實IC!DK16</f>
        <v/>
      </c>
      <c r="DL16" s="2">
        <f>DK16+真實IC!DL16</f>
        <v/>
      </c>
      <c r="DM16" s="2">
        <f>DL16+真實IC!DM16</f>
        <v/>
      </c>
      <c r="DN16" s="2">
        <f>DM16+真實IC!DN16</f>
        <v/>
      </c>
      <c r="DO16" s="2">
        <f>DN16+真實IC!DO16</f>
        <v/>
      </c>
      <c r="DP16" s="2">
        <f>DO16+真實IC!DP16</f>
        <v/>
      </c>
      <c r="DQ16" s="2">
        <f>DP16+真實IC!DQ16</f>
        <v/>
      </c>
      <c r="DR16" s="2">
        <f>DQ16+真實IC!DR16</f>
        <v/>
      </c>
      <c r="DS16" s="2">
        <f>DR16+真實IC!DS16</f>
        <v/>
      </c>
      <c r="DT16" s="2">
        <f>DS16+真實IC!DT16</f>
        <v/>
      </c>
      <c r="DU16" s="2">
        <f>DT16+真實IC!DU16</f>
        <v/>
      </c>
      <c r="DV16" s="2">
        <f>DU16+真實IC!DV16</f>
        <v/>
      </c>
      <c r="DW16" s="2">
        <f>DV16+真實IC!DW16</f>
        <v/>
      </c>
      <c r="DX16" s="2">
        <f>DW16+真實IC!DX16</f>
        <v/>
      </c>
      <c r="DY16" s="2">
        <f>DX16+真實IC!DY16</f>
        <v/>
      </c>
      <c r="DZ16" s="2">
        <f>DY16+真實IC!DZ16</f>
        <v/>
      </c>
      <c r="EA16" s="2">
        <f>DZ16+真實IC!EA16</f>
        <v/>
      </c>
      <c r="EB16" s="2">
        <f>EA16+真實IC!EB16</f>
        <v/>
      </c>
      <c r="EC16" s="2">
        <f>EB16+真實IC!EC16</f>
        <v/>
      </c>
      <c r="ED16" s="2">
        <f>EC16+真實IC!ED16</f>
        <v/>
      </c>
      <c r="EE16" s="2">
        <f>ED16+真實IC!EE16</f>
        <v/>
      </c>
      <c r="EF16" s="2">
        <f>EE16+真實IC!EF16</f>
        <v/>
      </c>
      <c r="EG16" s="2">
        <f>EF16+真實IC!EG16</f>
        <v/>
      </c>
      <c r="EH16" s="2">
        <f>EG16+真實IC!EH16</f>
        <v/>
      </c>
      <c r="EI16" s="2">
        <f>EH16+真實IC!EI16</f>
        <v/>
      </c>
      <c r="EJ16" s="2">
        <f>EI16+真實IC!EJ16</f>
        <v/>
      </c>
      <c r="EK16" s="2">
        <f>EJ16+真實IC!EK16</f>
        <v/>
      </c>
      <c r="EL16" s="2">
        <f>EK16+真實IC!EL16</f>
        <v/>
      </c>
    </row>
    <row r="17">
      <c r="A17" s="13" t="n">
        <v>130</v>
      </c>
      <c r="B17" s="13">
        <f>ROUND($D$10/A17,0)</f>
        <v/>
      </c>
      <c r="C17" s="2" t="n">
        <v>0.2378970514581851</v>
      </c>
      <c r="D17" s="2">
        <f>C17+真實IC!D17</f>
        <v/>
      </c>
      <c r="E17" s="2">
        <f>D17+真實IC!E17</f>
        <v/>
      </c>
      <c r="F17" s="2">
        <f>E17+真實IC!F17</f>
        <v/>
      </c>
      <c r="G17" s="2">
        <f>F17+真實IC!G17</f>
        <v/>
      </c>
      <c r="H17" s="2">
        <f>G17+真實IC!H17</f>
        <v/>
      </c>
      <c r="I17" s="2">
        <f>H17+真實IC!I17</f>
        <v/>
      </c>
      <c r="J17" s="2">
        <f>I17+真實IC!J17</f>
        <v/>
      </c>
      <c r="K17" s="2">
        <f>J17+真實IC!K17</f>
        <v/>
      </c>
      <c r="L17" s="2">
        <f>K17+真實IC!L17</f>
        <v/>
      </c>
      <c r="M17" s="2">
        <f>L17+真實IC!M17</f>
        <v/>
      </c>
      <c r="N17" s="2">
        <f>M17+真實IC!N17</f>
        <v/>
      </c>
      <c r="O17" s="2">
        <f>N17+真實IC!O17</f>
        <v/>
      </c>
      <c r="P17" s="2">
        <f>O17+真實IC!P17</f>
        <v/>
      </c>
      <c r="Q17" s="2">
        <f>P17+真實IC!Q17</f>
        <v/>
      </c>
      <c r="R17" s="2">
        <f>Q17+真實IC!R17</f>
        <v/>
      </c>
      <c r="S17" s="2">
        <f>R17+真實IC!S17</f>
        <v/>
      </c>
      <c r="T17" s="2">
        <f>S17+真實IC!T17</f>
        <v/>
      </c>
      <c r="U17" s="2">
        <f>T17+真實IC!U17</f>
        <v/>
      </c>
      <c r="V17" s="2">
        <f>U17+真實IC!V17</f>
        <v/>
      </c>
      <c r="W17" s="2">
        <f>V17+真實IC!W17</f>
        <v/>
      </c>
      <c r="X17" s="2">
        <f>W17+真實IC!X17</f>
        <v/>
      </c>
      <c r="Y17" s="2">
        <f>X17+真實IC!Y17</f>
        <v/>
      </c>
      <c r="Z17" s="2">
        <f>Y17+真實IC!Z17</f>
        <v/>
      </c>
      <c r="AA17" s="2">
        <f>Z17+真實IC!AA17</f>
        <v/>
      </c>
      <c r="AB17" s="2">
        <f>AA17+真實IC!AB17</f>
        <v/>
      </c>
      <c r="AC17" s="2">
        <f>AB17+真實IC!AC17</f>
        <v/>
      </c>
      <c r="AD17" s="2">
        <f>AC17+真實IC!AD17</f>
        <v/>
      </c>
      <c r="AE17" s="2">
        <f>AD17+真實IC!AE17</f>
        <v/>
      </c>
      <c r="AF17" s="2">
        <f>AE17+真實IC!AF17</f>
        <v/>
      </c>
      <c r="AG17" s="2">
        <f>AF17+真實IC!AG17</f>
        <v/>
      </c>
      <c r="AH17" s="2">
        <f>AG17+真實IC!AH17</f>
        <v/>
      </c>
      <c r="AI17" s="2">
        <f>AH17+真實IC!AI17</f>
        <v/>
      </c>
      <c r="AJ17" s="2">
        <f>AI17+真實IC!AJ17</f>
        <v/>
      </c>
      <c r="AK17" s="2">
        <f>AJ17+真實IC!AK17</f>
        <v/>
      </c>
      <c r="AL17" s="2">
        <f>AK17+真實IC!AL17</f>
        <v/>
      </c>
      <c r="AM17" s="2">
        <f>AL17+真實IC!AM17</f>
        <v/>
      </c>
      <c r="AN17" s="2">
        <f>AM17+真實IC!AN17</f>
        <v/>
      </c>
      <c r="AO17" s="2">
        <f>AN17+真實IC!AO17</f>
        <v/>
      </c>
      <c r="AP17" s="2">
        <f>AO17+真實IC!AP17</f>
        <v/>
      </c>
      <c r="AQ17" s="2">
        <f>AP17+真實IC!AQ17</f>
        <v/>
      </c>
      <c r="AR17" s="2">
        <f>AQ17+真實IC!AR17</f>
        <v/>
      </c>
      <c r="AS17" s="2">
        <f>AR17+真實IC!AS17</f>
        <v/>
      </c>
      <c r="AT17" s="2">
        <f>AS17+真實IC!AT17</f>
        <v/>
      </c>
      <c r="AU17" s="2">
        <f>AT17+真實IC!AU17</f>
        <v/>
      </c>
      <c r="AV17" s="2">
        <f>AU17+真實IC!AV17</f>
        <v/>
      </c>
      <c r="AW17" s="2">
        <f>AV17+真實IC!AW17</f>
        <v/>
      </c>
      <c r="AX17" s="2">
        <f>AW17+真實IC!AX17</f>
        <v/>
      </c>
      <c r="AY17" s="2">
        <f>AX17+真實IC!AY17</f>
        <v/>
      </c>
      <c r="AZ17" s="2">
        <f>AY17+真實IC!AZ17</f>
        <v/>
      </c>
      <c r="BA17" s="2">
        <f>AZ17+真實IC!BA17</f>
        <v/>
      </c>
      <c r="BB17" s="2">
        <f>BA17+真實IC!BB17</f>
        <v/>
      </c>
      <c r="BC17" s="2">
        <f>BB17+真實IC!BC17</f>
        <v/>
      </c>
      <c r="BD17" s="2">
        <f>BC17+真實IC!BD17</f>
        <v/>
      </c>
      <c r="BE17" s="2">
        <f>BD17+真實IC!BE17</f>
        <v/>
      </c>
      <c r="BF17" s="2">
        <f>BE17+真實IC!BF17</f>
        <v/>
      </c>
      <c r="BG17" s="2">
        <f>BF17+真實IC!BG17</f>
        <v/>
      </c>
      <c r="BH17" s="2">
        <f>BG17+真實IC!BH17</f>
        <v/>
      </c>
      <c r="BI17" s="2">
        <f>BH17+真實IC!BI17</f>
        <v/>
      </c>
      <c r="BJ17" s="2">
        <f>BI17+真實IC!BJ17</f>
        <v/>
      </c>
      <c r="BK17" s="2">
        <f>BJ17+真實IC!BK17</f>
        <v/>
      </c>
      <c r="BL17" s="2">
        <f>BK17+真實IC!BL17</f>
        <v/>
      </c>
      <c r="BM17" s="2">
        <f>BL17+真實IC!BM17</f>
        <v/>
      </c>
      <c r="BN17" s="2">
        <f>BM17+真實IC!BN17</f>
        <v/>
      </c>
      <c r="BO17" s="2">
        <f>BN17+真實IC!BO17</f>
        <v/>
      </c>
      <c r="BP17" s="2">
        <f>BO17+真實IC!BP17</f>
        <v/>
      </c>
      <c r="BQ17" s="2">
        <f>BP17+真實IC!BQ17</f>
        <v/>
      </c>
      <c r="BR17" s="2">
        <f>BQ17+真實IC!BR17</f>
        <v/>
      </c>
      <c r="BS17" s="2">
        <f>BR17+真實IC!BS17</f>
        <v/>
      </c>
      <c r="BT17" s="2">
        <f>BS17+真實IC!BT17</f>
        <v/>
      </c>
      <c r="BU17" s="2">
        <f>BT17+真實IC!BU17</f>
        <v/>
      </c>
      <c r="BV17" s="2">
        <f>BU17+真實IC!BV17</f>
        <v/>
      </c>
      <c r="BW17" s="2">
        <f>BV17+真實IC!BW17</f>
        <v/>
      </c>
      <c r="BX17" s="2">
        <f>BW17+真實IC!BX17</f>
        <v/>
      </c>
      <c r="BY17" s="2">
        <f>BX17+真實IC!BY17</f>
        <v/>
      </c>
      <c r="BZ17" s="2">
        <f>BY17+真實IC!BZ17</f>
        <v/>
      </c>
      <c r="CA17" s="2">
        <f>BZ17+真實IC!CA17</f>
        <v/>
      </c>
      <c r="CB17" s="2">
        <f>CA17+真實IC!CB17</f>
        <v/>
      </c>
      <c r="CC17" s="2">
        <f>CB17+真實IC!CC17</f>
        <v/>
      </c>
      <c r="CD17" s="2">
        <f>CC17+真實IC!CD17</f>
        <v/>
      </c>
      <c r="CE17" s="2">
        <f>CD17+真實IC!CE17</f>
        <v/>
      </c>
      <c r="CF17" s="2">
        <f>CE17+真實IC!CF17</f>
        <v/>
      </c>
      <c r="CG17" s="2">
        <f>CF17+真實IC!CG17</f>
        <v/>
      </c>
      <c r="CH17" s="2">
        <f>CG17+真實IC!CH17</f>
        <v/>
      </c>
      <c r="CI17" s="2">
        <f>CH17+真實IC!CI17</f>
        <v/>
      </c>
      <c r="CJ17" s="2">
        <f>CI17+真實IC!CJ17</f>
        <v/>
      </c>
      <c r="CK17" s="2">
        <f>CJ17+真實IC!CK17</f>
        <v/>
      </c>
      <c r="CL17" s="2">
        <f>CK17+真實IC!CL17</f>
        <v/>
      </c>
      <c r="CM17" s="2">
        <f>CL17+真實IC!CM17</f>
        <v/>
      </c>
      <c r="CN17" s="2">
        <f>CM17+真實IC!CN17</f>
        <v/>
      </c>
      <c r="CO17" s="2">
        <f>CN17+真實IC!CO17</f>
        <v/>
      </c>
      <c r="CP17" s="2">
        <f>CO17+真實IC!CP17</f>
        <v/>
      </c>
      <c r="CQ17" s="2">
        <f>CP17+真實IC!CQ17</f>
        <v/>
      </c>
      <c r="CR17" s="2">
        <f>CQ17+真實IC!CR17</f>
        <v/>
      </c>
      <c r="CS17" s="2">
        <f>CR17+真實IC!CS17</f>
        <v/>
      </c>
      <c r="CT17" s="2">
        <f>CS17+真實IC!CT17</f>
        <v/>
      </c>
      <c r="CU17" s="2">
        <f>CT17+真實IC!CU17</f>
        <v/>
      </c>
      <c r="CV17" s="2">
        <f>CU17+真實IC!CV17</f>
        <v/>
      </c>
      <c r="CW17" s="2">
        <f>CV17+真實IC!CW17</f>
        <v/>
      </c>
      <c r="CX17" s="2">
        <f>CW17+真實IC!CX17</f>
        <v/>
      </c>
      <c r="CY17" s="2">
        <f>CX17+真實IC!CY17</f>
        <v/>
      </c>
      <c r="CZ17" s="2">
        <f>CY17+真實IC!CZ17</f>
        <v/>
      </c>
      <c r="DA17" s="2">
        <f>CZ17+真實IC!DA17</f>
        <v/>
      </c>
      <c r="DB17" s="2">
        <f>DA17+真實IC!DB17</f>
        <v/>
      </c>
      <c r="DC17" s="2">
        <f>DB17+真實IC!DC17</f>
        <v/>
      </c>
      <c r="DD17" s="2">
        <f>DC17+真實IC!DD17</f>
        <v/>
      </c>
      <c r="DE17" s="2">
        <f>DD17+真實IC!DE17</f>
        <v/>
      </c>
      <c r="DF17" s="2">
        <f>DE17+真實IC!DF17</f>
        <v/>
      </c>
      <c r="DG17" s="2">
        <f>DF17+真實IC!DG17</f>
        <v/>
      </c>
      <c r="DH17" s="2">
        <f>DG17+真實IC!DH17</f>
        <v/>
      </c>
      <c r="DI17" s="2">
        <f>DH17+真實IC!DI17</f>
        <v/>
      </c>
      <c r="DJ17" s="2">
        <f>DI17+真實IC!DJ17</f>
        <v/>
      </c>
      <c r="DK17" s="2">
        <f>DJ17+真實IC!DK17</f>
        <v/>
      </c>
      <c r="DL17" s="2">
        <f>DK17+真實IC!DL17</f>
        <v/>
      </c>
      <c r="DM17" s="2">
        <f>DL17+真實IC!DM17</f>
        <v/>
      </c>
      <c r="DN17" s="2">
        <f>DM17+真實IC!DN17</f>
        <v/>
      </c>
      <c r="DO17" s="2">
        <f>DN17+真實IC!DO17</f>
        <v/>
      </c>
      <c r="DP17" s="2">
        <f>DO17+真實IC!DP17</f>
        <v/>
      </c>
      <c r="DQ17" s="2">
        <f>DP17+真實IC!DQ17</f>
        <v/>
      </c>
      <c r="DR17" s="2">
        <f>DQ17+真實IC!DR17</f>
        <v/>
      </c>
      <c r="DS17" s="2">
        <f>DR17+真實IC!DS17</f>
        <v/>
      </c>
      <c r="DT17" s="2">
        <f>DS17+真實IC!DT17</f>
        <v/>
      </c>
      <c r="DU17" s="2">
        <f>DT17+真實IC!DU17</f>
        <v/>
      </c>
      <c r="DV17" s="2">
        <f>DU17+真實IC!DV17</f>
        <v/>
      </c>
      <c r="DW17" s="2">
        <f>DV17+真實IC!DW17</f>
        <v/>
      </c>
      <c r="DX17" s="2">
        <f>DW17+真實IC!DX17</f>
        <v/>
      </c>
      <c r="DY17" s="2">
        <f>DX17+真實IC!DY17</f>
        <v/>
      </c>
      <c r="DZ17" s="2">
        <f>DY17+真實IC!DZ17</f>
        <v/>
      </c>
      <c r="EA17" s="2">
        <f>DZ17+真實IC!EA17</f>
        <v/>
      </c>
      <c r="EB17" s="2">
        <f>EA17+真實IC!EB17</f>
        <v/>
      </c>
      <c r="EC17" s="2">
        <f>EB17+真實IC!EC17</f>
        <v/>
      </c>
      <c r="ED17" s="2">
        <f>EC17+真實IC!ED17</f>
        <v/>
      </c>
      <c r="EE17" s="2">
        <f>ED17+真實IC!EE17</f>
        <v/>
      </c>
      <c r="EF17" s="2">
        <f>EE17+真實IC!EF17</f>
        <v/>
      </c>
      <c r="EG17" s="2">
        <f>EF17+真實IC!EG17</f>
        <v/>
      </c>
      <c r="EH17" s="2">
        <f>EG17+真實IC!EH17</f>
        <v/>
      </c>
      <c r="EI17" s="2">
        <f>EH17+真實IC!EI17</f>
        <v/>
      </c>
      <c r="EJ17" s="2">
        <f>EI17+真實IC!EJ17</f>
        <v/>
      </c>
      <c r="EK17" s="2">
        <f>EJ17+真實IC!EK17</f>
        <v/>
      </c>
      <c r="EL17" s="2">
        <f>EK17+真實IC!EL17</f>
        <v/>
      </c>
    </row>
    <row r="18">
      <c r="A18" s="13" t="n">
        <v>150</v>
      </c>
      <c r="B18" s="13">
        <f>ROUND($D$10/A18,0)</f>
        <v/>
      </c>
      <c r="C18" s="2" t="n">
        <v>0.2436872854011519</v>
      </c>
      <c r="D18" s="2">
        <f>C18+真實IC!D18</f>
        <v/>
      </c>
      <c r="E18" s="2">
        <f>D18+真實IC!E18</f>
        <v/>
      </c>
      <c r="F18" s="2">
        <f>E18+真實IC!F18</f>
        <v/>
      </c>
      <c r="G18" s="2">
        <f>F18+真實IC!G18</f>
        <v/>
      </c>
      <c r="H18" s="2">
        <f>G18+真實IC!H18</f>
        <v/>
      </c>
      <c r="I18" s="2">
        <f>H18+真實IC!I18</f>
        <v/>
      </c>
      <c r="J18" s="2">
        <f>I18+真實IC!J18</f>
        <v/>
      </c>
      <c r="K18" s="2">
        <f>J18+真實IC!K18</f>
        <v/>
      </c>
      <c r="L18" s="2">
        <f>K18+真實IC!L18</f>
        <v/>
      </c>
      <c r="M18" s="2">
        <f>L18+真實IC!M18</f>
        <v/>
      </c>
      <c r="N18" s="2">
        <f>M18+真實IC!N18</f>
        <v/>
      </c>
      <c r="O18" s="2">
        <f>N18+真實IC!O18</f>
        <v/>
      </c>
      <c r="P18" s="2">
        <f>O18+真實IC!P18</f>
        <v/>
      </c>
      <c r="Q18" s="2">
        <f>P18+真實IC!Q18</f>
        <v/>
      </c>
      <c r="R18" s="2">
        <f>Q18+真實IC!R18</f>
        <v/>
      </c>
      <c r="S18" s="2">
        <f>R18+真實IC!S18</f>
        <v/>
      </c>
      <c r="T18" s="2">
        <f>S18+真實IC!T18</f>
        <v/>
      </c>
      <c r="U18" s="2">
        <f>T18+真實IC!U18</f>
        <v/>
      </c>
      <c r="V18" s="2">
        <f>U18+真實IC!V18</f>
        <v/>
      </c>
      <c r="W18" s="2">
        <f>V18+真實IC!W18</f>
        <v/>
      </c>
      <c r="X18" s="2">
        <f>W18+真實IC!X18</f>
        <v/>
      </c>
      <c r="Y18" s="2">
        <f>X18+真實IC!Y18</f>
        <v/>
      </c>
      <c r="Z18" s="2">
        <f>Y18+真實IC!Z18</f>
        <v/>
      </c>
      <c r="AA18" s="2">
        <f>Z18+真實IC!AA18</f>
        <v/>
      </c>
      <c r="AB18" s="2">
        <f>AA18+真實IC!AB18</f>
        <v/>
      </c>
      <c r="AC18" s="2">
        <f>AB18+真實IC!AC18</f>
        <v/>
      </c>
      <c r="AD18" s="2">
        <f>AC18+真實IC!AD18</f>
        <v/>
      </c>
      <c r="AE18" s="2">
        <f>AD18+真實IC!AE18</f>
        <v/>
      </c>
      <c r="AF18" s="2">
        <f>AE18+真實IC!AF18</f>
        <v/>
      </c>
      <c r="AG18" s="2">
        <f>AF18+真實IC!AG18</f>
        <v/>
      </c>
      <c r="AH18" s="2">
        <f>AG18+真實IC!AH18</f>
        <v/>
      </c>
      <c r="AI18" s="2">
        <f>AH18+真實IC!AI18</f>
        <v/>
      </c>
      <c r="AJ18" s="2">
        <f>AI18+真實IC!AJ18</f>
        <v/>
      </c>
      <c r="AK18" s="2">
        <f>AJ18+真實IC!AK18</f>
        <v/>
      </c>
      <c r="AL18" s="2">
        <f>AK18+真實IC!AL18</f>
        <v/>
      </c>
      <c r="AM18" s="2">
        <f>AL18+真實IC!AM18</f>
        <v/>
      </c>
      <c r="AN18" s="2">
        <f>AM18+真實IC!AN18</f>
        <v/>
      </c>
      <c r="AO18" s="2">
        <f>AN18+真實IC!AO18</f>
        <v/>
      </c>
      <c r="AP18" s="2">
        <f>AO18+真實IC!AP18</f>
        <v/>
      </c>
      <c r="AQ18" s="2">
        <f>AP18+真實IC!AQ18</f>
        <v/>
      </c>
      <c r="AR18" s="2">
        <f>AQ18+真實IC!AR18</f>
        <v/>
      </c>
      <c r="AS18" s="2">
        <f>AR18+真實IC!AS18</f>
        <v/>
      </c>
      <c r="AT18" s="2">
        <f>AS18+真實IC!AT18</f>
        <v/>
      </c>
      <c r="AU18" s="2">
        <f>AT18+真實IC!AU18</f>
        <v/>
      </c>
      <c r="AV18" s="2">
        <f>AU18+真實IC!AV18</f>
        <v/>
      </c>
      <c r="AW18" s="2">
        <f>AV18+真實IC!AW18</f>
        <v/>
      </c>
      <c r="AX18" s="2">
        <f>AW18+真實IC!AX18</f>
        <v/>
      </c>
      <c r="AY18" s="2">
        <f>AX18+真實IC!AY18</f>
        <v/>
      </c>
      <c r="AZ18" s="2">
        <f>AY18+真實IC!AZ18</f>
        <v/>
      </c>
      <c r="BA18" s="2">
        <f>AZ18+真實IC!BA18</f>
        <v/>
      </c>
      <c r="BB18" s="2">
        <f>BA18+真實IC!BB18</f>
        <v/>
      </c>
      <c r="BC18" s="2">
        <f>BB18+真實IC!BC18</f>
        <v/>
      </c>
      <c r="BD18" s="2">
        <f>BC18+真實IC!BD18</f>
        <v/>
      </c>
      <c r="BE18" s="2">
        <f>BD18+真實IC!BE18</f>
        <v/>
      </c>
      <c r="BF18" s="2">
        <f>BE18+真實IC!BF18</f>
        <v/>
      </c>
      <c r="BG18" s="2">
        <f>BF18+真實IC!BG18</f>
        <v/>
      </c>
      <c r="BH18" s="2">
        <f>BG18+真實IC!BH18</f>
        <v/>
      </c>
      <c r="BI18" s="2">
        <f>BH18+真實IC!BI18</f>
        <v/>
      </c>
      <c r="BJ18" s="2">
        <f>BI18+真實IC!BJ18</f>
        <v/>
      </c>
      <c r="BK18" s="2">
        <f>BJ18+真實IC!BK18</f>
        <v/>
      </c>
      <c r="BL18" s="2">
        <f>BK18+真實IC!BL18</f>
        <v/>
      </c>
      <c r="BM18" s="2">
        <f>BL18+真實IC!BM18</f>
        <v/>
      </c>
      <c r="BN18" s="2">
        <f>BM18+真實IC!BN18</f>
        <v/>
      </c>
      <c r="BO18" s="2">
        <f>BN18+真實IC!BO18</f>
        <v/>
      </c>
      <c r="BP18" s="2">
        <f>BO18+真實IC!BP18</f>
        <v/>
      </c>
      <c r="BQ18" s="2">
        <f>BP18+真實IC!BQ18</f>
        <v/>
      </c>
      <c r="BR18" s="2">
        <f>BQ18+真實IC!BR18</f>
        <v/>
      </c>
      <c r="BS18" s="2">
        <f>BR18+真實IC!BS18</f>
        <v/>
      </c>
      <c r="BT18" s="2">
        <f>BS18+真實IC!BT18</f>
        <v/>
      </c>
      <c r="BU18" s="2">
        <f>BT18+真實IC!BU18</f>
        <v/>
      </c>
      <c r="BV18" s="2">
        <f>BU18+真實IC!BV18</f>
        <v/>
      </c>
      <c r="BW18" s="2">
        <f>BV18+真實IC!BW18</f>
        <v/>
      </c>
      <c r="BX18" s="2">
        <f>BW18+真實IC!BX18</f>
        <v/>
      </c>
      <c r="BY18" s="2">
        <f>BX18+真實IC!BY18</f>
        <v/>
      </c>
      <c r="BZ18" s="2">
        <f>BY18+真實IC!BZ18</f>
        <v/>
      </c>
      <c r="CA18" s="2">
        <f>BZ18+真實IC!CA18</f>
        <v/>
      </c>
      <c r="CB18" s="2">
        <f>CA18+真實IC!CB18</f>
        <v/>
      </c>
      <c r="CC18" s="2">
        <f>CB18+真實IC!CC18</f>
        <v/>
      </c>
      <c r="CD18" s="2">
        <f>CC18+真實IC!CD18</f>
        <v/>
      </c>
      <c r="CE18" s="2">
        <f>CD18+真實IC!CE18</f>
        <v/>
      </c>
      <c r="CF18" s="2">
        <f>CE18+真實IC!CF18</f>
        <v/>
      </c>
      <c r="CG18" s="2">
        <f>CF18+真實IC!CG18</f>
        <v/>
      </c>
      <c r="CH18" s="2">
        <f>CG18+真實IC!CH18</f>
        <v/>
      </c>
      <c r="CI18" s="2">
        <f>CH18+真實IC!CI18</f>
        <v/>
      </c>
      <c r="CJ18" s="2">
        <f>CI18+真實IC!CJ18</f>
        <v/>
      </c>
      <c r="CK18" s="2">
        <f>CJ18+真實IC!CK18</f>
        <v/>
      </c>
      <c r="CL18" s="2">
        <f>CK18+真實IC!CL18</f>
        <v/>
      </c>
      <c r="CM18" s="2">
        <f>CL18+真實IC!CM18</f>
        <v/>
      </c>
      <c r="CN18" s="2">
        <f>CM18+真實IC!CN18</f>
        <v/>
      </c>
      <c r="CO18" s="2">
        <f>CN18+真實IC!CO18</f>
        <v/>
      </c>
      <c r="CP18" s="2">
        <f>CO18+真實IC!CP18</f>
        <v/>
      </c>
      <c r="CQ18" s="2">
        <f>CP18+真實IC!CQ18</f>
        <v/>
      </c>
      <c r="CR18" s="2">
        <f>CQ18+真實IC!CR18</f>
        <v/>
      </c>
      <c r="CS18" s="2">
        <f>CR18+真實IC!CS18</f>
        <v/>
      </c>
      <c r="CT18" s="2">
        <f>CS18+真實IC!CT18</f>
        <v/>
      </c>
      <c r="CU18" s="2">
        <f>CT18+真實IC!CU18</f>
        <v/>
      </c>
      <c r="CV18" s="2">
        <f>CU18+真實IC!CV18</f>
        <v/>
      </c>
      <c r="CW18" s="2">
        <f>CV18+真實IC!CW18</f>
        <v/>
      </c>
      <c r="CX18" s="2">
        <f>CW18+真實IC!CX18</f>
        <v/>
      </c>
      <c r="CY18" s="2">
        <f>CX18+真實IC!CY18</f>
        <v/>
      </c>
      <c r="CZ18" s="2">
        <f>CY18+真實IC!CZ18</f>
        <v/>
      </c>
      <c r="DA18" s="2">
        <f>CZ18+真實IC!DA18</f>
        <v/>
      </c>
      <c r="DB18" s="2">
        <f>DA18+真實IC!DB18</f>
        <v/>
      </c>
      <c r="DC18" s="2">
        <f>DB18+真實IC!DC18</f>
        <v/>
      </c>
      <c r="DD18" s="2">
        <f>DC18+真實IC!DD18</f>
        <v/>
      </c>
      <c r="DE18" s="2">
        <f>DD18+真實IC!DE18</f>
        <v/>
      </c>
      <c r="DF18" s="2">
        <f>DE18+真實IC!DF18</f>
        <v/>
      </c>
      <c r="DG18" s="2">
        <f>DF18+真實IC!DG18</f>
        <v/>
      </c>
      <c r="DH18" s="2">
        <f>DG18+真實IC!DH18</f>
        <v/>
      </c>
      <c r="DI18" s="2">
        <f>DH18+真實IC!DI18</f>
        <v/>
      </c>
      <c r="DJ18" s="2">
        <f>DI18+真實IC!DJ18</f>
        <v/>
      </c>
      <c r="DK18" s="2">
        <f>DJ18+真實IC!DK18</f>
        <v/>
      </c>
      <c r="DL18" s="2">
        <f>DK18+真實IC!DL18</f>
        <v/>
      </c>
      <c r="DM18" s="2">
        <f>DL18+真實IC!DM18</f>
        <v/>
      </c>
      <c r="DN18" s="2">
        <f>DM18+真實IC!DN18</f>
        <v/>
      </c>
      <c r="DO18" s="2">
        <f>DN18+真實IC!DO18</f>
        <v/>
      </c>
      <c r="DP18" s="2">
        <f>DO18+真實IC!DP18</f>
        <v/>
      </c>
      <c r="DQ18" s="2">
        <f>DP18+真實IC!DQ18</f>
        <v/>
      </c>
      <c r="DR18" s="2">
        <f>DQ18+真實IC!DR18</f>
        <v/>
      </c>
      <c r="DS18" s="2">
        <f>DR18+真實IC!DS18</f>
        <v/>
      </c>
      <c r="DT18" s="2">
        <f>DS18+真實IC!DT18</f>
        <v/>
      </c>
      <c r="DU18" s="2">
        <f>DT18+真實IC!DU18</f>
        <v/>
      </c>
      <c r="DV18" s="2">
        <f>DU18+真實IC!DV18</f>
        <v/>
      </c>
      <c r="DW18" s="2">
        <f>DV18+真實IC!DW18</f>
        <v/>
      </c>
      <c r="DX18" s="2">
        <f>DW18+真實IC!DX18</f>
        <v/>
      </c>
      <c r="DY18" s="2">
        <f>DX18+真實IC!DY18</f>
        <v/>
      </c>
      <c r="DZ18" s="2">
        <f>DY18+真實IC!DZ18</f>
        <v/>
      </c>
      <c r="EA18" s="2">
        <f>DZ18+真實IC!EA18</f>
        <v/>
      </c>
      <c r="EB18" s="2">
        <f>EA18+真實IC!EB18</f>
        <v/>
      </c>
      <c r="EC18" s="2">
        <f>EB18+真實IC!EC18</f>
        <v/>
      </c>
      <c r="ED18" s="2">
        <f>EC18+真實IC!ED18</f>
        <v/>
      </c>
      <c r="EE18" s="2">
        <f>ED18+真實IC!EE18</f>
        <v/>
      </c>
      <c r="EF18" s="2">
        <f>EE18+真實IC!EF18</f>
        <v/>
      </c>
      <c r="EG18" s="2">
        <f>EF18+真實IC!EG18</f>
        <v/>
      </c>
      <c r="EH18" s="2">
        <f>EG18+真實IC!EH18</f>
        <v/>
      </c>
      <c r="EI18" s="2">
        <f>EH18+真實IC!EI18</f>
        <v/>
      </c>
      <c r="EJ18" s="2">
        <f>EI18+真實IC!EJ18</f>
        <v/>
      </c>
      <c r="EK18" s="2">
        <f>EJ18+真實IC!EK18</f>
        <v/>
      </c>
      <c r="EL18" s="2">
        <f>EK18+真實IC!EL18</f>
        <v/>
      </c>
    </row>
    <row r="19">
      <c r="A19" s="13" t="n">
        <v>180</v>
      </c>
      <c r="B19" s="13">
        <f>ROUND($D$10/A19,0)</f>
        <v/>
      </c>
      <c r="C19" s="2" t="n">
        <v>0.2582503737473393</v>
      </c>
      <c r="D19" s="2">
        <f>C19+真實IC!D19</f>
        <v/>
      </c>
      <c r="E19" s="2">
        <f>D19+真實IC!E19</f>
        <v/>
      </c>
      <c r="F19" s="2">
        <f>E19+真實IC!F19</f>
        <v/>
      </c>
      <c r="G19" s="2">
        <f>F19+真實IC!G19</f>
        <v/>
      </c>
      <c r="H19" s="2">
        <f>G19+真實IC!H19</f>
        <v/>
      </c>
      <c r="I19" s="2">
        <f>H19+真實IC!I19</f>
        <v/>
      </c>
      <c r="J19" s="2">
        <f>I19+真實IC!J19</f>
        <v/>
      </c>
      <c r="K19" s="2">
        <f>J19+真實IC!K19</f>
        <v/>
      </c>
      <c r="L19" s="2">
        <f>K19+真實IC!L19</f>
        <v/>
      </c>
      <c r="M19" s="2">
        <f>L19+真實IC!M19</f>
        <v/>
      </c>
      <c r="N19" s="2">
        <f>M19+真實IC!N19</f>
        <v/>
      </c>
      <c r="O19" s="2">
        <f>N19+真實IC!O19</f>
        <v/>
      </c>
      <c r="P19" s="2">
        <f>O19+真實IC!P19</f>
        <v/>
      </c>
      <c r="Q19" s="2">
        <f>P19+真實IC!Q19</f>
        <v/>
      </c>
      <c r="R19" s="2">
        <f>Q19+真實IC!R19</f>
        <v/>
      </c>
      <c r="S19" s="2">
        <f>R19+真實IC!S19</f>
        <v/>
      </c>
      <c r="T19" s="2">
        <f>S19+真實IC!T19</f>
        <v/>
      </c>
      <c r="U19" s="2">
        <f>T19+真實IC!U19</f>
        <v/>
      </c>
      <c r="V19" s="2">
        <f>U19+真實IC!V19</f>
        <v/>
      </c>
      <c r="W19" s="2">
        <f>V19+真實IC!W19</f>
        <v/>
      </c>
      <c r="X19" s="2">
        <f>W19+真實IC!X19</f>
        <v/>
      </c>
      <c r="Y19" s="2">
        <f>X19+真實IC!Y19</f>
        <v/>
      </c>
      <c r="Z19" s="2">
        <f>Y19+真實IC!Z19</f>
        <v/>
      </c>
      <c r="AA19" s="2">
        <f>Z19+真實IC!AA19</f>
        <v/>
      </c>
      <c r="AB19" s="2">
        <f>AA19+真實IC!AB19</f>
        <v/>
      </c>
      <c r="AC19" s="2">
        <f>AB19+真實IC!AC19</f>
        <v/>
      </c>
      <c r="AD19" s="2">
        <f>AC19+真實IC!AD19</f>
        <v/>
      </c>
      <c r="AE19" s="2">
        <f>AD19+真實IC!AE19</f>
        <v/>
      </c>
      <c r="AF19" s="2">
        <f>AE19+真實IC!AF19</f>
        <v/>
      </c>
      <c r="AG19" s="2">
        <f>AF19+真實IC!AG19</f>
        <v/>
      </c>
      <c r="AH19" s="2">
        <f>AG19+真實IC!AH19</f>
        <v/>
      </c>
      <c r="AI19" s="2">
        <f>AH19+真實IC!AI19</f>
        <v/>
      </c>
      <c r="AJ19" s="2">
        <f>AI19+真實IC!AJ19</f>
        <v/>
      </c>
      <c r="AK19" s="2">
        <f>AJ19+真實IC!AK19</f>
        <v/>
      </c>
      <c r="AL19" s="2">
        <f>AK19+真實IC!AL19</f>
        <v/>
      </c>
      <c r="AM19" s="2">
        <f>AL19+真實IC!AM19</f>
        <v/>
      </c>
      <c r="AN19" s="2">
        <f>AM19+真實IC!AN19</f>
        <v/>
      </c>
      <c r="AO19" s="2">
        <f>AN19+真實IC!AO19</f>
        <v/>
      </c>
      <c r="AP19" s="2">
        <f>AO19+真實IC!AP19</f>
        <v/>
      </c>
      <c r="AQ19" s="2">
        <f>AP19+真實IC!AQ19</f>
        <v/>
      </c>
      <c r="AR19" s="2">
        <f>AQ19+真實IC!AR19</f>
        <v/>
      </c>
      <c r="AS19" s="2">
        <f>AR19+真實IC!AS19</f>
        <v/>
      </c>
      <c r="AT19" s="2">
        <f>AS19+真實IC!AT19</f>
        <v/>
      </c>
      <c r="AU19" s="2">
        <f>AT19+真實IC!AU19</f>
        <v/>
      </c>
      <c r="AV19" s="2">
        <f>AU19+真實IC!AV19</f>
        <v/>
      </c>
      <c r="AW19" s="2">
        <f>AV19+真實IC!AW19</f>
        <v/>
      </c>
      <c r="AX19" s="2">
        <f>AW19+真實IC!AX19</f>
        <v/>
      </c>
      <c r="AY19" s="2">
        <f>AX19+真實IC!AY19</f>
        <v/>
      </c>
      <c r="AZ19" s="2">
        <f>AY19+真實IC!AZ19</f>
        <v/>
      </c>
      <c r="BA19" s="2">
        <f>AZ19+真實IC!BA19</f>
        <v/>
      </c>
      <c r="BB19" s="2">
        <f>BA19+真實IC!BB19</f>
        <v/>
      </c>
      <c r="BC19" s="2">
        <f>BB19+真實IC!BC19</f>
        <v/>
      </c>
      <c r="BD19" s="2">
        <f>BC19+真實IC!BD19</f>
        <v/>
      </c>
      <c r="BE19" s="2">
        <f>BD19+真實IC!BE19</f>
        <v/>
      </c>
      <c r="BF19" s="2">
        <f>BE19+真實IC!BF19</f>
        <v/>
      </c>
      <c r="BG19" s="2">
        <f>BF19+真實IC!BG19</f>
        <v/>
      </c>
      <c r="BH19" s="2">
        <f>BG19+真實IC!BH19</f>
        <v/>
      </c>
      <c r="BI19" s="2">
        <f>BH19+真實IC!BI19</f>
        <v/>
      </c>
      <c r="BJ19" s="2">
        <f>BI19+真實IC!BJ19</f>
        <v/>
      </c>
      <c r="BK19" s="2">
        <f>BJ19+真實IC!BK19</f>
        <v/>
      </c>
      <c r="BL19" s="2">
        <f>BK19+真實IC!BL19</f>
        <v/>
      </c>
      <c r="BM19" s="2">
        <f>BL19+真實IC!BM19</f>
        <v/>
      </c>
      <c r="BN19" s="2">
        <f>BM19+真實IC!BN19</f>
        <v/>
      </c>
      <c r="BO19" s="2">
        <f>BN19+真實IC!BO19</f>
        <v/>
      </c>
      <c r="BP19" s="2">
        <f>BO19+真實IC!BP19</f>
        <v/>
      </c>
      <c r="BQ19" s="2">
        <f>BP19+真實IC!BQ19</f>
        <v/>
      </c>
      <c r="BR19" s="2">
        <f>BQ19+真實IC!BR19</f>
        <v/>
      </c>
      <c r="BS19" s="2">
        <f>BR19+真實IC!BS19</f>
        <v/>
      </c>
      <c r="BT19" s="2">
        <f>BS19+真實IC!BT19</f>
        <v/>
      </c>
      <c r="BU19" s="2">
        <f>BT19+真實IC!BU19</f>
        <v/>
      </c>
      <c r="BV19" s="2">
        <f>BU19+真實IC!BV19</f>
        <v/>
      </c>
      <c r="BW19" s="2">
        <f>BV19+真實IC!BW19</f>
        <v/>
      </c>
      <c r="BX19" s="2">
        <f>BW19+真實IC!BX19</f>
        <v/>
      </c>
      <c r="BY19" s="2">
        <f>BX19+真實IC!BY19</f>
        <v/>
      </c>
      <c r="BZ19" s="2">
        <f>BY19+真實IC!BZ19</f>
        <v/>
      </c>
      <c r="CA19" s="2">
        <f>BZ19+真實IC!CA19</f>
        <v/>
      </c>
      <c r="CB19" s="2">
        <f>CA19+真實IC!CB19</f>
        <v/>
      </c>
      <c r="CC19" s="2">
        <f>CB19+真實IC!CC19</f>
        <v/>
      </c>
      <c r="CD19" s="2">
        <f>CC19+真實IC!CD19</f>
        <v/>
      </c>
      <c r="CE19" s="2">
        <f>CD19+真實IC!CE19</f>
        <v/>
      </c>
      <c r="CF19" s="2">
        <f>CE19+真實IC!CF19</f>
        <v/>
      </c>
      <c r="CG19" s="2">
        <f>CF19+真實IC!CG19</f>
        <v/>
      </c>
      <c r="CH19" s="2">
        <f>CG19+真實IC!CH19</f>
        <v/>
      </c>
      <c r="CI19" s="2">
        <f>CH19+真實IC!CI19</f>
        <v/>
      </c>
      <c r="CJ19" s="2">
        <f>CI19+真實IC!CJ19</f>
        <v/>
      </c>
      <c r="CK19" s="2">
        <f>CJ19+真實IC!CK19</f>
        <v/>
      </c>
      <c r="CL19" s="2">
        <f>CK19+真實IC!CL19</f>
        <v/>
      </c>
      <c r="CM19" s="2">
        <f>CL19+真實IC!CM19</f>
        <v/>
      </c>
      <c r="CN19" s="2">
        <f>CM19+真實IC!CN19</f>
        <v/>
      </c>
      <c r="CO19" s="2">
        <f>CN19+真實IC!CO19</f>
        <v/>
      </c>
      <c r="CP19" s="2">
        <f>CO19+真實IC!CP19</f>
        <v/>
      </c>
      <c r="CQ19" s="2">
        <f>CP19+真實IC!CQ19</f>
        <v/>
      </c>
      <c r="CR19" s="2">
        <f>CQ19+真實IC!CR19</f>
        <v/>
      </c>
      <c r="CS19" s="2">
        <f>CR19+真實IC!CS19</f>
        <v/>
      </c>
      <c r="CT19" s="2">
        <f>CS19+真實IC!CT19</f>
        <v/>
      </c>
      <c r="CU19" s="2">
        <f>CT19+真實IC!CU19</f>
        <v/>
      </c>
      <c r="CV19" s="2">
        <f>CU19+真實IC!CV19</f>
        <v/>
      </c>
      <c r="CW19" s="2">
        <f>CV19+真實IC!CW19</f>
        <v/>
      </c>
      <c r="CX19" s="2">
        <f>CW19+真實IC!CX19</f>
        <v/>
      </c>
      <c r="CY19" s="2">
        <f>CX19+真實IC!CY19</f>
        <v/>
      </c>
      <c r="CZ19" s="2">
        <f>CY19+真實IC!CZ19</f>
        <v/>
      </c>
      <c r="DA19" s="2">
        <f>CZ19+真實IC!DA19</f>
        <v/>
      </c>
      <c r="DB19" s="2">
        <f>DA19+真實IC!DB19</f>
        <v/>
      </c>
      <c r="DC19" s="2">
        <f>DB19+真實IC!DC19</f>
        <v/>
      </c>
      <c r="DD19" s="2">
        <f>DC19+真實IC!DD19</f>
        <v/>
      </c>
      <c r="DE19" s="2">
        <f>DD19+真實IC!DE19</f>
        <v/>
      </c>
      <c r="DF19" s="2">
        <f>DE19+真實IC!DF19</f>
        <v/>
      </c>
      <c r="DG19" s="2">
        <f>DF19+真實IC!DG19</f>
        <v/>
      </c>
      <c r="DH19" s="2">
        <f>DG19+真實IC!DH19</f>
        <v/>
      </c>
      <c r="DI19" s="2">
        <f>DH19+真實IC!DI19</f>
        <v/>
      </c>
      <c r="DJ19" s="2">
        <f>DI19+真實IC!DJ19</f>
        <v/>
      </c>
      <c r="DK19" s="2">
        <f>DJ19+真實IC!DK19</f>
        <v/>
      </c>
      <c r="DL19" s="2">
        <f>DK19+真實IC!DL19</f>
        <v/>
      </c>
      <c r="DM19" s="2">
        <f>DL19+真實IC!DM19</f>
        <v/>
      </c>
      <c r="DN19" s="2">
        <f>DM19+真實IC!DN19</f>
        <v/>
      </c>
      <c r="DO19" s="2">
        <f>DN19+真實IC!DO19</f>
        <v/>
      </c>
      <c r="DP19" s="2">
        <f>DO19+真實IC!DP19</f>
        <v/>
      </c>
      <c r="DQ19" s="2">
        <f>DP19+真實IC!DQ19</f>
        <v/>
      </c>
      <c r="DR19" s="2">
        <f>DQ19+真實IC!DR19</f>
        <v/>
      </c>
      <c r="DS19" s="2">
        <f>DR19+真實IC!DS19</f>
        <v/>
      </c>
      <c r="DT19" s="2">
        <f>DS19+真實IC!DT19</f>
        <v/>
      </c>
      <c r="DU19" s="2">
        <f>DT19+真實IC!DU19</f>
        <v/>
      </c>
      <c r="DV19" s="2">
        <f>DU19+真實IC!DV19</f>
        <v/>
      </c>
      <c r="DW19" s="2">
        <f>DV19+真實IC!DW19</f>
        <v/>
      </c>
      <c r="DX19" s="2">
        <f>DW19+真實IC!DX19</f>
        <v/>
      </c>
      <c r="DY19" s="2">
        <f>DX19+真實IC!DY19</f>
        <v/>
      </c>
      <c r="DZ19" s="2">
        <f>DY19+真實IC!DZ19</f>
        <v/>
      </c>
      <c r="EA19" s="2">
        <f>DZ19+真實IC!EA19</f>
        <v/>
      </c>
      <c r="EB19" s="2">
        <f>EA19+真實IC!EB19</f>
        <v/>
      </c>
      <c r="EC19" s="2">
        <f>EB19+真實IC!EC19</f>
        <v/>
      </c>
      <c r="ED19" s="2">
        <f>EC19+真實IC!ED19</f>
        <v/>
      </c>
      <c r="EE19" s="2">
        <f>ED19+真實IC!EE19</f>
        <v/>
      </c>
      <c r="EF19" s="2">
        <f>EE19+真實IC!EF19</f>
        <v/>
      </c>
      <c r="EG19" s="2">
        <f>EF19+真實IC!EG19</f>
        <v/>
      </c>
      <c r="EH19" s="2">
        <f>EG19+真實IC!EH19</f>
        <v/>
      </c>
      <c r="EI19" s="2">
        <f>EH19+真實IC!EI19</f>
        <v/>
      </c>
      <c r="EJ19" s="2">
        <f>EI19+真實IC!EJ19</f>
        <v/>
      </c>
      <c r="EK19" s="2">
        <f>EJ19+真實IC!EK19</f>
        <v/>
      </c>
      <c r="EL19" s="2">
        <f>EK19+真實IC!EL19</f>
        <v/>
      </c>
    </row>
    <row r="20">
      <c r="A20" s="13" t="n">
        <v>200</v>
      </c>
      <c r="B20" s="13">
        <f>ROUND($D$10/A20,0)</f>
        <v/>
      </c>
      <c r="C20" s="2" t="n">
        <v>0.241035745977561</v>
      </c>
      <c r="D20" s="2">
        <f>C20+真實IC!D20</f>
        <v/>
      </c>
      <c r="E20" s="2">
        <f>D20+真實IC!E20</f>
        <v/>
      </c>
      <c r="F20" s="2">
        <f>E20+真實IC!F20</f>
        <v/>
      </c>
      <c r="G20" s="2">
        <f>F20+真實IC!G20</f>
        <v/>
      </c>
      <c r="H20" s="2">
        <f>G20+真實IC!H20</f>
        <v/>
      </c>
      <c r="I20" s="2">
        <f>H20+真實IC!I20</f>
        <v/>
      </c>
      <c r="J20" s="2">
        <f>I20+真實IC!J20</f>
        <v/>
      </c>
      <c r="K20" s="2">
        <f>J20+真實IC!K20</f>
        <v/>
      </c>
      <c r="L20" s="2">
        <f>K20+真實IC!L20</f>
        <v/>
      </c>
      <c r="M20" s="2">
        <f>L20+真實IC!M20</f>
        <v/>
      </c>
      <c r="N20" s="2">
        <f>M20+真實IC!N20</f>
        <v/>
      </c>
      <c r="O20" s="2">
        <f>N20+真實IC!O20</f>
        <v/>
      </c>
      <c r="P20" s="2">
        <f>O20+真實IC!P20</f>
        <v/>
      </c>
      <c r="Q20" s="2">
        <f>P20+真實IC!Q20</f>
        <v/>
      </c>
      <c r="R20" s="2">
        <f>Q20+真實IC!R20</f>
        <v/>
      </c>
      <c r="S20" s="2">
        <f>R20+真實IC!S20</f>
        <v/>
      </c>
      <c r="T20" s="2">
        <f>S20+真實IC!T20</f>
        <v/>
      </c>
      <c r="U20" s="2">
        <f>T20+真實IC!U20</f>
        <v/>
      </c>
      <c r="V20" s="2">
        <f>U20+真實IC!V20</f>
        <v/>
      </c>
      <c r="W20" s="2">
        <f>V20+真實IC!W20</f>
        <v/>
      </c>
      <c r="X20" s="2">
        <f>W20+真實IC!X20</f>
        <v/>
      </c>
      <c r="Y20" s="2">
        <f>X20+真實IC!Y20</f>
        <v/>
      </c>
      <c r="Z20" s="2">
        <f>Y20+真實IC!Z20</f>
        <v/>
      </c>
      <c r="AA20" s="2">
        <f>Z20+真實IC!AA20</f>
        <v/>
      </c>
      <c r="AB20" s="2">
        <f>AA20+真實IC!AB20</f>
        <v/>
      </c>
      <c r="AC20" s="2">
        <f>AB20+真實IC!AC20</f>
        <v/>
      </c>
      <c r="AD20" s="2">
        <f>AC20+真實IC!AD20</f>
        <v/>
      </c>
      <c r="AE20" s="2">
        <f>AD20+真實IC!AE20</f>
        <v/>
      </c>
      <c r="AF20" s="2">
        <f>AE20+真實IC!AF20</f>
        <v/>
      </c>
      <c r="AG20" s="2">
        <f>AF20+真實IC!AG20</f>
        <v/>
      </c>
      <c r="AH20" s="2">
        <f>AG20+真實IC!AH20</f>
        <v/>
      </c>
      <c r="AI20" s="2">
        <f>AH20+真實IC!AI20</f>
        <v/>
      </c>
      <c r="AJ20" s="2">
        <f>AI20+真實IC!AJ20</f>
        <v/>
      </c>
      <c r="AK20" s="2">
        <f>AJ20+真實IC!AK20</f>
        <v/>
      </c>
      <c r="AL20" s="2">
        <f>AK20+真實IC!AL20</f>
        <v/>
      </c>
      <c r="AM20" s="2">
        <f>AL20+真實IC!AM20</f>
        <v/>
      </c>
      <c r="AN20" s="2">
        <f>AM20+真實IC!AN20</f>
        <v/>
      </c>
      <c r="AO20" s="2">
        <f>AN20+真實IC!AO20</f>
        <v/>
      </c>
      <c r="AP20" s="2">
        <f>AO20+真實IC!AP20</f>
        <v/>
      </c>
      <c r="AQ20" s="2">
        <f>AP20+真實IC!AQ20</f>
        <v/>
      </c>
      <c r="AR20" s="2">
        <f>AQ20+真實IC!AR20</f>
        <v/>
      </c>
      <c r="AS20" s="2">
        <f>AR20+真實IC!AS20</f>
        <v/>
      </c>
      <c r="AT20" s="2">
        <f>AS20+真實IC!AT20</f>
        <v/>
      </c>
      <c r="AU20" s="2">
        <f>AT20+真實IC!AU20</f>
        <v/>
      </c>
      <c r="AV20" s="2">
        <f>AU20+真實IC!AV20</f>
        <v/>
      </c>
      <c r="AW20" s="2">
        <f>AV20+真實IC!AW20</f>
        <v/>
      </c>
      <c r="AX20" s="2">
        <f>AW20+真實IC!AX20</f>
        <v/>
      </c>
      <c r="AY20" s="2">
        <f>AX20+真實IC!AY20</f>
        <v/>
      </c>
      <c r="AZ20" s="2">
        <f>AY20+真實IC!AZ20</f>
        <v/>
      </c>
      <c r="BA20" s="2">
        <f>AZ20+真實IC!BA20</f>
        <v/>
      </c>
      <c r="BB20" s="2">
        <f>BA20+真實IC!BB20</f>
        <v/>
      </c>
      <c r="BC20" s="2">
        <f>BB20+真實IC!BC20</f>
        <v/>
      </c>
      <c r="BD20" s="2">
        <f>BC20+真實IC!BD20</f>
        <v/>
      </c>
      <c r="BE20" s="2">
        <f>BD20+真實IC!BE20</f>
        <v/>
      </c>
      <c r="BF20" s="2">
        <f>BE20+真實IC!BF20</f>
        <v/>
      </c>
      <c r="BG20" s="2">
        <f>BF20+真實IC!BG20</f>
        <v/>
      </c>
      <c r="BH20" s="2">
        <f>BG20+真實IC!BH20</f>
        <v/>
      </c>
      <c r="BI20" s="2">
        <f>BH20+真實IC!BI20</f>
        <v/>
      </c>
      <c r="BJ20" s="2">
        <f>BI20+真實IC!BJ20</f>
        <v/>
      </c>
      <c r="BK20" s="2">
        <f>BJ20+真實IC!BK20</f>
        <v/>
      </c>
      <c r="BL20" s="2">
        <f>BK20+真實IC!BL20</f>
        <v/>
      </c>
      <c r="BM20" s="2">
        <f>BL20+真實IC!BM20</f>
        <v/>
      </c>
      <c r="BN20" s="2">
        <f>BM20+真實IC!BN20</f>
        <v/>
      </c>
      <c r="BO20" s="2">
        <f>BN20+真實IC!BO20</f>
        <v/>
      </c>
      <c r="BP20" s="2">
        <f>BO20+真實IC!BP20</f>
        <v/>
      </c>
      <c r="BQ20" s="2">
        <f>BP20+真實IC!BQ20</f>
        <v/>
      </c>
      <c r="BR20" s="2">
        <f>BQ20+真實IC!BR20</f>
        <v/>
      </c>
      <c r="BS20" s="2">
        <f>BR20+真實IC!BS20</f>
        <v/>
      </c>
      <c r="BT20" s="2">
        <f>BS20+真實IC!BT20</f>
        <v/>
      </c>
      <c r="BU20" s="2">
        <f>BT20+真實IC!BU20</f>
        <v/>
      </c>
      <c r="BV20" s="2">
        <f>BU20+真實IC!BV20</f>
        <v/>
      </c>
      <c r="BW20" s="2">
        <f>BV20+真實IC!BW20</f>
        <v/>
      </c>
      <c r="BX20" s="2">
        <f>BW20+真實IC!BX20</f>
        <v/>
      </c>
      <c r="BY20" s="2">
        <f>BX20+真實IC!BY20</f>
        <v/>
      </c>
      <c r="BZ20" s="2">
        <f>BY20+真實IC!BZ20</f>
        <v/>
      </c>
      <c r="CA20" s="2">
        <f>BZ20+真實IC!CA20</f>
        <v/>
      </c>
      <c r="CB20" s="2">
        <f>CA20+真實IC!CB20</f>
        <v/>
      </c>
      <c r="CC20" s="2">
        <f>CB20+真實IC!CC20</f>
        <v/>
      </c>
      <c r="CD20" s="2">
        <f>CC20+真實IC!CD20</f>
        <v/>
      </c>
      <c r="CE20" s="2">
        <f>CD20+真實IC!CE20</f>
        <v/>
      </c>
      <c r="CF20" s="2">
        <f>CE20+真實IC!CF20</f>
        <v/>
      </c>
      <c r="CG20" s="2">
        <f>CF20+真實IC!CG20</f>
        <v/>
      </c>
      <c r="CH20" s="2">
        <f>CG20+真實IC!CH20</f>
        <v/>
      </c>
      <c r="CI20" s="2">
        <f>CH20+真實IC!CI20</f>
        <v/>
      </c>
      <c r="CJ20" s="2">
        <f>CI20+真實IC!CJ20</f>
        <v/>
      </c>
      <c r="CK20" s="2">
        <f>CJ20+真實IC!CK20</f>
        <v/>
      </c>
      <c r="CL20" s="2">
        <f>CK20+真實IC!CL20</f>
        <v/>
      </c>
      <c r="CM20" s="2">
        <f>CL20+真實IC!CM20</f>
        <v/>
      </c>
      <c r="CN20" s="2">
        <f>CM20+真實IC!CN20</f>
        <v/>
      </c>
      <c r="CO20" s="2">
        <f>CN20+真實IC!CO20</f>
        <v/>
      </c>
      <c r="CP20" s="2">
        <f>CO20+真實IC!CP20</f>
        <v/>
      </c>
      <c r="CQ20" s="2">
        <f>CP20+真實IC!CQ20</f>
        <v/>
      </c>
      <c r="CR20" s="2">
        <f>CQ20+真實IC!CR20</f>
        <v/>
      </c>
      <c r="CS20" s="2">
        <f>CR20+真實IC!CS20</f>
        <v/>
      </c>
      <c r="CT20" s="2">
        <f>CS20+真實IC!CT20</f>
        <v/>
      </c>
      <c r="CU20" s="2">
        <f>CT20+真實IC!CU20</f>
        <v/>
      </c>
      <c r="CV20" s="2">
        <f>CU20+真實IC!CV20</f>
        <v/>
      </c>
      <c r="CW20" s="2">
        <f>CV20+真實IC!CW20</f>
        <v/>
      </c>
      <c r="CX20" s="2">
        <f>CW20+真實IC!CX20</f>
        <v/>
      </c>
      <c r="CY20" s="2">
        <f>CX20+真實IC!CY20</f>
        <v/>
      </c>
      <c r="CZ20" s="2">
        <f>CY20+真實IC!CZ20</f>
        <v/>
      </c>
      <c r="DA20" s="2">
        <f>CZ20+真實IC!DA20</f>
        <v/>
      </c>
      <c r="DB20" s="2">
        <f>DA20+真實IC!DB20</f>
        <v/>
      </c>
      <c r="DC20" s="2">
        <f>DB20+真實IC!DC20</f>
        <v/>
      </c>
      <c r="DD20" s="2">
        <f>DC20+真實IC!DD20</f>
        <v/>
      </c>
      <c r="DE20" s="2">
        <f>DD20+真實IC!DE20</f>
        <v/>
      </c>
      <c r="DF20" s="2">
        <f>DE20+真實IC!DF20</f>
        <v/>
      </c>
      <c r="DG20" s="2">
        <f>DF20+真實IC!DG20</f>
        <v/>
      </c>
      <c r="DH20" s="2">
        <f>DG20+真實IC!DH20</f>
        <v/>
      </c>
      <c r="DI20" s="2">
        <f>DH20+真實IC!DI20</f>
        <v/>
      </c>
      <c r="DJ20" s="2">
        <f>DI20+真實IC!DJ20</f>
        <v/>
      </c>
      <c r="DK20" s="2">
        <f>DJ20+真實IC!DK20</f>
        <v/>
      </c>
      <c r="DL20" s="2">
        <f>DK20+真實IC!DL20</f>
        <v/>
      </c>
      <c r="DM20" s="2">
        <f>DL20+真實IC!DM20</f>
        <v/>
      </c>
      <c r="DN20" s="2">
        <f>DM20+真實IC!DN20</f>
        <v/>
      </c>
      <c r="DO20" s="2">
        <f>DN20+真實IC!DO20</f>
        <v/>
      </c>
      <c r="DP20" s="2">
        <f>DO20+真實IC!DP20</f>
        <v/>
      </c>
      <c r="DQ20" s="2">
        <f>DP20+真實IC!DQ20</f>
        <v/>
      </c>
      <c r="DR20" s="2">
        <f>DQ20+真實IC!DR20</f>
        <v/>
      </c>
      <c r="DS20" s="2">
        <f>DR20+真實IC!DS20</f>
        <v/>
      </c>
      <c r="DT20" s="2">
        <f>DS20+真實IC!DT20</f>
        <v/>
      </c>
      <c r="DU20" s="2">
        <f>DT20+真實IC!DU20</f>
        <v/>
      </c>
      <c r="DV20" s="2">
        <f>DU20+真實IC!DV20</f>
        <v/>
      </c>
      <c r="DW20" s="2">
        <f>DV20+真實IC!DW20</f>
        <v/>
      </c>
      <c r="DX20" s="2">
        <f>DW20+真實IC!DX20</f>
        <v/>
      </c>
      <c r="DY20" s="2">
        <f>DX20+真實IC!DY20</f>
        <v/>
      </c>
      <c r="DZ20" s="2">
        <f>DY20+真實IC!DZ20</f>
        <v/>
      </c>
      <c r="EA20" s="2">
        <f>DZ20+真實IC!EA20</f>
        <v/>
      </c>
      <c r="EB20" s="2">
        <f>EA20+真實IC!EB20</f>
        <v/>
      </c>
      <c r="EC20" s="2">
        <f>EB20+真實IC!EC20</f>
        <v/>
      </c>
      <c r="ED20" s="2">
        <f>EC20+真實IC!ED20</f>
        <v/>
      </c>
      <c r="EE20" s="2">
        <f>ED20+真實IC!EE20</f>
        <v/>
      </c>
      <c r="EF20" s="2">
        <f>EE20+真實IC!EF20</f>
        <v/>
      </c>
      <c r="EG20" s="2">
        <f>EF20+真實IC!EG20</f>
        <v/>
      </c>
      <c r="EH20" s="2">
        <f>EG20+真實IC!EH20</f>
        <v/>
      </c>
      <c r="EI20" s="2">
        <f>EH20+真實IC!EI20</f>
        <v/>
      </c>
      <c r="EJ20" s="2">
        <f>EI20+真實IC!EJ20</f>
        <v/>
      </c>
      <c r="EK20" s="2">
        <f>EJ20+真實IC!EK20</f>
        <v/>
      </c>
      <c r="EL20" s="2">
        <f>EK20+真實IC!EL20</f>
        <v/>
      </c>
    </row>
    <row r="21">
      <c r="A21" s="13" t="n">
        <v>256</v>
      </c>
      <c r="B21" s="13">
        <f>ROUND($D$10/A21,0)</f>
        <v/>
      </c>
      <c r="C21" s="2" t="n">
        <v>0.2490064650579937</v>
      </c>
      <c r="D21" s="2">
        <f>C21+真實IC!D21</f>
        <v/>
      </c>
      <c r="E21" s="2">
        <f>D21+真實IC!E21</f>
        <v/>
      </c>
      <c r="F21" s="2">
        <f>E21+真實IC!F21</f>
        <v/>
      </c>
      <c r="G21" s="2">
        <f>F21+真實IC!G21</f>
        <v/>
      </c>
      <c r="H21" s="2">
        <f>G21+真實IC!H21</f>
        <v/>
      </c>
      <c r="I21" s="2">
        <f>H21+真實IC!I21</f>
        <v/>
      </c>
      <c r="J21" s="2">
        <f>I21+真實IC!J21</f>
        <v/>
      </c>
      <c r="K21" s="2">
        <f>J21+真實IC!K21</f>
        <v/>
      </c>
      <c r="L21" s="2">
        <f>K21+真實IC!L21</f>
        <v/>
      </c>
      <c r="M21" s="2">
        <f>L21+真實IC!M21</f>
        <v/>
      </c>
      <c r="N21" s="2">
        <f>M21+真實IC!N21</f>
        <v/>
      </c>
      <c r="O21" s="2">
        <f>N21+真實IC!O21</f>
        <v/>
      </c>
      <c r="P21" s="2">
        <f>O21+真實IC!P21</f>
        <v/>
      </c>
      <c r="Q21" s="2">
        <f>P21+真實IC!Q21</f>
        <v/>
      </c>
      <c r="R21" s="2">
        <f>Q21+真實IC!R21</f>
        <v/>
      </c>
      <c r="S21" s="2">
        <f>R21+真實IC!S21</f>
        <v/>
      </c>
      <c r="T21" s="2">
        <f>S21+真實IC!T21</f>
        <v/>
      </c>
      <c r="U21" s="2">
        <f>T21+真實IC!U21</f>
        <v/>
      </c>
      <c r="V21" s="2">
        <f>U21+真實IC!V21</f>
        <v/>
      </c>
      <c r="W21" s="2">
        <f>V21+真實IC!W21</f>
        <v/>
      </c>
      <c r="X21" s="2">
        <f>W21+真實IC!X21</f>
        <v/>
      </c>
      <c r="Y21" s="2">
        <f>X21+真實IC!Y21</f>
        <v/>
      </c>
      <c r="Z21" s="2">
        <f>Y21+真實IC!Z21</f>
        <v/>
      </c>
      <c r="AA21" s="2">
        <f>Z21+真實IC!AA21</f>
        <v/>
      </c>
      <c r="AB21" s="2">
        <f>AA21+真實IC!AB21</f>
        <v/>
      </c>
      <c r="AC21" s="2">
        <f>AB21+真實IC!AC21</f>
        <v/>
      </c>
      <c r="AD21" s="2">
        <f>AC21+真實IC!AD21</f>
        <v/>
      </c>
      <c r="AE21" s="2">
        <f>AD21+真實IC!AE21</f>
        <v/>
      </c>
      <c r="AF21" s="2">
        <f>AE21+真實IC!AF21</f>
        <v/>
      </c>
      <c r="AG21" s="2">
        <f>AF21+真實IC!AG21</f>
        <v/>
      </c>
      <c r="AH21" s="2">
        <f>AG21+真實IC!AH21</f>
        <v/>
      </c>
      <c r="AI21" s="2">
        <f>AH21+真實IC!AI21</f>
        <v/>
      </c>
      <c r="AJ21" s="2">
        <f>AI21+真實IC!AJ21</f>
        <v/>
      </c>
      <c r="AK21" s="2">
        <f>AJ21+真實IC!AK21</f>
        <v/>
      </c>
      <c r="AL21" s="2">
        <f>AK21+真實IC!AL21</f>
        <v/>
      </c>
      <c r="AM21" s="2">
        <f>AL21+真實IC!AM21</f>
        <v/>
      </c>
      <c r="AN21" s="2">
        <f>AM21+真實IC!AN21</f>
        <v/>
      </c>
      <c r="AO21" s="2">
        <f>AN21+真實IC!AO21</f>
        <v/>
      </c>
      <c r="AP21" s="2">
        <f>AO21+真實IC!AP21</f>
        <v/>
      </c>
      <c r="AQ21" s="2">
        <f>AP21+真實IC!AQ21</f>
        <v/>
      </c>
      <c r="AR21" s="2">
        <f>AQ21+真實IC!AR21</f>
        <v/>
      </c>
      <c r="AS21" s="2">
        <f>AR21+真實IC!AS21</f>
        <v/>
      </c>
      <c r="AT21" s="2">
        <f>AS21+真實IC!AT21</f>
        <v/>
      </c>
      <c r="AU21" s="2">
        <f>AT21+真實IC!AU21</f>
        <v/>
      </c>
      <c r="AV21" s="2">
        <f>AU21+真實IC!AV21</f>
        <v/>
      </c>
      <c r="AW21" s="2">
        <f>AV21+真實IC!AW21</f>
        <v/>
      </c>
      <c r="AX21" s="2">
        <f>AW21+真實IC!AX21</f>
        <v/>
      </c>
      <c r="AY21" s="2">
        <f>AX21+真實IC!AY21</f>
        <v/>
      </c>
      <c r="AZ21" s="2">
        <f>AY21+真實IC!AZ21</f>
        <v/>
      </c>
      <c r="BA21" s="2">
        <f>AZ21+真實IC!BA21</f>
        <v/>
      </c>
      <c r="BB21" s="2">
        <f>BA21+真實IC!BB21</f>
        <v/>
      </c>
      <c r="BC21" s="2">
        <f>BB21+真實IC!BC21</f>
        <v/>
      </c>
      <c r="BD21" s="2">
        <f>BC21+真實IC!BD21</f>
        <v/>
      </c>
      <c r="BE21" s="2">
        <f>BD21+真實IC!BE21</f>
        <v/>
      </c>
      <c r="BF21" s="2">
        <f>BE21+真實IC!BF21</f>
        <v/>
      </c>
      <c r="BG21" s="2">
        <f>BF21+真實IC!BG21</f>
        <v/>
      </c>
      <c r="BH21" s="2">
        <f>BG21+真實IC!BH21</f>
        <v/>
      </c>
      <c r="BI21" s="2">
        <f>BH21+真實IC!BI21</f>
        <v/>
      </c>
      <c r="BJ21" s="2">
        <f>BI21+真實IC!BJ21</f>
        <v/>
      </c>
      <c r="BK21" s="2">
        <f>BJ21+真實IC!BK21</f>
        <v/>
      </c>
      <c r="BL21" s="2">
        <f>BK21+真實IC!BL21</f>
        <v/>
      </c>
      <c r="BM21" s="2">
        <f>BL21+真實IC!BM21</f>
        <v/>
      </c>
      <c r="BN21" s="2">
        <f>BM21+真實IC!BN21</f>
        <v/>
      </c>
      <c r="BO21" s="2">
        <f>BN21+真實IC!BO21</f>
        <v/>
      </c>
      <c r="BP21" s="2">
        <f>BO21+真實IC!BP21</f>
        <v/>
      </c>
      <c r="BQ21" s="2">
        <f>BP21+真實IC!BQ21</f>
        <v/>
      </c>
      <c r="BR21" s="2">
        <f>BQ21+真實IC!BR21</f>
        <v/>
      </c>
      <c r="BS21" s="2">
        <f>BR21+真實IC!BS21</f>
        <v/>
      </c>
      <c r="BT21" s="2">
        <f>BS21+真實IC!BT21</f>
        <v/>
      </c>
      <c r="BU21" s="2">
        <f>BT21+真實IC!BU21</f>
        <v/>
      </c>
      <c r="BV21" s="2">
        <f>BU21+真實IC!BV21</f>
        <v/>
      </c>
      <c r="BW21" s="2">
        <f>BV21+真實IC!BW21</f>
        <v/>
      </c>
      <c r="BX21" s="2">
        <f>BW21+真實IC!BX21</f>
        <v/>
      </c>
      <c r="BY21" s="2">
        <f>BX21+真實IC!BY21</f>
        <v/>
      </c>
      <c r="BZ21" s="2">
        <f>BY21+真實IC!BZ21</f>
        <v/>
      </c>
      <c r="CA21" s="2">
        <f>BZ21+真實IC!CA21</f>
        <v/>
      </c>
      <c r="CB21" s="2">
        <f>CA21+真實IC!CB21</f>
        <v/>
      </c>
      <c r="CC21" s="2">
        <f>CB21+真實IC!CC21</f>
        <v/>
      </c>
      <c r="CD21" s="2">
        <f>CC21+真實IC!CD21</f>
        <v/>
      </c>
      <c r="CE21" s="2">
        <f>CD21+真實IC!CE21</f>
        <v/>
      </c>
      <c r="CF21" s="2">
        <f>CE21+真實IC!CF21</f>
        <v/>
      </c>
      <c r="CG21" s="2">
        <f>CF21+真實IC!CG21</f>
        <v/>
      </c>
      <c r="CH21" s="2">
        <f>CG21+真實IC!CH21</f>
        <v/>
      </c>
      <c r="CI21" s="2">
        <f>CH21+真實IC!CI21</f>
        <v/>
      </c>
      <c r="CJ21" s="2">
        <f>CI21+真實IC!CJ21</f>
        <v/>
      </c>
      <c r="CK21" s="2">
        <f>CJ21+真實IC!CK21</f>
        <v/>
      </c>
      <c r="CL21" s="2">
        <f>CK21+真實IC!CL21</f>
        <v/>
      </c>
      <c r="CM21" s="2">
        <f>CL21+真實IC!CM21</f>
        <v/>
      </c>
      <c r="CN21" s="2">
        <f>CM21+真實IC!CN21</f>
        <v/>
      </c>
      <c r="CO21" s="2">
        <f>CN21+真實IC!CO21</f>
        <v/>
      </c>
      <c r="CP21" s="2">
        <f>CO21+真實IC!CP21</f>
        <v/>
      </c>
      <c r="CQ21" s="2">
        <f>CP21+真實IC!CQ21</f>
        <v/>
      </c>
      <c r="CR21" s="2">
        <f>CQ21+真實IC!CR21</f>
        <v/>
      </c>
      <c r="CS21" s="2">
        <f>CR21+真實IC!CS21</f>
        <v/>
      </c>
      <c r="CT21" s="2">
        <f>CS21+真實IC!CT21</f>
        <v/>
      </c>
      <c r="CU21" s="2">
        <f>CT21+真實IC!CU21</f>
        <v/>
      </c>
      <c r="CV21" s="2">
        <f>CU21+真實IC!CV21</f>
        <v/>
      </c>
      <c r="CW21" s="2">
        <f>CV21+真實IC!CW21</f>
        <v/>
      </c>
      <c r="CX21" s="2">
        <f>CW21+真實IC!CX21</f>
        <v/>
      </c>
      <c r="CY21" s="2">
        <f>CX21+真實IC!CY21</f>
        <v/>
      </c>
      <c r="CZ21" s="2">
        <f>CY21+真實IC!CZ21</f>
        <v/>
      </c>
      <c r="DA21" s="2">
        <f>CZ21+真實IC!DA21</f>
        <v/>
      </c>
      <c r="DB21" s="2">
        <f>DA21+真實IC!DB21</f>
        <v/>
      </c>
      <c r="DC21" s="2">
        <f>DB21+真實IC!DC21</f>
        <v/>
      </c>
      <c r="DD21" s="2">
        <f>DC21+真實IC!DD21</f>
        <v/>
      </c>
      <c r="DE21" s="2">
        <f>DD21+真實IC!DE21</f>
        <v/>
      </c>
      <c r="DF21" s="2">
        <f>DE21+真實IC!DF21</f>
        <v/>
      </c>
      <c r="DG21" s="2">
        <f>DF21+真實IC!DG21</f>
        <v/>
      </c>
      <c r="DH21" s="2">
        <f>DG21+真實IC!DH21</f>
        <v/>
      </c>
      <c r="DI21" s="2">
        <f>DH21+真實IC!DI21</f>
        <v/>
      </c>
      <c r="DJ21" s="2">
        <f>DI21+真實IC!DJ21</f>
        <v/>
      </c>
      <c r="DK21" s="2">
        <f>DJ21+真實IC!DK21</f>
        <v/>
      </c>
      <c r="DL21" s="2">
        <f>DK21+真實IC!DL21</f>
        <v/>
      </c>
      <c r="DM21" s="2">
        <f>DL21+真實IC!DM21</f>
        <v/>
      </c>
      <c r="DN21" s="2">
        <f>DM21+真實IC!DN21</f>
        <v/>
      </c>
      <c r="DO21" s="2">
        <f>DN21+真實IC!DO21</f>
        <v/>
      </c>
      <c r="DP21" s="2">
        <f>DO21+真實IC!DP21</f>
        <v/>
      </c>
      <c r="DQ21" s="2">
        <f>DP21+真實IC!DQ21</f>
        <v/>
      </c>
      <c r="DR21" s="2">
        <f>DQ21+真實IC!DR21</f>
        <v/>
      </c>
      <c r="DS21" s="2">
        <f>DR21+真實IC!DS21</f>
        <v/>
      </c>
      <c r="DT21" s="2">
        <f>DS21+真實IC!DT21</f>
        <v/>
      </c>
      <c r="DU21" s="2">
        <f>DT21+真實IC!DU21</f>
        <v/>
      </c>
      <c r="DV21" s="2">
        <f>DU21+真實IC!DV21</f>
        <v/>
      </c>
      <c r="DW21" s="2">
        <f>DV21+真實IC!DW21</f>
        <v/>
      </c>
      <c r="DX21" s="2">
        <f>DW21+真實IC!DX21</f>
        <v/>
      </c>
      <c r="DY21" s="2">
        <f>DX21+真實IC!DY21</f>
        <v/>
      </c>
      <c r="DZ21" s="2">
        <f>DY21+真實IC!DZ21</f>
        <v/>
      </c>
      <c r="EA21" s="2">
        <f>DZ21+真實IC!EA21</f>
        <v/>
      </c>
      <c r="EB21" s="2">
        <f>EA21+真實IC!EB21</f>
        <v/>
      </c>
      <c r="EC21" s="2">
        <f>EB21+真實IC!EC21</f>
        <v/>
      </c>
      <c r="ED21" s="2">
        <f>EC21+真實IC!ED21</f>
        <v/>
      </c>
      <c r="EE21" s="2">
        <f>ED21+真實IC!EE21</f>
        <v/>
      </c>
      <c r="EF21" s="2">
        <f>EE21+真實IC!EF21</f>
        <v/>
      </c>
      <c r="EG21" s="2">
        <f>EF21+真實IC!EG21</f>
        <v/>
      </c>
      <c r="EH21" s="2">
        <f>EG21+真實IC!EH21</f>
        <v/>
      </c>
      <c r="EI21" s="2">
        <f>EH21+真實IC!EI21</f>
        <v/>
      </c>
      <c r="EJ21" s="2">
        <f>EI21+真實IC!EJ21</f>
        <v/>
      </c>
      <c r="EK21" s="2">
        <f>EJ21+真實IC!EK21</f>
        <v/>
      </c>
      <c r="EL21" s="2">
        <f>EK21+真實IC!EL21</f>
        <v/>
      </c>
    </row>
    <row r="22">
      <c r="A22" s="13" t="n">
        <v>400</v>
      </c>
      <c r="B22" s="13">
        <f>ROUND($D$10/A22,0)</f>
        <v/>
      </c>
      <c r="C22" s="2" t="n">
        <v>0.2888661911680884</v>
      </c>
      <c r="D22" s="2">
        <f>C22+真實IC!D22</f>
        <v/>
      </c>
      <c r="E22" s="2">
        <f>D22+真實IC!E22</f>
        <v/>
      </c>
      <c r="F22" s="2">
        <f>E22+真實IC!F22</f>
        <v/>
      </c>
      <c r="G22" s="2">
        <f>F22+真實IC!G22</f>
        <v/>
      </c>
      <c r="H22" s="2">
        <f>G22+真實IC!H22</f>
        <v/>
      </c>
      <c r="I22" s="2">
        <f>H22+真實IC!I22</f>
        <v/>
      </c>
      <c r="J22" s="2">
        <f>I22+真實IC!J22</f>
        <v/>
      </c>
      <c r="K22" s="2">
        <f>J22+真實IC!K22</f>
        <v/>
      </c>
      <c r="L22" s="2">
        <f>K22+真實IC!L22</f>
        <v/>
      </c>
      <c r="M22" s="2">
        <f>L22+真實IC!M22</f>
        <v/>
      </c>
      <c r="N22" s="2">
        <f>M22+真實IC!N22</f>
        <v/>
      </c>
      <c r="O22" s="2">
        <f>N22+真實IC!O22</f>
        <v/>
      </c>
      <c r="P22" s="2">
        <f>O22+真實IC!P22</f>
        <v/>
      </c>
      <c r="Q22" s="2">
        <f>P22+真實IC!Q22</f>
        <v/>
      </c>
      <c r="R22" s="2">
        <f>Q22+真實IC!R22</f>
        <v/>
      </c>
      <c r="S22" s="2">
        <f>R22+真實IC!S22</f>
        <v/>
      </c>
      <c r="T22" s="2">
        <f>S22+真實IC!T22</f>
        <v/>
      </c>
      <c r="U22" s="2">
        <f>T22+真實IC!U22</f>
        <v/>
      </c>
      <c r="V22" s="2">
        <f>U22+真實IC!V22</f>
        <v/>
      </c>
      <c r="W22" s="2">
        <f>V22+真實IC!W22</f>
        <v/>
      </c>
      <c r="X22" s="2">
        <f>W22+真實IC!X22</f>
        <v/>
      </c>
      <c r="Y22" s="2">
        <f>X22+真實IC!Y22</f>
        <v/>
      </c>
      <c r="Z22" s="2">
        <f>Y22+真實IC!Z22</f>
        <v/>
      </c>
      <c r="AA22" s="2">
        <f>Z22+真實IC!AA22</f>
        <v/>
      </c>
      <c r="AB22" s="2">
        <f>AA22+真實IC!AB22</f>
        <v/>
      </c>
      <c r="AC22" s="2">
        <f>AB22+真實IC!AC22</f>
        <v/>
      </c>
      <c r="AD22" s="2">
        <f>AC22+真實IC!AD22</f>
        <v/>
      </c>
      <c r="AE22" s="2">
        <f>AD22+真實IC!AE22</f>
        <v/>
      </c>
      <c r="AF22" s="2">
        <f>AE22+真實IC!AF22</f>
        <v/>
      </c>
      <c r="AG22" s="2">
        <f>AF22+真實IC!AG22</f>
        <v/>
      </c>
      <c r="AH22" s="2">
        <f>AG22+真實IC!AH22</f>
        <v/>
      </c>
      <c r="AI22" s="2">
        <f>AH22+真實IC!AI22</f>
        <v/>
      </c>
      <c r="AJ22" s="2">
        <f>AI22+真實IC!AJ22</f>
        <v/>
      </c>
      <c r="AK22" s="2">
        <f>AJ22+真實IC!AK22</f>
        <v/>
      </c>
      <c r="AL22" s="2">
        <f>AK22+真實IC!AL22</f>
        <v/>
      </c>
      <c r="AM22" s="2">
        <f>AL22+真實IC!AM22</f>
        <v/>
      </c>
      <c r="AN22" s="2">
        <f>AM22+真實IC!AN22</f>
        <v/>
      </c>
      <c r="AO22" s="2">
        <f>AN22+真實IC!AO22</f>
        <v/>
      </c>
      <c r="AP22" s="2">
        <f>AO22+真實IC!AP22</f>
        <v/>
      </c>
      <c r="AQ22" s="2">
        <f>AP22+真實IC!AQ22</f>
        <v/>
      </c>
      <c r="AR22" s="2">
        <f>AQ22+真實IC!AR22</f>
        <v/>
      </c>
      <c r="AS22" s="2">
        <f>AR22+真實IC!AS22</f>
        <v/>
      </c>
      <c r="AT22" s="2">
        <f>AS22+真實IC!AT22</f>
        <v/>
      </c>
      <c r="AU22" s="2">
        <f>AT22+真實IC!AU22</f>
        <v/>
      </c>
      <c r="AV22" s="2">
        <f>AU22+真實IC!AV22</f>
        <v/>
      </c>
      <c r="AW22" s="2">
        <f>AV22+真實IC!AW22</f>
        <v/>
      </c>
      <c r="AX22" s="2">
        <f>AW22+真實IC!AX22</f>
        <v/>
      </c>
      <c r="AY22" s="2">
        <f>AX22+真實IC!AY22</f>
        <v/>
      </c>
      <c r="AZ22" s="2">
        <f>AY22+真實IC!AZ22</f>
        <v/>
      </c>
      <c r="BA22" s="2">
        <f>AZ22+真實IC!BA22</f>
        <v/>
      </c>
      <c r="BB22" s="2">
        <f>BA22+真實IC!BB22</f>
        <v/>
      </c>
      <c r="BC22" s="2">
        <f>BB22+真實IC!BC22</f>
        <v/>
      </c>
      <c r="BD22" s="2">
        <f>BC22+真實IC!BD22</f>
        <v/>
      </c>
      <c r="BE22" s="2">
        <f>BD22+真實IC!BE22</f>
        <v/>
      </c>
      <c r="BF22" s="2">
        <f>BE22+真實IC!BF22</f>
        <v/>
      </c>
      <c r="BG22" s="2">
        <f>BF22+真實IC!BG22</f>
        <v/>
      </c>
      <c r="BH22" s="2">
        <f>BG22+真實IC!BH22</f>
        <v/>
      </c>
      <c r="BI22" s="2">
        <f>BH22+真實IC!BI22</f>
        <v/>
      </c>
      <c r="BJ22" s="2">
        <f>BI22+真實IC!BJ22</f>
        <v/>
      </c>
      <c r="BK22" s="2">
        <f>BJ22+真實IC!BK22</f>
        <v/>
      </c>
      <c r="BL22" s="2">
        <f>BK22+真實IC!BL22</f>
        <v/>
      </c>
      <c r="BM22" s="2">
        <f>BL22+真實IC!BM22</f>
        <v/>
      </c>
      <c r="BN22" s="2">
        <f>BM22+真實IC!BN22</f>
        <v/>
      </c>
      <c r="BO22" s="2">
        <f>BN22+真實IC!BO22</f>
        <v/>
      </c>
      <c r="BP22" s="2">
        <f>BO22+真實IC!BP22</f>
        <v/>
      </c>
      <c r="BQ22" s="2">
        <f>BP22+真實IC!BQ22</f>
        <v/>
      </c>
      <c r="BR22" s="2">
        <f>BQ22+真實IC!BR22</f>
        <v/>
      </c>
      <c r="BS22" s="2">
        <f>BR22+真實IC!BS22</f>
        <v/>
      </c>
      <c r="BT22" s="2">
        <f>BS22+真實IC!BT22</f>
        <v/>
      </c>
      <c r="BU22" s="2">
        <f>BT22+真實IC!BU22</f>
        <v/>
      </c>
      <c r="BV22" s="2">
        <f>BU22+真實IC!BV22</f>
        <v/>
      </c>
      <c r="BW22" s="2">
        <f>BV22+真實IC!BW22</f>
        <v/>
      </c>
      <c r="BX22" s="2">
        <f>BW22+真實IC!BX22</f>
        <v/>
      </c>
      <c r="BY22" s="2">
        <f>BX22+真實IC!BY22</f>
        <v/>
      </c>
      <c r="BZ22" s="2">
        <f>BY22+真實IC!BZ22</f>
        <v/>
      </c>
      <c r="CA22" s="2">
        <f>BZ22+真實IC!CA22</f>
        <v/>
      </c>
      <c r="CB22" s="2">
        <f>CA22+真實IC!CB22</f>
        <v/>
      </c>
      <c r="CC22" s="2">
        <f>CB22+真實IC!CC22</f>
        <v/>
      </c>
      <c r="CD22" s="2">
        <f>CC22+真實IC!CD22</f>
        <v/>
      </c>
      <c r="CE22" s="2">
        <f>CD22+真實IC!CE22</f>
        <v/>
      </c>
      <c r="CF22" s="2">
        <f>CE22+真實IC!CF22</f>
        <v/>
      </c>
      <c r="CG22" s="2">
        <f>CF22+真實IC!CG22</f>
        <v/>
      </c>
      <c r="CH22" s="2">
        <f>CG22+真實IC!CH22</f>
        <v/>
      </c>
      <c r="CI22" s="2">
        <f>CH22+真實IC!CI22</f>
        <v/>
      </c>
      <c r="CJ22" s="2">
        <f>CI22+真實IC!CJ22</f>
        <v/>
      </c>
      <c r="CK22" s="2">
        <f>CJ22+真實IC!CK22</f>
        <v/>
      </c>
      <c r="CL22" s="2">
        <f>CK22+真實IC!CL22</f>
        <v/>
      </c>
      <c r="CM22" s="2">
        <f>CL22+真實IC!CM22</f>
        <v/>
      </c>
      <c r="CN22" s="2">
        <f>CM22+真實IC!CN22</f>
        <v/>
      </c>
      <c r="CO22" s="2">
        <f>CN22+真實IC!CO22</f>
        <v/>
      </c>
      <c r="CP22" s="2">
        <f>CO22+真實IC!CP22</f>
        <v/>
      </c>
      <c r="CQ22" s="2">
        <f>CP22+真實IC!CQ22</f>
        <v/>
      </c>
      <c r="CR22" s="2">
        <f>CQ22+真實IC!CR22</f>
        <v/>
      </c>
      <c r="CS22" s="2">
        <f>CR22+真實IC!CS22</f>
        <v/>
      </c>
      <c r="CT22" s="2">
        <f>CS22+真實IC!CT22</f>
        <v/>
      </c>
      <c r="CU22" s="2">
        <f>CT22+真實IC!CU22</f>
        <v/>
      </c>
      <c r="CV22" s="2">
        <f>CU22+真實IC!CV22</f>
        <v/>
      </c>
      <c r="CW22" s="2">
        <f>CV22+真實IC!CW22</f>
        <v/>
      </c>
      <c r="CX22" s="2">
        <f>CW22+真實IC!CX22</f>
        <v/>
      </c>
      <c r="CY22" s="2">
        <f>CX22+真實IC!CY22</f>
        <v/>
      </c>
      <c r="CZ22" s="2">
        <f>CY22+真實IC!CZ22</f>
        <v/>
      </c>
      <c r="DA22" s="2">
        <f>CZ22+真實IC!DA22</f>
        <v/>
      </c>
      <c r="DB22" s="2">
        <f>DA22+真實IC!DB22</f>
        <v/>
      </c>
      <c r="DC22" s="2">
        <f>DB22+真實IC!DC22</f>
        <v/>
      </c>
      <c r="DD22" s="2">
        <f>DC22+真實IC!DD22</f>
        <v/>
      </c>
      <c r="DE22" s="2">
        <f>DD22+真實IC!DE22</f>
        <v/>
      </c>
      <c r="DF22" s="2">
        <f>DE22+真實IC!DF22</f>
        <v/>
      </c>
      <c r="DG22" s="2">
        <f>DF22+真實IC!DG22</f>
        <v/>
      </c>
      <c r="DH22" s="2">
        <f>DG22+真實IC!DH22</f>
        <v/>
      </c>
      <c r="DI22" s="2">
        <f>DH22+真實IC!DI22</f>
        <v/>
      </c>
      <c r="DJ22" s="2">
        <f>DI22+真實IC!DJ22</f>
        <v/>
      </c>
      <c r="DK22" s="2">
        <f>DJ22+真實IC!DK22</f>
        <v/>
      </c>
      <c r="DL22" s="2">
        <f>DK22+真實IC!DL22</f>
        <v/>
      </c>
      <c r="DM22" s="2">
        <f>DL22+真實IC!DM22</f>
        <v/>
      </c>
      <c r="DN22" s="2">
        <f>DM22+真實IC!DN22</f>
        <v/>
      </c>
      <c r="DO22" s="2">
        <f>DN22+真實IC!DO22</f>
        <v/>
      </c>
      <c r="DP22" s="2">
        <f>DO22+真實IC!DP22</f>
        <v/>
      </c>
      <c r="DQ22" s="2">
        <f>DP22+真實IC!DQ22</f>
        <v/>
      </c>
      <c r="DR22" s="2">
        <f>DQ22+真實IC!DR22</f>
        <v/>
      </c>
      <c r="DS22" s="2">
        <f>DR22+真實IC!DS22</f>
        <v/>
      </c>
      <c r="DT22" s="2">
        <f>DS22+真實IC!DT22</f>
        <v/>
      </c>
      <c r="DU22" s="2">
        <f>DT22+真實IC!DU22</f>
        <v/>
      </c>
      <c r="DV22" s="2">
        <f>DU22+真實IC!DV22</f>
        <v/>
      </c>
      <c r="DW22" s="2">
        <f>DV22+真實IC!DW22</f>
        <v/>
      </c>
      <c r="DX22" s="2">
        <f>DW22+真實IC!DX22</f>
        <v/>
      </c>
      <c r="DY22" s="2">
        <f>DX22+真實IC!DY22</f>
        <v/>
      </c>
      <c r="DZ22" s="2">
        <f>DY22+真實IC!DZ22</f>
        <v/>
      </c>
      <c r="EA22" s="2">
        <f>DZ22+真實IC!EA22</f>
        <v/>
      </c>
      <c r="EB22" s="2">
        <f>EA22+真實IC!EB22</f>
        <v/>
      </c>
      <c r="EC22" s="2">
        <f>EB22+真實IC!EC22</f>
        <v/>
      </c>
      <c r="ED22" s="2">
        <f>EC22+真實IC!ED22</f>
        <v/>
      </c>
      <c r="EE22" s="2">
        <f>ED22+真實IC!EE22</f>
        <v/>
      </c>
      <c r="EF22" s="2">
        <f>EE22+真實IC!EF22</f>
        <v/>
      </c>
      <c r="EG22" s="2">
        <f>EF22+真實IC!EG22</f>
        <v/>
      </c>
      <c r="EH22" s="2">
        <f>EG22+真實IC!EH22</f>
        <v/>
      </c>
      <c r="EI22" s="2">
        <f>EH22+真實IC!EI22</f>
        <v/>
      </c>
      <c r="EJ22" s="2">
        <f>EI22+真實IC!EJ22</f>
        <v/>
      </c>
      <c r="EK22" s="2">
        <f>EJ22+真實IC!EK22</f>
        <v/>
      </c>
      <c r="EL22" s="2">
        <f>EK22+真實IC!EL22</f>
        <v/>
      </c>
    </row>
    <row r="23">
      <c r="A23" s="13" t="n">
        <v>512</v>
      </c>
      <c r="B23" s="13">
        <f>ROUND($D$10/A23,0)</f>
        <v/>
      </c>
      <c r="C23" s="2" t="n">
        <v>0.2829892656963289</v>
      </c>
      <c r="D23" s="2">
        <f>C23+真實IC!D23</f>
        <v/>
      </c>
      <c r="E23" s="2">
        <f>D23+真實IC!E23</f>
        <v/>
      </c>
      <c r="F23" s="2">
        <f>E23+真實IC!F23</f>
        <v/>
      </c>
      <c r="G23" s="2">
        <f>F23+真實IC!G23</f>
        <v/>
      </c>
      <c r="H23" s="2">
        <f>G23+真實IC!H23</f>
        <v/>
      </c>
      <c r="I23" s="2">
        <f>H23+真實IC!I23</f>
        <v/>
      </c>
      <c r="J23" s="2">
        <f>I23+真實IC!J23</f>
        <v/>
      </c>
      <c r="K23" s="2">
        <f>J23+真實IC!K23</f>
        <v/>
      </c>
      <c r="L23" s="2">
        <f>K23+真實IC!L23</f>
        <v/>
      </c>
      <c r="M23" s="2">
        <f>L23+真實IC!M23</f>
        <v/>
      </c>
      <c r="N23" s="2">
        <f>M23+真實IC!N23</f>
        <v/>
      </c>
      <c r="O23" s="2">
        <f>N23+真實IC!O23</f>
        <v/>
      </c>
      <c r="P23" s="2">
        <f>O23+真實IC!P23</f>
        <v/>
      </c>
      <c r="Q23" s="2">
        <f>P23+真實IC!Q23</f>
        <v/>
      </c>
      <c r="R23" s="2">
        <f>Q23+真實IC!R23</f>
        <v/>
      </c>
      <c r="S23" s="2">
        <f>R23+真實IC!S23</f>
        <v/>
      </c>
      <c r="T23" s="2">
        <f>S23+真實IC!T23</f>
        <v/>
      </c>
      <c r="U23" s="2">
        <f>T23+真實IC!U23</f>
        <v/>
      </c>
      <c r="V23" s="2">
        <f>U23+真實IC!V23</f>
        <v/>
      </c>
      <c r="W23" s="2">
        <f>V23+真實IC!W23</f>
        <v/>
      </c>
      <c r="X23" s="2">
        <f>W23+真實IC!X23</f>
        <v/>
      </c>
      <c r="Y23" s="2">
        <f>X23+真實IC!Y23</f>
        <v/>
      </c>
      <c r="Z23" s="2">
        <f>Y23+真實IC!Z23</f>
        <v/>
      </c>
      <c r="AA23" s="2">
        <f>Z23+真實IC!AA23</f>
        <v/>
      </c>
      <c r="AB23" s="2">
        <f>AA23+真實IC!AB23</f>
        <v/>
      </c>
      <c r="AC23" s="2">
        <f>AB23+真實IC!AC23</f>
        <v/>
      </c>
      <c r="AD23" s="2">
        <f>AC23+真實IC!AD23</f>
        <v/>
      </c>
      <c r="AE23" s="2">
        <f>AD23+真實IC!AE23</f>
        <v/>
      </c>
      <c r="AF23" s="2">
        <f>AE23+真實IC!AF23</f>
        <v/>
      </c>
      <c r="AG23" s="2">
        <f>AF23+真實IC!AG23</f>
        <v/>
      </c>
      <c r="AH23" s="2">
        <f>AG23+真實IC!AH23</f>
        <v/>
      </c>
      <c r="AI23" s="2">
        <f>AH23+真實IC!AI23</f>
        <v/>
      </c>
      <c r="AJ23" s="2">
        <f>AI23+真實IC!AJ23</f>
        <v/>
      </c>
      <c r="AK23" s="2">
        <f>AJ23+真實IC!AK23</f>
        <v/>
      </c>
      <c r="AL23" s="2">
        <f>AK23+真實IC!AL23</f>
        <v/>
      </c>
      <c r="AM23" s="2">
        <f>AL23+真實IC!AM23</f>
        <v/>
      </c>
      <c r="AN23" s="2">
        <f>AM23+真實IC!AN23</f>
        <v/>
      </c>
      <c r="AO23" s="2">
        <f>AN23+真實IC!AO23</f>
        <v/>
      </c>
      <c r="AP23" s="2">
        <f>AO23+真實IC!AP23</f>
        <v/>
      </c>
      <c r="AQ23" s="2">
        <f>AP23+真實IC!AQ23</f>
        <v/>
      </c>
      <c r="AR23" s="2">
        <f>AQ23+真實IC!AR23</f>
        <v/>
      </c>
      <c r="AS23" s="2">
        <f>AR23+真實IC!AS23</f>
        <v/>
      </c>
      <c r="AT23" s="2">
        <f>AS23+真實IC!AT23</f>
        <v/>
      </c>
      <c r="AU23" s="2">
        <f>AT23+真實IC!AU23</f>
        <v/>
      </c>
      <c r="AV23" s="2">
        <f>AU23+真實IC!AV23</f>
        <v/>
      </c>
      <c r="AW23" s="2">
        <f>AV23+真實IC!AW23</f>
        <v/>
      </c>
      <c r="AX23" s="2">
        <f>AW23+真實IC!AX23</f>
        <v/>
      </c>
      <c r="AY23" s="2">
        <f>AX23+真實IC!AY23</f>
        <v/>
      </c>
      <c r="AZ23" s="2">
        <f>AY23+真實IC!AZ23</f>
        <v/>
      </c>
      <c r="BA23" s="2">
        <f>AZ23+真實IC!BA23</f>
        <v/>
      </c>
      <c r="BB23" s="2">
        <f>BA23+真實IC!BB23</f>
        <v/>
      </c>
      <c r="BC23" s="2">
        <f>BB23+真實IC!BC23</f>
        <v/>
      </c>
      <c r="BD23" s="2">
        <f>BC23+真實IC!BD23</f>
        <v/>
      </c>
      <c r="BE23" s="2">
        <f>BD23+真實IC!BE23</f>
        <v/>
      </c>
      <c r="BF23" s="2">
        <f>BE23+真實IC!BF23</f>
        <v/>
      </c>
      <c r="BG23" s="2">
        <f>BF23+真實IC!BG23</f>
        <v/>
      </c>
      <c r="BH23" s="2">
        <f>BG23+真實IC!BH23</f>
        <v/>
      </c>
      <c r="BI23" s="2">
        <f>BH23+真實IC!BI23</f>
        <v/>
      </c>
      <c r="BJ23" s="2">
        <f>BI23+真實IC!BJ23</f>
        <v/>
      </c>
      <c r="BK23" s="2">
        <f>BJ23+真實IC!BK23</f>
        <v/>
      </c>
      <c r="BL23" s="2">
        <f>BK23+真實IC!BL23</f>
        <v/>
      </c>
      <c r="BM23" s="2">
        <f>BL23+真實IC!BM23</f>
        <v/>
      </c>
      <c r="BN23" s="2">
        <f>BM23+真實IC!BN23</f>
        <v/>
      </c>
      <c r="BO23" s="2">
        <f>BN23+真實IC!BO23</f>
        <v/>
      </c>
      <c r="BP23" s="2">
        <f>BO23+真實IC!BP23</f>
        <v/>
      </c>
      <c r="BQ23" s="2">
        <f>BP23+真實IC!BQ23</f>
        <v/>
      </c>
      <c r="BR23" s="2">
        <f>BQ23+真實IC!BR23</f>
        <v/>
      </c>
      <c r="BS23" s="2">
        <f>BR23+真實IC!BS23</f>
        <v/>
      </c>
      <c r="BT23" s="2">
        <f>BS23+真實IC!BT23</f>
        <v/>
      </c>
      <c r="BU23" s="2">
        <f>BT23+真實IC!BU23</f>
        <v/>
      </c>
      <c r="BV23" s="2">
        <f>BU23+真實IC!BV23</f>
        <v/>
      </c>
      <c r="BW23" s="2">
        <f>BV23+真實IC!BW23</f>
        <v/>
      </c>
      <c r="BX23" s="2">
        <f>BW23+真實IC!BX23</f>
        <v/>
      </c>
      <c r="BY23" s="2">
        <f>BX23+真實IC!BY23</f>
        <v/>
      </c>
      <c r="BZ23" s="2">
        <f>BY23+真實IC!BZ23</f>
        <v/>
      </c>
      <c r="CA23" s="2">
        <f>BZ23+真實IC!CA23</f>
        <v/>
      </c>
      <c r="CB23" s="2">
        <f>CA23+真實IC!CB23</f>
        <v/>
      </c>
      <c r="CC23" s="2">
        <f>CB23+真實IC!CC23</f>
        <v/>
      </c>
      <c r="CD23" s="2">
        <f>CC23+真實IC!CD23</f>
        <v/>
      </c>
      <c r="CE23" s="2">
        <f>CD23+真實IC!CE23</f>
        <v/>
      </c>
      <c r="CF23" s="2">
        <f>CE23+真實IC!CF23</f>
        <v/>
      </c>
      <c r="CG23" s="2">
        <f>CF23+真實IC!CG23</f>
        <v/>
      </c>
      <c r="CH23" s="2">
        <f>CG23+真實IC!CH23</f>
        <v/>
      </c>
      <c r="CI23" s="2">
        <f>CH23+真實IC!CI23</f>
        <v/>
      </c>
      <c r="CJ23" s="2">
        <f>CI23+真實IC!CJ23</f>
        <v/>
      </c>
      <c r="CK23" s="2">
        <f>CJ23+真實IC!CK23</f>
        <v/>
      </c>
      <c r="CL23" s="2">
        <f>CK23+真實IC!CL23</f>
        <v/>
      </c>
      <c r="CM23" s="2">
        <f>CL23+真實IC!CM23</f>
        <v/>
      </c>
      <c r="CN23" s="2">
        <f>CM23+真實IC!CN23</f>
        <v/>
      </c>
      <c r="CO23" s="2">
        <f>CN23+真實IC!CO23</f>
        <v/>
      </c>
      <c r="CP23" s="2">
        <f>CO23+真實IC!CP23</f>
        <v/>
      </c>
      <c r="CQ23" s="2">
        <f>CP23+真實IC!CQ23</f>
        <v/>
      </c>
      <c r="CR23" s="2">
        <f>CQ23+真實IC!CR23</f>
        <v/>
      </c>
      <c r="CS23" s="2">
        <f>CR23+真實IC!CS23</f>
        <v/>
      </c>
      <c r="CT23" s="2">
        <f>CS23+真實IC!CT23</f>
        <v/>
      </c>
      <c r="CU23" s="2">
        <f>CT23+真實IC!CU23</f>
        <v/>
      </c>
      <c r="CV23" s="2">
        <f>CU23+真實IC!CV23</f>
        <v/>
      </c>
      <c r="CW23" s="2">
        <f>CV23+真實IC!CW23</f>
        <v/>
      </c>
      <c r="CX23" s="2">
        <f>CW23+真實IC!CX23</f>
        <v/>
      </c>
      <c r="CY23" s="2">
        <f>CX23+真實IC!CY23</f>
        <v/>
      </c>
      <c r="CZ23" s="2">
        <f>CY23+真實IC!CZ23</f>
        <v/>
      </c>
      <c r="DA23" s="2">
        <f>CZ23+真實IC!DA23</f>
        <v/>
      </c>
      <c r="DB23" s="2">
        <f>DA23+真實IC!DB23</f>
        <v/>
      </c>
      <c r="DC23" s="2">
        <f>DB23+真實IC!DC23</f>
        <v/>
      </c>
      <c r="DD23" s="2">
        <f>DC23+真實IC!DD23</f>
        <v/>
      </c>
      <c r="DE23" s="2">
        <f>DD23+真實IC!DE23</f>
        <v/>
      </c>
      <c r="DF23" s="2">
        <f>DE23+真實IC!DF23</f>
        <v/>
      </c>
      <c r="DG23" s="2">
        <f>DF23+真實IC!DG23</f>
        <v/>
      </c>
      <c r="DH23" s="2">
        <f>DG23+真實IC!DH23</f>
        <v/>
      </c>
      <c r="DI23" s="2">
        <f>DH23+真實IC!DI23</f>
        <v/>
      </c>
      <c r="DJ23" s="2">
        <f>DI23+真實IC!DJ23</f>
        <v/>
      </c>
      <c r="DK23" s="2">
        <f>DJ23+真實IC!DK23</f>
        <v/>
      </c>
      <c r="DL23" s="2">
        <f>DK23+真實IC!DL23</f>
        <v/>
      </c>
      <c r="DM23" s="2">
        <f>DL23+真實IC!DM23</f>
        <v/>
      </c>
      <c r="DN23" s="2">
        <f>DM23+真實IC!DN23</f>
        <v/>
      </c>
      <c r="DO23" s="2">
        <f>DN23+真實IC!DO23</f>
        <v/>
      </c>
      <c r="DP23" s="2">
        <f>DO23+真實IC!DP23</f>
        <v/>
      </c>
      <c r="DQ23" s="2">
        <f>DP23+真實IC!DQ23</f>
        <v/>
      </c>
      <c r="DR23" s="2">
        <f>DQ23+真實IC!DR23</f>
        <v/>
      </c>
      <c r="DS23" s="2">
        <f>DR23+真實IC!DS23</f>
        <v/>
      </c>
      <c r="DT23" s="2">
        <f>DS23+真實IC!DT23</f>
        <v/>
      </c>
      <c r="DU23" s="2">
        <f>DT23+真實IC!DU23</f>
        <v/>
      </c>
      <c r="DV23" s="2">
        <f>DU23+真實IC!DV23</f>
        <v/>
      </c>
      <c r="DW23" s="2">
        <f>DV23+真實IC!DW23</f>
        <v/>
      </c>
      <c r="DX23" s="2">
        <f>DW23+真實IC!DX23</f>
        <v/>
      </c>
      <c r="DY23" s="2">
        <f>DX23+真實IC!DY23</f>
        <v/>
      </c>
      <c r="DZ23" s="2">
        <f>DY23+真實IC!DZ23</f>
        <v/>
      </c>
      <c r="EA23" s="2">
        <f>DZ23+真實IC!EA23</f>
        <v/>
      </c>
      <c r="EB23" s="2">
        <f>EA23+真實IC!EB23</f>
        <v/>
      </c>
      <c r="EC23" s="2">
        <f>EB23+真實IC!EC23</f>
        <v/>
      </c>
      <c r="ED23" s="2">
        <f>EC23+真實IC!ED23</f>
        <v/>
      </c>
      <c r="EE23" s="2">
        <f>ED23+真實IC!EE23</f>
        <v/>
      </c>
      <c r="EF23" s="2">
        <f>EE23+真實IC!EF23</f>
        <v/>
      </c>
      <c r="EG23" s="2">
        <f>EF23+真實IC!EG23</f>
        <v/>
      </c>
      <c r="EH23" s="2">
        <f>EG23+真實IC!EH23</f>
        <v/>
      </c>
      <c r="EI23" s="2">
        <f>EH23+真實IC!EI23</f>
        <v/>
      </c>
      <c r="EJ23" s="2">
        <f>EI23+真實IC!EJ23</f>
        <v/>
      </c>
      <c r="EK23" s="2">
        <f>EJ23+真實IC!EK23</f>
        <v/>
      </c>
      <c r="EL23" s="2">
        <f>EK23+真實IC!EL23</f>
        <v/>
      </c>
    </row>
    <row r="24">
      <c r="A24" s="13" t="n">
        <v>1051</v>
      </c>
      <c r="B24" s="13">
        <f>ROUND($D$10/A24,0)</f>
        <v/>
      </c>
      <c r="C24" s="2" t="n">
        <v>0.09911336420688274</v>
      </c>
      <c r="D24" s="2">
        <f>C24+真實IC!D24</f>
        <v/>
      </c>
      <c r="E24" s="2">
        <f>D24+真實IC!E24</f>
        <v/>
      </c>
      <c r="F24" s="2">
        <f>E24+真實IC!F24</f>
        <v/>
      </c>
      <c r="G24" s="2">
        <f>F24+真實IC!G24</f>
        <v/>
      </c>
      <c r="H24" s="2">
        <f>G24+真實IC!H24</f>
        <v/>
      </c>
      <c r="I24" s="2">
        <f>H24+真實IC!I24</f>
        <v/>
      </c>
      <c r="J24" s="2">
        <f>I24+真實IC!J24</f>
        <v/>
      </c>
      <c r="K24" s="2">
        <f>J24+真實IC!K24</f>
        <v/>
      </c>
      <c r="L24" s="2">
        <f>K24+真實IC!L24</f>
        <v/>
      </c>
      <c r="M24" s="2">
        <f>L24+真實IC!M24</f>
        <v/>
      </c>
      <c r="N24" s="2">
        <f>M24+真實IC!N24</f>
        <v/>
      </c>
      <c r="O24" s="2">
        <f>N24+真實IC!O24</f>
        <v/>
      </c>
      <c r="P24" s="2">
        <f>O24+真實IC!P24</f>
        <v/>
      </c>
      <c r="Q24" s="2">
        <f>P24+真實IC!Q24</f>
        <v/>
      </c>
      <c r="R24" s="2">
        <f>Q24+真實IC!R24</f>
        <v/>
      </c>
      <c r="S24" s="2">
        <f>R24+真實IC!S24</f>
        <v/>
      </c>
      <c r="T24" s="2">
        <f>S24+真實IC!T24</f>
        <v/>
      </c>
      <c r="U24" s="2">
        <f>T24+真實IC!U24</f>
        <v/>
      </c>
      <c r="V24" s="2">
        <f>U24+真實IC!V24</f>
        <v/>
      </c>
      <c r="W24" s="2">
        <f>V24+真實IC!W24</f>
        <v/>
      </c>
      <c r="X24" s="2">
        <f>W24+真實IC!X24</f>
        <v/>
      </c>
      <c r="Y24" s="2">
        <f>X24+真實IC!Y24</f>
        <v/>
      </c>
      <c r="Z24" s="2">
        <f>Y24+真實IC!Z24</f>
        <v/>
      </c>
      <c r="AA24" s="2">
        <f>Z24+真實IC!AA24</f>
        <v/>
      </c>
      <c r="AB24" s="2">
        <f>AA24+真實IC!AB24</f>
        <v/>
      </c>
      <c r="AC24" s="2">
        <f>AB24+真實IC!AC24</f>
        <v/>
      </c>
      <c r="AD24" s="2">
        <f>AC24+真實IC!AD24</f>
        <v/>
      </c>
      <c r="AE24" s="2">
        <f>AD24+真實IC!AE24</f>
        <v/>
      </c>
      <c r="AF24" s="2">
        <f>AE24+真實IC!AF24</f>
        <v/>
      </c>
      <c r="AG24" s="2">
        <f>AF24+真實IC!AG24</f>
        <v/>
      </c>
      <c r="AH24" s="2">
        <f>AG24+真實IC!AH24</f>
        <v/>
      </c>
      <c r="AI24" s="2">
        <f>AH24+真實IC!AI24</f>
        <v/>
      </c>
      <c r="AJ24" s="2">
        <f>AI24+真實IC!AJ24</f>
        <v/>
      </c>
      <c r="AK24" s="2">
        <f>AJ24+真實IC!AK24</f>
        <v/>
      </c>
      <c r="AL24" s="2">
        <f>AK24+真實IC!AL24</f>
        <v/>
      </c>
      <c r="AM24" s="2">
        <f>AL24+真實IC!AM24</f>
        <v/>
      </c>
      <c r="AN24" s="2">
        <f>AM24+真實IC!AN24</f>
        <v/>
      </c>
      <c r="AO24" s="2">
        <f>AN24+真實IC!AO24</f>
        <v/>
      </c>
      <c r="AP24" s="2">
        <f>AO24+真實IC!AP24</f>
        <v/>
      </c>
      <c r="AQ24" s="2">
        <f>AP24+真實IC!AQ24</f>
        <v/>
      </c>
      <c r="AR24" s="2">
        <f>AQ24+真實IC!AR24</f>
        <v/>
      </c>
      <c r="AS24" s="2">
        <f>AR24+真實IC!AS24</f>
        <v/>
      </c>
      <c r="AT24" s="2">
        <f>AS24+真實IC!AT24</f>
        <v/>
      </c>
      <c r="AU24" s="2">
        <f>AT24+真實IC!AU24</f>
        <v/>
      </c>
      <c r="AV24" s="2">
        <f>AU24+真實IC!AV24</f>
        <v/>
      </c>
      <c r="AW24" s="2">
        <f>AV24+真實IC!AW24</f>
        <v/>
      </c>
      <c r="AX24" s="2">
        <f>AW24+真實IC!AX24</f>
        <v/>
      </c>
      <c r="AY24" s="2">
        <f>AX24+真實IC!AY24</f>
        <v/>
      </c>
      <c r="AZ24" s="2">
        <f>AY24+真實IC!AZ24</f>
        <v/>
      </c>
      <c r="BA24" s="2">
        <f>AZ24+真實IC!BA24</f>
        <v/>
      </c>
      <c r="BB24" s="2">
        <f>BA24+真實IC!BB24</f>
        <v/>
      </c>
      <c r="BC24" s="2">
        <f>BB24+真實IC!BC24</f>
        <v/>
      </c>
      <c r="BD24" s="2">
        <f>BC24+真實IC!BD24</f>
        <v/>
      </c>
      <c r="BE24" s="2">
        <f>BD24+真實IC!BE24</f>
        <v/>
      </c>
      <c r="BF24" s="2">
        <f>BE24+真實IC!BF24</f>
        <v/>
      </c>
      <c r="BG24" s="2">
        <f>BF24+真實IC!BG24</f>
        <v/>
      </c>
      <c r="BH24" s="2">
        <f>BG24+真實IC!BH24</f>
        <v/>
      </c>
      <c r="BI24" s="2">
        <f>BH24+真實IC!BI24</f>
        <v/>
      </c>
      <c r="BJ24" s="2">
        <f>BI24+真實IC!BJ24</f>
        <v/>
      </c>
      <c r="BK24" s="2">
        <f>BJ24+真實IC!BK24</f>
        <v/>
      </c>
      <c r="BL24" s="2">
        <f>BK24+真實IC!BL24</f>
        <v/>
      </c>
      <c r="BM24" s="2">
        <f>BL24+真實IC!BM24</f>
        <v/>
      </c>
      <c r="BN24" s="2">
        <f>BM24+真實IC!BN24</f>
        <v/>
      </c>
      <c r="BO24" s="2">
        <f>BN24+真實IC!BO24</f>
        <v/>
      </c>
      <c r="BP24" s="2">
        <f>BO24+真實IC!BP24</f>
        <v/>
      </c>
      <c r="BQ24" s="2">
        <f>BP24+真實IC!BQ24</f>
        <v/>
      </c>
      <c r="BR24" s="2">
        <f>BQ24+真實IC!BR24</f>
        <v/>
      </c>
      <c r="BS24" s="2">
        <f>BR24+真實IC!BS24</f>
        <v/>
      </c>
      <c r="BT24" s="2">
        <f>BS24+真實IC!BT24</f>
        <v/>
      </c>
      <c r="BU24" s="2">
        <f>BT24+真實IC!BU24</f>
        <v/>
      </c>
      <c r="BV24" s="2">
        <f>BU24+真實IC!BV24</f>
        <v/>
      </c>
      <c r="BW24" s="2">
        <f>BV24+真實IC!BW24</f>
        <v/>
      </c>
      <c r="BX24" s="2">
        <f>BW24+真實IC!BX24</f>
        <v/>
      </c>
      <c r="BY24" s="2">
        <f>BX24+真實IC!BY24</f>
        <v/>
      </c>
      <c r="BZ24" s="2">
        <f>BY24+真實IC!BZ24</f>
        <v/>
      </c>
      <c r="CA24" s="2">
        <f>BZ24+真實IC!CA24</f>
        <v/>
      </c>
      <c r="CB24" s="2">
        <f>CA24+真實IC!CB24</f>
        <v/>
      </c>
      <c r="CC24" s="2">
        <f>CB24+真實IC!CC24</f>
        <v/>
      </c>
      <c r="CD24" s="2">
        <f>CC24+真實IC!CD24</f>
        <v/>
      </c>
      <c r="CE24" s="2">
        <f>CD24+真實IC!CE24</f>
        <v/>
      </c>
      <c r="CF24" s="2">
        <f>CE24+真實IC!CF24</f>
        <v/>
      </c>
      <c r="CG24" s="2">
        <f>CF24+真實IC!CG24</f>
        <v/>
      </c>
      <c r="CH24" s="2">
        <f>CG24+真實IC!CH24</f>
        <v/>
      </c>
      <c r="CI24" s="2">
        <f>CH24+真實IC!CI24</f>
        <v/>
      </c>
      <c r="CJ24" s="2">
        <f>CI24+真實IC!CJ24</f>
        <v/>
      </c>
      <c r="CK24" s="2">
        <f>CJ24+真實IC!CK24</f>
        <v/>
      </c>
      <c r="CL24" s="2">
        <f>CK24+真實IC!CL24</f>
        <v/>
      </c>
      <c r="CM24" s="2">
        <f>CL24+真實IC!CM24</f>
        <v/>
      </c>
      <c r="CN24" s="2">
        <f>CM24+真實IC!CN24</f>
        <v/>
      </c>
      <c r="CO24" s="2">
        <f>CN24+真實IC!CO24</f>
        <v/>
      </c>
      <c r="CP24" s="2">
        <f>CO24+真實IC!CP24</f>
        <v/>
      </c>
      <c r="CQ24" s="2">
        <f>CP24+真實IC!CQ24</f>
        <v/>
      </c>
      <c r="CR24" s="2">
        <f>CQ24+真實IC!CR24</f>
        <v/>
      </c>
      <c r="CS24" s="2">
        <f>CR24+真實IC!CS24</f>
        <v/>
      </c>
      <c r="CT24" s="2">
        <f>CS24+真實IC!CT24</f>
        <v/>
      </c>
      <c r="CU24" s="2">
        <f>CT24+真實IC!CU24</f>
        <v/>
      </c>
      <c r="CV24" s="2">
        <f>CU24+真實IC!CV24</f>
        <v/>
      </c>
      <c r="CW24" s="2">
        <f>CV24+真實IC!CW24</f>
        <v/>
      </c>
      <c r="CX24" s="2">
        <f>CW24+真實IC!CX24</f>
        <v/>
      </c>
      <c r="CY24" s="2">
        <f>CX24+真實IC!CY24</f>
        <v/>
      </c>
      <c r="CZ24" s="2">
        <f>CY24+真實IC!CZ24</f>
        <v/>
      </c>
      <c r="DA24" s="2">
        <f>CZ24+真實IC!DA24</f>
        <v/>
      </c>
      <c r="DB24" s="2">
        <f>DA24+真實IC!DB24</f>
        <v/>
      </c>
      <c r="DC24" s="2">
        <f>DB24+真實IC!DC24</f>
        <v/>
      </c>
      <c r="DD24" s="2">
        <f>DC24+真實IC!DD24</f>
        <v/>
      </c>
      <c r="DE24" s="2">
        <f>DD24+真實IC!DE24</f>
        <v/>
      </c>
      <c r="DF24" s="2">
        <f>DE24+真實IC!DF24</f>
        <v/>
      </c>
      <c r="DG24" s="2">
        <f>DF24+真實IC!DG24</f>
        <v/>
      </c>
      <c r="DH24" s="2">
        <f>DG24+真實IC!DH24</f>
        <v/>
      </c>
      <c r="DI24" s="2">
        <f>DH24+真實IC!DI24</f>
        <v/>
      </c>
      <c r="DJ24" s="2">
        <f>DI24+真實IC!DJ24</f>
        <v/>
      </c>
      <c r="DK24" s="2">
        <f>DJ24+真實IC!DK24</f>
        <v/>
      </c>
      <c r="DL24" s="2">
        <f>DK24+真實IC!DL24</f>
        <v/>
      </c>
      <c r="DM24" s="2">
        <f>DL24+真實IC!DM24</f>
        <v/>
      </c>
      <c r="DN24" s="2">
        <f>DM24+真實IC!DN24</f>
        <v/>
      </c>
      <c r="DO24" s="2">
        <f>DN24+真實IC!DO24</f>
        <v/>
      </c>
      <c r="DP24" s="2">
        <f>DO24+真實IC!DP24</f>
        <v/>
      </c>
      <c r="DQ24" s="2">
        <f>DP24+真實IC!DQ24</f>
        <v/>
      </c>
      <c r="DR24" s="2">
        <f>DQ24+真實IC!DR24</f>
        <v/>
      </c>
      <c r="DS24" s="2">
        <f>DR24+真實IC!DS24</f>
        <v/>
      </c>
      <c r="DT24" s="2">
        <f>DS24+真實IC!DT24</f>
        <v/>
      </c>
      <c r="DU24" s="2">
        <f>DT24+真實IC!DU24</f>
        <v/>
      </c>
      <c r="DV24" s="2">
        <f>DU24+真實IC!DV24</f>
        <v/>
      </c>
      <c r="DW24" s="2">
        <f>DV24+真實IC!DW24</f>
        <v/>
      </c>
      <c r="DX24" s="2">
        <f>DW24+真實IC!DX24</f>
        <v/>
      </c>
      <c r="DY24" s="2">
        <f>DX24+真實IC!DY24</f>
        <v/>
      </c>
      <c r="DZ24" s="2">
        <f>DY24+真實IC!DZ24</f>
        <v/>
      </c>
      <c r="EA24" s="2">
        <f>DZ24+真實IC!EA24</f>
        <v/>
      </c>
      <c r="EB24" s="2">
        <f>EA24+真實IC!EB24</f>
        <v/>
      </c>
      <c r="EC24" s="2">
        <f>EB24+真實IC!EC24</f>
        <v/>
      </c>
      <c r="ED24" s="2">
        <f>EC24+真實IC!ED24</f>
        <v/>
      </c>
      <c r="EE24" s="2">
        <f>ED24+真實IC!EE24</f>
        <v/>
      </c>
      <c r="EF24" s="2">
        <f>EE24+真實IC!EF24</f>
        <v/>
      </c>
      <c r="EG24" s="2">
        <f>EF24+真實IC!EG24</f>
        <v/>
      </c>
      <c r="EH24" s="2">
        <f>EG24+真實IC!EH24</f>
        <v/>
      </c>
      <c r="EI24" s="2">
        <f>EH24+真實IC!EI24</f>
        <v/>
      </c>
      <c r="EJ24" s="2">
        <f>EI24+真實IC!EJ24</f>
        <v/>
      </c>
      <c r="EK24" s="2">
        <f>EJ24+真實IC!EK24</f>
        <v/>
      </c>
      <c r="EL24" s="2">
        <f>EK24+真實IC!EL24</f>
        <v/>
      </c>
    </row>
    <row r="25">
      <c r="A25" s="13" t="inlineStr">
        <is>
          <t>大盤</t>
        </is>
      </c>
      <c r="B25" s="13" t="inlineStr">
        <is>
          <t>TWII</t>
        </is>
      </c>
      <c r="C25" s="9" t="n">
        <v>-0.01744677053939034</v>
      </c>
      <c r="D25" s="10">
        <f>C25+真實IC!D25</f>
        <v/>
      </c>
      <c r="E25" s="10">
        <f>D25+真實IC!E25</f>
        <v/>
      </c>
      <c r="F25" s="10">
        <f>E25+真實IC!F25</f>
        <v/>
      </c>
      <c r="G25" s="10">
        <f>F25+真實IC!G25</f>
        <v/>
      </c>
      <c r="H25" s="10">
        <f>G25+真實IC!H25</f>
        <v/>
      </c>
      <c r="I25" s="10">
        <f>H25+真實IC!I25</f>
        <v/>
      </c>
      <c r="J25" s="10">
        <f>I25+真實IC!J25</f>
        <v/>
      </c>
      <c r="K25" s="10">
        <f>J25+真實IC!K25</f>
        <v/>
      </c>
      <c r="L25" s="10">
        <f>K25+真實IC!L25</f>
        <v/>
      </c>
      <c r="M25" s="10">
        <f>L25+真實IC!M25</f>
        <v/>
      </c>
      <c r="N25" s="10">
        <f>M25+真實IC!N25</f>
        <v/>
      </c>
      <c r="O25" s="10">
        <f>N25+真實IC!O25</f>
        <v/>
      </c>
      <c r="P25" s="10">
        <f>O25+真實IC!P25</f>
        <v/>
      </c>
      <c r="Q25" s="10">
        <f>P25+真實IC!Q25</f>
        <v/>
      </c>
      <c r="R25" s="10">
        <f>Q25+真實IC!R25</f>
        <v/>
      </c>
      <c r="S25" s="10">
        <f>R25+真實IC!S25</f>
        <v/>
      </c>
      <c r="T25" s="10">
        <f>S25+真實IC!T25</f>
        <v/>
      </c>
      <c r="U25" s="10">
        <f>T25+真實IC!U25</f>
        <v/>
      </c>
      <c r="V25" s="10">
        <f>U25+真實IC!V25</f>
        <v/>
      </c>
      <c r="W25" s="10">
        <f>V25+真實IC!W25</f>
        <v/>
      </c>
      <c r="X25" s="10">
        <f>W25+真實IC!X25</f>
        <v/>
      </c>
      <c r="Y25" s="10">
        <f>X25+真實IC!Y25</f>
        <v/>
      </c>
      <c r="Z25" s="10">
        <f>Y25+真實IC!Z25</f>
        <v/>
      </c>
      <c r="AA25" s="10">
        <f>Z25+真實IC!AA25</f>
        <v/>
      </c>
      <c r="AB25" s="10">
        <f>AA25+真實IC!AB25</f>
        <v/>
      </c>
      <c r="AC25" s="10">
        <f>AB25+真實IC!AC25</f>
        <v/>
      </c>
      <c r="AD25" s="10">
        <f>AC25+真實IC!AD25</f>
        <v/>
      </c>
      <c r="AE25" s="10">
        <f>AD25+真實IC!AE25</f>
        <v/>
      </c>
      <c r="AF25" s="10">
        <f>AE25+真實IC!AF25</f>
        <v/>
      </c>
      <c r="AG25" s="10">
        <f>AF25+真實IC!AG25</f>
        <v/>
      </c>
      <c r="AH25" s="10">
        <f>AG25+真實IC!AH25</f>
        <v/>
      </c>
      <c r="AI25" s="10">
        <f>AH25+真實IC!AI25</f>
        <v/>
      </c>
      <c r="AJ25" s="10">
        <f>AI25+真實IC!AJ25</f>
        <v/>
      </c>
      <c r="AK25" s="10">
        <f>AJ25+真實IC!AK25</f>
        <v/>
      </c>
      <c r="AL25" s="10">
        <f>AK25+真實IC!AL25</f>
        <v/>
      </c>
      <c r="AM25" s="10">
        <f>AL25+真實IC!AM25</f>
        <v/>
      </c>
      <c r="AN25" s="10">
        <f>AM25+真實IC!AN25</f>
        <v/>
      </c>
      <c r="AO25" s="10">
        <f>AN25+真實IC!AO25</f>
        <v/>
      </c>
      <c r="AP25" s="10">
        <f>AO25+真實IC!AP25</f>
        <v/>
      </c>
      <c r="AQ25" s="10">
        <f>AP25+真實IC!AQ25</f>
        <v/>
      </c>
      <c r="AR25" s="10">
        <f>AQ25+真實IC!AR25</f>
        <v/>
      </c>
      <c r="AS25" s="10">
        <f>AR25+真實IC!AS25</f>
        <v/>
      </c>
      <c r="AT25" s="10">
        <f>AS25+真實IC!AT25</f>
        <v/>
      </c>
      <c r="AU25" s="10">
        <f>AT25+真實IC!AU25</f>
        <v/>
      </c>
      <c r="AV25" s="10">
        <f>AU25+真實IC!AV25</f>
        <v/>
      </c>
      <c r="AW25" s="10">
        <f>AV25+真實IC!AW25</f>
        <v/>
      </c>
      <c r="AX25" s="10">
        <f>AW25+真實IC!AX25</f>
        <v/>
      </c>
      <c r="AY25" s="10">
        <f>AX25+真實IC!AY25</f>
        <v/>
      </c>
      <c r="AZ25" s="10">
        <f>AY25+真實IC!AZ25</f>
        <v/>
      </c>
      <c r="BA25" s="10">
        <f>AZ25+真實IC!BA25</f>
        <v/>
      </c>
      <c r="BB25" s="10">
        <f>BA25+真實IC!BB25</f>
        <v/>
      </c>
      <c r="BC25" s="10">
        <f>BB25+真實IC!BC25</f>
        <v/>
      </c>
      <c r="BD25" s="10">
        <f>BC25+真實IC!BD25</f>
        <v/>
      </c>
      <c r="BE25" s="10">
        <f>BD25+真實IC!BE25</f>
        <v/>
      </c>
      <c r="BF25" s="10">
        <f>BE25+真實IC!BF25</f>
        <v/>
      </c>
      <c r="BG25" s="10">
        <f>BF25+真實IC!BG25</f>
        <v/>
      </c>
      <c r="BH25" s="10">
        <f>BG25+真實IC!BH25</f>
        <v/>
      </c>
      <c r="BI25" s="10">
        <f>BH25+真實IC!BI25</f>
        <v/>
      </c>
      <c r="BJ25" s="10">
        <f>BI25+真實IC!BJ25</f>
        <v/>
      </c>
      <c r="BK25" s="10">
        <f>BJ25+真實IC!BK25</f>
        <v/>
      </c>
      <c r="BL25" s="10">
        <f>BK25+真實IC!BL25</f>
        <v/>
      </c>
      <c r="BM25" s="10">
        <f>BL25+真實IC!BM25</f>
        <v/>
      </c>
      <c r="BN25" s="10">
        <f>BM25+真實IC!BN25</f>
        <v/>
      </c>
      <c r="BO25" s="10">
        <f>BN25+真實IC!BO25</f>
        <v/>
      </c>
      <c r="BP25" s="10">
        <f>BO25+真實IC!BP25</f>
        <v/>
      </c>
      <c r="BQ25" s="10">
        <f>BP25+真實IC!BQ25</f>
        <v/>
      </c>
      <c r="BR25" s="10">
        <f>BQ25+真實IC!BR25</f>
        <v/>
      </c>
      <c r="BS25" s="10">
        <f>BR25+真實IC!BS25</f>
        <v/>
      </c>
      <c r="BT25" s="10">
        <f>BS25+真實IC!BT25</f>
        <v/>
      </c>
      <c r="BU25" s="10">
        <f>BT25+真實IC!BU25</f>
        <v/>
      </c>
      <c r="BV25" s="10">
        <f>BU25+真實IC!BV25</f>
        <v/>
      </c>
      <c r="BW25" s="10">
        <f>BV25+真實IC!BW25</f>
        <v/>
      </c>
      <c r="BX25" s="10">
        <f>BW25+真實IC!BX25</f>
        <v/>
      </c>
      <c r="BY25" s="10">
        <f>BX25+真實IC!BY25</f>
        <v/>
      </c>
      <c r="BZ25" s="10">
        <f>BY25+真實IC!BZ25</f>
        <v/>
      </c>
      <c r="CA25" s="10">
        <f>BZ25+真實IC!CA25</f>
        <v/>
      </c>
      <c r="CB25" s="10">
        <f>CA25+真實IC!CB25</f>
        <v/>
      </c>
      <c r="CC25" s="10">
        <f>CB25+真實IC!CC25</f>
        <v/>
      </c>
      <c r="CD25" s="10">
        <f>CC25+真實IC!CD25</f>
        <v/>
      </c>
      <c r="CE25" s="10">
        <f>CD25+真實IC!CE25</f>
        <v/>
      </c>
      <c r="CF25" s="10">
        <f>CE25+真實IC!CF25</f>
        <v/>
      </c>
      <c r="CG25" s="10">
        <f>CF25+真實IC!CG25</f>
        <v/>
      </c>
      <c r="CH25" s="10">
        <f>CG25+真實IC!CH25</f>
        <v/>
      </c>
      <c r="CI25" s="10">
        <f>CH25+真實IC!CI25</f>
        <v/>
      </c>
      <c r="CJ25" s="10">
        <f>CI25+真實IC!CJ25</f>
        <v/>
      </c>
      <c r="CK25" s="10">
        <f>CJ25+真實IC!CK25</f>
        <v/>
      </c>
      <c r="CL25" s="10">
        <f>CK25+真實IC!CL25</f>
        <v/>
      </c>
      <c r="CM25" s="10">
        <f>CL25+真實IC!CM25</f>
        <v/>
      </c>
      <c r="CN25" s="10">
        <f>CM25+真實IC!CN25</f>
        <v/>
      </c>
      <c r="CO25" s="10">
        <f>CN25+真實IC!CO25</f>
        <v/>
      </c>
      <c r="CP25" s="10">
        <f>CO25+真實IC!CP25</f>
        <v/>
      </c>
      <c r="CQ25" s="10">
        <f>CP25+真實IC!CQ25</f>
        <v/>
      </c>
      <c r="CR25" s="10">
        <f>CQ25+真實IC!CR25</f>
        <v/>
      </c>
      <c r="CS25" s="10">
        <f>CR25+真實IC!CS25</f>
        <v/>
      </c>
      <c r="CT25" s="10">
        <f>CS25+真實IC!CT25</f>
        <v/>
      </c>
      <c r="CU25" s="10">
        <f>CT25+真實IC!CU25</f>
        <v/>
      </c>
      <c r="CV25" s="10">
        <f>CU25+真實IC!CV25</f>
        <v/>
      </c>
      <c r="CW25" s="10">
        <f>CV25+真實IC!CW25</f>
        <v/>
      </c>
      <c r="CX25" s="10">
        <f>CW25+真實IC!CX25</f>
        <v/>
      </c>
      <c r="CY25" s="10">
        <f>CX25+真實IC!CY25</f>
        <v/>
      </c>
      <c r="CZ25" s="10">
        <f>CY25+真實IC!CZ25</f>
        <v/>
      </c>
      <c r="DA25" s="10">
        <f>CZ25+真實IC!DA25</f>
        <v/>
      </c>
      <c r="DB25" s="10">
        <f>DA25+真實IC!DB25</f>
        <v/>
      </c>
      <c r="DC25" s="10">
        <f>DB25+真實IC!DC25</f>
        <v/>
      </c>
      <c r="DD25" s="10">
        <f>DC25+真實IC!DD25</f>
        <v/>
      </c>
      <c r="DE25" s="10">
        <f>DD25+真實IC!DE25</f>
        <v/>
      </c>
      <c r="DF25" s="10">
        <f>DE25+真實IC!DF25</f>
        <v/>
      </c>
      <c r="DG25" s="10">
        <f>DF25+真實IC!DG25</f>
        <v/>
      </c>
      <c r="DH25" s="10">
        <f>DG25+真實IC!DH25</f>
        <v/>
      </c>
      <c r="DI25" s="10">
        <f>DH25+真實IC!DI25</f>
        <v/>
      </c>
      <c r="DJ25" s="10">
        <f>DI25+真實IC!DJ25</f>
        <v/>
      </c>
      <c r="DK25" s="10">
        <f>DJ25+真實IC!DK25</f>
        <v/>
      </c>
      <c r="DL25" s="10">
        <f>DK25+真實IC!DL25</f>
        <v/>
      </c>
      <c r="DM25" s="10">
        <f>DL25+真實IC!DM25</f>
        <v/>
      </c>
      <c r="DN25" s="10">
        <f>DM25+真實IC!DN25</f>
        <v/>
      </c>
      <c r="DO25" s="10">
        <f>DN25+真實IC!DO25</f>
        <v/>
      </c>
      <c r="DP25" s="10">
        <f>DO25+真實IC!DP25</f>
        <v/>
      </c>
      <c r="DQ25" s="10">
        <f>DP25+真實IC!DQ25</f>
        <v/>
      </c>
      <c r="DR25" s="10">
        <f>DQ25+真實IC!DR25</f>
        <v/>
      </c>
      <c r="DS25" s="10">
        <f>DR25+真實IC!DS25</f>
        <v/>
      </c>
      <c r="DT25" s="10">
        <f>DS25+真實IC!DT25</f>
        <v/>
      </c>
      <c r="DU25" s="10">
        <f>DT25+真實IC!DU25</f>
        <v/>
      </c>
      <c r="DV25" s="10">
        <f>DU25+真實IC!DV25</f>
        <v/>
      </c>
      <c r="DW25" s="10">
        <f>DV25+真實IC!DW25</f>
        <v/>
      </c>
      <c r="DX25" s="10">
        <f>DW25+真實IC!DX25</f>
        <v/>
      </c>
      <c r="DY25" s="10">
        <f>DX25+真實IC!DY25</f>
        <v/>
      </c>
      <c r="DZ25" s="10">
        <f>DY25+真實IC!DZ25</f>
        <v/>
      </c>
      <c r="EA25" s="10">
        <f>DZ25+真實IC!EA25</f>
        <v/>
      </c>
      <c r="EB25" s="10">
        <f>EA25+真實IC!EB25</f>
        <v/>
      </c>
      <c r="EC25" s="10">
        <f>EB25+真實IC!EC25</f>
        <v/>
      </c>
      <c r="ED25" s="10">
        <f>EC25+真實IC!ED25</f>
        <v/>
      </c>
      <c r="EE25" s="10">
        <f>ED25+真實IC!EE25</f>
        <v/>
      </c>
      <c r="EF25" s="10">
        <f>EE25+真實IC!EF25</f>
        <v/>
      </c>
      <c r="EG25" s="10">
        <f>EF25+真實IC!EG25</f>
        <v/>
      </c>
      <c r="EH25" s="10">
        <f>EG25+真實IC!EH25</f>
        <v/>
      </c>
      <c r="EI25" s="10">
        <f>EH25+真實IC!EI25</f>
        <v/>
      </c>
      <c r="EJ25" s="10">
        <f>EI25+真實IC!EJ25</f>
        <v/>
      </c>
      <c r="EK25" s="10">
        <f>EJ25+真實IC!EK25</f>
        <v/>
      </c>
      <c r="EL25" s="10">
        <f>EK25+真實IC!EL25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64"/>
  <sheetViews>
    <sheetView topLeftCell="BQ2" zoomScale="130" zoomScaleNormal="130" workbookViewId="0">
      <selection activeCell="BS31" sqref="BS31"/>
    </sheetView>
  </sheetViews>
  <sheetFormatPr baseColWidth="8" defaultRowHeight="14.5"/>
  <cols>
    <col width="10.19921875" bestFit="1" customWidth="1" min="2" max="2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n"/>
      <c r="B11" s="7" t="inlineStr">
        <is>
          <t>等分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</row>
    <row r="12">
      <c r="A12" s="13" t="n"/>
      <c r="B12" s="13" t="n">
        <v>10</v>
      </c>
      <c r="C12" s="2" t="n">
        <v>0.09819950192441131</v>
      </c>
      <c r="D12" s="2">
        <f>C12+真實IC!D12</f>
        <v/>
      </c>
      <c r="E12" s="2">
        <f>D12+真實IC!E12</f>
        <v/>
      </c>
      <c r="F12" s="2">
        <f>E12+真實IC!F12</f>
        <v/>
      </c>
      <c r="G12" s="2">
        <f>F12+真實IC!G12</f>
        <v/>
      </c>
      <c r="H12" s="2">
        <f>G12+真實IC!H12</f>
        <v/>
      </c>
      <c r="I12" s="2">
        <f>H12+真實IC!I12</f>
        <v/>
      </c>
      <c r="J12" s="2">
        <f>I12+真實IC!J12</f>
        <v/>
      </c>
      <c r="K12" s="2">
        <f>J12+真實IC!K12</f>
        <v/>
      </c>
      <c r="L12" s="2">
        <f>K12+真實IC!L12</f>
        <v/>
      </c>
      <c r="M12" s="2">
        <f>L12+真實IC!M12</f>
        <v/>
      </c>
      <c r="N12" s="2">
        <f>M12+真實IC!N12</f>
        <v/>
      </c>
      <c r="O12" s="2">
        <f>N12+真實IC!O12</f>
        <v/>
      </c>
      <c r="P12" s="2">
        <f>O12+真實IC!P12</f>
        <v/>
      </c>
      <c r="Q12" s="2">
        <f>P12+真實IC!Q12</f>
        <v/>
      </c>
      <c r="R12" s="2">
        <f>Q12+真實IC!R12</f>
        <v/>
      </c>
      <c r="S12" s="2">
        <f>R12+真實IC!S12</f>
        <v/>
      </c>
      <c r="T12" s="2">
        <f>S12+真實IC!T12</f>
        <v/>
      </c>
      <c r="U12" s="2">
        <f>T12+真實IC!U12</f>
        <v/>
      </c>
      <c r="V12" s="2">
        <f>U12+真實IC!V12</f>
        <v/>
      </c>
      <c r="W12" s="2">
        <f>V12+真實IC!W12</f>
        <v/>
      </c>
      <c r="X12" s="2">
        <f>W12+真實IC!X12</f>
        <v/>
      </c>
      <c r="Y12" s="2">
        <f>X12+真實IC!Y12</f>
        <v/>
      </c>
      <c r="Z12" s="2">
        <f>Y12+真實IC!Z12</f>
        <v/>
      </c>
      <c r="AA12" s="2">
        <f>Z12+真實IC!AA12</f>
        <v/>
      </c>
      <c r="AB12" s="2">
        <f>AA12+真實IC!AB12</f>
        <v/>
      </c>
      <c r="AC12" s="2">
        <f>AB12+真實IC!AC12</f>
        <v/>
      </c>
      <c r="AD12" s="2">
        <f>AC12+真實IC!AD12</f>
        <v/>
      </c>
      <c r="AE12" s="2">
        <f>AD12+真實IC!AE12</f>
        <v/>
      </c>
      <c r="AF12" s="2">
        <f>AE12+真實IC!AF12</f>
        <v/>
      </c>
      <c r="AG12" s="2">
        <f>AF12+真實IC!AG12</f>
        <v/>
      </c>
      <c r="AH12" s="2">
        <f>AG12+真實IC!AH12</f>
        <v/>
      </c>
      <c r="AI12" s="2">
        <f>AH12+真實IC!AI12</f>
        <v/>
      </c>
      <c r="AJ12" s="2">
        <f>AI12+真實IC!AJ12</f>
        <v/>
      </c>
      <c r="AK12" s="2">
        <f>AJ12+真實IC!AK12</f>
        <v/>
      </c>
      <c r="AL12" s="2">
        <f>AK12+真實IC!AL12</f>
        <v/>
      </c>
      <c r="AM12" s="2">
        <f>AL12+真實IC!AM12</f>
        <v/>
      </c>
      <c r="AN12" s="2">
        <f>AM12+真實IC!AN12</f>
        <v/>
      </c>
      <c r="AO12" s="2">
        <f>AN12+真實IC!AO12</f>
        <v/>
      </c>
      <c r="AP12" s="2">
        <f>AO12+真實IC!AP12</f>
        <v/>
      </c>
      <c r="AQ12" s="2">
        <f>AP12+真實IC!AQ12</f>
        <v/>
      </c>
      <c r="AR12" s="2">
        <f>AQ12+真實IC!AR12</f>
        <v/>
      </c>
      <c r="AS12" s="2">
        <f>AR12+真實IC!AS12</f>
        <v/>
      </c>
      <c r="AT12" s="2">
        <f>AS12+真實IC!AT12</f>
        <v/>
      </c>
      <c r="AU12" s="2">
        <f>AT12+真實IC!AU12</f>
        <v/>
      </c>
      <c r="AV12" s="2">
        <f>AU12+真實IC!AV12</f>
        <v/>
      </c>
      <c r="AW12" s="2">
        <f>AV12+真實IC!AW12</f>
        <v/>
      </c>
      <c r="AX12" s="2">
        <f>AW12+真實IC!AX12</f>
        <v/>
      </c>
      <c r="AY12" s="2">
        <f>AX12+真實IC!AY12</f>
        <v/>
      </c>
      <c r="AZ12" s="2">
        <f>AY12+真實IC!AZ12</f>
        <v/>
      </c>
      <c r="BA12" s="2">
        <f>AZ12+真實IC!BA12</f>
        <v/>
      </c>
      <c r="BB12" s="2">
        <f>BA12+真實IC!BB12</f>
        <v/>
      </c>
      <c r="BC12" s="2">
        <f>BB12+真實IC!BC12</f>
        <v/>
      </c>
      <c r="BD12" s="2">
        <f>BC12+真實IC!BD12</f>
        <v/>
      </c>
      <c r="BE12" s="2">
        <f>BD12+真實IC!BE12</f>
        <v/>
      </c>
      <c r="BF12" s="2">
        <f>BE12+真實IC!BF12</f>
        <v/>
      </c>
      <c r="BG12" s="2">
        <f>BF12+真實IC!BG12</f>
        <v/>
      </c>
      <c r="BH12" s="2">
        <f>BG12+真實IC!BH12</f>
        <v/>
      </c>
      <c r="BI12" s="2">
        <f>BH12+真實IC!BI12</f>
        <v/>
      </c>
      <c r="BJ12" s="2">
        <f>BI12+真實IC!BJ12</f>
        <v/>
      </c>
      <c r="BK12" s="2">
        <f>BJ12+真實IC!BK12</f>
        <v/>
      </c>
      <c r="BL12" s="2">
        <f>BK12+真實IC!BL12</f>
        <v/>
      </c>
      <c r="BM12" s="2">
        <f>BL12+真實IC!BM12</f>
        <v/>
      </c>
      <c r="BN12" s="2">
        <f>BM12+真實IC!BN12</f>
        <v/>
      </c>
      <c r="BO12" s="2">
        <f>BN12+真實IC!BO12</f>
        <v/>
      </c>
      <c r="BP12" s="2">
        <f>BO12+真實IC!BP12</f>
        <v/>
      </c>
      <c r="BQ12" s="2">
        <f>BP12+真實IC!BQ12</f>
        <v/>
      </c>
      <c r="BR12" s="2">
        <f>BQ12+真實IC!BR12</f>
        <v/>
      </c>
      <c r="BS12" s="2">
        <f>BR12+真實IC!BS12</f>
        <v/>
      </c>
      <c r="BT12" s="2">
        <f>BS12+真實IC!BT12</f>
        <v/>
      </c>
      <c r="BU12" s="2">
        <f>BT12+真實IC!BU12</f>
        <v/>
      </c>
      <c r="BV12" s="2">
        <f>BU12+真實IC!BV12</f>
        <v/>
      </c>
      <c r="BW12" s="2">
        <f>BV12+真實IC!BW12</f>
        <v/>
      </c>
      <c r="BX12" s="2">
        <f>BW12+真實IC!BX12</f>
        <v/>
      </c>
      <c r="BY12" s="2">
        <f>BX12+真實IC!BY12</f>
        <v/>
      </c>
      <c r="BZ12" s="2">
        <f>BY12+真實IC!BZ12</f>
        <v/>
      </c>
      <c r="CA12" s="2">
        <f>BZ12+真實IC!CA12</f>
        <v/>
      </c>
      <c r="CB12" s="2">
        <f>CA12+真實IC!CB12</f>
        <v/>
      </c>
      <c r="CC12" s="2">
        <f>CB12+真實IC!CC12</f>
        <v/>
      </c>
      <c r="CD12" s="2">
        <f>CC12+真實IC!CD12</f>
        <v/>
      </c>
      <c r="CE12" s="2">
        <f>CD12+真實IC!CE12</f>
        <v/>
      </c>
      <c r="CF12" s="2">
        <f>CE12+真實IC!CF12</f>
        <v/>
      </c>
      <c r="CG12" s="2">
        <f>CF12+真實IC!CG12</f>
        <v/>
      </c>
      <c r="CH12" s="2">
        <f>CG12+真實IC!CH12</f>
        <v/>
      </c>
      <c r="CI12" s="2">
        <f>CH12+真實IC!CI12</f>
        <v/>
      </c>
      <c r="CJ12" s="2">
        <f>CI12+真實IC!CJ12</f>
        <v/>
      </c>
      <c r="CK12" s="2">
        <f>CJ12+真實IC!CK12</f>
        <v/>
      </c>
      <c r="CL12" s="2">
        <f>CK12+真實IC!CL12</f>
        <v/>
      </c>
      <c r="CM12" s="2">
        <f>CL12+真實IC!CM12</f>
        <v/>
      </c>
      <c r="CN12" s="2">
        <f>CM12+真實IC!CN12</f>
        <v/>
      </c>
      <c r="CO12" s="2">
        <f>CN12+真實IC!CO12</f>
        <v/>
      </c>
      <c r="CP12" s="2">
        <f>CO12+真實IC!CP12</f>
        <v/>
      </c>
      <c r="CQ12" s="2">
        <f>CP12+真實IC!CQ12</f>
        <v/>
      </c>
      <c r="CR12" s="2">
        <f>CQ12+真實IC!CR12</f>
        <v/>
      </c>
      <c r="CS12" s="2">
        <f>CR12+真實IC!CS12</f>
        <v/>
      </c>
      <c r="CT12" s="2">
        <f>CS12+真實IC!CT12</f>
        <v/>
      </c>
      <c r="CU12" s="2">
        <f>CT12+真實IC!CU12</f>
        <v/>
      </c>
      <c r="CV12" s="2">
        <f>CU12+真實IC!CV12</f>
        <v/>
      </c>
      <c r="CW12" s="2">
        <f>CV12+真實IC!CW12</f>
        <v/>
      </c>
      <c r="CX12" s="2">
        <f>CW12+真實IC!CX12</f>
        <v/>
      </c>
      <c r="CY12" s="2">
        <f>CX12+真實IC!CY12</f>
        <v/>
      </c>
      <c r="CZ12" s="2">
        <f>CY12+真實IC!CZ12</f>
        <v/>
      </c>
      <c r="DA12" s="2">
        <f>CZ12+真實IC!DA12</f>
        <v/>
      </c>
      <c r="DB12" s="2">
        <f>DA12+真實IC!DB12</f>
        <v/>
      </c>
      <c r="DC12" s="2">
        <f>DB12+真實IC!DC12</f>
        <v/>
      </c>
      <c r="DD12" s="2">
        <f>DC12+真實IC!DD12</f>
        <v/>
      </c>
      <c r="DE12" s="2">
        <f>DD12+真實IC!DE12</f>
        <v/>
      </c>
      <c r="DF12" s="2">
        <f>DE12+真實IC!DF12</f>
        <v/>
      </c>
      <c r="DG12" s="2">
        <f>DF12+真實IC!DG12</f>
        <v/>
      </c>
      <c r="DH12" s="2">
        <f>DG12+真實IC!DH12</f>
        <v/>
      </c>
      <c r="DI12" s="2">
        <f>DH12+真實IC!DI12</f>
        <v/>
      </c>
      <c r="DJ12" s="2">
        <f>DI12+真實IC!DJ12</f>
        <v/>
      </c>
      <c r="DK12" s="2">
        <f>DJ12+真實IC!DK12</f>
        <v/>
      </c>
      <c r="DL12" s="2">
        <f>DK12+真實IC!DL12</f>
        <v/>
      </c>
      <c r="DM12" s="2">
        <f>DL12+真實IC!DM12</f>
        <v/>
      </c>
      <c r="DN12" s="2">
        <f>DM12+真實IC!DN12</f>
        <v/>
      </c>
      <c r="DO12" s="2">
        <f>DN12+真實IC!DO12</f>
        <v/>
      </c>
      <c r="DP12" s="2">
        <f>DO12+真實IC!DP12</f>
        <v/>
      </c>
      <c r="DQ12" s="2">
        <f>DP12+真實IC!DQ12</f>
        <v/>
      </c>
      <c r="DR12" s="2">
        <f>DQ12+真實IC!DR12</f>
        <v/>
      </c>
      <c r="DS12" s="2">
        <f>DR12+真實IC!DS12</f>
        <v/>
      </c>
      <c r="DT12" s="2">
        <f>DS12+真實IC!DT12</f>
        <v/>
      </c>
      <c r="DU12" s="2">
        <f>DT12+真實IC!DU12</f>
        <v/>
      </c>
      <c r="DV12" s="2">
        <f>DU12+真實IC!DV12</f>
        <v/>
      </c>
      <c r="DW12" s="2">
        <f>DV12+真實IC!DW12</f>
        <v/>
      </c>
      <c r="DX12" s="2">
        <f>DW12+真實IC!DX12</f>
        <v/>
      </c>
      <c r="DY12" s="2">
        <f>DX12+真實IC!DY12</f>
        <v/>
      </c>
      <c r="DZ12" s="2">
        <f>DY12+真實IC!DZ12</f>
        <v/>
      </c>
      <c r="EA12" s="2">
        <f>DZ12+真實IC!EA12</f>
        <v/>
      </c>
      <c r="EB12" s="2">
        <f>EA12+真實IC!EB12</f>
        <v/>
      </c>
      <c r="EC12" s="2">
        <f>EB12+真實IC!EC12</f>
        <v/>
      </c>
      <c r="ED12" s="2">
        <f>EC12+真實IC!ED12</f>
        <v/>
      </c>
      <c r="EE12" s="2">
        <f>ED12+真實IC!EE12</f>
        <v/>
      </c>
      <c r="EF12" s="2">
        <f>EE12+真實IC!EF12</f>
        <v/>
      </c>
      <c r="EG12" s="2">
        <f>EF12+真實IC!EG12</f>
        <v/>
      </c>
      <c r="EH12" s="2">
        <f>EG12+真實IC!EH12</f>
        <v/>
      </c>
      <c r="EI12" s="2">
        <f>EH12+真實IC!EI12</f>
        <v/>
      </c>
      <c r="EJ12" s="2">
        <f>EI12+真實IC!EJ12</f>
        <v/>
      </c>
      <c r="EK12" s="2">
        <f>EJ12+真實IC!EK12</f>
        <v/>
      </c>
      <c r="EL12" s="2">
        <f>EK12+真實IC!EL12</f>
        <v/>
      </c>
    </row>
    <row r="13">
      <c r="A13" s="13" t="n"/>
      <c r="B13" s="13" t="n">
        <v>20</v>
      </c>
      <c r="C13" s="2" t="n">
        <v>0.1210777616647176</v>
      </c>
      <c r="D13" s="2">
        <f>C13+真實IC!D13</f>
        <v/>
      </c>
      <c r="E13" s="2">
        <f>D13+真實IC!E13</f>
        <v/>
      </c>
      <c r="F13" s="2">
        <f>E13+真實IC!F13</f>
        <v/>
      </c>
      <c r="G13" s="2">
        <f>F13+真實IC!G13</f>
        <v/>
      </c>
      <c r="H13" s="2">
        <f>G13+真實IC!H13</f>
        <v/>
      </c>
      <c r="I13" s="2">
        <f>H13+真實IC!I13</f>
        <v/>
      </c>
      <c r="J13" s="2">
        <f>I13+真實IC!J13</f>
        <v/>
      </c>
      <c r="K13" s="2">
        <f>J13+真實IC!K13</f>
        <v/>
      </c>
      <c r="L13" s="2">
        <f>K13+真實IC!L13</f>
        <v/>
      </c>
      <c r="M13" s="2">
        <f>L13+真實IC!M13</f>
        <v/>
      </c>
      <c r="N13" s="2">
        <f>M13+真實IC!N13</f>
        <v/>
      </c>
      <c r="O13" s="2">
        <f>N13+真實IC!O13</f>
        <v/>
      </c>
      <c r="P13" s="2">
        <f>O13+真實IC!P13</f>
        <v/>
      </c>
      <c r="Q13" s="2">
        <f>P13+真實IC!Q13</f>
        <v/>
      </c>
      <c r="R13" s="2">
        <f>Q13+真實IC!R13</f>
        <v/>
      </c>
      <c r="S13" s="2">
        <f>R13+真實IC!S13</f>
        <v/>
      </c>
      <c r="T13" s="2">
        <f>S13+真實IC!T13</f>
        <v/>
      </c>
      <c r="U13" s="2">
        <f>T13+真實IC!U13</f>
        <v/>
      </c>
      <c r="V13" s="2">
        <f>U13+真實IC!V13</f>
        <v/>
      </c>
      <c r="W13" s="2">
        <f>V13+真實IC!W13</f>
        <v/>
      </c>
      <c r="X13" s="2">
        <f>W13+真實IC!X13</f>
        <v/>
      </c>
      <c r="Y13" s="2">
        <f>X13+真實IC!Y13</f>
        <v/>
      </c>
      <c r="Z13" s="2">
        <f>Y13+真實IC!Z13</f>
        <v/>
      </c>
      <c r="AA13" s="2">
        <f>Z13+真實IC!AA13</f>
        <v/>
      </c>
      <c r="AB13" s="2">
        <f>AA13+真實IC!AB13</f>
        <v/>
      </c>
      <c r="AC13" s="2">
        <f>AB13+真實IC!AC13</f>
        <v/>
      </c>
      <c r="AD13" s="2">
        <f>AC13+真實IC!AD13</f>
        <v/>
      </c>
      <c r="AE13" s="2">
        <f>AD13+真實IC!AE13</f>
        <v/>
      </c>
      <c r="AF13" s="2">
        <f>AE13+真實IC!AF13</f>
        <v/>
      </c>
      <c r="AG13" s="2">
        <f>AF13+真實IC!AG13</f>
        <v/>
      </c>
      <c r="AH13" s="2">
        <f>AG13+真實IC!AH13</f>
        <v/>
      </c>
      <c r="AI13" s="2">
        <f>AH13+真實IC!AI13</f>
        <v/>
      </c>
      <c r="AJ13" s="2">
        <f>AI13+真實IC!AJ13</f>
        <v/>
      </c>
      <c r="AK13" s="2">
        <f>AJ13+真實IC!AK13</f>
        <v/>
      </c>
      <c r="AL13" s="2">
        <f>AK13+真實IC!AL13</f>
        <v/>
      </c>
      <c r="AM13" s="2">
        <f>AL13+真實IC!AM13</f>
        <v/>
      </c>
      <c r="AN13" s="2">
        <f>AM13+真實IC!AN13</f>
        <v/>
      </c>
      <c r="AO13" s="2">
        <f>AN13+真實IC!AO13</f>
        <v/>
      </c>
      <c r="AP13" s="2">
        <f>AO13+真實IC!AP13</f>
        <v/>
      </c>
      <c r="AQ13" s="2">
        <f>AP13+真實IC!AQ13</f>
        <v/>
      </c>
      <c r="AR13" s="2">
        <f>AQ13+真實IC!AR13</f>
        <v/>
      </c>
      <c r="AS13" s="2">
        <f>AR13+真實IC!AS13</f>
        <v/>
      </c>
      <c r="AT13" s="2">
        <f>AS13+真實IC!AT13</f>
        <v/>
      </c>
      <c r="AU13" s="2">
        <f>AT13+真實IC!AU13</f>
        <v/>
      </c>
      <c r="AV13" s="2">
        <f>AU13+真實IC!AV13</f>
        <v/>
      </c>
      <c r="AW13" s="2">
        <f>AV13+真實IC!AW13</f>
        <v/>
      </c>
      <c r="AX13" s="2">
        <f>AW13+真實IC!AX13</f>
        <v/>
      </c>
      <c r="AY13" s="2">
        <f>AX13+真實IC!AY13</f>
        <v/>
      </c>
      <c r="AZ13" s="2">
        <f>AY13+真實IC!AZ13</f>
        <v/>
      </c>
      <c r="BA13" s="2">
        <f>AZ13+真實IC!BA13</f>
        <v/>
      </c>
      <c r="BB13" s="2">
        <f>BA13+真實IC!BB13</f>
        <v/>
      </c>
      <c r="BC13" s="2">
        <f>BB13+真實IC!BC13</f>
        <v/>
      </c>
      <c r="BD13" s="2">
        <f>BC13+真實IC!BD13</f>
        <v/>
      </c>
      <c r="BE13" s="2">
        <f>BD13+真實IC!BE13</f>
        <v/>
      </c>
      <c r="BF13" s="2">
        <f>BE13+真實IC!BF13</f>
        <v/>
      </c>
      <c r="BG13" s="2">
        <f>BF13+真實IC!BG13</f>
        <v/>
      </c>
      <c r="BH13" s="2">
        <f>BG13+真實IC!BH13</f>
        <v/>
      </c>
      <c r="BI13" s="2">
        <f>BH13+真實IC!BI13</f>
        <v/>
      </c>
      <c r="BJ13" s="2">
        <f>BI13+真實IC!BJ13</f>
        <v/>
      </c>
      <c r="BK13" s="2">
        <f>BJ13+真實IC!BK13</f>
        <v/>
      </c>
      <c r="BL13" s="2">
        <f>BK13+真實IC!BL13</f>
        <v/>
      </c>
      <c r="BM13" s="2">
        <f>BL13+真實IC!BM13</f>
        <v/>
      </c>
      <c r="BN13" s="2">
        <f>BM13+真實IC!BN13</f>
        <v/>
      </c>
      <c r="BO13" s="2">
        <f>BN13+真實IC!BO13</f>
        <v/>
      </c>
      <c r="BP13" s="2">
        <f>BO13+真實IC!BP13</f>
        <v/>
      </c>
      <c r="BQ13" s="2">
        <f>BP13+真實IC!BQ13</f>
        <v/>
      </c>
      <c r="BR13" s="2">
        <f>BQ13+真實IC!BR13</f>
        <v/>
      </c>
      <c r="BS13" s="2">
        <f>BR13+真實IC!BS13</f>
        <v/>
      </c>
      <c r="BT13" s="2">
        <f>BS13+真實IC!BT13</f>
        <v/>
      </c>
      <c r="BU13" s="2">
        <f>BT13+真實IC!BU13</f>
        <v/>
      </c>
      <c r="BV13" s="2">
        <f>BU13+真實IC!BV13</f>
        <v/>
      </c>
      <c r="BW13" s="2">
        <f>BV13+真實IC!BW13</f>
        <v/>
      </c>
      <c r="BX13" s="2">
        <f>BW13+真實IC!BX13</f>
        <v/>
      </c>
      <c r="BY13" s="2">
        <f>BX13+真實IC!BY13</f>
        <v/>
      </c>
      <c r="BZ13" s="2">
        <f>BY13+真實IC!BZ13</f>
        <v/>
      </c>
      <c r="CA13" s="2">
        <f>BZ13+真實IC!CA13</f>
        <v/>
      </c>
      <c r="CB13" s="2">
        <f>CA13+真實IC!CB13</f>
        <v/>
      </c>
      <c r="CC13" s="2">
        <f>CB13+真實IC!CC13</f>
        <v/>
      </c>
      <c r="CD13" s="2">
        <f>CC13+真實IC!CD13</f>
        <v/>
      </c>
      <c r="CE13" s="2">
        <f>CD13+真實IC!CE13</f>
        <v/>
      </c>
      <c r="CF13" s="2">
        <f>CE13+真實IC!CF13</f>
        <v/>
      </c>
      <c r="CG13" s="2">
        <f>CF13+真實IC!CG13</f>
        <v/>
      </c>
      <c r="CH13" s="2">
        <f>CG13+真實IC!CH13</f>
        <v/>
      </c>
      <c r="CI13" s="2">
        <f>CH13+真實IC!CI13</f>
        <v/>
      </c>
      <c r="CJ13" s="2">
        <f>CI13+真實IC!CJ13</f>
        <v/>
      </c>
      <c r="CK13" s="2">
        <f>CJ13+真實IC!CK13</f>
        <v/>
      </c>
      <c r="CL13" s="2">
        <f>CK13+真實IC!CL13</f>
        <v/>
      </c>
      <c r="CM13" s="2">
        <f>CL13+真實IC!CM13</f>
        <v/>
      </c>
      <c r="CN13" s="2">
        <f>CM13+真實IC!CN13</f>
        <v/>
      </c>
      <c r="CO13" s="2">
        <f>CN13+真實IC!CO13</f>
        <v/>
      </c>
      <c r="CP13" s="2">
        <f>CO13+真實IC!CP13</f>
        <v/>
      </c>
      <c r="CQ13" s="2">
        <f>CP13+真實IC!CQ13</f>
        <v/>
      </c>
      <c r="CR13" s="2">
        <f>CQ13+真實IC!CR13</f>
        <v/>
      </c>
      <c r="CS13" s="2">
        <f>CR13+真實IC!CS13</f>
        <v/>
      </c>
      <c r="CT13" s="2">
        <f>CS13+真實IC!CT13</f>
        <v/>
      </c>
      <c r="CU13" s="2">
        <f>CT13+真實IC!CU13</f>
        <v/>
      </c>
      <c r="CV13" s="2">
        <f>CU13+真實IC!CV13</f>
        <v/>
      </c>
      <c r="CW13" s="2">
        <f>CV13+真實IC!CW13</f>
        <v/>
      </c>
      <c r="CX13" s="2">
        <f>CW13+真實IC!CX13</f>
        <v/>
      </c>
      <c r="CY13" s="2">
        <f>CX13+真實IC!CY13</f>
        <v/>
      </c>
      <c r="CZ13" s="2">
        <f>CY13+真實IC!CZ13</f>
        <v/>
      </c>
      <c r="DA13" s="2">
        <f>CZ13+真實IC!DA13</f>
        <v/>
      </c>
      <c r="DB13" s="2">
        <f>DA13+真實IC!DB13</f>
        <v/>
      </c>
      <c r="DC13" s="2">
        <f>DB13+真實IC!DC13</f>
        <v/>
      </c>
      <c r="DD13" s="2">
        <f>DC13+真實IC!DD13</f>
        <v/>
      </c>
      <c r="DE13" s="2">
        <f>DD13+真實IC!DE13</f>
        <v/>
      </c>
      <c r="DF13" s="2">
        <f>DE13+真實IC!DF13</f>
        <v/>
      </c>
      <c r="DG13" s="2">
        <f>DF13+真實IC!DG13</f>
        <v/>
      </c>
      <c r="DH13" s="2">
        <f>DG13+真實IC!DH13</f>
        <v/>
      </c>
      <c r="DI13" s="2">
        <f>DH13+真實IC!DI13</f>
        <v/>
      </c>
      <c r="DJ13" s="2">
        <f>DI13+真實IC!DJ13</f>
        <v/>
      </c>
      <c r="DK13" s="2">
        <f>DJ13+真實IC!DK13</f>
        <v/>
      </c>
      <c r="DL13" s="2">
        <f>DK13+真實IC!DL13</f>
        <v/>
      </c>
      <c r="DM13" s="2">
        <f>DL13+真實IC!DM13</f>
        <v/>
      </c>
      <c r="DN13" s="2">
        <f>DM13+真實IC!DN13</f>
        <v/>
      </c>
      <c r="DO13" s="2">
        <f>DN13+真實IC!DO13</f>
        <v/>
      </c>
      <c r="DP13" s="2">
        <f>DO13+真實IC!DP13</f>
        <v/>
      </c>
      <c r="DQ13" s="2">
        <f>DP13+真實IC!DQ13</f>
        <v/>
      </c>
      <c r="DR13" s="2">
        <f>DQ13+真實IC!DR13</f>
        <v/>
      </c>
      <c r="DS13" s="2">
        <f>DR13+真實IC!DS13</f>
        <v/>
      </c>
      <c r="DT13" s="2">
        <f>DS13+真實IC!DT13</f>
        <v/>
      </c>
      <c r="DU13" s="2">
        <f>DT13+真實IC!DU13</f>
        <v/>
      </c>
      <c r="DV13" s="2">
        <f>DU13+真實IC!DV13</f>
        <v/>
      </c>
      <c r="DW13" s="2">
        <f>DV13+真實IC!DW13</f>
        <v/>
      </c>
      <c r="DX13" s="2">
        <f>DW13+真實IC!DX13</f>
        <v/>
      </c>
      <c r="DY13" s="2">
        <f>DX13+真實IC!DY13</f>
        <v/>
      </c>
      <c r="DZ13" s="2">
        <f>DY13+真實IC!DZ13</f>
        <v/>
      </c>
      <c r="EA13" s="2">
        <f>DZ13+真實IC!EA13</f>
        <v/>
      </c>
      <c r="EB13" s="2">
        <f>EA13+真實IC!EB13</f>
        <v/>
      </c>
      <c r="EC13" s="2">
        <f>EB13+真實IC!EC13</f>
        <v/>
      </c>
      <c r="ED13" s="2">
        <f>EC13+真實IC!ED13</f>
        <v/>
      </c>
      <c r="EE13" s="2">
        <f>ED13+真實IC!EE13</f>
        <v/>
      </c>
      <c r="EF13" s="2">
        <f>EE13+真實IC!EF13</f>
        <v/>
      </c>
      <c r="EG13" s="2">
        <f>EF13+真實IC!EG13</f>
        <v/>
      </c>
      <c r="EH13" s="2">
        <f>EG13+真實IC!EH13</f>
        <v/>
      </c>
      <c r="EI13" s="2">
        <f>EH13+真實IC!EI13</f>
        <v/>
      </c>
      <c r="EJ13" s="2">
        <f>EI13+真實IC!EJ13</f>
        <v/>
      </c>
      <c r="EK13" s="2">
        <f>EJ13+真實IC!EK13</f>
        <v/>
      </c>
      <c r="EL13" s="2">
        <f>EK13+真實IC!EL13</f>
        <v/>
      </c>
    </row>
    <row r="14">
      <c r="A14" s="13" t="n"/>
      <c r="B14" s="13" t="n">
        <v>50</v>
      </c>
      <c r="C14" s="2" t="n">
        <v>0.1322051333097304</v>
      </c>
      <c r="D14" s="2">
        <f>C14+真實IC!D14</f>
        <v/>
      </c>
      <c r="E14" s="2">
        <f>D14+真實IC!E14</f>
        <v/>
      </c>
      <c r="F14" s="2">
        <f>E14+真實IC!F14</f>
        <v/>
      </c>
      <c r="G14" s="2">
        <f>F14+真實IC!G14</f>
        <v/>
      </c>
      <c r="H14" s="2">
        <f>G14+真實IC!H14</f>
        <v/>
      </c>
      <c r="I14" s="2">
        <f>H14+真實IC!I14</f>
        <v/>
      </c>
      <c r="J14" s="2">
        <f>I14+真實IC!J14</f>
        <v/>
      </c>
      <c r="K14" s="2">
        <f>J14+真實IC!K14</f>
        <v/>
      </c>
      <c r="L14" s="2">
        <f>K14+真實IC!L14</f>
        <v/>
      </c>
      <c r="M14" s="2">
        <f>L14+真實IC!M14</f>
        <v/>
      </c>
      <c r="N14" s="2">
        <f>M14+真實IC!N14</f>
        <v/>
      </c>
      <c r="O14" s="2">
        <f>N14+真實IC!O14</f>
        <v/>
      </c>
      <c r="P14" s="2">
        <f>O14+真實IC!P14</f>
        <v/>
      </c>
      <c r="Q14" s="2">
        <f>P14+真實IC!Q14</f>
        <v/>
      </c>
      <c r="R14" s="2">
        <f>Q14+真實IC!R14</f>
        <v/>
      </c>
      <c r="S14" s="2">
        <f>R14+真實IC!S14</f>
        <v/>
      </c>
      <c r="T14" s="2">
        <f>S14+真實IC!T14</f>
        <v/>
      </c>
      <c r="U14" s="2">
        <f>T14+真實IC!U14</f>
        <v/>
      </c>
      <c r="V14" s="2">
        <f>U14+真實IC!V14</f>
        <v/>
      </c>
      <c r="W14" s="2">
        <f>V14+真實IC!W14</f>
        <v/>
      </c>
      <c r="X14" s="2">
        <f>W14+真實IC!X14</f>
        <v/>
      </c>
      <c r="Y14" s="2">
        <f>X14+真實IC!Y14</f>
        <v/>
      </c>
      <c r="Z14" s="2">
        <f>Y14+真實IC!Z14</f>
        <v/>
      </c>
      <c r="AA14" s="2">
        <f>Z14+真實IC!AA14</f>
        <v/>
      </c>
      <c r="AB14" s="2">
        <f>AA14+真實IC!AB14</f>
        <v/>
      </c>
      <c r="AC14" s="2">
        <f>AB14+真實IC!AC14</f>
        <v/>
      </c>
      <c r="AD14" s="2">
        <f>AC14+真實IC!AD14</f>
        <v/>
      </c>
      <c r="AE14" s="2">
        <f>AD14+真實IC!AE14</f>
        <v/>
      </c>
      <c r="AF14" s="2">
        <f>AE14+真實IC!AF14</f>
        <v/>
      </c>
      <c r="AG14" s="2">
        <f>AF14+真實IC!AG14</f>
        <v/>
      </c>
      <c r="AH14" s="2">
        <f>AG14+真實IC!AH14</f>
        <v/>
      </c>
      <c r="AI14" s="2">
        <f>AH14+真實IC!AI14</f>
        <v/>
      </c>
      <c r="AJ14" s="2">
        <f>AI14+真實IC!AJ14</f>
        <v/>
      </c>
      <c r="AK14" s="2">
        <f>AJ14+真實IC!AK14</f>
        <v/>
      </c>
      <c r="AL14" s="2">
        <f>AK14+真實IC!AL14</f>
        <v/>
      </c>
      <c r="AM14" s="2">
        <f>AL14+真實IC!AM14</f>
        <v/>
      </c>
      <c r="AN14" s="2">
        <f>AM14+真實IC!AN14</f>
        <v/>
      </c>
      <c r="AO14" s="2">
        <f>AN14+真實IC!AO14</f>
        <v/>
      </c>
      <c r="AP14" s="2">
        <f>AO14+真實IC!AP14</f>
        <v/>
      </c>
      <c r="AQ14" s="2">
        <f>AP14+真實IC!AQ14</f>
        <v/>
      </c>
      <c r="AR14" s="2">
        <f>AQ14+真實IC!AR14</f>
        <v/>
      </c>
      <c r="AS14" s="2">
        <f>AR14+真實IC!AS14</f>
        <v/>
      </c>
      <c r="AT14" s="2">
        <f>AS14+真實IC!AT14</f>
        <v/>
      </c>
      <c r="AU14" s="2">
        <f>AT14+真實IC!AU14</f>
        <v/>
      </c>
      <c r="AV14" s="2">
        <f>AU14+真實IC!AV14</f>
        <v/>
      </c>
      <c r="AW14" s="2">
        <f>AV14+真實IC!AW14</f>
        <v/>
      </c>
      <c r="AX14" s="2">
        <f>AW14+真實IC!AX14</f>
        <v/>
      </c>
      <c r="AY14" s="2">
        <f>AX14+真實IC!AY14</f>
        <v/>
      </c>
      <c r="AZ14" s="2">
        <f>AY14+真實IC!AZ14</f>
        <v/>
      </c>
      <c r="BA14" s="2">
        <f>AZ14+真實IC!BA14</f>
        <v/>
      </c>
      <c r="BB14" s="2">
        <f>BA14+真實IC!BB14</f>
        <v/>
      </c>
      <c r="BC14" s="2">
        <f>BB14+真實IC!BC14</f>
        <v/>
      </c>
      <c r="BD14" s="2">
        <f>BC14+真實IC!BD14</f>
        <v/>
      </c>
      <c r="BE14" s="2">
        <f>BD14+真實IC!BE14</f>
        <v/>
      </c>
      <c r="BF14" s="2">
        <f>BE14+真實IC!BF14</f>
        <v/>
      </c>
      <c r="BG14" s="2">
        <f>BF14+真實IC!BG14</f>
        <v/>
      </c>
      <c r="BH14" s="2">
        <f>BG14+真實IC!BH14</f>
        <v/>
      </c>
      <c r="BI14" s="2">
        <f>BH14+真實IC!BI14</f>
        <v/>
      </c>
      <c r="BJ14" s="2">
        <f>BI14+真實IC!BJ14</f>
        <v/>
      </c>
      <c r="BK14" s="2">
        <f>BJ14+真實IC!BK14</f>
        <v/>
      </c>
      <c r="BL14" s="2">
        <f>BK14+真實IC!BL14</f>
        <v/>
      </c>
      <c r="BM14" s="2">
        <f>BL14+真實IC!BM14</f>
        <v/>
      </c>
      <c r="BN14" s="2">
        <f>BM14+真實IC!BN14</f>
        <v/>
      </c>
      <c r="BO14" s="2">
        <f>BN14+真實IC!BO14</f>
        <v/>
      </c>
      <c r="BP14" s="2">
        <f>BO14+真實IC!BP14</f>
        <v/>
      </c>
      <c r="BQ14" s="2">
        <f>BP14+真實IC!BQ14</f>
        <v/>
      </c>
      <c r="BR14" s="2">
        <f>BQ14+真實IC!BR14</f>
        <v/>
      </c>
      <c r="BS14" s="2">
        <f>BR14+真實IC!BS14</f>
        <v/>
      </c>
      <c r="BT14" s="2">
        <f>BS14+真實IC!BT14</f>
        <v/>
      </c>
      <c r="BU14" s="2">
        <f>BT14+真實IC!BU14</f>
        <v/>
      </c>
      <c r="BV14" s="2">
        <f>BU14+真實IC!BV14</f>
        <v/>
      </c>
      <c r="BW14" s="2">
        <f>BV14+真實IC!BW14</f>
        <v/>
      </c>
      <c r="BX14" s="2">
        <f>BW14+真實IC!BX14</f>
        <v/>
      </c>
      <c r="BY14" s="2">
        <f>BX14+真實IC!BY14</f>
        <v/>
      </c>
      <c r="BZ14" s="2">
        <f>BY14+真實IC!BZ14</f>
        <v/>
      </c>
      <c r="CA14" s="2">
        <f>BZ14+真實IC!CA14</f>
        <v/>
      </c>
      <c r="CB14" s="2">
        <f>CA14+真實IC!CB14</f>
        <v/>
      </c>
      <c r="CC14" s="2">
        <f>CB14+真實IC!CC14</f>
        <v/>
      </c>
      <c r="CD14" s="2">
        <f>CC14+真實IC!CD14</f>
        <v/>
      </c>
      <c r="CE14" s="2">
        <f>CD14+真實IC!CE14</f>
        <v/>
      </c>
      <c r="CF14" s="2">
        <f>CE14+真實IC!CF14</f>
        <v/>
      </c>
      <c r="CG14" s="2">
        <f>CF14+真實IC!CG14</f>
        <v/>
      </c>
      <c r="CH14" s="2">
        <f>CG14+真實IC!CH14</f>
        <v/>
      </c>
      <c r="CI14" s="2">
        <f>CH14+真實IC!CI14</f>
        <v/>
      </c>
      <c r="CJ14" s="2">
        <f>CI14+真實IC!CJ14</f>
        <v/>
      </c>
      <c r="CK14" s="2">
        <f>CJ14+真實IC!CK14</f>
        <v/>
      </c>
      <c r="CL14" s="2">
        <f>CK14+真實IC!CL14</f>
        <v/>
      </c>
      <c r="CM14" s="2">
        <f>CL14+真實IC!CM14</f>
        <v/>
      </c>
      <c r="CN14" s="2">
        <f>CM14+真實IC!CN14</f>
        <v/>
      </c>
      <c r="CO14" s="2">
        <f>CN14+真實IC!CO14</f>
        <v/>
      </c>
      <c r="CP14" s="2">
        <f>CO14+真實IC!CP14</f>
        <v/>
      </c>
      <c r="CQ14" s="2">
        <f>CP14+真實IC!CQ14</f>
        <v/>
      </c>
      <c r="CR14" s="2">
        <f>CQ14+真實IC!CR14</f>
        <v/>
      </c>
      <c r="CS14" s="2">
        <f>CR14+真實IC!CS14</f>
        <v/>
      </c>
      <c r="CT14" s="2">
        <f>CS14+真實IC!CT14</f>
        <v/>
      </c>
      <c r="CU14" s="2">
        <f>CT14+真實IC!CU14</f>
        <v/>
      </c>
      <c r="CV14" s="2">
        <f>CU14+真實IC!CV14</f>
        <v/>
      </c>
      <c r="CW14" s="2">
        <f>CV14+真實IC!CW14</f>
        <v/>
      </c>
      <c r="CX14" s="2">
        <f>CW14+真實IC!CX14</f>
        <v/>
      </c>
      <c r="CY14" s="2">
        <f>CX14+真實IC!CY14</f>
        <v/>
      </c>
      <c r="CZ14" s="2">
        <f>CY14+真實IC!CZ14</f>
        <v/>
      </c>
      <c r="DA14" s="2">
        <f>CZ14+真實IC!DA14</f>
        <v/>
      </c>
      <c r="DB14" s="2">
        <f>DA14+真實IC!DB14</f>
        <v/>
      </c>
      <c r="DC14" s="2">
        <f>DB14+真實IC!DC14</f>
        <v/>
      </c>
      <c r="DD14" s="2">
        <f>DC14+真實IC!DD14</f>
        <v/>
      </c>
      <c r="DE14" s="2">
        <f>DD14+真實IC!DE14</f>
        <v/>
      </c>
      <c r="DF14" s="2">
        <f>DE14+真實IC!DF14</f>
        <v/>
      </c>
      <c r="DG14" s="2">
        <f>DF14+真實IC!DG14</f>
        <v/>
      </c>
      <c r="DH14" s="2">
        <f>DG14+真實IC!DH14</f>
        <v/>
      </c>
      <c r="DI14" s="2">
        <f>DH14+真實IC!DI14</f>
        <v/>
      </c>
      <c r="DJ14" s="2">
        <f>DI14+真實IC!DJ14</f>
        <v/>
      </c>
      <c r="DK14" s="2">
        <f>DJ14+真實IC!DK14</f>
        <v/>
      </c>
      <c r="DL14" s="2">
        <f>DK14+真實IC!DL14</f>
        <v/>
      </c>
      <c r="DM14" s="2">
        <f>DL14+真實IC!DM14</f>
        <v/>
      </c>
      <c r="DN14" s="2">
        <f>DM14+真實IC!DN14</f>
        <v/>
      </c>
      <c r="DO14" s="2">
        <f>DN14+真實IC!DO14</f>
        <v/>
      </c>
      <c r="DP14" s="2">
        <f>DO14+真實IC!DP14</f>
        <v/>
      </c>
      <c r="DQ14" s="2">
        <f>DP14+真實IC!DQ14</f>
        <v/>
      </c>
      <c r="DR14" s="2">
        <f>DQ14+真實IC!DR14</f>
        <v/>
      </c>
      <c r="DS14" s="2">
        <f>DR14+真實IC!DS14</f>
        <v/>
      </c>
      <c r="DT14" s="2">
        <f>DS14+真實IC!DT14</f>
        <v/>
      </c>
      <c r="DU14" s="2">
        <f>DT14+真實IC!DU14</f>
        <v/>
      </c>
      <c r="DV14" s="2">
        <f>DU14+真實IC!DV14</f>
        <v/>
      </c>
      <c r="DW14" s="2">
        <f>DV14+真實IC!DW14</f>
        <v/>
      </c>
      <c r="DX14" s="2">
        <f>DW14+真實IC!DX14</f>
        <v/>
      </c>
      <c r="DY14" s="2">
        <f>DX14+真實IC!DY14</f>
        <v/>
      </c>
      <c r="DZ14" s="2">
        <f>DY14+真實IC!DZ14</f>
        <v/>
      </c>
      <c r="EA14" s="2">
        <f>DZ14+真實IC!EA14</f>
        <v/>
      </c>
      <c r="EB14" s="2">
        <f>EA14+真實IC!EB14</f>
        <v/>
      </c>
      <c r="EC14" s="2">
        <f>EB14+真實IC!EC14</f>
        <v/>
      </c>
      <c r="ED14" s="2">
        <f>EC14+真實IC!ED14</f>
        <v/>
      </c>
      <c r="EE14" s="2">
        <f>ED14+真實IC!EE14</f>
        <v/>
      </c>
      <c r="EF14" s="2">
        <f>EE14+真實IC!EF14</f>
        <v/>
      </c>
      <c r="EG14" s="2">
        <f>EF14+真實IC!EG14</f>
        <v/>
      </c>
      <c r="EH14" s="2">
        <f>EG14+真實IC!EH14</f>
        <v/>
      </c>
      <c r="EI14" s="2">
        <f>EH14+真實IC!EI14</f>
        <v/>
      </c>
      <c r="EJ14" s="2">
        <f>EI14+真實IC!EJ14</f>
        <v/>
      </c>
      <c r="EK14" s="2">
        <f>EJ14+真實IC!EK14</f>
        <v/>
      </c>
      <c r="EL14" s="2">
        <f>EK14+真實IC!EL14</f>
        <v/>
      </c>
    </row>
    <row r="15">
      <c r="A15" s="13" t="n"/>
      <c r="B15" s="13" t="n">
        <v>110</v>
      </c>
      <c r="C15" s="2" t="n">
        <v>0.2415584226424828</v>
      </c>
      <c r="D15" s="2">
        <f>C15+真實IC!D15</f>
        <v/>
      </c>
      <c r="E15" s="2">
        <f>D15+真實IC!E15</f>
        <v/>
      </c>
      <c r="F15" s="2">
        <f>E15+真實IC!F15</f>
        <v/>
      </c>
      <c r="G15" s="2">
        <f>F15+真實IC!G15</f>
        <v/>
      </c>
      <c r="H15" s="2">
        <f>G15+真實IC!H15</f>
        <v/>
      </c>
      <c r="I15" s="2">
        <f>H15+真實IC!I15</f>
        <v/>
      </c>
      <c r="J15" s="2">
        <f>I15+真實IC!J15</f>
        <v/>
      </c>
      <c r="K15" s="2">
        <f>J15+真實IC!K15</f>
        <v/>
      </c>
      <c r="L15" s="2">
        <f>K15+真實IC!L15</f>
        <v/>
      </c>
      <c r="M15" s="2">
        <f>L15+真實IC!M15</f>
        <v/>
      </c>
      <c r="N15" s="2">
        <f>M15+真實IC!N15</f>
        <v/>
      </c>
      <c r="O15" s="2">
        <f>N15+真實IC!O15</f>
        <v/>
      </c>
      <c r="P15" s="2">
        <f>O15+真實IC!P15</f>
        <v/>
      </c>
      <c r="Q15" s="2">
        <f>P15+真實IC!Q15</f>
        <v/>
      </c>
      <c r="R15" s="2">
        <f>Q15+真實IC!R15</f>
        <v/>
      </c>
      <c r="S15" s="2">
        <f>R15+真實IC!S15</f>
        <v/>
      </c>
      <c r="T15" s="2">
        <f>S15+真實IC!T15</f>
        <v/>
      </c>
      <c r="U15" s="2">
        <f>T15+真實IC!U15</f>
        <v/>
      </c>
      <c r="V15" s="2">
        <f>U15+真實IC!V15</f>
        <v/>
      </c>
      <c r="W15" s="2">
        <f>V15+真實IC!W15</f>
        <v/>
      </c>
      <c r="X15" s="2">
        <f>W15+真實IC!X15</f>
        <v/>
      </c>
      <c r="Y15" s="2">
        <f>X15+真實IC!Y15</f>
        <v/>
      </c>
      <c r="Z15" s="2">
        <f>Y15+真實IC!Z15</f>
        <v/>
      </c>
      <c r="AA15" s="2">
        <f>Z15+真實IC!AA15</f>
        <v/>
      </c>
      <c r="AB15" s="2">
        <f>AA15+真實IC!AB15</f>
        <v/>
      </c>
      <c r="AC15" s="2">
        <f>AB15+真實IC!AC15</f>
        <v/>
      </c>
      <c r="AD15" s="2">
        <f>AC15+真實IC!AD15</f>
        <v/>
      </c>
      <c r="AE15" s="2">
        <f>AD15+真實IC!AE15</f>
        <v/>
      </c>
      <c r="AF15" s="2">
        <f>AE15+真實IC!AF15</f>
        <v/>
      </c>
      <c r="AG15" s="2">
        <f>AF15+真實IC!AG15</f>
        <v/>
      </c>
      <c r="AH15" s="2">
        <f>AG15+真實IC!AH15</f>
        <v/>
      </c>
      <c r="AI15" s="2">
        <f>AH15+真實IC!AI15</f>
        <v/>
      </c>
      <c r="AJ15" s="2">
        <f>AI15+真實IC!AJ15</f>
        <v/>
      </c>
      <c r="AK15" s="2">
        <f>AJ15+真實IC!AK15</f>
        <v/>
      </c>
      <c r="AL15" s="2">
        <f>AK15+真實IC!AL15</f>
        <v/>
      </c>
      <c r="AM15" s="2">
        <f>AL15+真實IC!AM15</f>
        <v/>
      </c>
      <c r="AN15" s="2">
        <f>AM15+真實IC!AN15</f>
        <v/>
      </c>
      <c r="AO15" s="2">
        <f>AN15+真實IC!AO15</f>
        <v/>
      </c>
      <c r="AP15" s="2">
        <f>AO15+真實IC!AP15</f>
        <v/>
      </c>
      <c r="AQ15" s="2">
        <f>AP15+真實IC!AQ15</f>
        <v/>
      </c>
      <c r="AR15" s="2">
        <f>AQ15+真實IC!AR15</f>
        <v/>
      </c>
      <c r="AS15" s="2">
        <f>AR15+真實IC!AS15</f>
        <v/>
      </c>
      <c r="AT15" s="2">
        <f>AS15+真實IC!AT15</f>
        <v/>
      </c>
      <c r="AU15" s="2">
        <f>AT15+真實IC!AU15</f>
        <v/>
      </c>
      <c r="AV15" s="2">
        <f>AU15+真實IC!AV15</f>
        <v/>
      </c>
      <c r="AW15" s="2">
        <f>AV15+真實IC!AW15</f>
        <v/>
      </c>
      <c r="AX15" s="2">
        <f>AW15+真實IC!AX15</f>
        <v/>
      </c>
      <c r="AY15" s="2">
        <f>AX15+真實IC!AY15</f>
        <v/>
      </c>
      <c r="AZ15" s="2">
        <f>AY15+真實IC!AZ15</f>
        <v/>
      </c>
      <c r="BA15" s="2">
        <f>AZ15+真實IC!BA15</f>
        <v/>
      </c>
      <c r="BB15" s="2">
        <f>BA15+真實IC!BB15</f>
        <v/>
      </c>
      <c r="BC15" s="2">
        <f>BB15+真實IC!BC15</f>
        <v/>
      </c>
      <c r="BD15" s="2">
        <f>BC15+真實IC!BD15</f>
        <v/>
      </c>
      <c r="BE15" s="2">
        <f>BD15+真實IC!BE15</f>
        <v/>
      </c>
      <c r="BF15" s="2">
        <f>BE15+真實IC!BF15</f>
        <v/>
      </c>
      <c r="BG15" s="2">
        <f>BF15+真實IC!BG15</f>
        <v/>
      </c>
      <c r="BH15" s="2">
        <f>BG15+真實IC!BH15</f>
        <v/>
      </c>
      <c r="BI15" s="2">
        <f>BH15+真實IC!BI15</f>
        <v/>
      </c>
      <c r="BJ15" s="2">
        <f>BI15+真實IC!BJ15</f>
        <v/>
      </c>
      <c r="BK15" s="2">
        <f>BJ15+真實IC!BK15</f>
        <v/>
      </c>
      <c r="BL15" s="2">
        <f>BK15+真實IC!BL15</f>
        <v/>
      </c>
      <c r="BM15" s="2">
        <f>BL15+真實IC!BM15</f>
        <v/>
      </c>
      <c r="BN15" s="2">
        <f>BM15+真實IC!BN15</f>
        <v/>
      </c>
      <c r="BO15" s="2">
        <f>BN15+真實IC!BO15</f>
        <v/>
      </c>
      <c r="BP15" s="2">
        <f>BO15+真實IC!BP15</f>
        <v/>
      </c>
      <c r="BQ15" s="2">
        <f>BP15+真實IC!BQ15</f>
        <v/>
      </c>
      <c r="BR15" s="2">
        <f>BQ15+真實IC!BR15</f>
        <v/>
      </c>
      <c r="BS15" s="2">
        <f>BR15+真實IC!BS15</f>
        <v/>
      </c>
      <c r="BT15" s="2">
        <f>BS15+真實IC!BT15</f>
        <v/>
      </c>
      <c r="BU15" s="2">
        <f>BT15+真實IC!BU15</f>
        <v/>
      </c>
      <c r="BV15" s="2">
        <f>BU15+真實IC!BV15</f>
        <v/>
      </c>
      <c r="BW15" s="2">
        <f>BV15+真實IC!BW15</f>
        <v/>
      </c>
      <c r="BX15" s="2">
        <f>BW15+真實IC!BX15</f>
        <v/>
      </c>
      <c r="BY15" s="2">
        <f>BX15+真實IC!BY15</f>
        <v/>
      </c>
      <c r="BZ15" s="2">
        <f>BY15+真實IC!BZ15</f>
        <v/>
      </c>
      <c r="CA15" s="2">
        <f>BZ15+真實IC!CA15</f>
        <v/>
      </c>
      <c r="CB15" s="2">
        <f>CA15+真實IC!CB15</f>
        <v/>
      </c>
      <c r="CC15" s="2">
        <f>CB15+真實IC!CC15</f>
        <v/>
      </c>
      <c r="CD15" s="2">
        <f>CC15+真實IC!CD15</f>
        <v/>
      </c>
      <c r="CE15" s="2">
        <f>CD15+真實IC!CE15</f>
        <v/>
      </c>
      <c r="CF15" s="2">
        <f>CE15+真實IC!CF15</f>
        <v/>
      </c>
      <c r="CG15" s="2">
        <f>CF15+真實IC!CG15</f>
        <v/>
      </c>
      <c r="CH15" s="2">
        <f>CG15+真實IC!CH15</f>
        <v/>
      </c>
      <c r="CI15" s="2">
        <f>CH15+真實IC!CI15</f>
        <v/>
      </c>
      <c r="CJ15" s="2">
        <f>CI15+真實IC!CJ15</f>
        <v/>
      </c>
      <c r="CK15" s="2">
        <f>CJ15+真實IC!CK15</f>
        <v/>
      </c>
      <c r="CL15" s="2">
        <f>CK15+真實IC!CL15</f>
        <v/>
      </c>
      <c r="CM15" s="2">
        <f>CL15+真實IC!CM15</f>
        <v/>
      </c>
      <c r="CN15" s="2">
        <f>CM15+真實IC!CN15</f>
        <v/>
      </c>
      <c r="CO15" s="2">
        <f>CN15+真實IC!CO15</f>
        <v/>
      </c>
      <c r="CP15" s="2">
        <f>CO15+真實IC!CP15</f>
        <v/>
      </c>
      <c r="CQ15" s="2">
        <f>CP15+真實IC!CQ15</f>
        <v/>
      </c>
      <c r="CR15" s="2">
        <f>CQ15+真實IC!CR15</f>
        <v/>
      </c>
      <c r="CS15" s="2">
        <f>CR15+真實IC!CS15</f>
        <v/>
      </c>
      <c r="CT15" s="2">
        <f>CS15+真實IC!CT15</f>
        <v/>
      </c>
      <c r="CU15" s="2">
        <f>CT15+真實IC!CU15</f>
        <v/>
      </c>
      <c r="CV15" s="2">
        <f>CU15+真實IC!CV15</f>
        <v/>
      </c>
      <c r="CW15" s="2">
        <f>CV15+真實IC!CW15</f>
        <v/>
      </c>
      <c r="CX15" s="2">
        <f>CW15+真實IC!CX15</f>
        <v/>
      </c>
      <c r="CY15" s="2">
        <f>CX15+真實IC!CY15</f>
        <v/>
      </c>
      <c r="CZ15" s="2">
        <f>CY15+真實IC!CZ15</f>
        <v/>
      </c>
      <c r="DA15" s="2">
        <f>CZ15+真實IC!DA15</f>
        <v/>
      </c>
      <c r="DB15" s="2">
        <f>DA15+真實IC!DB15</f>
        <v/>
      </c>
      <c r="DC15" s="2">
        <f>DB15+真實IC!DC15</f>
        <v/>
      </c>
      <c r="DD15" s="2">
        <f>DC15+真實IC!DD15</f>
        <v/>
      </c>
      <c r="DE15" s="2">
        <f>DD15+真實IC!DE15</f>
        <v/>
      </c>
      <c r="DF15" s="2">
        <f>DE15+真實IC!DF15</f>
        <v/>
      </c>
      <c r="DG15" s="2">
        <f>DF15+真實IC!DG15</f>
        <v/>
      </c>
      <c r="DH15" s="2">
        <f>DG15+真實IC!DH15</f>
        <v/>
      </c>
      <c r="DI15" s="2">
        <f>DH15+真實IC!DI15</f>
        <v/>
      </c>
      <c r="DJ15" s="2">
        <f>DI15+真實IC!DJ15</f>
        <v/>
      </c>
      <c r="DK15" s="2">
        <f>DJ15+真實IC!DK15</f>
        <v/>
      </c>
      <c r="DL15" s="2">
        <f>DK15+真實IC!DL15</f>
        <v/>
      </c>
      <c r="DM15" s="2">
        <f>DL15+真實IC!DM15</f>
        <v/>
      </c>
      <c r="DN15" s="2">
        <f>DM15+真實IC!DN15</f>
        <v/>
      </c>
      <c r="DO15" s="2">
        <f>DN15+真實IC!DO15</f>
        <v/>
      </c>
      <c r="DP15" s="2">
        <f>DO15+真實IC!DP15</f>
        <v/>
      </c>
      <c r="DQ15" s="2">
        <f>DP15+真實IC!DQ15</f>
        <v/>
      </c>
      <c r="DR15" s="2">
        <f>DQ15+真實IC!DR15</f>
        <v/>
      </c>
      <c r="DS15" s="2">
        <f>DR15+真實IC!DS15</f>
        <v/>
      </c>
      <c r="DT15" s="2">
        <f>DS15+真實IC!DT15</f>
        <v/>
      </c>
      <c r="DU15" s="2">
        <f>DT15+真實IC!DU15</f>
        <v/>
      </c>
      <c r="DV15" s="2">
        <f>DU15+真實IC!DV15</f>
        <v/>
      </c>
      <c r="DW15" s="2">
        <f>DV15+真實IC!DW15</f>
        <v/>
      </c>
      <c r="DX15" s="2">
        <f>DW15+真實IC!DX15</f>
        <v/>
      </c>
      <c r="DY15" s="2">
        <f>DX15+真實IC!DY15</f>
        <v/>
      </c>
      <c r="DZ15" s="2">
        <f>DY15+真實IC!DZ15</f>
        <v/>
      </c>
      <c r="EA15" s="2">
        <f>DZ15+真實IC!EA15</f>
        <v/>
      </c>
      <c r="EB15" s="2">
        <f>EA15+真實IC!EB15</f>
        <v/>
      </c>
      <c r="EC15" s="2">
        <f>EB15+真實IC!EC15</f>
        <v/>
      </c>
      <c r="ED15" s="2">
        <f>EC15+真實IC!ED15</f>
        <v/>
      </c>
      <c r="EE15" s="2">
        <f>ED15+真實IC!EE15</f>
        <v/>
      </c>
      <c r="EF15" s="2">
        <f>EE15+真實IC!EF15</f>
        <v/>
      </c>
      <c r="EG15" s="2">
        <f>EF15+真實IC!EG15</f>
        <v/>
      </c>
      <c r="EH15" s="2">
        <f>EG15+真實IC!EH15</f>
        <v/>
      </c>
      <c r="EI15" s="2">
        <f>EH15+真實IC!EI15</f>
        <v/>
      </c>
      <c r="EJ15" s="2">
        <f>EI15+真實IC!EJ15</f>
        <v/>
      </c>
      <c r="EK15" s="2">
        <f>EJ15+真實IC!EK15</f>
        <v/>
      </c>
      <c r="EL15" s="2">
        <f>EK15+真實IC!EL15</f>
        <v/>
      </c>
    </row>
    <row r="16">
      <c r="A16" s="13" t="n"/>
      <c r="B16" s="13" t="n">
        <v>120</v>
      </c>
      <c r="C16" s="2" t="n">
        <v>0.2607277098356321</v>
      </c>
      <c r="D16" s="2">
        <f>C16+真實IC!D16</f>
        <v/>
      </c>
      <c r="E16" s="2">
        <f>D16+真實IC!E16</f>
        <v/>
      </c>
      <c r="F16" s="2">
        <f>E16+真實IC!F16</f>
        <v/>
      </c>
      <c r="G16" s="2">
        <f>F16+真實IC!G16</f>
        <v/>
      </c>
      <c r="H16" s="2">
        <f>G16+真實IC!H16</f>
        <v/>
      </c>
      <c r="I16" s="2">
        <f>H16+真實IC!I16</f>
        <v/>
      </c>
      <c r="J16" s="2">
        <f>I16+真實IC!J16</f>
        <v/>
      </c>
      <c r="K16" s="2">
        <f>J16+真實IC!K16</f>
        <v/>
      </c>
      <c r="L16" s="2">
        <f>K16+真實IC!L16</f>
        <v/>
      </c>
      <c r="M16" s="2">
        <f>L16+真實IC!M16</f>
        <v/>
      </c>
      <c r="N16" s="2">
        <f>M16+真實IC!N16</f>
        <v/>
      </c>
      <c r="O16" s="2">
        <f>N16+真實IC!O16</f>
        <v/>
      </c>
      <c r="P16" s="2">
        <f>O16+真實IC!P16</f>
        <v/>
      </c>
      <c r="Q16" s="2">
        <f>P16+真實IC!Q16</f>
        <v/>
      </c>
      <c r="R16" s="2">
        <f>Q16+真實IC!R16</f>
        <v/>
      </c>
      <c r="S16" s="2">
        <f>R16+真實IC!S16</f>
        <v/>
      </c>
      <c r="T16" s="2">
        <f>S16+真實IC!T16</f>
        <v/>
      </c>
      <c r="U16" s="2">
        <f>T16+真實IC!U16</f>
        <v/>
      </c>
      <c r="V16" s="2">
        <f>U16+真實IC!V16</f>
        <v/>
      </c>
      <c r="W16" s="2">
        <f>V16+真實IC!W16</f>
        <v/>
      </c>
      <c r="X16" s="2">
        <f>W16+真實IC!X16</f>
        <v/>
      </c>
      <c r="Y16" s="2">
        <f>X16+真實IC!Y16</f>
        <v/>
      </c>
      <c r="Z16" s="2">
        <f>Y16+真實IC!Z16</f>
        <v/>
      </c>
      <c r="AA16" s="2">
        <f>Z16+真實IC!AA16</f>
        <v/>
      </c>
      <c r="AB16" s="2">
        <f>AA16+真實IC!AB16</f>
        <v/>
      </c>
      <c r="AC16" s="2">
        <f>AB16+真實IC!AC16</f>
        <v/>
      </c>
      <c r="AD16" s="2">
        <f>AC16+真實IC!AD16</f>
        <v/>
      </c>
      <c r="AE16" s="2">
        <f>AD16+真實IC!AE16</f>
        <v/>
      </c>
      <c r="AF16" s="2">
        <f>AE16+真實IC!AF16</f>
        <v/>
      </c>
      <c r="AG16" s="2">
        <f>AF16+真實IC!AG16</f>
        <v/>
      </c>
      <c r="AH16" s="2">
        <f>AG16+真實IC!AH16</f>
        <v/>
      </c>
      <c r="AI16" s="2">
        <f>AH16+真實IC!AI16</f>
        <v/>
      </c>
      <c r="AJ16" s="2">
        <f>AI16+真實IC!AJ16</f>
        <v/>
      </c>
      <c r="AK16" s="2">
        <f>AJ16+真實IC!AK16</f>
        <v/>
      </c>
      <c r="AL16" s="2">
        <f>AK16+真實IC!AL16</f>
        <v/>
      </c>
      <c r="AM16" s="2">
        <f>AL16+真實IC!AM16</f>
        <v/>
      </c>
      <c r="AN16" s="2">
        <f>AM16+真實IC!AN16</f>
        <v/>
      </c>
      <c r="AO16" s="2">
        <f>AN16+真實IC!AO16</f>
        <v/>
      </c>
      <c r="AP16" s="2">
        <f>AO16+真實IC!AP16</f>
        <v/>
      </c>
      <c r="AQ16" s="2">
        <f>AP16+真實IC!AQ16</f>
        <v/>
      </c>
      <c r="AR16" s="2">
        <f>AQ16+真實IC!AR16</f>
        <v/>
      </c>
      <c r="AS16" s="2">
        <f>AR16+真實IC!AS16</f>
        <v/>
      </c>
      <c r="AT16" s="2">
        <f>AS16+真實IC!AT16</f>
        <v/>
      </c>
      <c r="AU16" s="2">
        <f>AT16+真實IC!AU16</f>
        <v/>
      </c>
      <c r="AV16" s="2">
        <f>AU16+真實IC!AV16</f>
        <v/>
      </c>
      <c r="AW16" s="2">
        <f>AV16+真實IC!AW16</f>
        <v/>
      </c>
      <c r="AX16" s="2">
        <f>AW16+真實IC!AX16</f>
        <v/>
      </c>
      <c r="AY16" s="2">
        <f>AX16+真實IC!AY16</f>
        <v/>
      </c>
      <c r="AZ16" s="2">
        <f>AY16+真實IC!AZ16</f>
        <v/>
      </c>
      <c r="BA16" s="2">
        <f>AZ16+真實IC!BA16</f>
        <v/>
      </c>
      <c r="BB16" s="2">
        <f>BA16+真實IC!BB16</f>
        <v/>
      </c>
      <c r="BC16" s="2">
        <f>BB16+真實IC!BC16</f>
        <v/>
      </c>
      <c r="BD16" s="2">
        <f>BC16+真實IC!BD16</f>
        <v/>
      </c>
      <c r="BE16" s="2">
        <f>BD16+真實IC!BE16</f>
        <v/>
      </c>
      <c r="BF16" s="2">
        <f>BE16+真實IC!BF16</f>
        <v/>
      </c>
      <c r="BG16" s="2">
        <f>BF16+真實IC!BG16</f>
        <v/>
      </c>
      <c r="BH16" s="2">
        <f>BG16+真實IC!BH16</f>
        <v/>
      </c>
      <c r="BI16" s="2">
        <f>BH16+真實IC!BI16</f>
        <v/>
      </c>
      <c r="BJ16" s="2">
        <f>BI16+真實IC!BJ16</f>
        <v/>
      </c>
      <c r="BK16" s="2">
        <f>BJ16+真實IC!BK16</f>
        <v/>
      </c>
      <c r="BL16" s="2">
        <f>BK16+真實IC!BL16</f>
        <v/>
      </c>
      <c r="BM16" s="2">
        <f>BL16+真實IC!BM16</f>
        <v/>
      </c>
      <c r="BN16" s="2">
        <f>BM16+真實IC!BN16</f>
        <v/>
      </c>
      <c r="BO16" s="2">
        <f>BN16+真實IC!BO16</f>
        <v/>
      </c>
      <c r="BP16" s="2">
        <f>BO16+真實IC!BP16</f>
        <v/>
      </c>
      <c r="BQ16" s="2">
        <f>BP16+真實IC!BQ16</f>
        <v/>
      </c>
      <c r="BR16" s="2">
        <f>BQ16+真實IC!BR16</f>
        <v/>
      </c>
      <c r="BS16" s="2">
        <f>BR16+真實IC!BS16</f>
        <v/>
      </c>
      <c r="BT16" s="2">
        <f>BS16+真實IC!BT16</f>
        <v/>
      </c>
      <c r="BU16" s="2">
        <f>BT16+真實IC!BU16</f>
        <v/>
      </c>
      <c r="BV16" s="2">
        <f>BU16+真實IC!BV16</f>
        <v/>
      </c>
      <c r="BW16" s="2">
        <f>BV16+真實IC!BW16</f>
        <v/>
      </c>
      <c r="BX16" s="2">
        <f>BW16+真實IC!BX16</f>
        <v/>
      </c>
      <c r="BY16" s="2">
        <f>BX16+真實IC!BY16</f>
        <v/>
      </c>
      <c r="BZ16" s="2">
        <f>BY16+真實IC!BZ16</f>
        <v/>
      </c>
      <c r="CA16" s="2">
        <f>BZ16+真實IC!CA16</f>
        <v/>
      </c>
      <c r="CB16" s="2">
        <f>CA16+真實IC!CB16</f>
        <v/>
      </c>
      <c r="CC16" s="2">
        <f>CB16+真實IC!CC16</f>
        <v/>
      </c>
      <c r="CD16" s="2">
        <f>CC16+真實IC!CD16</f>
        <v/>
      </c>
      <c r="CE16" s="2">
        <f>CD16+真實IC!CE16</f>
        <v/>
      </c>
      <c r="CF16" s="2">
        <f>CE16+真實IC!CF16</f>
        <v/>
      </c>
      <c r="CG16" s="2">
        <f>CF16+真實IC!CG16</f>
        <v/>
      </c>
      <c r="CH16" s="2">
        <f>CG16+真實IC!CH16</f>
        <v/>
      </c>
      <c r="CI16" s="2">
        <f>CH16+真實IC!CI16</f>
        <v/>
      </c>
      <c r="CJ16" s="2">
        <f>CI16+真實IC!CJ16</f>
        <v/>
      </c>
      <c r="CK16" s="2">
        <f>CJ16+真實IC!CK16</f>
        <v/>
      </c>
      <c r="CL16" s="2">
        <f>CK16+真實IC!CL16</f>
        <v/>
      </c>
      <c r="CM16" s="2">
        <f>CL16+真實IC!CM16</f>
        <v/>
      </c>
      <c r="CN16" s="2">
        <f>CM16+真實IC!CN16</f>
        <v/>
      </c>
      <c r="CO16" s="2">
        <f>CN16+真實IC!CO16</f>
        <v/>
      </c>
      <c r="CP16" s="2">
        <f>CO16+真實IC!CP16</f>
        <v/>
      </c>
      <c r="CQ16" s="2">
        <f>CP16+真實IC!CQ16</f>
        <v/>
      </c>
      <c r="CR16" s="2">
        <f>CQ16+真實IC!CR16</f>
        <v/>
      </c>
      <c r="CS16" s="2">
        <f>CR16+真實IC!CS16</f>
        <v/>
      </c>
      <c r="CT16" s="2">
        <f>CS16+真實IC!CT16</f>
        <v/>
      </c>
      <c r="CU16" s="2">
        <f>CT16+真實IC!CU16</f>
        <v/>
      </c>
      <c r="CV16" s="2">
        <f>CU16+真實IC!CV16</f>
        <v/>
      </c>
      <c r="CW16" s="2">
        <f>CV16+真實IC!CW16</f>
        <v/>
      </c>
      <c r="CX16" s="2">
        <f>CW16+真實IC!CX16</f>
        <v/>
      </c>
      <c r="CY16" s="2">
        <f>CX16+真實IC!CY16</f>
        <v/>
      </c>
      <c r="CZ16" s="2">
        <f>CY16+真實IC!CZ16</f>
        <v/>
      </c>
      <c r="DA16" s="2">
        <f>CZ16+真實IC!DA16</f>
        <v/>
      </c>
      <c r="DB16" s="2">
        <f>DA16+真實IC!DB16</f>
        <v/>
      </c>
      <c r="DC16" s="2">
        <f>DB16+真實IC!DC16</f>
        <v/>
      </c>
      <c r="DD16" s="2">
        <f>DC16+真實IC!DD16</f>
        <v/>
      </c>
      <c r="DE16" s="2">
        <f>DD16+真實IC!DE16</f>
        <v/>
      </c>
      <c r="DF16" s="2">
        <f>DE16+真實IC!DF16</f>
        <v/>
      </c>
      <c r="DG16" s="2">
        <f>DF16+真實IC!DG16</f>
        <v/>
      </c>
      <c r="DH16" s="2">
        <f>DG16+真實IC!DH16</f>
        <v/>
      </c>
      <c r="DI16" s="2">
        <f>DH16+真實IC!DI16</f>
        <v/>
      </c>
      <c r="DJ16" s="2">
        <f>DI16+真實IC!DJ16</f>
        <v/>
      </c>
      <c r="DK16" s="2">
        <f>DJ16+真實IC!DK16</f>
        <v/>
      </c>
      <c r="DL16" s="2">
        <f>DK16+真實IC!DL16</f>
        <v/>
      </c>
      <c r="DM16" s="2">
        <f>DL16+真實IC!DM16</f>
        <v/>
      </c>
      <c r="DN16" s="2">
        <f>DM16+真實IC!DN16</f>
        <v/>
      </c>
      <c r="DO16" s="2">
        <f>DN16+真實IC!DO16</f>
        <v/>
      </c>
      <c r="DP16" s="2">
        <f>DO16+真實IC!DP16</f>
        <v/>
      </c>
      <c r="DQ16" s="2">
        <f>DP16+真實IC!DQ16</f>
        <v/>
      </c>
      <c r="DR16" s="2">
        <f>DQ16+真實IC!DR16</f>
        <v/>
      </c>
      <c r="DS16" s="2">
        <f>DR16+真實IC!DS16</f>
        <v/>
      </c>
      <c r="DT16" s="2">
        <f>DS16+真實IC!DT16</f>
        <v/>
      </c>
      <c r="DU16" s="2">
        <f>DT16+真實IC!DU16</f>
        <v/>
      </c>
      <c r="DV16" s="2">
        <f>DU16+真實IC!DV16</f>
        <v/>
      </c>
      <c r="DW16" s="2">
        <f>DV16+真實IC!DW16</f>
        <v/>
      </c>
      <c r="DX16" s="2">
        <f>DW16+真實IC!DX16</f>
        <v/>
      </c>
      <c r="DY16" s="2">
        <f>DX16+真實IC!DY16</f>
        <v/>
      </c>
      <c r="DZ16" s="2">
        <f>DY16+真實IC!DZ16</f>
        <v/>
      </c>
      <c r="EA16" s="2">
        <f>DZ16+真實IC!EA16</f>
        <v/>
      </c>
      <c r="EB16" s="2">
        <f>EA16+真實IC!EB16</f>
        <v/>
      </c>
      <c r="EC16" s="2">
        <f>EB16+真實IC!EC16</f>
        <v/>
      </c>
      <c r="ED16" s="2">
        <f>EC16+真實IC!ED16</f>
        <v/>
      </c>
      <c r="EE16" s="2">
        <f>ED16+真實IC!EE16</f>
        <v/>
      </c>
      <c r="EF16" s="2">
        <f>EE16+真實IC!EF16</f>
        <v/>
      </c>
      <c r="EG16" s="2">
        <f>EF16+真實IC!EG16</f>
        <v/>
      </c>
      <c r="EH16" s="2">
        <f>EG16+真實IC!EH16</f>
        <v/>
      </c>
      <c r="EI16" s="2">
        <f>EH16+真實IC!EI16</f>
        <v/>
      </c>
      <c r="EJ16" s="2">
        <f>EI16+真實IC!EJ16</f>
        <v/>
      </c>
      <c r="EK16" s="2">
        <f>EJ16+真實IC!EK16</f>
        <v/>
      </c>
      <c r="EL16" s="2">
        <f>EK16+真實IC!EL16</f>
        <v/>
      </c>
    </row>
    <row r="17">
      <c r="A17" s="13" t="n"/>
      <c r="B17" s="13" t="n">
        <v>130</v>
      </c>
      <c r="C17" s="2" t="n">
        <v>0.2378970514581851</v>
      </c>
      <c r="D17" s="2">
        <f>C17+真實IC!D17</f>
        <v/>
      </c>
      <c r="E17" s="2">
        <f>D17+真實IC!E17</f>
        <v/>
      </c>
      <c r="F17" s="2">
        <f>E17+真實IC!F17</f>
        <v/>
      </c>
      <c r="G17" s="2">
        <f>F17+真實IC!G17</f>
        <v/>
      </c>
      <c r="H17" s="2">
        <f>G17+真實IC!H17</f>
        <v/>
      </c>
      <c r="I17" s="2">
        <f>H17+真實IC!I17</f>
        <v/>
      </c>
      <c r="J17" s="2">
        <f>I17+真實IC!J17</f>
        <v/>
      </c>
      <c r="K17" s="2">
        <f>J17+真實IC!K17</f>
        <v/>
      </c>
      <c r="L17" s="2">
        <f>K17+真實IC!L17</f>
        <v/>
      </c>
      <c r="M17" s="2">
        <f>L17+真實IC!M17</f>
        <v/>
      </c>
      <c r="N17" s="2">
        <f>M17+真實IC!N17</f>
        <v/>
      </c>
      <c r="O17" s="2">
        <f>N17+真實IC!O17</f>
        <v/>
      </c>
      <c r="P17" s="2">
        <f>O17+真實IC!P17</f>
        <v/>
      </c>
      <c r="Q17" s="2">
        <f>P17+真實IC!Q17</f>
        <v/>
      </c>
      <c r="R17" s="2">
        <f>Q17+真實IC!R17</f>
        <v/>
      </c>
      <c r="S17" s="2">
        <f>R17+真實IC!S17</f>
        <v/>
      </c>
      <c r="T17" s="2">
        <f>S17+真實IC!T17</f>
        <v/>
      </c>
      <c r="U17" s="2">
        <f>T17+真實IC!U17</f>
        <v/>
      </c>
      <c r="V17" s="2">
        <f>U17+真實IC!V17</f>
        <v/>
      </c>
      <c r="W17" s="2">
        <f>V17+真實IC!W17</f>
        <v/>
      </c>
      <c r="X17" s="2">
        <f>W17+真實IC!X17</f>
        <v/>
      </c>
      <c r="Y17" s="2">
        <f>X17+真實IC!Y17</f>
        <v/>
      </c>
      <c r="Z17" s="2">
        <f>Y17+真實IC!Z17</f>
        <v/>
      </c>
      <c r="AA17" s="2">
        <f>Z17+真實IC!AA17</f>
        <v/>
      </c>
      <c r="AB17" s="2">
        <f>AA17+真實IC!AB17</f>
        <v/>
      </c>
      <c r="AC17" s="2">
        <f>AB17+真實IC!AC17</f>
        <v/>
      </c>
      <c r="AD17" s="2">
        <f>AC17+真實IC!AD17</f>
        <v/>
      </c>
      <c r="AE17" s="2">
        <f>AD17+真實IC!AE17</f>
        <v/>
      </c>
      <c r="AF17" s="2">
        <f>AE17+真實IC!AF17</f>
        <v/>
      </c>
      <c r="AG17" s="2">
        <f>AF17+真實IC!AG17</f>
        <v/>
      </c>
      <c r="AH17" s="2">
        <f>AG17+真實IC!AH17</f>
        <v/>
      </c>
      <c r="AI17" s="2">
        <f>AH17+真實IC!AI17</f>
        <v/>
      </c>
      <c r="AJ17" s="2">
        <f>AI17+真實IC!AJ17</f>
        <v/>
      </c>
      <c r="AK17" s="2">
        <f>AJ17+真實IC!AK17</f>
        <v/>
      </c>
      <c r="AL17" s="2">
        <f>AK17+真實IC!AL17</f>
        <v/>
      </c>
      <c r="AM17" s="2">
        <f>AL17+真實IC!AM17</f>
        <v/>
      </c>
      <c r="AN17" s="2">
        <f>AM17+真實IC!AN17</f>
        <v/>
      </c>
      <c r="AO17" s="2">
        <f>AN17+真實IC!AO17</f>
        <v/>
      </c>
      <c r="AP17" s="2">
        <f>AO17+真實IC!AP17</f>
        <v/>
      </c>
      <c r="AQ17" s="2">
        <f>AP17+真實IC!AQ17</f>
        <v/>
      </c>
      <c r="AR17" s="2">
        <f>AQ17+真實IC!AR17</f>
        <v/>
      </c>
      <c r="AS17" s="2">
        <f>AR17+真實IC!AS17</f>
        <v/>
      </c>
      <c r="AT17" s="2">
        <f>AS17+真實IC!AT17</f>
        <v/>
      </c>
      <c r="AU17" s="2">
        <f>AT17+真實IC!AU17</f>
        <v/>
      </c>
      <c r="AV17" s="2">
        <f>AU17+真實IC!AV17</f>
        <v/>
      </c>
      <c r="AW17" s="2">
        <f>AV17+真實IC!AW17</f>
        <v/>
      </c>
      <c r="AX17" s="2">
        <f>AW17+真實IC!AX17</f>
        <v/>
      </c>
      <c r="AY17" s="2">
        <f>AX17+真實IC!AY17</f>
        <v/>
      </c>
      <c r="AZ17" s="2">
        <f>AY17+真實IC!AZ17</f>
        <v/>
      </c>
      <c r="BA17" s="2">
        <f>AZ17+真實IC!BA17</f>
        <v/>
      </c>
      <c r="BB17" s="2">
        <f>BA17+真實IC!BB17</f>
        <v/>
      </c>
      <c r="BC17" s="2">
        <f>BB17+真實IC!BC17</f>
        <v/>
      </c>
      <c r="BD17" s="2">
        <f>BC17+真實IC!BD17</f>
        <v/>
      </c>
      <c r="BE17" s="2">
        <f>BD17+真實IC!BE17</f>
        <v/>
      </c>
      <c r="BF17" s="2">
        <f>BE17+真實IC!BF17</f>
        <v/>
      </c>
      <c r="BG17" s="2">
        <f>BF17+真實IC!BG17</f>
        <v/>
      </c>
      <c r="BH17" s="2">
        <f>BG17+真實IC!BH17</f>
        <v/>
      </c>
      <c r="BI17" s="2">
        <f>BH17+真實IC!BI17</f>
        <v/>
      </c>
      <c r="BJ17" s="2">
        <f>BI17+真實IC!BJ17</f>
        <v/>
      </c>
      <c r="BK17" s="2">
        <f>BJ17+真實IC!BK17</f>
        <v/>
      </c>
      <c r="BL17" s="2">
        <f>BK17+真實IC!BL17</f>
        <v/>
      </c>
      <c r="BM17" s="2">
        <f>BL17+真實IC!BM17</f>
        <v/>
      </c>
      <c r="BN17" s="2">
        <f>BM17+真實IC!BN17</f>
        <v/>
      </c>
      <c r="BO17" s="2">
        <f>BN17+真實IC!BO17</f>
        <v/>
      </c>
      <c r="BP17" s="2">
        <f>BO17+真實IC!BP17</f>
        <v/>
      </c>
      <c r="BQ17" s="2">
        <f>BP17+真實IC!BQ17</f>
        <v/>
      </c>
      <c r="BR17" s="2">
        <f>BQ17+真實IC!BR17</f>
        <v/>
      </c>
      <c r="BS17" s="2">
        <f>BR17+真實IC!BS17</f>
        <v/>
      </c>
      <c r="BT17" s="2">
        <f>BS17+真實IC!BT17</f>
        <v/>
      </c>
      <c r="BU17" s="2">
        <f>BT17+真實IC!BU17</f>
        <v/>
      </c>
      <c r="BV17" s="2">
        <f>BU17+真實IC!BV17</f>
        <v/>
      </c>
      <c r="BW17" s="2">
        <f>BV17+真實IC!BW17</f>
        <v/>
      </c>
      <c r="BX17" s="2">
        <f>BW17+真實IC!BX17</f>
        <v/>
      </c>
      <c r="BY17" s="2">
        <f>BX17+真實IC!BY17</f>
        <v/>
      </c>
      <c r="BZ17" s="2">
        <f>BY17+真實IC!BZ17</f>
        <v/>
      </c>
      <c r="CA17" s="2">
        <f>BZ17+真實IC!CA17</f>
        <v/>
      </c>
      <c r="CB17" s="2">
        <f>CA17+真實IC!CB17</f>
        <v/>
      </c>
      <c r="CC17" s="2">
        <f>CB17+真實IC!CC17</f>
        <v/>
      </c>
      <c r="CD17" s="2">
        <f>CC17+真實IC!CD17</f>
        <v/>
      </c>
      <c r="CE17" s="2">
        <f>CD17+真實IC!CE17</f>
        <v/>
      </c>
      <c r="CF17" s="2">
        <f>CE17+真實IC!CF17</f>
        <v/>
      </c>
      <c r="CG17" s="2">
        <f>CF17+真實IC!CG17</f>
        <v/>
      </c>
      <c r="CH17" s="2">
        <f>CG17+真實IC!CH17</f>
        <v/>
      </c>
      <c r="CI17" s="2">
        <f>CH17+真實IC!CI17</f>
        <v/>
      </c>
      <c r="CJ17" s="2">
        <f>CI17+真實IC!CJ17</f>
        <v/>
      </c>
      <c r="CK17" s="2">
        <f>CJ17+真實IC!CK17</f>
        <v/>
      </c>
      <c r="CL17" s="2">
        <f>CK17+真實IC!CL17</f>
        <v/>
      </c>
      <c r="CM17" s="2">
        <f>CL17+真實IC!CM17</f>
        <v/>
      </c>
      <c r="CN17" s="2">
        <f>CM17+真實IC!CN17</f>
        <v/>
      </c>
      <c r="CO17" s="2">
        <f>CN17+真實IC!CO17</f>
        <v/>
      </c>
      <c r="CP17" s="2">
        <f>CO17+真實IC!CP17</f>
        <v/>
      </c>
      <c r="CQ17" s="2">
        <f>CP17+真實IC!CQ17</f>
        <v/>
      </c>
      <c r="CR17" s="2">
        <f>CQ17+真實IC!CR17</f>
        <v/>
      </c>
      <c r="CS17" s="2">
        <f>CR17+真實IC!CS17</f>
        <v/>
      </c>
      <c r="CT17" s="2">
        <f>CS17+真實IC!CT17</f>
        <v/>
      </c>
      <c r="CU17" s="2">
        <f>CT17+真實IC!CU17</f>
        <v/>
      </c>
      <c r="CV17" s="2">
        <f>CU17+真實IC!CV17</f>
        <v/>
      </c>
      <c r="CW17" s="2">
        <f>CV17+真實IC!CW17</f>
        <v/>
      </c>
      <c r="CX17" s="2">
        <f>CW17+真實IC!CX17</f>
        <v/>
      </c>
      <c r="CY17" s="2">
        <f>CX17+真實IC!CY17</f>
        <v/>
      </c>
      <c r="CZ17" s="2">
        <f>CY17+真實IC!CZ17</f>
        <v/>
      </c>
      <c r="DA17" s="2">
        <f>CZ17+真實IC!DA17</f>
        <v/>
      </c>
      <c r="DB17" s="2">
        <f>DA17+真實IC!DB17</f>
        <v/>
      </c>
      <c r="DC17" s="2">
        <f>DB17+真實IC!DC17</f>
        <v/>
      </c>
      <c r="DD17" s="2">
        <f>DC17+真實IC!DD17</f>
        <v/>
      </c>
      <c r="DE17" s="2">
        <f>DD17+真實IC!DE17</f>
        <v/>
      </c>
      <c r="DF17" s="2">
        <f>DE17+真實IC!DF17</f>
        <v/>
      </c>
      <c r="DG17" s="2">
        <f>DF17+真實IC!DG17</f>
        <v/>
      </c>
      <c r="DH17" s="2">
        <f>DG17+真實IC!DH17</f>
        <v/>
      </c>
      <c r="DI17" s="2">
        <f>DH17+真實IC!DI17</f>
        <v/>
      </c>
      <c r="DJ17" s="2">
        <f>DI17+真實IC!DJ17</f>
        <v/>
      </c>
      <c r="DK17" s="2">
        <f>DJ17+真實IC!DK17</f>
        <v/>
      </c>
      <c r="DL17" s="2">
        <f>DK17+真實IC!DL17</f>
        <v/>
      </c>
      <c r="DM17" s="2">
        <f>DL17+真實IC!DM17</f>
        <v/>
      </c>
      <c r="DN17" s="2">
        <f>DM17+真實IC!DN17</f>
        <v/>
      </c>
      <c r="DO17" s="2">
        <f>DN17+真實IC!DO17</f>
        <v/>
      </c>
      <c r="DP17" s="2">
        <f>DO17+真實IC!DP17</f>
        <v/>
      </c>
      <c r="DQ17" s="2">
        <f>DP17+真實IC!DQ17</f>
        <v/>
      </c>
      <c r="DR17" s="2">
        <f>DQ17+真實IC!DR17</f>
        <v/>
      </c>
      <c r="DS17" s="2">
        <f>DR17+真實IC!DS17</f>
        <v/>
      </c>
      <c r="DT17" s="2">
        <f>DS17+真實IC!DT17</f>
        <v/>
      </c>
      <c r="DU17" s="2">
        <f>DT17+真實IC!DU17</f>
        <v/>
      </c>
      <c r="DV17" s="2">
        <f>DU17+真實IC!DV17</f>
        <v/>
      </c>
      <c r="DW17" s="2">
        <f>DV17+真實IC!DW17</f>
        <v/>
      </c>
      <c r="DX17" s="2">
        <f>DW17+真實IC!DX17</f>
        <v/>
      </c>
      <c r="DY17" s="2">
        <f>DX17+真實IC!DY17</f>
        <v/>
      </c>
      <c r="DZ17" s="2">
        <f>DY17+真實IC!DZ17</f>
        <v/>
      </c>
      <c r="EA17" s="2">
        <f>DZ17+真實IC!EA17</f>
        <v/>
      </c>
      <c r="EB17" s="2">
        <f>EA17+真實IC!EB17</f>
        <v/>
      </c>
      <c r="EC17" s="2">
        <f>EB17+真實IC!EC17</f>
        <v/>
      </c>
      <c r="ED17" s="2">
        <f>EC17+真實IC!ED17</f>
        <v/>
      </c>
      <c r="EE17" s="2">
        <f>ED17+真實IC!EE17</f>
        <v/>
      </c>
      <c r="EF17" s="2">
        <f>EE17+真實IC!EF17</f>
        <v/>
      </c>
      <c r="EG17" s="2">
        <f>EF17+真實IC!EG17</f>
        <v/>
      </c>
      <c r="EH17" s="2">
        <f>EG17+真實IC!EH17</f>
        <v/>
      </c>
      <c r="EI17" s="2">
        <f>EH17+真實IC!EI17</f>
        <v/>
      </c>
      <c r="EJ17" s="2">
        <f>EI17+真實IC!EJ17</f>
        <v/>
      </c>
      <c r="EK17" s="2">
        <f>EJ17+真實IC!EK17</f>
        <v/>
      </c>
      <c r="EL17" s="2">
        <f>EK17+真實IC!EL17</f>
        <v/>
      </c>
    </row>
    <row r="18">
      <c r="A18" s="13" t="n"/>
      <c r="B18" s="13" t="n">
        <v>150</v>
      </c>
      <c r="C18" s="2" t="n">
        <v>0.2436872854011519</v>
      </c>
      <c r="D18" s="2">
        <f>C18+真實IC!D18</f>
        <v/>
      </c>
      <c r="E18" s="2">
        <f>D18+真實IC!E18</f>
        <v/>
      </c>
      <c r="F18" s="2">
        <f>E18+真實IC!F18</f>
        <v/>
      </c>
      <c r="G18" s="2">
        <f>F18+真實IC!G18</f>
        <v/>
      </c>
      <c r="H18" s="2">
        <f>G18+真實IC!H18</f>
        <v/>
      </c>
      <c r="I18" s="2">
        <f>H18+真實IC!I18</f>
        <v/>
      </c>
      <c r="J18" s="2">
        <f>I18+真實IC!J18</f>
        <v/>
      </c>
      <c r="K18" s="2">
        <f>J18+真實IC!K18</f>
        <v/>
      </c>
      <c r="L18" s="2">
        <f>K18+真實IC!L18</f>
        <v/>
      </c>
      <c r="M18" s="2">
        <f>L18+真實IC!M18</f>
        <v/>
      </c>
      <c r="N18" s="2">
        <f>M18+真實IC!N18</f>
        <v/>
      </c>
      <c r="O18" s="2">
        <f>N18+真實IC!O18</f>
        <v/>
      </c>
      <c r="P18" s="2">
        <f>O18+真實IC!P18</f>
        <v/>
      </c>
      <c r="Q18" s="2">
        <f>P18+真實IC!Q18</f>
        <v/>
      </c>
      <c r="R18" s="2">
        <f>Q18+真實IC!R18</f>
        <v/>
      </c>
      <c r="S18" s="2">
        <f>R18+真實IC!S18</f>
        <v/>
      </c>
      <c r="T18" s="2">
        <f>S18+真實IC!T18</f>
        <v/>
      </c>
      <c r="U18" s="2">
        <f>T18+真實IC!U18</f>
        <v/>
      </c>
      <c r="V18" s="2">
        <f>U18+真實IC!V18</f>
        <v/>
      </c>
      <c r="W18" s="2">
        <f>V18+真實IC!W18</f>
        <v/>
      </c>
      <c r="X18" s="2">
        <f>W18+真實IC!X18</f>
        <v/>
      </c>
      <c r="Y18" s="2">
        <f>X18+真實IC!Y18</f>
        <v/>
      </c>
      <c r="Z18" s="2">
        <f>Y18+真實IC!Z18</f>
        <v/>
      </c>
      <c r="AA18" s="2">
        <f>Z18+真實IC!AA18</f>
        <v/>
      </c>
      <c r="AB18" s="2">
        <f>AA18+真實IC!AB18</f>
        <v/>
      </c>
      <c r="AC18" s="2">
        <f>AB18+真實IC!AC18</f>
        <v/>
      </c>
      <c r="AD18" s="2">
        <f>AC18+真實IC!AD18</f>
        <v/>
      </c>
      <c r="AE18" s="2">
        <f>AD18+真實IC!AE18</f>
        <v/>
      </c>
      <c r="AF18" s="2">
        <f>AE18+真實IC!AF18</f>
        <v/>
      </c>
      <c r="AG18" s="2">
        <f>AF18+真實IC!AG18</f>
        <v/>
      </c>
      <c r="AH18" s="2">
        <f>AG18+真實IC!AH18</f>
        <v/>
      </c>
      <c r="AI18" s="2">
        <f>AH18+真實IC!AI18</f>
        <v/>
      </c>
      <c r="AJ18" s="2">
        <f>AI18+真實IC!AJ18</f>
        <v/>
      </c>
      <c r="AK18" s="2">
        <f>AJ18+真實IC!AK18</f>
        <v/>
      </c>
      <c r="AL18" s="2">
        <f>AK18+真實IC!AL18</f>
        <v/>
      </c>
      <c r="AM18" s="2">
        <f>AL18+真實IC!AM18</f>
        <v/>
      </c>
      <c r="AN18" s="2">
        <f>AM18+真實IC!AN18</f>
        <v/>
      </c>
      <c r="AO18" s="2">
        <f>AN18+真實IC!AO18</f>
        <v/>
      </c>
      <c r="AP18" s="2">
        <f>AO18+真實IC!AP18</f>
        <v/>
      </c>
      <c r="AQ18" s="2">
        <f>AP18+真實IC!AQ18</f>
        <v/>
      </c>
      <c r="AR18" s="2">
        <f>AQ18+真實IC!AR18</f>
        <v/>
      </c>
      <c r="AS18" s="2">
        <f>AR18+真實IC!AS18</f>
        <v/>
      </c>
      <c r="AT18" s="2">
        <f>AS18+真實IC!AT18</f>
        <v/>
      </c>
      <c r="AU18" s="2">
        <f>AT18+真實IC!AU18</f>
        <v/>
      </c>
      <c r="AV18" s="2">
        <f>AU18+真實IC!AV18</f>
        <v/>
      </c>
      <c r="AW18" s="2">
        <f>AV18+真實IC!AW18</f>
        <v/>
      </c>
      <c r="AX18" s="2">
        <f>AW18+真實IC!AX18</f>
        <v/>
      </c>
      <c r="AY18" s="2">
        <f>AX18+真實IC!AY18</f>
        <v/>
      </c>
      <c r="AZ18" s="2">
        <f>AY18+真實IC!AZ18</f>
        <v/>
      </c>
      <c r="BA18" s="2">
        <f>AZ18+真實IC!BA18</f>
        <v/>
      </c>
      <c r="BB18" s="2">
        <f>BA18+真實IC!BB18</f>
        <v/>
      </c>
      <c r="BC18" s="2">
        <f>BB18+真實IC!BC18</f>
        <v/>
      </c>
      <c r="BD18" s="2">
        <f>BC18+真實IC!BD18</f>
        <v/>
      </c>
      <c r="BE18" s="2">
        <f>BD18+真實IC!BE18</f>
        <v/>
      </c>
      <c r="BF18" s="2">
        <f>BE18+真實IC!BF18</f>
        <v/>
      </c>
      <c r="BG18" s="2">
        <f>BF18+真實IC!BG18</f>
        <v/>
      </c>
      <c r="BH18" s="2">
        <f>BG18+真實IC!BH18</f>
        <v/>
      </c>
      <c r="BI18" s="2">
        <f>BH18+真實IC!BI18</f>
        <v/>
      </c>
      <c r="BJ18" s="2">
        <f>BI18+真實IC!BJ18</f>
        <v/>
      </c>
      <c r="BK18" s="2">
        <f>BJ18+真實IC!BK18</f>
        <v/>
      </c>
      <c r="BL18" s="2">
        <f>BK18+真實IC!BL18</f>
        <v/>
      </c>
      <c r="BM18" s="2">
        <f>BL18+真實IC!BM18</f>
        <v/>
      </c>
      <c r="BN18" s="2">
        <f>BM18+真實IC!BN18</f>
        <v/>
      </c>
      <c r="BO18" s="2">
        <f>BN18+真實IC!BO18</f>
        <v/>
      </c>
      <c r="BP18" s="2">
        <f>BO18+真實IC!BP18</f>
        <v/>
      </c>
      <c r="BQ18" s="2">
        <f>BP18+真實IC!BQ18</f>
        <v/>
      </c>
      <c r="BR18" s="2">
        <f>BQ18+真實IC!BR18</f>
        <v/>
      </c>
      <c r="BS18" s="2">
        <f>BR18+真實IC!BS18</f>
        <v/>
      </c>
      <c r="BT18" s="2">
        <f>BS18+真實IC!BT18</f>
        <v/>
      </c>
      <c r="BU18" s="2">
        <f>BT18+真實IC!BU18</f>
        <v/>
      </c>
      <c r="BV18" s="2">
        <f>BU18+真實IC!BV18</f>
        <v/>
      </c>
      <c r="BW18" s="2">
        <f>BV18+真實IC!BW18</f>
        <v/>
      </c>
      <c r="BX18" s="2">
        <f>BW18+真實IC!BX18</f>
        <v/>
      </c>
      <c r="BY18" s="2">
        <f>BX18+真實IC!BY18</f>
        <v/>
      </c>
      <c r="BZ18" s="2">
        <f>BY18+真實IC!BZ18</f>
        <v/>
      </c>
      <c r="CA18" s="2">
        <f>BZ18+真實IC!CA18</f>
        <v/>
      </c>
      <c r="CB18" s="2">
        <f>CA18+真實IC!CB18</f>
        <v/>
      </c>
      <c r="CC18" s="2">
        <f>CB18+真實IC!CC18</f>
        <v/>
      </c>
      <c r="CD18" s="2">
        <f>CC18+真實IC!CD18</f>
        <v/>
      </c>
      <c r="CE18" s="2">
        <f>CD18+真實IC!CE18</f>
        <v/>
      </c>
      <c r="CF18" s="2">
        <f>CE18+真實IC!CF18</f>
        <v/>
      </c>
      <c r="CG18" s="2">
        <f>CF18+真實IC!CG18</f>
        <v/>
      </c>
      <c r="CH18" s="2">
        <f>CG18+真實IC!CH18</f>
        <v/>
      </c>
      <c r="CI18" s="2">
        <f>CH18+真實IC!CI18</f>
        <v/>
      </c>
      <c r="CJ18" s="2">
        <f>CI18+真實IC!CJ18</f>
        <v/>
      </c>
      <c r="CK18" s="2">
        <f>CJ18+真實IC!CK18</f>
        <v/>
      </c>
      <c r="CL18" s="2">
        <f>CK18+真實IC!CL18</f>
        <v/>
      </c>
      <c r="CM18" s="2">
        <f>CL18+真實IC!CM18</f>
        <v/>
      </c>
      <c r="CN18" s="2">
        <f>CM18+真實IC!CN18</f>
        <v/>
      </c>
      <c r="CO18" s="2">
        <f>CN18+真實IC!CO18</f>
        <v/>
      </c>
      <c r="CP18" s="2">
        <f>CO18+真實IC!CP18</f>
        <v/>
      </c>
      <c r="CQ18" s="2">
        <f>CP18+真實IC!CQ18</f>
        <v/>
      </c>
      <c r="CR18" s="2">
        <f>CQ18+真實IC!CR18</f>
        <v/>
      </c>
      <c r="CS18" s="2">
        <f>CR18+真實IC!CS18</f>
        <v/>
      </c>
      <c r="CT18" s="2">
        <f>CS18+真實IC!CT18</f>
        <v/>
      </c>
      <c r="CU18" s="2">
        <f>CT18+真實IC!CU18</f>
        <v/>
      </c>
      <c r="CV18" s="2">
        <f>CU18+真實IC!CV18</f>
        <v/>
      </c>
      <c r="CW18" s="2">
        <f>CV18+真實IC!CW18</f>
        <v/>
      </c>
      <c r="CX18" s="2">
        <f>CW18+真實IC!CX18</f>
        <v/>
      </c>
      <c r="CY18" s="2">
        <f>CX18+真實IC!CY18</f>
        <v/>
      </c>
      <c r="CZ18" s="2">
        <f>CY18+真實IC!CZ18</f>
        <v/>
      </c>
      <c r="DA18" s="2">
        <f>CZ18+真實IC!DA18</f>
        <v/>
      </c>
      <c r="DB18" s="2">
        <f>DA18+真實IC!DB18</f>
        <v/>
      </c>
      <c r="DC18" s="2">
        <f>DB18+真實IC!DC18</f>
        <v/>
      </c>
      <c r="DD18" s="2">
        <f>DC18+真實IC!DD18</f>
        <v/>
      </c>
      <c r="DE18" s="2">
        <f>DD18+真實IC!DE18</f>
        <v/>
      </c>
      <c r="DF18" s="2">
        <f>DE18+真實IC!DF18</f>
        <v/>
      </c>
      <c r="DG18" s="2">
        <f>DF18+真實IC!DG18</f>
        <v/>
      </c>
      <c r="DH18" s="2">
        <f>DG18+真實IC!DH18</f>
        <v/>
      </c>
      <c r="DI18" s="2">
        <f>DH18+真實IC!DI18</f>
        <v/>
      </c>
      <c r="DJ18" s="2">
        <f>DI18+真實IC!DJ18</f>
        <v/>
      </c>
      <c r="DK18" s="2">
        <f>DJ18+真實IC!DK18</f>
        <v/>
      </c>
      <c r="DL18" s="2">
        <f>DK18+真實IC!DL18</f>
        <v/>
      </c>
      <c r="DM18" s="2">
        <f>DL18+真實IC!DM18</f>
        <v/>
      </c>
      <c r="DN18" s="2">
        <f>DM18+真實IC!DN18</f>
        <v/>
      </c>
      <c r="DO18" s="2">
        <f>DN18+真實IC!DO18</f>
        <v/>
      </c>
      <c r="DP18" s="2">
        <f>DO18+真實IC!DP18</f>
        <v/>
      </c>
      <c r="DQ18" s="2">
        <f>DP18+真實IC!DQ18</f>
        <v/>
      </c>
      <c r="DR18" s="2">
        <f>DQ18+真實IC!DR18</f>
        <v/>
      </c>
      <c r="DS18" s="2">
        <f>DR18+真實IC!DS18</f>
        <v/>
      </c>
      <c r="DT18" s="2">
        <f>DS18+真實IC!DT18</f>
        <v/>
      </c>
      <c r="DU18" s="2">
        <f>DT18+真實IC!DU18</f>
        <v/>
      </c>
      <c r="DV18" s="2">
        <f>DU18+真實IC!DV18</f>
        <v/>
      </c>
      <c r="DW18" s="2">
        <f>DV18+真實IC!DW18</f>
        <v/>
      </c>
      <c r="DX18" s="2">
        <f>DW18+真實IC!DX18</f>
        <v/>
      </c>
      <c r="DY18" s="2">
        <f>DX18+真實IC!DY18</f>
        <v/>
      </c>
      <c r="DZ18" s="2">
        <f>DY18+真實IC!DZ18</f>
        <v/>
      </c>
      <c r="EA18" s="2">
        <f>DZ18+真實IC!EA18</f>
        <v/>
      </c>
      <c r="EB18" s="2">
        <f>EA18+真實IC!EB18</f>
        <v/>
      </c>
      <c r="EC18" s="2">
        <f>EB18+真實IC!EC18</f>
        <v/>
      </c>
      <c r="ED18" s="2">
        <f>EC18+真實IC!ED18</f>
        <v/>
      </c>
      <c r="EE18" s="2">
        <f>ED18+真實IC!EE18</f>
        <v/>
      </c>
      <c r="EF18" s="2">
        <f>EE18+真實IC!EF18</f>
        <v/>
      </c>
      <c r="EG18" s="2">
        <f>EF18+真實IC!EG18</f>
        <v/>
      </c>
      <c r="EH18" s="2">
        <f>EG18+真實IC!EH18</f>
        <v/>
      </c>
      <c r="EI18" s="2">
        <f>EH18+真實IC!EI18</f>
        <v/>
      </c>
      <c r="EJ18" s="2">
        <f>EI18+真實IC!EJ18</f>
        <v/>
      </c>
      <c r="EK18" s="2">
        <f>EJ18+真實IC!EK18</f>
        <v/>
      </c>
      <c r="EL18" s="2">
        <f>EK18+真實IC!EL18</f>
        <v/>
      </c>
    </row>
    <row r="19">
      <c r="A19" s="13" t="n"/>
      <c r="B19" s="13" t="n">
        <v>180</v>
      </c>
      <c r="C19" s="2" t="n">
        <v>0.2582503737473393</v>
      </c>
      <c r="D19" s="2">
        <f>C19+真實IC!D19</f>
        <v/>
      </c>
      <c r="E19" s="2">
        <f>D19+真實IC!E19</f>
        <v/>
      </c>
      <c r="F19" s="2">
        <f>E19+真實IC!F19</f>
        <v/>
      </c>
      <c r="G19" s="2">
        <f>F19+真實IC!G19</f>
        <v/>
      </c>
      <c r="H19" s="2">
        <f>G19+真實IC!H19</f>
        <v/>
      </c>
      <c r="I19" s="2">
        <f>H19+真實IC!I19</f>
        <v/>
      </c>
      <c r="J19" s="2">
        <f>I19+真實IC!J19</f>
        <v/>
      </c>
      <c r="K19" s="2">
        <f>J19+真實IC!K19</f>
        <v/>
      </c>
      <c r="L19" s="2">
        <f>K19+真實IC!L19</f>
        <v/>
      </c>
      <c r="M19" s="2">
        <f>L19+真實IC!M19</f>
        <v/>
      </c>
      <c r="N19" s="2">
        <f>M19+真實IC!N19</f>
        <v/>
      </c>
      <c r="O19" s="2">
        <f>N19+真實IC!O19</f>
        <v/>
      </c>
      <c r="P19" s="2">
        <f>O19+真實IC!P19</f>
        <v/>
      </c>
      <c r="Q19" s="2">
        <f>P19+真實IC!Q19</f>
        <v/>
      </c>
      <c r="R19" s="2">
        <f>Q19+真實IC!R19</f>
        <v/>
      </c>
      <c r="S19" s="2">
        <f>R19+真實IC!S19</f>
        <v/>
      </c>
      <c r="T19" s="2">
        <f>S19+真實IC!T19</f>
        <v/>
      </c>
      <c r="U19" s="2">
        <f>T19+真實IC!U19</f>
        <v/>
      </c>
      <c r="V19" s="2">
        <f>U19+真實IC!V19</f>
        <v/>
      </c>
      <c r="W19" s="2">
        <f>V19+真實IC!W19</f>
        <v/>
      </c>
      <c r="X19" s="2">
        <f>W19+真實IC!X19</f>
        <v/>
      </c>
      <c r="Y19" s="2">
        <f>X19+真實IC!Y19</f>
        <v/>
      </c>
      <c r="Z19" s="2">
        <f>Y19+真實IC!Z19</f>
        <v/>
      </c>
      <c r="AA19" s="2">
        <f>Z19+真實IC!AA19</f>
        <v/>
      </c>
      <c r="AB19" s="2">
        <f>AA19+真實IC!AB19</f>
        <v/>
      </c>
      <c r="AC19" s="2">
        <f>AB19+真實IC!AC19</f>
        <v/>
      </c>
      <c r="AD19" s="2">
        <f>AC19+真實IC!AD19</f>
        <v/>
      </c>
      <c r="AE19" s="2">
        <f>AD19+真實IC!AE19</f>
        <v/>
      </c>
      <c r="AF19" s="2">
        <f>AE19+真實IC!AF19</f>
        <v/>
      </c>
      <c r="AG19" s="2">
        <f>AF19+真實IC!AG19</f>
        <v/>
      </c>
      <c r="AH19" s="2">
        <f>AG19+真實IC!AH19</f>
        <v/>
      </c>
      <c r="AI19" s="2">
        <f>AH19+真實IC!AI19</f>
        <v/>
      </c>
      <c r="AJ19" s="2">
        <f>AI19+真實IC!AJ19</f>
        <v/>
      </c>
      <c r="AK19" s="2">
        <f>AJ19+真實IC!AK19</f>
        <v/>
      </c>
      <c r="AL19" s="2">
        <f>AK19+真實IC!AL19</f>
        <v/>
      </c>
      <c r="AM19" s="2">
        <f>AL19+真實IC!AM19</f>
        <v/>
      </c>
      <c r="AN19" s="2">
        <f>AM19+真實IC!AN19</f>
        <v/>
      </c>
      <c r="AO19" s="2">
        <f>AN19+真實IC!AO19</f>
        <v/>
      </c>
      <c r="AP19" s="2">
        <f>AO19+真實IC!AP19</f>
        <v/>
      </c>
      <c r="AQ19" s="2">
        <f>AP19+真實IC!AQ19</f>
        <v/>
      </c>
      <c r="AR19" s="2">
        <f>AQ19+真實IC!AR19</f>
        <v/>
      </c>
      <c r="AS19" s="2">
        <f>AR19+真實IC!AS19</f>
        <v/>
      </c>
      <c r="AT19" s="2">
        <f>AS19+真實IC!AT19</f>
        <v/>
      </c>
      <c r="AU19" s="2">
        <f>AT19+真實IC!AU19</f>
        <v/>
      </c>
      <c r="AV19" s="2">
        <f>AU19+真實IC!AV19</f>
        <v/>
      </c>
      <c r="AW19" s="2">
        <f>AV19+真實IC!AW19</f>
        <v/>
      </c>
      <c r="AX19" s="2">
        <f>AW19+真實IC!AX19</f>
        <v/>
      </c>
      <c r="AY19" s="2">
        <f>AX19+真實IC!AY19</f>
        <v/>
      </c>
      <c r="AZ19" s="2">
        <f>AY19+真實IC!AZ19</f>
        <v/>
      </c>
      <c r="BA19" s="2">
        <f>AZ19+真實IC!BA19</f>
        <v/>
      </c>
      <c r="BB19" s="2">
        <f>BA19+真實IC!BB19</f>
        <v/>
      </c>
      <c r="BC19" s="2">
        <f>BB19+真實IC!BC19</f>
        <v/>
      </c>
      <c r="BD19" s="2">
        <f>BC19+真實IC!BD19</f>
        <v/>
      </c>
      <c r="BE19" s="2">
        <f>BD19+真實IC!BE19</f>
        <v/>
      </c>
      <c r="BF19" s="2">
        <f>BE19+真實IC!BF19</f>
        <v/>
      </c>
      <c r="BG19" s="2">
        <f>BF19+真實IC!BG19</f>
        <v/>
      </c>
      <c r="BH19" s="2">
        <f>BG19+真實IC!BH19</f>
        <v/>
      </c>
      <c r="BI19" s="2">
        <f>BH19+真實IC!BI19</f>
        <v/>
      </c>
      <c r="BJ19" s="2">
        <f>BI19+真實IC!BJ19</f>
        <v/>
      </c>
      <c r="BK19" s="2">
        <f>BJ19+真實IC!BK19</f>
        <v/>
      </c>
      <c r="BL19" s="2">
        <f>BK19+真實IC!BL19</f>
        <v/>
      </c>
      <c r="BM19" s="2">
        <f>BL19+真實IC!BM19</f>
        <v/>
      </c>
      <c r="BN19" s="2">
        <f>BM19+真實IC!BN19</f>
        <v/>
      </c>
      <c r="BO19" s="2">
        <f>BN19+真實IC!BO19</f>
        <v/>
      </c>
      <c r="BP19" s="2">
        <f>BO19+真實IC!BP19</f>
        <v/>
      </c>
      <c r="BQ19" s="2">
        <f>BP19+真實IC!BQ19</f>
        <v/>
      </c>
      <c r="BR19" s="2">
        <f>BQ19+真實IC!BR19</f>
        <v/>
      </c>
      <c r="BS19" s="2">
        <f>BR19+真實IC!BS19</f>
        <v/>
      </c>
      <c r="BT19" s="2">
        <f>BS19+真實IC!BT19</f>
        <v/>
      </c>
      <c r="BU19" s="2">
        <f>BT19+真實IC!BU19</f>
        <v/>
      </c>
      <c r="BV19" s="2">
        <f>BU19+真實IC!BV19</f>
        <v/>
      </c>
      <c r="BW19" s="2">
        <f>BV19+真實IC!BW19</f>
        <v/>
      </c>
      <c r="BX19" s="2">
        <f>BW19+真實IC!BX19</f>
        <v/>
      </c>
      <c r="BY19" s="2">
        <f>BX19+真實IC!BY19</f>
        <v/>
      </c>
      <c r="BZ19" s="2">
        <f>BY19+真實IC!BZ19</f>
        <v/>
      </c>
      <c r="CA19" s="2">
        <f>BZ19+真實IC!CA19</f>
        <v/>
      </c>
      <c r="CB19" s="2">
        <f>CA19+真實IC!CB19</f>
        <v/>
      </c>
      <c r="CC19" s="2">
        <f>CB19+真實IC!CC19</f>
        <v/>
      </c>
      <c r="CD19" s="2">
        <f>CC19+真實IC!CD19</f>
        <v/>
      </c>
      <c r="CE19" s="2">
        <f>CD19+真實IC!CE19</f>
        <v/>
      </c>
      <c r="CF19" s="2">
        <f>CE19+真實IC!CF19</f>
        <v/>
      </c>
      <c r="CG19" s="2">
        <f>CF19+真實IC!CG19</f>
        <v/>
      </c>
      <c r="CH19" s="2">
        <f>CG19+真實IC!CH19</f>
        <v/>
      </c>
      <c r="CI19" s="2">
        <f>CH19+真實IC!CI19</f>
        <v/>
      </c>
      <c r="CJ19" s="2">
        <f>CI19+真實IC!CJ19</f>
        <v/>
      </c>
      <c r="CK19" s="2">
        <f>CJ19+真實IC!CK19</f>
        <v/>
      </c>
      <c r="CL19" s="2">
        <f>CK19+真實IC!CL19</f>
        <v/>
      </c>
      <c r="CM19" s="2">
        <f>CL19+真實IC!CM19</f>
        <v/>
      </c>
      <c r="CN19" s="2">
        <f>CM19+真實IC!CN19</f>
        <v/>
      </c>
      <c r="CO19" s="2">
        <f>CN19+真實IC!CO19</f>
        <v/>
      </c>
      <c r="CP19" s="2">
        <f>CO19+真實IC!CP19</f>
        <v/>
      </c>
      <c r="CQ19" s="2">
        <f>CP19+真實IC!CQ19</f>
        <v/>
      </c>
      <c r="CR19" s="2">
        <f>CQ19+真實IC!CR19</f>
        <v/>
      </c>
      <c r="CS19" s="2">
        <f>CR19+真實IC!CS19</f>
        <v/>
      </c>
      <c r="CT19" s="2">
        <f>CS19+真實IC!CT19</f>
        <v/>
      </c>
      <c r="CU19" s="2">
        <f>CT19+真實IC!CU19</f>
        <v/>
      </c>
      <c r="CV19" s="2">
        <f>CU19+真實IC!CV19</f>
        <v/>
      </c>
      <c r="CW19" s="2">
        <f>CV19+真實IC!CW19</f>
        <v/>
      </c>
      <c r="CX19" s="2">
        <f>CW19+真實IC!CX19</f>
        <v/>
      </c>
      <c r="CY19" s="2">
        <f>CX19+真實IC!CY19</f>
        <v/>
      </c>
      <c r="CZ19" s="2">
        <f>CY19+真實IC!CZ19</f>
        <v/>
      </c>
      <c r="DA19" s="2">
        <f>CZ19+真實IC!DA19</f>
        <v/>
      </c>
      <c r="DB19" s="2">
        <f>DA19+真實IC!DB19</f>
        <v/>
      </c>
      <c r="DC19" s="2">
        <f>DB19+真實IC!DC19</f>
        <v/>
      </c>
      <c r="DD19" s="2">
        <f>DC19+真實IC!DD19</f>
        <v/>
      </c>
      <c r="DE19" s="2">
        <f>DD19+真實IC!DE19</f>
        <v/>
      </c>
      <c r="DF19" s="2">
        <f>DE19+真實IC!DF19</f>
        <v/>
      </c>
      <c r="DG19" s="2">
        <f>DF19+真實IC!DG19</f>
        <v/>
      </c>
      <c r="DH19" s="2">
        <f>DG19+真實IC!DH19</f>
        <v/>
      </c>
      <c r="DI19" s="2">
        <f>DH19+真實IC!DI19</f>
        <v/>
      </c>
      <c r="DJ19" s="2">
        <f>DI19+真實IC!DJ19</f>
        <v/>
      </c>
      <c r="DK19" s="2">
        <f>DJ19+真實IC!DK19</f>
        <v/>
      </c>
      <c r="DL19" s="2">
        <f>DK19+真實IC!DL19</f>
        <v/>
      </c>
      <c r="DM19" s="2">
        <f>DL19+真實IC!DM19</f>
        <v/>
      </c>
      <c r="DN19" s="2">
        <f>DM19+真實IC!DN19</f>
        <v/>
      </c>
      <c r="DO19" s="2">
        <f>DN19+真實IC!DO19</f>
        <v/>
      </c>
      <c r="DP19" s="2">
        <f>DO19+真實IC!DP19</f>
        <v/>
      </c>
      <c r="DQ19" s="2">
        <f>DP19+真實IC!DQ19</f>
        <v/>
      </c>
      <c r="DR19" s="2">
        <f>DQ19+真實IC!DR19</f>
        <v/>
      </c>
      <c r="DS19" s="2">
        <f>DR19+真實IC!DS19</f>
        <v/>
      </c>
      <c r="DT19" s="2">
        <f>DS19+真實IC!DT19</f>
        <v/>
      </c>
      <c r="DU19" s="2">
        <f>DT19+真實IC!DU19</f>
        <v/>
      </c>
      <c r="DV19" s="2">
        <f>DU19+真實IC!DV19</f>
        <v/>
      </c>
      <c r="DW19" s="2">
        <f>DV19+真實IC!DW19</f>
        <v/>
      </c>
      <c r="DX19" s="2">
        <f>DW19+真實IC!DX19</f>
        <v/>
      </c>
      <c r="DY19" s="2">
        <f>DX19+真實IC!DY19</f>
        <v/>
      </c>
      <c r="DZ19" s="2">
        <f>DY19+真實IC!DZ19</f>
        <v/>
      </c>
      <c r="EA19" s="2">
        <f>DZ19+真實IC!EA19</f>
        <v/>
      </c>
      <c r="EB19" s="2">
        <f>EA19+真實IC!EB19</f>
        <v/>
      </c>
      <c r="EC19" s="2">
        <f>EB19+真實IC!EC19</f>
        <v/>
      </c>
      <c r="ED19" s="2">
        <f>EC19+真實IC!ED19</f>
        <v/>
      </c>
      <c r="EE19" s="2">
        <f>ED19+真實IC!EE19</f>
        <v/>
      </c>
      <c r="EF19" s="2">
        <f>EE19+真實IC!EF19</f>
        <v/>
      </c>
      <c r="EG19" s="2">
        <f>EF19+真實IC!EG19</f>
        <v/>
      </c>
      <c r="EH19" s="2">
        <f>EG19+真實IC!EH19</f>
        <v/>
      </c>
      <c r="EI19" s="2">
        <f>EH19+真實IC!EI19</f>
        <v/>
      </c>
      <c r="EJ19" s="2">
        <f>EI19+真實IC!EJ19</f>
        <v/>
      </c>
      <c r="EK19" s="2">
        <f>EJ19+真實IC!EK19</f>
        <v/>
      </c>
      <c r="EL19" s="2">
        <f>EK19+真實IC!EL19</f>
        <v/>
      </c>
    </row>
    <row r="20">
      <c r="A20" s="13" t="n"/>
      <c r="B20" s="13" t="n">
        <v>200</v>
      </c>
      <c r="C20" s="2" t="n">
        <v>0.241035745977561</v>
      </c>
      <c r="D20" s="2">
        <f>C20+真實IC!D20</f>
        <v/>
      </c>
      <c r="E20" s="2">
        <f>D20+真實IC!E20</f>
        <v/>
      </c>
      <c r="F20" s="2">
        <f>E20+真實IC!F20</f>
        <v/>
      </c>
      <c r="G20" s="2">
        <f>F20+真實IC!G20</f>
        <v/>
      </c>
      <c r="H20" s="2">
        <f>G20+真實IC!H20</f>
        <v/>
      </c>
      <c r="I20" s="2">
        <f>H20+真實IC!I20</f>
        <v/>
      </c>
      <c r="J20" s="2">
        <f>I20+真實IC!J20</f>
        <v/>
      </c>
      <c r="K20" s="2">
        <f>J20+真實IC!K20</f>
        <v/>
      </c>
      <c r="L20" s="2">
        <f>K20+真實IC!L20</f>
        <v/>
      </c>
      <c r="M20" s="2">
        <f>L20+真實IC!M20</f>
        <v/>
      </c>
      <c r="N20" s="2">
        <f>M20+真實IC!N20</f>
        <v/>
      </c>
      <c r="O20" s="2">
        <f>N20+真實IC!O20</f>
        <v/>
      </c>
      <c r="P20" s="2">
        <f>O20+真實IC!P20</f>
        <v/>
      </c>
      <c r="Q20" s="2">
        <f>P20+真實IC!Q20</f>
        <v/>
      </c>
      <c r="R20" s="2">
        <f>Q20+真實IC!R20</f>
        <v/>
      </c>
      <c r="S20" s="2">
        <f>R20+真實IC!S20</f>
        <v/>
      </c>
      <c r="T20" s="2">
        <f>S20+真實IC!T20</f>
        <v/>
      </c>
      <c r="U20" s="2">
        <f>T20+真實IC!U20</f>
        <v/>
      </c>
      <c r="V20" s="2">
        <f>U20+真實IC!V20</f>
        <v/>
      </c>
      <c r="W20" s="2">
        <f>V20+真實IC!W20</f>
        <v/>
      </c>
      <c r="X20" s="2">
        <f>W20+真實IC!X20</f>
        <v/>
      </c>
      <c r="Y20" s="2">
        <f>X20+真實IC!Y20</f>
        <v/>
      </c>
      <c r="Z20" s="2">
        <f>Y20+真實IC!Z20</f>
        <v/>
      </c>
      <c r="AA20" s="2">
        <f>Z20+真實IC!AA20</f>
        <v/>
      </c>
      <c r="AB20" s="2">
        <f>AA20+真實IC!AB20</f>
        <v/>
      </c>
      <c r="AC20" s="2">
        <f>AB20+真實IC!AC20</f>
        <v/>
      </c>
      <c r="AD20" s="2">
        <f>AC20+真實IC!AD20</f>
        <v/>
      </c>
      <c r="AE20" s="2">
        <f>AD20+真實IC!AE20</f>
        <v/>
      </c>
      <c r="AF20" s="2">
        <f>AE20+真實IC!AF20</f>
        <v/>
      </c>
      <c r="AG20" s="2">
        <f>AF20+真實IC!AG20</f>
        <v/>
      </c>
      <c r="AH20" s="2">
        <f>AG20+真實IC!AH20</f>
        <v/>
      </c>
      <c r="AI20" s="2">
        <f>AH20+真實IC!AI20</f>
        <v/>
      </c>
      <c r="AJ20" s="2">
        <f>AI20+真實IC!AJ20</f>
        <v/>
      </c>
      <c r="AK20" s="2">
        <f>AJ20+真實IC!AK20</f>
        <v/>
      </c>
      <c r="AL20" s="2">
        <f>AK20+真實IC!AL20</f>
        <v/>
      </c>
      <c r="AM20" s="2">
        <f>AL20+真實IC!AM20</f>
        <v/>
      </c>
      <c r="AN20" s="2">
        <f>AM20+真實IC!AN20</f>
        <v/>
      </c>
      <c r="AO20" s="2">
        <f>AN20+真實IC!AO20</f>
        <v/>
      </c>
      <c r="AP20" s="2">
        <f>AO20+真實IC!AP20</f>
        <v/>
      </c>
      <c r="AQ20" s="2">
        <f>AP20+真實IC!AQ20</f>
        <v/>
      </c>
      <c r="AR20" s="2">
        <f>AQ20+真實IC!AR20</f>
        <v/>
      </c>
      <c r="AS20" s="2">
        <f>AR20+真實IC!AS20</f>
        <v/>
      </c>
      <c r="AT20" s="2">
        <f>AS20+真實IC!AT20</f>
        <v/>
      </c>
      <c r="AU20" s="2">
        <f>AT20+真實IC!AU20</f>
        <v/>
      </c>
      <c r="AV20" s="2">
        <f>AU20+真實IC!AV20</f>
        <v/>
      </c>
      <c r="AW20" s="2">
        <f>AV20+真實IC!AW20</f>
        <v/>
      </c>
      <c r="AX20" s="2">
        <f>AW20+真實IC!AX20</f>
        <v/>
      </c>
      <c r="AY20" s="2">
        <f>AX20+真實IC!AY20</f>
        <v/>
      </c>
      <c r="AZ20" s="2">
        <f>AY20+真實IC!AZ20</f>
        <v/>
      </c>
      <c r="BA20" s="2">
        <f>AZ20+真實IC!BA20</f>
        <v/>
      </c>
      <c r="BB20" s="2">
        <f>BA20+真實IC!BB20</f>
        <v/>
      </c>
      <c r="BC20" s="2">
        <f>BB20+真實IC!BC20</f>
        <v/>
      </c>
      <c r="BD20" s="2">
        <f>BC20+真實IC!BD20</f>
        <v/>
      </c>
      <c r="BE20" s="2">
        <f>BD20+真實IC!BE20</f>
        <v/>
      </c>
      <c r="BF20" s="2">
        <f>BE20+真實IC!BF20</f>
        <v/>
      </c>
      <c r="BG20" s="2">
        <f>BF20+真實IC!BG20</f>
        <v/>
      </c>
      <c r="BH20" s="2">
        <f>BG20+真實IC!BH20</f>
        <v/>
      </c>
      <c r="BI20" s="2">
        <f>BH20+真實IC!BI20</f>
        <v/>
      </c>
      <c r="BJ20" s="2">
        <f>BI20+真實IC!BJ20</f>
        <v/>
      </c>
      <c r="BK20" s="2">
        <f>BJ20+真實IC!BK20</f>
        <v/>
      </c>
      <c r="BL20" s="2">
        <f>BK20+真實IC!BL20</f>
        <v/>
      </c>
      <c r="BM20" s="2">
        <f>BL20+真實IC!BM20</f>
        <v/>
      </c>
      <c r="BN20" s="2">
        <f>BM20+真實IC!BN20</f>
        <v/>
      </c>
      <c r="BO20" s="2">
        <f>BN20+真實IC!BO20</f>
        <v/>
      </c>
      <c r="BP20" s="2">
        <f>BO20+真實IC!BP20</f>
        <v/>
      </c>
      <c r="BQ20" s="2">
        <f>BP20+真實IC!BQ20</f>
        <v/>
      </c>
      <c r="BR20" s="2">
        <f>BQ20+真實IC!BR20</f>
        <v/>
      </c>
      <c r="BS20" s="2">
        <f>BR20+真實IC!BS20</f>
        <v/>
      </c>
      <c r="BT20" s="2">
        <f>BS20+真實IC!BT20</f>
        <v/>
      </c>
      <c r="BU20" s="2">
        <f>BT20+真實IC!BU20</f>
        <v/>
      </c>
      <c r="BV20" s="2">
        <f>BU20+真實IC!BV20</f>
        <v/>
      </c>
      <c r="BW20" s="2">
        <f>BV20+真實IC!BW20</f>
        <v/>
      </c>
      <c r="BX20" s="2">
        <f>BW20+真實IC!BX20</f>
        <v/>
      </c>
      <c r="BY20" s="2">
        <f>BX20+真實IC!BY20</f>
        <v/>
      </c>
      <c r="BZ20" s="2">
        <f>BY20+真實IC!BZ20</f>
        <v/>
      </c>
      <c r="CA20" s="2">
        <f>BZ20+真實IC!CA20</f>
        <v/>
      </c>
      <c r="CB20" s="2">
        <f>CA20+真實IC!CB20</f>
        <v/>
      </c>
      <c r="CC20" s="2">
        <f>CB20+真實IC!CC20</f>
        <v/>
      </c>
      <c r="CD20" s="2">
        <f>CC20+真實IC!CD20</f>
        <v/>
      </c>
      <c r="CE20" s="2">
        <f>CD20+真實IC!CE20</f>
        <v/>
      </c>
      <c r="CF20" s="2">
        <f>CE20+真實IC!CF20</f>
        <v/>
      </c>
      <c r="CG20" s="2">
        <f>CF20+真實IC!CG20</f>
        <v/>
      </c>
      <c r="CH20" s="2">
        <f>CG20+真實IC!CH20</f>
        <v/>
      </c>
      <c r="CI20" s="2">
        <f>CH20+真實IC!CI20</f>
        <v/>
      </c>
      <c r="CJ20" s="2">
        <f>CI20+真實IC!CJ20</f>
        <v/>
      </c>
      <c r="CK20" s="2">
        <f>CJ20+真實IC!CK20</f>
        <v/>
      </c>
      <c r="CL20" s="2">
        <f>CK20+真實IC!CL20</f>
        <v/>
      </c>
      <c r="CM20" s="2">
        <f>CL20+真實IC!CM20</f>
        <v/>
      </c>
      <c r="CN20" s="2">
        <f>CM20+真實IC!CN20</f>
        <v/>
      </c>
      <c r="CO20" s="2">
        <f>CN20+真實IC!CO20</f>
        <v/>
      </c>
      <c r="CP20" s="2">
        <f>CO20+真實IC!CP20</f>
        <v/>
      </c>
      <c r="CQ20" s="2">
        <f>CP20+真實IC!CQ20</f>
        <v/>
      </c>
      <c r="CR20" s="2">
        <f>CQ20+真實IC!CR20</f>
        <v/>
      </c>
      <c r="CS20" s="2">
        <f>CR20+真實IC!CS20</f>
        <v/>
      </c>
      <c r="CT20" s="2">
        <f>CS20+真實IC!CT20</f>
        <v/>
      </c>
      <c r="CU20" s="2">
        <f>CT20+真實IC!CU20</f>
        <v/>
      </c>
      <c r="CV20" s="2">
        <f>CU20+真實IC!CV20</f>
        <v/>
      </c>
      <c r="CW20" s="2">
        <f>CV20+真實IC!CW20</f>
        <v/>
      </c>
      <c r="CX20" s="2">
        <f>CW20+真實IC!CX20</f>
        <v/>
      </c>
      <c r="CY20" s="2">
        <f>CX20+真實IC!CY20</f>
        <v/>
      </c>
      <c r="CZ20" s="2">
        <f>CY20+真實IC!CZ20</f>
        <v/>
      </c>
      <c r="DA20" s="2">
        <f>CZ20+真實IC!DA20</f>
        <v/>
      </c>
      <c r="DB20" s="2">
        <f>DA20+真實IC!DB20</f>
        <v/>
      </c>
      <c r="DC20" s="2">
        <f>DB20+真實IC!DC20</f>
        <v/>
      </c>
      <c r="DD20" s="2">
        <f>DC20+真實IC!DD20</f>
        <v/>
      </c>
      <c r="DE20" s="2">
        <f>DD20+真實IC!DE20</f>
        <v/>
      </c>
      <c r="DF20" s="2">
        <f>DE20+真實IC!DF20</f>
        <v/>
      </c>
      <c r="DG20" s="2">
        <f>DF20+真實IC!DG20</f>
        <v/>
      </c>
      <c r="DH20" s="2">
        <f>DG20+真實IC!DH20</f>
        <v/>
      </c>
      <c r="DI20" s="2">
        <f>DH20+真實IC!DI20</f>
        <v/>
      </c>
      <c r="DJ20" s="2">
        <f>DI20+真實IC!DJ20</f>
        <v/>
      </c>
      <c r="DK20" s="2">
        <f>DJ20+真實IC!DK20</f>
        <v/>
      </c>
      <c r="DL20" s="2">
        <f>DK20+真實IC!DL20</f>
        <v/>
      </c>
      <c r="DM20" s="2">
        <f>DL20+真實IC!DM20</f>
        <v/>
      </c>
      <c r="DN20" s="2">
        <f>DM20+真實IC!DN20</f>
        <v/>
      </c>
      <c r="DO20" s="2">
        <f>DN20+真實IC!DO20</f>
        <v/>
      </c>
      <c r="DP20" s="2">
        <f>DO20+真實IC!DP20</f>
        <v/>
      </c>
      <c r="DQ20" s="2">
        <f>DP20+真實IC!DQ20</f>
        <v/>
      </c>
      <c r="DR20" s="2">
        <f>DQ20+真實IC!DR20</f>
        <v/>
      </c>
      <c r="DS20" s="2">
        <f>DR20+真實IC!DS20</f>
        <v/>
      </c>
      <c r="DT20" s="2">
        <f>DS20+真實IC!DT20</f>
        <v/>
      </c>
      <c r="DU20" s="2">
        <f>DT20+真實IC!DU20</f>
        <v/>
      </c>
      <c r="DV20" s="2">
        <f>DU20+真實IC!DV20</f>
        <v/>
      </c>
      <c r="DW20" s="2">
        <f>DV20+真實IC!DW20</f>
        <v/>
      </c>
      <c r="DX20" s="2">
        <f>DW20+真實IC!DX20</f>
        <v/>
      </c>
      <c r="DY20" s="2">
        <f>DX20+真實IC!DY20</f>
        <v/>
      </c>
      <c r="DZ20" s="2">
        <f>DY20+真實IC!DZ20</f>
        <v/>
      </c>
      <c r="EA20" s="2">
        <f>DZ20+真實IC!EA20</f>
        <v/>
      </c>
      <c r="EB20" s="2">
        <f>EA20+真實IC!EB20</f>
        <v/>
      </c>
      <c r="EC20" s="2">
        <f>EB20+真實IC!EC20</f>
        <v/>
      </c>
      <c r="ED20" s="2">
        <f>EC20+真實IC!ED20</f>
        <v/>
      </c>
      <c r="EE20" s="2">
        <f>ED20+真實IC!EE20</f>
        <v/>
      </c>
      <c r="EF20" s="2">
        <f>EE20+真實IC!EF20</f>
        <v/>
      </c>
      <c r="EG20" s="2">
        <f>EF20+真實IC!EG20</f>
        <v/>
      </c>
      <c r="EH20" s="2">
        <f>EG20+真實IC!EH20</f>
        <v/>
      </c>
      <c r="EI20" s="2">
        <f>EH20+真實IC!EI20</f>
        <v/>
      </c>
      <c r="EJ20" s="2">
        <f>EI20+真實IC!EJ20</f>
        <v/>
      </c>
      <c r="EK20" s="2">
        <f>EJ20+真實IC!EK20</f>
        <v/>
      </c>
      <c r="EL20" s="2">
        <f>EK20+真實IC!EL20</f>
        <v/>
      </c>
    </row>
    <row r="21">
      <c r="A21" s="13" t="n"/>
      <c r="B21" s="13" t="n">
        <v>256</v>
      </c>
      <c r="C21" s="2" t="n">
        <v>0.2490064650579937</v>
      </c>
      <c r="D21" s="2">
        <f>C21+真實IC!D21</f>
        <v/>
      </c>
      <c r="E21" s="2">
        <f>D21+真實IC!E21</f>
        <v/>
      </c>
      <c r="F21" s="2">
        <f>E21+真實IC!F21</f>
        <v/>
      </c>
      <c r="G21" s="2">
        <f>F21+真實IC!G21</f>
        <v/>
      </c>
      <c r="H21" s="2">
        <f>G21+真實IC!H21</f>
        <v/>
      </c>
      <c r="I21" s="2">
        <f>H21+真實IC!I21</f>
        <v/>
      </c>
      <c r="J21" s="2">
        <f>I21+真實IC!J21</f>
        <v/>
      </c>
      <c r="K21" s="2">
        <f>J21+真實IC!K21</f>
        <v/>
      </c>
      <c r="L21" s="2">
        <f>K21+真實IC!L21</f>
        <v/>
      </c>
      <c r="M21" s="2">
        <f>L21+真實IC!M21</f>
        <v/>
      </c>
      <c r="N21" s="2">
        <f>M21+真實IC!N21</f>
        <v/>
      </c>
      <c r="O21" s="2">
        <f>N21+真實IC!O21</f>
        <v/>
      </c>
      <c r="P21" s="2">
        <f>O21+真實IC!P21</f>
        <v/>
      </c>
      <c r="Q21" s="2">
        <f>P21+真實IC!Q21</f>
        <v/>
      </c>
      <c r="R21" s="2">
        <f>Q21+真實IC!R21</f>
        <v/>
      </c>
      <c r="S21" s="2">
        <f>R21+真實IC!S21</f>
        <v/>
      </c>
      <c r="T21" s="2">
        <f>S21+真實IC!T21</f>
        <v/>
      </c>
      <c r="U21" s="2">
        <f>T21+真實IC!U21</f>
        <v/>
      </c>
      <c r="V21" s="2">
        <f>U21+真實IC!V21</f>
        <v/>
      </c>
      <c r="W21" s="2">
        <f>V21+真實IC!W21</f>
        <v/>
      </c>
      <c r="X21" s="2">
        <f>W21+真實IC!X21</f>
        <v/>
      </c>
      <c r="Y21" s="2">
        <f>X21+真實IC!Y21</f>
        <v/>
      </c>
      <c r="Z21" s="2">
        <f>Y21+真實IC!Z21</f>
        <v/>
      </c>
      <c r="AA21" s="2">
        <f>Z21+真實IC!AA21</f>
        <v/>
      </c>
      <c r="AB21" s="2">
        <f>AA21+真實IC!AB21</f>
        <v/>
      </c>
      <c r="AC21" s="2">
        <f>AB21+真實IC!AC21</f>
        <v/>
      </c>
      <c r="AD21" s="2">
        <f>AC21+真實IC!AD21</f>
        <v/>
      </c>
      <c r="AE21" s="2">
        <f>AD21+真實IC!AE21</f>
        <v/>
      </c>
      <c r="AF21" s="2">
        <f>AE21+真實IC!AF21</f>
        <v/>
      </c>
      <c r="AG21" s="2">
        <f>AF21+真實IC!AG21</f>
        <v/>
      </c>
      <c r="AH21" s="2">
        <f>AG21+真實IC!AH21</f>
        <v/>
      </c>
      <c r="AI21" s="2">
        <f>AH21+真實IC!AI21</f>
        <v/>
      </c>
      <c r="AJ21" s="2">
        <f>AI21+真實IC!AJ21</f>
        <v/>
      </c>
      <c r="AK21" s="2">
        <f>AJ21+真實IC!AK21</f>
        <v/>
      </c>
      <c r="AL21" s="2">
        <f>AK21+真實IC!AL21</f>
        <v/>
      </c>
      <c r="AM21" s="2">
        <f>AL21+真實IC!AM21</f>
        <v/>
      </c>
      <c r="AN21" s="2">
        <f>AM21+真實IC!AN21</f>
        <v/>
      </c>
      <c r="AO21" s="2">
        <f>AN21+真實IC!AO21</f>
        <v/>
      </c>
      <c r="AP21" s="2">
        <f>AO21+真實IC!AP21</f>
        <v/>
      </c>
      <c r="AQ21" s="2">
        <f>AP21+真實IC!AQ21</f>
        <v/>
      </c>
      <c r="AR21" s="2">
        <f>AQ21+真實IC!AR21</f>
        <v/>
      </c>
      <c r="AS21" s="2">
        <f>AR21+真實IC!AS21</f>
        <v/>
      </c>
      <c r="AT21" s="2">
        <f>AS21+真實IC!AT21</f>
        <v/>
      </c>
      <c r="AU21" s="2">
        <f>AT21+真實IC!AU21</f>
        <v/>
      </c>
      <c r="AV21" s="2">
        <f>AU21+真實IC!AV21</f>
        <v/>
      </c>
      <c r="AW21" s="2">
        <f>AV21+真實IC!AW21</f>
        <v/>
      </c>
      <c r="AX21" s="2">
        <f>AW21+真實IC!AX21</f>
        <v/>
      </c>
      <c r="AY21" s="2">
        <f>AX21+真實IC!AY21</f>
        <v/>
      </c>
      <c r="AZ21" s="2">
        <f>AY21+真實IC!AZ21</f>
        <v/>
      </c>
      <c r="BA21" s="2">
        <f>AZ21+真實IC!BA21</f>
        <v/>
      </c>
      <c r="BB21" s="2">
        <f>BA21+真實IC!BB21</f>
        <v/>
      </c>
      <c r="BC21" s="2">
        <f>BB21+真實IC!BC21</f>
        <v/>
      </c>
      <c r="BD21" s="2">
        <f>BC21+真實IC!BD21</f>
        <v/>
      </c>
      <c r="BE21" s="2">
        <f>BD21+真實IC!BE21</f>
        <v/>
      </c>
      <c r="BF21" s="2">
        <f>BE21+真實IC!BF21</f>
        <v/>
      </c>
      <c r="BG21" s="2">
        <f>BF21+真實IC!BG21</f>
        <v/>
      </c>
      <c r="BH21" s="2">
        <f>BG21+真實IC!BH21</f>
        <v/>
      </c>
      <c r="BI21" s="2">
        <f>BH21+真實IC!BI21</f>
        <v/>
      </c>
      <c r="BJ21" s="2">
        <f>BI21+真實IC!BJ21</f>
        <v/>
      </c>
      <c r="BK21" s="2">
        <f>BJ21+真實IC!BK21</f>
        <v/>
      </c>
      <c r="BL21" s="2">
        <f>BK21+真實IC!BL21</f>
        <v/>
      </c>
      <c r="BM21" s="2">
        <f>BL21+真實IC!BM21</f>
        <v/>
      </c>
      <c r="BN21" s="2">
        <f>BM21+真實IC!BN21</f>
        <v/>
      </c>
      <c r="BO21" s="2">
        <f>BN21+真實IC!BO21</f>
        <v/>
      </c>
      <c r="BP21" s="2">
        <f>BO21+真實IC!BP21</f>
        <v/>
      </c>
      <c r="BQ21" s="2">
        <f>BP21+真實IC!BQ21</f>
        <v/>
      </c>
      <c r="BR21" s="2">
        <f>BQ21+真實IC!BR21</f>
        <v/>
      </c>
      <c r="BS21" s="2">
        <f>BR21+真實IC!BS21</f>
        <v/>
      </c>
      <c r="BT21" s="2">
        <f>BS21+真實IC!BT21</f>
        <v/>
      </c>
      <c r="BU21" s="2">
        <f>BT21+真實IC!BU21</f>
        <v/>
      </c>
      <c r="BV21" s="2">
        <f>BU21+真實IC!BV21</f>
        <v/>
      </c>
      <c r="BW21" s="2">
        <f>BV21+真實IC!BW21</f>
        <v/>
      </c>
      <c r="BX21" s="2">
        <f>BW21+真實IC!BX21</f>
        <v/>
      </c>
      <c r="BY21" s="2">
        <f>BX21+真實IC!BY21</f>
        <v/>
      </c>
      <c r="BZ21" s="2">
        <f>BY21+真實IC!BZ21</f>
        <v/>
      </c>
      <c r="CA21" s="2">
        <f>BZ21+真實IC!CA21</f>
        <v/>
      </c>
      <c r="CB21" s="2">
        <f>CA21+真實IC!CB21</f>
        <v/>
      </c>
      <c r="CC21" s="2">
        <f>CB21+真實IC!CC21</f>
        <v/>
      </c>
      <c r="CD21" s="2">
        <f>CC21+真實IC!CD21</f>
        <v/>
      </c>
      <c r="CE21" s="2">
        <f>CD21+真實IC!CE21</f>
        <v/>
      </c>
      <c r="CF21" s="2">
        <f>CE21+真實IC!CF21</f>
        <v/>
      </c>
      <c r="CG21" s="2">
        <f>CF21+真實IC!CG21</f>
        <v/>
      </c>
      <c r="CH21" s="2">
        <f>CG21+真實IC!CH21</f>
        <v/>
      </c>
      <c r="CI21" s="2">
        <f>CH21+真實IC!CI21</f>
        <v/>
      </c>
      <c r="CJ21" s="2">
        <f>CI21+真實IC!CJ21</f>
        <v/>
      </c>
      <c r="CK21" s="2">
        <f>CJ21+真實IC!CK21</f>
        <v/>
      </c>
      <c r="CL21" s="2">
        <f>CK21+真實IC!CL21</f>
        <v/>
      </c>
      <c r="CM21" s="2">
        <f>CL21+真實IC!CM21</f>
        <v/>
      </c>
      <c r="CN21" s="2">
        <f>CM21+真實IC!CN21</f>
        <v/>
      </c>
      <c r="CO21" s="2">
        <f>CN21+真實IC!CO21</f>
        <v/>
      </c>
      <c r="CP21" s="2">
        <f>CO21+真實IC!CP21</f>
        <v/>
      </c>
      <c r="CQ21" s="2">
        <f>CP21+真實IC!CQ21</f>
        <v/>
      </c>
      <c r="CR21" s="2">
        <f>CQ21+真實IC!CR21</f>
        <v/>
      </c>
      <c r="CS21" s="2">
        <f>CR21+真實IC!CS21</f>
        <v/>
      </c>
      <c r="CT21" s="2">
        <f>CS21+真實IC!CT21</f>
        <v/>
      </c>
      <c r="CU21" s="2">
        <f>CT21+真實IC!CU21</f>
        <v/>
      </c>
      <c r="CV21" s="2">
        <f>CU21+真實IC!CV21</f>
        <v/>
      </c>
      <c r="CW21" s="2">
        <f>CV21+真實IC!CW21</f>
        <v/>
      </c>
      <c r="CX21" s="2">
        <f>CW21+真實IC!CX21</f>
        <v/>
      </c>
      <c r="CY21" s="2">
        <f>CX21+真實IC!CY21</f>
        <v/>
      </c>
      <c r="CZ21" s="2">
        <f>CY21+真實IC!CZ21</f>
        <v/>
      </c>
      <c r="DA21" s="2">
        <f>CZ21+真實IC!DA21</f>
        <v/>
      </c>
      <c r="DB21" s="2">
        <f>DA21+真實IC!DB21</f>
        <v/>
      </c>
      <c r="DC21" s="2">
        <f>DB21+真實IC!DC21</f>
        <v/>
      </c>
      <c r="DD21" s="2">
        <f>DC21+真實IC!DD21</f>
        <v/>
      </c>
      <c r="DE21" s="2">
        <f>DD21+真實IC!DE21</f>
        <v/>
      </c>
      <c r="DF21" s="2">
        <f>DE21+真實IC!DF21</f>
        <v/>
      </c>
      <c r="DG21" s="2">
        <f>DF21+真實IC!DG21</f>
        <v/>
      </c>
      <c r="DH21" s="2">
        <f>DG21+真實IC!DH21</f>
        <v/>
      </c>
      <c r="DI21" s="2">
        <f>DH21+真實IC!DI21</f>
        <v/>
      </c>
      <c r="DJ21" s="2">
        <f>DI21+真實IC!DJ21</f>
        <v/>
      </c>
      <c r="DK21" s="2">
        <f>DJ21+真實IC!DK21</f>
        <v/>
      </c>
      <c r="DL21" s="2">
        <f>DK21+真實IC!DL21</f>
        <v/>
      </c>
      <c r="DM21" s="2">
        <f>DL21+真實IC!DM21</f>
        <v/>
      </c>
      <c r="DN21" s="2">
        <f>DM21+真實IC!DN21</f>
        <v/>
      </c>
      <c r="DO21" s="2">
        <f>DN21+真實IC!DO21</f>
        <v/>
      </c>
      <c r="DP21" s="2">
        <f>DO21+真實IC!DP21</f>
        <v/>
      </c>
      <c r="DQ21" s="2">
        <f>DP21+真實IC!DQ21</f>
        <v/>
      </c>
      <c r="DR21" s="2">
        <f>DQ21+真實IC!DR21</f>
        <v/>
      </c>
      <c r="DS21" s="2">
        <f>DR21+真實IC!DS21</f>
        <v/>
      </c>
      <c r="DT21" s="2">
        <f>DS21+真實IC!DT21</f>
        <v/>
      </c>
      <c r="DU21" s="2">
        <f>DT21+真實IC!DU21</f>
        <v/>
      </c>
      <c r="DV21" s="2">
        <f>DU21+真實IC!DV21</f>
        <v/>
      </c>
      <c r="DW21" s="2">
        <f>DV21+真實IC!DW21</f>
        <v/>
      </c>
      <c r="DX21" s="2">
        <f>DW21+真實IC!DX21</f>
        <v/>
      </c>
      <c r="DY21" s="2">
        <f>DX21+真實IC!DY21</f>
        <v/>
      </c>
      <c r="DZ21" s="2">
        <f>DY21+真實IC!DZ21</f>
        <v/>
      </c>
      <c r="EA21" s="2">
        <f>DZ21+真實IC!EA21</f>
        <v/>
      </c>
      <c r="EB21" s="2">
        <f>EA21+真實IC!EB21</f>
        <v/>
      </c>
      <c r="EC21" s="2">
        <f>EB21+真實IC!EC21</f>
        <v/>
      </c>
      <c r="ED21" s="2">
        <f>EC21+真實IC!ED21</f>
        <v/>
      </c>
      <c r="EE21" s="2">
        <f>ED21+真實IC!EE21</f>
        <v/>
      </c>
      <c r="EF21" s="2">
        <f>EE21+真實IC!EF21</f>
        <v/>
      </c>
      <c r="EG21" s="2">
        <f>EF21+真實IC!EG21</f>
        <v/>
      </c>
      <c r="EH21" s="2">
        <f>EG21+真實IC!EH21</f>
        <v/>
      </c>
      <c r="EI21" s="2">
        <f>EH21+真實IC!EI21</f>
        <v/>
      </c>
      <c r="EJ21" s="2">
        <f>EI21+真實IC!EJ21</f>
        <v/>
      </c>
      <c r="EK21" s="2">
        <f>EJ21+真實IC!EK21</f>
        <v/>
      </c>
      <c r="EL21" s="2">
        <f>EK21+真實IC!EL21</f>
        <v/>
      </c>
    </row>
    <row r="22">
      <c r="A22" s="13" t="n"/>
      <c r="B22" s="13" t="n">
        <v>400</v>
      </c>
      <c r="C22" s="2" t="n">
        <v>0.2888661911680884</v>
      </c>
      <c r="D22" s="2">
        <f>C22+真實IC!D22</f>
        <v/>
      </c>
      <c r="E22" s="2">
        <f>D22+真實IC!E22</f>
        <v/>
      </c>
      <c r="F22" s="2">
        <f>E22+真實IC!F22</f>
        <v/>
      </c>
      <c r="G22" s="2">
        <f>F22+真實IC!G22</f>
        <v/>
      </c>
      <c r="H22" s="2">
        <f>G22+真實IC!H22</f>
        <v/>
      </c>
      <c r="I22" s="2">
        <f>H22+真實IC!I22</f>
        <v/>
      </c>
      <c r="J22" s="2">
        <f>I22+真實IC!J22</f>
        <v/>
      </c>
      <c r="K22" s="2">
        <f>J22+真實IC!K22</f>
        <v/>
      </c>
      <c r="L22" s="2">
        <f>K22+真實IC!L22</f>
        <v/>
      </c>
      <c r="M22" s="2">
        <f>L22+真實IC!M22</f>
        <v/>
      </c>
      <c r="N22" s="2">
        <f>M22+真實IC!N22</f>
        <v/>
      </c>
      <c r="O22" s="2">
        <f>N22+真實IC!O22</f>
        <v/>
      </c>
      <c r="P22" s="2">
        <f>O22+真實IC!P22</f>
        <v/>
      </c>
      <c r="Q22" s="2">
        <f>P22+真實IC!Q22</f>
        <v/>
      </c>
      <c r="R22" s="2">
        <f>Q22+真實IC!R22</f>
        <v/>
      </c>
      <c r="S22" s="2">
        <f>R22+真實IC!S22</f>
        <v/>
      </c>
      <c r="T22" s="2">
        <f>S22+真實IC!T22</f>
        <v/>
      </c>
      <c r="U22" s="2">
        <f>T22+真實IC!U22</f>
        <v/>
      </c>
      <c r="V22" s="2">
        <f>U22+真實IC!V22</f>
        <v/>
      </c>
      <c r="W22" s="2">
        <f>V22+真實IC!W22</f>
        <v/>
      </c>
      <c r="X22" s="2">
        <f>W22+真實IC!X22</f>
        <v/>
      </c>
      <c r="Y22" s="2">
        <f>X22+真實IC!Y22</f>
        <v/>
      </c>
      <c r="Z22" s="2">
        <f>Y22+真實IC!Z22</f>
        <v/>
      </c>
      <c r="AA22" s="2">
        <f>Z22+真實IC!AA22</f>
        <v/>
      </c>
      <c r="AB22" s="2">
        <f>AA22+真實IC!AB22</f>
        <v/>
      </c>
      <c r="AC22" s="2">
        <f>AB22+真實IC!AC22</f>
        <v/>
      </c>
      <c r="AD22" s="2">
        <f>AC22+真實IC!AD22</f>
        <v/>
      </c>
      <c r="AE22" s="2">
        <f>AD22+真實IC!AE22</f>
        <v/>
      </c>
      <c r="AF22" s="2">
        <f>AE22+真實IC!AF22</f>
        <v/>
      </c>
      <c r="AG22" s="2">
        <f>AF22+真實IC!AG22</f>
        <v/>
      </c>
      <c r="AH22" s="2">
        <f>AG22+真實IC!AH22</f>
        <v/>
      </c>
      <c r="AI22" s="2">
        <f>AH22+真實IC!AI22</f>
        <v/>
      </c>
      <c r="AJ22" s="2">
        <f>AI22+真實IC!AJ22</f>
        <v/>
      </c>
      <c r="AK22" s="2">
        <f>AJ22+真實IC!AK22</f>
        <v/>
      </c>
      <c r="AL22" s="2">
        <f>AK22+真實IC!AL22</f>
        <v/>
      </c>
      <c r="AM22" s="2">
        <f>AL22+真實IC!AM22</f>
        <v/>
      </c>
      <c r="AN22" s="2">
        <f>AM22+真實IC!AN22</f>
        <v/>
      </c>
      <c r="AO22" s="2">
        <f>AN22+真實IC!AO22</f>
        <v/>
      </c>
      <c r="AP22" s="2">
        <f>AO22+真實IC!AP22</f>
        <v/>
      </c>
      <c r="AQ22" s="2">
        <f>AP22+真實IC!AQ22</f>
        <v/>
      </c>
      <c r="AR22" s="2">
        <f>AQ22+真實IC!AR22</f>
        <v/>
      </c>
      <c r="AS22" s="2">
        <f>AR22+真實IC!AS22</f>
        <v/>
      </c>
      <c r="AT22" s="2">
        <f>AS22+真實IC!AT22</f>
        <v/>
      </c>
      <c r="AU22" s="2">
        <f>AT22+真實IC!AU22</f>
        <v/>
      </c>
      <c r="AV22" s="2">
        <f>AU22+真實IC!AV22</f>
        <v/>
      </c>
      <c r="AW22" s="2">
        <f>AV22+真實IC!AW22</f>
        <v/>
      </c>
      <c r="AX22" s="2">
        <f>AW22+真實IC!AX22</f>
        <v/>
      </c>
      <c r="AY22" s="2">
        <f>AX22+真實IC!AY22</f>
        <v/>
      </c>
      <c r="AZ22" s="2">
        <f>AY22+真實IC!AZ22</f>
        <v/>
      </c>
      <c r="BA22" s="2">
        <f>AZ22+真實IC!BA22</f>
        <v/>
      </c>
      <c r="BB22" s="2">
        <f>BA22+真實IC!BB22</f>
        <v/>
      </c>
      <c r="BC22" s="2">
        <f>BB22+真實IC!BC22</f>
        <v/>
      </c>
      <c r="BD22" s="2">
        <f>BC22+真實IC!BD22</f>
        <v/>
      </c>
      <c r="BE22" s="2">
        <f>BD22+真實IC!BE22</f>
        <v/>
      </c>
      <c r="BF22" s="2">
        <f>BE22+真實IC!BF22</f>
        <v/>
      </c>
      <c r="BG22" s="2">
        <f>BF22+真實IC!BG22</f>
        <v/>
      </c>
      <c r="BH22" s="2">
        <f>BG22+真實IC!BH22</f>
        <v/>
      </c>
      <c r="BI22" s="2">
        <f>BH22+真實IC!BI22</f>
        <v/>
      </c>
      <c r="BJ22" s="2">
        <f>BI22+真實IC!BJ22</f>
        <v/>
      </c>
      <c r="BK22" s="2">
        <f>BJ22+真實IC!BK22</f>
        <v/>
      </c>
      <c r="BL22" s="2">
        <f>BK22+真實IC!BL22</f>
        <v/>
      </c>
      <c r="BM22" s="2">
        <f>BL22+真實IC!BM22</f>
        <v/>
      </c>
      <c r="BN22" s="2">
        <f>BM22+真實IC!BN22</f>
        <v/>
      </c>
      <c r="BO22" s="2">
        <f>BN22+真實IC!BO22</f>
        <v/>
      </c>
      <c r="BP22" s="2">
        <f>BO22+真實IC!BP22</f>
        <v/>
      </c>
      <c r="BQ22" s="2">
        <f>BP22+真實IC!BQ22</f>
        <v/>
      </c>
      <c r="BR22" s="2">
        <f>BQ22+真實IC!BR22</f>
        <v/>
      </c>
      <c r="BS22" s="2">
        <f>BR22+真實IC!BS22</f>
        <v/>
      </c>
      <c r="BT22" s="2">
        <f>BS22+真實IC!BT22</f>
        <v/>
      </c>
      <c r="BU22" s="2">
        <f>BT22+真實IC!BU22</f>
        <v/>
      </c>
      <c r="BV22" s="2">
        <f>BU22+真實IC!BV22</f>
        <v/>
      </c>
      <c r="BW22" s="2">
        <f>BV22+真實IC!BW22</f>
        <v/>
      </c>
      <c r="BX22" s="2">
        <f>BW22+真實IC!BX22</f>
        <v/>
      </c>
      <c r="BY22" s="2">
        <f>BX22+真實IC!BY22</f>
        <v/>
      </c>
      <c r="BZ22" s="2">
        <f>BY22+真實IC!BZ22</f>
        <v/>
      </c>
      <c r="CA22" s="2">
        <f>BZ22+真實IC!CA22</f>
        <v/>
      </c>
      <c r="CB22" s="2">
        <f>CA22+真實IC!CB22</f>
        <v/>
      </c>
      <c r="CC22" s="2">
        <f>CB22+真實IC!CC22</f>
        <v/>
      </c>
      <c r="CD22" s="2">
        <f>CC22+真實IC!CD22</f>
        <v/>
      </c>
      <c r="CE22" s="2">
        <f>CD22+真實IC!CE22</f>
        <v/>
      </c>
      <c r="CF22" s="2">
        <f>CE22+真實IC!CF22</f>
        <v/>
      </c>
      <c r="CG22" s="2">
        <f>CF22+真實IC!CG22</f>
        <v/>
      </c>
      <c r="CH22" s="2">
        <f>CG22+真實IC!CH22</f>
        <v/>
      </c>
      <c r="CI22" s="2">
        <f>CH22+真實IC!CI22</f>
        <v/>
      </c>
      <c r="CJ22" s="2">
        <f>CI22+真實IC!CJ22</f>
        <v/>
      </c>
      <c r="CK22" s="2">
        <f>CJ22+真實IC!CK22</f>
        <v/>
      </c>
      <c r="CL22" s="2">
        <f>CK22+真實IC!CL22</f>
        <v/>
      </c>
      <c r="CM22" s="2">
        <f>CL22+真實IC!CM22</f>
        <v/>
      </c>
      <c r="CN22" s="2">
        <f>CM22+真實IC!CN22</f>
        <v/>
      </c>
      <c r="CO22" s="2">
        <f>CN22+真實IC!CO22</f>
        <v/>
      </c>
      <c r="CP22" s="2">
        <f>CO22+真實IC!CP22</f>
        <v/>
      </c>
      <c r="CQ22" s="2">
        <f>CP22+真實IC!CQ22</f>
        <v/>
      </c>
      <c r="CR22" s="2">
        <f>CQ22+真實IC!CR22</f>
        <v/>
      </c>
      <c r="CS22" s="2">
        <f>CR22+真實IC!CS22</f>
        <v/>
      </c>
      <c r="CT22" s="2">
        <f>CS22+真實IC!CT22</f>
        <v/>
      </c>
      <c r="CU22" s="2">
        <f>CT22+真實IC!CU22</f>
        <v/>
      </c>
      <c r="CV22" s="2">
        <f>CU22+真實IC!CV22</f>
        <v/>
      </c>
      <c r="CW22" s="2">
        <f>CV22+真實IC!CW22</f>
        <v/>
      </c>
      <c r="CX22" s="2">
        <f>CW22+真實IC!CX22</f>
        <v/>
      </c>
      <c r="CY22" s="2">
        <f>CX22+真實IC!CY22</f>
        <v/>
      </c>
      <c r="CZ22" s="2">
        <f>CY22+真實IC!CZ22</f>
        <v/>
      </c>
      <c r="DA22" s="2">
        <f>CZ22+真實IC!DA22</f>
        <v/>
      </c>
      <c r="DB22" s="2">
        <f>DA22+真實IC!DB22</f>
        <v/>
      </c>
      <c r="DC22" s="2">
        <f>DB22+真實IC!DC22</f>
        <v/>
      </c>
      <c r="DD22" s="2">
        <f>DC22+真實IC!DD22</f>
        <v/>
      </c>
      <c r="DE22" s="2">
        <f>DD22+真實IC!DE22</f>
        <v/>
      </c>
      <c r="DF22" s="2">
        <f>DE22+真實IC!DF22</f>
        <v/>
      </c>
      <c r="DG22" s="2">
        <f>DF22+真實IC!DG22</f>
        <v/>
      </c>
      <c r="DH22" s="2">
        <f>DG22+真實IC!DH22</f>
        <v/>
      </c>
      <c r="DI22" s="2">
        <f>DH22+真實IC!DI22</f>
        <v/>
      </c>
      <c r="DJ22" s="2">
        <f>DI22+真實IC!DJ22</f>
        <v/>
      </c>
      <c r="DK22" s="2">
        <f>DJ22+真實IC!DK22</f>
        <v/>
      </c>
      <c r="DL22" s="2">
        <f>DK22+真實IC!DL22</f>
        <v/>
      </c>
      <c r="DM22" s="2">
        <f>DL22+真實IC!DM22</f>
        <v/>
      </c>
      <c r="DN22" s="2">
        <f>DM22+真實IC!DN22</f>
        <v/>
      </c>
      <c r="DO22" s="2">
        <f>DN22+真實IC!DO22</f>
        <v/>
      </c>
      <c r="DP22" s="2">
        <f>DO22+真實IC!DP22</f>
        <v/>
      </c>
      <c r="DQ22" s="2">
        <f>DP22+真實IC!DQ22</f>
        <v/>
      </c>
      <c r="DR22" s="2">
        <f>DQ22+真實IC!DR22</f>
        <v/>
      </c>
      <c r="DS22" s="2">
        <f>DR22+真實IC!DS22</f>
        <v/>
      </c>
      <c r="DT22" s="2">
        <f>DS22+真實IC!DT22</f>
        <v/>
      </c>
      <c r="DU22" s="2">
        <f>DT22+真實IC!DU22</f>
        <v/>
      </c>
      <c r="DV22" s="2">
        <f>DU22+真實IC!DV22</f>
        <v/>
      </c>
      <c r="DW22" s="2">
        <f>DV22+真實IC!DW22</f>
        <v/>
      </c>
      <c r="DX22" s="2">
        <f>DW22+真實IC!DX22</f>
        <v/>
      </c>
      <c r="DY22" s="2">
        <f>DX22+真實IC!DY22</f>
        <v/>
      </c>
      <c r="DZ22" s="2">
        <f>DY22+真實IC!DZ22</f>
        <v/>
      </c>
      <c r="EA22" s="2">
        <f>DZ22+真實IC!EA22</f>
        <v/>
      </c>
      <c r="EB22" s="2">
        <f>EA22+真實IC!EB22</f>
        <v/>
      </c>
      <c r="EC22" s="2">
        <f>EB22+真實IC!EC22</f>
        <v/>
      </c>
      <c r="ED22" s="2">
        <f>EC22+真實IC!ED22</f>
        <v/>
      </c>
      <c r="EE22" s="2">
        <f>ED22+真實IC!EE22</f>
        <v/>
      </c>
      <c r="EF22" s="2">
        <f>EE22+真實IC!EF22</f>
        <v/>
      </c>
      <c r="EG22" s="2">
        <f>EF22+真實IC!EG22</f>
        <v/>
      </c>
      <c r="EH22" s="2">
        <f>EG22+真實IC!EH22</f>
        <v/>
      </c>
      <c r="EI22" s="2">
        <f>EH22+真實IC!EI22</f>
        <v/>
      </c>
      <c r="EJ22" s="2">
        <f>EI22+真實IC!EJ22</f>
        <v/>
      </c>
      <c r="EK22" s="2">
        <f>EJ22+真實IC!EK22</f>
        <v/>
      </c>
      <c r="EL22" s="2">
        <f>EK22+真實IC!EL22</f>
        <v/>
      </c>
    </row>
    <row r="23">
      <c r="A23" s="13" t="n"/>
      <c r="B23" s="13" t="n">
        <v>512</v>
      </c>
      <c r="C23" s="2" t="n">
        <v>0.2829892656963289</v>
      </c>
      <c r="D23" s="2">
        <f>C23+真實IC!D23</f>
        <v/>
      </c>
      <c r="E23" s="2">
        <f>D23+真實IC!E23</f>
        <v/>
      </c>
      <c r="F23" s="2">
        <f>E23+真實IC!F23</f>
        <v/>
      </c>
      <c r="G23" s="2">
        <f>F23+真實IC!G23</f>
        <v/>
      </c>
      <c r="H23" s="2">
        <f>G23+真實IC!H23</f>
        <v/>
      </c>
      <c r="I23" s="2">
        <f>H23+真實IC!I23</f>
        <v/>
      </c>
      <c r="J23" s="2">
        <f>I23+真實IC!J23</f>
        <v/>
      </c>
      <c r="K23" s="2">
        <f>J23+真實IC!K23</f>
        <v/>
      </c>
      <c r="L23" s="2">
        <f>K23+真實IC!L23</f>
        <v/>
      </c>
      <c r="M23" s="2">
        <f>L23+真實IC!M23</f>
        <v/>
      </c>
      <c r="N23" s="2">
        <f>M23+真實IC!N23</f>
        <v/>
      </c>
      <c r="O23" s="2">
        <f>N23+真實IC!O23</f>
        <v/>
      </c>
      <c r="P23" s="2">
        <f>O23+真實IC!P23</f>
        <v/>
      </c>
      <c r="Q23" s="2">
        <f>P23+真實IC!Q23</f>
        <v/>
      </c>
      <c r="R23" s="2">
        <f>Q23+真實IC!R23</f>
        <v/>
      </c>
      <c r="S23" s="2">
        <f>R23+真實IC!S23</f>
        <v/>
      </c>
      <c r="T23" s="2">
        <f>S23+真實IC!T23</f>
        <v/>
      </c>
      <c r="U23" s="2">
        <f>T23+真實IC!U23</f>
        <v/>
      </c>
      <c r="V23" s="2">
        <f>U23+真實IC!V23</f>
        <v/>
      </c>
      <c r="W23" s="2">
        <f>V23+真實IC!W23</f>
        <v/>
      </c>
      <c r="X23" s="2">
        <f>W23+真實IC!X23</f>
        <v/>
      </c>
      <c r="Y23" s="2">
        <f>X23+真實IC!Y23</f>
        <v/>
      </c>
      <c r="Z23" s="2">
        <f>Y23+真實IC!Z23</f>
        <v/>
      </c>
      <c r="AA23" s="2">
        <f>Z23+真實IC!AA23</f>
        <v/>
      </c>
      <c r="AB23" s="2">
        <f>AA23+真實IC!AB23</f>
        <v/>
      </c>
      <c r="AC23" s="2">
        <f>AB23+真實IC!AC23</f>
        <v/>
      </c>
      <c r="AD23" s="2">
        <f>AC23+真實IC!AD23</f>
        <v/>
      </c>
      <c r="AE23" s="2">
        <f>AD23+真實IC!AE23</f>
        <v/>
      </c>
      <c r="AF23" s="2">
        <f>AE23+真實IC!AF23</f>
        <v/>
      </c>
      <c r="AG23" s="2">
        <f>AF23+真實IC!AG23</f>
        <v/>
      </c>
      <c r="AH23" s="2">
        <f>AG23+真實IC!AH23</f>
        <v/>
      </c>
      <c r="AI23" s="2">
        <f>AH23+真實IC!AI23</f>
        <v/>
      </c>
      <c r="AJ23" s="2">
        <f>AI23+真實IC!AJ23</f>
        <v/>
      </c>
      <c r="AK23" s="2">
        <f>AJ23+真實IC!AK23</f>
        <v/>
      </c>
      <c r="AL23" s="2">
        <f>AK23+真實IC!AL23</f>
        <v/>
      </c>
      <c r="AM23" s="2">
        <f>AL23+真實IC!AM23</f>
        <v/>
      </c>
      <c r="AN23" s="2">
        <f>AM23+真實IC!AN23</f>
        <v/>
      </c>
      <c r="AO23" s="2">
        <f>AN23+真實IC!AO23</f>
        <v/>
      </c>
      <c r="AP23" s="2">
        <f>AO23+真實IC!AP23</f>
        <v/>
      </c>
      <c r="AQ23" s="2">
        <f>AP23+真實IC!AQ23</f>
        <v/>
      </c>
      <c r="AR23" s="2">
        <f>AQ23+真實IC!AR23</f>
        <v/>
      </c>
      <c r="AS23" s="2">
        <f>AR23+真實IC!AS23</f>
        <v/>
      </c>
      <c r="AT23" s="2">
        <f>AS23+真實IC!AT23</f>
        <v/>
      </c>
      <c r="AU23" s="2">
        <f>AT23+真實IC!AU23</f>
        <v/>
      </c>
      <c r="AV23" s="2">
        <f>AU23+真實IC!AV23</f>
        <v/>
      </c>
      <c r="AW23" s="2">
        <f>AV23+真實IC!AW23</f>
        <v/>
      </c>
      <c r="AX23" s="2">
        <f>AW23+真實IC!AX23</f>
        <v/>
      </c>
      <c r="AY23" s="2">
        <f>AX23+真實IC!AY23</f>
        <v/>
      </c>
      <c r="AZ23" s="2">
        <f>AY23+真實IC!AZ23</f>
        <v/>
      </c>
      <c r="BA23" s="2">
        <f>AZ23+真實IC!BA23</f>
        <v/>
      </c>
      <c r="BB23" s="2">
        <f>BA23+真實IC!BB23</f>
        <v/>
      </c>
      <c r="BC23" s="2">
        <f>BB23+真實IC!BC23</f>
        <v/>
      </c>
      <c r="BD23" s="2">
        <f>BC23+真實IC!BD23</f>
        <v/>
      </c>
      <c r="BE23" s="2">
        <f>BD23+真實IC!BE23</f>
        <v/>
      </c>
      <c r="BF23" s="2">
        <f>BE23+真實IC!BF23</f>
        <v/>
      </c>
      <c r="BG23" s="2">
        <f>BF23+真實IC!BG23</f>
        <v/>
      </c>
      <c r="BH23" s="2">
        <f>BG23+真實IC!BH23</f>
        <v/>
      </c>
      <c r="BI23" s="2">
        <f>BH23+真實IC!BI23</f>
        <v/>
      </c>
      <c r="BJ23" s="2">
        <f>BI23+真實IC!BJ23</f>
        <v/>
      </c>
      <c r="BK23" s="2">
        <f>BJ23+真實IC!BK23</f>
        <v/>
      </c>
      <c r="BL23" s="2">
        <f>BK23+真實IC!BL23</f>
        <v/>
      </c>
      <c r="BM23" s="2">
        <f>BL23+真實IC!BM23</f>
        <v/>
      </c>
      <c r="BN23" s="2">
        <f>BM23+真實IC!BN23</f>
        <v/>
      </c>
      <c r="BO23" s="2">
        <f>BN23+真實IC!BO23</f>
        <v/>
      </c>
      <c r="BP23" s="2">
        <f>BO23+真實IC!BP23</f>
        <v/>
      </c>
      <c r="BQ23" s="2">
        <f>BP23+真實IC!BQ23</f>
        <v/>
      </c>
      <c r="BR23" s="2">
        <f>BQ23+真實IC!BR23</f>
        <v/>
      </c>
      <c r="BS23" s="2">
        <f>BR23+真實IC!BS23</f>
        <v/>
      </c>
      <c r="BT23" s="2">
        <f>BS23+真實IC!BT23</f>
        <v/>
      </c>
      <c r="BU23" s="2">
        <f>BT23+真實IC!BU23</f>
        <v/>
      </c>
      <c r="BV23" s="2">
        <f>BU23+真實IC!BV23</f>
        <v/>
      </c>
      <c r="BW23" s="2">
        <f>BV23+真實IC!BW23</f>
        <v/>
      </c>
      <c r="BX23" s="2">
        <f>BW23+真實IC!BX23</f>
        <v/>
      </c>
      <c r="BY23" s="2">
        <f>BX23+真實IC!BY23</f>
        <v/>
      </c>
      <c r="BZ23" s="2">
        <f>BY23+真實IC!BZ23</f>
        <v/>
      </c>
      <c r="CA23" s="2">
        <f>BZ23+真實IC!CA23</f>
        <v/>
      </c>
      <c r="CB23" s="2">
        <f>CA23+真實IC!CB23</f>
        <v/>
      </c>
      <c r="CC23" s="2">
        <f>CB23+真實IC!CC23</f>
        <v/>
      </c>
      <c r="CD23" s="2">
        <f>CC23+真實IC!CD23</f>
        <v/>
      </c>
      <c r="CE23" s="2">
        <f>CD23+真實IC!CE23</f>
        <v/>
      </c>
      <c r="CF23" s="2">
        <f>CE23+真實IC!CF23</f>
        <v/>
      </c>
      <c r="CG23" s="2">
        <f>CF23+真實IC!CG23</f>
        <v/>
      </c>
      <c r="CH23" s="2">
        <f>CG23+真實IC!CH23</f>
        <v/>
      </c>
      <c r="CI23" s="2">
        <f>CH23+真實IC!CI23</f>
        <v/>
      </c>
      <c r="CJ23" s="2">
        <f>CI23+真實IC!CJ23</f>
        <v/>
      </c>
      <c r="CK23" s="2">
        <f>CJ23+真實IC!CK23</f>
        <v/>
      </c>
      <c r="CL23" s="2">
        <f>CK23+真實IC!CL23</f>
        <v/>
      </c>
      <c r="CM23" s="2">
        <f>CL23+真實IC!CM23</f>
        <v/>
      </c>
      <c r="CN23" s="2">
        <f>CM23+真實IC!CN23</f>
        <v/>
      </c>
      <c r="CO23" s="2">
        <f>CN23+真實IC!CO23</f>
        <v/>
      </c>
      <c r="CP23" s="2">
        <f>CO23+真實IC!CP23</f>
        <v/>
      </c>
      <c r="CQ23" s="2">
        <f>CP23+真實IC!CQ23</f>
        <v/>
      </c>
      <c r="CR23" s="2">
        <f>CQ23+真實IC!CR23</f>
        <v/>
      </c>
      <c r="CS23" s="2">
        <f>CR23+真實IC!CS23</f>
        <v/>
      </c>
      <c r="CT23" s="2">
        <f>CS23+真實IC!CT23</f>
        <v/>
      </c>
      <c r="CU23" s="2">
        <f>CT23+真實IC!CU23</f>
        <v/>
      </c>
      <c r="CV23" s="2">
        <f>CU23+真實IC!CV23</f>
        <v/>
      </c>
      <c r="CW23" s="2">
        <f>CV23+真實IC!CW23</f>
        <v/>
      </c>
      <c r="CX23" s="2">
        <f>CW23+真實IC!CX23</f>
        <v/>
      </c>
      <c r="CY23" s="2">
        <f>CX23+真實IC!CY23</f>
        <v/>
      </c>
      <c r="CZ23" s="2">
        <f>CY23+真實IC!CZ23</f>
        <v/>
      </c>
      <c r="DA23" s="2">
        <f>CZ23+真實IC!DA23</f>
        <v/>
      </c>
      <c r="DB23" s="2">
        <f>DA23+真實IC!DB23</f>
        <v/>
      </c>
      <c r="DC23" s="2">
        <f>DB23+真實IC!DC23</f>
        <v/>
      </c>
      <c r="DD23" s="2">
        <f>DC23+真實IC!DD23</f>
        <v/>
      </c>
      <c r="DE23" s="2">
        <f>DD23+真實IC!DE23</f>
        <v/>
      </c>
      <c r="DF23" s="2">
        <f>DE23+真實IC!DF23</f>
        <v/>
      </c>
      <c r="DG23" s="2">
        <f>DF23+真實IC!DG23</f>
        <v/>
      </c>
      <c r="DH23" s="2">
        <f>DG23+真實IC!DH23</f>
        <v/>
      </c>
      <c r="DI23" s="2">
        <f>DH23+真實IC!DI23</f>
        <v/>
      </c>
      <c r="DJ23" s="2">
        <f>DI23+真實IC!DJ23</f>
        <v/>
      </c>
      <c r="DK23" s="2">
        <f>DJ23+真實IC!DK23</f>
        <v/>
      </c>
      <c r="DL23" s="2">
        <f>DK23+真實IC!DL23</f>
        <v/>
      </c>
      <c r="DM23" s="2">
        <f>DL23+真實IC!DM23</f>
        <v/>
      </c>
      <c r="DN23" s="2">
        <f>DM23+真實IC!DN23</f>
        <v/>
      </c>
      <c r="DO23" s="2">
        <f>DN23+真實IC!DO23</f>
        <v/>
      </c>
      <c r="DP23" s="2">
        <f>DO23+真實IC!DP23</f>
        <v/>
      </c>
      <c r="DQ23" s="2">
        <f>DP23+真實IC!DQ23</f>
        <v/>
      </c>
      <c r="DR23" s="2">
        <f>DQ23+真實IC!DR23</f>
        <v/>
      </c>
      <c r="DS23" s="2">
        <f>DR23+真實IC!DS23</f>
        <v/>
      </c>
      <c r="DT23" s="2">
        <f>DS23+真實IC!DT23</f>
        <v/>
      </c>
      <c r="DU23" s="2">
        <f>DT23+真實IC!DU23</f>
        <v/>
      </c>
      <c r="DV23" s="2">
        <f>DU23+真實IC!DV23</f>
        <v/>
      </c>
      <c r="DW23" s="2">
        <f>DV23+真實IC!DW23</f>
        <v/>
      </c>
      <c r="DX23" s="2">
        <f>DW23+真實IC!DX23</f>
        <v/>
      </c>
      <c r="DY23" s="2">
        <f>DX23+真實IC!DY23</f>
        <v/>
      </c>
      <c r="DZ23" s="2">
        <f>DY23+真實IC!DZ23</f>
        <v/>
      </c>
      <c r="EA23" s="2">
        <f>DZ23+真實IC!EA23</f>
        <v/>
      </c>
      <c r="EB23" s="2">
        <f>EA23+真實IC!EB23</f>
        <v/>
      </c>
      <c r="EC23" s="2">
        <f>EB23+真實IC!EC23</f>
        <v/>
      </c>
      <c r="ED23" s="2">
        <f>EC23+真實IC!ED23</f>
        <v/>
      </c>
      <c r="EE23" s="2">
        <f>ED23+真實IC!EE23</f>
        <v/>
      </c>
      <c r="EF23" s="2">
        <f>EE23+真實IC!EF23</f>
        <v/>
      </c>
      <c r="EG23" s="2">
        <f>EF23+真實IC!EG23</f>
        <v/>
      </c>
      <c r="EH23" s="2">
        <f>EG23+真實IC!EH23</f>
        <v/>
      </c>
      <c r="EI23" s="2">
        <f>EH23+真實IC!EI23</f>
        <v/>
      </c>
      <c r="EJ23" s="2">
        <f>EI23+真實IC!EJ23</f>
        <v/>
      </c>
      <c r="EK23" s="2">
        <f>EJ23+真實IC!EK23</f>
        <v/>
      </c>
      <c r="EL23" s="2">
        <f>EK23+真實IC!EL23</f>
        <v/>
      </c>
    </row>
    <row r="24">
      <c r="A24" s="13" t="n"/>
      <c r="B24" s="13" t="n">
        <v>1051</v>
      </c>
      <c r="C24" s="2" t="n">
        <v>0.09911336420688274</v>
      </c>
      <c r="D24" s="2">
        <f>C24+真實IC!D24</f>
        <v/>
      </c>
      <c r="E24" s="2">
        <f>D24+真實IC!E24</f>
        <v/>
      </c>
      <c r="F24" s="2">
        <f>E24+真實IC!F24</f>
        <v/>
      </c>
      <c r="G24" s="2">
        <f>F24+真實IC!G24</f>
        <v/>
      </c>
      <c r="H24" s="2">
        <f>G24+真實IC!H24</f>
        <v/>
      </c>
      <c r="I24" s="2">
        <f>H24+真實IC!I24</f>
        <v/>
      </c>
      <c r="J24" s="2">
        <f>I24+真實IC!J24</f>
        <v/>
      </c>
      <c r="K24" s="2">
        <f>J24+真實IC!K24</f>
        <v/>
      </c>
      <c r="L24" s="2">
        <f>K24+真實IC!L24</f>
        <v/>
      </c>
      <c r="M24" s="2">
        <f>L24+真實IC!M24</f>
        <v/>
      </c>
      <c r="N24" s="2">
        <f>M24+真實IC!N24</f>
        <v/>
      </c>
      <c r="O24" s="2">
        <f>N24+真實IC!O24</f>
        <v/>
      </c>
      <c r="P24" s="2">
        <f>O24+真實IC!P24</f>
        <v/>
      </c>
      <c r="Q24" s="2">
        <f>P24+真實IC!Q24</f>
        <v/>
      </c>
      <c r="R24" s="2">
        <f>Q24+真實IC!R24</f>
        <v/>
      </c>
      <c r="S24" s="2">
        <f>R24+真實IC!S24</f>
        <v/>
      </c>
      <c r="T24" s="2">
        <f>S24+真實IC!T24</f>
        <v/>
      </c>
      <c r="U24" s="2">
        <f>T24+真實IC!U24</f>
        <v/>
      </c>
      <c r="V24" s="2">
        <f>U24+真實IC!V24</f>
        <v/>
      </c>
      <c r="W24" s="2">
        <f>V24+真實IC!W24</f>
        <v/>
      </c>
      <c r="X24" s="2">
        <f>W24+真實IC!X24</f>
        <v/>
      </c>
      <c r="Y24" s="2">
        <f>X24+真實IC!Y24</f>
        <v/>
      </c>
      <c r="Z24" s="2">
        <f>Y24+真實IC!Z24</f>
        <v/>
      </c>
      <c r="AA24" s="2">
        <f>Z24+真實IC!AA24</f>
        <v/>
      </c>
      <c r="AB24" s="2">
        <f>AA24+真實IC!AB24</f>
        <v/>
      </c>
      <c r="AC24" s="2">
        <f>AB24+真實IC!AC24</f>
        <v/>
      </c>
      <c r="AD24" s="2">
        <f>AC24+真實IC!AD24</f>
        <v/>
      </c>
      <c r="AE24" s="2">
        <f>AD24+真實IC!AE24</f>
        <v/>
      </c>
      <c r="AF24" s="2">
        <f>AE24+真實IC!AF24</f>
        <v/>
      </c>
      <c r="AG24" s="2">
        <f>AF24+真實IC!AG24</f>
        <v/>
      </c>
      <c r="AH24" s="2">
        <f>AG24+真實IC!AH24</f>
        <v/>
      </c>
      <c r="AI24" s="2">
        <f>AH24+真實IC!AI24</f>
        <v/>
      </c>
      <c r="AJ24" s="2">
        <f>AI24+真實IC!AJ24</f>
        <v/>
      </c>
      <c r="AK24" s="2">
        <f>AJ24+真實IC!AK24</f>
        <v/>
      </c>
      <c r="AL24" s="2">
        <f>AK24+真實IC!AL24</f>
        <v/>
      </c>
      <c r="AM24" s="2">
        <f>AL24+真實IC!AM24</f>
        <v/>
      </c>
      <c r="AN24" s="2">
        <f>AM24+真實IC!AN24</f>
        <v/>
      </c>
      <c r="AO24" s="2">
        <f>AN24+真實IC!AO24</f>
        <v/>
      </c>
      <c r="AP24" s="2">
        <f>AO24+真實IC!AP24</f>
        <v/>
      </c>
      <c r="AQ24" s="2">
        <f>AP24+真實IC!AQ24</f>
        <v/>
      </c>
      <c r="AR24" s="2">
        <f>AQ24+真實IC!AR24</f>
        <v/>
      </c>
      <c r="AS24" s="2">
        <f>AR24+真實IC!AS24</f>
        <v/>
      </c>
      <c r="AT24" s="2">
        <f>AS24+真實IC!AT24</f>
        <v/>
      </c>
      <c r="AU24" s="2">
        <f>AT24+真實IC!AU24</f>
        <v/>
      </c>
      <c r="AV24" s="2">
        <f>AU24+真實IC!AV24</f>
        <v/>
      </c>
      <c r="AW24" s="2">
        <f>AV24+真實IC!AW24</f>
        <v/>
      </c>
      <c r="AX24" s="2">
        <f>AW24+真實IC!AX24</f>
        <v/>
      </c>
      <c r="AY24" s="2">
        <f>AX24+真實IC!AY24</f>
        <v/>
      </c>
      <c r="AZ24" s="2">
        <f>AY24+真實IC!AZ24</f>
        <v/>
      </c>
      <c r="BA24" s="2">
        <f>AZ24+真實IC!BA24</f>
        <v/>
      </c>
      <c r="BB24" s="2">
        <f>BA24+真實IC!BB24</f>
        <v/>
      </c>
      <c r="BC24" s="2">
        <f>BB24+真實IC!BC24</f>
        <v/>
      </c>
      <c r="BD24" s="2">
        <f>BC24+真實IC!BD24</f>
        <v/>
      </c>
      <c r="BE24" s="2">
        <f>BD24+真實IC!BE24</f>
        <v/>
      </c>
      <c r="BF24" s="2">
        <f>BE24+真實IC!BF24</f>
        <v/>
      </c>
      <c r="BG24" s="2">
        <f>BF24+真實IC!BG24</f>
        <v/>
      </c>
      <c r="BH24" s="2">
        <f>BG24+真實IC!BH24</f>
        <v/>
      </c>
      <c r="BI24" s="2">
        <f>BH24+真實IC!BI24</f>
        <v/>
      </c>
      <c r="BJ24" s="2">
        <f>BI24+真實IC!BJ24</f>
        <v/>
      </c>
      <c r="BK24" s="2">
        <f>BJ24+真實IC!BK24</f>
        <v/>
      </c>
      <c r="BL24" s="2">
        <f>BK24+真實IC!BL24</f>
        <v/>
      </c>
      <c r="BM24" s="2">
        <f>BL24+真實IC!BM24</f>
        <v/>
      </c>
      <c r="BN24" s="2">
        <f>BM24+真實IC!BN24</f>
        <v/>
      </c>
      <c r="BO24" s="2">
        <f>BN24+真實IC!BO24</f>
        <v/>
      </c>
      <c r="BP24" s="2">
        <f>BO24+真實IC!BP24</f>
        <v/>
      </c>
      <c r="BQ24" s="2">
        <f>BP24+真實IC!BQ24</f>
        <v/>
      </c>
      <c r="BR24" s="2">
        <f>BQ24+真實IC!BR24</f>
        <v/>
      </c>
      <c r="BS24" s="2">
        <f>BR24+真實IC!BS24</f>
        <v/>
      </c>
      <c r="BT24" s="2">
        <f>BS24+真實IC!BT24</f>
        <v/>
      </c>
      <c r="BU24" s="2">
        <f>BT24+真實IC!BU24</f>
        <v/>
      </c>
      <c r="BV24" s="2">
        <f>BU24+真實IC!BV24</f>
        <v/>
      </c>
      <c r="BW24" s="2">
        <f>BV24+真實IC!BW24</f>
        <v/>
      </c>
      <c r="BX24" s="2">
        <f>BW24+真實IC!BX24</f>
        <v/>
      </c>
      <c r="BY24" s="2">
        <f>BX24+真實IC!BY24</f>
        <v/>
      </c>
      <c r="BZ24" s="2">
        <f>BY24+真實IC!BZ24</f>
        <v/>
      </c>
      <c r="CA24" s="2">
        <f>BZ24+真實IC!CA24</f>
        <v/>
      </c>
      <c r="CB24" s="2">
        <f>CA24+真實IC!CB24</f>
        <v/>
      </c>
      <c r="CC24" s="2">
        <f>CB24+真實IC!CC24</f>
        <v/>
      </c>
      <c r="CD24" s="2">
        <f>CC24+真實IC!CD24</f>
        <v/>
      </c>
      <c r="CE24" s="2">
        <f>CD24+真實IC!CE24</f>
        <v/>
      </c>
      <c r="CF24" s="2">
        <f>CE24+真實IC!CF24</f>
        <v/>
      </c>
      <c r="CG24" s="2">
        <f>CF24+真實IC!CG24</f>
        <v/>
      </c>
      <c r="CH24" s="2">
        <f>CG24+真實IC!CH24</f>
        <v/>
      </c>
      <c r="CI24" s="2">
        <f>CH24+真實IC!CI24</f>
        <v/>
      </c>
      <c r="CJ24" s="2">
        <f>CI24+真實IC!CJ24</f>
        <v/>
      </c>
      <c r="CK24" s="2">
        <f>CJ24+真實IC!CK24</f>
        <v/>
      </c>
      <c r="CL24" s="2">
        <f>CK24+真實IC!CL24</f>
        <v/>
      </c>
      <c r="CM24" s="2">
        <f>CL24+真實IC!CM24</f>
        <v/>
      </c>
      <c r="CN24" s="2">
        <f>CM24+真實IC!CN24</f>
        <v/>
      </c>
      <c r="CO24" s="2">
        <f>CN24+真實IC!CO24</f>
        <v/>
      </c>
      <c r="CP24" s="2">
        <f>CO24+真實IC!CP24</f>
        <v/>
      </c>
      <c r="CQ24" s="2">
        <f>CP24+真實IC!CQ24</f>
        <v/>
      </c>
      <c r="CR24" s="2">
        <f>CQ24+真實IC!CR24</f>
        <v/>
      </c>
      <c r="CS24" s="2">
        <f>CR24+真實IC!CS24</f>
        <v/>
      </c>
      <c r="CT24" s="2">
        <f>CS24+真實IC!CT24</f>
        <v/>
      </c>
      <c r="CU24" s="2">
        <f>CT24+真實IC!CU24</f>
        <v/>
      </c>
      <c r="CV24" s="2">
        <f>CU24+真實IC!CV24</f>
        <v/>
      </c>
      <c r="CW24" s="2">
        <f>CV24+真實IC!CW24</f>
        <v/>
      </c>
      <c r="CX24" s="2">
        <f>CW24+真實IC!CX24</f>
        <v/>
      </c>
      <c r="CY24" s="2">
        <f>CX24+真實IC!CY24</f>
        <v/>
      </c>
      <c r="CZ24" s="2">
        <f>CY24+真實IC!CZ24</f>
        <v/>
      </c>
      <c r="DA24" s="2">
        <f>CZ24+真實IC!DA24</f>
        <v/>
      </c>
      <c r="DB24" s="2">
        <f>DA24+真實IC!DB24</f>
        <v/>
      </c>
      <c r="DC24" s="2">
        <f>DB24+真實IC!DC24</f>
        <v/>
      </c>
      <c r="DD24" s="2">
        <f>DC24+真實IC!DD24</f>
        <v/>
      </c>
      <c r="DE24" s="2">
        <f>DD24+真實IC!DE24</f>
        <v/>
      </c>
      <c r="DF24" s="2">
        <f>DE24+真實IC!DF24</f>
        <v/>
      </c>
      <c r="DG24" s="2">
        <f>DF24+真實IC!DG24</f>
        <v/>
      </c>
      <c r="DH24" s="2">
        <f>DG24+真實IC!DH24</f>
        <v/>
      </c>
      <c r="DI24" s="2">
        <f>DH24+真實IC!DI24</f>
        <v/>
      </c>
      <c r="DJ24" s="2">
        <f>DI24+真實IC!DJ24</f>
        <v/>
      </c>
      <c r="DK24" s="2">
        <f>DJ24+真實IC!DK24</f>
        <v/>
      </c>
      <c r="DL24" s="2">
        <f>DK24+真實IC!DL24</f>
        <v/>
      </c>
      <c r="DM24" s="2">
        <f>DL24+真實IC!DM24</f>
        <v/>
      </c>
      <c r="DN24" s="2">
        <f>DM24+真實IC!DN24</f>
        <v/>
      </c>
      <c r="DO24" s="2">
        <f>DN24+真實IC!DO24</f>
        <v/>
      </c>
      <c r="DP24" s="2">
        <f>DO24+真實IC!DP24</f>
        <v/>
      </c>
      <c r="DQ24" s="2">
        <f>DP24+真實IC!DQ24</f>
        <v/>
      </c>
      <c r="DR24" s="2">
        <f>DQ24+真實IC!DR24</f>
        <v/>
      </c>
      <c r="DS24" s="2">
        <f>DR24+真實IC!DS24</f>
        <v/>
      </c>
      <c r="DT24" s="2">
        <f>DS24+真實IC!DT24</f>
        <v/>
      </c>
      <c r="DU24" s="2">
        <f>DT24+真實IC!DU24</f>
        <v/>
      </c>
      <c r="DV24" s="2">
        <f>DU24+真實IC!DV24</f>
        <v/>
      </c>
      <c r="DW24" s="2">
        <f>DV24+真實IC!DW24</f>
        <v/>
      </c>
      <c r="DX24" s="2">
        <f>DW24+真實IC!DX24</f>
        <v/>
      </c>
      <c r="DY24" s="2">
        <f>DX24+真實IC!DY24</f>
        <v/>
      </c>
      <c r="DZ24" s="2">
        <f>DY24+真實IC!DZ24</f>
        <v/>
      </c>
      <c r="EA24" s="2">
        <f>DZ24+真實IC!EA24</f>
        <v/>
      </c>
      <c r="EB24" s="2">
        <f>EA24+真實IC!EB24</f>
        <v/>
      </c>
      <c r="EC24" s="2">
        <f>EB24+真實IC!EC24</f>
        <v/>
      </c>
      <c r="ED24" s="2">
        <f>EC24+真實IC!ED24</f>
        <v/>
      </c>
      <c r="EE24" s="2">
        <f>ED24+真實IC!EE24</f>
        <v/>
      </c>
      <c r="EF24" s="2">
        <f>EE24+真實IC!EF24</f>
        <v/>
      </c>
      <c r="EG24" s="2">
        <f>EF24+真實IC!EG24</f>
        <v/>
      </c>
      <c r="EH24" s="2">
        <f>EG24+真實IC!EH24</f>
        <v/>
      </c>
      <c r="EI24" s="2">
        <f>EH24+真實IC!EI24</f>
        <v/>
      </c>
      <c r="EJ24" s="2">
        <f>EI24+真實IC!EJ24</f>
        <v/>
      </c>
      <c r="EK24" s="2">
        <f>EJ24+真實IC!EK24</f>
        <v/>
      </c>
      <c r="EL24" s="2">
        <f>EK24+真實IC!EL24</f>
        <v/>
      </c>
    </row>
    <row r="25">
      <c r="A25" s="13" t="n"/>
      <c r="B25" s="13" t="inlineStr">
        <is>
          <t>大盤</t>
        </is>
      </c>
      <c r="C25" s="9" t="n">
        <v>-0.01744677053939034</v>
      </c>
      <c r="D25" s="10">
        <f>C25+真實IC!D25</f>
        <v/>
      </c>
      <c r="E25" s="10">
        <f>D25+真實IC!E25</f>
        <v/>
      </c>
      <c r="F25" s="10">
        <f>E25+真實IC!F25</f>
        <v/>
      </c>
      <c r="G25" s="10">
        <f>F25+真實IC!G25</f>
        <v/>
      </c>
      <c r="H25" s="10">
        <f>G25+真實IC!H25</f>
        <v/>
      </c>
      <c r="I25" s="10">
        <f>H25+真實IC!I25</f>
        <v/>
      </c>
      <c r="J25" s="10">
        <f>I25+真實IC!J25</f>
        <v/>
      </c>
      <c r="K25" s="10">
        <f>J25+真實IC!K25</f>
        <v/>
      </c>
      <c r="L25" s="10">
        <f>K25+真實IC!L25</f>
        <v/>
      </c>
      <c r="M25" s="10">
        <f>L25+真實IC!M25</f>
        <v/>
      </c>
      <c r="N25" s="10">
        <f>M25+真實IC!N25</f>
        <v/>
      </c>
      <c r="O25" s="10">
        <f>N25+真實IC!O25</f>
        <v/>
      </c>
      <c r="P25" s="10">
        <f>O25+真實IC!P25</f>
        <v/>
      </c>
      <c r="Q25" s="10">
        <f>P25+真實IC!Q25</f>
        <v/>
      </c>
      <c r="R25" s="10">
        <f>Q25+真實IC!R25</f>
        <v/>
      </c>
      <c r="S25" s="10">
        <f>R25+真實IC!S25</f>
        <v/>
      </c>
      <c r="T25" s="10">
        <f>S25+真實IC!T25</f>
        <v/>
      </c>
      <c r="U25" s="10">
        <f>T25+真實IC!U25</f>
        <v/>
      </c>
      <c r="V25" s="10">
        <f>U25+真實IC!V25</f>
        <v/>
      </c>
      <c r="W25" s="10">
        <f>V25+真實IC!W25</f>
        <v/>
      </c>
      <c r="X25" s="10">
        <f>W25+真實IC!X25</f>
        <v/>
      </c>
      <c r="Y25" s="10">
        <f>X25+真實IC!Y25</f>
        <v/>
      </c>
      <c r="Z25" s="10">
        <f>Y25+真實IC!Z25</f>
        <v/>
      </c>
      <c r="AA25" s="10">
        <f>Z25+真實IC!AA25</f>
        <v/>
      </c>
      <c r="AB25" s="10">
        <f>AA25+真實IC!AB25</f>
        <v/>
      </c>
      <c r="AC25" s="10">
        <f>AB25+真實IC!AC25</f>
        <v/>
      </c>
      <c r="AD25" s="10">
        <f>AC25+真實IC!AD25</f>
        <v/>
      </c>
      <c r="AE25" s="10">
        <f>AD25+真實IC!AE25</f>
        <v/>
      </c>
      <c r="AF25" s="10">
        <f>AE25+真實IC!AF25</f>
        <v/>
      </c>
      <c r="AG25" s="10">
        <f>AF25+真實IC!AG25</f>
        <v/>
      </c>
      <c r="AH25" s="10">
        <f>AG25+真實IC!AH25</f>
        <v/>
      </c>
      <c r="AI25" s="10">
        <f>AH25+真實IC!AI25</f>
        <v/>
      </c>
      <c r="AJ25" s="10">
        <f>AI25+真實IC!AJ25</f>
        <v/>
      </c>
      <c r="AK25" s="10">
        <f>AJ25+真實IC!AK25</f>
        <v/>
      </c>
      <c r="AL25" s="10">
        <f>AK25+真實IC!AL25</f>
        <v/>
      </c>
      <c r="AM25" s="10">
        <f>AL25+真實IC!AM25</f>
        <v/>
      </c>
      <c r="AN25" s="10">
        <f>AM25+真實IC!AN25</f>
        <v/>
      </c>
      <c r="AO25" s="10">
        <f>AN25+真實IC!AO25</f>
        <v/>
      </c>
      <c r="AP25" s="10">
        <f>AO25+真實IC!AP25</f>
        <v/>
      </c>
      <c r="AQ25" s="10">
        <f>AP25+真實IC!AQ25</f>
        <v/>
      </c>
      <c r="AR25" s="10">
        <f>AQ25+真實IC!AR25</f>
        <v/>
      </c>
      <c r="AS25" s="10">
        <f>AR25+真實IC!AS25</f>
        <v/>
      </c>
      <c r="AT25" s="10">
        <f>AS25+真實IC!AT25</f>
        <v/>
      </c>
      <c r="AU25" s="10">
        <f>AT25+真實IC!AU25</f>
        <v/>
      </c>
      <c r="AV25" s="10">
        <f>AU25+真實IC!AV25</f>
        <v/>
      </c>
      <c r="AW25" s="10">
        <f>AV25+真實IC!AW25</f>
        <v/>
      </c>
      <c r="AX25" s="10">
        <f>AW25+真實IC!AX25</f>
        <v/>
      </c>
      <c r="AY25" s="10">
        <f>AX25+真實IC!AY25</f>
        <v/>
      </c>
      <c r="AZ25" s="10">
        <f>AY25+真實IC!AZ25</f>
        <v/>
      </c>
      <c r="BA25" s="10">
        <f>AZ25+真實IC!BA25</f>
        <v/>
      </c>
      <c r="BB25" s="10">
        <f>BA25+真實IC!BB25</f>
        <v/>
      </c>
      <c r="BC25" s="10">
        <f>BB25+真實IC!BC25</f>
        <v/>
      </c>
      <c r="BD25" s="10">
        <f>BC25+真實IC!BD25</f>
        <v/>
      </c>
      <c r="BE25" s="10">
        <f>BD25+真實IC!BE25</f>
        <v/>
      </c>
      <c r="BF25" s="10">
        <f>BE25+真實IC!BF25</f>
        <v/>
      </c>
      <c r="BG25" s="10">
        <f>BF25+真實IC!BG25</f>
        <v/>
      </c>
      <c r="BH25" s="10">
        <f>BG25+真實IC!BH25</f>
        <v/>
      </c>
      <c r="BI25" s="10">
        <f>BH25+真實IC!BI25</f>
        <v/>
      </c>
      <c r="BJ25" s="10">
        <f>BI25+真實IC!BJ25</f>
        <v/>
      </c>
      <c r="BK25" s="10">
        <f>BJ25+真實IC!BK25</f>
        <v/>
      </c>
      <c r="BL25" s="10">
        <f>BK25+真實IC!BL25</f>
        <v/>
      </c>
      <c r="BM25" s="10">
        <f>BL25+真實IC!BM25</f>
        <v/>
      </c>
      <c r="BN25" s="10">
        <f>BM25+真實IC!BN25</f>
        <v/>
      </c>
      <c r="BO25" s="10">
        <f>BN25+真實IC!BO25</f>
        <v/>
      </c>
      <c r="BP25" s="10">
        <f>BO25+真實IC!BP25</f>
        <v/>
      </c>
      <c r="BQ25" s="10">
        <f>BP25+真實IC!BQ25</f>
        <v/>
      </c>
      <c r="BR25" s="10">
        <f>BQ25+真實IC!BR25</f>
        <v/>
      </c>
      <c r="BS25" s="10">
        <f>BR25+真實IC!BS25</f>
        <v/>
      </c>
      <c r="BT25" s="10">
        <f>BS25+真實IC!BT25</f>
        <v/>
      </c>
      <c r="BU25" s="10">
        <f>BT25+真實IC!BU25</f>
        <v/>
      </c>
      <c r="BV25" s="10">
        <f>BU25+真實IC!BV25</f>
        <v/>
      </c>
      <c r="BW25" s="10">
        <f>BV25+真實IC!BW25</f>
        <v/>
      </c>
      <c r="BX25" s="10">
        <f>BW25+真實IC!BX25</f>
        <v/>
      </c>
      <c r="BY25" s="10">
        <f>BX25+真實IC!BY25</f>
        <v/>
      </c>
      <c r="BZ25" s="10">
        <f>BY25+真實IC!BZ25</f>
        <v/>
      </c>
      <c r="CA25" s="10">
        <f>BZ25+真實IC!CA25</f>
        <v/>
      </c>
      <c r="CB25" s="10">
        <f>CA25+真實IC!CB25</f>
        <v/>
      </c>
      <c r="CC25" s="10">
        <f>CB25+真實IC!CC25</f>
        <v/>
      </c>
      <c r="CD25" s="10">
        <f>CC25+真實IC!CD25</f>
        <v/>
      </c>
      <c r="CE25" s="10">
        <f>CD25+真實IC!CE25</f>
        <v/>
      </c>
      <c r="CF25" s="10">
        <f>CE25+真實IC!CF25</f>
        <v/>
      </c>
      <c r="CG25" s="10">
        <f>CF25+真實IC!CG25</f>
        <v/>
      </c>
      <c r="CH25" s="10">
        <f>CG25+真實IC!CH25</f>
        <v/>
      </c>
      <c r="CI25" s="10">
        <f>CH25+真實IC!CI25</f>
        <v/>
      </c>
      <c r="CJ25" s="10">
        <f>CI25+真實IC!CJ25</f>
        <v/>
      </c>
      <c r="CK25" s="10">
        <f>CJ25+真實IC!CK25</f>
        <v/>
      </c>
      <c r="CL25" s="10">
        <f>CK25+真實IC!CL25</f>
        <v/>
      </c>
      <c r="CM25" s="10">
        <f>CL25+真實IC!CM25</f>
        <v/>
      </c>
      <c r="CN25" s="10">
        <f>CM25+真實IC!CN25</f>
        <v/>
      </c>
      <c r="CO25" s="10">
        <f>CN25+真實IC!CO25</f>
        <v/>
      </c>
      <c r="CP25" s="10">
        <f>CO25+真實IC!CP25</f>
        <v/>
      </c>
      <c r="CQ25" s="10">
        <f>CP25+真實IC!CQ25</f>
        <v/>
      </c>
      <c r="CR25" s="10">
        <f>CQ25+真實IC!CR25</f>
        <v/>
      </c>
      <c r="CS25" s="10">
        <f>CR25+真實IC!CS25</f>
        <v/>
      </c>
      <c r="CT25" s="10">
        <f>CS25+真實IC!CT25</f>
        <v/>
      </c>
      <c r="CU25" s="10">
        <f>CT25+真實IC!CU25</f>
        <v/>
      </c>
      <c r="CV25" s="10">
        <f>CU25+真實IC!CV25</f>
        <v/>
      </c>
      <c r="CW25" s="10">
        <f>CV25+真實IC!CW25</f>
        <v/>
      </c>
      <c r="CX25" s="10">
        <f>CW25+真實IC!CX25</f>
        <v/>
      </c>
      <c r="CY25" s="10">
        <f>CX25+真實IC!CY25</f>
        <v/>
      </c>
      <c r="CZ25" s="10">
        <f>CY25+真實IC!CZ25</f>
        <v/>
      </c>
      <c r="DA25" s="10">
        <f>CZ25+真實IC!DA25</f>
        <v/>
      </c>
      <c r="DB25" s="10">
        <f>DA25+真實IC!DB25</f>
        <v/>
      </c>
      <c r="DC25" s="10">
        <f>DB25+真實IC!DC25</f>
        <v/>
      </c>
      <c r="DD25" s="10">
        <f>DC25+真實IC!DD25</f>
        <v/>
      </c>
      <c r="DE25" s="10">
        <f>DD25+真實IC!DE25</f>
        <v/>
      </c>
      <c r="DF25" s="10">
        <f>DE25+真實IC!DF25</f>
        <v/>
      </c>
      <c r="DG25" s="10">
        <f>DF25+真實IC!DG25</f>
        <v/>
      </c>
      <c r="DH25" s="10">
        <f>DG25+真實IC!DH25</f>
        <v/>
      </c>
      <c r="DI25" s="10">
        <f>DH25+真實IC!DI25</f>
        <v/>
      </c>
      <c r="DJ25" s="10">
        <f>DI25+真實IC!DJ25</f>
        <v/>
      </c>
      <c r="DK25" s="10">
        <f>DJ25+真實IC!DK25</f>
        <v/>
      </c>
      <c r="DL25" s="10">
        <f>DK25+真實IC!DL25</f>
        <v/>
      </c>
      <c r="DM25" s="10">
        <f>DL25+真實IC!DM25</f>
        <v/>
      </c>
      <c r="DN25" s="10">
        <f>DM25+真實IC!DN25</f>
        <v/>
      </c>
      <c r="DO25" s="10">
        <f>DN25+真實IC!DO25</f>
        <v/>
      </c>
      <c r="DP25" s="10">
        <f>DO25+真實IC!DP25</f>
        <v/>
      </c>
      <c r="DQ25" s="10">
        <f>DP25+真實IC!DQ25</f>
        <v/>
      </c>
      <c r="DR25" s="10">
        <f>DQ25+真實IC!DR25</f>
        <v/>
      </c>
      <c r="DS25" s="10">
        <f>DR25+真實IC!DS25</f>
        <v/>
      </c>
      <c r="DT25" s="10">
        <f>DS25+真實IC!DT25</f>
        <v/>
      </c>
      <c r="DU25" s="10">
        <f>DT25+真實IC!DU25</f>
        <v/>
      </c>
      <c r="DV25" s="10">
        <f>DU25+真實IC!DV25</f>
        <v/>
      </c>
      <c r="DW25" s="10">
        <f>DV25+真實IC!DW25</f>
        <v/>
      </c>
      <c r="DX25" s="10">
        <f>DW25+真實IC!DX25</f>
        <v/>
      </c>
      <c r="DY25" s="10">
        <f>DX25+真實IC!DY25</f>
        <v/>
      </c>
      <c r="DZ25" s="10">
        <f>DY25+真實IC!DZ25</f>
        <v/>
      </c>
      <c r="EA25" s="10">
        <f>DZ25+真實IC!EA25</f>
        <v/>
      </c>
      <c r="EB25" s="10">
        <f>EA25+真實IC!EB25</f>
        <v/>
      </c>
      <c r="EC25" s="10">
        <f>EB25+真實IC!EC25</f>
        <v/>
      </c>
      <c r="ED25" s="10">
        <f>EC25+真實IC!ED25</f>
        <v/>
      </c>
      <c r="EE25" s="10">
        <f>ED25+真實IC!EE25</f>
        <v/>
      </c>
      <c r="EF25" s="10">
        <f>EE25+真實IC!EF25</f>
        <v/>
      </c>
      <c r="EG25" s="10">
        <f>EF25+真實IC!EG25</f>
        <v/>
      </c>
      <c r="EH25" s="10">
        <f>EG25+真實IC!EH25</f>
        <v/>
      </c>
      <c r="EI25" s="10">
        <f>EH25+真實IC!EI25</f>
        <v/>
      </c>
      <c r="EJ25" s="10">
        <f>EI25+真實IC!EJ25</f>
        <v/>
      </c>
      <c r="EK25" s="10">
        <f>EJ25+真實IC!EK25</f>
        <v/>
      </c>
      <c r="EL25" s="10">
        <f>EK25+真實IC!EL25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Raymond Chen</dc:creator>
  <dcterms:created xsi:type="dcterms:W3CDTF">2015-06-05T18:19:34Z</dcterms:created>
  <dcterms:modified xsi:type="dcterms:W3CDTF">2025-10-11T07:21:06Z</dcterms:modified>
  <cp:lastModifiedBy>Raymond Chen</cp:lastModifiedBy>
</cp:coreProperties>
</file>